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ctrlProps/ctrlProp2.xml" ContentType="application/vnd.ms-excel.controlproperties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M:\Personal Drives - Common\Leach K\1. RWHTF\Water\Compliance Report\DMR\2019\8. August\"/>
    </mc:Choice>
  </mc:AlternateContent>
  <bookViews>
    <workbookView xWindow="0" yWindow="0" windowWidth="15300" windowHeight="4170"/>
  </bookViews>
  <sheets>
    <sheet name="Reg 85" sheetId="1" r:id="rId1"/>
    <sheet name="S" sheetId="3" state="veryHidden" r:id="rId2"/>
    <sheet name="X" sheetId="8" state="veryHidden" r:id="rId3"/>
    <sheet name="DMR 001C TIN &amp; TP" sheetId="4" r:id="rId4"/>
    <sheet name="DMR Flows-Effluent" sheetId="7" r:id="rId5"/>
    <sheet name="Report Parameters" sheetId="5" r:id="rId6"/>
  </sheets>
  <definedNames>
    <definedName name="_4173_1" localSheetId="4">'DMR Flows-Effluent'!$A$2:$F$732</definedName>
    <definedName name="_4174_1" localSheetId="3">'DMR 001C TIN &amp; TP'!$A$2:$M$901</definedName>
    <definedName name="_xlnm._FilterDatabase" localSheetId="3" hidden="1">'DMR 001C TIN &amp; TP'!$A$2:$M$901</definedName>
    <definedName name="_xlnm._FilterDatabase" localSheetId="4" hidden="1">'DMR Flows-Effluent'!$A$2:$F$732</definedName>
    <definedName name="_xlnm._FilterDatabase" localSheetId="5" hidden="1">'Report Parameters'!$A$1:$G$3</definedName>
    <definedName name="drilldown" localSheetId="3">'DMR 001C TIN &amp; TP'!$XBA$2:$XBA$901</definedName>
    <definedName name="drilldown" localSheetId="4">'DMR Flows-Effluent'!$XBA$2:$XBA$732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376" i="1" l="1"/>
  <c r="AP376" i="1"/>
  <c r="AZ345" i="1"/>
  <c r="AP345" i="1"/>
  <c r="AZ314" i="1"/>
  <c r="AP314" i="1"/>
  <c r="AZ284" i="1"/>
  <c r="AP284" i="1"/>
  <c r="AZ253" i="1"/>
  <c r="AP253" i="1"/>
  <c r="AZ223" i="1"/>
  <c r="AP223" i="1"/>
  <c r="AZ192" i="1"/>
  <c r="AP192" i="1"/>
  <c r="AZ164" i="1"/>
  <c r="AP164" i="1"/>
  <c r="AZ133" i="1"/>
  <c r="AP133" i="1"/>
  <c r="AZ102" i="1"/>
  <c r="AP102" i="1"/>
  <c r="AZ4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41" i="1"/>
  <c r="B1" i="1"/>
  <c r="B2" i="1" l="1"/>
  <c r="O3" i="3" l="1"/>
  <c r="O2" i="3"/>
  <c r="B12" i="1"/>
  <c r="D12" i="1" l="1"/>
  <c r="E12" i="1"/>
  <c r="C12" i="1"/>
  <c r="AP12" i="1" s="1"/>
  <c r="AD12" i="1" a="1"/>
  <c r="AD12" i="1" s="1"/>
  <c r="U12" i="1" a="1"/>
  <c r="U12" i="1" s="1"/>
  <c r="AJ12" i="1" a="1"/>
  <c r="AJ12" i="1" s="1"/>
  <c r="W12" i="1" a="1"/>
  <c r="W12" i="1" s="1"/>
  <c r="J12" i="1" a="1"/>
  <c r="J12" i="1" s="1"/>
  <c r="K12" i="1" a="1"/>
  <c r="K12" i="1" s="1"/>
  <c r="F12" i="1" a="1"/>
  <c r="F12" i="1" s="1"/>
  <c r="BC12" i="1" a="1"/>
  <c r="BC12" i="1" s="1"/>
  <c r="BE12" i="1" a="1"/>
  <c r="BE12" i="1" s="1"/>
  <c r="BA12" i="1" a="1"/>
  <c r="BA12" i="1" s="1"/>
  <c r="AV12" i="1" a="1"/>
  <c r="AV12" i="1" s="1"/>
  <c r="AR12" i="1" a="1"/>
  <c r="AR12" i="1" s="1"/>
  <c r="G12" i="1" a="1"/>
  <c r="G12" i="1" s="1"/>
  <c r="BD12" i="1" a="1"/>
  <c r="BD12" i="1" s="1"/>
  <c r="AW12" i="1" a="1"/>
  <c r="AW12" i="1" s="1"/>
  <c r="AI12" i="1" a="1"/>
  <c r="AI12" i="1" s="1"/>
  <c r="AK12" i="1" a="1"/>
  <c r="AK12" i="1" s="1"/>
  <c r="AG12" i="1" a="1"/>
  <c r="AG12" i="1" s="1"/>
  <c r="AC12" i="1" a="1"/>
  <c r="AC12" i="1" s="1"/>
  <c r="AE12" i="1" s="1"/>
  <c r="AB12" i="1" s="1"/>
  <c r="Y12" i="1" a="1"/>
  <c r="Y12" i="1" s="1"/>
  <c r="S12" i="1" a="1"/>
  <c r="S12" i="1" s="1"/>
  <c r="V12" i="1" a="1"/>
  <c r="V12" i="1" s="1"/>
  <c r="R12" i="1" a="1"/>
  <c r="R12" i="1" s="1"/>
  <c r="N12" i="1" a="1"/>
  <c r="N12" i="1" s="1"/>
  <c r="BB12" i="1" a="1"/>
  <c r="BB12" i="1" s="1"/>
  <c r="BF12" i="1" a="1"/>
  <c r="BF12" i="1" s="1"/>
  <c r="O12" i="1" a="1"/>
  <c r="O12" i="1" s="1"/>
  <c r="T12" i="1" a="1"/>
  <c r="T12" i="1" s="1"/>
  <c r="Z12" i="1" a="1"/>
  <c r="Z12" i="1" s="1"/>
  <c r="AL12" i="1" a="1"/>
  <c r="AL12" i="1" s="1"/>
  <c r="AH12" i="1" a="1"/>
  <c r="AH12" i="1" s="1"/>
  <c r="AS12" i="1" a="1"/>
  <c r="AS12" i="1" s="1"/>
  <c r="AT12" i="1" s="1"/>
  <c r="H12" i="1"/>
  <c r="B13" i="1"/>
  <c r="A12" i="1"/>
  <c r="AX12" i="1" l="1"/>
  <c r="D13" i="1"/>
  <c r="E13" i="1"/>
  <c r="C13" i="1"/>
  <c r="AP13" i="1" s="1"/>
  <c r="AY12" i="1"/>
  <c r="AQ12" i="1"/>
  <c r="P12" i="1"/>
  <c r="M12" i="1" s="1"/>
  <c r="L12" i="1"/>
  <c r="AA12" i="1"/>
  <c r="X12" i="1" s="1"/>
  <c r="I12" i="1"/>
  <c r="J13" i="1" a="1"/>
  <c r="J13" i="1" s="1"/>
  <c r="G13" i="1" a="1"/>
  <c r="G13" i="1" s="1"/>
  <c r="F13" i="1" a="1"/>
  <c r="F13" i="1" s="1"/>
  <c r="BA13" i="1" a="1"/>
  <c r="BA13" i="1" s="1"/>
  <c r="BC13" i="1" a="1"/>
  <c r="BC13" i="1" s="1"/>
  <c r="BE13" i="1" a="1"/>
  <c r="BE13" i="1" s="1"/>
  <c r="AV13" i="1" a="1"/>
  <c r="AV13" i="1" s="1"/>
  <c r="AR13" i="1" a="1"/>
  <c r="AR13" i="1" s="1"/>
  <c r="AH13" i="1" a="1"/>
  <c r="AH13" i="1" s="1"/>
  <c r="AJ13" i="1" a="1"/>
  <c r="AJ13" i="1" s="1"/>
  <c r="AL13" i="1" a="1"/>
  <c r="AL13" i="1" s="1"/>
  <c r="BB13" i="1" a="1"/>
  <c r="BB13" i="1" s="1"/>
  <c r="BF13" i="1" a="1"/>
  <c r="BF13" i="1" s="1"/>
  <c r="AW13" i="1" a="1"/>
  <c r="AW13" i="1" s="1"/>
  <c r="AG13" i="1" a="1"/>
  <c r="AG13" i="1" s="1"/>
  <c r="AK13" i="1" a="1"/>
  <c r="AK13" i="1" s="1"/>
  <c r="AC13" i="1" a="1"/>
  <c r="AC13" i="1" s="1"/>
  <c r="Y13" i="1" a="1"/>
  <c r="Y13" i="1" s="1"/>
  <c r="S13" i="1" a="1"/>
  <c r="S13" i="1" s="1"/>
  <c r="U13" i="1" a="1"/>
  <c r="U13" i="1" s="1"/>
  <c r="W13" i="1" a="1"/>
  <c r="W13" i="1" s="1"/>
  <c r="N13" i="1" a="1"/>
  <c r="N13" i="1" s="1"/>
  <c r="BD13" i="1" a="1"/>
  <c r="BD13" i="1" s="1"/>
  <c r="AS13" i="1" a="1"/>
  <c r="AS13" i="1" s="1"/>
  <c r="AT13" i="1" s="1"/>
  <c r="AI13" i="1" a="1"/>
  <c r="AI13" i="1" s="1"/>
  <c r="Z13" i="1" a="1"/>
  <c r="Z13" i="1" s="1"/>
  <c r="AA13" i="1" s="1"/>
  <c r="T13" i="1" a="1"/>
  <c r="T13" i="1" s="1"/>
  <c r="O13" i="1" a="1"/>
  <c r="O13" i="1" s="1"/>
  <c r="AD13" i="1" a="1"/>
  <c r="AD13" i="1" s="1"/>
  <c r="AE13" i="1" s="1"/>
  <c r="AB13" i="1" s="1"/>
  <c r="R13" i="1" a="1"/>
  <c r="R13" i="1" s="1"/>
  <c r="V13" i="1" a="1"/>
  <c r="V13" i="1" s="1"/>
  <c r="K13" i="1" a="1"/>
  <c r="K13" i="1" s="1"/>
  <c r="L13" i="1" s="1"/>
  <c r="B14" i="1"/>
  <c r="E14" i="1" s="1"/>
  <c r="A13" i="1"/>
  <c r="P13" i="1" l="1"/>
  <c r="M13" i="1" s="1"/>
  <c r="AX13" i="1"/>
  <c r="D14" i="1"/>
  <c r="C14" i="1"/>
  <c r="H13" i="1"/>
  <c r="Q12" i="1" a="1"/>
  <c r="Q12" i="1" s="1"/>
  <c r="AF12" i="1"/>
  <c r="J14" i="1" a="1"/>
  <c r="J14" i="1" s="1"/>
  <c r="G14" i="1" a="1"/>
  <c r="G14" i="1" s="1"/>
  <c r="BA14" i="1" a="1"/>
  <c r="BA14" i="1" s="1"/>
  <c r="BC14" i="1" a="1"/>
  <c r="BC14" i="1" s="1"/>
  <c r="BE14" i="1" a="1"/>
  <c r="BE14" i="1" s="1"/>
  <c r="AW14" i="1" a="1"/>
  <c r="AW14" i="1" s="1"/>
  <c r="AS14" i="1" a="1"/>
  <c r="AS14" i="1" s="1"/>
  <c r="AH14" i="1" a="1"/>
  <c r="AH14" i="1" s="1"/>
  <c r="AJ14" i="1" a="1"/>
  <c r="AJ14" i="1" s="1"/>
  <c r="AL14" i="1" a="1"/>
  <c r="AL14" i="1" s="1"/>
  <c r="BD14" i="1" a="1"/>
  <c r="BD14" i="1" s="1"/>
  <c r="AR14" i="1" a="1"/>
  <c r="AR14" i="1" s="1"/>
  <c r="AI14" i="1" a="1"/>
  <c r="AI14" i="1" s="1"/>
  <c r="AD14" i="1" a="1"/>
  <c r="AD14" i="1" s="1"/>
  <c r="Z14" i="1" a="1"/>
  <c r="Z14" i="1" s="1"/>
  <c r="S14" i="1" a="1"/>
  <c r="S14" i="1" s="1"/>
  <c r="U14" i="1" a="1"/>
  <c r="U14" i="1" s="1"/>
  <c r="W14" i="1" a="1"/>
  <c r="W14" i="1" s="1"/>
  <c r="O14" i="1" a="1"/>
  <c r="O14" i="1" s="1"/>
  <c r="K14" i="1" a="1"/>
  <c r="K14" i="1" s="1"/>
  <c r="F14" i="1" a="1"/>
  <c r="F14" i="1" s="1"/>
  <c r="H14" i="1" s="1"/>
  <c r="BB14" i="1" a="1"/>
  <c r="BB14" i="1" s="1"/>
  <c r="BF14" i="1" a="1"/>
  <c r="BF14" i="1" s="1"/>
  <c r="AV14" i="1" a="1"/>
  <c r="AV14" i="1" s="1"/>
  <c r="AK14" i="1" a="1"/>
  <c r="AK14" i="1" s="1"/>
  <c r="AC14" i="1" a="1"/>
  <c r="AC14" i="1" s="1"/>
  <c r="R14" i="1" a="1"/>
  <c r="R14" i="1" s="1"/>
  <c r="V14" i="1" a="1"/>
  <c r="V14" i="1" s="1"/>
  <c r="AG14" i="1" a="1"/>
  <c r="AG14" i="1" s="1"/>
  <c r="Y14" i="1" a="1"/>
  <c r="Y14" i="1" s="1"/>
  <c r="T14" i="1" a="1"/>
  <c r="T14" i="1" s="1"/>
  <c r="N14" i="1" a="1"/>
  <c r="N14" i="1" s="1"/>
  <c r="X13" i="1"/>
  <c r="AF13" i="1"/>
  <c r="I13" i="1"/>
  <c r="Q13" i="1" a="1"/>
  <c r="Q13" i="1" s="1"/>
  <c r="B15" i="1"/>
  <c r="A14" i="1"/>
  <c r="AP14" i="1" l="1"/>
  <c r="AY13" i="1"/>
  <c r="L14" i="1"/>
  <c r="D15" i="1"/>
  <c r="E15" i="1"/>
  <c r="C15" i="1"/>
  <c r="AP15" i="1" s="1"/>
  <c r="AO12" i="1"/>
  <c r="AX14" i="1"/>
  <c r="AT14" i="1"/>
  <c r="AO13" i="1"/>
  <c r="P14" i="1"/>
  <c r="M14" i="1" s="1"/>
  <c r="F15" i="1" a="1"/>
  <c r="F15" i="1" s="1"/>
  <c r="BA15" i="1" a="1"/>
  <c r="BA15" i="1" s="1"/>
  <c r="BC15" i="1" a="1"/>
  <c r="BC15" i="1" s="1"/>
  <c r="BE15" i="1" a="1"/>
  <c r="BE15" i="1" s="1"/>
  <c r="AV15" i="1" a="1"/>
  <c r="AV15" i="1" s="1"/>
  <c r="AR15" i="1" a="1"/>
  <c r="AR15" i="1" s="1"/>
  <c r="AH15" i="1" a="1"/>
  <c r="AH15" i="1" s="1"/>
  <c r="AJ15" i="1" a="1"/>
  <c r="AJ15" i="1" s="1"/>
  <c r="AL15" i="1" a="1"/>
  <c r="AL15" i="1" s="1"/>
  <c r="BB15" i="1" a="1"/>
  <c r="BB15" i="1" s="1"/>
  <c r="BF15" i="1" a="1"/>
  <c r="BF15" i="1" s="1"/>
  <c r="AS15" i="1" a="1"/>
  <c r="AS15" i="1" s="1"/>
  <c r="AT15" i="1" s="1"/>
  <c r="AG15" i="1" a="1"/>
  <c r="AG15" i="1" s="1"/>
  <c r="AK15" i="1" a="1"/>
  <c r="AK15" i="1" s="1"/>
  <c r="AC15" i="1" a="1"/>
  <c r="AC15" i="1" s="1"/>
  <c r="Y15" i="1" a="1"/>
  <c r="Y15" i="1" s="1"/>
  <c r="S15" i="1" a="1"/>
  <c r="S15" i="1" s="1"/>
  <c r="U15" i="1" a="1"/>
  <c r="U15" i="1" s="1"/>
  <c r="W15" i="1" a="1"/>
  <c r="W15" i="1" s="1"/>
  <c r="N15" i="1" a="1"/>
  <c r="N15" i="1" s="1"/>
  <c r="G15" i="1" a="1"/>
  <c r="G15" i="1" s="1"/>
  <c r="BD15" i="1" a="1"/>
  <c r="BD15" i="1" s="1"/>
  <c r="AW15" i="1" a="1"/>
  <c r="AW15" i="1" s="1"/>
  <c r="AX15" i="1" s="1"/>
  <c r="AD15" i="1" a="1"/>
  <c r="AD15" i="1" s="1"/>
  <c r="T15" i="1" a="1"/>
  <c r="T15" i="1" s="1"/>
  <c r="K15" i="1" a="1"/>
  <c r="K15" i="1" s="1"/>
  <c r="AI15" i="1" a="1"/>
  <c r="AI15" i="1" s="1"/>
  <c r="Z15" i="1" a="1"/>
  <c r="Z15" i="1" s="1"/>
  <c r="AA15" i="1" s="1"/>
  <c r="R15" i="1" a="1"/>
  <c r="R15" i="1" s="1"/>
  <c r="V15" i="1" a="1"/>
  <c r="V15" i="1" s="1"/>
  <c r="O15" i="1" a="1"/>
  <c r="O15" i="1" s="1"/>
  <c r="J15" i="1" a="1"/>
  <c r="J15" i="1" s="1"/>
  <c r="Q14" i="1" a="1"/>
  <c r="Q14" i="1" s="1"/>
  <c r="I14" i="1"/>
  <c r="AE14" i="1"/>
  <c r="AB14" i="1" s="1"/>
  <c r="AA14" i="1"/>
  <c r="B16" i="1"/>
  <c r="A15" i="1"/>
  <c r="AY14" i="1" l="1"/>
  <c r="D16" i="1"/>
  <c r="E16" i="1"/>
  <c r="C16" i="1"/>
  <c r="AP16" i="1" s="1"/>
  <c r="AE15" i="1"/>
  <c r="AB15" i="1" s="1"/>
  <c r="X14" i="1"/>
  <c r="AF14" i="1"/>
  <c r="AO14" i="1" s="1"/>
  <c r="X15" i="1"/>
  <c r="L15" i="1"/>
  <c r="G16" i="1" a="1"/>
  <c r="G16" i="1" s="1"/>
  <c r="BA16" i="1" a="1"/>
  <c r="BA16" i="1" s="1"/>
  <c r="BC16" i="1" a="1"/>
  <c r="BC16" i="1" s="1"/>
  <c r="BE16" i="1" a="1"/>
  <c r="BE16" i="1" s="1"/>
  <c r="AW16" i="1" a="1"/>
  <c r="AW16" i="1" s="1"/>
  <c r="AS16" i="1" a="1"/>
  <c r="AS16" i="1" s="1"/>
  <c r="AH16" i="1" a="1"/>
  <c r="AH16" i="1" s="1"/>
  <c r="AJ16" i="1" a="1"/>
  <c r="AJ16" i="1" s="1"/>
  <c r="AL16" i="1" a="1"/>
  <c r="AL16" i="1" s="1"/>
  <c r="F16" i="1" a="1"/>
  <c r="F16" i="1" s="1"/>
  <c r="H16" i="1" s="1"/>
  <c r="BD16" i="1" a="1"/>
  <c r="BD16" i="1" s="1"/>
  <c r="AV16" i="1" a="1"/>
  <c r="AV16" i="1" s="1"/>
  <c r="AI16" i="1" a="1"/>
  <c r="AI16" i="1" s="1"/>
  <c r="AD16" i="1" a="1"/>
  <c r="AD16" i="1" s="1"/>
  <c r="Z16" i="1" a="1"/>
  <c r="Z16" i="1" s="1"/>
  <c r="S16" i="1" a="1"/>
  <c r="S16" i="1" s="1"/>
  <c r="U16" i="1" a="1"/>
  <c r="U16" i="1" s="1"/>
  <c r="W16" i="1" a="1"/>
  <c r="W16" i="1" s="1"/>
  <c r="O16" i="1" a="1"/>
  <c r="O16" i="1" s="1"/>
  <c r="K16" i="1" a="1"/>
  <c r="K16" i="1" s="1"/>
  <c r="J16" i="1" a="1"/>
  <c r="J16" i="1" s="1"/>
  <c r="BB16" i="1" a="1"/>
  <c r="BB16" i="1" s="1"/>
  <c r="BF16" i="1" a="1"/>
  <c r="BF16" i="1" s="1"/>
  <c r="AG16" i="1" a="1"/>
  <c r="AG16" i="1" s="1"/>
  <c r="Y16" i="1" a="1"/>
  <c r="Y16" i="1" s="1"/>
  <c r="R16" i="1" a="1"/>
  <c r="R16" i="1" s="1"/>
  <c r="V16" i="1" a="1"/>
  <c r="V16" i="1" s="1"/>
  <c r="N16" i="1" a="1"/>
  <c r="N16" i="1" s="1"/>
  <c r="AR16" i="1" a="1"/>
  <c r="AR16" i="1" s="1"/>
  <c r="AK16" i="1" a="1"/>
  <c r="AK16" i="1" s="1"/>
  <c r="AC16" i="1" a="1"/>
  <c r="AC16" i="1" s="1"/>
  <c r="T16" i="1" a="1"/>
  <c r="T16" i="1" s="1"/>
  <c r="P15" i="1"/>
  <c r="M15" i="1" s="1"/>
  <c r="H15" i="1"/>
  <c r="B17" i="1"/>
  <c r="A16" i="1"/>
  <c r="D17" i="1" l="1"/>
  <c r="E17" i="1"/>
  <c r="C17" i="1"/>
  <c r="AP17" i="1" s="1"/>
  <c r="AF15" i="1"/>
  <c r="AT16" i="1"/>
  <c r="AY15" i="1"/>
  <c r="AX16" i="1"/>
  <c r="L16" i="1"/>
  <c r="AE16" i="1"/>
  <c r="AB16" i="1" s="1"/>
  <c r="F17" i="1" a="1"/>
  <c r="F17" i="1" s="1"/>
  <c r="BA17" i="1" a="1"/>
  <c r="BA17" i="1" s="1"/>
  <c r="BC17" i="1" a="1"/>
  <c r="BC17" i="1" s="1"/>
  <c r="BE17" i="1" a="1"/>
  <c r="BE17" i="1" s="1"/>
  <c r="AV17" i="1" a="1"/>
  <c r="AV17" i="1" s="1"/>
  <c r="AR17" i="1" a="1"/>
  <c r="AR17" i="1" s="1"/>
  <c r="AH17" i="1" a="1"/>
  <c r="AH17" i="1" s="1"/>
  <c r="AJ17" i="1" a="1"/>
  <c r="AJ17" i="1" s="1"/>
  <c r="AL17" i="1" a="1"/>
  <c r="AL17" i="1" s="1"/>
  <c r="G17" i="1" a="1"/>
  <c r="G17" i="1" s="1"/>
  <c r="BB17" i="1" a="1"/>
  <c r="BB17" i="1" s="1"/>
  <c r="BF17" i="1" a="1"/>
  <c r="BF17" i="1" s="1"/>
  <c r="AW17" i="1" a="1"/>
  <c r="AW17" i="1" s="1"/>
  <c r="AX17" i="1" s="1"/>
  <c r="AG17" i="1" a="1"/>
  <c r="AG17" i="1" s="1"/>
  <c r="AK17" i="1" a="1"/>
  <c r="AK17" i="1" s="1"/>
  <c r="AC17" i="1" a="1"/>
  <c r="AC17" i="1" s="1"/>
  <c r="Y17" i="1" a="1"/>
  <c r="Y17" i="1" s="1"/>
  <c r="S17" i="1" a="1"/>
  <c r="S17" i="1" s="1"/>
  <c r="U17" i="1" a="1"/>
  <c r="U17" i="1" s="1"/>
  <c r="W17" i="1" a="1"/>
  <c r="W17" i="1" s="1"/>
  <c r="N17" i="1" a="1"/>
  <c r="N17" i="1" s="1"/>
  <c r="BD17" i="1" a="1"/>
  <c r="BD17" i="1" s="1"/>
  <c r="AS17" i="1" a="1"/>
  <c r="AS17" i="1" s="1"/>
  <c r="AT17" i="1" s="1"/>
  <c r="AI17" i="1" a="1"/>
  <c r="AI17" i="1" s="1"/>
  <c r="Z17" i="1" a="1"/>
  <c r="Z17" i="1" s="1"/>
  <c r="AA17" i="1" s="1"/>
  <c r="T17" i="1" a="1"/>
  <c r="T17" i="1" s="1"/>
  <c r="O17" i="1" a="1"/>
  <c r="O17" i="1" s="1"/>
  <c r="P17" i="1" s="1"/>
  <c r="M17" i="1" s="1"/>
  <c r="J17" i="1" a="1"/>
  <c r="J17" i="1" s="1"/>
  <c r="AD17" i="1" a="1"/>
  <c r="AD17" i="1" s="1"/>
  <c r="R17" i="1" a="1"/>
  <c r="R17" i="1" s="1"/>
  <c r="V17" i="1" a="1"/>
  <c r="V17" i="1" s="1"/>
  <c r="K17" i="1" a="1"/>
  <c r="K17" i="1" s="1"/>
  <c r="L17" i="1" s="1"/>
  <c r="I15" i="1"/>
  <c r="Q15" i="1" a="1"/>
  <c r="Q15" i="1" s="1"/>
  <c r="AO15" i="1" s="1"/>
  <c r="I16" i="1"/>
  <c r="P16" i="1"/>
  <c r="M16" i="1" s="1"/>
  <c r="AA16" i="1"/>
  <c r="B18" i="1"/>
  <c r="A17" i="1"/>
  <c r="D18" i="1" l="1"/>
  <c r="E18" i="1"/>
  <c r="C18" i="1"/>
  <c r="AP18" i="1" s="1"/>
  <c r="AY16" i="1"/>
  <c r="Q16" i="1" a="1"/>
  <c r="Q16" i="1" s="1"/>
  <c r="AE17" i="1"/>
  <c r="AB17" i="1" s="1"/>
  <c r="H17" i="1"/>
  <c r="X16" i="1"/>
  <c r="AF16" i="1"/>
  <c r="X17" i="1"/>
  <c r="G18" i="1" a="1"/>
  <c r="G18" i="1" s="1"/>
  <c r="BA18" i="1" a="1"/>
  <c r="BA18" i="1" s="1"/>
  <c r="BC18" i="1" a="1"/>
  <c r="BC18" i="1" s="1"/>
  <c r="BE18" i="1" a="1"/>
  <c r="BE18" i="1" s="1"/>
  <c r="AW18" i="1" a="1"/>
  <c r="AW18" i="1" s="1"/>
  <c r="AS18" i="1" a="1"/>
  <c r="AS18" i="1" s="1"/>
  <c r="AH18" i="1" a="1"/>
  <c r="AH18" i="1" s="1"/>
  <c r="AJ18" i="1" a="1"/>
  <c r="AJ18" i="1" s="1"/>
  <c r="AL18" i="1" a="1"/>
  <c r="AL18" i="1" s="1"/>
  <c r="BD18" i="1" a="1"/>
  <c r="BD18" i="1" s="1"/>
  <c r="AR18" i="1" a="1"/>
  <c r="AR18" i="1" s="1"/>
  <c r="AI18" i="1" a="1"/>
  <c r="AI18" i="1" s="1"/>
  <c r="AD18" i="1" a="1"/>
  <c r="AD18" i="1" s="1"/>
  <c r="Z18" i="1" a="1"/>
  <c r="Z18" i="1" s="1"/>
  <c r="S18" i="1" a="1"/>
  <c r="S18" i="1" s="1"/>
  <c r="U18" i="1" a="1"/>
  <c r="U18" i="1" s="1"/>
  <c r="W18" i="1" a="1"/>
  <c r="W18" i="1" s="1"/>
  <c r="O18" i="1" a="1"/>
  <c r="O18" i="1" s="1"/>
  <c r="K18" i="1" a="1"/>
  <c r="K18" i="1" s="1"/>
  <c r="J18" i="1" a="1"/>
  <c r="J18" i="1" s="1"/>
  <c r="F18" i="1" a="1"/>
  <c r="F18" i="1" s="1"/>
  <c r="H18" i="1" s="1"/>
  <c r="BB18" i="1" a="1"/>
  <c r="BB18" i="1" s="1"/>
  <c r="BF18" i="1" a="1"/>
  <c r="BF18" i="1" s="1"/>
  <c r="AV18" i="1" a="1"/>
  <c r="AV18" i="1" s="1"/>
  <c r="AK18" i="1" a="1"/>
  <c r="AK18" i="1" s="1"/>
  <c r="AC18" i="1" a="1"/>
  <c r="AC18" i="1" s="1"/>
  <c r="R18" i="1" a="1"/>
  <c r="R18" i="1" s="1"/>
  <c r="V18" i="1" a="1"/>
  <c r="V18" i="1" s="1"/>
  <c r="AG18" i="1" a="1"/>
  <c r="AG18" i="1" s="1"/>
  <c r="Y18" i="1" a="1"/>
  <c r="Y18" i="1" s="1"/>
  <c r="T18" i="1" a="1"/>
  <c r="T18" i="1" s="1"/>
  <c r="N18" i="1" a="1"/>
  <c r="N18" i="1" s="1"/>
  <c r="I17" i="1"/>
  <c r="Q17" i="1" a="1"/>
  <c r="Q17" i="1" s="1"/>
  <c r="B19" i="1"/>
  <c r="A18" i="1"/>
  <c r="D19" i="1" l="1"/>
  <c r="E19" i="1"/>
  <c r="C19" i="1"/>
  <c r="AP19" i="1" s="1"/>
  <c r="AT18" i="1"/>
  <c r="AX18" i="1"/>
  <c r="AF17" i="1"/>
  <c r="AO17" i="1" s="1"/>
  <c r="AY17" i="1"/>
  <c r="AO16" i="1"/>
  <c r="F19" i="1" a="1"/>
  <c r="F19" i="1" s="1"/>
  <c r="BA19" i="1" a="1"/>
  <c r="BA19" i="1" s="1"/>
  <c r="BC19" i="1" a="1"/>
  <c r="BC19" i="1" s="1"/>
  <c r="BE19" i="1" a="1"/>
  <c r="BE19" i="1" s="1"/>
  <c r="AV19" i="1" a="1"/>
  <c r="AV19" i="1" s="1"/>
  <c r="AR19" i="1" a="1"/>
  <c r="AR19" i="1" s="1"/>
  <c r="AH19" i="1" a="1"/>
  <c r="AH19" i="1" s="1"/>
  <c r="AJ19" i="1" a="1"/>
  <c r="AJ19" i="1" s="1"/>
  <c r="AL19" i="1" a="1"/>
  <c r="AL19" i="1" s="1"/>
  <c r="BB19" i="1" a="1"/>
  <c r="BB19" i="1" s="1"/>
  <c r="BF19" i="1" a="1"/>
  <c r="BF19" i="1" s="1"/>
  <c r="AS19" i="1" a="1"/>
  <c r="AS19" i="1" s="1"/>
  <c r="AG19" i="1" a="1"/>
  <c r="AG19" i="1" s="1"/>
  <c r="AK19" i="1" a="1"/>
  <c r="AK19" i="1" s="1"/>
  <c r="AC19" i="1" a="1"/>
  <c r="AC19" i="1" s="1"/>
  <c r="Y19" i="1" a="1"/>
  <c r="Y19" i="1" s="1"/>
  <c r="S19" i="1" a="1"/>
  <c r="S19" i="1" s="1"/>
  <c r="U19" i="1" a="1"/>
  <c r="U19" i="1" s="1"/>
  <c r="W19" i="1" a="1"/>
  <c r="W19" i="1" s="1"/>
  <c r="N19" i="1" a="1"/>
  <c r="N19" i="1" s="1"/>
  <c r="G19" i="1" a="1"/>
  <c r="G19" i="1" s="1"/>
  <c r="BD19" i="1" a="1"/>
  <c r="BD19" i="1" s="1"/>
  <c r="AW19" i="1" a="1"/>
  <c r="AW19" i="1" s="1"/>
  <c r="AX19" i="1" s="1"/>
  <c r="AD19" i="1" a="1"/>
  <c r="AD19" i="1" s="1"/>
  <c r="T19" i="1" a="1"/>
  <c r="T19" i="1" s="1"/>
  <c r="K19" i="1" a="1"/>
  <c r="K19" i="1" s="1"/>
  <c r="AI19" i="1" a="1"/>
  <c r="AI19" i="1" s="1"/>
  <c r="Z19" i="1" a="1"/>
  <c r="Z19" i="1" s="1"/>
  <c r="R19" i="1" a="1"/>
  <c r="R19" i="1" s="1"/>
  <c r="V19" i="1" a="1"/>
  <c r="V19" i="1" s="1"/>
  <c r="O19" i="1" a="1"/>
  <c r="O19" i="1" s="1"/>
  <c r="J19" i="1" a="1"/>
  <c r="J19" i="1" s="1"/>
  <c r="L18" i="1"/>
  <c r="AE18" i="1"/>
  <c r="AB18" i="1" s="1"/>
  <c r="P18" i="1"/>
  <c r="M18" i="1" s="1"/>
  <c r="AA18" i="1"/>
  <c r="B20" i="1"/>
  <c r="A19" i="1"/>
  <c r="AE19" i="1" l="1"/>
  <c r="AB19" i="1" s="1"/>
  <c r="D20" i="1"/>
  <c r="E20" i="1"/>
  <c r="C20" i="1"/>
  <c r="AP20" i="1" s="1"/>
  <c r="AT19" i="1"/>
  <c r="AY18" i="1"/>
  <c r="AA19" i="1"/>
  <c r="X19" i="1" s="1"/>
  <c r="X18" i="1"/>
  <c r="AF18" i="1"/>
  <c r="L19" i="1"/>
  <c r="G20" i="1" a="1"/>
  <c r="G20" i="1" s="1"/>
  <c r="BA20" i="1" a="1"/>
  <c r="BA20" i="1" s="1"/>
  <c r="BC20" i="1" a="1"/>
  <c r="BC20" i="1" s="1"/>
  <c r="BE20" i="1" a="1"/>
  <c r="BE20" i="1" s="1"/>
  <c r="AW20" i="1" a="1"/>
  <c r="AW20" i="1" s="1"/>
  <c r="AS20" i="1" a="1"/>
  <c r="AS20" i="1" s="1"/>
  <c r="AH20" i="1" a="1"/>
  <c r="AH20" i="1" s="1"/>
  <c r="AJ20" i="1" a="1"/>
  <c r="AJ20" i="1" s="1"/>
  <c r="AL20" i="1" a="1"/>
  <c r="AL20" i="1" s="1"/>
  <c r="F20" i="1" a="1"/>
  <c r="F20" i="1" s="1"/>
  <c r="BD20" i="1" a="1"/>
  <c r="BD20" i="1" s="1"/>
  <c r="AV20" i="1" a="1"/>
  <c r="AV20" i="1" s="1"/>
  <c r="AI20" i="1" a="1"/>
  <c r="AI20" i="1" s="1"/>
  <c r="AD20" i="1" a="1"/>
  <c r="AD20" i="1" s="1"/>
  <c r="Z20" i="1" a="1"/>
  <c r="Z20" i="1" s="1"/>
  <c r="S20" i="1" a="1"/>
  <c r="S20" i="1" s="1"/>
  <c r="U20" i="1" a="1"/>
  <c r="U20" i="1" s="1"/>
  <c r="W20" i="1" a="1"/>
  <c r="W20" i="1" s="1"/>
  <c r="O20" i="1" a="1"/>
  <c r="O20" i="1" s="1"/>
  <c r="K20" i="1" a="1"/>
  <c r="K20" i="1" s="1"/>
  <c r="J20" i="1" a="1"/>
  <c r="J20" i="1" s="1"/>
  <c r="BB20" i="1" a="1"/>
  <c r="BB20" i="1" s="1"/>
  <c r="BF20" i="1" a="1"/>
  <c r="BF20" i="1" s="1"/>
  <c r="AR20" i="1" a="1"/>
  <c r="AR20" i="1" s="1"/>
  <c r="AG20" i="1" a="1"/>
  <c r="AG20" i="1" s="1"/>
  <c r="Y20" i="1" a="1"/>
  <c r="Y20" i="1" s="1"/>
  <c r="R20" i="1" a="1"/>
  <c r="R20" i="1" s="1"/>
  <c r="V20" i="1" a="1"/>
  <c r="V20" i="1" s="1"/>
  <c r="N20" i="1" a="1"/>
  <c r="N20" i="1" s="1"/>
  <c r="AK20" i="1" a="1"/>
  <c r="AK20" i="1" s="1"/>
  <c r="AC20" i="1" a="1"/>
  <c r="AC20" i="1" s="1"/>
  <c r="T20" i="1" a="1"/>
  <c r="T20" i="1" s="1"/>
  <c r="Q18" i="1" a="1"/>
  <c r="Q18" i="1" s="1"/>
  <c r="AO18" i="1" s="1"/>
  <c r="I18" i="1"/>
  <c r="P19" i="1"/>
  <c r="M19" i="1" s="1"/>
  <c r="H19" i="1"/>
  <c r="AF19" i="1" s="1"/>
  <c r="B21" i="1"/>
  <c r="A20" i="1"/>
  <c r="H20" i="1" l="1"/>
  <c r="D21" i="1"/>
  <c r="E21" i="1"/>
  <c r="C21" i="1"/>
  <c r="AP21" i="1" s="1"/>
  <c r="AX20" i="1"/>
  <c r="AT20" i="1"/>
  <c r="AY19" i="1"/>
  <c r="AA20" i="1"/>
  <c r="F21" i="1" a="1"/>
  <c r="F21" i="1" s="1"/>
  <c r="BA21" i="1" a="1"/>
  <c r="BA21" i="1" s="1"/>
  <c r="BC21" i="1" a="1"/>
  <c r="BC21" i="1" s="1"/>
  <c r="BE21" i="1" a="1"/>
  <c r="BE21" i="1" s="1"/>
  <c r="AV21" i="1" a="1"/>
  <c r="AV21" i="1" s="1"/>
  <c r="AR21" i="1" a="1"/>
  <c r="AR21" i="1" s="1"/>
  <c r="AH21" i="1" a="1"/>
  <c r="AH21" i="1" s="1"/>
  <c r="AJ21" i="1" a="1"/>
  <c r="AJ21" i="1" s="1"/>
  <c r="AL21" i="1" a="1"/>
  <c r="AL21" i="1" s="1"/>
  <c r="G21" i="1" a="1"/>
  <c r="G21" i="1" s="1"/>
  <c r="BB21" i="1" a="1"/>
  <c r="BB21" i="1" s="1"/>
  <c r="BF21" i="1" a="1"/>
  <c r="BF21" i="1" s="1"/>
  <c r="AW21" i="1" a="1"/>
  <c r="AW21" i="1" s="1"/>
  <c r="AX21" i="1" s="1"/>
  <c r="AG21" i="1" a="1"/>
  <c r="AG21" i="1" s="1"/>
  <c r="AK21" i="1" a="1"/>
  <c r="AK21" i="1" s="1"/>
  <c r="AC21" i="1" a="1"/>
  <c r="AC21" i="1" s="1"/>
  <c r="Y21" i="1" a="1"/>
  <c r="Y21" i="1" s="1"/>
  <c r="S21" i="1" a="1"/>
  <c r="S21" i="1" s="1"/>
  <c r="U21" i="1" a="1"/>
  <c r="U21" i="1" s="1"/>
  <c r="W21" i="1" a="1"/>
  <c r="W21" i="1" s="1"/>
  <c r="N21" i="1" a="1"/>
  <c r="N21" i="1" s="1"/>
  <c r="BD21" i="1" a="1"/>
  <c r="BD21" i="1" s="1"/>
  <c r="AS21" i="1" a="1"/>
  <c r="AS21" i="1" s="1"/>
  <c r="AI21" i="1" a="1"/>
  <c r="AI21" i="1" s="1"/>
  <c r="Z21" i="1" a="1"/>
  <c r="Z21" i="1" s="1"/>
  <c r="AA21" i="1" s="1"/>
  <c r="T21" i="1" a="1"/>
  <c r="T21" i="1" s="1"/>
  <c r="O21" i="1" a="1"/>
  <c r="O21" i="1" s="1"/>
  <c r="P21" i="1" s="1"/>
  <c r="M21" i="1" s="1"/>
  <c r="J21" i="1" a="1"/>
  <c r="J21" i="1" s="1"/>
  <c r="AD21" i="1" a="1"/>
  <c r="AD21" i="1" s="1"/>
  <c r="R21" i="1" a="1"/>
  <c r="R21" i="1" s="1"/>
  <c r="V21" i="1" a="1"/>
  <c r="V21" i="1" s="1"/>
  <c r="K21" i="1" a="1"/>
  <c r="K21" i="1" s="1"/>
  <c r="L21" i="1" s="1"/>
  <c r="P20" i="1"/>
  <c r="M20" i="1" s="1"/>
  <c r="X20" i="1"/>
  <c r="L20" i="1"/>
  <c r="AE20" i="1"/>
  <c r="AB20" i="1" s="1"/>
  <c r="I19" i="1"/>
  <c r="Q19" i="1" a="1"/>
  <c r="Q19" i="1" s="1"/>
  <c r="AO19" i="1" s="1"/>
  <c r="B22" i="1"/>
  <c r="A21" i="1"/>
  <c r="AE21" i="1" l="1"/>
  <c r="AB21" i="1" s="1"/>
  <c r="AT21" i="1"/>
  <c r="D22" i="1"/>
  <c r="E22" i="1"/>
  <c r="C22" i="1"/>
  <c r="AP22" i="1" s="1"/>
  <c r="AY20" i="1"/>
  <c r="H21" i="1"/>
  <c r="AF20" i="1"/>
  <c r="G22" i="1" a="1"/>
  <c r="G22" i="1" s="1"/>
  <c r="BA22" i="1" a="1"/>
  <c r="BA22" i="1" s="1"/>
  <c r="BC22" i="1" a="1"/>
  <c r="BC22" i="1" s="1"/>
  <c r="BE22" i="1" a="1"/>
  <c r="BE22" i="1" s="1"/>
  <c r="AW22" i="1" a="1"/>
  <c r="AW22" i="1" s="1"/>
  <c r="AS22" i="1" a="1"/>
  <c r="AS22" i="1" s="1"/>
  <c r="AH22" i="1" a="1"/>
  <c r="AH22" i="1" s="1"/>
  <c r="AJ22" i="1" a="1"/>
  <c r="AJ22" i="1" s="1"/>
  <c r="AL22" i="1" a="1"/>
  <c r="AL22" i="1" s="1"/>
  <c r="BD22" i="1" a="1"/>
  <c r="BD22" i="1" s="1"/>
  <c r="AR22" i="1" a="1"/>
  <c r="AR22" i="1" s="1"/>
  <c r="AI22" i="1" a="1"/>
  <c r="AI22" i="1" s="1"/>
  <c r="AD22" i="1" a="1"/>
  <c r="AD22" i="1" s="1"/>
  <c r="Z22" i="1" a="1"/>
  <c r="Z22" i="1" s="1"/>
  <c r="S22" i="1" a="1"/>
  <c r="S22" i="1" s="1"/>
  <c r="U22" i="1" a="1"/>
  <c r="U22" i="1" s="1"/>
  <c r="W22" i="1" a="1"/>
  <c r="W22" i="1" s="1"/>
  <c r="O22" i="1" a="1"/>
  <c r="O22" i="1" s="1"/>
  <c r="K22" i="1" a="1"/>
  <c r="K22" i="1" s="1"/>
  <c r="J22" i="1" a="1"/>
  <c r="J22" i="1" s="1"/>
  <c r="F22" i="1" a="1"/>
  <c r="F22" i="1" s="1"/>
  <c r="H22" i="1" s="1"/>
  <c r="BB22" i="1" a="1"/>
  <c r="BB22" i="1" s="1"/>
  <c r="BF22" i="1" a="1"/>
  <c r="BF22" i="1" s="1"/>
  <c r="AV22" i="1" a="1"/>
  <c r="AV22" i="1" s="1"/>
  <c r="AK22" i="1" a="1"/>
  <c r="AK22" i="1" s="1"/>
  <c r="AC22" i="1" a="1"/>
  <c r="AC22" i="1" s="1"/>
  <c r="R22" i="1" a="1"/>
  <c r="R22" i="1" s="1"/>
  <c r="V22" i="1" a="1"/>
  <c r="V22" i="1" s="1"/>
  <c r="AG22" i="1" a="1"/>
  <c r="AG22" i="1" s="1"/>
  <c r="Y22" i="1" a="1"/>
  <c r="Y22" i="1" s="1"/>
  <c r="T22" i="1" a="1"/>
  <c r="T22" i="1" s="1"/>
  <c r="N22" i="1" a="1"/>
  <c r="N22" i="1" s="1"/>
  <c r="Q20" i="1" a="1"/>
  <c r="Q20" i="1" s="1"/>
  <c r="I20" i="1"/>
  <c r="I21" i="1"/>
  <c r="Q21" i="1" a="1"/>
  <c r="Q21" i="1" s="1"/>
  <c r="X21" i="1"/>
  <c r="AF21" i="1"/>
  <c r="B23" i="1"/>
  <c r="A22" i="1"/>
  <c r="AO20" i="1" l="1"/>
  <c r="AY21" i="1"/>
  <c r="D23" i="1"/>
  <c r="E23" i="1"/>
  <c r="C23" i="1"/>
  <c r="AP23" i="1" s="1"/>
  <c r="AT22" i="1"/>
  <c r="AX22" i="1"/>
  <c r="L22" i="1"/>
  <c r="AE22" i="1"/>
  <c r="AB22" i="1" s="1"/>
  <c r="I22" i="1"/>
  <c r="F23" i="1" a="1"/>
  <c r="F23" i="1" s="1"/>
  <c r="BA23" i="1" a="1"/>
  <c r="BA23" i="1" s="1"/>
  <c r="BC23" i="1" a="1"/>
  <c r="BC23" i="1" s="1"/>
  <c r="BE23" i="1" a="1"/>
  <c r="BE23" i="1" s="1"/>
  <c r="AV23" i="1" a="1"/>
  <c r="AV23" i="1" s="1"/>
  <c r="AR23" i="1" a="1"/>
  <c r="AR23" i="1" s="1"/>
  <c r="AH23" i="1" a="1"/>
  <c r="AH23" i="1" s="1"/>
  <c r="AJ23" i="1" a="1"/>
  <c r="AJ23" i="1" s="1"/>
  <c r="AL23" i="1" a="1"/>
  <c r="AL23" i="1" s="1"/>
  <c r="BB23" i="1" a="1"/>
  <c r="BB23" i="1" s="1"/>
  <c r="BF23" i="1" a="1"/>
  <c r="BF23" i="1" s="1"/>
  <c r="AS23" i="1" a="1"/>
  <c r="AS23" i="1" s="1"/>
  <c r="AT23" i="1" s="1"/>
  <c r="AG23" i="1" a="1"/>
  <c r="AG23" i="1" s="1"/>
  <c r="AK23" i="1" a="1"/>
  <c r="AK23" i="1" s="1"/>
  <c r="AC23" i="1" a="1"/>
  <c r="AC23" i="1" s="1"/>
  <c r="Y23" i="1" a="1"/>
  <c r="Y23" i="1" s="1"/>
  <c r="S23" i="1" a="1"/>
  <c r="S23" i="1" s="1"/>
  <c r="U23" i="1" a="1"/>
  <c r="U23" i="1" s="1"/>
  <c r="W23" i="1" a="1"/>
  <c r="W23" i="1" s="1"/>
  <c r="N23" i="1" a="1"/>
  <c r="N23" i="1" s="1"/>
  <c r="G23" i="1" a="1"/>
  <c r="G23" i="1" s="1"/>
  <c r="BD23" i="1" a="1"/>
  <c r="BD23" i="1" s="1"/>
  <c r="AW23" i="1" a="1"/>
  <c r="AW23" i="1" s="1"/>
  <c r="AX23" i="1" s="1"/>
  <c r="AD23" i="1" a="1"/>
  <c r="AD23" i="1" s="1"/>
  <c r="T23" i="1" a="1"/>
  <c r="T23" i="1" s="1"/>
  <c r="K23" i="1" a="1"/>
  <c r="K23" i="1" s="1"/>
  <c r="AI23" i="1" a="1"/>
  <c r="AI23" i="1" s="1"/>
  <c r="Z23" i="1" a="1"/>
  <c r="Z23" i="1" s="1"/>
  <c r="AA23" i="1" s="1"/>
  <c r="R23" i="1" a="1"/>
  <c r="R23" i="1" s="1"/>
  <c r="V23" i="1" a="1"/>
  <c r="V23" i="1" s="1"/>
  <c r="O23" i="1" a="1"/>
  <c r="O23" i="1" s="1"/>
  <c r="J23" i="1" a="1"/>
  <c r="J23" i="1" s="1"/>
  <c r="AO21" i="1"/>
  <c r="P22" i="1"/>
  <c r="M22" i="1" s="1"/>
  <c r="AA22" i="1"/>
  <c r="B24" i="1"/>
  <c r="A23" i="1"/>
  <c r="P23" i="1" l="1"/>
  <c r="M23" i="1" s="1"/>
  <c r="D24" i="1"/>
  <c r="E24" i="1"/>
  <c r="C24" i="1"/>
  <c r="AP24" i="1" s="1"/>
  <c r="AE23" i="1"/>
  <c r="AB23" i="1" s="1"/>
  <c r="AY22" i="1"/>
  <c r="X23" i="1"/>
  <c r="L23" i="1"/>
  <c r="G24" i="1" a="1"/>
  <c r="G24" i="1" s="1"/>
  <c r="BA24" i="1" a="1"/>
  <c r="BA24" i="1" s="1"/>
  <c r="BC24" i="1" a="1"/>
  <c r="BC24" i="1" s="1"/>
  <c r="BE24" i="1" a="1"/>
  <c r="BE24" i="1" s="1"/>
  <c r="AW24" i="1" a="1"/>
  <c r="AW24" i="1" s="1"/>
  <c r="AS24" i="1" a="1"/>
  <c r="AS24" i="1" s="1"/>
  <c r="AH24" i="1" a="1"/>
  <c r="AH24" i="1" s="1"/>
  <c r="AJ24" i="1" a="1"/>
  <c r="AJ24" i="1" s="1"/>
  <c r="AL24" i="1" a="1"/>
  <c r="AL24" i="1" s="1"/>
  <c r="F24" i="1" a="1"/>
  <c r="F24" i="1" s="1"/>
  <c r="H24" i="1" s="1"/>
  <c r="BD24" i="1" a="1"/>
  <c r="BD24" i="1" s="1"/>
  <c r="AV24" i="1" a="1"/>
  <c r="AV24" i="1" s="1"/>
  <c r="AI24" i="1" a="1"/>
  <c r="AI24" i="1" s="1"/>
  <c r="AD24" i="1" a="1"/>
  <c r="AD24" i="1" s="1"/>
  <c r="Z24" i="1" a="1"/>
  <c r="Z24" i="1" s="1"/>
  <c r="S24" i="1" a="1"/>
  <c r="S24" i="1" s="1"/>
  <c r="U24" i="1" a="1"/>
  <c r="U24" i="1" s="1"/>
  <c r="W24" i="1" a="1"/>
  <c r="W24" i="1" s="1"/>
  <c r="O24" i="1" a="1"/>
  <c r="O24" i="1" s="1"/>
  <c r="K24" i="1" a="1"/>
  <c r="K24" i="1" s="1"/>
  <c r="J24" i="1" a="1"/>
  <c r="J24" i="1" s="1"/>
  <c r="BB24" i="1" a="1"/>
  <c r="BB24" i="1" s="1"/>
  <c r="BF24" i="1" a="1"/>
  <c r="BF24" i="1" s="1"/>
  <c r="AG24" i="1" a="1"/>
  <c r="AG24" i="1" s="1"/>
  <c r="Y24" i="1" a="1"/>
  <c r="Y24" i="1" s="1"/>
  <c r="R24" i="1" a="1"/>
  <c r="R24" i="1" s="1"/>
  <c r="V24" i="1" a="1"/>
  <c r="V24" i="1" s="1"/>
  <c r="N24" i="1" a="1"/>
  <c r="N24" i="1" s="1"/>
  <c r="AR24" i="1" a="1"/>
  <c r="AR24" i="1" s="1"/>
  <c r="AK24" i="1" a="1"/>
  <c r="AK24" i="1" s="1"/>
  <c r="AC24" i="1" a="1"/>
  <c r="AC24" i="1" s="1"/>
  <c r="T24" i="1" a="1"/>
  <c r="T24" i="1" s="1"/>
  <c r="X22" i="1"/>
  <c r="AF22" i="1"/>
  <c r="H23" i="1"/>
  <c r="AF23" i="1" s="1"/>
  <c r="Q22" i="1" a="1"/>
  <c r="Q22" i="1" s="1"/>
  <c r="AO22" i="1" s="1"/>
  <c r="B25" i="1"/>
  <c r="A24" i="1"/>
  <c r="D25" i="1" l="1"/>
  <c r="E25" i="1"/>
  <c r="C25" i="1"/>
  <c r="AP25" i="1" s="1"/>
  <c r="AX24" i="1"/>
  <c r="AY23" i="1"/>
  <c r="AT24" i="1"/>
  <c r="AY24" i="1" s="1"/>
  <c r="P24" i="1"/>
  <c r="M24" i="1" s="1"/>
  <c r="F25" i="1" a="1"/>
  <c r="F25" i="1" s="1"/>
  <c r="BA25" i="1" a="1"/>
  <c r="BA25" i="1" s="1"/>
  <c r="BC25" i="1" a="1"/>
  <c r="BC25" i="1" s="1"/>
  <c r="BE25" i="1" a="1"/>
  <c r="BE25" i="1" s="1"/>
  <c r="AV25" i="1" a="1"/>
  <c r="AV25" i="1" s="1"/>
  <c r="AR25" i="1" a="1"/>
  <c r="AR25" i="1" s="1"/>
  <c r="AH25" i="1" a="1"/>
  <c r="AH25" i="1" s="1"/>
  <c r="AJ25" i="1" a="1"/>
  <c r="AJ25" i="1" s="1"/>
  <c r="AL25" i="1" a="1"/>
  <c r="AL25" i="1" s="1"/>
  <c r="G25" i="1" a="1"/>
  <c r="G25" i="1" s="1"/>
  <c r="BB25" i="1" a="1"/>
  <c r="BB25" i="1" s="1"/>
  <c r="BF25" i="1" a="1"/>
  <c r="BF25" i="1" s="1"/>
  <c r="AW25" i="1" a="1"/>
  <c r="AW25" i="1" s="1"/>
  <c r="AX25" i="1" s="1"/>
  <c r="AG25" i="1" a="1"/>
  <c r="AG25" i="1" s="1"/>
  <c r="AK25" i="1" a="1"/>
  <c r="AK25" i="1" s="1"/>
  <c r="AC25" i="1" a="1"/>
  <c r="AC25" i="1" s="1"/>
  <c r="Y25" i="1" a="1"/>
  <c r="Y25" i="1" s="1"/>
  <c r="S25" i="1" a="1"/>
  <c r="S25" i="1" s="1"/>
  <c r="U25" i="1" a="1"/>
  <c r="U25" i="1" s="1"/>
  <c r="W25" i="1" a="1"/>
  <c r="W25" i="1" s="1"/>
  <c r="N25" i="1" a="1"/>
  <c r="N25" i="1" s="1"/>
  <c r="BD25" i="1" a="1"/>
  <c r="BD25" i="1" s="1"/>
  <c r="AS25" i="1" a="1"/>
  <c r="AS25" i="1" s="1"/>
  <c r="AT25" i="1" s="1"/>
  <c r="AI25" i="1" a="1"/>
  <c r="AI25" i="1" s="1"/>
  <c r="Z25" i="1" a="1"/>
  <c r="Z25" i="1" s="1"/>
  <c r="AA25" i="1" s="1"/>
  <c r="T25" i="1" a="1"/>
  <c r="T25" i="1" s="1"/>
  <c r="O25" i="1" a="1"/>
  <c r="O25" i="1" s="1"/>
  <c r="J25" i="1" a="1"/>
  <c r="J25" i="1" s="1"/>
  <c r="AD25" i="1" a="1"/>
  <c r="AD25" i="1" s="1"/>
  <c r="R25" i="1" a="1"/>
  <c r="R25" i="1" s="1"/>
  <c r="V25" i="1" a="1"/>
  <c r="V25" i="1" s="1"/>
  <c r="K25" i="1" a="1"/>
  <c r="K25" i="1" s="1"/>
  <c r="AA24" i="1"/>
  <c r="L24" i="1"/>
  <c r="AE24" i="1"/>
  <c r="AB24" i="1" s="1"/>
  <c r="I23" i="1"/>
  <c r="Q23" i="1" a="1"/>
  <c r="Q23" i="1" s="1"/>
  <c r="AO23" i="1" s="1"/>
  <c r="B26" i="1"/>
  <c r="A25" i="1"/>
  <c r="L25" i="1" l="1"/>
  <c r="P25" i="1"/>
  <c r="M25" i="1" s="1"/>
  <c r="D26" i="1"/>
  <c r="E26" i="1"/>
  <c r="C26" i="1"/>
  <c r="AP26" i="1" s="1"/>
  <c r="AE25" i="1"/>
  <c r="AB25" i="1" s="1"/>
  <c r="G26" i="1" a="1"/>
  <c r="G26" i="1" s="1"/>
  <c r="BA26" i="1" a="1"/>
  <c r="BA26" i="1" s="1"/>
  <c r="BC26" i="1" a="1"/>
  <c r="BC26" i="1" s="1"/>
  <c r="BE26" i="1" a="1"/>
  <c r="BE26" i="1" s="1"/>
  <c r="AW26" i="1" a="1"/>
  <c r="AW26" i="1" s="1"/>
  <c r="AS26" i="1" a="1"/>
  <c r="AS26" i="1" s="1"/>
  <c r="AH26" i="1" a="1"/>
  <c r="AH26" i="1" s="1"/>
  <c r="AJ26" i="1" a="1"/>
  <c r="AJ26" i="1" s="1"/>
  <c r="AL26" i="1" a="1"/>
  <c r="AL26" i="1" s="1"/>
  <c r="BD26" i="1" a="1"/>
  <c r="BD26" i="1" s="1"/>
  <c r="AR26" i="1" a="1"/>
  <c r="AR26" i="1" s="1"/>
  <c r="AI26" i="1" a="1"/>
  <c r="AI26" i="1" s="1"/>
  <c r="AD26" i="1" a="1"/>
  <c r="AD26" i="1" s="1"/>
  <c r="Z26" i="1" a="1"/>
  <c r="Z26" i="1" s="1"/>
  <c r="S26" i="1" a="1"/>
  <c r="S26" i="1" s="1"/>
  <c r="U26" i="1" a="1"/>
  <c r="U26" i="1" s="1"/>
  <c r="W26" i="1" a="1"/>
  <c r="W26" i="1" s="1"/>
  <c r="O26" i="1" a="1"/>
  <c r="O26" i="1" s="1"/>
  <c r="K26" i="1" a="1"/>
  <c r="K26" i="1" s="1"/>
  <c r="J26" i="1" a="1"/>
  <c r="J26" i="1" s="1"/>
  <c r="F26" i="1" a="1"/>
  <c r="F26" i="1" s="1"/>
  <c r="H26" i="1" s="1"/>
  <c r="BB26" i="1" a="1"/>
  <c r="BB26" i="1" s="1"/>
  <c r="BF26" i="1" a="1"/>
  <c r="BF26" i="1" s="1"/>
  <c r="AV26" i="1" a="1"/>
  <c r="AV26" i="1" s="1"/>
  <c r="AK26" i="1" a="1"/>
  <c r="AK26" i="1" s="1"/>
  <c r="AC26" i="1" a="1"/>
  <c r="AC26" i="1" s="1"/>
  <c r="R26" i="1" a="1"/>
  <c r="R26" i="1" s="1"/>
  <c r="V26" i="1" a="1"/>
  <c r="V26" i="1" s="1"/>
  <c r="AG26" i="1" a="1"/>
  <c r="AG26" i="1" s="1"/>
  <c r="Y26" i="1" a="1"/>
  <c r="Y26" i="1" s="1"/>
  <c r="T26" i="1" a="1"/>
  <c r="T26" i="1" s="1"/>
  <c r="N26" i="1" a="1"/>
  <c r="N26" i="1" s="1"/>
  <c r="Q24" i="1" a="1"/>
  <c r="Q24" i="1" s="1"/>
  <c r="I24" i="1"/>
  <c r="I25" i="1"/>
  <c r="X24" i="1"/>
  <c r="AF24" i="1"/>
  <c r="X25" i="1"/>
  <c r="H25" i="1"/>
  <c r="AY25" i="1" s="1"/>
  <c r="B27" i="1"/>
  <c r="A26" i="1"/>
  <c r="D27" i="1" l="1"/>
  <c r="E27" i="1"/>
  <c r="C27" i="1"/>
  <c r="AP27" i="1" s="1"/>
  <c r="AF25" i="1"/>
  <c r="Q25" i="1" a="1"/>
  <c r="Q25" i="1" s="1"/>
  <c r="AT26" i="1"/>
  <c r="AX26" i="1"/>
  <c r="L26" i="1"/>
  <c r="F27" i="1" a="1"/>
  <c r="F27" i="1" s="1"/>
  <c r="BA27" i="1" a="1"/>
  <c r="BA27" i="1" s="1"/>
  <c r="BC27" i="1" a="1"/>
  <c r="BC27" i="1" s="1"/>
  <c r="BE27" i="1" a="1"/>
  <c r="BE27" i="1" s="1"/>
  <c r="AV27" i="1" a="1"/>
  <c r="AV27" i="1" s="1"/>
  <c r="AR27" i="1" a="1"/>
  <c r="AR27" i="1" s="1"/>
  <c r="AH27" i="1" a="1"/>
  <c r="AH27" i="1" s="1"/>
  <c r="AJ27" i="1" a="1"/>
  <c r="AJ27" i="1" s="1"/>
  <c r="AL27" i="1" a="1"/>
  <c r="AL27" i="1" s="1"/>
  <c r="BB27" i="1" a="1"/>
  <c r="BB27" i="1" s="1"/>
  <c r="BF27" i="1" a="1"/>
  <c r="BF27" i="1" s="1"/>
  <c r="AS27" i="1" a="1"/>
  <c r="AS27" i="1" s="1"/>
  <c r="AT27" i="1" s="1"/>
  <c r="AG27" i="1" a="1"/>
  <c r="AG27" i="1" s="1"/>
  <c r="AK27" i="1" a="1"/>
  <c r="AK27" i="1" s="1"/>
  <c r="AC27" i="1" a="1"/>
  <c r="AC27" i="1" s="1"/>
  <c r="Y27" i="1" a="1"/>
  <c r="Y27" i="1" s="1"/>
  <c r="S27" i="1" a="1"/>
  <c r="S27" i="1" s="1"/>
  <c r="U27" i="1" a="1"/>
  <c r="U27" i="1" s="1"/>
  <c r="W27" i="1" a="1"/>
  <c r="W27" i="1" s="1"/>
  <c r="N27" i="1" a="1"/>
  <c r="N27" i="1" s="1"/>
  <c r="G27" i="1" a="1"/>
  <c r="G27" i="1" s="1"/>
  <c r="BD27" i="1" a="1"/>
  <c r="BD27" i="1" s="1"/>
  <c r="AW27" i="1" a="1"/>
  <c r="AW27" i="1" s="1"/>
  <c r="AX27" i="1" s="1"/>
  <c r="AD27" i="1" a="1"/>
  <c r="AD27" i="1" s="1"/>
  <c r="T27" i="1" a="1"/>
  <c r="T27" i="1" s="1"/>
  <c r="K27" i="1" a="1"/>
  <c r="K27" i="1" s="1"/>
  <c r="AI27" i="1" a="1"/>
  <c r="AI27" i="1" s="1"/>
  <c r="Z27" i="1" a="1"/>
  <c r="Z27" i="1" s="1"/>
  <c r="AA27" i="1" s="1"/>
  <c r="R27" i="1" a="1"/>
  <c r="R27" i="1" s="1"/>
  <c r="V27" i="1" a="1"/>
  <c r="V27" i="1" s="1"/>
  <c r="O27" i="1" a="1"/>
  <c r="O27" i="1" s="1"/>
  <c r="J27" i="1" a="1"/>
  <c r="J27" i="1" s="1"/>
  <c r="AO25" i="1"/>
  <c r="AO24" i="1"/>
  <c r="I26" i="1"/>
  <c r="AE26" i="1"/>
  <c r="AB26" i="1" s="1"/>
  <c r="P26" i="1"/>
  <c r="M26" i="1" s="1"/>
  <c r="AA26" i="1"/>
  <c r="B28" i="1"/>
  <c r="A27" i="1"/>
  <c r="P27" i="1" l="1"/>
  <c r="M27" i="1" s="1"/>
  <c r="D28" i="1"/>
  <c r="E28" i="1"/>
  <c r="C28" i="1"/>
  <c r="AP28" i="1" s="1"/>
  <c r="AY26" i="1"/>
  <c r="AE27" i="1"/>
  <c r="AB27" i="1" s="1"/>
  <c r="X27" i="1"/>
  <c r="L27" i="1"/>
  <c r="G28" i="1" a="1"/>
  <c r="G28" i="1" s="1"/>
  <c r="BA28" i="1" a="1"/>
  <c r="BA28" i="1" s="1"/>
  <c r="BC28" i="1" a="1"/>
  <c r="BC28" i="1" s="1"/>
  <c r="BE28" i="1" a="1"/>
  <c r="BE28" i="1" s="1"/>
  <c r="AW28" i="1" a="1"/>
  <c r="AW28" i="1" s="1"/>
  <c r="AS28" i="1" a="1"/>
  <c r="AS28" i="1" s="1"/>
  <c r="AH28" i="1" a="1"/>
  <c r="AH28" i="1" s="1"/>
  <c r="AJ28" i="1" a="1"/>
  <c r="AJ28" i="1" s="1"/>
  <c r="AL28" i="1" a="1"/>
  <c r="AL28" i="1" s="1"/>
  <c r="F28" i="1" a="1"/>
  <c r="F28" i="1" s="1"/>
  <c r="H28" i="1" s="1"/>
  <c r="BD28" i="1" a="1"/>
  <c r="BD28" i="1" s="1"/>
  <c r="AV28" i="1" a="1"/>
  <c r="AV28" i="1" s="1"/>
  <c r="AI28" i="1" a="1"/>
  <c r="AI28" i="1" s="1"/>
  <c r="AD28" i="1" a="1"/>
  <c r="AD28" i="1" s="1"/>
  <c r="Z28" i="1" a="1"/>
  <c r="Z28" i="1" s="1"/>
  <c r="S28" i="1" a="1"/>
  <c r="S28" i="1" s="1"/>
  <c r="U28" i="1" a="1"/>
  <c r="U28" i="1" s="1"/>
  <c r="W28" i="1" a="1"/>
  <c r="W28" i="1" s="1"/>
  <c r="O28" i="1" a="1"/>
  <c r="O28" i="1" s="1"/>
  <c r="K28" i="1" a="1"/>
  <c r="K28" i="1" s="1"/>
  <c r="J28" i="1" a="1"/>
  <c r="J28" i="1" s="1"/>
  <c r="BB28" i="1" a="1"/>
  <c r="BB28" i="1" s="1"/>
  <c r="BF28" i="1" a="1"/>
  <c r="BF28" i="1" s="1"/>
  <c r="AR28" i="1" a="1"/>
  <c r="AR28" i="1" s="1"/>
  <c r="AG28" i="1" a="1"/>
  <c r="AG28" i="1" s="1"/>
  <c r="Y28" i="1" a="1"/>
  <c r="Y28" i="1" s="1"/>
  <c r="R28" i="1" a="1"/>
  <c r="R28" i="1" s="1"/>
  <c r="V28" i="1" a="1"/>
  <c r="V28" i="1" s="1"/>
  <c r="N28" i="1" a="1"/>
  <c r="N28" i="1" s="1"/>
  <c r="AK28" i="1" a="1"/>
  <c r="AK28" i="1" s="1"/>
  <c r="AC28" i="1" a="1"/>
  <c r="AC28" i="1" s="1"/>
  <c r="T28" i="1" a="1"/>
  <c r="T28" i="1" s="1"/>
  <c r="X26" i="1"/>
  <c r="AF26" i="1"/>
  <c r="Q26" i="1" a="1"/>
  <c r="Q26" i="1" s="1"/>
  <c r="H27" i="1"/>
  <c r="AF27" i="1" s="1"/>
  <c r="B29" i="1"/>
  <c r="A28" i="1"/>
  <c r="D29" i="1" l="1"/>
  <c r="E29" i="1"/>
  <c r="C29" i="1"/>
  <c r="AP29" i="1" s="1"/>
  <c r="AX28" i="1"/>
  <c r="AT28" i="1"/>
  <c r="AY27" i="1"/>
  <c r="AO26" i="1"/>
  <c r="AA28" i="1"/>
  <c r="F29" i="1" a="1"/>
  <c r="F29" i="1" s="1"/>
  <c r="BA29" i="1" a="1"/>
  <c r="BA29" i="1" s="1"/>
  <c r="BC29" i="1" a="1"/>
  <c r="BC29" i="1" s="1"/>
  <c r="BE29" i="1" a="1"/>
  <c r="BE29" i="1" s="1"/>
  <c r="AV29" i="1" a="1"/>
  <c r="AV29" i="1" s="1"/>
  <c r="AR29" i="1" a="1"/>
  <c r="AR29" i="1" s="1"/>
  <c r="AH29" i="1" a="1"/>
  <c r="AH29" i="1" s="1"/>
  <c r="AJ29" i="1" a="1"/>
  <c r="AJ29" i="1" s="1"/>
  <c r="AL29" i="1" a="1"/>
  <c r="AL29" i="1" s="1"/>
  <c r="G29" i="1" a="1"/>
  <c r="G29" i="1" s="1"/>
  <c r="BB29" i="1" a="1"/>
  <c r="BB29" i="1" s="1"/>
  <c r="BF29" i="1" a="1"/>
  <c r="BF29" i="1" s="1"/>
  <c r="AW29" i="1" a="1"/>
  <c r="AW29" i="1" s="1"/>
  <c r="AX29" i="1" s="1"/>
  <c r="AG29" i="1" a="1"/>
  <c r="AG29" i="1" s="1"/>
  <c r="AK29" i="1" a="1"/>
  <c r="AK29" i="1" s="1"/>
  <c r="AC29" i="1" a="1"/>
  <c r="AC29" i="1" s="1"/>
  <c r="Y29" i="1" a="1"/>
  <c r="Y29" i="1" s="1"/>
  <c r="S29" i="1" a="1"/>
  <c r="S29" i="1" s="1"/>
  <c r="U29" i="1" a="1"/>
  <c r="U29" i="1" s="1"/>
  <c r="W29" i="1" a="1"/>
  <c r="W29" i="1" s="1"/>
  <c r="N29" i="1" a="1"/>
  <c r="N29" i="1" s="1"/>
  <c r="BD29" i="1" a="1"/>
  <c r="BD29" i="1" s="1"/>
  <c r="AS29" i="1" a="1"/>
  <c r="AS29" i="1" s="1"/>
  <c r="AI29" i="1" a="1"/>
  <c r="AI29" i="1" s="1"/>
  <c r="Z29" i="1" a="1"/>
  <c r="Z29" i="1" s="1"/>
  <c r="T29" i="1" a="1"/>
  <c r="T29" i="1" s="1"/>
  <c r="O29" i="1" a="1"/>
  <c r="O29" i="1" s="1"/>
  <c r="P29" i="1" s="1"/>
  <c r="M29" i="1" s="1"/>
  <c r="J29" i="1" a="1"/>
  <c r="J29" i="1" s="1"/>
  <c r="AD29" i="1" a="1"/>
  <c r="AD29" i="1" s="1"/>
  <c r="R29" i="1" a="1"/>
  <c r="R29" i="1" s="1"/>
  <c r="V29" i="1" a="1"/>
  <c r="V29" i="1" s="1"/>
  <c r="K29" i="1" a="1"/>
  <c r="K29" i="1" s="1"/>
  <c r="L29" i="1" s="1"/>
  <c r="L28" i="1"/>
  <c r="AE28" i="1"/>
  <c r="AB28" i="1" s="1"/>
  <c r="P28" i="1"/>
  <c r="M28" i="1" s="1"/>
  <c r="X28" i="1"/>
  <c r="I27" i="1"/>
  <c r="Q27" i="1" a="1"/>
  <c r="Q27" i="1" s="1"/>
  <c r="AO27" i="1" s="1"/>
  <c r="B30" i="1"/>
  <c r="A29" i="1"/>
  <c r="AT29" i="1" l="1"/>
  <c r="D30" i="1"/>
  <c r="E30" i="1"/>
  <c r="C30" i="1"/>
  <c r="AP30" i="1" s="1"/>
  <c r="AY28" i="1"/>
  <c r="AA29" i="1"/>
  <c r="G30" i="1" a="1"/>
  <c r="G30" i="1" s="1"/>
  <c r="BA30" i="1" a="1"/>
  <c r="BA30" i="1" s="1"/>
  <c r="BC30" i="1" a="1"/>
  <c r="BC30" i="1" s="1"/>
  <c r="BE30" i="1" a="1"/>
  <c r="BE30" i="1" s="1"/>
  <c r="AW30" i="1" a="1"/>
  <c r="AW30" i="1" s="1"/>
  <c r="AS30" i="1" a="1"/>
  <c r="AS30" i="1" s="1"/>
  <c r="AH30" i="1" a="1"/>
  <c r="AH30" i="1" s="1"/>
  <c r="AJ30" i="1" a="1"/>
  <c r="AJ30" i="1" s="1"/>
  <c r="AL30" i="1" a="1"/>
  <c r="AL30" i="1" s="1"/>
  <c r="BD30" i="1" a="1"/>
  <c r="BD30" i="1" s="1"/>
  <c r="AR30" i="1" a="1"/>
  <c r="AR30" i="1" s="1"/>
  <c r="AI30" i="1" a="1"/>
  <c r="AI30" i="1" s="1"/>
  <c r="AD30" i="1" a="1"/>
  <c r="AD30" i="1" s="1"/>
  <c r="Z30" i="1" a="1"/>
  <c r="Z30" i="1" s="1"/>
  <c r="S30" i="1" a="1"/>
  <c r="S30" i="1" s="1"/>
  <c r="U30" i="1" a="1"/>
  <c r="U30" i="1" s="1"/>
  <c r="W30" i="1" a="1"/>
  <c r="W30" i="1" s="1"/>
  <c r="O30" i="1" a="1"/>
  <c r="O30" i="1" s="1"/>
  <c r="K30" i="1" a="1"/>
  <c r="K30" i="1" s="1"/>
  <c r="J30" i="1" a="1"/>
  <c r="J30" i="1" s="1"/>
  <c r="F30" i="1" a="1"/>
  <c r="F30" i="1" s="1"/>
  <c r="H30" i="1" s="1"/>
  <c r="BB30" i="1" a="1"/>
  <c r="BB30" i="1" s="1"/>
  <c r="BF30" i="1" a="1"/>
  <c r="BF30" i="1" s="1"/>
  <c r="AV30" i="1" a="1"/>
  <c r="AV30" i="1" s="1"/>
  <c r="AK30" i="1" a="1"/>
  <c r="AK30" i="1" s="1"/>
  <c r="AC30" i="1" a="1"/>
  <c r="AC30" i="1" s="1"/>
  <c r="R30" i="1" a="1"/>
  <c r="R30" i="1" s="1"/>
  <c r="V30" i="1" a="1"/>
  <c r="V30" i="1" s="1"/>
  <c r="AG30" i="1" a="1"/>
  <c r="AG30" i="1" s="1"/>
  <c r="Y30" i="1" a="1"/>
  <c r="Y30" i="1" s="1"/>
  <c r="T30" i="1" a="1"/>
  <c r="T30" i="1" s="1"/>
  <c r="N30" i="1" a="1"/>
  <c r="N30" i="1" s="1"/>
  <c r="I29" i="1"/>
  <c r="AF28" i="1"/>
  <c r="Q28" i="1" a="1"/>
  <c r="Q28" i="1" s="1"/>
  <c r="I28" i="1"/>
  <c r="AE29" i="1"/>
  <c r="AB29" i="1" s="1"/>
  <c r="X29" i="1"/>
  <c r="H29" i="1"/>
  <c r="Q29" i="1" s="1" a="1"/>
  <c r="Q29" i="1" s="1"/>
  <c r="B31" i="1"/>
  <c r="A30" i="1"/>
  <c r="D31" i="1" l="1"/>
  <c r="E31" i="1"/>
  <c r="C31" i="1"/>
  <c r="AP31" i="1" s="1"/>
  <c r="AT30" i="1"/>
  <c r="AX30" i="1"/>
  <c r="AY29" i="1"/>
  <c r="P30" i="1"/>
  <c r="M30" i="1" s="1"/>
  <c r="AA30" i="1"/>
  <c r="F31" i="1" a="1"/>
  <c r="F31" i="1" s="1"/>
  <c r="BA31" i="1" a="1"/>
  <c r="BA31" i="1" s="1"/>
  <c r="BC31" i="1" a="1"/>
  <c r="BC31" i="1" s="1"/>
  <c r="BE31" i="1" a="1"/>
  <c r="BE31" i="1" s="1"/>
  <c r="AV31" i="1" a="1"/>
  <c r="AV31" i="1" s="1"/>
  <c r="AR31" i="1" a="1"/>
  <c r="AR31" i="1" s="1"/>
  <c r="AH31" i="1" a="1"/>
  <c r="AH31" i="1" s="1"/>
  <c r="AJ31" i="1" a="1"/>
  <c r="AJ31" i="1" s="1"/>
  <c r="AL31" i="1" a="1"/>
  <c r="AL31" i="1" s="1"/>
  <c r="BB31" i="1" a="1"/>
  <c r="BB31" i="1" s="1"/>
  <c r="BF31" i="1" a="1"/>
  <c r="BF31" i="1" s="1"/>
  <c r="AS31" i="1" a="1"/>
  <c r="AS31" i="1" s="1"/>
  <c r="AT31" i="1" s="1"/>
  <c r="AG31" i="1" a="1"/>
  <c r="AG31" i="1" s="1"/>
  <c r="AK31" i="1" a="1"/>
  <c r="AK31" i="1" s="1"/>
  <c r="AC31" i="1" a="1"/>
  <c r="AC31" i="1" s="1"/>
  <c r="Y31" i="1" a="1"/>
  <c r="Y31" i="1" s="1"/>
  <c r="S31" i="1" a="1"/>
  <c r="S31" i="1" s="1"/>
  <c r="U31" i="1" a="1"/>
  <c r="U31" i="1" s="1"/>
  <c r="W31" i="1" a="1"/>
  <c r="W31" i="1" s="1"/>
  <c r="N31" i="1" a="1"/>
  <c r="N31" i="1" s="1"/>
  <c r="G31" i="1" a="1"/>
  <c r="G31" i="1" s="1"/>
  <c r="BD31" i="1" a="1"/>
  <c r="BD31" i="1" s="1"/>
  <c r="AW31" i="1" a="1"/>
  <c r="AW31" i="1" s="1"/>
  <c r="AX31" i="1" s="1"/>
  <c r="AD31" i="1" a="1"/>
  <c r="AD31" i="1" s="1"/>
  <c r="T31" i="1" a="1"/>
  <c r="T31" i="1" s="1"/>
  <c r="K31" i="1" a="1"/>
  <c r="K31" i="1" s="1"/>
  <c r="AI31" i="1" a="1"/>
  <c r="AI31" i="1" s="1"/>
  <c r="Z31" i="1" a="1"/>
  <c r="Z31" i="1" s="1"/>
  <c r="AA31" i="1" s="1"/>
  <c r="R31" i="1" a="1"/>
  <c r="R31" i="1" s="1"/>
  <c r="V31" i="1" a="1"/>
  <c r="V31" i="1" s="1"/>
  <c r="O31" i="1" a="1"/>
  <c r="O31" i="1" s="1"/>
  <c r="J31" i="1" a="1"/>
  <c r="J31" i="1" s="1"/>
  <c r="AF29" i="1"/>
  <c r="AO29" i="1" s="1"/>
  <c r="AO28" i="1"/>
  <c r="L30" i="1"/>
  <c r="AE30" i="1"/>
  <c r="AB30" i="1" s="1"/>
  <c r="B32" i="1"/>
  <c r="A31" i="1"/>
  <c r="D32" i="1" l="1"/>
  <c r="E32" i="1"/>
  <c r="C32" i="1"/>
  <c r="AP32" i="1" s="1"/>
  <c r="AY30" i="1"/>
  <c r="AE31" i="1"/>
  <c r="AB31" i="1" s="1"/>
  <c r="L31" i="1"/>
  <c r="G32" i="1" a="1"/>
  <c r="G32" i="1" s="1"/>
  <c r="BA32" i="1" a="1"/>
  <c r="BA32" i="1" s="1"/>
  <c r="BC32" i="1" a="1"/>
  <c r="BC32" i="1" s="1"/>
  <c r="BE32" i="1" a="1"/>
  <c r="BE32" i="1" s="1"/>
  <c r="AW32" i="1" a="1"/>
  <c r="AW32" i="1" s="1"/>
  <c r="AS32" i="1" a="1"/>
  <c r="AS32" i="1" s="1"/>
  <c r="AH32" i="1" a="1"/>
  <c r="AH32" i="1" s="1"/>
  <c r="AJ32" i="1" a="1"/>
  <c r="AJ32" i="1" s="1"/>
  <c r="AL32" i="1" a="1"/>
  <c r="AL32" i="1" s="1"/>
  <c r="F32" i="1" a="1"/>
  <c r="F32" i="1" s="1"/>
  <c r="BD32" i="1" a="1"/>
  <c r="BD32" i="1" s="1"/>
  <c r="AV32" i="1" a="1"/>
  <c r="AV32" i="1" s="1"/>
  <c r="AI32" i="1" a="1"/>
  <c r="AI32" i="1" s="1"/>
  <c r="AD32" i="1" a="1"/>
  <c r="AD32" i="1" s="1"/>
  <c r="Z32" i="1" a="1"/>
  <c r="Z32" i="1" s="1"/>
  <c r="S32" i="1" a="1"/>
  <c r="S32" i="1" s="1"/>
  <c r="U32" i="1" a="1"/>
  <c r="U32" i="1" s="1"/>
  <c r="W32" i="1" a="1"/>
  <c r="W32" i="1" s="1"/>
  <c r="O32" i="1" a="1"/>
  <c r="O32" i="1" s="1"/>
  <c r="K32" i="1" a="1"/>
  <c r="K32" i="1" s="1"/>
  <c r="J32" i="1" a="1"/>
  <c r="J32" i="1" s="1"/>
  <c r="BB32" i="1" a="1"/>
  <c r="BB32" i="1" s="1"/>
  <c r="BF32" i="1" a="1"/>
  <c r="BF32" i="1" s="1"/>
  <c r="AG32" i="1" a="1"/>
  <c r="AG32" i="1" s="1"/>
  <c r="Y32" i="1" a="1"/>
  <c r="Y32" i="1" s="1"/>
  <c r="R32" i="1" a="1"/>
  <c r="R32" i="1" s="1"/>
  <c r="V32" i="1" a="1"/>
  <c r="V32" i="1" s="1"/>
  <c r="N32" i="1" a="1"/>
  <c r="N32" i="1" s="1"/>
  <c r="AR32" i="1" a="1"/>
  <c r="AR32" i="1" s="1"/>
  <c r="AK32" i="1" a="1"/>
  <c r="AK32" i="1" s="1"/>
  <c r="AC32" i="1" a="1"/>
  <c r="AC32" i="1" s="1"/>
  <c r="T32" i="1" a="1"/>
  <c r="T32" i="1" s="1"/>
  <c r="Q30" i="1" a="1"/>
  <c r="Q30" i="1" s="1"/>
  <c r="I30" i="1"/>
  <c r="P31" i="1"/>
  <c r="M31" i="1" s="1"/>
  <c r="H31" i="1"/>
  <c r="AY31" i="1" s="1"/>
  <c r="X31" i="1"/>
  <c r="AF31" i="1"/>
  <c r="X30" i="1"/>
  <c r="AF30" i="1"/>
  <c r="B33" i="1"/>
  <c r="A32" i="1"/>
  <c r="D33" i="1" l="1"/>
  <c r="E33" i="1"/>
  <c r="C33" i="1"/>
  <c r="AP33" i="1" s="1"/>
  <c r="H32" i="1"/>
  <c r="AT32" i="1"/>
  <c r="AX32" i="1"/>
  <c r="P32" i="1"/>
  <c r="M32" i="1" s="1"/>
  <c r="AA32" i="1"/>
  <c r="AO30" i="1"/>
  <c r="F33" i="1" a="1"/>
  <c r="F33" i="1" s="1"/>
  <c r="BA33" i="1" a="1"/>
  <c r="BA33" i="1" s="1"/>
  <c r="BC33" i="1" a="1"/>
  <c r="BC33" i="1" s="1"/>
  <c r="BE33" i="1" a="1"/>
  <c r="BE33" i="1" s="1"/>
  <c r="AV33" i="1" a="1"/>
  <c r="AV33" i="1" s="1"/>
  <c r="AR33" i="1" a="1"/>
  <c r="AR33" i="1" s="1"/>
  <c r="AH33" i="1" a="1"/>
  <c r="AH33" i="1" s="1"/>
  <c r="AJ33" i="1" a="1"/>
  <c r="AJ33" i="1" s="1"/>
  <c r="AL33" i="1" a="1"/>
  <c r="AL33" i="1" s="1"/>
  <c r="G33" i="1" a="1"/>
  <c r="G33" i="1" s="1"/>
  <c r="BB33" i="1" a="1"/>
  <c r="BB33" i="1" s="1"/>
  <c r="BF33" i="1" a="1"/>
  <c r="BF33" i="1" s="1"/>
  <c r="AW33" i="1" a="1"/>
  <c r="AW33" i="1" s="1"/>
  <c r="AX33" i="1" s="1"/>
  <c r="AG33" i="1" a="1"/>
  <c r="AG33" i="1" s="1"/>
  <c r="AK33" i="1" a="1"/>
  <c r="AK33" i="1" s="1"/>
  <c r="AC33" i="1" a="1"/>
  <c r="AC33" i="1" s="1"/>
  <c r="Y33" i="1" a="1"/>
  <c r="Y33" i="1" s="1"/>
  <c r="S33" i="1" a="1"/>
  <c r="S33" i="1" s="1"/>
  <c r="U33" i="1" a="1"/>
  <c r="U33" i="1" s="1"/>
  <c r="W33" i="1" a="1"/>
  <c r="W33" i="1" s="1"/>
  <c r="N33" i="1" a="1"/>
  <c r="N33" i="1" s="1"/>
  <c r="BD33" i="1" a="1"/>
  <c r="BD33" i="1" s="1"/>
  <c r="AS33" i="1" a="1"/>
  <c r="AS33" i="1" s="1"/>
  <c r="AT33" i="1" s="1"/>
  <c r="AI33" i="1" a="1"/>
  <c r="AI33" i="1" s="1"/>
  <c r="Z33" i="1" a="1"/>
  <c r="Z33" i="1" s="1"/>
  <c r="T33" i="1" a="1"/>
  <c r="T33" i="1" s="1"/>
  <c r="O33" i="1" a="1"/>
  <c r="O33" i="1" s="1"/>
  <c r="J33" i="1" a="1"/>
  <c r="J33" i="1" s="1"/>
  <c r="AD33" i="1" a="1"/>
  <c r="AD33" i="1" s="1"/>
  <c r="R33" i="1" a="1"/>
  <c r="R33" i="1" s="1"/>
  <c r="V33" i="1" a="1"/>
  <c r="V33" i="1" s="1"/>
  <c r="K33" i="1" a="1"/>
  <c r="K33" i="1" s="1"/>
  <c r="L33" i="1" s="1"/>
  <c r="L32" i="1"/>
  <c r="AE32" i="1"/>
  <c r="AB32" i="1" s="1"/>
  <c r="I31" i="1"/>
  <c r="Q31" i="1" a="1"/>
  <c r="Q31" i="1" s="1"/>
  <c r="AO31" i="1" s="1"/>
  <c r="B34" i="1"/>
  <c r="A33" i="1"/>
  <c r="P33" i="1" l="1"/>
  <c r="M33" i="1" s="1"/>
  <c r="AA33" i="1"/>
  <c r="AE33" i="1"/>
  <c r="AB33" i="1" s="1"/>
  <c r="D34" i="1"/>
  <c r="E34" i="1"/>
  <c r="C34" i="1"/>
  <c r="AP34" i="1" s="1"/>
  <c r="AY32" i="1"/>
  <c r="G34" i="1" a="1"/>
  <c r="G34" i="1" s="1"/>
  <c r="BA34" i="1" a="1"/>
  <c r="BA34" i="1" s="1"/>
  <c r="BC34" i="1" a="1"/>
  <c r="BC34" i="1" s="1"/>
  <c r="BE34" i="1" a="1"/>
  <c r="BE34" i="1" s="1"/>
  <c r="AW34" i="1" a="1"/>
  <c r="AW34" i="1" s="1"/>
  <c r="AS34" i="1" a="1"/>
  <c r="AS34" i="1" s="1"/>
  <c r="AH34" i="1" a="1"/>
  <c r="AH34" i="1" s="1"/>
  <c r="AJ34" i="1" a="1"/>
  <c r="AJ34" i="1" s="1"/>
  <c r="AL34" i="1" a="1"/>
  <c r="AL34" i="1" s="1"/>
  <c r="BD34" i="1" a="1"/>
  <c r="BD34" i="1" s="1"/>
  <c r="AR34" i="1" a="1"/>
  <c r="AR34" i="1" s="1"/>
  <c r="AI34" i="1" a="1"/>
  <c r="AI34" i="1" s="1"/>
  <c r="AD34" i="1" a="1"/>
  <c r="AD34" i="1" s="1"/>
  <c r="Z34" i="1" a="1"/>
  <c r="Z34" i="1" s="1"/>
  <c r="S34" i="1" a="1"/>
  <c r="S34" i="1" s="1"/>
  <c r="U34" i="1" a="1"/>
  <c r="U34" i="1" s="1"/>
  <c r="W34" i="1" a="1"/>
  <c r="W34" i="1" s="1"/>
  <c r="O34" i="1" a="1"/>
  <c r="O34" i="1" s="1"/>
  <c r="K34" i="1" a="1"/>
  <c r="K34" i="1" s="1"/>
  <c r="J34" i="1" a="1"/>
  <c r="J34" i="1" s="1"/>
  <c r="F34" i="1" a="1"/>
  <c r="F34" i="1" s="1"/>
  <c r="H34" i="1" s="1"/>
  <c r="BB34" i="1" a="1"/>
  <c r="BB34" i="1" s="1"/>
  <c r="BF34" i="1" a="1"/>
  <c r="BF34" i="1" s="1"/>
  <c r="AV34" i="1" a="1"/>
  <c r="AV34" i="1" s="1"/>
  <c r="AK34" i="1" a="1"/>
  <c r="AK34" i="1" s="1"/>
  <c r="AC34" i="1" a="1"/>
  <c r="AC34" i="1" s="1"/>
  <c r="R34" i="1" a="1"/>
  <c r="R34" i="1" s="1"/>
  <c r="V34" i="1" a="1"/>
  <c r="V34" i="1" s="1"/>
  <c r="AG34" i="1" a="1"/>
  <c r="AG34" i="1" s="1"/>
  <c r="Y34" i="1" a="1"/>
  <c r="Y34" i="1" s="1"/>
  <c r="T34" i="1" a="1"/>
  <c r="T34" i="1" s="1"/>
  <c r="N34" i="1" a="1"/>
  <c r="N34" i="1" s="1"/>
  <c r="Q32" i="1" a="1"/>
  <c r="Q32" i="1" s="1"/>
  <c r="I32" i="1"/>
  <c r="X33" i="1"/>
  <c r="H33" i="1"/>
  <c r="X32" i="1"/>
  <c r="AF32" i="1"/>
  <c r="I33" i="1"/>
  <c r="Q33" i="1" a="1"/>
  <c r="Q33" i="1" s="1"/>
  <c r="B35" i="1"/>
  <c r="A34" i="1"/>
  <c r="AF33" i="1" l="1"/>
  <c r="D35" i="1"/>
  <c r="E35" i="1"/>
  <c r="C35" i="1"/>
  <c r="AP35" i="1" s="1"/>
  <c r="AT34" i="1"/>
  <c r="AX34" i="1"/>
  <c r="AY33" i="1"/>
  <c r="L34" i="1"/>
  <c r="AE34" i="1"/>
  <c r="AB34" i="1" s="1"/>
  <c r="BB35" i="1" a="1"/>
  <c r="BB35" i="1" s="1"/>
  <c r="F35" i="1" a="1"/>
  <c r="F35" i="1" s="1"/>
  <c r="BA35" i="1" a="1"/>
  <c r="BA35" i="1" s="1"/>
  <c r="BD35" i="1" a="1"/>
  <c r="BD35" i="1" s="1"/>
  <c r="BF35" i="1" a="1"/>
  <c r="BF35" i="1" s="1"/>
  <c r="AV35" i="1" a="1"/>
  <c r="AV35" i="1" s="1"/>
  <c r="AR35" i="1" a="1"/>
  <c r="AR35" i="1" s="1"/>
  <c r="AH35" i="1" a="1"/>
  <c r="AH35" i="1" s="1"/>
  <c r="AJ35" i="1" a="1"/>
  <c r="AJ35" i="1" s="1"/>
  <c r="AL35" i="1" a="1"/>
  <c r="AL35" i="1" s="1"/>
  <c r="BC35" i="1" a="1"/>
  <c r="BC35" i="1" s="1"/>
  <c r="AS35" i="1" a="1"/>
  <c r="AS35" i="1" s="1"/>
  <c r="AG35" i="1" a="1"/>
  <c r="AG35" i="1" s="1"/>
  <c r="AK35" i="1" a="1"/>
  <c r="AK35" i="1" s="1"/>
  <c r="AC35" i="1" a="1"/>
  <c r="AC35" i="1" s="1"/>
  <c r="Y35" i="1" a="1"/>
  <c r="Y35" i="1" s="1"/>
  <c r="S35" i="1" a="1"/>
  <c r="S35" i="1" s="1"/>
  <c r="U35" i="1" a="1"/>
  <c r="U35" i="1" s="1"/>
  <c r="W35" i="1" a="1"/>
  <c r="W35" i="1" s="1"/>
  <c r="N35" i="1" a="1"/>
  <c r="N35" i="1" s="1"/>
  <c r="G35" i="1" a="1"/>
  <c r="G35" i="1" s="1"/>
  <c r="BE35" i="1" a="1"/>
  <c r="BE35" i="1" s="1"/>
  <c r="AW35" i="1" a="1"/>
  <c r="AW35" i="1" s="1"/>
  <c r="AD35" i="1" a="1"/>
  <c r="AD35" i="1" s="1"/>
  <c r="T35" i="1" a="1"/>
  <c r="T35" i="1" s="1"/>
  <c r="K35" i="1" a="1"/>
  <c r="K35" i="1" s="1"/>
  <c r="AI35" i="1" a="1"/>
  <c r="AI35" i="1" s="1"/>
  <c r="Z35" i="1" a="1"/>
  <c r="Z35" i="1" s="1"/>
  <c r="AA35" i="1" s="1"/>
  <c r="R35" i="1" a="1"/>
  <c r="R35" i="1" s="1"/>
  <c r="V35" i="1" a="1"/>
  <c r="V35" i="1" s="1"/>
  <c r="O35" i="1" a="1"/>
  <c r="O35" i="1" s="1"/>
  <c r="J35" i="1" a="1"/>
  <c r="J35" i="1" s="1"/>
  <c r="AO33" i="1"/>
  <c r="AO32" i="1"/>
  <c r="I34" i="1"/>
  <c r="P34" i="1"/>
  <c r="M34" i="1" s="1"/>
  <c r="AA34" i="1"/>
  <c r="B36" i="1"/>
  <c r="A35" i="1"/>
  <c r="AX35" i="1" l="1"/>
  <c r="P35" i="1"/>
  <c r="M35" i="1" s="1"/>
  <c r="D36" i="1"/>
  <c r="E36" i="1"/>
  <c r="C36" i="1"/>
  <c r="AP36" i="1" s="1"/>
  <c r="AT35" i="1"/>
  <c r="AY34" i="1"/>
  <c r="AE35" i="1"/>
  <c r="AB35" i="1" s="1"/>
  <c r="X35" i="1"/>
  <c r="L35" i="1"/>
  <c r="H35" i="1"/>
  <c r="X34" i="1"/>
  <c r="AF34" i="1"/>
  <c r="G36" i="1" a="1"/>
  <c r="G36" i="1" s="1"/>
  <c r="BB36" i="1" a="1"/>
  <c r="BB36" i="1" s="1"/>
  <c r="BD36" i="1" a="1"/>
  <c r="BD36" i="1" s="1"/>
  <c r="BF36" i="1" a="1"/>
  <c r="BF36" i="1" s="1"/>
  <c r="AW36" i="1" a="1"/>
  <c r="AW36" i="1" s="1"/>
  <c r="AS36" i="1" a="1"/>
  <c r="AS36" i="1" s="1"/>
  <c r="AH36" i="1" a="1"/>
  <c r="AH36" i="1" s="1"/>
  <c r="AJ36" i="1" a="1"/>
  <c r="AJ36" i="1" s="1"/>
  <c r="AL36" i="1" a="1"/>
  <c r="AL36" i="1" s="1"/>
  <c r="F36" i="1" a="1"/>
  <c r="F36" i="1" s="1"/>
  <c r="H36" i="1" s="1"/>
  <c r="BA36" i="1" a="1"/>
  <c r="BA36" i="1" s="1"/>
  <c r="BE36" i="1" a="1"/>
  <c r="BE36" i="1" s="1"/>
  <c r="AV36" i="1" a="1"/>
  <c r="AV36" i="1" s="1"/>
  <c r="AI36" i="1" a="1"/>
  <c r="AI36" i="1" s="1"/>
  <c r="AD36" i="1" a="1"/>
  <c r="AD36" i="1" s="1"/>
  <c r="Z36" i="1" a="1"/>
  <c r="Z36" i="1" s="1"/>
  <c r="S36" i="1" a="1"/>
  <c r="S36" i="1" s="1"/>
  <c r="U36" i="1" a="1"/>
  <c r="U36" i="1" s="1"/>
  <c r="W36" i="1" a="1"/>
  <c r="W36" i="1" s="1"/>
  <c r="O36" i="1" a="1"/>
  <c r="O36" i="1" s="1"/>
  <c r="K36" i="1" a="1"/>
  <c r="K36" i="1" s="1"/>
  <c r="J36" i="1" a="1"/>
  <c r="J36" i="1" s="1"/>
  <c r="BC36" i="1" a="1"/>
  <c r="BC36" i="1" s="1"/>
  <c r="AR36" i="1" a="1"/>
  <c r="AR36" i="1" s="1"/>
  <c r="AG36" i="1" a="1"/>
  <c r="AG36" i="1" s="1"/>
  <c r="Y36" i="1" a="1"/>
  <c r="Y36" i="1" s="1"/>
  <c r="R36" i="1" a="1"/>
  <c r="R36" i="1" s="1"/>
  <c r="V36" i="1" a="1"/>
  <c r="V36" i="1" s="1"/>
  <c r="N36" i="1" a="1"/>
  <c r="N36" i="1" s="1"/>
  <c r="AK36" i="1" a="1"/>
  <c r="AK36" i="1" s="1"/>
  <c r="AC36" i="1" a="1"/>
  <c r="AC36" i="1" s="1"/>
  <c r="T36" i="1" a="1"/>
  <c r="T36" i="1" s="1"/>
  <c r="Q34" i="1" a="1"/>
  <c r="Q34" i="1" s="1"/>
  <c r="B37" i="1"/>
  <c r="A36" i="1"/>
  <c r="AY35" i="1" l="1"/>
  <c r="D37" i="1"/>
  <c r="E37" i="1"/>
  <c r="C37" i="1"/>
  <c r="AP37" i="1" s="1"/>
  <c r="AT36" i="1"/>
  <c r="AX36" i="1"/>
  <c r="AF35" i="1"/>
  <c r="AO34" i="1"/>
  <c r="P36" i="1"/>
  <c r="M36" i="1" s="1"/>
  <c r="AA36" i="1"/>
  <c r="F37" i="1" a="1"/>
  <c r="F37" i="1" s="1"/>
  <c r="BB37" i="1" a="1"/>
  <c r="BB37" i="1" s="1"/>
  <c r="BD37" i="1" a="1"/>
  <c r="BD37" i="1" s="1"/>
  <c r="BF37" i="1" a="1"/>
  <c r="BF37" i="1" s="1"/>
  <c r="AV37" i="1" a="1"/>
  <c r="AV37" i="1" s="1"/>
  <c r="AR37" i="1" a="1"/>
  <c r="AR37" i="1" s="1"/>
  <c r="AH37" i="1" a="1"/>
  <c r="AH37" i="1" s="1"/>
  <c r="AJ37" i="1" a="1"/>
  <c r="AJ37" i="1" s="1"/>
  <c r="AL37" i="1" a="1"/>
  <c r="AL37" i="1" s="1"/>
  <c r="G37" i="1" a="1"/>
  <c r="G37" i="1" s="1"/>
  <c r="BC37" i="1" a="1"/>
  <c r="BC37" i="1" s="1"/>
  <c r="AW37" i="1" a="1"/>
  <c r="AW37" i="1" s="1"/>
  <c r="AG37" i="1" a="1"/>
  <c r="AG37" i="1" s="1"/>
  <c r="AK37" i="1" a="1"/>
  <c r="AK37" i="1" s="1"/>
  <c r="AC37" i="1" a="1"/>
  <c r="AC37" i="1" s="1"/>
  <c r="Y37" i="1" a="1"/>
  <c r="Y37" i="1" s="1"/>
  <c r="S37" i="1" a="1"/>
  <c r="S37" i="1" s="1"/>
  <c r="U37" i="1" a="1"/>
  <c r="U37" i="1" s="1"/>
  <c r="W37" i="1" a="1"/>
  <c r="W37" i="1" s="1"/>
  <c r="N37" i="1" a="1"/>
  <c r="N37" i="1" s="1"/>
  <c r="BA37" i="1" a="1"/>
  <c r="BA37" i="1" s="1"/>
  <c r="BE37" i="1" a="1"/>
  <c r="BE37" i="1" s="1"/>
  <c r="AS37" i="1" a="1"/>
  <c r="AS37" i="1" s="1"/>
  <c r="AI37" i="1" a="1"/>
  <c r="AI37" i="1" s="1"/>
  <c r="Z37" i="1" a="1"/>
  <c r="Z37" i="1" s="1"/>
  <c r="T37" i="1" a="1"/>
  <c r="T37" i="1" s="1"/>
  <c r="O37" i="1" a="1"/>
  <c r="O37" i="1" s="1"/>
  <c r="J37" i="1" a="1"/>
  <c r="J37" i="1" s="1"/>
  <c r="AD37" i="1" a="1"/>
  <c r="AD37" i="1" s="1"/>
  <c r="AE37" i="1" s="1"/>
  <c r="AB37" i="1" s="1"/>
  <c r="R37" i="1" a="1"/>
  <c r="R37" i="1" s="1"/>
  <c r="V37" i="1" a="1"/>
  <c r="V37" i="1" s="1"/>
  <c r="K37" i="1" a="1"/>
  <c r="K37" i="1" s="1"/>
  <c r="L37" i="1" s="1"/>
  <c r="L36" i="1"/>
  <c r="AE36" i="1"/>
  <c r="AB36" i="1" s="1"/>
  <c r="I35" i="1"/>
  <c r="Q35" i="1" a="1"/>
  <c r="Q35" i="1" s="1"/>
  <c r="AO35" i="1" s="1"/>
  <c r="B38" i="1"/>
  <c r="A37" i="1"/>
  <c r="AT37" i="1" l="1"/>
  <c r="AX37" i="1"/>
  <c r="D38" i="1"/>
  <c r="E38" i="1"/>
  <c r="C38" i="1"/>
  <c r="AP38" i="1" s="1"/>
  <c r="AY36" i="1"/>
  <c r="I37" i="1"/>
  <c r="X36" i="1"/>
  <c r="AF36" i="1"/>
  <c r="G38" i="1" a="1"/>
  <c r="G38" i="1" s="1"/>
  <c r="BB38" i="1" a="1"/>
  <c r="BB38" i="1" s="1"/>
  <c r="BD38" i="1" a="1"/>
  <c r="BD38" i="1" s="1"/>
  <c r="BF38" i="1" a="1"/>
  <c r="BF38" i="1" s="1"/>
  <c r="AW38" i="1" a="1"/>
  <c r="AW38" i="1" s="1"/>
  <c r="AS38" i="1" a="1"/>
  <c r="AS38" i="1" s="1"/>
  <c r="AH38" i="1" a="1"/>
  <c r="AH38" i="1" s="1"/>
  <c r="AJ38" i="1" a="1"/>
  <c r="AJ38" i="1" s="1"/>
  <c r="AL38" i="1" a="1"/>
  <c r="AL38" i="1" s="1"/>
  <c r="BA38" i="1" a="1"/>
  <c r="BA38" i="1" s="1"/>
  <c r="BE38" i="1" a="1"/>
  <c r="BE38" i="1" s="1"/>
  <c r="AR38" i="1" a="1"/>
  <c r="AR38" i="1" s="1"/>
  <c r="AI38" i="1" a="1"/>
  <c r="AI38" i="1" s="1"/>
  <c r="AD38" i="1" a="1"/>
  <c r="AD38" i="1" s="1"/>
  <c r="Z38" i="1" a="1"/>
  <c r="Z38" i="1" s="1"/>
  <c r="S38" i="1" a="1"/>
  <c r="S38" i="1" s="1"/>
  <c r="U38" i="1" a="1"/>
  <c r="U38" i="1" s="1"/>
  <c r="W38" i="1" a="1"/>
  <c r="W38" i="1" s="1"/>
  <c r="O38" i="1" a="1"/>
  <c r="O38" i="1" s="1"/>
  <c r="K38" i="1" a="1"/>
  <c r="K38" i="1" s="1"/>
  <c r="J38" i="1" a="1"/>
  <c r="J38" i="1" s="1"/>
  <c r="F38" i="1" a="1"/>
  <c r="F38" i="1" s="1"/>
  <c r="BC38" i="1" a="1"/>
  <c r="BC38" i="1" s="1"/>
  <c r="AV38" i="1" a="1"/>
  <c r="AV38" i="1" s="1"/>
  <c r="AK38" i="1" a="1"/>
  <c r="AK38" i="1" s="1"/>
  <c r="AC38" i="1" a="1"/>
  <c r="AC38" i="1" s="1"/>
  <c r="R38" i="1" a="1"/>
  <c r="R38" i="1" s="1"/>
  <c r="V38" i="1" a="1"/>
  <c r="V38" i="1" s="1"/>
  <c r="AG38" i="1" a="1"/>
  <c r="AG38" i="1" s="1"/>
  <c r="Y38" i="1" a="1"/>
  <c r="Y38" i="1" s="1"/>
  <c r="T38" i="1" a="1"/>
  <c r="T38" i="1" s="1"/>
  <c r="N38" i="1" a="1"/>
  <c r="N38" i="1" s="1"/>
  <c r="Q36" i="1" a="1"/>
  <c r="Q36" i="1" s="1"/>
  <c r="AO36" i="1" s="1"/>
  <c r="I36" i="1"/>
  <c r="P37" i="1"/>
  <c r="M37" i="1" s="1"/>
  <c r="AA37" i="1"/>
  <c r="H37" i="1"/>
  <c r="AY37" i="1" s="1"/>
  <c r="B39" i="1"/>
  <c r="A38" i="1"/>
  <c r="D39" i="1" l="1"/>
  <c r="E39" i="1"/>
  <c r="C39" i="1"/>
  <c r="AP39" i="1" s="1"/>
  <c r="AX38" i="1"/>
  <c r="AT38" i="1"/>
  <c r="H38" i="1"/>
  <c r="P38" i="1"/>
  <c r="M38" i="1" s="1"/>
  <c r="AA38" i="1"/>
  <c r="Q37" i="1" a="1"/>
  <c r="Q37" i="1" s="1"/>
  <c r="F39" i="1" a="1"/>
  <c r="F39" i="1" s="1"/>
  <c r="BB39" i="1" a="1"/>
  <c r="BB39" i="1" s="1"/>
  <c r="BD39" i="1" a="1"/>
  <c r="BD39" i="1" s="1"/>
  <c r="BF39" i="1" a="1"/>
  <c r="BF39" i="1" s="1"/>
  <c r="AV39" i="1" a="1"/>
  <c r="AV39" i="1" s="1"/>
  <c r="AR39" i="1" a="1"/>
  <c r="AR39" i="1" s="1"/>
  <c r="AH39" i="1" a="1"/>
  <c r="AH39" i="1" s="1"/>
  <c r="AJ39" i="1" a="1"/>
  <c r="AJ39" i="1" s="1"/>
  <c r="AL39" i="1" a="1"/>
  <c r="AL39" i="1" s="1"/>
  <c r="BC39" i="1" a="1"/>
  <c r="BC39" i="1" s="1"/>
  <c r="AS39" i="1" a="1"/>
  <c r="AS39" i="1" s="1"/>
  <c r="AG39" i="1" a="1"/>
  <c r="AG39" i="1" s="1"/>
  <c r="AK39" i="1" a="1"/>
  <c r="AK39" i="1" s="1"/>
  <c r="AC39" i="1" a="1"/>
  <c r="AC39" i="1" s="1"/>
  <c r="Y39" i="1" a="1"/>
  <c r="Y39" i="1" s="1"/>
  <c r="S39" i="1" a="1"/>
  <c r="S39" i="1" s="1"/>
  <c r="U39" i="1" a="1"/>
  <c r="U39" i="1" s="1"/>
  <c r="W39" i="1" a="1"/>
  <c r="W39" i="1" s="1"/>
  <c r="N39" i="1" a="1"/>
  <c r="N39" i="1" s="1"/>
  <c r="G39" i="1" a="1"/>
  <c r="G39" i="1" s="1"/>
  <c r="BA39" i="1" a="1"/>
  <c r="BA39" i="1" s="1"/>
  <c r="BE39" i="1" a="1"/>
  <c r="BE39" i="1" s="1"/>
  <c r="AW39" i="1" a="1"/>
  <c r="AW39" i="1" s="1"/>
  <c r="AX39" i="1" s="1"/>
  <c r="AD39" i="1" a="1"/>
  <c r="AD39" i="1" s="1"/>
  <c r="AE39" i="1" s="1"/>
  <c r="AB39" i="1" s="1"/>
  <c r="T39" i="1" a="1"/>
  <c r="T39" i="1" s="1"/>
  <c r="K39" i="1" a="1"/>
  <c r="K39" i="1" s="1"/>
  <c r="AI39" i="1" a="1"/>
  <c r="AI39" i="1" s="1"/>
  <c r="Z39" i="1" a="1"/>
  <c r="Z39" i="1" s="1"/>
  <c r="R39" i="1" a="1"/>
  <c r="R39" i="1" s="1"/>
  <c r="V39" i="1" a="1"/>
  <c r="V39" i="1" s="1"/>
  <c r="O39" i="1" a="1"/>
  <c r="O39" i="1" s="1"/>
  <c r="P39" i="1" s="1"/>
  <c r="M39" i="1" s="1"/>
  <c r="J39" i="1" a="1"/>
  <c r="J39" i="1" s="1"/>
  <c r="X37" i="1"/>
  <c r="AF37" i="1"/>
  <c r="L38" i="1"/>
  <c r="AE38" i="1"/>
  <c r="AB38" i="1" s="1"/>
  <c r="B40" i="1"/>
  <c r="A39" i="1"/>
  <c r="AA39" i="1" l="1"/>
  <c r="D40" i="1"/>
  <c r="E40" i="1"/>
  <c r="C40" i="1"/>
  <c r="AP40" i="1" s="1"/>
  <c r="AY38" i="1"/>
  <c r="AT39" i="1"/>
  <c r="G40" i="1" a="1"/>
  <c r="G40" i="1" s="1"/>
  <c r="BB40" i="1" a="1"/>
  <c r="BB40" i="1" s="1"/>
  <c r="BD40" i="1" a="1"/>
  <c r="BD40" i="1" s="1"/>
  <c r="BF40" i="1" a="1"/>
  <c r="BF40" i="1" s="1"/>
  <c r="AW40" i="1" a="1"/>
  <c r="AW40" i="1" s="1"/>
  <c r="AS40" i="1" a="1"/>
  <c r="AS40" i="1" s="1"/>
  <c r="AH40" i="1" a="1"/>
  <c r="AH40" i="1" s="1"/>
  <c r="AJ40" i="1" a="1"/>
  <c r="AJ40" i="1" s="1"/>
  <c r="AL40" i="1" a="1"/>
  <c r="AL40" i="1" s="1"/>
  <c r="F40" i="1" a="1"/>
  <c r="F40" i="1" s="1"/>
  <c r="H40" i="1" s="1"/>
  <c r="BA40" i="1" a="1"/>
  <c r="BA40" i="1" s="1"/>
  <c r="BE40" i="1" a="1"/>
  <c r="BE40" i="1" s="1"/>
  <c r="AV40" i="1" a="1"/>
  <c r="AV40" i="1" s="1"/>
  <c r="AI40" i="1" a="1"/>
  <c r="AI40" i="1" s="1"/>
  <c r="AD40" i="1" a="1"/>
  <c r="AD40" i="1" s="1"/>
  <c r="Z40" i="1" a="1"/>
  <c r="Z40" i="1" s="1"/>
  <c r="S40" i="1" a="1"/>
  <c r="S40" i="1" s="1"/>
  <c r="U40" i="1" a="1"/>
  <c r="U40" i="1" s="1"/>
  <c r="W40" i="1" a="1"/>
  <c r="W40" i="1" s="1"/>
  <c r="O40" i="1" a="1"/>
  <c r="O40" i="1" s="1"/>
  <c r="K40" i="1" a="1"/>
  <c r="K40" i="1" s="1"/>
  <c r="J40" i="1" a="1"/>
  <c r="J40" i="1" s="1"/>
  <c r="BC40" i="1" a="1"/>
  <c r="BC40" i="1" s="1"/>
  <c r="AG40" i="1" a="1"/>
  <c r="AG40" i="1" s="1"/>
  <c r="Y40" i="1" a="1"/>
  <c r="Y40" i="1" s="1"/>
  <c r="R40" i="1" a="1"/>
  <c r="R40" i="1" s="1"/>
  <c r="V40" i="1" a="1"/>
  <c r="V40" i="1" s="1"/>
  <c r="N40" i="1" a="1"/>
  <c r="N40" i="1" s="1"/>
  <c r="AR40" i="1" a="1"/>
  <c r="AR40" i="1" s="1"/>
  <c r="AK40" i="1" a="1"/>
  <c r="AK40" i="1" s="1"/>
  <c r="AC40" i="1" a="1"/>
  <c r="AC40" i="1" s="1"/>
  <c r="T40" i="1" a="1"/>
  <c r="T40" i="1" s="1"/>
  <c r="Q38" i="1" a="1"/>
  <c r="Q38" i="1" s="1"/>
  <c r="I38" i="1"/>
  <c r="H39" i="1"/>
  <c r="X38" i="1"/>
  <c r="AF38" i="1"/>
  <c r="X39" i="1"/>
  <c r="AF39" i="1"/>
  <c r="L39" i="1"/>
  <c r="AO37" i="1"/>
  <c r="B41" i="1"/>
  <c r="A40" i="1"/>
  <c r="D41" i="1" l="1"/>
  <c r="E41" i="1"/>
  <c r="C41" i="1"/>
  <c r="AT40" i="1"/>
  <c r="AY39" i="1"/>
  <c r="AX40" i="1"/>
  <c r="L40" i="1"/>
  <c r="P40" i="1"/>
  <c r="M40" i="1" s="1"/>
  <c r="AA40" i="1"/>
  <c r="I39" i="1"/>
  <c r="Q39" i="1" a="1"/>
  <c r="Q39" i="1" s="1"/>
  <c r="AO39" i="1" s="1"/>
  <c r="F41" i="1" a="1"/>
  <c r="F41" i="1" s="1"/>
  <c r="BB41" i="1" a="1"/>
  <c r="BB41" i="1" s="1"/>
  <c r="BD41" i="1" a="1"/>
  <c r="BD41" i="1" s="1"/>
  <c r="BF41" i="1" a="1"/>
  <c r="BF41" i="1" s="1"/>
  <c r="AV41" i="1" a="1"/>
  <c r="AV41" i="1" s="1"/>
  <c r="AR41" i="1" a="1"/>
  <c r="AR41" i="1" s="1"/>
  <c r="AH41" i="1" a="1"/>
  <c r="AH41" i="1" s="1"/>
  <c r="AJ41" i="1" a="1"/>
  <c r="AJ41" i="1" s="1"/>
  <c r="AL41" i="1" a="1"/>
  <c r="AL41" i="1" s="1"/>
  <c r="G41" i="1" a="1"/>
  <c r="G41" i="1" s="1"/>
  <c r="BC41" i="1" a="1"/>
  <c r="BC41" i="1" s="1"/>
  <c r="AW41" i="1" a="1"/>
  <c r="AW41" i="1" s="1"/>
  <c r="AG41" i="1" a="1"/>
  <c r="AG41" i="1" s="1"/>
  <c r="AK41" i="1" a="1"/>
  <c r="AK41" i="1" s="1"/>
  <c r="AC41" i="1" a="1"/>
  <c r="AC41" i="1" s="1"/>
  <c r="Y41" i="1" a="1"/>
  <c r="Y41" i="1" s="1"/>
  <c r="S41" i="1" a="1"/>
  <c r="S41" i="1" s="1"/>
  <c r="U41" i="1" a="1"/>
  <c r="U41" i="1" s="1"/>
  <c r="W41" i="1" a="1"/>
  <c r="W41" i="1" s="1"/>
  <c r="N41" i="1" a="1"/>
  <c r="N41" i="1" s="1"/>
  <c r="BA41" i="1" a="1"/>
  <c r="BA41" i="1" s="1"/>
  <c r="BE41" i="1" a="1"/>
  <c r="BE41" i="1" s="1"/>
  <c r="AS41" i="1" a="1"/>
  <c r="AS41" i="1" s="1"/>
  <c r="AI41" i="1" a="1"/>
  <c r="AI41" i="1" s="1"/>
  <c r="Z41" i="1" a="1"/>
  <c r="Z41" i="1" s="1"/>
  <c r="T41" i="1" a="1"/>
  <c r="T41" i="1" s="1"/>
  <c r="O41" i="1" a="1"/>
  <c r="O41" i="1" s="1"/>
  <c r="J41" i="1" a="1"/>
  <c r="J41" i="1" s="1"/>
  <c r="AD41" i="1" a="1"/>
  <c r="AD41" i="1" s="1"/>
  <c r="AE41" i="1" s="1"/>
  <c r="AB41" i="1" s="1"/>
  <c r="R41" i="1" a="1"/>
  <c r="R41" i="1" s="1"/>
  <c r="V41" i="1" a="1"/>
  <c r="V41" i="1" s="1"/>
  <c r="K41" i="1" a="1"/>
  <c r="K41" i="1" s="1"/>
  <c r="AO38" i="1"/>
  <c r="Q40" i="1" a="1"/>
  <c r="Q40" i="1" s="1"/>
  <c r="I40" i="1"/>
  <c r="AE40" i="1"/>
  <c r="AB40" i="1" s="1"/>
  <c r="B42" i="1"/>
  <c r="A41" i="1"/>
  <c r="L41" i="1" l="1"/>
  <c r="AX41" i="1"/>
  <c r="D42" i="1"/>
  <c r="E42" i="1"/>
  <c r="C42" i="1"/>
  <c r="AR42" i="1" a="1"/>
  <c r="AR42" i="1" s="1"/>
  <c r="P41" i="1"/>
  <c r="M41" i="1" s="1"/>
  <c r="AA41" i="1"/>
  <c r="AT41" i="1"/>
  <c r="AY40" i="1"/>
  <c r="I41" i="1"/>
  <c r="X40" i="1"/>
  <c r="AF40" i="1"/>
  <c r="AO40" i="1" s="1"/>
  <c r="G42" i="1" a="1"/>
  <c r="G42" i="1" s="1"/>
  <c r="BB42" i="1" a="1"/>
  <c r="BB42" i="1" s="1"/>
  <c r="BD42" i="1" a="1"/>
  <c r="BD42" i="1" s="1"/>
  <c r="BF42" i="1" a="1"/>
  <c r="BF42" i="1" s="1"/>
  <c r="AW42" i="1" a="1"/>
  <c r="AW42" i="1" s="1"/>
  <c r="AS42" i="1" a="1"/>
  <c r="AS42" i="1" s="1"/>
  <c r="AH42" i="1" a="1"/>
  <c r="AH42" i="1" s="1"/>
  <c r="AJ42" i="1" a="1"/>
  <c r="AJ42" i="1" s="1"/>
  <c r="AL42" i="1" a="1"/>
  <c r="AL42" i="1" s="1"/>
  <c r="BA42" i="1" a="1"/>
  <c r="BA42" i="1" s="1"/>
  <c r="BE42" i="1" a="1"/>
  <c r="BE42" i="1" s="1"/>
  <c r="AI42" i="1" a="1"/>
  <c r="AI42" i="1" s="1"/>
  <c r="AD42" i="1" a="1"/>
  <c r="AD42" i="1" s="1"/>
  <c r="Z42" i="1" a="1"/>
  <c r="Z42" i="1" s="1"/>
  <c r="S42" i="1" a="1"/>
  <c r="S42" i="1" s="1"/>
  <c r="U42" i="1" a="1"/>
  <c r="U42" i="1" s="1"/>
  <c r="W42" i="1" a="1"/>
  <c r="W42" i="1" s="1"/>
  <c r="O42" i="1" a="1"/>
  <c r="O42" i="1" s="1"/>
  <c r="K42" i="1" a="1"/>
  <c r="K42" i="1" s="1"/>
  <c r="J42" i="1" a="1"/>
  <c r="J42" i="1" s="1"/>
  <c r="F42" i="1" a="1"/>
  <c r="F42" i="1" s="1"/>
  <c r="H42" i="1" s="1"/>
  <c r="BC42" i="1" a="1"/>
  <c r="BC42" i="1" s="1"/>
  <c r="AV42" i="1" a="1"/>
  <c r="AV42" i="1" s="1"/>
  <c r="AK42" i="1" a="1"/>
  <c r="AK42" i="1" s="1"/>
  <c r="AC42" i="1" a="1"/>
  <c r="AC42" i="1" s="1"/>
  <c r="R42" i="1" a="1"/>
  <c r="R42" i="1" s="1"/>
  <c r="V42" i="1" a="1"/>
  <c r="V42" i="1" s="1"/>
  <c r="AG42" i="1" a="1"/>
  <c r="AG42" i="1" s="1"/>
  <c r="Y42" i="1" a="1"/>
  <c r="Y42" i="1" s="1"/>
  <c r="T42" i="1" a="1"/>
  <c r="T42" i="1" s="1"/>
  <c r="N42" i="1" a="1"/>
  <c r="N42" i="1" s="1"/>
  <c r="X41" i="1"/>
  <c r="H41" i="1"/>
  <c r="Q41" i="1" s="1" a="1"/>
  <c r="Q41" i="1" s="1"/>
  <c r="B43" i="1"/>
  <c r="A42" i="1"/>
  <c r="D43" i="1" l="1"/>
  <c r="E43" i="1"/>
  <c r="C43" i="1"/>
  <c r="AX42" i="1"/>
  <c r="AY41" i="1"/>
  <c r="AT42" i="1"/>
  <c r="AY42" i="1" s="1"/>
  <c r="P42" i="1"/>
  <c r="M42" i="1" s="1"/>
  <c r="AA42" i="1"/>
  <c r="F43" i="1" a="1"/>
  <c r="F43" i="1" s="1"/>
  <c r="BB43" i="1" a="1"/>
  <c r="BB43" i="1" s="1"/>
  <c r="BD43" i="1" a="1"/>
  <c r="BD43" i="1" s="1"/>
  <c r="BF43" i="1" a="1"/>
  <c r="BF43" i="1" s="1"/>
  <c r="AV43" i="1" a="1"/>
  <c r="AV43" i="1" s="1"/>
  <c r="AR43" i="1" a="1"/>
  <c r="AR43" i="1" s="1"/>
  <c r="AH43" i="1" a="1"/>
  <c r="AH43" i="1" s="1"/>
  <c r="AJ43" i="1" a="1"/>
  <c r="AJ43" i="1" s="1"/>
  <c r="AL43" i="1" a="1"/>
  <c r="AL43" i="1" s="1"/>
  <c r="BC43" i="1" a="1"/>
  <c r="BC43" i="1" s="1"/>
  <c r="AS43" i="1" a="1"/>
  <c r="AS43" i="1" s="1"/>
  <c r="AG43" i="1" a="1"/>
  <c r="AG43" i="1" s="1"/>
  <c r="AK43" i="1" a="1"/>
  <c r="AK43" i="1" s="1"/>
  <c r="AC43" i="1" a="1"/>
  <c r="AC43" i="1" s="1"/>
  <c r="Y43" i="1" a="1"/>
  <c r="Y43" i="1" s="1"/>
  <c r="S43" i="1" a="1"/>
  <c r="S43" i="1" s="1"/>
  <c r="U43" i="1" a="1"/>
  <c r="U43" i="1" s="1"/>
  <c r="W43" i="1" a="1"/>
  <c r="W43" i="1" s="1"/>
  <c r="N43" i="1" a="1"/>
  <c r="N43" i="1" s="1"/>
  <c r="G43" i="1" a="1"/>
  <c r="G43" i="1" s="1"/>
  <c r="BA43" i="1" a="1"/>
  <c r="BA43" i="1" s="1"/>
  <c r="BE43" i="1" a="1"/>
  <c r="BE43" i="1" s="1"/>
  <c r="AW43" i="1" a="1"/>
  <c r="AW43" i="1" s="1"/>
  <c r="AD43" i="1" a="1"/>
  <c r="AD43" i="1" s="1"/>
  <c r="AE43" i="1" s="1"/>
  <c r="AB43" i="1" s="1"/>
  <c r="T43" i="1" a="1"/>
  <c r="T43" i="1" s="1"/>
  <c r="K43" i="1" a="1"/>
  <c r="K43" i="1" s="1"/>
  <c r="AI43" i="1" a="1"/>
  <c r="AI43" i="1" s="1"/>
  <c r="Z43" i="1" a="1"/>
  <c r="Z43" i="1" s="1"/>
  <c r="R43" i="1" a="1"/>
  <c r="R43" i="1" s="1"/>
  <c r="V43" i="1" a="1"/>
  <c r="V43" i="1" s="1"/>
  <c r="O43" i="1" a="1"/>
  <c r="O43" i="1" s="1"/>
  <c r="P43" i="1" s="1"/>
  <c r="M43" i="1" s="1"/>
  <c r="J43" i="1" a="1"/>
  <c r="J43" i="1" s="1"/>
  <c r="AF41" i="1"/>
  <c r="AO41" i="1" s="1"/>
  <c r="L42" i="1"/>
  <c r="AE42" i="1"/>
  <c r="AB42" i="1" s="1"/>
  <c r="A43" i="1"/>
  <c r="B44" i="1"/>
  <c r="AT43" i="1" l="1"/>
  <c r="D44" i="1"/>
  <c r="E44" i="1"/>
  <c r="C44" i="1"/>
  <c r="AX43" i="1"/>
  <c r="AA43" i="1"/>
  <c r="Q42" i="1" a="1"/>
  <c r="Q42" i="1" s="1"/>
  <c r="I42" i="1"/>
  <c r="G44" i="1" a="1"/>
  <c r="G44" i="1" s="1"/>
  <c r="BB44" i="1" a="1"/>
  <c r="BB44" i="1" s="1"/>
  <c r="BD44" i="1" a="1"/>
  <c r="BD44" i="1" s="1"/>
  <c r="BF44" i="1" a="1"/>
  <c r="BF44" i="1" s="1"/>
  <c r="AW44" i="1" a="1"/>
  <c r="AW44" i="1" s="1"/>
  <c r="AS44" i="1" a="1"/>
  <c r="AS44" i="1" s="1"/>
  <c r="AH44" i="1" a="1"/>
  <c r="AH44" i="1" s="1"/>
  <c r="AJ44" i="1" a="1"/>
  <c r="AJ44" i="1" s="1"/>
  <c r="AL44" i="1" a="1"/>
  <c r="AL44" i="1" s="1"/>
  <c r="F44" i="1" a="1"/>
  <c r="F44" i="1" s="1"/>
  <c r="H44" i="1" s="1"/>
  <c r="BA44" i="1" a="1"/>
  <c r="BA44" i="1" s="1"/>
  <c r="BE44" i="1" a="1"/>
  <c r="BE44" i="1" s="1"/>
  <c r="AV44" i="1" a="1"/>
  <c r="AV44" i="1" s="1"/>
  <c r="AI44" i="1" a="1"/>
  <c r="AI44" i="1" s="1"/>
  <c r="AD44" i="1" a="1"/>
  <c r="AD44" i="1" s="1"/>
  <c r="Z44" i="1" a="1"/>
  <c r="Z44" i="1" s="1"/>
  <c r="S44" i="1" a="1"/>
  <c r="S44" i="1" s="1"/>
  <c r="U44" i="1" a="1"/>
  <c r="U44" i="1" s="1"/>
  <c r="W44" i="1" a="1"/>
  <c r="W44" i="1" s="1"/>
  <c r="O44" i="1" a="1"/>
  <c r="O44" i="1" s="1"/>
  <c r="K44" i="1" a="1"/>
  <c r="K44" i="1" s="1"/>
  <c r="J44" i="1" a="1"/>
  <c r="J44" i="1" s="1"/>
  <c r="BC44" i="1" a="1"/>
  <c r="BC44" i="1" s="1"/>
  <c r="AR44" i="1" a="1"/>
  <c r="AR44" i="1" s="1"/>
  <c r="AG44" i="1" a="1"/>
  <c r="AG44" i="1" s="1"/>
  <c r="Y44" i="1" a="1"/>
  <c r="Y44" i="1" s="1"/>
  <c r="R44" i="1" a="1"/>
  <c r="R44" i="1" s="1"/>
  <c r="V44" i="1" a="1"/>
  <c r="V44" i="1" s="1"/>
  <c r="N44" i="1" a="1"/>
  <c r="N44" i="1" s="1"/>
  <c r="AK44" i="1" a="1"/>
  <c r="AK44" i="1" s="1"/>
  <c r="AC44" i="1" a="1"/>
  <c r="AC44" i="1" s="1"/>
  <c r="T44" i="1" a="1"/>
  <c r="T44" i="1" s="1"/>
  <c r="H43" i="1"/>
  <c r="AY43" i="1" s="1"/>
  <c r="X43" i="1"/>
  <c r="AF43" i="1"/>
  <c r="L43" i="1"/>
  <c r="X42" i="1"/>
  <c r="AF42" i="1"/>
  <c r="B45" i="1"/>
  <c r="A44" i="1"/>
  <c r="D45" i="1" l="1"/>
  <c r="E45" i="1"/>
  <c r="C45" i="1"/>
  <c r="AX44" i="1"/>
  <c r="AT44" i="1"/>
  <c r="P44" i="1"/>
  <c r="M44" i="1" s="1"/>
  <c r="AA44" i="1"/>
  <c r="I43" i="1"/>
  <c r="Q43" i="1" a="1"/>
  <c r="Q43" i="1" s="1"/>
  <c r="AO43" i="1" s="1"/>
  <c r="F45" i="1" a="1"/>
  <c r="F45" i="1" s="1"/>
  <c r="BB45" i="1" a="1"/>
  <c r="BB45" i="1" s="1"/>
  <c r="BD45" i="1" a="1"/>
  <c r="BD45" i="1" s="1"/>
  <c r="BF45" i="1" a="1"/>
  <c r="BF45" i="1" s="1"/>
  <c r="AV45" i="1" a="1"/>
  <c r="AV45" i="1" s="1"/>
  <c r="AR45" i="1" a="1"/>
  <c r="AR45" i="1" s="1"/>
  <c r="AH45" i="1" a="1"/>
  <c r="AH45" i="1" s="1"/>
  <c r="AJ45" i="1" a="1"/>
  <c r="AJ45" i="1" s="1"/>
  <c r="AL45" i="1" a="1"/>
  <c r="AL45" i="1" s="1"/>
  <c r="G45" i="1" a="1"/>
  <c r="G45" i="1" s="1"/>
  <c r="BC45" i="1" a="1"/>
  <c r="BC45" i="1" s="1"/>
  <c r="AW45" i="1" a="1"/>
  <c r="AW45" i="1" s="1"/>
  <c r="AG45" i="1" a="1"/>
  <c r="AG45" i="1" s="1"/>
  <c r="AK45" i="1" a="1"/>
  <c r="AK45" i="1" s="1"/>
  <c r="AC45" i="1" a="1"/>
  <c r="AC45" i="1" s="1"/>
  <c r="Y45" i="1" a="1"/>
  <c r="Y45" i="1" s="1"/>
  <c r="S45" i="1" a="1"/>
  <c r="S45" i="1" s="1"/>
  <c r="U45" i="1" a="1"/>
  <c r="U45" i="1" s="1"/>
  <c r="W45" i="1" a="1"/>
  <c r="W45" i="1" s="1"/>
  <c r="N45" i="1" a="1"/>
  <c r="N45" i="1" s="1"/>
  <c r="BA45" i="1" a="1"/>
  <c r="BA45" i="1" s="1"/>
  <c r="BE45" i="1" a="1"/>
  <c r="BE45" i="1" s="1"/>
  <c r="AS45" i="1" a="1"/>
  <c r="AS45" i="1" s="1"/>
  <c r="AI45" i="1" a="1"/>
  <c r="AI45" i="1" s="1"/>
  <c r="Z45" i="1" a="1"/>
  <c r="Z45" i="1" s="1"/>
  <c r="T45" i="1" a="1"/>
  <c r="T45" i="1" s="1"/>
  <c r="O45" i="1" a="1"/>
  <c r="O45" i="1" s="1"/>
  <c r="J45" i="1" a="1"/>
  <c r="J45" i="1" s="1"/>
  <c r="AD45" i="1" a="1"/>
  <c r="AD45" i="1" s="1"/>
  <c r="AE45" i="1" s="1"/>
  <c r="AB45" i="1" s="1"/>
  <c r="R45" i="1" a="1"/>
  <c r="R45" i="1" s="1"/>
  <c r="V45" i="1" a="1"/>
  <c r="V45" i="1" s="1"/>
  <c r="K45" i="1" a="1"/>
  <c r="K45" i="1" s="1"/>
  <c r="L45" i="1" s="1"/>
  <c r="L44" i="1"/>
  <c r="AE44" i="1"/>
  <c r="AB44" i="1" s="1"/>
  <c r="AO42" i="1"/>
  <c r="A45" i="1"/>
  <c r="B46" i="1"/>
  <c r="AA45" i="1" l="1"/>
  <c r="AT45" i="1"/>
  <c r="AX45" i="1"/>
  <c r="D46" i="1"/>
  <c r="E46" i="1"/>
  <c r="C46" i="1"/>
  <c r="AY44" i="1"/>
  <c r="P45" i="1"/>
  <c r="M45" i="1" s="1"/>
  <c r="X45" i="1"/>
  <c r="H45" i="1"/>
  <c r="G46" i="1" a="1"/>
  <c r="G46" i="1" s="1"/>
  <c r="BB46" i="1" a="1"/>
  <c r="BB46" i="1" s="1"/>
  <c r="BD46" i="1" a="1"/>
  <c r="BD46" i="1" s="1"/>
  <c r="BF46" i="1" a="1"/>
  <c r="BF46" i="1" s="1"/>
  <c r="AW46" i="1" a="1"/>
  <c r="AW46" i="1" s="1"/>
  <c r="AS46" i="1" a="1"/>
  <c r="AS46" i="1" s="1"/>
  <c r="AH46" i="1" a="1"/>
  <c r="AH46" i="1" s="1"/>
  <c r="AJ46" i="1" a="1"/>
  <c r="AJ46" i="1" s="1"/>
  <c r="AL46" i="1" a="1"/>
  <c r="AL46" i="1" s="1"/>
  <c r="BA46" i="1" a="1"/>
  <c r="BA46" i="1" s="1"/>
  <c r="BE46" i="1" a="1"/>
  <c r="BE46" i="1" s="1"/>
  <c r="AR46" i="1" a="1"/>
  <c r="AR46" i="1" s="1"/>
  <c r="AI46" i="1" a="1"/>
  <c r="AI46" i="1" s="1"/>
  <c r="AD46" i="1" a="1"/>
  <c r="AD46" i="1" s="1"/>
  <c r="Z46" i="1" a="1"/>
  <c r="Z46" i="1" s="1"/>
  <c r="S46" i="1" a="1"/>
  <c r="S46" i="1" s="1"/>
  <c r="U46" i="1" a="1"/>
  <c r="U46" i="1" s="1"/>
  <c r="W46" i="1" a="1"/>
  <c r="W46" i="1" s="1"/>
  <c r="O46" i="1" a="1"/>
  <c r="O46" i="1" s="1"/>
  <c r="K46" i="1" a="1"/>
  <c r="K46" i="1" s="1"/>
  <c r="J46" i="1" a="1"/>
  <c r="J46" i="1" s="1"/>
  <c r="F46" i="1" a="1"/>
  <c r="F46" i="1" s="1"/>
  <c r="H46" i="1" s="1"/>
  <c r="BC46" i="1" a="1"/>
  <c r="BC46" i="1" s="1"/>
  <c r="AV46" i="1" a="1"/>
  <c r="AV46" i="1" s="1"/>
  <c r="AK46" i="1" a="1"/>
  <c r="AK46" i="1" s="1"/>
  <c r="AC46" i="1" a="1"/>
  <c r="AC46" i="1" s="1"/>
  <c r="R46" i="1" a="1"/>
  <c r="R46" i="1" s="1"/>
  <c r="V46" i="1" a="1"/>
  <c r="V46" i="1" s="1"/>
  <c r="AG46" i="1" a="1"/>
  <c r="AG46" i="1" s="1"/>
  <c r="Y46" i="1" a="1"/>
  <c r="Y46" i="1" s="1"/>
  <c r="T46" i="1" a="1"/>
  <c r="T46" i="1" s="1"/>
  <c r="N46" i="1" a="1"/>
  <c r="N46" i="1" s="1"/>
  <c r="Q44" i="1" a="1"/>
  <c r="Q44" i="1" s="1"/>
  <c r="I44" i="1"/>
  <c r="I45" i="1"/>
  <c r="Q45" i="1" a="1"/>
  <c r="Q45" i="1" s="1"/>
  <c r="X44" i="1"/>
  <c r="AF44" i="1"/>
  <c r="B47" i="1"/>
  <c r="A46" i="1"/>
  <c r="AF45" i="1" l="1"/>
  <c r="AO45" i="1" s="1"/>
  <c r="D47" i="1"/>
  <c r="E47" i="1"/>
  <c r="C47" i="1"/>
  <c r="AX46" i="1"/>
  <c r="AT46" i="1"/>
  <c r="AY45" i="1"/>
  <c r="F47" i="1" a="1"/>
  <c r="F47" i="1" s="1"/>
  <c r="BB47" i="1" a="1"/>
  <c r="BB47" i="1" s="1"/>
  <c r="BD47" i="1" a="1"/>
  <c r="BD47" i="1" s="1"/>
  <c r="BF47" i="1" a="1"/>
  <c r="BF47" i="1" s="1"/>
  <c r="AV47" i="1" a="1"/>
  <c r="AV47" i="1" s="1"/>
  <c r="AR47" i="1" a="1"/>
  <c r="AR47" i="1" s="1"/>
  <c r="AH47" i="1" a="1"/>
  <c r="AH47" i="1" s="1"/>
  <c r="AJ47" i="1" a="1"/>
  <c r="AJ47" i="1" s="1"/>
  <c r="AL47" i="1" a="1"/>
  <c r="AL47" i="1" s="1"/>
  <c r="BC47" i="1" a="1"/>
  <c r="BC47" i="1" s="1"/>
  <c r="AS47" i="1" a="1"/>
  <c r="AS47" i="1" s="1"/>
  <c r="AG47" i="1" a="1"/>
  <c r="AG47" i="1" s="1"/>
  <c r="AK47" i="1" a="1"/>
  <c r="AK47" i="1" s="1"/>
  <c r="AC47" i="1" a="1"/>
  <c r="AC47" i="1" s="1"/>
  <c r="Y47" i="1" a="1"/>
  <c r="Y47" i="1" s="1"/>
  <c r="S47" i="1" a="1"/>
  <c r="S47" i="1" s="1"/>
  <c r="U47" i="1" a="1"/>
  <c r="U47" i="1" s="1"/>
  <c r="W47" i="1" a="1"/>
  <c r="W47" i="1" s="1"/>
  <c r="N47" i="1" a="1"/>
  <c r="N47" i="1" s="1"/>
  <c r="G47" i="1" a="1"/>
  <c r="G47" i="1" s="1"/>
  <c r="BA47" i="1" a="1"/>
  <c r="BA47" i="1" s="1"/>
  <c r="BE47" i="1" a="1"/>
  <c r="BE47" i="1" s="1"/>
  <c r="AW47" i="1" a="1"/>
  <c r="AW47" i="1" s="1"/>
  <c r="AX47" i="1" s="1"/>
  <c r="AD47" i="1" a="1"/>
  <c r="AD47" i="1" s="1"/>
  <c r="AE47" i="1" s="1"/>
  <c r="AB47" i="1" s="1"/>
  <c r="T47" i="1" a="1"/>
  <c r="T47" i="1" s="1"/>
  <c r="K47" i="1" a="1"/>
  <c r="K47" i="1" s="1"/>
  <c r="AI47" i="1" a="1"/>
  <c r="AI47" i="1" s="1"/>
  <c r="Z47" i="1" a="1"/>
  <c r="Z47" i="1" s="1"/>
  <c r="R47" i="1" a="1"/>
  <c r="R47" i="1" s="1"/>
  <c r="V47" i="1" a="1"/>
  <c r="V47" i="1" s="1"/>
  <c r="O47" i="1" a="1"/>
  <c r="O47" i="1" s="1"/>
  <c r="P47" i="1" s="1"/>
  <c r="M47" i="1" s="1"/>
  <c r="J47" i="1" a="1"/>
  <c r="J47" i="1" s="1"/>
  <c r="AO44" i="1"/>
  <c r="P46" i="1"/>
  <c r="M46" i="1" s="1"/>
  <c r="AA46" i="1"/>
  <c r="L46" i="1"/>
  <c r="AE46" i="1"/>
  <c r="AB46" i="1" s="1"/>
  <c r="A47" i="1"/>
  <c r="B48" i="1"/>
  <c r="AT47" i="1" l="1"/>
  <c r="AA47" i="1"/>
  <c r="D48" i="1"/>
  <c r="E48" i="1"/>
  <c r="C48" i="1"/>
  <c r="AY46" i="1"/>
  <c r="H47" i="1"/>
  <c r="AY47" i="1" s="1"/>
  <c r="G48" i="1" a="1"/>
  <c r="G48" i="1" s="1"/>
  <c r="BB48" i="1" a="1"/>
  <c r="BB48" i="1" s="1"/>
  <c r="BD48" i="1" a="1"/>
  <c r="BD48" i="1" s="1"/>
  <c r="BF48" i="1" a="1"/>
  <c r="BF48" i="1" s="1"/>
  <c r="AW48" i="1" a="1"/>
  <c r="AW48" i="1" s="1"/>
  <c r="AS48" i="1" a="1"/>
  <c r="AS48" i="1" s="1"/>
  <c r="AH48" i="1" a="1"/>
  <c r="AH48" i="1" s="1"/>
  <c r="AJ48" i="1" a="1"/>
  <c r="AJ48" i="1" s="1"/>
  <c r="AL48" i="1" a="1"/>
  <c r="AL48" i="1" s="1"/>
  <c r="F48" i="1" a="1"/>
  <c r="F48" i="1" s="1"/>
  <c r="H48" i="1" s="1"/>
  <c r="BA48" i="1" a="1"/>
  <c r="BA48" i="1" s="1"/>
  <c r="BE48" i="1" a="1"/>
  <c r="BE48" i="1" s="1"/>
  <c r="AV48" i="1" a="1"/>
  <c r="AV48" i="1" s="1"/>
  <c r="AI48" i="1" a="1"/>
  <c r="AI48" i="1" s="1"/>
  <c r="AD48" i="1" a="1"/>
  <c r="AD48" i="1" s="1"/>
  <c r="Z48" i="1" a="1"/>
  <c r="Z48" i="1" s="1"/>
  <c r="S48" i="1" a="1"/>
  <c r="S48" i="1" s="1"/>
  <c r="U48" i="1" a="1"/>
  <c r="U48" i="1" s="1"/>
  <c r="W48" i="1" a="1"/>
  <c r="W48" i="1" s="1"/>
  <c r="O48" i="1" a="1"/>
  <c r="O48" i="1" s="1"/>
  <c r="K48" i="1" a="1"/>
  <c r="K48" i="1" s="1"/>
  <c r="J48" i="1" a="1"/>
  <c r="J48" i="1" s="1"/>
  <c r="BC48" i="1" a="1"/>
  <c r="BC48" i="1" s="1"/>
  <c r="AG48" i="1" a="1"/>
  <c r="AG48" i="1" s="1"/>
  <c r="Y48" i="1" a="1"/>
  <c r="Y48" i="1" s="1"/>
  <c r="R48" i="1" a="1"/>
  <c r="R48" i="1" s="1"/>
  <c r="V48" i="1" a="1"/>
  <c r="V48" i="1" s="1"/>
  <c r="N48" i="1" a="1"/>
  <c r="N48" i="1" s="1"/>
  <c r="AR48" i="1" a="1"/>
  <c r="AR48" i="1" s="1"/>
  <c r="AK48" i="1" a="1"/>
  <c r="AK48" i="1" s="1"/>
  <c r="AC48" i="1" a="1"/>
  <c r="AC48" i="1" s="1"/>
  <c r="T48" i="1" a="1"/>
  <c r="T48" i="1" s="1"/>
  <c r="X46" i="1"/>
  <c r="AF46" i="1"/>
  <c r="Q46" i="1" a="1"/>
  <c r="Q46" i="1" s="1"/>
  <c r="I46" i="1"/>
  <c r="X47" i="1"/>
  <c r="AF47" i="1"/>
  <c r="L47" i="1"/>
  <c r="A48" i="1"/>
  <c r="B49" i="1"/>
  <c r="D49" i="1" l="1"/>
  <c r="E49" i="1"/>
  <c r="C49" i="1"/>
  <c r="AX48" i="1"/>
  <c r="AT48" i="1"/>
  <c r="AO46" i="1"/>
  <c r="L48" i="1"/>
  <c r="AE48" i="1"/>
  <c r="AB48" i="1" s="1"/>
  <c r="P48" i="1"/>
  <c r="M48" i="1" s="1"/>
  <c r="AA48" i="1"/>
  <c r="F49" i="1" a="1"/>
  <c r="F49" i="1" s="1"/>
  <c r="BB49" i="1" a="1"/>
  <c r="BB49" i="1" s="1"/>
  <c r="BD49" i="1" a="1"/>
  <c r="BD49" i="1" s="1"/>
  <c r="BF49" i="1" a="1"/>
  <c r="BF49" i="1" s="1"/>
  <c r="AV49" i="1" a="1"/>
  <c r="AV49" i="1" s="1"/>
  <c r="AR49" i="1" a="1"/>
  <c r="AR49" i="1" s="1"/>
  <c r="AH49" i="1" a="1"/>
  <c r="AH49" i="1" s="1"/>
  <c r="AJ49" i="1" a="1"/>
  <c r="AJ49" i="1" s="1"/>
  <c r="AL49" i="1" a="1"/>
  <c r="AL49" i="1" s="1"/>
  <c r="G49" i="1" a="1"/>
  <c r="G49" i="1" s="1"/>
  <c r="BC49" i="1" a="1"/>
  <c r="BC49" i="1" s="1"/>
  <c r="AW49" i="1" a="1"/>
  <c r="AW49" i="1" s="1"/>
  <c r="AG49" i="1" a="1"/>
  <c r="AG49" i="1" s="1"/>
  <c r="AK49" i="1" a="1"/>
  <c r="AK49" i="1" s="1"/>
  <c r="AC49" i="1" a="1"/>
  <c r="AC49" i="1" s="1"/>
  <c r="Y49" i="1" a="1"/>
  <c r="Y49" i="1" s="1"/>
  <c r="S49" i="1" a="1"/>
  <c r="S49" i="1" s="1"/>
  <c r="U49" i="1" a="1"/>
  <c r="U49" i="1" s="1"/>
  <c r="W49" i="1" a="1"/>
  <c r="W49" i="1" s="1"/>
  <c r="N49" i="1" a="1"/>
  <c r="N49" i="1" s="1"/>
  <c r="BA49" i="1" a="1"/>
  <c r="BA49" i="1" s="1"/>
  <c r="BE49" i="1" a="1"/>
  <c r="BE49" i="1" s="1"/>
  <c r="AS49" i="1" a="1"/>
  <c r="AS49" i="1" s="1"/>
  <c r="AI49" i="1" a="1"/>
  <c r="AI49" i="1" s="1"/>
  <c r="Z49" i="1" a="1"/>
  <c r="Z49" i="1" s="1"/>
  <c r="T49" i="1" a="1"/>
  <c r="T49" i="1" s="1"/>
  <c r="O49" i="1" a="1"/>
  <c r="O49" i="1" s="1"/>
  <c r="J49" i="1" a="1"/>
  <c r="J49" i="1" s="1"/>
  <c r="AD49" i="1" a="1"/>
  <c r="AD49" i="1" s="1"/>
  <c r="AE49" i="1" s="1"/>
  <c r="AB49" i="1" s="1"/>
  <c r="R49" i="1" a="1"/>
  <c r="R49" i="1" s="1"/>
  <c r="V49" i="1" a="1"/>
  <c r="V49" i="1" s="1"/>
  <c r="K49" i="1" a="1"/>
  <c r="K49" i="1" s="1"/>
  <c r="I47" i="1"/>
  <c r="Q47" i="1" a="1"/>
  <c r="Q47" i="1" s="1"/>
  <c r="AO47" i="1" s="1"/>
  <c r="Q48" i="1" a="1"/>
  <c r="Q48" i="1" s="1"/>
  <c r="I48" i="1"/>
  <c r="X48" i="1"/>
  <c r="AF48" i="1"/>
  <c r="A49" i="1"/>
  <c r="B50" i="1"/>
  <c r="L49" i="1" l="1"/>
  <c r="AT49" i="1"/>
  <c r="D50" i="1"/>
  <c r="E50" i="1"/>
  <c r="C50" i="1"/>
  <c r="AX49" i="1"/>
  <c r="AY48" i="1"/>
  <c r="AO48" i="1"/>
  <c r="P49" i="1"/>
  <c r="M49" i="1" s="1"/>
  <c r="AA49" i="1"/>
  <c r="H49" i="1"/>
  <c r="G50" i="1" a="1"/>
  <c r="G50" i="1" s="1"/>
  <c r="BB50" i="1" a="1"/>
  <c r="BB50" i="1" s="1"/>
  <c r="BD50" i="1" a="1"/>
  <c r="BD50" i="1" s="1"/>
  <c r="BF50" i="1" a="1"/>
  <c r="BF50" i="1" s="1"/>
  <c r="AW50" i="1" a="1"/>
  <c r="AW50" i="1" s="1"/>
  <c r="AS50" i="1" a="1"/>
  <c r="AS50" i="1" s="1"/>
  <c r="AH50" i="1" a="1"/>
  <c r="AH50" i="1" s="1"/>
  <c r="AJ50" i="1" a="1"/>
  <c r="AJ50" i="1" s="1"/>
  <c r="AL50" i="1" a="1"/>
  <c r="AL50" i="1" s="1"/>
  <c r="BA50" i="1" a="1"/>
  <c r="BA50" i="1" s="1"/>
  <c r="BE50" i="1" a="1"/>
  <c r="BE50" i="1" s="1"/>
  <c r="AR50" i="1" a="1"/>
  <c r="AR50" i="1" s="1"/>
  <c r="AI50" i="1" a="1"/>
  <c r="AI50" i="1" s="1"/>
  <c r="AD50" i="1" a="1"/>
  <c r="AD50" i="1" s="1"/>
  <c r="Z50" i="1" a="1"/>
  <c r="Z50" i="1" s="1"/>
  <c r="S50" i="1" a="1"/>
  <c r="S50" i="1" s="1"/>
  <c r="U50" i="1" a="1"/>
  <c r="U50" i="1" s="1"/>
  <c r="W50" i="1" a="1"/>
  <c r="W50" i="1" s="1"/>
  <c r="O50" i="1" a="1"/>
  <c r="O50" i="1" s="1"/>
  <c r="K50" i="1" a="1"/>
  <c r="K50" i="1" s="1"/>
  <c r="J50" i="1" a="1"/>
  <c r="J50" i="1" s="1"/>
  <c r="F50" i="1" a="1"/>
  <c r="F50" i="1" s="1"/>
  <c r="H50" i="1" s="1"/>
  <c r="BC50" i="1" a="1"/>
  <c r="BC50" i="1" s="1"/>
  <c r="AV50" i="1" a="1"/>
  <c r="AV50" i="1" s="1"/>
  <c r="AK50" i="1" a="1"/>
  <c r="AK50" i="1" s="1"/>
  <c r="AC50" i="1" a="1"/>
  <c r="AC50" i="1" s="1"/>
  <c r="R50" i="1" a="1"/>
  <c r="R50" i="1" s="1"/>
  <c r="V50" i="1" a="1"/>
  <c r="V50" i="1" s="1"/>
  <c r="AG50" i="1" a="1"/>
  <c r="AG50" i="1" s="1"/>
  <c r="Y50" i="1" a="1"/>
  <c r="Y50" i="1" s="1"/>
  <c r="T50" i="1" a="1"/>
  <c r="T50" i="1" s="1"/>
  <c r="N50" i="1" a="1"/>
  <c r="N50" i="1" s="1"/>
  <c r="I49" i="1"/>
  <c r="Q49" i="1" a="1"/>
  <c r="Q49" i="1" s="1"/>
  <c r="X49" i="1"/>
  <c r="AF49" i="1"/>
  <c r="A50" i="1"/>
  <c r="B51" i="1"/>
  <c r="AY49" i="1" l="1"/>
  <c r="D51" i="1"/>
  <c r="E51" i="1"/>
  <c r="C51" i="1"/>
  <c r="AT50" i="1"/>
  <c r="AX50" i="1"/>
  <c r="L50" i="1"/>
  <c r="P50" i="1"/>
  <c r="M50" i="1" s="1"/>
  <c r="AA50" i="1"/>
  <c r="X50" i="1" s="1"/>
  <c r="AO49" i="1"/>
  <c r="AE50" i="1"/>
  <c r="AB50" i="1" s="1"/>
  <c r="F51" i="1" a="1"/>
  <c r="F51" i="1" s="1"/>
  <c r="BB51" i="1" a="1"/>
  <c r="BB51" i="1" s="1"/>
  <c r="BD51" i="1" a="1"/>
  <c r="BD51" i="1" s="1"/>
  <c r="BF51" i="1" a="1"/>
  <c r="BF51" i="1" s="1"/>
  <c r="AV51" i="1" a="1"/>
  <c r="AV51" i="1" s="1"/>
  <c r="AR51" i="1" a="1"/>
  <c r="AR51" i="1" s="1"/>
  <c r="AH51" i="1" a="1"/>
  <c r="AH51" i="1" s="1"/>
  <c r="AJ51" i="1" a="1"/>
  <c r="AJ51" i="1" s="1"/>
  <c r="AL51" i="1" a="1"/>
  <c r="AL51" i="1" s="1"/>
  <c r="BC51" i="1" a="1"/>
  <c r="BC51" i="1" s="1"/>
  <c r="AS51" i="1" a="1"/>
  <c r="AS51" i="1" s="1"/>
  <c r="AG51" i="1" a="1"/>
  <c r="AG51" i="1" s="1"/>
  <c r="AK51" i="1" a="1"/>
  <c r="AK51" i="1" s="1"/>
  <c r="AC51" i="1" a="1"/>
  <c r="AC51" i="1" s="1"/>
  <c r="Y51" i="1" a="1"/>
  <c r="Y51" i="1" s="1"/>
  <c r="S51" i="1" a="1"/>
  <c r="S51" i="1" s="1"/>
  <c r="U51" i="1" a="1"/>
  <c r="U51" i="1" s="1"/>
  <c r="W51" i="1" a="1"/>
  <c r="W51" i="1" s="1"/>
  <c r="N51" i="1" a="1"/>
  <c r="N51" i="1" s="1"/>
  <c r="G51" i="1" a="1"/>
  <c r="G51" i="1" s="1"/>
  <c r="BA51" i="1" a="1"/>
  <c r="BA51" i="1" s="1"/>
  <c r="BE51" i="1" a="1"/>
  <c r="BE51" i="1" s="1"/>
  <c r="AW51" i="1" a="1"/>
  <c r="AW51" i="1" s="1"/>
  <c r="AX51" i="1" s="1"/>
  <c r="AD51" i="1" a="1"/>
  <c r="AD51" i="1" s="1"/>
  <c r="AE51" i="1" s="1"/>
  <c r="AB51" i="1" s="1"/>
  <c r="T51" i="1" a="1"/>
  <c r="T51" i="1" s="1"/>
  <c r="K51" i="1" a="1"/>
  <c r="K51" i="1" s="1"/>
  <c r="AI51" i="1" a="1"/>
  <c r="AI51" i="1" s="1"/>
  <c r="Z51" i="1" a="1"/>
  <c r="Z51" i="1" s="1"/>
  <c r="R51" i="1" a="1"/>
  <c r="R51" i="1" s="1"/>
  <c r="V51" i="1" a="1"/>
  <c r="V51" i="1" s="1"/>
  <c r="O51" i="1" a="1"/>
  <c r="O51" i="1" s="1"/>
  <c r="P51" i="1" s="1"/>
  <c r="M51" i="1" s="1"/>
  <c r="J51" i="1" a="1"/>
  <c r="J51" i="1" s="1"/>
  <c r="I50" i="1"/>
  <c r="AF50" i="1"/>
  <c r="A51" i="1"/>
  <c r="B52" i="1"/>
  <c r="AA51" i="1" l="1"/>
  <c r="Q50" i="1" a="1"/>
  <c r="Q50" i="1" s="1"/>
  <c r="AO50" i="1" s="1"/>
  <c r="D52" i="1"/>
  <c r="E52" i="1"/>
  <c r="C52" i="1"/>
  <c r="AT51" i="1"/>
  <c r="AY50" i="1"/>
  <c r="L51" i="1"/>
  <c r="H51" i="1"/>
  <c r="G52" i="1" a="1"/>
  <c r="G52" i="1" s="1"/>
  <c r="BB52" i="1" a="1"/>
  <c r="BB52" i="1" s="1"/>
  <c r="BD52" i="1" a="1"/>
  <c r="BD52" i="1" s="1"/>
  <c r="BF52" i="1" a="1"/>
  <c r="BF52" i="1" s="1"/>
  <c r="AW52" i="1" a="1"/>
  <c r="AW52" i="1" s="1"/>
  <c r="AS52" i="1" a="1"/>
  <c r="AS52" i="1" s="1"/>
  <c r="AH52" i="1" a="1"/>
  <c r="AH52" i="1" s="1"/>
  <c r="AJ52" i="1" a="1"/>
  <c r="AJ52" i="1" s="1"/>
  <c r="AL52" i="1" a="1"/>
  <c r="AL52" i="1" s="1"/>
  <c r="F52" i="1" a="1"/>
  <c r="F52" i="1" s="1"/>
  <c r="BA52" i="1" a="1"/>
  <c r="BA52" i="1" s="1"/>
  <c r="BE52" i="1" a="1"/>
  <c r="BE52" i="1" s="1"/>
  <c r="AV52" i="1" a="1"/>
  <c r="AV52" i="1" s="1"/>
  <c r="AI52" i="1" a="1"/>
  <c r="AI52" i="1" s="1"/>
  <c r="AD52" i="1" a="1"/>
  <c r="AD52" i="1" s="1"/>
  <c r="Z52" i="1" a="1"/>
  <c r="Z52" i="1" s="1"/>
  <c r="S52" i="1" a="1"/>
  <c r="S52" i="1" s="1"/>
  <c r="U52" i="1" a="1"/>
  <c r="U52" i="1" s="1"/>
  <c r="W52" i="1" a="1"/>
  <c r="W52" i="1" s="1"/>
  <c r="O52" i="1" a="1"/>
  <c r="O52" i="1" s="1"/>
  <c r="K52" i="1" a="1"/>
  <c r="K52" i="1" s="1"/>
  <c r="J52" i="1" a="1"/>
  <c r="J52" i="1" s="1"/>
  <c r="BC52" i="1" a="1"/>
  <c r="BC52" i="1" s="1"/>
  <c r="AR52" i="1" a="1"/>
  <c r="AR52" i="1" s="1"/>
  <c r="AG52" i="1" a="1"/>
  <c r="AG52" i="1" s="1"/>
  <c r="Y52" i="1" a="1"/>
  <c r="Y52" i="1" s="1"/>
  <c r="R52" i="1" a="1"/>
  <c r="R52" i="1" s="1"/>
  <c r="V52" i="1" a="1"/>
  <c r="V52" i="1" s="1"/>
  <c r="N52" i="1" a="1"/>
  <c r="N52" i="1" s="1"/>
  <c r="AK52" i="1" a="1"/>
  <c r="AK52" i="1" s="1"/>
  <c r="AC52" i="1" a="1"/>
  <c r="AC52" i="1" s="1"/>
  <c r="T52" i="1" a="1"/>
  <c r="T52" i="1" s="1"/>
  <c r="X51" i="1"/>
  <c r="AF51" i="1"/>
  <c r="I51" i="1"/>
  <c r="Q51" i="1" a="1"/>
  <c r="Q51" i="1" s="1"/>
  <c r="AO51" i="1" s="1"/>
  <c r="A52" i="1"/>
  <c r="B53" i="1"/>
  <c r="AY51" i="1" l="1"/>
  <c r="D53" i="1"/>
  <c r="E53" i="1"/>
  <c r="C53" i="1"/>
  <c r="AT52" i="1"/>
  <c r="AX52" i="1"/>
  <c r="L52" i="1"/>
  <c r="AE52" i="1"/>
  <c r="AB52" i="1" s="1"/>
  <c r="P52" i="1"/>
  <c r="M52" i="1" s="1"/>
  <c r="AA52" i="1"/>
  <c r="H52" i="1"/>
  <c r="F53" i="1" a="1"/>
  <c r="F53" i="1" s="1"/>
  <c r="BB53" i="1" a="1"/>
  <c r="BB53" i="1" s="1"/>
  <c r="BD53" i="1" a="1"/>
  <c r="BD53" i="1" s="1"/>
  <c r="BF53" i="1" a="1"/>
  <c r="BF53" i="1" s="1"/>
  <c r="AV53" i="1" a="1"/>
  <c r="AV53" i="1" s="1"/>
  <c r="AR53" i="1" a="1"/>
  <c r="AR53" i="1" s="1"/>
  <c r="AH53" i="1" a="1"/>
  <c r="AH53" i="1" s="1"/>
  <c r="AJ53" i="1" a="1"/>
  <c r="AJ53" i="1" s="1"/>
  <c r="AL53" i="1" a="1"/>
  <c r="AL53" i="1" s="1"/>
  <c r="G53" i="1" a="1"/>
  <c r="G53" i="1" s="1"/>
  <c r="BC53" i="1" a="1"/>
  <c r="BC53" i="1" s="1"/>
  <c r="AW53" i="1" a="1"/>
  <c r="AW53" i="1" s="1"/>
  <c r="AG53" i="1" a="1"/>
  <c r="AG53" i="1" s="1"/>
  <c r="AK53" i="1" a="1"/>
  <c r="AK53" i="1" s="1"/>
  <c r="AC53" i="1" a="1"/>
  <c r="AC53" i="1" s="1"/>
  <c r="Y53" i="1" a="1"/>
  <c r="Y53" i="1" s="1"/>
  <c r="S53" i="1" a="1"/>
  <c r="S53" i="1" s="1"/>
  <c r="U53" i="1" a="1"/>
  <c r="U53" i="1" s="1"/>
  <c r="W53" i="1" a="1"/>
  <c r="W53" i="1" s="1"/>
  <c r="N53" i="1" a="1"/>
  <c r="N53" i="1" s="1"/>
  <c r="BA53" i="1" a="1"/>
  <c r="BA53" i="1" s="1"/>
  <c r="BE53" i="1" a="1"/>
  <c r="BE53" i="1" s="1"/>
  <c r="AS53" i="1" a="1"/>
  <c r="AS53" i="1" s="1"/>
  <c r="AI53" i="1" a="1"/>
  <c r="AI53" i="1" s="1"/>
  <c r="Z53" i="1" a="1"/>
  <c r="Z53" i="1" s="1"/>
  <c r="T53" i="1" a="1"/>
  <c r="T53" i="1" s="1"/>
  <c r="O53" i="1" a="1"/>
  <c r="O53" i="1" s="1"/>
  <c r="J53" i="1" a="1"/>
  <c r="J53" i="1" s="1"/>
  <c r="AD53" i="1" a="1"/>
  <c r="AD53" i="1" s="1"/>
  <c r="AE53" i="1" s="1"/>
  <c r="AB53" i="1" s="1"/>
  <c r="R53" i="1" a="1"/>
  <c r="R53" i="1" s="1"/>
  <c r="V53" i="1" a="1"/>
  <c r="V53" i="1" s="1"/>
  <c r="K53" i="1" a="1"/>
  <c r="K53" i="1" s="1"/>
  <c r="Q52" i="1" a="1"/>
  <c r="Q52" i="1" s="1"/>
  <c r="I52" i="1"/>
  <c r="X52" i="1"/>
  <c r="AF52" i="1"/>
  <c r="A53" i="1"/>
  <c r="B54" i="1"/>
  <c r="AT53" i="1" l="1"/>
  <c r="D54" i="1"/>
  <c r="E54" i="1"/>
  <c r="C54" i="1"/>
  <c r="AX53" i="1"/>
  <c r="L53" i="1"/>
  <c r="AY52" i="1"/>
  <c r="P53" i="1"/>
  <c r="M53" i="1" s="1"/>
  <c r="AA53" i="1"/>
  <c r="AO52" i="1"/>
  <c r="H53" i="1"/>
  <c r="AY53" i="1" s="1"/>
  <c r="G54" i="1" a="1"/>
  <c r="G54" i="1" s="1"/>
  <c r="BB54" i="1" a="1"/>
  <c r="BB54" i="1" s="1"/>
  <c r="BD54" i="1" a="1"/>
  <c r="BD54" i="1" s="1"/>
  <c r="BF54" i="1" a="1"/>
  <c r="BF54" i="1" s="1"/>
  <c r="AW54" i="1" a="1"/>
  <c r="AW54" i="1" s="1"/>
  <c r="AS54" i="1" a="1"/>
  <c r="AS54" i="1" s="1"/>
  <c r="AH54" i="1" a="1"/>
  <c r="AH54" i="1" s="1"/>
  <c r="AJ54" i="1" a="1"/>
  <c r="AJ54" i="1" s="1"/>
  <c r="AL54" i="1" a="1"/>
  <c r="AL54" i="1" s="1"/>
  <c r="BA54" i="1" a="1"/>
  <c r="BA54" i="1" s="1"/>
  <c r="BE54" i="1" a="1"/>
  <c r="BE54" i="1" s="1"/>
  <c r="AR54" i="1" a="1"/>
  <c r="AR54" i="1" s="1"/>
  <c r="AI54" i="1" a="1"/>
  <c r="AI54" i="1" s="1"/>
  <c r="AD54" i="1" a="1"/>
  <c r="AD54" i="1" s="1"/>
  <c r="Z54" i="1" a="1"/>
  <c r="Z54" i="1" s="1"/>
  <c r="S54" i="1" a="1"/>
  <c r="S54" i="1" s="1"/>
  <c r="U54" i="1" a="1"/>
  <c r="U54" i="1" s="1"/>
  <c r="W54" i="1" a="1"/>
  <c r="W54" i="1" s="1"/>
  <c r="O54" i="1" a="1"/>
  <c r="O54" i="1" s="1"/>
  <c r="K54" i="1" a="1"/>
  <c r="K54" i="1" s="1"/>
  <c r="J54" i="1" a="1"/>
  <c r="J54" i="1" s="1"/>
  <c r="F54" i="1" a="1"/>
  <c r="F54" i="1" s="1"/>
  <c r="H54" i="1" s="1"/>
  <c r="BC54" i="1" a="1"/>
  <c r="BC54" i="1" s="1"/>
  <c r="AV54" i="1" a="1"/>
  <c r="AV54" i="1" s="1"/>
  <c r="AK54" i="1" a="1"/>
  <c r="AK54" i="1" s="1"/>
  <c r="AC54" i="1" a="1"/>
  <c r="AC54" i="1" s="1"/>
  <c r="R54" i="1" a="1"/>
  <c r="R54" i="1" s="1"/>
  <c r="V54" i="1" a="1"/>
  <c r="V54" i="1" s="1"/>
  <c r="AG54" i="1" a="1"/>
  <c r="AG54" i="1" s="1"/>
  <c r="Y54" i="1" a="1"/>
  <c r="Y54" i="1" s="1"/>
  <c r="T54" i="1" a="1"/>
  <c r="T54" i="1" s="1"/>
  <c r="N54" i="1" a="1"/>
  <c r="N54" i="1" s="1"/>
  <c r="I53" i="1"/>
  <c r="Q53" i="1" a="1"/>
  <c r="Q53" i="1" s="1"/>
  <c r="X53" i="1"/>
  <c r="AF53" i="1"/>
  <c r="A54" i="1"/>
  <c r="B55" i="1"/>
  <c r="D55" i="1" l="1"/>
  <c r="E55" i="1"/>
  <c r="C55" i="1"/>
  <c r="AX54" i="1"/>
  <c r="L54" i="1"/>
  <c r="AT54" i="1"/>
  <c r="AY54" i="1" s="1"/>
  <c r="P54" i="1"/>
  <c r="M54" i="1" s="1"/>
  <c r="AA54" i="1"/>
  <c r="AO53" i="1"/>
  <c r="AE54" i="1"/>
  <c r="AB54" i="1" s="1"/>
  <c r="F55" i="1" a="1"/>
  <c r="F55" i="1" s="1"/>
  <c r="BB55" i="1" a="1"/>
  <c r="BB55" i="1" s="1"/>
  <c r="BD55" i="1" a="1"/>
  <c r="BD55" i="1" s="1"/>
  <c r="BF55" i="1" a="1"/>
  <c r="BF55" i="1" s="1"/>
  <c r="AV55" i="1" a="1"/>
  <c r="AV55" i="1" s="1"/>
  <c r="AR55" i="1" a="1"/>
  <c r="AR55" i="1" s="1"/>
  <c r="AH55" i="1" a="1"/>
  <c r="AH55" i="1" s="1"/>
  <c r="AJ55" i="1" a="1"/>
  <c r="AJ55" i="1" s="1"/>
  <c r="AL55" i="1" a="1"/>
  <c r="AL55" i="1" s="1"/>
  <c r="BC55" i="1" a="1"/>
  <c r="BC55" i="1" s="1"/>
  <c r="AS55" i="1" a="1"/>
  <c r="AS55" i="1" s="1"/>
  <c r="AG55" i="1" a="1"/>
  <c r="AG55" i="1" s="1"/>
  <c r="AK55" i="1" a="1"/>
  <c r="AK55" i="1" s="1"/>
  <c r="AC55" i="1" a="1"/>
  <c r="AC55" i="1" s="1"/>
  <c r="Y55" i="1" a="1"/>
  <c r="Y55" i="1" s="1"/>
  <c r="S55" i="1" a="1"/>
  <c r="S55" i="1" s="1"/>
  <c r="U55" i="1" a="1"/>
  <c r="U55" i="1" s="1"/>
  <c r="W55" i="1" a="1"/>
  <c r="W55" i="1" s="1"/>
  <c r="N55" i="1" a="1"/>
  <c r="N55" i="1" s="1"/>
  <c r="G55" i="1" a="1"/>
  <c r="G55" i="1" s="1"/>
  <c r="BA55" i="1" a="1"/>
  <c r="BA55" i="1" s="1"/>
  <c r="BE55" i="1" a="1"/>
  <c r="BE55" i="1" s="1"/>
  <c r="AW55" i="1" a="1"/>
  <c r="AW55" i="1" s="1"/>
  <c r="AX55" i="1" s="1"/>
  <c r="AD55" i="1" a="1"/>
  <c r="AD55" i="1" s="1"/>
  <c r="AE55" i="1" s="1"/>
  <c r="AB55" i="1" s="1"/>
  <c r="T55" i="1" a="1"/>
  <c r="T55" i="1" s="1"/>
  <c r="K55" i="1" a="1"/>
  <c r="K55" i="1" s="1"/>
  <c r="AI55" i="1" a="1"/>
  <c r="AI55" i="1" s="1"/>
  <c r="Z55" i="1" a="1"/>
  <c r="Z55" i="1" s="1"/>
  <c r="R55" i="1" a="1"/>
  <c r="R55" i="1" s="1"/>
  <c r="V55" i="1" a="1"/>
  <c r="V55" i="1" s="1"/>
  <c r="O55" i="1" a="1"/>
  <c r="O55" i="1" s="1"/>
  <c r="P55" i="1" s="1"/>
  <c r="M55" i="1" s="1"/>
  <c r="J55" i="1" a="1"/>
  <c r="J55" i="1" s="1"/>
  <c r="Q54" i="1" a="1"/>
  <c r="Q54" i="1" s="1"/>
  <c r="I54" i="1"/>
  <c r="X54" i="1"/>
  <c r="AF54" i="1"/>
  <c r="A55" i="1"/>
  <c r="B56" i="1"/>
  <c r="AT55" i="1" l="1"/>
  <c r="D56" i="1"/>
  <c r="E56" i="1"/>
  <c r="C56" i="1"/>
  <c r="AA55" i="1"/>
  <c r="L55" i="1"/>
  <c r="I55" i="1" s="1"/>
  <c r="AO54" i="1"/>
  <c r="H55" i="1"/>
  <c r="G56" i="1" a="1"/>
  <c r="G56" i="1" s="1"/>
  <c r="BB56" i="1" a="1"/>
  <c r="BB56" i="1" s="1"/>
  <c r="BD56" i="1" a="1"/>
  <c r="BD56" i="1" s="1"/>
  <c r="BF56" i="1" a="1"/>
  <c r="BF56" i="1" s="1"/>
  <c r="AW56" i="1" a="1"/>
  <c r="AW56" i="1" s="1"/>
  <c r="AS56" i="1" a="1"/>
  <c r="AS56" i="1" s="1"/>
  <c r="AH56" i="1" a="1"/>
  <c r="AH56" i="1" s="1"/>
  <c r="AJ56" i="1" a="1"/>
  <c r="AJ56" i="1" s="1"/>
  <c r="AL56" i="1" a="1"/>
  <c r="AL56" i="1" s="1"/>
  <c r="F56" i="1" a="1"/>
  <c r="F56" i="1" s="1"/>
  <c r="H56" i="1" s="1"/>
  <c r="BA56" i="1" a="1"/>
  <c r="BA56" i="1" s="1"/>
  <c r="BE56" i="1" a="1"/>
  <c r="BE56" i="1" s="1"/>
  <c r="AV56" i="1" a="1"/>
  <c r="AV56" i="1" s="1"/>
  <c r="AI56" i="1" a="1"/>
  <c r="AI56" i="1" s="1"/>
  <c r="AD56" i="1" a="1"/>
  <c r="AD56" i="1" s="1"/>
  <c r="Z56" i="1" a="1"/>
  <c r="Z56" i="1" s="1"/>
  <c r="S56" i="1" a="1"/>
  <c r="S56" i="1" s="1"/>
  <c r="U56" i="1" a="1"/>
  <c r="U56" i="1" s="1"/>
  <c r="W56" i="1" a="1"/>
  <c r="W56" i="1" s="1"/>
  <c r="O56" i="1" a="1"/>
  <c r="O56" i="1" s="1"/>
  <c r="K56" i="1" a="1"/>
  <c r="K56" i="1" s="1"/>
  <c r="J56" i="1" a="1"/>
  <c r="J56" i="1" s="1"/>
  <c r="BC56" i="1" a="1"/>
  <c r="BC56" i="1" s="1"/>
  <c r="AG56" i="1" a="1"/>
  <c r="AG56" i="1" s="1"/>
  <c r="Y56" i="1" a="1"/>
  <c r="Y56" i="1" s="1"/>
  <c r="R56" i="1" a="1"/>
  <c r="R56" i="1" s="1"/>
  <c r="V56" i="1" a="1"/>
  <c r="V56" i="1" s="1"/>
  <c r="N56" i="1" a="1"/>
  <c r="N56" i="1" s="1"/>
  <c r="AR56" i="1" a="1"/>
  <c r="AR56" i="1" s="1"/>
  <c r="AK56" i="1" a="1"/>
  <c r="AK56" i="1" s="1"/>
  <c r="AC56" i="1" a="1"/>
  <c r="AC56" i="1" s="1"/>
  <c r="T56" i="1" a="1"/>
  <c r="T56" i="1" s="1"/>
  <c r="X55" i="1"/>
  <c r="AF55" i="1"/>
  <c r="Q55" i="1" a="1"/>
  <c r="Q55" i="1" s="1"/>
  <c r="A56" i="1"/>
  <c r="B57" i="1"/>
  <c r="AO55" i="1" l="1"/>
  <c r="AY55" i="1"/>
  <c r="D57" i="1"/>
  <c r="E57" i="1"/>
  <c r="C57" i="1"/>
  <c r="AX56" i="1"/>
  <c r="AA56" i="1"/>
  <c r="AT56" i="1"/>
  <c r="AY56" i="1" s="1"/>
  <c r="L56" i="1"/>
  <c r="AE56" i="1"/>
  <c r="AB56" i="1" s="1"/>
  <c r="P56" i="1"/>
  <c r="M56" i="1" s="1"/>
  <c r="F57" i="1" a="1"/>
  <c r="F57" i="1" s="1"/>
  <c r="BB57" i="1" a="1"/>
  <c r="BB57" i="1" s="1"/>
  <c r="BD57" i="1" a="1"/>
  <c r="BD57" i="1" s="1"/>
  <c r="BF57" i="1" a="1"/>
  <c r="BF57" i="1" s="1"/>
  <c r="AV57" i="1" a="1"/>
  <c r="AV57" i="1" s="1"/>
  <c r="AR57" i="1" a="1"/>
  <c r="AR57" i="1" s="1"/>
  <c r="AH57" i="1" a="1"/>
  <c r="AH57" i="1" s="1"/>
  <c r="AJ57" i="1" a="1"/>
  <c r="AJ57" i="1" s="1"/>
  <c r="AL57" i="1" a="1"/>
  <c r="AL57" i="1" s="1"/>
  <c r="G57" i="1" a="1"/>
  <c r="G57" i="1" s="1"/>
  <c r="BC57" i="1" a="1"/>
  <c r="BC57" i="1" s="1"/>
  <c r="AW57" i="1" a="1"/>
  <c r="AW57" i="1" s="1"/>
  <c r="AG57" i="1" a="1"/>
  <c r="AG57" i="1" s="1"/>
  <c r="AK57" i="1" a="1"/>
  <c r="AK57" i="1" s="1"/>
  <c r="AC57" i="1" a="1"/>
  <c r="AC57" i="1" s="1"/>
  <c r="Y57" i="1" a="1"/>
  <c r="Y57" i="1" s="1"/>
  <c r="S57" i="1" a="1"/>
  <c r="S57" i="1" s="1"/>
  <c r="U57" i="1" a="1"/>
  <c r="U57" i="1" s="1"/>
  <c r="W57" i="1" a="1"/>
  <c r="W57" i="1" s="1"/>
  <c r="N57" i="1" a="1"/>
  <c r="N57" i="1" s="1"/>
  <c r="BA57" i="1" a="1"/>
  <c r="BA57" i="1" s="1"/>
  <c r="BE57" i="1" a="1"/>
  <c r="BE57" i="1" s="1"/>
  <c r="AS57" i="1" a="1"/>
  <c r="AS57" i="1" s="1"/>
  <c r="AT57" i="1" s="1"/>
  <c r="AI57" i="1" a="1"/>
  <c r="AI57" i="1" s="1"/>
  <c r="Z57" i="1" a="1"/>
  <c r="Z57" i="1" s="1"/>
  <c r="T57" i="1" a="1"/>
  <c r="T57" i="1" s="1"/>
  <c r="O57" i="1" a="1"/>
  <c r="O57" i="1" s="1"/>
  <c r="J57" i="1" a="1"/>
  <c r="J57" i="1" s="1"/>
  <c r="AD57" i="1" a="1"/>
  <c r="AD57" i="1" s="1"/>
  <c r="AE57" i="1" s="1"/>
  <c r="AB57" i="1" s="1"/>
  <c r="R57" i="1" a="1"/>
  <c r="R57" i="1" s="1"/>
  <c r="V57" i="1" a="1"/>
  <c r="V57" i="1" s="1"/>
  <c r="K57" i="1" a="1"/>
  <c r="K57" i="1" s="1"/>
  <c r="Q56" i="1" a="1"/>
  <c r="Q56" i="1" s="1"/>
  <c r="I56" i="1"/>
  <c r="X56" i="1"/>
  <c r="A57" i="1"/>
  <c r="B58" i="1"/>
  <c r="D58" i="1" l="1"/>
  <c r="E58" i="1"/>
  <c r="C58" i="1"/>
  <c r="AF56" i="1"/>
  <c r="AX57" i="1"/>
  <c r="AO56" i="1"/>
  <c r="P57" i="1"/>
  <c r="M57" i="1" s="1"/>
  <c r="AA57" i="1"/>
  <c r="H57" i="1"/>
  <c r="L57" i="1"/>
  <c r="G58" i="1" a="1"/>
  <c r="G58" i="1" s="1"/>
  <c r="BB58" i="1" a="1"/>
  <c r="BB58" i="1" s="1"/>
  <c r="BD58" i="1" a="1"/>
  <c r="BD58" i="1" s="1"/>
  <c r="BF58" i="1" a="1"/>
  <c r="BF58" i="1" s="1"/>
  <c r="AW58" i="1" a="1"/>
  <c r="AW58" i="1" s="1"/>
  <c r="AS58" i="1" a="1"/>
  <c r="AS58" i="1" s="1"/>
  <c r="AH58" i="1" a="1"/>
  <c r="AH58" i="1" s="1"/>
  <c r="AJ58" i="1" a="1"/>
  <c r="AJ58" i="1" s="1"/>
  <c r="AL58" i="1" a="1"/>
  <c r="AL58" i="1" s="1"/>
  <c r="BA58" i="1" a="1"/>
  <c r="BA58" i="1" s="1"/>
  <c r="BE58" i="1" a="1"/>
  <c r="BE58" i="1" s="1"/>
  <c r="AR58" i="1" a="1"/>
  <c r="AR58" i="1" s="1"/>
  <c r="AI58" i="1" a="1"/>
  <c r="AI58" i="1" s="1"/>
  <c r="AD58" i="1" a="1"/>
  <c r="AD58" i="1" s="1"/>
  <c r="Z58" i="1" a="1"/>
  <c r="Z58" i="1" s="1"/>
  <c r="S58" i="1" a="1"/>
  <c r="S58" i="1" s="1"/>
  <c r="U58" i="1" a="1"/>
  <c r="U58" i="1" s="1"/>
  <c r="W58" i="1" a="1"/>
  <c r="W58" i="1" s="1"/>
  <c r="O58" i="1" a="1"/>
  <c r="O58" i="1" s="1"/>
  <c r="K58" i="1" a="1"/>
  <c r="K58" i="1" s="1"/>
  <c r="J58" i="1" a="1"/>
  <c r="J58" i="1" s="1"/>
  <c r="F58" i="1" a="1"/>
  <c r="F58" i="1" s="1"/>
  <c r="BC58" i="1" a="1"/>
  <c r="BC58" i="1" s="1"/>
  <c r="AV58" i="1" a="1"/>
  <c r="AV58" i="1" s="1"/>
  <c r="AK58" i="1" a="1"/>
  <c r="AK58" i="1" s="1"/>
  <c r="AC58" i="1" a="1"/>
  <c r="AC58" i="1" s="1"/>
  <c r="R58" i="1" a="1"/>
  <c r="R58" i="1" s="1"/>
  <c r="V58" i="1" a="1"/>
  <c r="V58" i="1" s="1"/>
  <c r="AG58" i="1" a="1"/>
  <c r="AG58" i="1" s="1"/>
  <c r="Y58" i="1" a="1"/>
  <c r="Y58" i="1" s="1"/>
  <c r="T58" i="1" a="1"/>
  <c r="T58" i="1" s="1"/>
  <c r="N58" i="1" a="1"/>
  <c r="N58" i="1" s="1"/>
  <c r="I57" i="1"/>
  <c r="Q57" i="1" a="1"/>
  <c r="Q57" i="1" s="1"/>
  <c r="X57" i="1"/>
  <c r="AF57" i="1"/>
  <c r="A58" i="1"/>
  <c r="B59" i="1"/>
  <c r="D59" i="1" l="1"/>
  <c r="E59" i="1"/>
  <c r="C59" i="1"/>
  <c r="AY57" i="1"/>
  <c r="AT58" i="1"/>
  <c r="AX58" i="1"/>
  <c r="P58" i="1"/>
  <c r="M58" i="1" s="1"/>
  <c r="AA58" i="1"/>
  <c r="AO57" i="1"/>
  <c r="H58" i="1"/>
  <c r="L58" i="1"/>
  <c r="AE58" i="1"/>
  <c r="AB58" i="1" s="1"/>
  <c r="F59" i="1" a="1"/>
  <c r="F59" i="1" s="1"/>
  <c r="BB59" i="1" a="1"/>
  <c r="BB59" i="1" s="1"/>
  <c r="BD59" i="1" a="1"/>
  <c r="BD59" i="1" s="1"/>
  <c r="BF59" i="1" a="1"/>
  <c r="BF59" i="1" s="1"/>
  <c r="AV59" i="1" a="1"/>
  <c r="AV59" i="1" s="1"/>
  <c r="AR59" i="1" a="1"/>
  <c r="AR59" i="1" s="1"/>
  <c r="AH59" i="1" a="1"/>
  <c r="AH59" i="1" s="1"/>
  <c r="AJ59" i="1" a="1"/>
  <c r="AJ59" i="1" s="1"/>
  <c r="AL59" i="1" a="1"/>
  <c r="AL59" i="1" s="1"/>
  <c r="BC59" i="1" a="1"/>
  <c r="BC59" i="1" s="1"/>
  <c r="AS59" i="1" a="1"/>
  <c r="AS59" i="1" s="1"/>
  <c r="AG59" i="1" a="1"/>
  <c r="AG59" i="1" s="1"/>
  <c r="AK59" i="1" a="1"/>
  <c r="AK59" i="1" s="1"/>
  <c r="AC59" i="1" a="1"/>
  <c r="AC59" i="1" s="1"/>
  <c r="Y59" i="1" a="1"/>
  <c r="Y59" i="1" s="1"/>
  <c r="S59" i="1" a="1"/>
  <c r="S59" i="1" s="1"/>
  <c r="U59" i="1" a="1"/>
  <c r="U59" i="1" s="1"/>
  <c r="W59" i="1" a="1"/>
  <c r="W59" i="1" s="1"/>
  <c r="N59" i="1" a="1"/>
  <c r="N59" i="1" s="1"/>
  <c r="G59" i="1" a="1"/>
  <c r="G59" i="1" s="1"/>
  <c r="BA59" i="1" a="1"/>
  <c r="BA59" i="1" s="1"/>
  <c r="BE59" i="1" a="1"/>
  <c r="BE59" i="1" s="1"/>
  <c r="AW59" i="1" a="1"/>
  <c r="AW59" i="1" s="1"/>
  <c r="AX59" i="1" s="1"/>
  <c r="AD59" i="1" a="1"/>
  <c r="AD59" i="1" s="1"/>
  <c r="AE59" i="1" s="1"/>
  <c r="AB59" i="1" s="1"/>
  <c r="T59" i="1" a="1"/>
  <c r="T59" i="1" s="1"/>
  <c r="K59" i="1" a="1"/>
  <c r="K59" i="1" s="1"/>
  <c r="AI59" i="1" a="1"/>
  <c r="AI59" i="1" s="1"/>
  <c r="Z59" i="1" a="1"/>
  <c r="Z59" i="1" s="1"/>
  <c r="R59" i="1" a="1"/>
  <c r="R59" i="1" s="1"/>
  <c r="V59" i="1" a="1"/>
  <c r="V59" i="1" s="1"/>
  <c r="O59" i="1" a="1"/>
  <c r="O59" i="1" s="1"/>
  <c r="P59" i="1" s="1"/>
  <c r="M59" i="1" s="1"/>
  <c r="J59" i="1" a="1"/>
  <c r="J59" i="1" s="1"/>
  <c r="Q58" i="1" a="1"/>
  <c r="Q58" i="1" s="1"/>
  <c r="I58" i="1"/>
  <c r="X58" i="1"/>
  <c r="AF58" i="1"/>
  <c r="A59" i="1"/>
  <c r="B60" i="1"/>
  <c r="AT59" i="1" l="1"/>
  <c r="D60" i="1"/>
  <c r="E60" i="1"/>
  <c r="C60" i="1"/>
  <c r="AA59" i="1"/>
  <c r="AY58" i="1"/>
  <c r="AO58" i="1"/>
  <c r="L59" i="1"/>
  <c r="H59" i="1"/>
  <c r="AY59" i="1" s="1"/>
  <c r="G60" i="1" a="1"/>
  <c r="G60" i="1" s="1"/>
  <c r="BB60" i="1" a="1"/>
  <c r="BB60" i="1" s="1"/>
  <c r="BD60" i="1" a="1"/>
  <c r="BD60" i="1" s="1"/>
  <c r="BF60" i="1" a="1"/>
  <c r="BF60" i="1" s="1"/>
  <c r="AW60" i="1" a="1"/>
  <c r="AW60" i="1" s="1"/>
  <c r="AS60" i="1" a="1"/>
  <c r="AS60" i="1" s="1"/>
  <c r="AH60" i="1" a="1"/>
  <c r="AH60" i="1" s="1"/>
  <c r="AJ60" i="1" a="1"/>
  <c r="AJ60" i="1" s="1"/>
  <c r="AL60" i="1" a="1"/>
  <c r="AL60" i="1" s="1"/>
  <c r="F60" i="1" a="1"/>
  <c r="F60" i="1" s="1"/>
  <c r="H60" i="1" s="1"/>
  <c r="BA60" i="1" a="1"/>
  <c r="BA60" i="1" s="1"/>
  <c r="BE60" i="1" a="1"/>
  <c r="BE60" i="1" s="1"/>
  <c r="AV60" i="1" a="1"/>
  <c r="AV60" i="1" s="1"/>
  <c r="AI60" i="1" a="1"/>
  <c r="AI60" i="1" s="1"/>
  <c r="AD60" i="1" a="1"/>
  <c r="AD60" i="1" s="1"/>
  <c r="Z60" i="1" a="1"/>
  <c r="Z60" i="1" s="1"/>
  <c r="S60" i="1" a="1"/>
  <c r="S60" i="1" s="1"/>
  <c r="U60" i="1" a="1"/>
  <c r="U60" i="1" s="1"/>
  <c r="W60" i="1" a="1"/>
  <c r="W60" i="1" s="1"/>
  <c r="O60" i="1" a="1"/>
  <c r="O60" i="1" s="1"/>
  <c r="K60" i="1" a="1"/>
  <c r="K60" i="1" s="1"/>
  <c r="J60" i="1" a="1"/>
  <c r="J60" i="1" s="1"/>
  <c r="BC60" i="1" a="1"/>
  <c r="BC60" i="1" s="1"/>
  <c r="AR60" i="1" a="1"/>
  <c r="AR60" i="1" s="1"/>
  <c r="AG60" i="1" a="1"/>
  <c r="AG60" i="1" s="1"/>
  <c r="Y60" i="1" a="1"/>
  <c r="Y60" i="1" s="1"/>
  <c r="R60" i="1" a="1"/>
  <c r="R60" i="1" s="1"/>
  <c r="V60" i="1" a="1"/>
  <c r="V60" i="1" s="1"/>
  <c r="N60" i="1" a="1"/>
  <c r="N60" i="1" s="1"/>
  <c r="AK60" i="1" a="1"/>
  <c r="AK60" i="1" s="1"/>
  <c r="AC60" i="1" a="1"/>
  <c r="AC60" i="1" s="1"/>
  <c r="T60" i="1" a="1"/>
  <c r="T60" i="1" s="1"/>
  <c r="X59" i="1"/>
  <c r="AF59" i="1"/>
  <c r="I59" i="1"/>
  <c r="Q59" i="1" a="1"/>
  <c r="Q59" i="1" s="1"/>
  <c r="AO59" i="1" s="1"/>
  <c r="A60" i="1"/>
  <c r="B61" i="1"/>
  <c r="D61" i="1" l="1"/>
  <c r="E61" i="1"/>
  <c r="C61" i="1"/>
  <c r="AX60" i="1"/>
  <c r="AT60" i="1"/>
  <c r="P60" i="1"/>
  <c r="M60" i="1" s="1"/>
  <c r="AA60" i="1"/>
  <c r="L60" i="1"/>
  <c r="AE60" i="1"/>
  <c r="AB60" i="1" s="1"/>
  <c r="F61" i="1" a="1"/>
  <c r="F61" i="1" s="1"/>
  <c r="BB61" i="1" a="1"/>
  <c r="BB61" i="1" s="1"/>
  <c r="BD61" i="1" a="1"/>
  <c r="BD61" i="1" s="1"/>
  <c r="BF61" i="1" a="1"/>
  <c r="BF61" i="1" s="1"/>
  <c r="AV61" i="1" a="1"/>
  <c r="AV61" i="1" s="1"/>
  <c r="AR61" i="1" a="1"/>
  <c r="AR61" i="1" s="1"/>
  <c r="AH61" i="1" a="1"/>
  <c r="AH61" i="1" s="1"/>
  <c r="AJ61" i="1" a="1"/>
  <c r="AJ61" i="1" s="1"/>
  <c r="AL61" i="1" a="1"/>
  <c r="AL61" i="1" s="1"/>
  <c r="G61" i="1" a="1"/>
  <c r="G61" i="1" s="1"/>
  <c r="BC61" i="1" a="1"/>
  <c r="BC61" i="1" s="1"/>
  <c r="AW61" i="1" a="1"/>
  <c r="AW61" i="1" s="1"/>
  <c r="AG61" i="1" a="1"/>
  <c r="AG61" i="1" s="1"/>
  <c r="AK61" i="1" a="1"/>
  <c r="AK61" i="1" s="1"/>
  <c r="AC61" i="1" a="1"/>
  <c r="AC61" i="1" s="1"/>
  <c r="Y61" i="1" a="1"/>
  <c r="Y61" i="1" s="1"/>
  <c r="S61" i="1" a="1"/>
  <c r="S61" i="1" s="1"/>
  <c r="U61" i="1" a="1"/>
  <c r="U61" i="1" s="1"/>
  <c r="W61" i="1" a="1"/>
  <c r="W61" i="1" s="1"/>
  <c r="N61" i="1" a="1"/>
  <c r="N61" i="1" s="1"/>
  <c r="BA61" i="1" a="1"/>
  <c r="BA61" i="1" s="1"/>
  <c r="BE61" i="1" a="1"/>
  <c r="BE61" i="1" s="1"/>
  <c r="AS61" i="1" a="1"/>
  <c r="AS61" i="1" s="1"/>
  <c r="AT61" i="1" s="1"/>
  <c r="AI61" i="1" a="1"/>
  <c r="AI61" i="1" s="1"/>
  <c r="Z61" i="1" a="1"/>
  <c r="Z61" i="1" s="1"/>
  <c r="T61" i="1" a="1"/>
  <c r="T61" i="1" s="1"/>
  <c r="O61" i="1" a="1"/>
  <c r="O61" i="1" s="1"/>
  <c r="J61" i="1" a="1"/>
  <c r="J61" i="1" s="1"/>
  <c r="AD61" i="1" a="1"/>
  <c r="AD61" i="1" s="1"/>
  <c r="R61" i="1" a="1"/>
  <c r="R61" i="1" s="1"/>
  <c r="V61" i="1" a="1"/>
  <c r="V61" i="1" s="1"/>
  <c r="K61" i="1" a="1"/>
  <c r="K61" i="1" s="1"/>
  <c r="Q60" i="1" a="1"/>
  <c r="Q60" i="1" s="1"/>
  <c r="I60" i="1"/>
  <c r="X60" i="1"/>
  <c r="AF60" i="1"/>
  <c r="A61" i="1"/>
  <c r="B62" i="1"/>
  <c r="L61" i="1" l="1"/>
  <c r="D62" i="1"/>
  <c r="E62" i="1"/>
  <c r="C62" i="1"/>
  <c r="AX61" i="1"/>
  <c r="AY60" i="1"/>
  <c r="AE61" i="1"/>
  <c r="AB61" i="1" s="1"/>
  <c r="AA61" i="1"/>
  <c r="AO60" i="1"/>
  <c r="P61" i="1"/>
  <c r="M61" i="1" s="1"/>
  <c r="H61" i="1"/>
  <c r="AY61" i="1" s="1"/>
  <c r="G62" i="1" a="1"/>
  <c r="G62" i="1" s="1"/>
  <c r="BB62" i="1" a="1"/>
  <c r="BB62" i="1" s="1"/>
  <c r="BD62" i="1" a="1"/>
  <c r="BD62" i="1" s="1"/>
  <c r="BF62" i="1" a="1"/>
  <c r="BF62" i="1" s="1"/>
  <c r="AW62" i="1" a="1"/>
  <c r="AW62" i="1" s="1"/>
  <c r="AS62" i="1" a="1"/>
  <c r="AS62" i="1" s="1"/>
  <c r="AH62" i="1" a="1"/>
  <c r="AH62" i="1" s="1"/>
  <c r="AJ62" i="1" a="1"/>
  <c r="AJ62" i="1" s="1"/>
  <c r="AL62" i="1" a="1"/>
  <c r="AL62" i="1" s="1"/>
  <c r="BA62" i="1" a="1"/>
  <c r="BA62" i="1" s="1"/>
  <c r="BE62" i="1" a="1"/>
  <c r="BE62" i="1" s="1"/>
  <c r="AR62" i="1" a="1"/>
  <c r="AR62" i="1" s="1"/>
  <c r="AI62" i="1" a="1"/>
  <c r="AI62" i="1" s="1"/>
  <c r="AD62" i="1" a="1"/>
  <c r="AD62" i="1" s="1"/>
  <c r="Z62" i="1" a="1"/>
  <c r="Z62" i="1" s="1"/>
  <c r="S62" i="1" a="1"/>
  <c r="S62" i="1" s="1"/>
  <c r="U62" i="1" a="1"/>
  <c r="U62" i="1" s="1"/>
  <c r="W62" i="1" a="1"/>
  <c r="W62" i="1" s="1"/>
  <c r="O62" i="1" a="1"/>
  <c r="O62" i="1" s="1"/>
  <c r="K62" i="1" a="1"/>
  <c r="K62" i="1" s="1"/>
  <c r="J62" i="1" a="1"/>
  <c r="J62" i="1" s="1"/>
  <c r="F62" i="1" a="1"/>
  <c r="F62" i="1" s="1"/>
  <c r="H62" i="1" s="1"/>
  <c r="BC62" i="1" a="1"/>
  <c r="BC62" i="1" s="1"/>
  <c r="AV62" i="1" a="1"/>
  <c r="AV62" i="1" s="1"/>
  <c r="AK62" i="1" a="1"/>
  <c r="AK62" i="1" s="1"/>
  <c r="AC62" i="1" a="1"/>
  <c r="AC62" i="1" s="1"/>
  <c r="R62" i="1" a="1"/>
  <c r="R62" i="1" s="1"/>
  <c r="V62" i="1" a="1"/>
  <c r="V62" i="1" s="1"/>
  <c r="AG62" i="1" a="1"/>
  <c r="AG62" i="1" s="1"/>
  <c r="Y62" i="1" a="1"/>
  <c r="Y62" i="1" s="1"/>
  <c r="T62" i="1" a="1"/>
  <c r="T62" i="1" s="1"/>
  <c r="N62" i="1" a="1"/>
  <c r="N62" i="1" s="1"/>
  <c r="I61" i="1"/>
  <c r="Q61" i="1" a="1"/>
  <c r="Q61" i="1" s="1"/>
  <c r="X61" i="1"/>
  <c r="AF61" i="1"/>
  <c r="A62" i="1"/>
  <c r="B63" i="1"/>
  <c r="D63" i="1" l="1"/>
  <c r="E63" i="1"/>
  <c r="C63" i="1"/>
  <c r="L62" i="1"/>
  <c r="AT62" i="1"/>
  <c r="AX62" i="1"/>
  <c r="P62" i="1"/>
  <c r="M62" i="1" s="1"/>
  <c r="AA62" i="1"/>
  <c r="AO61" i="1"/>
  <c r="AE62" i="1"/>
  <c r="AB62" i="1" s="1"/>
  <c r="F63" i="1" a="1"/>
  <c r="F63" i="1" s="1"/>
  <c r="BB63" i="1" a="1"/>
  <c r="BB63" i="1" s="1"/>
  <c r="BD63" i="1" a="1"/>
  <c r="BD63" i="1" s="1"/>
  <c r="BF63" i="1" a="1"/>
  <c r="BF63" i="1" s="1"/>
  <c r="AV63" i="1" a="1"/>
  <c r="AV63" i="1" s="1"/>
  <c r="AR63" i="1" a="1"/>
  <c r="AR63" i="1" s="1"/>
  <c r="AH63" i="1" a="1"/>
  <c r="AH63" i="1" s="1"/>
  <c r="AJ63" i="1" a="1"/>
  <c r="AJ63" i="1" s="1"/>
  <c r="AL63" i="1" a="1"/>
  <c r="AL63" i="1" s="1"/>
  <c r="BC63" i="1" a="1"/>
  <c r="BC63" i="1" s="1"/>
  <c r="AS63" i="1" a="1"/>
  <c r="AS63" i="1" s="1"/>
  <c r="AG63" i="1" a="1"/>
  <c r="AG63" i="1" s="1"/>
  <c r="AK63" i="1" a="1"/>
  <c r="AK63" i="1" s="1"/>
  <c r="AC63" i="1" a="1"/>
  <c r="AC63" i="1" s="1"/>
  <c r="Y63" i="1" a="1"/>
  <c r="Y63" i="1" s="1"/>
  <c r="S63" i="1" a="1"/>
  <c r="S63" i="1" s="1"/>
  <c r="U63" i="1" a="1"/>
  <c r="U63" i="1" s="1"/>
  <c r="W63" i="1" a="1"/>
  <c r="W63" i="1" s="1"/>
  <c r="N63" i="1" a="1"/>
  <c r="N63" i="1" s="1"/>
  <c r="G63" i="1" a="1"/>
  <c r="G63" i="1" s="1"/>
  <c r="BA63" i="1" a="1"/>
  <c r="BA63" i="1" s="1"/>
  <c r="BE63" i="1" a="1"/>
  <c r="BE63" i="1" s="1"/>
  <c r="AW63" i="1" a="1"/>
  <c r="AW63" i="1" s="1"/>
  <c r="AX63" i="1" s="1"/>
  <c r="AD63" i="1" a="1"/>
  <c r="AD63" i="1" s="1"/>
  <c r="T63" i="1" a="1"/>
  <c r="T63" i="1" s="1"/>
  <c r="K63" i="1" a="1"/>
  <c r="K63" i="1" s="1"/>
  <c r="AI63" i="1" a="1"/>
  <c r="AI63" i="1" s="1"/>
  <c r="Z63" i="1" a="1"/>
  <c r="Z63" i="1" s="1"/>
  <c r="R63" i="1" a="1"/>
  <c r="R63" i="1" s="1"/>
  <c r="V63" i="1" a="1"/>
  <c r="V63" i="1" s="1"/>
  <c r="O63" i="1" a="1"/>
  <c r="O63" i="1" s="1"/>
  <c r="P63" i="1" s="1"/>
  <c r="M63" i="1" s="1"/>
  <c r="J63" i="1" a="1"/>
  <c r="J63" i="1" s="1"/>
  <c r="Q62" i="1" a="1"/>
  <c r="Q62" i="1" s="1"/>
  <c r="I62" i="1"/>
  <c r="X62" i="1"/>
  <c r="AF62" i="1"/>
  <c r="A63" i="1"/>
  <c r="B64" i="1"/>
  <c r="AE63" i="1" l="1"/>
  <c r="AB63" i="1" s="1"/>
  <c r="D64" i="1"/>
  <c r="E64" i="1"/>
  <c r="C64" i="1"/>
  <c r="AT63" i="1"/>
  <c r="AA63" i="1"/>
  <c r="AY62" i="1"/>
  <c r="L63" i="1"/>
  <c r="AO62" i="1"/>
  <c r="H63" i="1"/>
  <c r="G64" i="1" a="1"/>
  <c r="G64" i="1" s="1"/>
  <c r="BB64" i="1" a="1"/>
  <c r="BB64" i="1" s="1"/>
  <c r="BD64" i="1" a="1"/>
  <c r="BD64" i="1" s="1"/>
  <c r="BF64" i="1" a="1"/>
  <c r="BF64" i="1" s="1"/>
  <c r="AW64" i="1" a="1"/>
  <c r="AW64" i="1" s="1"/>
  <c r="AS64" i="1" a="1"/>
  <c r="AS64" i="1" s="1"/>
  <c r="AH64" i="1" a="1"/>
  <c r="AH64" i="1" s="1"/>
  <c r="AJ64" i="1" a="1"/>
  <c r="AJ64" i="1" s="1"/>
  <c r="AL64" i="1" a="1"/>
  <c r="AL64" i="1" s="1"/>
  <c r="F64" i="1" a="1"/>
  <c r="F64" i="1" s="1"/>
  <c r="H64" i="1" s="1"/>
  <c r="BA64" i="1" a="1"/>
  <c r="BA64" i="1" s="1"/>
  <c r="BE64" i="1" a="1"/>
  <c r="BE64" i="1" s="1"/>
  <c r="AV64" i="1" a="1"/>
  <c r="AV64" i="1" s="1"/>
  <c r="AI64" i="1" a="1"/>
  <c r="AI64" i="1" s="1"/>
  <c r="AD64" i="1" a="1"/>
  <c r="AD64" i="1" s="1"/>
  <c r="Z64" i="1" a="1"/>
  <c r="Z64" i="1" s="1"/>
  <c r="S64" i="1" a="1"/>
  <c r="S64" i="1" s="1"/>
  <c r="U64" i="1" a="1"/>
  <c r="U64" i="1" s="1"/>
  <c r="W64" i="1" a="1"/>
  <c r="W64" i="1" s="1"/>
  <c r="O64" i="1" a="1"/>
  <c r="O64" i="1" s="1"/>
  <c r="K64" i="1" a="1"/>
  <c r="K64" i="1" s="1"/>
  <c r="J64" i="1" a="1"/>
  <c r="J64" i="1" s="1"/>
  <c r="BC64" i="1" a="1"/>
  <c r="BC64" i="1" s="1"/>
  <c r="AG64" i="1" a="1"/>
  <c r="AG64" i="1" s="1"/>
  <c r="Y64" i="1" a="1"/>
  <c r="Y64" i="1" s="1"/>
  <c r="R64" i="1" a="1"/>
  <c r="R64" i="1" s="1"/>
  <c r="V64" i="1" a="1"/>
  <c r="V64" i="1" s="1"/>
  <c r="N64" i="1" a="1"/>
  <c r="N64" i="1" s="1"/>
  <c r="AR64" i="1" a="1"/>
  <c r="AR64" i="1" s="1"/>
  <c r="AK64" i="1" a="1"/>
  <c r="AK64" i="1" s="1"/>
  <c r="AC64" i="1" a="1"/>
  <c r="AC64" i="1" s="1"/>
  <c r="T64" i="1" a="1"/>
  <c r="T64" i="1" s="1"/>
  <c r="X63" i="1"/>
  <c r="AF63" i="1"/>
  <c r="I63" i="1"/>
  <c r="Q63" i="1" a="1"/>
  <c r="Q63" i="1" s="1"/>
  <c r="AO63" i="1" s="1"/>
  <c r="A64" i="1"/>
  <c r="B65" i="1"/>
  <c r="D65" i="1" l="1"/>
  <c r="E65" i="1"/>
  <c r="C65" i="1"/>
  <c r="AY63" i="1"/>
  <c r="AT64" i="1"/>
  <c r="AX64" i="1"/>
  <c r="L64" i="1"/>
  <c r="AE64" i="1"/>
  <c r="AB64" i="1" s="1"/>
  <c r="P64" i="1"/>
  <c r="M64" i="1" s="1"/>
  <c r="AA64" i="1"/>
  <c r="F65" i="1" a="1"/>
  <c r="F65" i="1" s="1"/>
  <c r="BB65" i="1" a="1"/>
  <c r="BB65" i="1" s="1"/>
  <c r="BD65" i="1" a="1"/>
  <c r="BD65" i="1" s="1"/>
  <c r="BF65" i="1" a="1"/>
  <c r="BF65" i="1" s="1"/>
  <c r="AV65" i="1" a="1"/>
  <c r="AV65" i="1" s="1"/>
  <c r="AR65" i="1" a="1"/>
  <c r="AR65" i="1" s="1"/>
  <c r="AH65" i="1" a="1"/>
  <c r="AH65" i="1" s="1"/>
  <c r="AJ65" i="1" a="1"/>
  <c r="AJ65" i="1" s="1"/>
  <c r="AL65" i="1" a="1"/>
  <c r="AL65" i="1" s="1"/>
  <c r="G65" i="1" a="1"/>
  <c r="G65" i="1" s="1"/>
  <c r="BC65" i="1" a="1"/>
  <c r="BC65" i="1" s="1"/>
  <c r="AW65" i="1" a="1"/>
  <c r="AW65" i="1" s="1"/>
  <c r="AG65" i="1" a="1"/>
  <c r="AG65" i="1" s="1"/>
  <c r="AK65" i="1" a="1"/>
  <c r="AK65" i="1" s="1"/>
  <c r="AC65" i="1" a="1"/>
  <c r="AC65" i="1" s="1"/>
  <c r="Y65" i="1" a="1"/>
  <c r="Y65" i="1" s="1"/>
  <c r="S65" i="1" a="1"/>
  <c r="S65" i="1" s="1"/>
  <c r="U65" i="1" a="1"/>
  <c r="U65" i="1" s="1"/>
  <c r="W65" i="1" a="1"/>
  <c r="W65" i="1" s="1"/>
  <c r="N65" i="1" a="1"/>
  <c r="N65" i="1" s="1"/>
  <c r="BA65" i="1" a="1"/>
  <c r="BA65" i="1" s="1"/>
  <c r="BE65" i="1" a="1"/>
  <c r="BE65" i="1" s="1"/>
  <c r="AS65" i="1" a="1"/>
  <c r="AS65" i="1" s="1"/>
  <c r="AI65" i="1" a="1"/>
  <c r="AI65" i="1" s="1"/>
  <c r="Z65" i="1" a="1"/>
  <c r="Z65" i="1" s="1"/>
  <c r="T65" i="1" a="1"/>
  <c r="T65" i="1" s="1"/>
  <c r="O65" i="1" a="1"/>
  <c r="O65" i="1" s="1"/>
  <c r="J65" i="1" a="1"/>
  <c r="J65" i="1" s="1"/>
  <c r="AD65" i="1" a="1"/>
  <c r="AD65" i="1" s="1"/>
  <c r="AE65" i="1" s="1"/>
  <c r="AB65" i="1" s="1"/>
  <c r="R65" i="1" a="1"/>
  <c r="R65" i="1" s="1"/>
  <c r="V65" i="1" a="1"/>
  <c r="V65" i="1" s="1"/>
  <c r="K65" i="1" a="1"/>
  <c r="K65" i="1" s="1"/>
  <c r="Q64" i="1" a="1"/>
  <c r="Q64" i="1" s="1"/>
  <c r="I64" i="1"/>
  <c r="X64" i="1"/>
  <c r="AF64" i="1"/>
  <c r="A65" i="1"/>
  <c r="B66" i="1"/>
  <c r="L65" i="1" l="1"/>
  <c r="AT65" i="1"/>
  <c r="P65" i="1"/>
  <c r="M65" i="1" s="1"/>
  <c r="AA65" i="1"/>
  <c r="D66" i="1"/>
  <c r="E66" i="1"/>
  <c r="C66" i="1"/>
  <c r="AX65" i="1"/>
  <c r="AO64" i="1"/>
  <c r="AY64" i="1"/>
  <c r="H65" i="1"/>
  <c r="G66" i="1" a="1"/>
  <c r="G66" i="1" s="1"/>
  <c r="BB66" i="1" a="1"/>
  <c r="BB66" i="1" s="1"/>
  <c r="BD66" i="1" a="1"/>
  <c r="BD66" i="1" s="1"/>
  <c r="BF66" i="1" a="1"/>
  <c r="BF66" i="1" s="1"/>
  <c r="AW66" i="1" a="1"/>
  <c r="AW66" i="1" s="1"/>
  <c r="AS66" i="1" a="1"/>
  <c r="AS66" i="1" s="1"/>
  <c r="AH66" i="1" a="1"/>
  <c r="AH66" i="1" s="1"/>
  <c r="AJ66" i="1" a="1"/>
  <c r="AJ66" i="1" s="1"/>
  <c r="AL66" i="1" a="1"/>
  <c r="AL66" i="1" s="1"/>
  <c r="BA66" i="1" a="1"/>
  <c r="BA66" i="1" s="1"/>
  <c r="BE66" i="1" a="1"/>
  <c r="BE66" i="1" s="1"/>
  <c r="AR66" i="1" a="1"/>
  <c r="AR66" i="1" s="1"/>
  <c r="AI66" i="1" a="1"/>
  <c r="AI66" i="1" s="1"/>
  <c r="AD66" i="1" a="1"/>
  <c r="AD66" i="1" s="1"/>
  <c r="Z66" i="1" a="1"/>
  <c r="Z66" i="1" s="1"/>
  <c r="S66" i="1" a="1"/>
  <c r="S66" i="1" s="1"/>
  <c r="U66" i="1" a="1"/>
  <c r="U66" i="1" s="1"/>
  <c r="W66" i="1" a="1"/>
  <c r="W66" i="1" s="1"/>
  <c r="O66" i="1" a="1"/>
  <c r="O66" i="1" s="1"/>
  <c r="K66" i="1" a="1"/>
  <c r="K66" i="1" s="1"/>
  <c r="J66" i="1" a="1"/>
  <c r="J66" i="1" s="1"/>
  <c r="F66" i="1" a="1"/>
  <c r="F66" i="1" s="1"/>
  <c r="H66" i="1" s="1"/>
  <c r="BC66" i="1" a="1"/>
  <c r="BC66" i="1" s="1"/>
  <c r="AV66" i="1" a="1"/>
  <c r="AV66" i="1" s="1"/>
  <c r="AK66" i="1" a="1"/>
  <c r="AK66" i="1" s="1"/>
  <c r="AC66" i="1" a="1"/>
  <c r="AC66" i="1" s="1"/>
  <c r="R66" i="1" a="1"/>
  <c r="R66" i="1" s="1"/>
  <c r="V66" i="1" a="1"/>
  <c r="V66" i="1" s="1"/>
  <c r="AG66" i="1" a="1"/>
  <c r="AG66" i="1" s="1"/>
  <c r="Y66" i="1" a="1"/>
  <c r="Y66" i="1" s="1"/>
  <c r="T66" i="1" a="1"/>
  <c r="T66" i="1" s="1"/>
  <c r="N66" i="1" a="1"/>
  <c r="N66" i="1" s="1"/>
  <c r="I65" i="1"/>
  <c r="Q65" i="1" a="1"/>
  <c r="Q65" i="1" s="1"/>
  <c r="X65" i="1"/>
  <c r="A66" i="1"/>
  <c r="B67" i="1"/>
  <c r="AF65" i="1" l="1"/>
  <c r="AY65" i="1"/>
  <c r="D67" i="1"/>
  <c r="E67" i="1"/>
  <c r="C67" i="1"/>
  <c r="AT66" i="1"/>
  <c r="AX66" i="1"/>
  <c r="L66" i="1"/>
  <c r="AO65" i="1"/>
  <c r="P66" i="1"/>
  <c r="M66" i="1" s="1"/>
  <c r="AA66" i="1"/>
  <c r="AE66" i="1"/>
  <c r="AB66" i="1" s="1"/>
  <c r="F67" i="1" a="1"/>
  <c r="F67" i="1" s="1"/>
  <c r="BB67" i="1" a="1"/>
  <c r="BB67" i="1" s="1"/>
  <c r="BD67" i="1" a="1"/>
  <c r="BD67" i="1" s="1"/>
  <c r="BF67" i="1" a="1"/>
  <c r="BF67" i="1" s="1"/>
  <c r="AV67" i="1" a="1"/>
  <c r="AV67" i="1" s="1"/>
  <c r="AR67" i="1" a="1"/>
  <c r="AR67" i="1" s="1"/>
  <c r="AH67" i="1" a="1"/>
  <c r="AH67" i="1" s="1"/>
  <c r="AJ67" i="1" a="1"/>
  <c r="AJ67" i="1" s="1"/>
  <c r="AL67" i="1" a="1"/>
  <c r="AL67" i="1" s="1"/>
  <c r="BC67" i="1" a="1"/>
  <c r="BC67" i="1" s="1"/>
  <c r="AS67" i="1" a="1"/>
  <c r="AS67" i="1" s="1"/>
  <c r="AG67" i="1" a="1"/>
  <c r="AG67" i="1" s="1"/>
  <c r="AK67" i="1" a="1"/>
  <c r="AK67" i="1" s="1"/>
  <c r="AC67" i="1" a="1"/>
  <c r="AC67" i="1" s="1"/>
  <c r="Y67" i="1" a="1"/>
  <c r="Y67" i="1" s="1"/>
  <c r="S67" i="1" a="1"/>
  <c r="S67" i="1" s="1"/>
  <c r="U67" i="1" a="1"/>
  <c r="U67" i="1" s="1"/>
  <c r="W67" i="1" a="1"/>
  <c r="W67" i="1" s="1"/>
  <c r="N67" i="1" a="1"/>
  <c r="N67" i="1" s="1"/>
  <c r="G67" i="1" a="1"/>
  <c r="G67" i="1" s="1"/>
  <c r="BA67" i="1" a="1"/>
  <c r="BA67" i="1" s="1"/>
  <c r="BE67" i="1" a="1"/>
  <c r="BE67" i="1" s="1"/>
  <c r="AW67" i="1" a="1"/>
  <c r="AW67" i="1" s="1"/>
  <c r="AX67" i="1" s="1"/>
  <c r="AD67" i="1" a="1"/>
  <c r="AD67" i="1" s="1"/>
  <c r="AE67" i="1" s="1"/>
  <c r="AB67" i="1" s="1"/>
  <c r="T67" i="1" a="1"/>
  <c r="T67" i="1" s="1"/>
  <c r="K67" i="1" a="1"/>
  <c r="K67" i="1" s="1"/>
  <c r="AI67" i="1" a="1"/>
  <c r="AI67" i="1" s="1"/>
  <c r="Z67" i="1" a="1"/>
  <c r="Z67" i="1" s="1"/>
  <c r="R67" i="1" a="1"/>
  <c r="R67" i="1" s="1"/>
  <c r="V67" i="1" a="1"/>
  <c r="V67" i="1" s="1"/>
  <c r="O67" i="1" a="1"/>
  <c r="O67" i="1" s="1"/>
  <c r="P67" i="1" s="1"/>
  <c r="M67" i="1" s="1"/>
  <c r="J67" i="1" a="1"/>
  <c r="J67" i="1" s="1"/>
  <c r="Q66" i="1" a="1"/>
  <c r="Q66" i="1" s="1"/>
  <c r="I66" i="1"/>
  <c r="X66" i="1"/>
  <c r="AF66" i="1"/>
  <c r="A67" i="1"/>
  <c r="B68" i="1"/>
  <c r="AA67" i="1" l="1"/>
  <c r="AT67" i="1"/>
  <c r="D68" i="1"/>
  <c r="E68" i="1"/>
  <c r="C68" i="1"/>
  <c r="AY66" i="1"/>
  <c r="AO66" i="1"/>
  <c r="L67" i="1"/>
  <c r="H67" i="1"/>
  <c r="G68" i="1" a="1"/>
  <c r="G68" i="1" s="1"/>
  <c r="BB68" i="1" a="1"/>
  <c r="BB68" i="1" s="1"/>
  <c r="BD68" i="1" a="1"/>
  <c r="BD68" i="1" s="1"/>
  <c r="BF68" i="1" a="1"/>
  <c r="BF68" i="1" s="1"/>
  <c r="AW68" i="1" a="1"/>
  <c r="AW68" i="1" s="1"/>
  <c r="AS68" i="1" a="1"/>
  <c r="AS68" i="1" s="1"/>
  <c r="AH68" i="1" a="1"/>
  <c r="AH68" i="1" s="1"/>
  <c r="AJ68" i="1" a="1"/>
  <c r="AJ68" i="1" s="1"/>
  <c r="AL68" i="1" a="1"/>
  <c r="AL68" i="1" s="1"/>
  <c r="F68" i="1" a="1"/>
  <c r="F68" i="1" s="1"/>
  <c r="H68" i="1" s="1"/>
  <c r="BA68" i="1" a="1"/>
  <c r="BA68" i="1" s="1"/>
  <c r="BE68" i="1" a="1"/>
  <c r="BE68" i="1" s="1"/>
  <c r="AV68" i="1" a="1"/>
  <c r="AV68" i="1" s="1"/>
  <c r="AI68" i="1" a="1"/>
  <c r="AI68" i="1" s="1"/>
  <c r="AD68" i="1" a="1"/>
  <c r="AD68" i="1" s="1"/>
  <c r="Z68" i="1" a="1"/>
  <c r="Z68" i="1" s="1"/>
  <c r="S68" i="1" a="1"/>
  <c r="S68" i="1" s="1"/>
  <c r="U68" i="1" a="1"/>
  <c r="U68" i="1" s="1"/>
  <c r="W68" i="1" a="1"/>
  <c r="W68" i="1" s="1"/>
  <c r="O68" i="1" a="1"/>
  <c r="O68" i="1" s="1"/>
  <c r="K68" i="1" a="1"/>
  <c r="K68" i="1" s="1"/>
  <c r="J68" i="1" a="1"/>
  <c r="J68" i="1" s="1"/>
  <c r="BC68" i="1" a="1"/>
  <c r="BC68" i="1" s="1"/>
  <c r="AR68" i="1" a="1"/>
  <c r="AR68" i="1" s="1"/>
  <c r="AG68" i="1" a="1"/>
  <c r="AG68" i="1" s="1"/>
  <c r="Y68" i="1" a="1"/>
  <c r="Y68" i="1" s="1"/>
  <c r="R68" i="1" a="1"/>
  <c r="R68" i="1" s="1"/>
  <c r="V68" i="1" a="1"/>
  <c r="V68" i="1" s="1"/>
  <c r="N68" i="1" a="1"/>
  <c r="N68" i="1" s="1"/>
  <c r="AK68" i="1" a="1"/>
  <c r="AK68" i="1" s="1"/>
  <c r="AC68" i="1" a="1"/>
  <c r="AC68" i="1" s="1"/>
  <c r="T68" i="1" a="1"/>
  <c r="T68" i="1" s="1"/>
  <c r="X67" i="1"/>
  <c r="AF67" i="1"/>
  <c r="I67" i="1"/>
  <c r="Q67" i="1" a="1"/>
  <c r="Q67" i="1" s="1"/>
  <c r="AO67" i="1" s="1"/>
  <c r="A68" i="1"/>
  <c r="B69" i="1"/>
  <c r="AY67" i="1" l="1"/>
  <c r="D69" i="1"/>
  <c r="E69" i="1"/>
  <c r="C69" i="1"/>
  <c r="AT68" i="1"/>
  <c r="L68" i="1"/>
  <c r="AX68" i="1"/>
  <c r="P68" i="1"/>
  <c r="M68" i="1" s="1"/>
  <c r="AA68" i="1"/>
  <c r="AE68" i="1"/>
  <c r="AB68" i="1" s="1"/>
  <c r="F69" i="1" a="1"/>
  <c r="F69" i="1" s="1"/>
  <c r="BB69" i="1" a="1"/>
  <c r="BB69" i="1" s="1"/>
  <c r="BD69" i="1" a="1"/>
  <c r="BD69" i="1" s="1"/>
  <c r="BF69" i="1" a="1"/>
  <c r="BF69" i="1" s="1"/>
  <c r="AV69" i="1" a="1"/>
  <c r="AV69" i="1" s="1"/>
  <c r="AR69" i="1" a="1"/>
  <c r="AR69" i="1" s="1"/>
  <c r="AH69" i="1" a="1"/>
  <c r="AH69" i="1" s="1"/>
  <c r="AJ69" i="1" a="1"/>
  <c r="AJ69" i="1" s="1"/>
  <c r="AL69" i="1" a="1"/>
  <c r="AL69" i="1" s="1"/>
  <c r="G69" i="1" a="1"/>
  <c r="G69" i="1" s="1"/>
  <c r="BC69" i="1" a="1"/>
  <c r="BC69" i="1" s="1"/>
  <c r="AW69" i="1" a="1"/>
  <c r="AW69" i="1" s="1"/>
  <c r="AG69" i="1" a="1"/>
  <c r="AG69" i="1" s="1"/>
  <c r="AK69" i="1" a="1"/>
  <c r="AK69" i="1" s="1"/>
  <c r="AC69" i="1" a="1"/>
  <c r="AC69" i="1" s="1"/>
  <c r="Y69" i="1" a="1"/>
  <c r="Y69" i="1" s="1"/>
  <c r="S69" i="1" a="1"/>
  <c r="S69" i="1" s="1"/>
  <c r="U69" i="1" a="1"/>
  <c r="U69" i="1" s="1"/>
  <c r="W69" i="1" a="1"/>
  <c r="W69" i="1" s="1"/>
  <c r="N69" i="1" a="1"/>
  <c r="N69" i="1" s="1"/>
  <c r="BA69" i="1" a="1"/>
  <c r="BA69" i="1" s="1"/>
  <c r="BE69" i="1" a="1"/>
  <c r="BE69" i="1" s="1"/>
  <c r="AS69" i="1" a="1"/>
  <c r="AS69" i="1" s="1"/>
  <c r="AI69" i="1" a="1"/>
  <c r="AI69" i="1" s="1"/>
  <c r="Z69" i="1" a="1"/>
  <c r="Z69" i="1" s="1"/>
  <c r="T69" i="1" a="1"/>
  <c r="T69" i="1" s="1"/>
  <c r="O69" i="1" a="1"/>
  <c r="O69" i="1" s="1"/>
  <c r="J69" i="1" a="1"/>
  <c r="J69" i="1" s="1"/>
  <c r="AD69" i="1" a="1"/>
  <c r="AD69" i="1" s="1"/>
  <c r="AE69" i="1" s="1"/>
  <c r="AB69" i="1" s="1"/>
  <c r="R69" i="1" a="1"/>
  <c r="R69" i="1" s="1"/>
  <c r="V69" i="1" a="1"/>
  <c r="V69" i="1" s="1"/>
  <c r="K69" i="1" a="1"/>
  <c r="K69" i="1" s="1"/>
  <c r="L69" i="1" s="1"/>
  <c r="Q68" i="1" a="1"/>
  <c r="Q68" i="1" s="1"/>
  <c r="I68" i="1"/>
  <c r="X68" i="1"/>
  <c r="AF68" i="1"/>
  <c r="A69" i="1"/>
  <c r="B70" i="1"/>
  <c r="AX69" i="1" l="1"/>
  <c r="D70" i="1"/>
  <c r="E70" i="1"/>
  <c r="C70" i="1"/>
  <c r="AT69" i="1"/>
  <c r="AY68" i="1"/>
  <c r="AO68" i="1"/>
  <c r="P69" i="1"/>
  <c r="M69" i="1" s="1"/>
  <c r="AA69" i="1"/>
  <c r="H69" i="1"/>
  <c r="G70" i="1" a="1"/>
  <c r="G70" i="1" s="1"/>
  <c r="BB70" i="1" a="1"/>
  <c r="BB70" i="1" s="1"/>
  <c r="BD70" i="1" a="1"/>
  <c r="BD70" i="1" s="1"/>
  <c r="BF70" i="1" a="1"/>
  <c r="BF70" i="1" s="1"/>
  <c r="AW70" i="1" a="1"/>
  <c r="AW70" i="1" s="1"/>
  <c r="AS70" i="1" a="1"/>
  <c r="AS70" i="1" s="1"/>
  <c r="AH70" i="1" a="1"/>
  <c r="AH70" i="1" s="1"/>
  <c r="AJ70" i="1" a="1"/>
  <c r="AJ70" i="1" s="1"/>
  <c r="AL70" i="1" a="1"/>
  <c r="AL70" i="1" s="1"/>
  <c r="BA70" i="1" a="1"/>
  <c r="BA70" i="1" s="1"/>
  <c r="BE70" i="1" a="1"/>
  <c r="BE70" i="1" s="1"/>
  <c r="AR70" i="1" a="1"/>
  <c r="AR70" i="1" s="1"/>
  <c r="AI70" i="1" a="1"/>
  <c r="AI70" i="1" s="1"/>
  <c r="AD70" i="1" a="1"/>
  <c r="AD70" i="1" s="1"/>
  <c r="Z70" i="1" a="1"/>
  <c r="Z70" i="1" s="1"/>
  <c r="S70" i="1" a="1"/>
  <c r="S70" i="1" s="1"/>
  <c r="U70" i="1" a="1"/>
  <c r="U70" i="1" s="1"/>
  <c r="W70" i="1" a="1"/>
  <c r="W70" i="1" s="1"/>
  <c r="O70" i="1" a="1"/>
  <c r="O70" i="1" s="1"/>
  <c r="K70" i="1" a="1"/>
  <c r="K70" i="1" s="1"/>
  <c r="J70" i="1" a="1"/>
  <c r="J70" i="1" s="1"/>
  <c r="F70" i="1" a="1"/>
  <c r="F70" i="1" s="1"/>
  <c r="H70" i="1" s="1"/>
  <c r="BC70" i="1" a="1"/>
  <c r="BC70" i="1" s="1"/>
  <c r="AV70" i="1" a="1"/>
  <c r="AV70" i="1" s="1"/>
  <c r="AK70" i="1" a="1"/>
  <c r="AK70" i="1" s="1"/>
  <c r="AC70" i="1" a="1"/>
  <c r="AC70" i="1" s="1"/>
  <c r="R70" i="1" a="1"/>
  <c r="R70" i="1" s="1"/>
  <c r="V70" i="1" a="1"/>
  <c r="V70" i="1" s="1"/>
  <c r="AG70" i="1" a="1"/>
  <c r="AG70" i="1" s="1"/>
  <c r="Y70" i="1" a="1"/>
  <c r="Y70" i="1" s="1"/>
  <c r="T70" i="1" a="1"/>
  <c r="T70" i="1" s="1"/>
  <c r="N70" i="1" a="1"/>
  <c r="N70" i="1" s="1"/>
  <c r="I69" i="1"/>
  <c r="Q69" i="1" a="1"/>
  <c r="Q69" i="1" s="1"/>
  <c r="X69" i="1"/>
  <c r="AF69" i="1"/>
  <c r="A70" i="1"/>
  <c r="B71" i="1"/>
  <c r="AY69" i="1" l="1"/>
  <c r="D71" i="1"/>
  <c r="E71" i="1"/>
  <c r="C71" i="1"/>
  <c r="AT70" i="1"/>
  <c r="AX70" i="1"/>
  <c r="P70" i="1"/>
  <c r="M70" i="1" s="1"/>
  <c r="AA70" i="1"/>
  <c r="AO69" i="1"/>
  <c r="L70" i="1"/>
  <c r="I70" i="1" s="1"/>
  <c r="AE70" i="1"/>
  <c r="AB70" i="1" s="1"/>
  <c r="F71" i="1" a="1"/>
  <c r="F71" i="1" s="1"/>
  <c r="BB71" i="1" a="1"/>
  <c r="BB71" i="1" s="1"/>
  <c r="BD71" i="1" a="1"/>
  <c r="BD71" i="1" s="1"/>
  <c r="BF71" i="1" a="1"/>
  <c r="BF71" i="1" s="1"/>
  <c r="AV71" i="1" a="1"/>
  <c r="AV71" i="1" s="1"/>
  <c r="AR71" i="1" a="1"/>
  <c r="AR71" i="1" s="1"/>
  <c r="AH71" i="1" a="1"/>
  <c r="AH71" i="1" s="1"/>
  <c r="AJ71" i="1" a="1"/>
  <c r="AJ71" i="1" s="1"/>
  <c r="AL71" i="1" a="1"/>
  <c r="AL71" i="1" s="1"/>
  <c r="BC71" i="1" a="1"/>
  <c r="BC71" i="1" s="1"/>
  <c r="AS71" i="1" a="1"/>
  <c r="AS71" i="1" s="1"/>
  <c r="AG71" i="1" a="1"/>
  <c r="AG71" i="1" s="1"/>
  <c r="AK71" i="1" a="1"/>
  <c r="AK71" i="1" s="1"/>
  <c r="AC71" i="1" a="1"/>
  <c r="AC71" i="1" s="1"/>
  <c r="Y71" i="1" a="1"/>
  <c r="Y71" i="1" s="1"/>
  <c r="S71" i="1" a="1"/>
  <c r="S71" i="1" s="1"/>
  <c r="U71" i="1" a="1"/>
  <c r="U71" i="1" s="1"/>
  <c r="W71" i="1" a="1"/>
  <c r="W71" i="1" s="1"/>
  <c r="N71" i="1" a="1"/>
  <c r="N71" i="1" s="1"/>
  <c r="G71" i="1" a="1"/>
  <c r="G71" i="1" s="1"/>
  <c r="BA71" i="1" a="1"/>
  <c r="BA71" i="1" s="1"/>
  <c r="BE71" i="1" a="1"/>
  <c r="BE71" i="1" s="1"/>
  <c r="AW71" i="1" a="1"/>
  <c r="AW71" i="1" s="1"/>
  <c r="AX71" i="1" s="1"/>
  <c r="AD71" i="1" a="1"/>
  <c r="AD71" i="1" s="1"/>
  <c r="AE71" i="1" s="1"/>
  <c r="AB71" i="1" s="1"/>
  <c r="T71" i="1" a="1"/>
  <c r="T71" i="1" s="1"/>
  <c r="K71" i="1" a="1"/>
  <c r="K71" i="1" s="1"/>
  <c r="AI71" i="1" a="1"/>
  <c r="AI71" i="1" s="1"/>
  <c r="Z71" i="1" a="1"/>
  <c r="Z71" i="1" s="1"/>
  <c r="R71" i="1" a="1"/>
  <c r="R71" i="1" s="1"/>
  <c r="V71" i="1" a="1"/>
  <c r="V71" i="1" s="1"/>
  <c r="O71" i="1" a="1"/>
  <c r="O71" i="1" s="1"/>
  <c r="P71" i="1" s="1"/>
  <c r="M71" i="1" s="1"/>
  <c r="J71" i="1" a="1"/>
  <c r="J71" i="1" s="1"/>
  <c r="Q70" i="1" a="1"/>
  <c r="Q70" i="1" s="1"/>
  <c r="X70" i="1"/>
  <c r="A71" i="1"/>
  <c r="B72" i="1"/>
  <c r="AF70" i="1" l="1"/>
  <c r="D72" i="1"/>
  <c r="E72" i="1"/>
  <c r="C72" i="1"/>
  <c r="AT71" i="1"/>
  <c r="AY70" i="1"/>
  <c r="AA71" i="1"/>
  <c r="L71" i="1"/>
  <c r="AO70" i="1"/>
  <c r="H71" i="1"/>
  <c r="G72" i="1" a="1"/>
  <c r="G72" i="1" s="1"/>
  <c r="BB72" i="1" a="1"/>
  <c r="BB72" i="1" s="1"/>
  <c r="BD72" i="1" a="1"/>
  <c r="BD72" i="1" s="1"/>
  <c r="BF72" i="1" a="1"/>
  <c r="BF72" i="1" s="1"/>
  <c r="AW72" i="1" a="1"/>
  <c r="AW72" i="1" s="1"/>
  <c r="AS72" i="1" a="1"/>
  <c r="AS72" i="1" s="1"/>
  <c r="AH72" i="1" a="1"/>
  <c r="AH72" i="1" s="1"/>
  <c r="AJ72" i="1" a="1"/>
  <c r="AJ72" i="1" s="1"/>
  <c r="AL72" i="1" a="1"/>
  <c r="AL72" i="1" s="1"/>
  <c r="F72" i="1" a="1"/>
  <c r="F72" i="1" s="1"/>
  <c r="H72" i="1" s="1"/>
  <c r="BA72" i="1" a="1"/>
  <c r="BA72" i="1" s="1"/>
  <c r="BE72" i="1" a="1"/>
  <c r="BE72" i="1" s="1"/>
  <c r="AV72" i="1" a="1"/>
  <c r="AV72" i="1" s="1"/>
  <c r="AI72" i="1" a="1"/>
  <c r="AI72" i="1" s="1"/>
  <c r="AD72" i="1" a="1"/>
  <c r="AD72" i="1" s="1"/>
  <c r="Z72" i="1" a="1"/>
  <c r="Z72" i="1" s="1"/>
  <c r="S72" i="1" a="1"/>
  <c r="S72" i="1" s="1"/>
  <c r="U72" i="1" a="1"/>
  <c r="U72" i="1" s="1"/>
  <c r="W72" i="1" a="1"/>
  <c r="W72" i="1" s="1"/>
  <c r="O72" i="1" a="1"/>
  <c r="O72" i="1" s="1"/>
  <c r="K72" i="1" a="1"/>
  <c r="K72" i="1" s="1"/>
  <c r="J72" i="1" a="1"/>
  <c r="J72" i="1" s="1"/>
  <c r="BC72" i="1" a="1"/>
  <c r="BC72" i="1" s="1"/>
  <c r="AG72" i="1" a="1"/>
  <c r="AG72" i="1" s="1"/>
  <c r="Y72" i="1" a="1"/>
  <c r="Y72" i="1" s="1"/>
  <c r="R72" i="1" a="1"/>
  <c r="R72" i="1" s="1"/>
  <c r="V72" i="1" a="1"/>
  <c r="V72" i="1" s="1"/>
  <c r="N72" i="1" a="1"/>
  <c r="N72" i="1" s="1"/>
  <c r="AR72" i="1" a="1"/>
  <c r="AR72" i="1" s="1"/>
  <c r="AK72" i="1" a="1"/>
  <c r="AK72" i="1" s="1"/>
  <c r="AC72" i="1" a="1"/>
  <c r="AC72" i="1" s="1"/>
  <c r="T72" i="1" a="1"/>
  <c r="T72" i="1" s="1"/>
  <c r="X71" i="1"/>
  <c r="AF71" i="1"/>
  <c r="I71" i="1"/>
  <c r="Q71" i="1" a="1"/>
  <c r="Q71" i="1" s="1"/>
  <c r="AO71" i="1" s="1"/>
  <c r="A72" i="1"/>
  <c r="B73" i="1"/>
  <c r="AY71" i="1" l="1"/>
  <c r="D73" i="1"/>
  <c r="E73" i="1"/>
  <c r="C73" i="1"/>
  <c r="AT72" i="1"/>
  <c r="AX72" i="1"/>
  <c r="AA72" i="1"/>
  <c r="P72" i="1"/>
  <c r="M72" i="1" s="1"/>
  <c r="L72" i="1"/>
  <c r="AE72" i="1"/>
  <c r="AB72" i="1" s="1"/>
  <c r="F73" i="1" a="1"/>
  <c r="F73" i="1" s="1"/>
  <c r="BB73" i="1" a="1"/>
  <c r="BB73" i="1" s="1"/>
  <c r="BD73" i="1" a="1"/>
  <c r="BD73" i="1" s="1"/>
  <c r="BF73" i="1" a="1"/>
  <c r="BF73" i="1" s="1"/>
  <c r="AV73" i="1" a="1"/>
  <c r="AV73" i="1" s="1"/>
  <c r="AR73" i="1" a="1"/>
  <c r="AR73" i="1" s="1"/>
  <c r="AH73" i="1" a="1"/>
  <c r="AH73" i="1" s="1"/>
  <c r="AJ73" i="1" a="1"/>
  <c r="AJ73" i="1" s="1"/>
  <c r="AL73" i="1" a="1"/>
  <c r="AL73" i="1" s="1"/>
  <c r="G73" i="1" a="1"/>
  <c r="G73" i="1" s="1"/>
  <c r="BC73" i="1" a="1"/>
  <c r="BC73" i="1" s="1"/>
  <c r="AW73" i="1" a="1"/>
  <c r="AW73" i="1" s="1"/>
  <c r="AX73" i="1" s="1"/>
  <c r="AG73" i="1" a="1"/>
  <c r="AG73" i="1" s="1"/>
  <c r="AK73" i="1" a="1"/>
  <c r="AK73" i="1" s="1"/>
  <c r="AC73" i="1" a="1"/>
  <c r="AC73" i="1" s="1"/>
  <c r="Y73" i="1" a="1"/>
  <c r="Y73" i="1" s="1"/>
  <c r="S73" i="1" a="1"/>
  <c r="S73" i="1" s="1"/>
  <c r="U73" i="1" a="1"/>
  <c r="U73" i="1" s="1"/>
  <c r="W73" i="1" a="1"/>
  <c r="W73" i="1" s="1"/>
  <c r="N73" i="1" a="1"/>
  <c r="N73" i="1" s="1"/>
  <c r="BA73" i="1" a="1"/>
  <c r="BA73" i="1" s="1"/>
  <c r="BE73" i="1" a="1"/>
  <c r="BE73" i="1" s="1"/>
  <c r="AS73" i="1" a="1"/>
  <c r="AS73" i="1" s="1"/>
  <c r="AI73" i="1" a="1"/>
  <c r="AI73" i="1" s="1"/>
  <c r="Z73" i="1" a="1"/>
  <c r="Z73" i="1" s="1"/>
  <c r="T73" i="1" a="1"/>
  <c r="T73" i="1" s="1"/>
  <c r="O73" i="1" a="1"/>
  <c r="O73" i="1" s="1"/>
  <c r="J73" i="1" a="1"/>
  <c r="J73" i="1" s="1"/>
  <c r="AD73" i="1" a="1"/>
  <c r="AD73" i="1" s="1"/>
  <c r="AE73" i="1" s="1"/>
  <c r="AB73" i="1" s="1"/>
  <c r="R73" i="1" a="1"/>
  <c r="R73" i="1" s="1"/>
  <c r="V73" i="1" a="1"/>
  <c r="V73" i="1" s="1"/>
  <c r="K73" i="1" a="1"/>
  <c r="K73" i="1" s="1"/>
  <c r="Q72" i="1" a="1"/>
  <c r="Q72" i="1" s="1"/>
  <c r="I72" i="1"/>
  <c r="X72" i="1"/>
  <c r="AF72" i="1"/>
  <c r="A73" i="1"/>
  <c r="B74" i="1"/>
  <c r="AT73" i="1" l="1"/>
  <c r="L73" i="1"/>
  <c r="P73" i="1"/>
  <c r="M73" i="1" s="1"/>
  <c r="AA73" i="1"/>
  <c r="D74" i="1"/>
  <c r="E74" i="1"/>
  <c r="C74" i="1"/>
  <c r="AY72" i="1"/>
  <c r="AZ72" i="1" s="1"/>
  <c r="AO72" i="1"/>
  <c r="H73" i="1"/>
  <c r="G74" i="1" a="1"/>
  <c r="G74" i="1" s="1"/>
  <c r="BB74" i="1" a="1"/>
  <c r="BB74" i="1" s="1"/>
  <c r="BD74" i="1" a="1"/>
  <c r="BD74" i="1" s="1"/>
  <c r="BF74" i="1" a="1"/>
  <c r="BF74" i="1" s="1"/>
  <c r="AW74" i="1" a="1"/>
  <c r="AW74" i="1" s="1"/>
  <c r="AS74" i="1" a="1"/>
  <c r="AS74" i="1" s="1"/>
  <c r="AH74" i="1" a="1"/>
  <c r="AH74" i="1" s="1"/>
  <c r="AJ74" i="1" a="1"/>
  <c r="AJ74" i="1" s="1"/>
  <c r="AL74" i="1" a="1"/>
  <c r="AL74" i="1" s="1"/>
  <c r="BA74" i="1" a="1"/>
  <c r="BA74" i="1" s="1"/>
  <c r="BE74" i="1" a="1"/>
  <c r="BE74" i="1" s="1"/>
  <c r="AR74" i="1" a="1"/>
  <c r="AR74" i="1" s="1"/>
  <c r="AI74" i="1" a="1"/>
  <c r="AI74" i="1" s="1"/>
  <c r="AD74" i="1" a="1"/>
  <c r="AD74" i="1" s="1"/>
  <c r="Z74" i="1" a="1"/>
  <c r="Z74" i="1" s="1"/>
  <c r="S74" i="1" a="1"/>
  <c r="S74" i="1" s="1"/>
  <c r="U74" i="1" a="1"/>
  <c r="U74" i="1" s="1"/>
  <c r="W74" i="1" a="1"/>
  <c r="W74" i="1" s="1"/>
  <c r="O74" i="1" a="1"/>
  <c r="O74" i="1" s="1"/>
  <c r="K74" i="1" a="1"/>
  <c r="K74" i="1" s="1"/>
  <c r="J74" i="1" a="1"/>
  <c r="J74" i="1" s="1"/>
  <c r="F74" i="1" a="1"/>
  <c r="F74" i="1" s="1"/>
  <c r="H74" i="1" s="1"/>
  <c r="BC74" i="1" a="1"/>
  <c r="BC74" i="1" s="1"/>
  <c r="AV74" i="1" a="1"/>
  <c r="AV74" i="1" s="1"/>
  <c r="AK74" i="1" a="1"/>
  <c r="AK74" i="1" s="1"/>
  <c r="AC74" i="1" a="1"/>
  <c r="AC74" i="1" s="1"/>
  <c r="R74" i="1" a="1"/>
  <c r="R74" i="1" s="1"/>
  <c r="V74" i="1" a="1"/>
  <c r="V74" i="1" s="1"/>
  <c r="AG74" i="1" a="1"/>
  <c r="AG74" i="1" s="1"/>
  <c r="Y74" i="1" a="1"/>
  <c r="Y74" i="1" s="1"/>
  <c r="T74" i="1" a="1"/>
  <c r="T74" i="1" s="1"/>
  <c r="N74" i="1" a="1"/>
  <c r="N74" i="1" s="1"/>
  <c r="I73" i="1"/>
  <c r="Q73" i="1" a="1"/>
  <c r="Q73" i="1" s="1"/>
  <c r="X73" i="1"/>
  <c r="AF73" i="1"/>
  <c r="A74" i="1"/>
  <c r="B75" i="1"/>
  <c r="AZ74" i="1" l="1"/>
  <c r="AY73" i="1"/>
  <c r="D75" i="1"/>
  <c r="E75" i="1"/>
  <c r="C75" i="1"/>
  <c r="AX74" i="1"/>
  <c r="AT74" i="1"/>
  <c r="L74" i="1"/>
  <c r="AE74" i="1"/>
  <c r="AB74" i="1" s="1"/>
  <c r="AO73" i="1"/>
  <c r="P74" i="1"/>
  <c r="M74" i="1" s="1"/>
  <c r="AA74" i="1"/>
  <c r="F75" i="1" a="1"/>
  <c r="F75" i="1" s="1"/>
  <c r="BB75" i="1" a="1"/>
  <c r="BB75" i="1" s="1"/>
  <c r="BD75" i="1" a="1"/>
  <c r="BD75" i="1" s="1"/>
  <c r="BF75" i="1" a="1"/>
  <c r="BF75" i="1" s="1"/>
  <c r="AV75" i="1" a="1"/>
  <c r="AV75" i="1" s="1"/>
  <c r="AR75" i="1" a="1"/>
  <c r="AR75" i="1" s="1"/>
  <c r="AH75" i="1" a="1"/>
  <c r="AH75" i="1" s="1"/>
  <c r="AJ75" i="1" a="1"/>
  <c r="AJ75" i="1" s="1"/>
  <c r="AL75" i="1" a="1"/>
  <c r="AL75" i="1" s="1"/>
  <c r="BC75" i="1" a="1"/>
  <c r="BC75" i="1" s="1"/>
  <c r="AS75" i="1" a="1"/>
  <c r="AS75" i="1" s="1"/>
  <c r="AG75" i="1" a="1"/>
  <c r="AG75" i="1" s="1"/>
  <c r="AK75" i="1" a="1"/>
  <c r="AK75" i="1" s="1"/>
  <c r="AC75" i="1" a="1"/>
  <c r="AC75" i="1" s="1"/>
  <c r="Y75" i="1" a="1"/>
  <c r="Y75" i="1" s="1"/>
  <c r="S75" i="1" a="1"/>
  <c r="S75" i="1" s="1"/>
  <c r="U75" i="1" a="1"/>
  <c r="U75" i="1" s="1"/>
  <c r="W75" i="1" a="1"/>
  <c r="W75" i="1" s="1"/>
  <c r="N75" i="1" a="1"/>
  <c r="N75" i="1" s="1"/>
  <c r="G75" i="1" a="1"/>
  <c r="G75" i="1" s="1"/>
  <c r="BA75" i="1" a="1"/>
  <c r="BA75" i="1" s="1"/>
  <c r="BE75" i="1" a="1"/>
  <c r="BE75" i="1" s="1"/>
  <c r="AW75" i="1" a="1"/>
  <c r="AW75" i="1" s="1"/>
  <c r="AX75" i="1" s="1"/>
  <c r="AD75" i="1" a="1"/>
  <c r="AD75" i="1" s="1"/>
  <c r="AE75" i="1" s="1"/>
  <c r="AB75" i="1" s="1"/>
  <c r="T75" i="1" a="1"/>
  <c r="T75" i="1" s="1"/>
  <c r="K75" i="1" a="1"/>
  <c r="K75" i="1" s="1"/>
  <c r="AI75" i="1" a="1"/>
  <c r="AI75" i="1" s="1"/>
  <c r="Z75" i="1" a="1"/>
  <c r="Z75" i="1" s="1"/>
  <c r="R75" i="1" a="1"/>
  <c r="R75" i="1" s="1"/>
  <c r="V75" i="1" a="1"/>
  <c r="V75" i="1" s="1"/>
  <c r="O75" i="1" a="1"/>
  <c r="O75" i="1" s="1"/>
  <c r="J75" i="1" a="1"/>
  <c r="J75" i="1" s="1"/>
  <c r="Q74" i="1" a="1"/>
  <c r="Q74" i="1" s="1"/>
  <c r="I74" i="1"/>
  <c r="X74" i="1"/>
  <c r="AF74" i="1"/>
  <c r="A75" i="1"/>
  <c r="B76" i="1"/>
  <c r="AZ75" i="1" l="1"/>
  <c r="AZ73" i="1"/>
  <c r="P75" i="1"/>
  <c r="M75" i="1" s="1"/>
  <c r="D76" i="1"/>
  <c r="E76" i="1"/>
  <c r="C76" i="1"/>
  <c r="AZ76" i="1" s="1"/>
  <c r="AT75" i="1"/>
  <c r="AY74" i="1"/>
  <c r="AA75" i="1"/>
  <c r="AO74" i="1"/>
  <c r="L75" i="1"/>
  <c r="H75" i="1"/>
  <c r="G76" i="1" a="1"/>
  <c r="G76" i="1" s="1"/>
  <c r="BB76" i="1" a="1"/>
  <c r="BB76" i="1" s="1"/>
  <c r="BD76" i="1" a="1"/>
  <c r="BD76" i="1" s="1"/>
  <c r="BF76" i="1" a="1"/>
  <c r="BF76" i="1" s="1"/>
  <c r="AW76" i="1" a="1"/>
  <c r="AW76" i="1" s="1"/>
  <c r="AS76" i="1" a="1"/>
  <c r="AS76" i="1" s="1"/>
  <c r="AH76" i="1" a="1"/>
  <c r="AH76" i="1" s="1"/>
  <c r="AJ76" i="1" a="1"/>
  <c r="AJ76" i="1" s="1"/>
  <c r="AL76" i="1" a="1"/>
  <c r="AL76" i="1" s="1"/>
  <c r="F76" i="1" a="1"/>
  <c r="F76" i="1" s="1"/>
  <c r="BA76" i="1" a="1"/>
  <c r="BA76" i="1" s="1"/>
  <c r="BE76" i="1" a="1"/>
  <c r="BE76" i="1" s="1"/>
  <c r="AV76" i="1" a="1"/>
  <c r="AV76" i="1" s="1"/>
  <c r="AI76" i="1" a="1"/>
  <c r="AI76" i="1" s="1"/>
  <c r="AD76" i="1" a="1"/>
  <c r="AD76" i="1" s="1"/>
  <c r="Z76" i="1" a="1"/>
  <c r="Z76" i="1" s="1"/>
  <c r="S76" i="1" a="1"/>
  <c r="S76" i="1" s="1"/>
  <c r="U76" i="1" a="1"/>
  <c r="U76" i="1" s="1"/>
  <c r="W76" i="1" a="1"/>
  <c r="W76" i="1" s="1"/>
  <c r="O76" i="1" a="1"/>
  <c r="O76" i="1" s="1"/>
  <c r="K76" i="1" a="1"/>
  <c r="K76" i="1" s="1"/>
  <c r="J76" i="1" a="1"/>
  <c r="J76" i="1" s="1"/>
  <c r="BC76" i="1" a="1"/>
  <c r="BC76" i="1" s="1"/>
  <c r="AR76" i="1" a="1"/>
  <c r="AR76" i="1" s="1"/>
  <c r="AG76" i="1" a="1"/>
  <c r="AG76" i="1" s="1"/>
  <c r="Y76" i="1" a="1"/>
  <c r="Y76" i="1" s="1"/>
  <c r="R76" i="1" a="1"/>
  <c r="R76" i="1" s="1"/>
  <c r="V76" i="1" a="1"/>
  <c r="V76" i="1" s="1"/>
  <c r="N76" i="1" a="1"/>
  <c r="N76" i="1" s="1"/>
  <c r="AK76" i="1" a="1"/>
  <c r="AK76" i="1" s="1"/>
  <c r="AC76" i="1" a="1"/>
  <c r="AC76" i="1" s="1"/>
  <c r="T76" i="1" a="1"/>
  <c r="T76" i="1" s="1"/>
  <c r="X75" i="1"/>
  <c r="AF75" i="1"/>
  <c r="I75" i="1"/>
  <c r="Q75" i="1" a="1"/>
  <c r="Q75" i="1" s="1"/>
  <c r="AO75" i="1" s="1"/>
  <c r="A76" i="1"/>
  <c r="B77" i="1"/>
  <c r="AY75" i="1" l="1"/>
  <c r="D77" i="1"/>
  <c r="E77" i="1"/>
  <c r="C77" i="1"/>
  <c r="AZ77" i="1" s="1"/>
  <c r="L76" i="1"/>
  <c r="H76" i="1"/>
  <c r="AT76" i="1"/>
  <c r="AX76" i="1"/>
  <c r="P76" i="1"/>
  <c r="M76" i="1" s="1"/>
  <c r="AA76" i="1"/>
  <c r="AE76" i="1"/>
  <c r="AB76" i="1" s="1"/>
  <c r="F77" i="1" a="1"/>
  <c r="F77" i="1" s="1"/>
  <c r="BB77" i="1" a="1"/>
  <c r="BB77" i="1" s="1"/>
  <c r="BD77" i="1" a="1"/>
  <c r="BD77" i="1" s="1"/>
  <c r="BF77" i="1" a="1"/>
  <c r="BF77" i="1" s="1"/>
  <c r="AV77" i="1" a="1"/>
  <c r="AV77" i="1" s="1"/>
  <c r="AR77" i="1" a="1"/>
  <c r="AR77" i="1" s="1"/>
  <c r="AH77" i="1" a="1"/>
  <c r="AH77" i="1" s="1"/>
  <c r="AJ77" i="1" a="1"/>
  <c r="AJ77" i="1" s="1"/>
  <c r="AL77" i="1" a="1"/>
  <c r="AL77" i="1" s="1"/>
  <c r="G77" i="1" a="1"/>
  <c r="G77" i="1" s="1"/>
  <c r="BC77" i="1" a="1"/>
  <c r="BC77" i="1" s="1"/>
  <c r="AW77" i="1" a="1"/>
  <c r="AW77" i="1" s="1"/>
  <c r="AG77" i="1" a="1"/>
  <c r="AG77" i="1" s="1"/>
  <c r="AK77" i="1" a="1"/>
  <c r="AK77" i="1" s="1"/>
  <c r="AC77" i="1" a="1"/>
  <c r="AC77" i="1" s="1"/>
  <c r="Y77" i="1" a="1"/>
  <c r="Y77" i="1" s="1"/>
  <c r="S77" i="1" a="1"/>
  <c r="S77" i="1" s="1"/>
  <c r="U77" i="1" a="1"/>
  <c r="U77" i="1" s="1"/>
  <c r="W77" i="1" a="1"/>
  <c r="W77" i="1" s="1"/>
  <c r="N77" i="1" a="1"/>
  <c r="N77" i="1" s="1"/>
  <c r="BA77" i="1" a="1"/>
  <c r="BA77" i="1" s="1"/>
  <c r="BE77" i="1" a="1"/>
  <c r="BE77" i="1" s="1"/>
  <c r="AS77" i="1" a="1"/>
  <c r="AS77" i="1" s="1"/>
  <c r="AI77" i="1" a="1"/>
  <c r="AI77" i="1" s="1"/>
  <c r="Z77" i="1" a="1"/>
  <c r="Z77" i="1" s="1"/>
  <c r="T77" i="1" a="1"/>
  <c r="T77" i="1" s="1"/>
  <c r="O77" i="1" a="1"/>
  <c r="O77" i="1" s="1"/>
  <c r="J77" i="1" a="1"/>
  <c r="J77" i="1" s="1"/>
  <c r="AD77" i="1" a="1"/>
  <c r="AD77" i="1" s="1"/>
  <c r="R77" i="1" a="1"/>
  <c r="R77" i="1" s="1"/>
  <c r="V77" i="1" a="1"/>
  <c r="V77" i="1" s="1"/>
  <c r="K77" i="1" a="1"/>
  <c r="K77" i="1" s="1"/>
  <c r="L77" i="1" s="1"/>
  <c r="Q76" i="1" a="1"/>
  <c r="Q76" i="1" s="1"/>
  <c r="I76" i="1"/>
  <c r="X76" i="1"/>
  <c r="AF76" i="1"/>
  <c r="A77" i="1"/>
  <c r="B78" i="1"/>
  <c r="AT77" i="1" l="1"/>
  <c r="AX77" i="1"/>
  <c r="D78" i="1"/>
  <c r="E78" i="1"/>
  <c r="C78" i="1"/>
  <c r="AZ78" i="1" s="1"/>
  <c r="AY76" i="1"/>
  <c r="AE77" i="1"/>
  <c r="AB77" i="1" s="1"/>
  <c r="AO76" i="1"/>
  <c r="P77" i="1"/>
  <c r="M77" i="1" s="1"/>
  <c r="AA77" i="1"/>
  <c r="H77" i="1"/>
  <c r="G78" i="1" a="1"/>
  <c r="G78" i="1" s="1"/>
  <c r="BB78" i="1" a="1"/>
  <c r="BB78" i="1" s="1"/>
  <c r="BD78" i="1" a="1"/>
  <c r="BD78" i="1" s="1"/>
  <c r="BF78" i="1" a="1"/>
  <c r="BF78" i="1" s="1"/>
  <c r="AW78" i="1" a="1"/>
  <c r="AW78" i="1" s="1"/>
  <c r="AS78" i="1" a="1"/>
  <c r="AS78" i="1" s="1"/>
  <c r="AH78" i="1" a="1"/>
  <c r="AH78" i="1" s="1"/>
  <c r="AJ78" i="1" a="1"/>
  <c r="AJ78" i="1" s="1"/>
  <c r="AL78" i="1" a="1"/>
  <c r="AL78" i="1" s="1"/>
  <c r="BA78" i="1" a="1"/>
  <c r="BA78" i="1" s="1"/>
  <c r="BE78" i="1" a="1"/>
  <c r="BE78" i="1" s="1"/>
  <c r="AR78" i="1" a="1"/>
  <c r="AR78" i="1" s="1"/>
  <c r="AI78" i="1" a="1"/>
  <c r="AI78" i="1" s="1"/>
  <c r="AD78" i="1" a="1"/>
  <c r="AD78" i="1" s="1"/>
  <c r="Z78" i="1" a="1"/>
  <c r="Z78" i="1" s="1"/>
  <c r="S78" i="1" a="1"/>
  <c r="S78" i="1" s="1"/>
  <c r="U78" i="1" a="1"/>
  <c r="U78" i="1" s="1"/>
  <c r="W78" i="1" a="1"/>
  <c r="W78" i="1" s="1"/>
  <c r="O78" i="1" a="1"/>
  <c r="O78" i="1" s="1"/>
  <c r="K78" i="1" a="1"/>
  <c r="K78" i="1" s="1"/>
  <c r="J78" i="1" a="1"/>
  <c r="J78" i="1" s="1"/>
  <c r="F78" i="1" a="1"/>
  <c r="F78" i="1" s="1"/>
  <c r="H78" i="1" s="1"/>
  <c r="BC78" i="1" a="1"/>
  <c r="BC78" i="1" s="1"/>
  <c r="AV78" i="1" a="1"/>
  <c r="AV78" i="1" s="1"/>
  <c r="AK78" i="1" a="1"/>
  <c r="AK78" i="1" s="1"/>
  <c r="AC78" i="1" a="1"/>
  <c r="AC78" i="1" s="1"/>
  <c r="R78" i="1" a="1"/>
  <c r="R78" i="1" s="1"/>
  <c r="V78" i="1" a="1"/>
  <c r="V78" i="1" s="1"/>
  <c r="AG78" i="1" a="1"/>
  <c r="AG78" i="1" s="1"/>
  <c r="Y78" i="1" a="1"/>
  <c r="Y78" i="1" s="1"/>
  <c r="T78" i="1" a="1"/>
  <c r="T78" i="1" s="1"/>
  <c r="N78" i="1" a="1"/>
  <c r="N78" i="1" s="1"/>
  <c r="I77" i="1"/>
  <c r="Q77" i="1" a="1"/>
  <c r="Q77" i="1" s="1"/>
  <c r="X77" i="1"/>
  <c r="AF77" i="1"/>
  <c r="A78" i="1"/>
  <c r="B79" i="1"/>
  <c r="AY77" i="1" l="1"/>
  <c r="D79" i="1"/>
  <c r="E79" i="1"/>
  <c r="C79" i="1"/>
  <c r="AZ79" i="1" s="1"/>
  <c r="AX78" i="1"/>
  <c r="AT78" i="1"/>
  <c r="AO77" i="1"/>
  <c r="L78" i="1"/>
  <c r="AE78" i="1"/>
  <c r="AB78" i="1" s="1"/>
  <c r="P78" i="1"/>
  <c r="M78" i="1" s="1"/>
  <c r="AA78" i="1"/>
  <c r="X78" i="1" s="1"/>
  <c r="F79" i="1" a="1"/>
  <c r="F79" i="1" s="1"/>
  <c r="BB79" i="1" a="1"/>
  <c r="BB79" i="1" s="1"/>
  <c r="BD79" i="1" a="1"/>
  <c r="BD79" i="1" s="1"/>
  <c r="BF79" i="1" a="1"/>
  <c r="BF79" i="1" s="1"/>
  <c r="AV79" i="1" a="1"/>
  <c r="AV79" i="1" s="1"/>
  <c r="AR79" i="1" a="1"/>
  <c r="AR79" i="1" s="1"/>
  <c r="AH79" i="1" a="1"/>
  <c r="AH79" i="1" s="1"/>
  <c r="AJ79" i="1" a="1"/>
  <c r="AJ79" i="1" s="1"/>
  <c r="AL79" i="1" a="1"/>
  <c r="AL79" i="1" s="1"/>
  <c r="BC79" i="1" a="1"/>
  <c r="BC79" i="1" s="1"/>
  <c r="AS79" i="1" a="1"/>
  <c r="AS79" i="1" s="1"/>
  <c r="AG79" i="1" a="1"/>
  <c r="AG79" i="1" s="1"/>
  <c r="AK79" i="1" a="1"/>
  <c r="AK79" i="1" s="1"/>
  <c r="AC79" i="1" a="1"/>
  <c r="AC79" i="1" s="1"/>
  <c r="Y79" i="1" a="1"/>
  <c r="Y79" i="1" s="1"/>
  <c r="S79" i="1" a="1"/>
  <c r="S79" i="1" s="1"/>
  <c r="U79" i="1" a="1"/>
  <c r="U79" i="1" s="1"/>
  <c r="W79" i="1" a="1"/>
  <c r="W79" i="1" s="1"/>
  <c r="N79" i="1" a="1"/>
  <c r="N79" i="1" s="1"/>
  <c r="G79" i="1" a="1"/>
  <c r="G79" i="1" s="1"/>
  <c r="BA79" i="1" a="1"/>
  <c r="BA79" i="1" s="1"/>
  <c r="BE79" i="1" a="1"/>
  <c r="BE79" i="1" s="1"/>
  <c r="AW79" i="1" a="1"/>
  <c r="AW79" i="1" s="1"/>
  <c r="AX79" i="1" s="1"/>
  <c r="AD79" i="1" a="1"/>
  <c r="AD79" i="1" s="1"/>
  <c r="AE79" i="1" s="1"/>
  <c r="AB79" i="1" s="1"/>
  <c r="T79" i="1" a="1"/>
  <c r="T79" i="1" s="1"/>
  <c r="K79" i="1" a="1"/>
  <c r="K79" i="1" s="1"/>
  <c r="AI79" i="1" a="1"/>
  <c r="AI79" i="1" s="1"/>
  <c r="Z79" i="1" a="1"/>
  <c r="Z79" i="1" s="1"/>
  <c r="R79" i="1" a="1"/>
  <c r="R79" i="1" s="1"/>
  <c r="V79" i="1" a="1"/>
  <c r="V79" i="1" s="1"/>
  <c r="O79" i="1" a="1"/>
  <c r="O79" i="1" s="1"/>
  <c r="P79" i="1" s="1"/>
  <c r="M79" i="1" s="1"/>
  <c r="J79" i="1" a="1"/>
  <c r="J79" i="1" s="1"/>
  <c r="Q78" i="1" a="1"/>
  <c r="Q78" i="1" s="1"/>
  <c r="I78" i="1"/>
  <c r="AF78" i="1"/>
  <c r="A79" i="1"/>
  <c r="B80" i="1"/>
  <c r="AT79" i="1" l="1"/>
  <c r="AA79" i="1"/>
  <c r="D80" i="1"/>
  <c r="E80" i="1"/>
  <c r="C80" i="1"/>
  <c r="AZ80" i="1" s="1"/>
  <c r="AY78" i="1"/>
  <c r="AO78" i="1"/>
  <c r="H79" i="1"/>
  <c r="L79" i="1"/>
  <c r="G80" i="1" a="1"/>
  <c r="G80" i="1" s="1"/>
  <c r="BB80" i="1" a="1"/>
  <c r="BB80" i="1" s="1"/>
  <c r="BD80" i="1" a="1"/>
  <c r="BD80" i="1" s="1"/>
  <c r="BF80" i="1" a="1"/>
  <c r="BF80" i="1" s="1"/>
  <c r="AW80" i="1" a="1"/>
  <c r="AW80" i="1" s="1"/>
  <c r="AS80" i="1" a="1"/>
  <c r="AS80" i="1" s="1"/>
  <c r="AH80" i="1" a="1"/>
  <c r="AH80" i="1" s="1"/>
  <c r="AJ80" i="1" a="1"/>
  <c r="AJ80" i="1" s="1"/>
  <c r="AL80" i="1" a="1"/>
  <c r="AL80" i="1" s="1"/>
  <c r="F80" i="1" a="1"/>
  <c r="F80" i="1" s="1"/>
  <c r="BA80" i="1" a="1"/>
  <c r="BA80" i="1" s="1"/>
  <c r="BE80" i="1" a="1"/>
  <c r="BE80" i="1" s="1"/>
  <c r="AV80" i="1" a="1"/>
  <c r="AV80" i="1" s="1"/>
  <c r="AI80" i="1" a="1"/>
  <c r="AI80" i="1" s="1"/>
  <c r="AD80" i="1" a="1"/>
  <c r="AD80" i="1" s="1"/>
  <c r="Z80" i="1" a="1"/>
  <c r="Z80" i="1" s="1"/>
  <c r="S80" i="1" a="1"/>
  <c r="S80" i="1" s="1"/>
  <c r="U80" i="1" a="1"/>
  <c r="U80" i="1" s="1"/>
  <c r="W80" i="1" a="1"/>
  <c r="W80" i="1" s="1"/>
  <c r="O80" i="1" a="1"/>
  <c r="O80" i="1" s="1"/>
  <c r="K80" i="1" a="1"/>
  <c r="K80" i="1" s="1"/>
  <c r="J80" i="1" a="1"/>
  <c r="J80" i="1" s="1"/>
  <c r="BC80" i="1" a="1"/>
  <c r="BC80" i="1" s="1"/>
  <c r="AG80" i="1" a="1"/>
  <c r="AG80" i="1" s="1"/>
  <c r="Y80" i="1" a="1"/>
  <c r="Y80" i="1" s="1"/>
  <c r="R80" i="1" a="1"/>
  <c r="R80" i="1" s="1"/>
  <c r="V80" i="1" a="1"/>
  <c r="V80" i="1" s="1"/>
  <c r="N80" i="1" a="1"/>
  <c r="N80" i="1" s="1"/>
  <c r="AR80" i="1" a="1"/>
  <c r="AR80" i="1" s="1"/>
  <c r="AK80" i="1" a="1"/>
  <c r="AK80" i="1" s="1"/>
  <c r="AC80" i="1" a="1"/>
  <c r="AC80" i="1" s="1"/>
  <c r="T80" i="1" a="1"/>
  <c r="T80" i="1" s="1"/>
  <c r="X79" i="1"/>
  <c r="AF79" i="1"/>
  <c r="I79" i="1"/>
  <c r="Q79" i="1" a="1"/>
  <c r="Q79" i="1" s="1"/>
  <c r="AO79" i="1" s="1"/>
  <c r="A80" i="1"/>
  <c r="B81" i="1"/>
  <c r="AY79" i="1" l="1"/>
  <c r="D81" i="1"/>
  <c r="E81" i="1"/>
  <c r="C81" i="1"/>
  <c r="H80" i="1"/>
  <c r="AX80" i="1"/>
  <c r="AT80" i="1"/>
  <c r="AA80" i="1"/>
  <c r="P80" i="1"/>
  <c r="M80" i="1" s="1"/>
  <c r="L80" i="1"/>
  <c r="AE80" i="1"/>
  <c r="AB80" i="1" s="1"/>
  <c r="F81" i="1" a="1"/>
  <c r="F81" i="1" s="1"/>
  <c r="BB81" i="1" a="1"/>
  <c r="BB81" i="1" s="1"/>
  <c r="BD81" i="1" a="1"/>
  <c r="BD81" i="1" s="1"/>
  <c r="BF81" i="1" a="1"/>
  <c r="BF81" i="1" s="1"/>
  <c r="AV81" i="1" a="1"/>
  <c r="AV81" i="1" s="1"/>
  <c r="AR81" i="1" a="1"/>
  <c r="AR81" i="1" s="1"/>
  <c r="AH81" i="1" a="1"/>
  <c r="AH81" i="1" s="1"/>
  <c r="AJ81" i="1" a="1"/>
  <c r="AJ81" i="1" s="1"/>
  <c r="AL81" i="1" a="1"/>
  <c r="AL81" i="1" s="1"/>
  <c r="G81" i="1" a="1"/>
  <c r="G81" i="1" s="1"/>
  <c r="BC81" i="1" a="1"/>
  <c r="BC81" i="1" s="1"/>
  <c r="AW81" i="1" a="1"/>
  <c r="AW81" i="1" s="1"/>
  <c r="AG81" i="1" a="1"/>
  <c r="AG81" i="1" s="1"/>
  <c r="AK81" i="1" a="1"/>
  <c r="AK81" i="1" s="1"/>
  <c r="AC81" i="1" a="1"/>
  <c r="AC81" i="1" s="1"/>
  <c r="Y81" i="1" a="1"/>
  <c r="Y81" i="1" s="1"/>
  <c r="S81" i="1" a="1"/>
  <c r="S81" i="1" s="1"/>
  <c r="U81" i="1" a="1"/>
  <c r="U81" i="1" s="1"/>
  <c r="W81" i="1" a="1"/>
  <c r="W81" i="1" s="1"/>
  <c r="N81" i="1" a="1"/>
  <c r="N81" i="1" s="1"/>
  <c r="BA81" i="1" a="1"/>
  <c r="BA81" i="1" s="1"/>
  <c r="BE81" i="1" a="1"/>
  <c r="BE81" i="1" s="1"/>
  <c r="AS81" i="1" a="1"/>
  <c r="AS81" i="1" s="1"/>
  <c r="AI81" i="1" a="1"/>
  <c r="AI81" i="1" s="1"/>
  <c r="Z81" i="1" a="1"/>
  <c r="Z81" i="1" s="1"/>
  <c r="T81" i="1" a="1"/>
  <c r="T81" i="1" s="1"/>
  <c r="O81" i="1" a="1"/>
  <c r="O81" i="1" s="1"/>
  <c r="J81" i="1" a="1"/>
  <c r="J81" i="1" s="1"/>
  <c r="AD81" i="1" a="1"/>
  <c r="AD81" i="1" s="1"/>
  <c r="AE81" i="1" s="1"/>
  <c r="AB81" i="1" s="1"/>
  <c r="R81" i="1" a="1"/>
  <c r="R81" i="1" s="1"/>
  <c r="V81" i="1" a="1"/>
  <c r="V81" i="1" s="1"/>
  <c r="K81" i="1" a="1"/>
  <c r="K81" i="1" s="1"/>
  <c r="L81" i="1" s="1"/>
  <c r="Q80" i="1" a="1"/>
  <c r="Q80" i="1" s="1"/>
  <c r="I80" i="1"/>
  <c r="X80" i="1"/>
  <c r="AF80" i="1"/>
  <c r="A81" i="1"/>
  <c r="B82" i="1"/>
  <c r="AZ81" i="1" l="1"/>
  <c r="AT81" i="1"/>
  <c r="AX81" i="1"/>
  <c r="P81" i="1"/>
  <c r="M81" i="1" s="1"/>
  <c r="AA81" i="1"/>
  <c r="AY80" i="1"/>
  <c r="D82" i="1"/>
  <c r="E82" i="1"/>
  <c r="C82" i="1"/>
  <c r="AZ82" i="1" s="1"/>
  <c r="AO80" i="1"/>
  <c r="H81" i="1"/>
  <c r="G82" i="1" a="1"/>
  <c r="G82" i="1" s="1"/>
  <c r="BB82" i="1" a="1"/>
  <c r="BB82" i="1" s="1"/>
  <c r="BD82" i="1" a="1"/>
  <c r="BD82" i="1" s="1"/>
  <c r="BF82" i="1" a="1"/>
  <c r="BF82" i="1" s="1"/>
  <c r="AW82" i="1" a="1"/>
  <c r="AW82" i="1" s="1"/>
  <c r="AS82" i="1" a="1"/>
  <c r="AS82" i="1" s="1"/>
  <c r="AH82" i="1" a="1"/>
  <c r="AH82" i="1" s="1"/>
  <c r="AJ82" i="1" a="1"/>
  <c r="AJ82" i="1" s="1"/>
  <c r="AL82" i="1" a="1"/>
  <c r="AL82" i="1" s="1"/>
  <c r="BA82" i="1" a="1"/>
  <c r="BA82" i="1" s="1"/>
  <c r="BE82" i="1" a="1"/>
  <c r="BE82" i="1" s="1"/>
  <c r="AR82" i="1" a="1"/>
  <c r="AR82" i="1" s="1"/>
  <c r="AI82" i="1" a="1"/>
  <c r="AI82" i="1" s="1"/>
  <c r="AD82" i="1" a="1"/>
  <c r="AD82" i="1" s="1"/>
  <c r="Z82" i="1" a="1"/>
  <c r="Z82" i="1" s="1"/>
  <c r="S82" i="1" a="1"/>
  <c r="S82" i="1" s="1"/>
  <c r="U82" i="1" a="1"/>
  <c r="U82" i="1" s="1"/>
  <c r="W82" i="1" a="1"/>
  <c r="W82" i="1" s="1"/>
  <c r="O82" i="1" a="1"/>
  <c r="O82" i="1" s="1"/>
  <c r="K82" i="1" a="1"/>
  <c r="K82" i="1" s="1"/>
  <c r="J82" i="1" a="1"/>
  <c r="J82" i="1" s="1"/>
  <c r="F82" i="1" a="1"/>
  <c r="F82" i="1" s="1"/>
  <c r="H82" i="1" s="1"/>
  <c r="BC82" i="1" a="1"/>
  <c r="BC82" i="1" s="1"/>
  <c r="AV82" i="1" a="1"/>
  <c r="AV82" i="1" s="1"/>
  <c r="AK82" i="1" a="1"/>
  <c r="AK82" i="1" s="1"/>
  <c r="AC82" i="1" a="1"/>
  <c r="AC82" i="1" s="1"/>
  <c r="R82" i="1" a="1"/>
  <c r="R82" i="1" s="1"/>
  <c r="V82" i="1" a="1"/>
  <c r="V82" i="1" s="1"/>
  <c r="AG82" i="1" a="1"/>
  <c r="AG82" i="1" s="1"/>
  <c r="Y82" i="1" a="1"/>
  <c r="Y82" i="1" s="1"/>
  <c r="T82" i="1" a="1"/>
  <c r="T82" i="1" s="1"/>
  <c r="N82" i="1" a="1"/>
  <c r="N82" i="1" s="1"/>
  <c r="I81" i="1"/>
  <c r="Q81" i="1" a="1"/>
  <c r="Q81" i="1" s="1"/>
  <c r="X81" i="1"/>
  <c r="AF81" i="1"/>
  <c r="A82" i="1"/>
  <c r="B83" i="1"/>
  <c r="AY81" i="1" l="1"/>
  <c r="D83" i="1"/>
  <c r="E83" i="1"/>
  <c r="C83" i="1"/>
  <c r="AZ83" i="1" s="1"/>
  <c r="AX82" i="1"/>
  <c r="L82" i="1"/>
  <c r="AT82" i="1"/>
  <c r="AY82" i="1" s="1"/>
  <c r="AO81" i="1"/>
  <c r="P82" i="1"/>
  <c r="M82" i="1" s="1"/>
  <c r="AA82" i="1"/>
  <c r="AE82" i="1"/>
  <c r="AB82" i="1" s="1"/>
  <c r="F83" i="1" a="1"/>
  <c r="F83" i="1" s="1"/>
  <c r="BB83" i="1" a="1"/>
  <c r="BB83" i="1" s="1"/>
  <c r="BD83" i="1" a="1"/>
  <c r="BD83" i="1" s="1"/>
  <c r="BF83" i="1" a="1"/>
  <c r="BF83" i="1" s="1"/>
  <c r="AV83" i="1" a="1"/>
  <c r="AV83" i="1" s="1"/>
  <c r="AR83" i="1" a="1"/>
  <c r="AR83" i="1" s="1"/>
  <c r="AH83" i="1" a="1"/>
  <c r="AH83" i="1" s="1"/>
  <c r="AJ83" i="1" a="1"/>
  <c r="AJ83" i="1" s="1"/>
  <c r="AL83" i="1" a="1"/>
  <c r="AL83" i="1" s="1"/>
  <c r="BC83" i="1" a="1"/>
  <c r="BC83" i="1" s="1"/>
  <c r="AS83" i="1" a="1"/>
  <c r="AS83" i="1" s="1"/>
  <c r="AG83" i="1" a="1"/>
  <c r="AG83" i="1" s="1"/>
  <c r="AK83" i="1" a="1"/>
  <c r="AK83" i="1" s="1"/>
  <c r="AC83" i="1" a="1"/>
  <c r="AC83" i="1" s="1"/>
  <c r="Y83" i="1" a="1"/>
  <c r="Y83" i="1" s="1"/>
  <c r="S83" i="1" a="1"/>
  <c r="S83" i="1" s="1"/>
  <c r="U83" i="1" a="1"/>
  <c r="U83" i="1" s="1"/>
  <c r="W83" i="1" a="1"/>
  <c r="W83" i="1" s="1"/>
  <c r="N83" i="1" a="1"/>
  <c r="N83" i="1" s="1"/>
  <c r="G83" i="1" a="1"/>
  <c r="G83" i="1" s="1"/>
  <c r="BA83" i="1" a="1"/>
  <c r="BA83" i="1" s="1"/>
  <c r="BE83" i="1" a="1"/>
  <c r="BE83" i="1" s="1"/>
  <c r="AW83" i="1" a="1"/>
  <c r="AW83" i="1" s="1"/>
  <c r="AX83" i="1" s="1"/>
  <c r="AD83" i="1" a="1"/>
  <c r="AD83" i="1" s="1"/>
  <c r="AE83" i="1" s="1"/>
  <c r="AB83" i="1" s="1"/>
  <c r="T83" i="1" a="1"/>
  <c r="T83" i="1" s="1"/>
  <c r="K83" i="1" a="1"/>
  <c r="K83" i="1" s="1"/>
  <c r="AI83" i="1" a="1"/>
  <c r="AI83" i="1" s="1"/>
  <c r="Z83" i="1" a="1"/>
  <c r="Z83" i="1" s="1"/>
  <c r="R83" i="1" a="1"/>
  <c r="R83" i="1" s="1"/>
  <c r="V83" i="1" a="1"/>
  <c r="V83" i="1" s="1"/>
  <c r="O83" i="1" a="1"/>
  <c r="O83" i="1" s="1"/>
  <c r="P83" i="1" s="1"/>
  <c r="M83" i="1" s="1"/>
  <c r="J83" i="1" a="1"/>
  <c r="J83" i="1" s="1"/>
  <c r="Q82" i="1" a="1"/>
  <c r="Q82" i="1" s="1"/>
  <c r="I82" i="1"/>
  <c r="X82" i="1"/>
  <c r="AF82" i="1"/>
  <c r="A83" i="1"/>
  <c r="B84" i="1"/>
  <c r="AA83" i="1" l="1"/>
  <c r="AT83" i="1"/>
  <c r="D84" i="1"/>
  <c r="E84" i="1"/>
  <c r="C84" i="1"/>
  <c r="AZ84" i="1" s="1"/>
  <c r="L83" i="1"/>
  <c r="AO82" i="1"/>
  <c r="H83" i="1"/>
  <c r="AY83" i="1" s="1"/>
  <c r="G84" i="1" a="1"/>
  <c r="G84" i="1" s="1"/>
  <c r="BB84" i="1" a="1"/>
  <c r="BB84" i="1" s="1"/>
  <c r="BD84" i="1" a="1"/>
  <c r="BD84" i="1" s="1"/>
  <c r="BF84" i="1" a="1"/>
  <c r="BF84" i="1" s="1"/>
  <c r="AW84" i="1" a="1"/>
  <c r="AW84" i="1" s="1"/>
  <c r="AS84" i="1" a="1"/>
  <c r="AS84" i="1" s="1"/>
  <c r="AH84" i="1" a="1"/>
  <c r="AH84" i="1" s="1"/>
  <c r="AJ84" i="1" a="1"/>
  <c r="AJ84" i="1" s="1"/>
  <c r="AL84" i="1" a="1"/>
  <c r="AL84" i="1" s="1"/>
  <c r="F84" i="1" a="1"/>
  <c r="F84" i="1" s="1"/>
  <c r="BA84" i="1" a="1"/>
  <c r="BA84" i="1" s="1"/>
  <c r="BE84" i="1" a="1"/>
  <c r="BE84" i="1" s="1"/>
  <c r="AV84" i="1" a="1"/>
  <c r="AV84" i="1" s="1"/>
  <c r="AI84" i="1" a="1"/>
  <c r="AI84" i="1" s="1"/>
  <c r="AD84" i="1" a="1"/>
  <c r="AD84" i="1" s="1"/>
  <c r="Z84" i="1" a="1"/>
  <c r="Z84" i="1" s="1"/>
  <c r="S84" i="1" a="1"/>
  <c r="S84" i="1" s="1"/>
  <c r="U84" i="1" a="1"/>
  <c r="U84" i="1" s="1"/>
  <c r="W84" i="1" a="1"/>
  <c r="W84" i="1" s="1"/>
  <c r="O84" i="1" a="1"/>
  <c r="O84" i="1" s="1"/>
  <c r="K84" i="1" a="1"/>
  <c r="K84" i="1" s="1"/>
  <c r="J84" i="1" a="1"/>
  <c r="J84" i="1" s="1"/>
  <c r="BC84" i="1" a="1"/>
  <c r="BC84" i="1" s="1"/>
  <c r="AR84" i="1" a="1"/>
  <c r="AR84" i="1" s="1"/>
  <c r="AG84" i="1" a="1"/>
  <c r="AG84" i="1" s="1"/>
  <c r="Y84" i="1" a="1"/>
  <c r="Y84" i="1" s="1"/>
  <c r="R84" i="1" a="1"/>
  <c r="R84" i="1" s="1"/>
  <c r="V84" i="1" a="1"/>
  <c r="V84" i="1" s="1"/>
  <c r="N84" i="1" a="1"/>
  <c r="N84" i="1" s="1"/>
  <c r="AK84" i="1" a="1"/>
  <c r="AK84" i="1" s="1"/>
  <c r="AC84" i="1" a="1"/>
  <c r="AC84" i="1" s="1"/>
  <c r="T84" i="1" a="1"/>
  <c r="T84" i="1" s="1"/>
  <c r="X83" i="1"/>
  <c r="AF83" i="1"/>
  <c r="I83" i="1"/>
  <c r="Q83" i="1" a="1"/>
  <c r="Q83" i="1" s="1"/>
  <c r="AO83" i="1" s="1"/>
  <c r="A84" i="1"/>
  <c r="B85" i="1"/>
  <c r="D85" i="1" l="1"/>
  <c r="E85" i="1"/>
  <c r="C85" i="1"/>
  <c r="H84" i="1"/>
  <c r="AT84" i="1"/>
  <c r="AX84" i="1"/>
  <c r="L84" i="1"/>
  <c r="AE84" i="1"/>
  <c r="AB84" i="1" s="1"/>
  <c r="P84" i="1"/>
  <c r="M84" i="1" s="1"/>
  <c r="AA84" i="1"/>
  <c r="F85" i="1" a="1"/>
  <c r="F85" i="1" s="1"/>
  <c r="BB85" i="1" a="1"/>
  <c r="BB85" i="1" s="1"/>
  <c r="BD85" i="1" a="1"/>
  <c r="BD85" i="1" s="1"/>
  <c r="BF85" i="1" a="1"/>
  <c r="BF85" i="1" s="1"/>
  <c r="AV85" i="1" a="1"/>
  <c r="AV85" i="1" s="1"/>
  <c r="AR85" i="1" a="1"/>
  <c r="AR85" i="1" s="1"/>
  <c r="AH85" i="1" a="1"/>
  <c r="AH85" i="1" s="1"/>
  <c r="AJ85" i="1" a="1"/>
  <c r="AJ85" i="1" s="1"/>
  <c r="AL85" i="1" a="1"/>
  <c r="AL85" i="1" s="1"/>
  <c r="G85" i="1" a="1"/>
  <c r="G85" i="1" s="1"/>
  <c r="BC85" i="1" a="1"/>
  <c r="BC85" i="1" s="1"/>
  <c r="AW85" i="1" a="1"/>
  <c r="AW85" i="1" s="1"/>
  <c r="AG85" i="1" a="1"/>
  <c r="AG85" i="1" s="1"/>
  <c r="AK85" i="1" a="1"/>
  <c r="AK85" i="1" s="1"/>
  <c r="AC85" i="1" a="1"/>
  <c r="AC85" i="1" s="1"/>
  <c r="Y85" i="1" a="1"/>
  <c r="Y85" i="1" s="1"/>
  <c r="S85" i="1" a="1"/>
  <c r="S85" i="1" s="1"/>
  <c r="U85" i="1" a="1"/>
  <c r="U85" i="1" s="1"/>
  <c r="W85" i="1" a="1"/>
  <c r="W85" i="1" s="1"/>
  <c r="N85" i="1" a="1"/>
  <c r="N85" i="1" s="1"/>
  <c r="BA85" i="1" a="1"/>
  <c r="BA85" i="1" s="1"/>
  <c r="BE85" i="1" a="1"/>
  <c r="BE85" i="1" s="1"/>
  <c r="AS85" i="1" a="1"/>
  <c r="AS85" i="1" s="1"/>
  <c r="AI85" i="1" a="1"/>
  <c r="AI85" i="1" s="1"/>
  <c r="Z85" i="1" a="1"/>
  <c r="Z85" i="1" s="1"/>
  <c r="T85" i="1" a="1"/>
  <c r="T85" i="1" s="1"/>
  <c r="O85" i="1" a="1"/>
  <c r="O85" i="1" s="1"/>
  <c r="J85" i="1" a="1"/>
  <c r="J85" i="1" s="1"/>
  <c r="AD85" i="1" a="1"/>
  <c r="AD85" i="1" s="1"/>
  <c r="AE85" i="1" s="1"/>
  <c r="AB85" i="1" s="1"/>
  <c r="R85" i="1" a="1"/>
  <c r="R85" i="1" s="1"/>
  <c r="V85" i="1" a="1"/>
  <c r="V85" i="1" s="1"/>
  <c r="K85" i="1" a="1"/>
  <c r="K85" i="1" s="1"/>
  <c r="Q84" i="1" a="1"/>
  <c r="Q84" i="1" s="1"/>
  <c r="I84" i="1"/>
  <c r="X84" i="1"/>
  <c r="AF84" i="1"/>
  <c r="A85" i="1"/>
  <c r="B86" i="1"/>
  <c r="AZ85" i="1" l="1"/>
  <c r="AT85" i="1"/>
  <c r="P85" i="1"/>
  <c r="M85" i="1" s="1"/>
  <c r="AA85" i="1"/>
  <c r="D86" i="1"/>
  <c r="E86" i="1"/>
  <c r="C86" i="1"/>
  <c r="AY84" i="1"/>
  <c r="AX85" i="1"/>
  <c r="L85" i="1"/>
  <c r="AO84" i="1"/>
  <c r="H85" i="1"/>
  <c r="G86" i="1" a="1"/>
  <c r="G86" i="1" s="1"/>
  <c r="BB86" i="1" a="1"/>
  <c r="BB86" i="1" s="1"/>
  <c r="BD86" i="1" a="1"/>
  <c r="BD86" i="1" s="1"/>
  <c r="BF86" i="1" a="1"/>
  <c r="BF86" i="1" s="1"/>
  <c r="AW86" i="1" a="1"/>
  <c r="AW86" i="1" s="1"/>
  <c r="AS86" i="1" a="1"/>
  <c r="AS86" i="1" s="1"/>
  <c r="AH86" i="1" a="1"/>
  <c r="AH86" i="1" s="1"/>
  <c r="AJ86" i="1" a="1"/>
  <c r="AJ86" i="1" s="1"/>
  <c r="AL86" i="1" a="1"/>
  <c r="AL86" i="1" s="1"/>
  <c r="BA86" i="1" a="1"/>
  <c r="BA86" i="1" s="1"/>
  <c r="BE86" i="1" a="1"/>
  <c r="BE86" i="1" s="1"/>
  <c r="AR86" i="1" a="1"/>
  <c r="AR86" i="1" s="1"/>
  <c r="AI86" i="1" a="1"/>
  <c r="AI86" i="1" s="1"/>
  <c r="AD86" i="1" a="1"/>
  <c r="AD86" i="1" s="1"/>
  <c r="Z86" i="1" a="1"/>
  <c r="Z86" i="1" s="1"/>
  <c r="S86" i="1" a="1"/>
  <c r="S86" i="1" s="1"/>
  <c r="U86" i="1" a="1"/>
  <c r="U86" i="1" s="1"/>
  <c r="W86" i="1" a="1"/>
  <c r="W86" i="1" s="1"/>
  <c r="O86" i="1" a="1"/>
  <c r="O86" i="1" s="1"/>
  <c r="K86" i="1" a="1"/>
  <c r="K86" i="1" s="1"/>
  <c r="J86" i="1" a="1"/>
  <c r="J86" i="1" s="1"/>
  <c r="F86" i="1" a="1"/>
  <c r="F86" i="1" s="1"/>
  <c r="H86" i="1" s="1"/>
  <c r="BC86" i="1" a="1"/>
  <c r="BC86" i="1" s="1"/>
  <c r="AV86" i="1" a="1"/>
  <c r="AV86" i="1" s="1"/>
  <c r="AK86" i="1" a="1"/>
  <c r="AK86" i="1" s="1"/>
  <c r="AC86" i="1" a="1"/>
  <c r="AC86" i="1" s="1"/>
  <c r="R86" i="1" a="1"/>
  <c r="R86" i="1" s="1"/>
  <c r="V86" i="1" a="1"/>
  <c r="V86" i="1" s="1"/>
  <c r="AG86" i="1" a="1"/>
  <c r="AG86" i="1" s="1"/>
  <c r="Y86" i="1" a="1"/>
  <c r="Y86" i="1" s="1"/>
  <c r="T86" i="1" a="1"/>
  <c r="T86" i="1" s="1"/>
  <c r="N86" i="1" a="1"/>
  <c r="N86" i="1" s="1"/>
  <c r="I85" i="1"/>
  <c r="Q85" i="1" a="1"/>
  <c r="Q85" i="1" s="1"/>
  <c r="X85" i="1"/>
  <c r="AF85" i="1"/>
  <c r="A86" i="1"/>
  <c r="B87" i="1"/>
  <c r="AZ86" i="1" l="1"/>
  <c r="D87" i="1"/>
  <c r="E87" i="1"/>
  <c r="C87" i="1"/>
  <c r="AZ87" i="1" s="1"/>
  <c r="AY85" i="1"/>
  <c r="AT86" i="1"/>
  <c r="AX86" i="1"/>
  <c r="AO85" i="1"/>
  <c r="L86" i="1"/>
  <c r="AE86" i="1"/>
  <c r="AB86" i="1" s="1"/>
  <c r="P86" i="1"/>
  <c r="M86" i="1" s="1"/>
  <c r="AA86" i="1"/>
  <c r="F87" i="1" a="1"/>
  <c r="F87" i="1" s="1"/>
  <c r="BB87" i="1" a="1"/>
  <c r="BB87" i="1" s="1"/>
  <c r="BD87" i="1" a="1"/>
  <c r="BD87" i="1" s="1"/>
  <c r="BF87" i="1" a="1"/>
  <c r="BF87" i="1" s="1"/>
  <c r="AV87" i="1" a="1"/>
  <c r="AV87" i="1" s="1"/>
  <c r="AR87" i="1" a="1"/>
  <c r="AR87" i="1" s="1"/>
  <c r="AH87" i="1" a="1"/>
  <c r="AH87" i="1" s="1"/>
  <c r="AJ87" i="1" a="1"/>
  <c r="AJ87" i="1" s="1"/>
  <c r="AL87" i="1" a="1"/>
  <c r="AL87" i="1" s="1"/>
  <c r="BC87" i="1" a="1"/>
  <c r="BC87" i="1" s="1"/>
  <c r="AS87" i="1" a="1"/>
  <c r="AS87" i="1" s="1"/>
  <c r="AG87" i="1" a="1"/>
  <c r="AG87" i="1" s="1"/>
  <c r="AK87" i="1" a="1"/>
  <c r="AK87" i="1" s="1"/>
  <c r="AC87" i="1" a="1"/>
  <c r="AC87" i="1" s="1"/>
  <c r="Y87" i="1" a="1"/>
  <c r="Y87" i="1" s="1"/>
  <c r="S87" i="1" a="1"/>
  <c r="S87" i="1" s="1"/>
  <c r="U87" i="1" a="1"/>
  <c r="U87" i="1" s="1"/>
  <c r="W87" i="1" a="1"/>
  <c r="W87" i="1" s="1"/>
  <c r="N87" i="1" a="1"/>
  <c r="N87" i="1" s="1"/>
  <c r="G87" i="1" a="1"/>
  <c r="G87" i="1" s="1"/>
  <c r="BA87" i="1" a="1"/>
  <c r="BA87" i="1" s="1"/>
  <c r="BE87" i="1" a="1"/>
  <c r="BE87" i="1" s="1"/>
  <c r="AW87" i="1" a="1"/>
  <c r="AW87" i="1" s="1"/>
  <c r="AX87" i="1" s="1"/>
  <c r="AD87" i="1" a="1"/>
  <c r="AD87" i="1" s="1"/>
  <c r="AE87" i="1" s="1"/>
  <c r="AB87" i="1" s="1"/>
  <c r="T87" i="1" a="1"/>
  <c r="T87" i="1" s="1"/>
  <c r="K87" i="1" a="1"/>
  <c r="K87" i="1" s="1"/>
  <c r="AI87" i="1" a="1"/>
  <c r="AI87" i="1" s="1"/>
  <c r="Z87" i="1" a="1"/>
  <c r="Z87" i="1" s="1"/>
  <c r="R87" i="1" a="1"/>
  <c r="R87" i="1" s="1"/>
  <c r="V87" i="1" a="1"/>
  <c r="V87" i="1" s="1"/>
  <c r="O87" i="1" a="1"/>
  <c r="O87" i="1" s="1"/>
  <c r="P87" i="1" s="1"/>
  <c r="M87" i="1" s="1"/>
  <c r="J87" i="1" a="1"/>
  <c r="J87" i="1" s="1"/>
  <c r="Q86" i="1" a="1"/>
  <c r="Q86" i="1" s="1"/>
  <c r="I86" i="1"/>
  <c r="X86" i="1"/>
  <c r="AF86" i="1"/>
  <c r="A87" i="1"/>
  <c r="B88" i="1"/>
  <c r="AT87" i="1" l="1"/>
  <c r="D88" i="1"/>
  <c r="E88" i="1"/>
  <c r="C88" i="1"/>
  <c r="AA87" i="1"/>
  <c r="AO86" i="1"/>
  <c r="AY86" i="1"/>
  <c r="H87" i="1"/>
  <c r="L87" i="1"/>
  <c r="G88" i="1" a="1"/>
  <c r="G88" i="1" s="1"/>
  <c r="BB88" i="1" a="1"/>
  <c r="BB88" i="1" s="1"/>
  <c r="BD88" i="1" a="1"/>
  <c r="BD88" i="1" s="1"/>
  <c r="BF88" i="1" a="1"/>
  <c r="BF88" i="1" s="1"/>
  <c r="AW88" i="1" a="1"/>
  <c r="AW88" i="1" s="1"/>
  <c r="AS88" i="1" a="1"/>
  <c r="AS88" i="1" s="1"/>
  <c r="AH88" i="1" a="1"/>
  <c r="AH88" i="1" s="1"/>
  <c r="AJ88" i="1" a="1"/>
  <c r="AJ88" i="1" s="1"/>
  <c r="AL88" i="1" a="1"/>
  <c r="AL88" i="1" s="1"/>
  <c r="F88" i="1" a="1"/>
  <c r="F88" i="1" s="1"/>
  <c r="H88" i="1" s="1"/>
  <c r="BA88" i="1" a="1"/>
  <c r="BA88" i="1" s="1"/>
  <c r="BE88" i="1" a="1"/>
  <c r="BE88" i="1" s="1"/>
  <c r="AV88" i="1" a="1"/>
  <c r="AV88" i="1" s="1"/>
  <c r="AI88" i="1" a="1"/>
  <c r="AI88" i="1" s="1"/>
  <c r="AD88" i="1" a="1"/>
  <c r="AD88" i="1" s="1"/>
  <c r="Z88" i="1" a="1"/>
  <c r="Z88" i="1" s="1"/>
  <c r="S88" i="1" a="1"/>
  <c r="S88" i="1" s="1"/>
  <c r="U88" i="1" a="1"/>
  <c r="U88" i="1" s="1"/>
  <c r="W88" i="1" a="1"/>
  <c r="W88" i="1" s="1"/>
  <c r="O88" i="1" a="1"/>
  <c r="O88" i="1" s="1"/>
  <c r="K88" i="1" a="1"/>
  <c r="K88" i="1" s="1"/>
  <c r="J88" i="1" a="1"/>
  <c r="J88" i="1" s="1"/>
  <c r="BC88" i="1" a="1"/>
  <c r="BC88" i="1" s="1"/>
  <c r="AG88" i="1" a="1"/>
  <c r="AG88" i="1" s="1"/>
  <c r="Y88" i="1" a="1"/>
  <c r="Y88" i="1" s="1"/>
  <c r="R88" i="1" a="1"/>
  <c r="R88" i="1" s="1"/>
  <c r="V88" i="1" a="1"/>
  <c r="V88" i="1" s="1"/>
  <c r="N88" i="1" a="1"/>
  <c r="N88" i="1" s="1"/>
  <c r="AR88" i="1" a="1"/>
  <c r="AR88" i="1" s="1"/>
  <c r="AK88" i="1" a="1"/>
  <c r="AK88" i="1" s="1"/>
  <c r="AC88" i="1" a="1"/>
  <c r="AC88" i="1" s="1"/>
  <c r="T88" i="1" a="1"/>
  <c r="T88" i="1" s="1"/>
  <c r="X87" i="1"/>
  <c r="AF87" i="1"/>
  <c r="I87" i="1"/>
  <c r="Q87" i="1" a="1"/>
  <c r="Q87" i="1" s="1"/>
  <c r="AO87" i="1" s="1"/>
  <c r="A88" i="1"/>
  <c r="B89" i="1"/>
  <c r="AZ88" i="1" l="1"/>
  <c r="AY87" i="1"/>
  <c r="D89" i="1"/>
  <c r="E89" i="1"/>
  <c r="C89" i="1"/>
  <c r="AZ89" i="1" s="1"/>
  <c r="AX88" i="1"/>
  <c r="AT88" i="1"/>
  <c r="P88" i="1"/>
  <c r="M88" i="1" s="1"/>
  <c r="AA88" i="1"/>
  <c r="X88" i="1" s="1"/>
  <c r="L88" i="1"/>
  <c r="AE88" i="1"/>
  <c r="AB88" i="1" s="1"/>
  <c r="F89" i="1" a="1"/>
  <c r="F89" i="1" s="1"/>
  <c r="BB89" i="1" a="1"/>
  <c r="BB89" i="1" s="1"/>
  <c r="BD89" i="1" a="1"/>
  <c r="BD89" i="1" s="1"/>
  <c r="BF89" i="1" a="1"/>
  <c r="BF89" i="1" s="1"/>
  <c r="AV89" i="1" a="1"/>
  <c r="AV89" i="1" s="1"/>
  <c r="AR89" i="1" a="1"/>
  <c r="AR89" i="1" s="1"/>
  <c r="AH89" i="1" a="1"/>
  <c r="AH89" i="1" s="1"/>
  <c r="AJ89" i="1" a="1"/>
  <c r="AJ89" i="1" s="1"/>
  <c r="AL89" i="1" a="1"/>
  <c r="AL89" i="1" s="1"/>
  <c r="G89" i="1" a="1"/>
  <c r="G89" i="1" s="1"/>
  <c r="BC89" i="1" a="1"/>
  <c r="BC89" i="1" s="1"/>
  <c r="AW89" i="1" a="1"/>
  <c r="AW89" i="1" s="1"/>
  <c r="AG89" i="1" a="1"/>
  <c r="AG89" i="1" s="1"/>
  <c r="AK89" i="1" a="1"/>
  <c r="AK89" i="1" s="1"/>
  <c r="AC89" i="1" a="1"/>
  <c r="AC89" i="1" s="1"/>
  <c r="Y89" i="1" a="1"/>
  <c r="Y89" i="1" s="1"/>
  <c r="S89" i="1" a="1"/>
  <c r="S89" i="1" s="1"/>
  <c r="U89" i="1" a="1"/>
  <c r="U89" i="1" s="1"/>
  <c r="W89" i="1" a="1"/>
  <c r="W89" i="1" s="1"/>
  <c r="N89" i="1" a="1"/>
  <c r="N89" i="1" s="1"/>
  <c r="BA89" i="1" a="1"/>
  <c r="BA89" i="1" s="1"/>
  <c r="BE89" i="1" a="1"/>
  <c r="BE89" i="1" s="1"/>
  <c r="AS89" i="1" a="1"/>
  <c r="AS89" i="1" s="1"/>
  <c r="AI89" i="1" a="1"/>
  <c r="AI89" i="1" s="1"/>
  <c r="Z89" i="1" a="1"/>
  <c r="Z89" i="1" s="1"/>
  <c r="T89" i="1" a="1"/>
  <c r="T89" i="1" s="1"/>
  <c r="O89" i="1" a="1"/>
  <c r="O89" i="1" s="1"/>
  <c r="J89" i="1" a="1"/>
  <c r="J89" i="1" s="1"/>
  <c r="AD89" i="1" a="1"/>
  <c r="AD89" i="1" s="1"/>
  <c r="R89" i="1" a="1"/>
  <c r="R89" i="1" s="1"/>
  <c r="V89" i="1" a="1"/>
  <c r="V89" i="1" s="1"/>
  <c r="K89" i="1" a="1"/>
  <c r="K89" i="1" s="1"/>
  <c r="L89" i="1" s="1"/>
  <c r="Q88" i="1" a="1"/>
  <c r="Q88" i="1" s="1"/>
  <c r="I88" i="1"/>
  <c r="AF88" i="1"/>
  <c r="A89" i="1"/>
  <c r="B90" i="1"/>
  <c r="AT89" i="1" l="1"/>
  <c r="AX89" i="1"/>
  <c r="D90" i="1"/>
  <c r="E90" i="1"/>
  <c r="C90" i="1"/>
  <c r="AZ90" i="1" s="1"/>
  <c r="P89" i="1"/>
  <c r="M89" i="1" s="1"/>
  <c r="AA89" i="1"/>
  <c r="AY88" i="1"/>
  <c r="AE89" i="1"/>
  <c r="AB89" i="1" s="1"/>
  <c r="AO88" i="1"/>
  <c r="H89" i="1"/>
  <c r="G90" i="1" a="1"/>
  <c r="G90" i="1" s="1"/>
  <c r="BB90" i="1" a="1"/>
  <c r="BB90" i="1" s="1"/>
  <c r="BD90" i="1" a="1"/>
  <c r="BD90" i="1" s="1"/>
  <c r="BF90" i="1" a="1"/>
  <c r="BF90" i="1" s="1"/>
  <c r="AW90" i="1" a="1"/>
  <c r="AW90" i="1" s="1"/>
  <c r="AS90" i="1" a="1"/>
  <c r="AS90" i="1" s="1"/>
  <c r="AH90" i="1" a="1"/>
  <c r="AH90" i="1" s="1"/>
  <c r="AJ90" i="1" a="1"/>
  <c r="AJ90" i="1" s="1"/>
  <c r="AL90" i="1" a="1"/>
  <c r="AL90" i="1" s="1"/>
  <c r="BA90" i="1" a="1"/>
  <c r="BA90" i="1" s="1"/>
  <c r="BE90" i="1" a="1"/>
  <c r="BE90" i="1" s="1"/>
  <c r="AR90" i="1" a="1"/>
  <c r="AR90" i="1" s="1"/>
  <c r="AI90" i="1" a="1"/>
  <c r="AI90" i="1" s="1"/>
  <c r="AD90" i="1" a="1"/>
  <c r="AD90" i="1" s="1"/>
  <c r="Z90" i="1" a="1"/>
  <c r="Z90" i="1" s="1"/>
  <c r="S90" i="1" a="1"/>
  <c r="S90" i="1" s="1"/>
  <c r="U90" i="1" a="1"/>
  <c r="U90" i="1" s="1"/>
  <c r="W90" i="1" a="1"/>
  <c r="W90" i="1" s="1"/>
  <c r="O90" i="1" a="1"/>
  <c r="O90" i="1" s="1"/>
  <c r="K90" i="1" a="1"/>
  <c r="K90" i="1" s="1"/>
  <c r="J90" i="1" a="1"/>
  <c r="J90" i="1" s="1"/>
  <c r="F90" i="1" a="1"/>
  <c r="F90" i="1" s="1"/>
  <c r="H90" i="1" s="1"/>
  <c r="BC90" i="1" a="1"/>
  <c r="BC90" i="1" s="1"/>
  <c r="AV90" i="1" a="1"/>
  <c r="AV90" i="1" s="1"/>
  <c r="AK90" i="1" a="1"/>
  <c r="AK90" i="1" s="1"/>
  <c r="AC90" i="1" a="1"/>
  <c r="AC90" i="1" s="1"/>
  <c r="R90" i="1" a="1"/>
  <c r="R90" i="1" s="1"/>
  <c r="V90" i="1" a="1"/>
  <c r="V90" i="1" s="1"/>
  <c r="AG90" i="1" a="1"/>
  <c r="AG90" i="1" s="1"/>
  <c r="Y90" i="1" a="1"/>
  <c r="Y90" i="1" s="1"/>
  <c r="T90" i="1" a="1"/>
  <c r="T90" i="1" s="1"/>
  <c r="N90" i="1" a="1"/>
  <c r="N90" i="1" s="1"/>
  <c r="I89" i="1"/>
  <c r="Q89" i="1" a="1"/>
  <c r="Q89" i="1" s="1"/>
  <c r="X89" i="1"/>
  <c r="AF89" i="1"/>
  <c r="A90" i="1"/>
  <c r="B91" i="1"/>
  <c r="AZ91" i="1" l="1"/>
  <c r="AY89" i="1"/>
  <c r="D91" i="1"/>
  <c r="E91" i="1"/>
  <c r="C91" i="1"/>
  <c r="AX90" i="1"/>
  <c r="AT90" i="1"/>
  <c r="P90" i="1"/>
  <c r="M90" i="1" s="1"/>
  <c r="AA90" i="1"/>
  <c r="AO89" i="1"/>
  <c r="L90" i="1"/>
  <c r="AE90" i="1"/>
  <c r="AB90" i="1" s="1"/>
  <c r="F91" i="1" a="1"/>
  <c r="F91" i="1" s="1"/>
  <c r="BB91" i="1" a="1"/>
  <c r="BB91" i="1" s="1"/>
  <c r="BD91" i="1" a="1"/>
  <c r="BD91" i="1" s="1"/>
  <c r="BF91" i="1" a="1"/>
  <c r="BF91" i="1" s="1"/>
  <c r="AV91" i="1" a="1"/>
  <c r="AV91" i="1" s="1"/>
  <c r="AR91" i="1" a="1"/>
  <c r="AR91" i="1" s="1"/>
  <c r="AH91" i="1" a="1"/>
  <c r="AH91" i="1" s="1"/>
  <c r="AJ91" i="1" a="1"/>
  <c r="AJ91" i="1" s="1"/>
  <c r="AL91" i="1" a="1"/>
  <c r="AL91" i="1" s="1"/>
  <c r="BC91" i="1" a="1"/>
  <c r="BC91" i="1" s="1"/>
  <c r="AS91" i="1" a="1"/>
  <c r="AS91" i="1" s="1"/>
  <c r="AG91" i="1" a="1"/>
  <c r="AG91" i="1" s="1"/>
  <c r="AK91" i="1" a="1"/>
  <c r="AK91" i="1" s="1"/>
  <c r="AC91" i="1" a="1"/>
  <c r="AC91" i="1" s="1"/>
  <c r="Y91" i="1" a="1"/>
  <c r="Y91" i="1" s="1"/>
  <c r="S91" i="1" a="1"/>
  <c r="S91" i="1" s="1"/>
  <c r="U91" i="1" a="1"/>
  <c r="U91" i="1" s="1"/>
  <c r="W91" i="1" a="1"/>
  <c r="W91" i="1" s="1"/>
  <c r="N91" i="1" a="1"/>
  <c r="N91" i="1" s="1"/>
  <c r="G91" i="1" a="1"/>
  <c r="G91" i="1" s="1"/>
  <c r="BA91" i="1" a="1"/>
  <c r="BA91" i="1" s="1"/>
  <c r="BE91" i="1" a="1"/>
  <c r="BE91" i="1" s="1"/>
  <c r="AW91" i="1" a="1"/>
  <c r="AW91" i="1" s="1"/>
  <c r="AX91" i="1" s="1"/>
  <c r="AD91" i="1" a="1"/>
  <c r="AD91" i="1" s="1"/>
  <c r="AE91" i="1" s="1"/>
  <c r="AB91" i="1" s="1"/>
  <c r="T91" i="1" a="1"/>
  <c r="T91" i="1" s="1"/>
  <c r="K91" i="1" a="1"/>
  <c r="K91" i="1" s="1"/>
  <c r="AI91" i="1" a="1"/>
  <c r="AI91" i="1" s="1"/>
  <c r="Z91" i="1" a="1"/>
  <c r="Z91" i="1" s="1"/>
  <c r="R91" i="1" a="1"/>
  <c r="R91" i="1" s="1"/>
  <c r="V91" i="1" a="1"/>
  <c r="V91" i="1" s="1"/>
  <c r="O91" i="1" a="1"/>
  <c r="O91" i="1" s="1"/>
  <c r="P91" i="1" s="1"/>
  <c r="M91" i="1" s="1"/>
  <c r="J91" i="1" a="1"/>
  <c r="J91" i="1" s="1"/>
  <c r="Q90" i="1" a="1"/>
  <c r="Q90" i="1" s="1"/>
  <c r="I90" i="1"/>
  <c r="X90" i="1"/>
  <c r="AF90" i="1"/>
  <c r="A91" i="1"/>
  <c r="B92" i="1"/>
  <c r="AT91" i="1" l="1"/>
  <c r="AA91" i="1"/>
  <c r="D92" i="1"/>
  <c r="E92" i="1"/>
  <c r="C92" i="1"/>
  <c r="AZ92" i="1" s="1"/>
  <c r="AY90" i="1"/>
  <c r="AO90" i="1"/>
  <c r="H91" i="1"/>
  <c r="L91" i="1"/>
  <c r="G92" i="1" a="1"/>
  <c r="G92" i="1" s="1"/>
  <c r="BB92" i="1" a="1"/>
  <c r="BB92" i="1" s="1"/>
  <c r="BD92" i="1" a="1"/>
  <c r="BD92" i="1" s="1"/>
  <c r="BF92" i="1" a="1"/>
  <c r="BF92" i="1" s="1"/>
  <c r="AW92" i="1" a="1"/>
  <c r="AW92" i="1" s="1"/>
  <c r="AS92" i="1" a="1"/>
  <c r="AS92" i="1" s="1"/>
  <c r="AH92" i="1" a="1"/>
  <c r="AH92" i="1" s="1"/>
  <c r="AJ92" i="1" a="1"/>
  <c r="AJ92" i="1" s="1"/>
  <c r="AL92" i="1" a="1"/>
  <c r="AL92" i="1" s="1"/>
  <c r="F92" i="1" a="1"/>
  <c r="F92" i="1" s="1"/>
  <c r="H92" i="1" s="1"/>
  <c r="BA92" i="1" a="1"/>
  <c r="BA92" i="1" s="1"/>
  <c r="BE92" i="1" a="1"/>
  <c r="BE92" i="1" s="1"/>
  <c r="AV92" i="1" a="1"/>
  <c r="AV92" i="1" s="1"/>
  <c r="AI92" i="1" a="1"/>
  <c r="AI92" i="1" s="1"/>
  <c r="AD92" i="1" a="1"/>
  <c r="AD92" i="1" s="1"/>
  <c r="Z92" i="1" a="1"/>
  <c r="Z92" i="1" s="1"/>
  <c r="S92" i="1" a="1"/>
  <c r="S92" i="1" s="1"/>
  <c r="U92" i="1" a="1"/>
  <c r="U92" i="1" s="1"/>
  <c r="W92" i="1" a="1"/>
  <c r="W92" i="1" s="1"/>
  <c r="O92" i="1" a="1"/>
  <c r="O92" i="1" s="1"/>
  <c r="K92" i="1" a="1"/>
  <c r="K92" i="1" s="1"/>
  <c r="J92" i="1" a="1"/>
  <c r="J92" i="1" s="1"/>
  <c r="BC92" i="1" a="1"/>
  <c r="BC92" i="1" s="1"/>
  <c r="AR92" i="1" a="1"/>
  <c r="AR92" i="1" s="1"/>
  <c r="AG92" i="1" a="1"/>
  <c r="AG92" i="1" s="1"/>
  <c r="Y92" i="1" a="1"/>
  <c r="Y92" i="1" s="1"/>
  <c r="R92" i="1" a="1"/>
  <c r="R92" i="1" s="1"/>
  <c r="V92" i="1" a="1"/>
  <c r="V92" i="1" s="1"/>
  <c r="N92" i="1" a="1"/>
  <c r="N92" i="1" s="1"/>
  <c r="AK92" i="1" a="1"/>
  <c r="AK92" i="1" s="1"/>
  <c r="AC92" i="1" a="1"/>
  <c r="AC92" i="1" s="1"/>
  <c r="T92" i="1" a="1"/>
  <c r="T92" i="1" s="1"/>
  <c r="X91" i="1"/>
  <c r="AF91" i="1"/>
  <c r="I91" i="1"/>
  <c r="Q91" i="1" a="1"/>
  <c r="Q91" i="1" s="1"/>
  <c r="AO91" i="1" s="1"/>
  <c r="A92" i="1"/>
  <c r="B93" i="1"/>
  <c r="AY91" i="1" l="1"/>
  <c r="D93" i="1"/>
  <c r="E93" i="1"/>
  <c r="C93" i="1"/>
  <c r="AZ93" i="1" s="1"/>
  <c r="AT92" i="1"/>
  <c r="AX92" i="1"/>
  <c r="L92" i="1"/>
  <c r="AE92" i="1"/>
  <c r="AB92" i="1" s="1"/>
  <c r="P92" i="1"/>
  <c r="M92" i="1" s="1"/>
  <c r="AA92" i="1"/>
  <c r="F93" i="1" a="1"/>
  <c r="F93" i="1" s="1"/>
  <c r="BB93" i="1" a="1"/>
  <c r="BB93" i="1" s="1"/>
  <c r="BD93" i="1" a="1"/>
  <c r="BD93" i="1" s="1"/>
  <c r="BF93" i="1" a="1"/>
  <c r="BF93" i="1" s="1"/>
  <c r="AV93" i="1" a="1"/>
  <c r="AV93" i="1" s="1"/>
  <c r="AR93" i="1" a="1"/>
  <c r="AR93" i="1" s="1"/>
  <c r="AH93" i="1" a="1"/>
  <c r="AH93" i="1" s="1"/>
  <c r="AJ93" i="1" a="1"/>
  <c r="AJ93" i="1" s="1"/>
  <c r="AL93" i="1" a="1"/>
  <c r="AL93" i="1" s="1"/>
  <c r="G93" i="1" a="1"/>
  <c r="G93" i="1" s="1"/>
  <c r="BC93" i="1" a="1"/>
  <c r="BC93" i="1" s="1"/>
  <c r="AW93" i="1" a="1"/>
  <c r="AW93" i="1" s="1"/>
  <c r="AG93" i="1" a="1"/>
  <c r="AG93" i="1" s="1"/>
  <c r="AK93" i="1" a="1"/>
  <c r="AK93" i="1" s="1"/>
  <c r="AC93" i="1" a="1"/>
  <c r="AC93" i="1" s="1"/>
  <c r="Y93" i="1" a="1"/>
  <c r="Y93" i="1" s="1"/>
  <c r="S93" i="1" a="1"/>
  <c r="S93" i="1" s="1"/>
  <c r="U93" i="1" a="1"/>
  <c r="U93" i="1" s="1"/>
  <c r="W93" i="1" a="1"/>
  <c r="W93" i="1" s="1"/>
  <c r="N93" i="1" a="1"/>
  <c r="N93" i="1" s="1"/>
  <c r="BA93" i="1" a="1"/>
  <c r="BA93" i="1" s="1"/>
  <c r="BE93" i="1" a="1"/>
  <c r="BE93" i="1" s="1"/>
  <c r="AS93" i="1" a="1"/>
  <c r="AS93" i="1" s="1"/>
  <c r="AI93" i="1" a="1"/>
  <c r="AI93" i="1" s="1"/>
  <c r="Z93" i="1" a="1"/>
  <c r="Z93" i="1" s="1"/>
  <c r="T93" i="1" a="1"/>
  <c r="T93" i="1" s="1"/>
  <c r="O93" i="1" a="1"/>
  <c r="O93" i="1" s="1"/>
  <c r="J93" i="1" a="1"/>
  <c r="J93" i="1" s="1"/>
  <c r="AD93" i="1" a="1"/>
  <c r="AD93" i="1" s="1"/>
  <c r="AE93" i="1" s="1"/>
  <c r="AB93" i="1" s="1"/>
  <c r="R93" i="1" a="1"/>
  <c r="R93" i="1" s="1"/>
  <c r="V93" i="1" a="1"/>
  <c r="V93" i="1" s="1"/>
  <c r="K93" i="1" a="1"/>
  <c r="K93" i="1" s="1"/>
  <c r="Q92" i="1" a="1"/>
  <c r="Q92" i="1" s="1"/>
  <c r="I92" i="1"/>
  <c r="X92" i="1"/>
  <c r="AF92" i="1"/>
  <c r="A93" i="1"/>
  <c r="B94" i="1"/>
  <c r="AT93" i="1" l="1"/>
  <c r="AX93" i="1"/>
  <c r="D94" i="1"/>
  <c r="E94" i="1"/>
  <c r="C94" i="1"/>
  <c r="AZ94" i="1" s="1"/>
  <c r="L93" i="1"/>
  <c r="AY92" i="1"/>
  <c r="P93" i="1"/>
  <c r="M93" i="1" s="1"/>
  <c r="AA93" i="1"/>
  <c r="AO92" i="1"/>
  <c r="H93" i="1"/>
  <c r="G94" i="1" a="1"/>
  <c r="G94" i="1" s="1"/>
  <c r="BB94" i="1" a="1"/>
  <c r="BB94" i="1" s="1"/>
  <c r="BD94" i="1" a="1"/>
  <c r="BD94" i="1" s="1"/>
  <c r="BF94" i="1" a="1"/>
  <c r="BF94" i="1" s="1"/>
  <c r="AW94" i="1" a="1"/>
  <c r="AW94" i="1" s="1"/>
  <c r="AS94" i="1" a="1"/>
  <c r="AS94" i="1" s="1"/>
  <c r="AH94" i="1" a="1"/>
  <c r="AH94" i="1" s="1"/>
  <c r="AJ94" i="1" a="1"/>
  <c r="AJ94" i="1" s="1"/>
  <c r="AL94" i="1" a="1"/>
  <c r="AL94" i="1" s="1"/>
  <c r="BA94" i="1" a="1"/>
  <c r="BA94" i="1" s="1"/>
  <c r="BE94" i="1" a="1"/>
  <c r="BE94" i="1" s="1"/>
  <c r="AR94" i="1" a="1"/>
  <c r="AR94" i="1" s="1"/>
  <c r="AI94" i="1" a="1"/>
  <c r="AI94" i="1" s="1"/>
  <c r="AD94" i="1" a="1"/>
  <c r="AD94" i="1" s="1"/>
  <c r="Z94" i="1" a="1"/>
  <c r="Z94" i="1" s="1"/>
  <c r="S94" i="1" a="1"/>
  <c r="S94" i="1" s="1"/>
  <c r="U94" i="1" a="1"/>
  <c r="U94" i="1" s="1"/>
  <c r="W94" i="1" a="1"/>
  <c r="W94" i="1" s="1"/>
  <c r="O94" i="1" a="1"/>
  <c r="O94" i="1" s="1"/>
  <c r="K94" i="1" a="1"/>
  <c r="K94" i="1" s="1"/>
  <c r="J94" i="1" a="1"/>
  <c r="J94" i="1" s="1"/>
  <c r="F94" i="1" a="1"/>
  <c r="F94" i="1" s="1"/>
  <c r="H94" i="1" s="1"/>
  <c r="BC94" i="1" a="1"/>
  <c r="BC94" i="1" s="1"/>
  <c r="AV94" i="1" a="1"/>
  <c r="AV94" i="1" s="1"/>
  <c r="AK94" i="1" a="1"/>
  <c r="AK94" i="1" s="1"/>
  <c r="AC94" i="1" a="1"/>
  <c r="AC94" i="1" s="1"/>
  <c r="R94" i="1" a="1"/>
  <c r="R94" i="1" s="1"/>
  <c r="V94" i="1" a="1"/>
  <c r="V94" i="1" s="1"/>
  <c r="AG94" i="1" a="1"/>
  <c r="AG94" i="1" s="1"/>
  <c r="Y94" i="1" a="1"/>
  <c r="Y94" i="1" s="1"/>
  <c r="T94" i="1" a="1"/>
  <c r="T94" i="1" s="1"/>
  <c r="N94" i="1" a="1"/>
  <c r="N94" i="1" s="1"/>
  <c r="I93" i="1"/>
  <c r="Q93" i="1" a="1"/>
  <c r="Q93" i="1" s="1"/>
  <c r="X93" i="1"/>
  <c r="AF93" i="1"/>
  <c r="A94" i="1"/>
  <c r="B95" i="1"/>
  <c r="AY93" i="1" l="1"/>
  <c r="D95" i="1"/>
  <c r="E95" i="1"/>
  <c r="C95" i="1"/>
  <c r="AZ95" i="1" s="1"/>
  <c r="AX94" i="1"/>
  <c r="AT94" i="1"/>
  <c r="AO93" i="1"/>
  <c r="L94" i="1"/>
  <c r="AE94" i="1"/>
  <c r="AB94" i="1" s="1"/>
  <c r="P94" i="1"/>
  <c r="M94" i="1" s="1"/>
  <c r="AA94" i="1"/>
  <c r="F95" i="1" a="1"/>
  <c r="F95" i="1" s="1"/>
  <c r="BB95" i="1" a="1"/>
  <c r="BB95" i="1" s="1"/>
  <c r="BD95" i="1" a="1"/>
  <c r="BD95" i="1" s="1"/>
  <c r="BF95" i="1" a="1"/>
  <c r="BF95" i="1" s="1"/>
  <c r="AV95" i="1" a="1"/>
  <c r="AV95" i="1" s="1"/>
  <c r="AR95" i="1" a="1"/>
  <c r="AR95" i="1" s="1"/>
  <c r="AH95" i="1" a="1"/>
  <c r="AH95" i="1" s="1"/>
  <c r="AJ95" i="1" a="1"/>
  <c r="AJ95" i="1" s="1"/>
  <c r="AL95" i="1" a="1"/>
  <c r="AL95" i="1" s="1"/>
  <c r="BC95" i="1" a="1"/>
  <c r="BC95" i="1" s="1"/>
  <c r="AS95" i="1" a="1"/>
  <c r="AS95" i="1" s="1"/>
  <c r="AG95" i="1" a="1"/>
  <c r="AG95" i="1" s="1"/>
  <c r="AK95" i="1" a="1"/>
  <c r="AK95" i="1" s="1"/>
  <c r="AC95" i="1" a="1"/>
  <c r="AC95" i="1" s="1"/>
  <c r="Y95" i="1" a="1"/>
  <c r="Y95" i="1" s="1"/>
  <c r="S95" i="1" a="1"/>
  <c r="S95" i="1" s="1"/>
  <c r="U95" i="1" a="1"/>
  <c r="U95" i="1" s="1"/>
  <c r="W95" i="1" a="1"/>
  <c r="W95" i="1" s="1"/>
  <c r="N95" i="1" a="1"/>
  <c r="N95" i="1" s="1"/>
  <c r="G95" i="1" a="1"/>
  <c r="G95" i="1" s="1"/>
  <c r="BA95" i="1" a="1"/>
  <c r="BA95" i="1" s="1"/>
  <c r="BE95" i="1" a="1"/>
  <c r="BE95" i="1" s="1"/>
  <c r="AW95" i="1" a="1"/>
  <c r="AW95" i="1" s="1"/>
  <c r="AX95" i="1" s="1"/>
  <c r="AD95" i="1" a="1"/>
  <c r="AD95" i="1" s="1"/>
  <c r="AE95" i="1" s="1"/>
  <c r="AB95" i="1" s="1"/>
  <c r="T95" i="1" a="1"/>
  <c r="T95" i="1" s="1"/>
  <c r="K95" i="1" a="1"/>
  <c r="K95" i="1" s="1"/>
  <c r="AI95" i="1" a="1"/>
  <c r="AI95" i="1" s="1"/>
  <c r="Z95" i="1" a="1"/>
  <c r="Z95" i="1" s="1"/>
  <c r="R95" i="1" a="1"/>
  <c r="R95" i="1" s="1"/>
  <c r="V95" i="1" a="1"/>
  <c r="V95" i="1" s="1"/>
  <c r="O95" i="1" a="1"/>
  <c r="O95" i="1" s="1"/>
  <c r="P95" i="1" s="1"/>
  <c r="M95" i="1" s="1"/>
  <c r="J95" i="1" a="1"/>
  <c r="J95" i="1" s="1"/>
  <c r="Q94" i="1" a="1"/>
  <c r="Q94" i="1" s="1"/>
  <c r="I94" i="1"/>
  <c r="X94" i="1"/>
  <c r="AF94" i="1"/>
  <c r="A95" i="1"/>
  <c r="B96" i="1"/>
  <c r="AA95" i="1" l="1"/>
  <c r="D96" i="1"/>
  <c r="E96" i="1"/>
  <c r="C96" i="1"/>
  <c r="AT95" i="1"/>
  <c r="AY94" i="1"/>
  <c r="AO94" i="1"/>
  <c r="H95" i="1"/>
  <c r="L95" i="1"/>
  <c r="G96" i="1" a="1"/>
  <c r="G96" i="1" s="1"/>
  <c r="BB96" i="1" a="1"/>
  <c r="BB96" i="1" s="1"/>
  <c r="BD96" i="1" a="1"/>
  <c r="BD96" i="1" s="1"/>
  <c r="BF96" i="1" a="1"/>
  <c r="BF96" i="1" s="1"/>
  <c r="AW96" i="1" a="1"/>
  <c r="AW96" i="1" s="1"/>
  <c r="AS96" i="1" a="1"/>
  <c r="AS96" i="1" s="1"/>
  <c r="AH96" i="1" a="1"/>
  <c r="AH96" i="1" s="1"/>
  <c r="AJ96" i="1" a="1"/>
  <c r="AJ96" i="1" s="1"/>
  <c r="AL96" i="1" a="1"/>
  <c r="AL96" i="1" s="1"/>
  <c r="F96" i="1" a="1"/>
  <c r="F96" i="1" s="1"/>
  <c r="H96" i="1" s="1"/>
  <c r="BA96" i="1" a="1"/>
  <c r="BA96" i="1" s="1"/>
  <c r="BE96" i="1" a="1"/>
  <c r="BE96" i="1" s="1"/>
  <c r="AV96" i="1" a="1"/>
  <c r="AV96" i="1" s="1"/>
  <c r="AI96" i="1" a="1"/>
  <c r="AI96" i="1" s="1"/>
  <c r="AD96" i="1" a="1"/>
  <c r="AD96" i="1" s="1"/>
  <c r="Z96" i="1" a="1"/>
  <c r="Z96" i="1" s="1"/>
  <c r="S96" i="1" a="1"/>
  <c r="S96" i="1" s="1"/>
  <c r="U96" i="1" a="1"/>
  <c r="U96" i="1" s="1"/>
  <c r="W96" i="1" a="1"/>
  <c r="W96" i="1" s="1"/>
  <c r="O96" i="1" a="1"/>
  <c r="O96" i="1" s="1"/>
  <c r="K96" i="1" a="1"/>
  <c r="K96" i="1" s="1"/>
  <c r="J96" i="1" a="1"/>
  <c r="J96" i="1" s="1"/>
  <c r="BC96" i="1" a="1"/>
  <c r="BC96" i="1" s="1"/>
  <c r="AG96" i="1" a="1"/>
  <c r="AG96" i="1" s="1"/>
  <c r="Y96" i="1" a="1"/>
  <c r="Y96" i="1" s="1"/>
  <c r="R96" i="1" a="1"/>
  <c r="R96" i="1" s="1"/>
  <c r="V96" i="1" a="1"/>
  <c r="V96" i="1" s="1"/>
  <c r="N96" i="1" a="1"/>
  <c r="N96" i="1" s="1"/>
  <c r="AR96" i="1" a="1"/>
  <c r="AR96" i="1" s="1"/>
  <c r="AK96" i="1" a="1"/>
  <c r="AK96" i="1" s="1"/>
  <c r="AC96" i="1" a="1"/>
  <c r="AC96" i="1" s="1"/>
  <c r="T96" i="1" a="1"/>
  <c r="T96" i="1" s="1"/>
  <c r="X95" i="1"/>
  <c r="AF95" i="1"/>
  <c r="I95" i="1"/>
  <c r="Q95" i="1" a="1"/>
  <c r="Q95" i="1" s="1"/>
  <c r="A96" i="1"/>
  <c r="B97" i="1"/>
  <c r="AZ96" i="1" l="1"/>
  <c r="AO95" i="1"/>
  <c r="AY95" i="1"/>
  <c r="D97" i="1"/>
  <c r="E97" i="1"/>
  <c r="C97" i="1"/>
  <c r="AZ97" i="1" s="1"/>
  <c r="AT96" i="1"/>
  <c r="AX96" i="1"/>
  <c r="L96" i="1"/>
  <c r="AE96" i="1"/>
  <c r="AB96" i="1" s="1"/>
  <c r="P96" i="1"/>
  <c r="M96" i="1" s="1"/>
  <c r="AA96" i="1"/>
  <c r="F97" i="1" a="1"/>
  <c r="F97" i="1" s="1"/>
  <c r="BB97" i="1" a="1"/>
  <c r="BB97" i="1" s="1"/>
  <c r="BD97" i="1" a="1"/>
  <c r="BD97" i="1" s="1"/>
  <c r="BF97" i="1" a="1"/>
  <c r="BF97" i="1" s="1"/>
  <c r="AV97" i="1" a="1"/>
  <c r="AV97" i="1" s="1"/>
  <c r="AR97" i="1" a="1"/>
  <c r="AR97" i="1" s="1"/>
  <c r="AH97" i="1" a="1"/>
  <c r="AH97" i="1" s="1"/>
  <c r="AJ97" i="1" a="1"/>
  <c r="AJ97" i="1" s="1"/>
  <c r="AL97" i="1" a="1"/>
  <c r="AL97" i="1" s="1"/>
  <c r="G97" i="1" a="1"/>
  <c r="G97" i="1" s="1"/>
  <c r="BC97" i="1" a="1"/>
  <c r="BC97" i="1" s="1"/>
  <c r="AW97" i="1" a="1"/>
  <c r="AW97" i="1" s="1"/>
  <c r="AG97" i="1" a="1"/>
  <c r="AG97" i="1" s="1"/>
  <c r="AK97" i="1" a="1"/>
  <c r="AK97" i="1" s="1"/>
  <c r="AC97" i="1" a="1"/>
  <c r="AC97" i="1" s="1"/>
  <c r="Y97" i="1" a="1"/>
  <c r="Y97" i="1" s="1"/>
  <c r="S97" i="1" a="1"/>
  <c r="S97" i="1" s="1"/>
  <c r="U97" i="1" a="1"/>
  <c r="U97" i="1" s="1"/>
  <c r="W97" i="1" a="1"/>
  <c r="W97" i="1" s="1"/>
  <c r="N97" i="1" a="1"/>
  <c r="N97" i="1" s="1"/>
  <c r="BA97" i="1" a="1"/>
  <c r="BA97" i="1" s="1"/>
  <c r="BE97" i="1" a="1"/>
  <c r="BE97" i="1" s="1"/>
  <c r="AS97" i="1" a="1"/>
  <c r="AS97" i="1" s="1"/>
  <c r="AI97" i="1" a="1"/>
  <c r="AI97" i="1" s="1"/>
  <c r="Z97" i="1" a="1"/>
  <c r="Z97" i="1" s="1"/>
  <c r="T97" i="1" a="1"/>
  <c r="T97" i="1" s="1"/>
  <c r="O97" i="1" a="1"/>
  <c r="O97" i="1" s="1"/>
  <c r="J97" i="1" a="1"/>
  <c r="J97" i="1" s="1"/>
  <c r="AD97" i="1" a="1"/>
  <c r="AD97" i="1" s="1"/>
  <c r="AE97" i="1" s="1"/>
  <c r="AB97" i="1" s="1"/>
  <c r="R97" i="1" a="1"/>
  <c r="R97" i="1" s="1"/>
  <c r="V97" i="1" a="1"/>
  <c r="V97" i="1" s="1"/>
  <c r="K97" i="1" a="1"/>
  <c r="K97" i="1" s="1"/>
  <c r="Q96" i="1" a="1"/>
  <c r="Q96" i="1" s="1"/>
  <c r="I96" i="1"/>
  <c r="X96" i="1"/>
  <c r="AF96" i="1"/>
  <c r="A97" i="1"/>
  <c r="B98" i="1"/>
  <c r="L97" i="1" l="1"/>
  <c r="AX97" i="1"/>
  <c r="D98" i="1"/>
  <c r="E98" i="1"/>
  <c r="C98" i="1"/>
  <c r="AZ98" i="1" s="1"/>
  <c r="AY96" i="1"/>
  <c r="P97" i="1"/>
  <c r="M97" i="1" s="1"/>
  <c r="AA97" i="1"/>
  <c r="AT97" i="1"/>
  <c r="AO96" i="1"/>
  <c r="H97" i="1"/>
  <c r="G98" i="1" a="1"/>
  <c r="G98" i="1" s="1"/>
  <c r="BB98" i="1" a="1"/>
  <c r="BB98" i="1" s="1"/>
  <c r="BD98" i="1" a="1"/>
  <c r="BD98" i="1" s="1"/>
  <c r="BF98" i="1" a="1"/>
  <c r="BF98" i="1" s="1"/>
  <c r="AW98" i="1" a="1"/>
  <c r="AW98" i="1" s="1"/>
  <c r="AS98" i="1" a="1"/>
  <c r="AS98" i="1" s="1"/>
  <c r="AH98" i="1" a="1"/>
  <c r="AH98" i="1" s="1"/>
  <c r="AJ98" i="1" a="1"/>
  <c r="AJ98" i="1" s="1"/>
  <c r="AL98" i="1" a="1"/>
  <c r="AL98" i="1" s="1"/>
  <c r="BA98" i="1" a="1"/>
  <c r="BA98" i="1" s="1"/>
  <c r="BE98" i="1" a="1"/>
  <c r="BE98" i="1" s="1"/>
  <c r="AR98" i="1" a="1"/>
  <c r="AR98" i="1" s="1"/>
  <c r="AI98" i="1" a="1"/>
  <c r="AI98" i="1" s="1"/>
  <c r="AD98" i="1" a="1"/>
  <c r="AD98" i="1" s="1"/>
  <c r="Z98" i="1" a="1"/>
  <c r="Z98" i="1" s="1"/>
  <c r="S98" i="1" a="1"/>
  <c r="S98" i="1" s="1"/>
  <c r="U98" i="1" a="1"/>
  <c r="U98" i="1" s="1"/>
  <c r="W98" i="1" a="1"/>
  <c r="W98" i="1" s="1"/>
  <c r="O98" i="1" a="1"/>
  <c r="O98" i="1" s="1"/>
  <c r="K98" i="1" a="1"/>
  <c r="K98" i="1" s="1"/>
  <c r="J98" i="1" a="1"/>
  <c r="J98" i="1" s="1"/>
  <c r="F98" i="1" a="1"/>
  <c r="F98" i="1" s="1"/>
  <c r="BC98" i="1" a="1"/>
  <c r="BC98" i="1" s="1"/>
  <c r="AV98" i="1" a="1"/>
  <c r="AV98" i="1" s="1"/>
  <c r="AK98" i="1" a="1"/>
  <c r="AK98" i="1" s="1"/>
  <c r="AC98" i="1" a="1"/>
  <c r="AC98" i="1" s="1"/>
  <c r="R98" i="1" a="1"/>
  <c r="R98" i="1" s="1"/>
  <c r="V98" i="1" a="1"/>
  <c r="V98" i="1" s="1"/>
  <c r="AG98" i="1" a="1"/>
  <c r="AG98" i="1" s="1"/>
  <c r="Y98" i="1" a="1"/>
  <c r="Y98" i="1" s="1"/>
  <c r="T98" i="1" a="1"/>
  <c r="T98" i="1" s="1"/>
  <c r="N98" i="1" a="1"/>
  <c r="N98" i="1" s="1"/>
  <c r="I97" i="1"/>
  <c r="Q97" i="1" a="1"/>
  <c r="Q97" i="1" s="1"/>
  <c r="X97" i="1"/>
  <c r="AF97" i="1"/>
  <c r="A98" i="1"/>
  <c r="B99" i="1"/>
  <c r="H98" i="1" l="1"/>
  <c r="D99" i="1"/>
  <c r="E99" i="1"/>
  <c r="C99" i="1"/>
  <c r="AZ99" i="1" s="1"/>
  <c r="AY97" i="1"/>
  <c r="AX98" i="1"/>
  <c r="L98" i="1"/>
  <c r="AT98" i="1"/>
  <c r="AO97" i="1"/>
  <c r="AE98" i="1"/>
  <c r="AB98" i="1" s="1"/>
  <c r="P98" i="1"/>
  <c r="M98" i="1" s="1"/>
  <c r="AA98" i="1"/>
  <c r="X98" i="1" s="1"/>
  <c r="F99" i="1" a="1"/>
  <c r="F99" i="1" s="1"/>
  <c r="BB99" i="1" a="1"/>
  <c r="BB99" i="1" s="1"/>
  <c r="BD99" i="1" a="1"/>
  <c r="BD99" i="1" s="1"/>
  <c r="BF99" i="1" a="1"/>
  <c r="BF99" i="1" s="1"/>
  <c r="AV99" i="1" a="1"/>
  <c r="AV99" i="1" s="1"/>
  <c r="AR99" i="1" a="1"/>
  <c r="AR99" i="1" s="1"/>
  <c r="AH99" i="1" a="1"/>
  <c r="AH99" i="1" s="1"/>
  <c r="AJ99" i="1" a="1"/>
  <c r="AJ99" i="1" s="1"/>
  <c r="AL99" i="1" a="1"/>
  <c r="AL99" i="1" s="1"/>
  <c r="BC99" i="1" a="1"/>
  <c r="BC99" i="1" s="1"/>
  <c r="AS99" i="1" a="1"/>
  <c r="AS99" i="1" s="1"/>
  <c r="AG99" i="1" a="1"/>
  <c r="AG99" i="1" s="1"/>
  <c r="AK99" i="1" a="1"/>
  <c r="AK99" i="1" s="1"/>
  <c r="AC99" i="1" a="1"/>
  <c r="AC99" i="1" s="1"/>
  <c r="Y99" i="1" a="1"/>
  <c r="Y99" i="1" s="1"/>
  <c r="S99" i="1" a="1"/>
  <c r="S99" i="1" s="1"/>
  <c r="U99" i="1" a="1"/>
  <c r="U99" i="1" s="1"/>
  <c r="W99" i="1" a="1"/>
  <c r="W99" i="1" s="1"/>
  <c r="N99" i="1" a="1"/>
  <c r="N99" i="1" s="1"/>
  <c r="G99" i="1" a="1"/>
  <c r="G99" i="1" s="1"/>
  <c r="BA99" i="1" a="1"/>
  <c r="BA99" i="1" s="1"/>
  <c r="BE99" i="1" a="1"/>
  <c r="BE99" i="1" s="1"/>
  <c r="AW99" i="1" a="1"/>
  <c r="AW99" i="1" s="1"/>
  <c r="AX99" i="1" s="1"/>
  <c r="AD99" i="1" a="1"/>
  <c r="AD99" i="1" s="1"/>
  <c r="AE99" i="1" s="1"/>
  <c r="AB99" i="1" s="1"/>
  <c r="T99" i="1" a="1"/>
  <c r="T99" i="1" s="1"/>
  <c r="K99" i="1" a="1"/>
  <c r="K99" i="1" s="1"/>
  <c r="AI99" i="1" a="1"/>
  <c r="AI99" i="1" s="1"/>
  <c r="Z99" i="1" a="1"/>
  <c r="Z99" i="1" s="1"/>
  <c r="R99" i="1" a="1"/>
  <c r="R99" i="1" s="1"/>
  <c r="V99" i="1" a="1"/>
  <c r="V99" i="1" s="1"/>
  <c r="O99" i="1" a="1"/>
  <c r="O99" i="1" s="1"/>
  <c r="P99" i="1" s="1"/>
  <c r="M99" i="1" s="1"/>
  <c r="J99" i="1" a="1"/>
  <c r="J99" i="1" s="1"/>
  <c r="Q98" i="1" a="1"/>
  <c r="Q98" i="1" s="1"/>
  <c r="I98" i="1"/>
  <c r="AF98" i="1"/>
  <c r="A99" i="1"/>
  <c r="B100" i="1"/>
  <c r="AY98" i="1" l="1"/>
  <c r="AA99" i="1"/>
  <c r="D100" i="1"/>
  <c r="E100" i="1"/>
  <c r="C100" i="1"/>
  <c r="AZ100" i="1" s="1"/>
  <c r="AT99" i="1"/>
  <c r="L99" i="1"/>
  <c r="AO98" i="1"/>
  <c r="H99" i="1"/>
  <c r="G100" i="1" a="1"/>
  <c r="G100" i="1" s="1"/>
  <c r="BB100" i="1" a="1"/>
  <c r="BB100" i="1" s="1"/>
  <c r="BD100" i="1" a="1"/>
  <c r="BD100" i="1" s="1"/>
  <c r="BF100" i="1" a="1"/>
  <c r="BF100" i="1" s="1"/>
  <c r="AW100" i="1" a="1"/>
  <c r="AW100" i="1" s="1"/>
  <c r="AS100" i="1" a="1"/>
  <c r="AS100" i="1" s="1"/>
  <c r="AH100" i="1" a="1"/>
  <c r="AH100" i="1" s="1"/>
  <c r="AJ100" i="1" a="1"/>
  <c r="AJ100" i="1" s="1"/>
  <c r="AL100" i="1" a="1"/>
  <c r="AL100" i="1" s="1"/>
  <c r="F100" i="1" a="1"/>
  <c r="F100" i="1" s="1"/>
  <c r="H100" i="1" s="1"/>
  <c r="BA100" i="1" a="1"/>
  <c r="BA100" i="1" s="1"/>
  <c r="BE100" i="1" a="1"/>
  <c r="BE100" i="1" s="1"/>
  <c r="AV100" i="1" a="1"/>
  <c r="AV100" i="1" s="1"/>
  <c r="AI100" i="1" a="1"/>
  <c r="AI100" i="1" s="1"/>
  <c r="AD100" i="1" a="1"/>
  <c r="AD100" i="1" s="1"/>
  <c r="Z100" i="1" a="1"/>
  <c r="Z100" i="1" s="1"/>
  <c r="S100" i="1" a="1"/>
  <c r="S100" i="1" s="1"/>
  <c r="U100" i="1" a="1"/>
  <c r="U100" i="1" s="1"/>
  <c r="W100" i="1" a="1"/>
  <c r="W100" i="1" s="1"/>
  <c r="O100" i="1" a="1"/>
  <c r="O100" i="1" s="1"/>
  <c r="K100" i="1" a="1"/>
  <c r="K100" i="1" s="1"/>
  <c r="J100" i="1" a="1"/>
  <c r="J100" i="1" s="1"/>
  <c r="BC100" i="1" a="1"/>
  <c r="BC100" i="1" s="1"/>
  <c r="AR100" i="1" a="1"/>
  <c r="AR100" i="1" s="1"/>
  <c r="AG100" i="1" a="1"/>
  <c r="AG100" i="1" s="1"/>
  <c r="Y100" i="1" a="1"/>
  <c r="Y100" i="1" s="1"/>
  <c r="R100" i="1" a="1"/>
  <c r="R100" i="1" s="1"/>
  <c r="V100" i="1" a="1"/>
  <c r="V100" i="1" s="1"/>
  <c r="N100" i="1" a="1"/>
  <c r="N100" i="1" s="1"/>
  <c r="AK100" i="1" a="1"/>
  <c r="AK100" i="1" s="1"/>
  <c r="AC100" i="1" a="1"/>
  <c r="AC100" i="1" s="1"/>
  <c r="T100" i="1" a="1"/>
  <c r="T100" i="1" s="1"/>
  <c r="X99" i="1"/>
  <c r="AF99" i="1"/>
  <c r="I99" i="1"/>
  <c r="Q99" i="1" a="1"/>
  <c r="Q99" i="1" s="1"/>
  <c r="AO99" i="1" s="1"/>
  <c r="A100" i="1"/>
  <c r="B101" i="1"/>
  <c r="AY99" i="1" l="1"/>
  <c r="D101" i="1"/>
  <c r="E101" i="1"/>
  <c r="C101" i="1"/>
  <c r="AZ101" i="1" s="1"/>
  <c r="AT100" i="1"/>
  <c r="AX100" i="1"/>
  <c r="L100" i="1"/>
  <c r="AE100" i="1"/>
  <c r="AB100" i="1" s="1"/>
  <c r="P100" i="1"/>
  <c r="M100" i="1" s="1"/>
  <c r="AA100" i="1"/>
  <c r="F101" i="1" a="1"/>
  <c r="F101" i="1" s="1"/>
  <c r="BB101" i="1" a="1"/>
  <c r="BB101" i="1" s="1"/>
  <c r="BD101" i="1" a="1"/>
  <c r="BD101" i="1" s="1"/>
  <c r="BF101" i="1" a="1"/>
  <c r="BF101" i="1" s="1"/>
  <c r="AV101" i="1" a="1"/>
  <c r="AV101" i="1" s="1"/>
  <c r="AR101" i="1" a="1"/>
  <c r="AR101" i="1" s="1"/>
  <c r="AH101" i="1" a="1"/>
  <c r="AH101" i="1" s="1"/>
  <c r="AJ101" i="1" a="1"/>
  <c r="AJ101" i="1" s="1"/>
  <c r="AL101" i="1" a="1"/>
  <c r="AL101" i="1" s="1"/>
  <c r="G101" i="1" a="1"/>
  <c r="G101" i="1" s="1"/>
  <c r="BC101" i="1" a="1"/>
  <c r="BC101" i="1" s="1"/>
  <c r="AW101" i="1" a="1"/>
  <c r="AW101" i="1" s="1"/>
  <c r="AG101" i="1" a="1"/>
  <c r="AG101" i="1" s="1"/>
  <c r="AK101" i="1" a="1"/>
  <c r="AK101" i="1" s="1"/>
  <c r="AC101" i="1" a="1"/>
  <c r="AC101" i="1" s="1"/>
  <c r="Y101" i="1" a="1"/>
  <c r="Y101" i="1" s="1"/>
  <c r="S101" i="1" a="1"/>
  <c r="S101" i="1" s="1"/>
  <c r="U101" i="1" a="1"/>
  <c r="U101" i="1" s="1"/>
  <c r="W101" i="1" a="1"/>
  <c r="W101" i="1" s="1"/>
  <c r="N101" i="1" a="1"/>
  <c r="N101" i="1" s="1"/>
  <c r="BA101" i="1" a="1"/>
  <c r="BA101" i="1" s="1"/>
  <c r="BE101" i="1" a="1"/>
  <c r="BE101" i="1" s="1"/>
  <c r="AS101" i="1" a="1"/>
  <c r="AS101" i="1" s="1"/>
  <c r="AI101" i="1" a="1"/>
  <c r="AI101" i="1" s="1"/>
  <c r="Z101" i="1" a="1"/>
  <c r="Z101" i="1" s="1"/>
  <c r="T101" i="1" a="1"/>
  <c r="T101" i="1" s="1"/>
  <c r="O101" i="1" a="1"/>
  <c r="O101" i="1" s="1"/>
  <c r="J101" i="1" a="1"/>
  <c r="J101" i="1" s="1"/>
  <c r="AD101" i="1" a="1"/>
  <c r="AD101" i="1" s="1"/>
  <c r="AE101" i="1" s="1"/>
  <c r="AB101" i="1" s="1"/>
  <c r="R101" i="1" a="1"/>
  <c r="R101" i="1" s="1"/>
  <c r="V101" i="1" a="1"/>
  <c r="V101" i="1" s="1"/>
  <c r="K101" i="1" a="1"/>
  <c r="K101" i="1" s="1"/>
  <c r="Q100" i="1" a="1"/>
  <c r="Q100" i="1" s="1"/>
  <c r="I100" i="1"/>
  <c r="X100" i="1"/>
  <c r="AF100" i="1"/>
  <c r="A101" i="1"/>
  <c r="B102" i="1"/>
  <c r="AA101" i="1" l="1"/>
  <c r="AT101" i="1"/>
  <c r="AX101" i="1"/>
  <c r="D102" i="1"/>
  <c r="E102" i="1"/>
  <c r="C102" i="1"/>
  <c r="L101" i="1"/>
  <c r="P101" i="1"/>
  <c r="M101" i="1" s="1"/>
  <c r="AY100" i="1"/>
  <c r="AO100" i="1"/>
  <c r="H101" i="1"/>
  <c r="G102" i="1" a="1"/>
  <c r="G102" i="1" s="1"/>
  <c r="BB102" i="1" a="1"/>
  <c r="BB102" i="1" s="1"/>
  <c r="BD102" i="1" a="1"/>
  <c r="BD102" i="1" s="1"/>
  <c r="BF102" i="1" a="1"/>
  <c r="BF102" i="1" s="1"/>
  <c r="AW102" i="1" a="1"/>
  <c r="AW102" i="1" s="1"/>
  <c r="AS102" i="1" a="1"/>
  <c r="AS102" i="1" s="1"/>
  <c r="AH102" i="1" a="1"/>
  <c r="AH102" i="1" s="1"/>
  <c r="AJ102" i="1" a="1"/>
  <c r="AJ102" i="1" s="1"/>
  <c r="AL102" i="1" a="1"/>
  <c r="AL102" i="1" s="1"/>
  <c r="BA102" i="1" a="1"/>
  <c r="BA102" i="1" s="1"/>
  <c r="BE102" i="1" a="1"/>
  <c r="BE102" i="1" s="1"/>
  <c r="AR102" i="1" a="1"/>
  <c r="AR102" i="1" s="1"/>
  <c r="AI102" i="1" a="1"/>
  <c r="AI102" i="1" s="1"/>
  <c r="AD102" i="1" a="1"/>
  <c r="AD102" i="1" s="1"/>
  <c r="Z102" i="1" a="1"/>
  <c r="Z102" i="1" s="1"/>
  <c r="S102" i="1" a="1"/>
  <c r="S102" i="1" s="1"/>
  <c r="U102" i="1" a="1"/>
  <c r="U102" i="1" s="1"/>
  <c r="W102" i="1" a="1"/>
  <c r="W102" i="1" s="1"/>
  <c r="O102" i="1" a="1"/>
  <c r="O102" i="1" s="1"/>
  <c r="K102" i="1" a="1"/>
  <c r="K102" i="1" s="1"/>
  <c r="J102" i="1" a="1"/>
  <c r="J102" i="1" s="1"/>
  <c r="F102" i="1" a="1"/>
  <c r="F102" i="1" s="1"/>
  <c r="H102" i="1" s="1"/>
  <c r="BC102" i="1" a="1"/>
  <c r="BC102" i="1" s="1"/>
  <c r="AV102" i="1" a="1"/>
  <c r="AV102" i="1" s="1"/>
  <c r="AK102" i="1" a="1"/>
  <c r="AK102" i="1" s="1"/>
  <c r="AC102" i="1" a="1"/>
  <c r="AC102" i="1" s="1"/>
  <c r="R102" i="1" a="1"/>
  <c r="R102" i="1" s="1"/>
  <c r="V102" i="1" a="1"/>
  <c r="V102" i="1" s="1"/>
  <c r="AG102" i="1" a="1"/>
  <c r="AG102" i="1" s="1"/>
  <c r="Y102" i="1" a="1"/>
  <c r="Y102" i="1" s="1"/>
  <c r="T102" i="1" a="1"/>
  <c r="T102" i="1" s="1"/>
  <c r="N102" i="1" a="1"/>
  <c r="N102" i="1" s="1"/>
  <c r="I101" i="1"/>
  <c r="Q101" i="1" a="1"/>
  <c r="Q101" i="1" s="1"/>
  <c r="X101" i="1"/>
  <c r="AF101" i="1"/>
  <c r="A102" i="1"/>
  <c r="B103" i="1"/>
  <c r="AY101" i="1" l="1"/>
  <c r="D103" i="1"/>
  <c r="E103" i="1"/>
  <c r="C103" i="1"/>
  <c r="L102" i="1"/>
  <c r="AT102" i="1"/>
  <c r="AX102" i="1"/>
  <c r="AO101" i="1"/>
  <c r="AE102" i="1"/>
  <c r="AB102" i="1" s="1"/>
  <c r="P102" i="1"/>
  <c r="M102" i="1" s="1"/>
  <c r="AA102" i="1"/>
  <c r="F103" i="1" a="1"/>
  <c r="F103" i="1" s="1"/>
  <c r="BB103" i="1" a="1"/>
  <c r="BB103" i="1" s="1"/>
  <c r="BD103" i="1" a="1"/>
  <c r="BD103" i="1" s="1"/>
  <c r="BF103" i="1" a="1"/>
  <c r="BF103" i="1" s="1"/>
  <c r="AV103" i="1" a="1"/>
  <c r="AV103" i="1" s="1"/>
  <c r="AR103" i="1" a="1"/>
  <c r="AR103" i="1" s="1"/>
  <c r="AH103" i="1" a="1"/>
  <c r="AH103" i="1" s="1"/>
  <c r="AJ103" i="1" a="1"/>
  <c r="AJ103" i="1" s="1"/>
  <c r="AL103" i="1" a="1"/>
  <c r="AL103" i="1" s="1"/>
  <c r="BC103" i="1" a="1"/>
  <c r="BC103" i="1" s="1"/>
  <c r="AS103" i="1" a="1"/>
  <c r="AS103" i="1" s="1"/>
  <c r="AG103" i="1" a="1"/>
  <c r="AG103" i="1" s="1"/>
  <c r="AK103" i="1" a="1"/>
  <c r="AK103" i="1" s="1"/>
  <c r="AC103" i="1" a="1"/>
  <c r="AC103" i="1" s="1"/>
  <c r="Y103" i="1" a="1"/>
  <c r="Y103" i="1" s="1"/>
  <c r="S103" i="1" a="1"/>
  <c r="S103" i="1" s="1"/>
  <c r="U103" i="1" a="1"/>
  <c r="U103" i="1" s="1"/>
  <c r="W103" i="1" a="1"/>
  <c r="W103" i="1" s="1"/>
  <c r="N103" i="1" a="1"/>
  <c r="N103" i="1" s="1"/>
  <c r="G103" i="1" a="1"/>
  <c r="G103" i="1" s="1"/>
  <c r="BA103" i="1" a="1"/>
  <c r="BA103" i="1" s="1"/>
  <c r="BE103" i="1" a="1"/>
  <c r="BE103" i="1" s="1"/>
  <c r="AW103" i="1" a="1"/>
  <c r="AW103" i="1" s="1"/>
  <c r="AX103" i="1" s="1"/>
  <c r="AD103" i="1" a="1"/>
  <c r="AD103" i="1" s="1"/>
  <c r="AE103" i="1" s="1"/>
  <c r="AB103" i="1" s="1"/>
  <c r="T103" i="1" a="1"/>
  <c r="T103" i="1" s="1"/>
  <c r="K103" i="1" a="1"/>
  <c r="K103" i="1" s="1"/>
  <c r="AI103" i="1" a="1"/>
  <c r="AI103" i="1" s="1"/>
  <c r="Z103" i="1" a="1"/>
  <c r="Z103" i="1" s="1"/>
  <c r="R103" i="1" a="1"/>
  <c r="R103" i="1" s="1"/>
  <c r="V103" i="1" a="1"/>
  <c r="V103" i="1" s="1"/>
  <c r="O103" i="1" a="1"/>
  <c r="O103" i="1" s="1"/>
  <c r="P103" i="1" s="1"/>
  <c r="M103" i="1" s="1"/>
  <c r="J103" i="1" a="1"/>
  <c r="J103" i="1" s="1"/>
  <c r="Q102" i="1" a="1"/>
  <c r="Q102" i="1" s="1"/>
  <c r="I102" i="1"/>
  <c r="X102" i="1"/>
  <c r="AF102" i="1"/>
  <c r="A103" i="1"/>
  <c r="B104" i="1"/>
  <c r="D104" i="1" l="1"/>
  <c r="E104" i="1"/>
  <c r="C104" i="1"/>
  <c r="AT103" i="1"/>
  <c r="AA103" i="1"/>
  <c r="AY102" i="1"/>
  <c r="L103" i="1"/>
  <c r="AO102" i="1"/>
  <c r="H103" i="1"/>
  <c r="G104" i="1" a="1"/>
  <c r="G104" i="1" s="1"/>
  <c r="BB104" i="1" a="1"/>
  <c r="BB104" i="1" s="1"/>
  <c r="BD104" i="1" a="1"/>
  <c r="BD104" i="1" s="1"/>
  <c r="BF104" i="1" a="1"/>
  <c r="BF104" i="1" s="1"/>
  <c r="AW104" i="1" a="1"/>
  <c r="AW104" i="1" s="1"/>
  <c r="AS104" i="1" a="1"/>
  <c r="AS104" i="1" s="1"/>
  <c r="AH104" i="1" a="1"/>
  <c r="AH104" i="1" s="1"/>
  <c r="AJ104" i="1" a="1"/>
  <c r="AJ104" i="1" s="1"/>
  <c r="AL104" i="1" a="1"/>
  <c r="AL104" i="1" s="1"/>
  <c r="F104" i="1" a="1"/>
  <c r="F104" i="1" s="1"/>
  <c r="BA104" i="1" a="1"/>
  <c r="BA104" i="1" s="1"/>
  <c r="BE104" i="1" a="1"/>
  <c r="BE104" i="1" s="1"/>
  <c r="AV104" i="1" a="1"/>
  <c r="AV104" i="1" s="1"/>
  <c r="AI104" i="1" a="1"/>
  <c r="AI104" i="1" s="1"/>
  <c r="AD104" i="1" a="1"/>
  <c r="AD104" i="1" s="1"/>
  <c r="Z104" i="1" a="1"/>
  <c r="Z104" i="1" s="1"/>
  <c r="S104" i="1" a="1"/>
  <c r="S104" i="1" s="1"/>
  <c r="U104" i="1" a="1"/>
  <c r="U104" i="1" s="1"/>
  <c r="W104" i="1" a="1"/>
  <c r="W104" i="1" s="1"/>
  <c r="O104" i="1" a="1"/>
  <c r="O104" i="1" s="1"/>
  <c r="K104" i="1" a="1"/>
  <c r="K104" i="1" s="1"/>
  <c r="J104" i="1" a="1"/>
  <c r="J104" i="1" s="1"/>
  <c r="BC104" i="1" a="1"/>
  <c r="BC104" i="1" s="1"/>
  <c r="AG104" i="1" a="1"/>
  <c r="AG104" i="1" s="1"/>
  <c r="Y104" i="1" a="1"/>
  <c r="Y104" i="1" s="1"/>
  <c r="R104" i="1" a="1"/>
  <c r="R104" i="1" s="1"/>
  <c r="V104" i="1" a="1"/>
  <c r="V104" i="1" s="1"/>
  <c r="N104" i="1" a="1"/>
  <c r="N104" i="1" s="1"/>
  <c r="AR104" i="1" a="1"/>
  <c r="AR104" i="1" s="1"/>
  <c r="AK104" i="1" a="1"/>
  <c r="AK104" i="1" s="1"/>
  <c r="AC104" i="1" a="1"/>
  <c r="AC104" i="1" s="1"/>
  <c r="T104" i="1" a="1"/>
  <c r="T104" i="1" s="1"/>
  <c r="X103" i="1"/>
  <c r="AF103" i="1"/>
  <c r="I103" i="1"/>
  <c r="Q103" i="1" a="1"/>
  <c r="Q103" i="1" s="1"/>
  <c r="AO103" i="1" s="1"/>
  <c r="A104" i="1"/>
  <c r="B105" i="1"/>
  <c r="AZ104" i="1" l="1"/>
  <c r="AY103" i="1"/>
  <c r="AZ103" i="1" s="1"/>
  <c r="D105" i="1"/>
  <c r="E105" i="1"/>
  <c r="C105" i="1"/>
  <c r="L104" i="1"/>
  <c r="H104" i="1"/>
  <c r="AT104" i="1"/>
  <c r="AX104" i="1"/>
  <c r="AE104" i="1"/>
  <c r="AB104" i="1" s="1"/>
  <c r="P104" i="1"/>
  <c r="M104" i="1" s="1"/>
  <c r="AA104" i="1"/>
  <c r="F105" i="1" a="1"/>
  <c r="F105" i="1" s="1"/>
  <c r="BB105" i="1" a="1"/>
  <c r="BB105" i="1" s="1"/>
  <c r="BD105" i="1" a="1"/>
  <c r="BD105" i="1" s="1"/>
  <c r="BF105" i="1" a="1"/>
  <c r="BF105" i="1" s="1"/>
  <c r="AV105" i="1" a="1"/>
  <c r="AV105" i="1" s="1"/>
  <c r="AR105" i="1" a="1"/>
  <c r="AR105" i="1" s="1"/>
  <c r="AH105" i="1" a="1"/>
  <c r="AH105" i="1" s="1"/>
  <c r="AJ105" i="1" a="1"/>
  <c r="AJ105" i="1" s="1"/>
  <c r="AL105" i="1" a="1"/>
  <c r="AL105" i="1" s="1"/>
  <c r="G105" i="1" a="1"/>
  <c r="G105" i="1" s="1"/>
  <c r="BC105" i="1" a="1"/>
  <c r="BC105" i="1" s="1"/>
  <c r="AW105" i="1" a="1"/>
  <c r="AW105" i="1" s="1"/>
  <c r="AG105" i="1" a="1"/>
  <c r="AG105" i="1" s="1"/>
  <c r="AK105" i="1" a="1"/>
  <c r="AK105" i="1" s="1"/>
  <c r="AC105" i="1" a="1"/>
  <c r="AC105" i="1" s="1"/>
  <c r="Y105" i="1" a="1"/>
  <c r="Y105" i="1" s="1"/>
  <c r="S105" i="1" a="1"/>
  <c r="S105" i="1" s="1"/>
  <c r="U105" i="1" a="1"/>
  <c r="U105" i="1" s="1"/>
  <c r="W105" i="1" a="1"/>
  <c r="W105" i="1" s="1"/>
  <c r="N105" i="1" a="1"/>
  <c r="N105" i="1" s="1"/>
  <c r="BA105" i="1" a="1"/>
  <c r="BA105" i="1" s="1"/>
  <c r="BE105" i="1" a="1"/>
  <c r="BE105" i="1" s="1"/>
  <c r="AS105" i="1" a="1"/>
  <c r="AS105" i="1" s="1"/>
  <c r="AT105" i="1" s="1"/>
  <c r="AI105" i="1" a="1"/>
  <c r="AI105" i="1" s="1"/>
  <c r="Z105" i="1" a="1"/>
  <c r="Z105" i="1" s="1"/>
  <c r="T105" i="1" a="1"/>
  <c r="T105" i="1" s="1"/>
  <c r="O105" i="1" a="1"/>
  <c r="O105" i="1" s="1"/>
  <c r="J105" i="1" a="1"/>
  <c r="J105" i="1" s="1"/>
  <c r="AD105" i="1" a="1"/>
  <c r="AD105" i="1" s="1"/>
  <c r="R105" i="1" a="1"/>
  <c r="R105" i="1" s="1"/>
  <c r="V105" i="1" a="1"/>
  <c r="V105" i="1" s="1"/>
  <c r="K105" i="1" a="1"/>
  <c r="K105" i="1" s="1"/>
  <c r="Q104" i="1" a="1"/>
  <c r="Q104" i="1" s="1"/>
  <c r="I104" i="1"/>
  <c r="X104" i="1"/>
  <c r="AF104" i="1"/>
  <c r="A105" i="1"/>
  <c r="B106" i="1"/>
  <c r="AZ105" i="1" l="1"/>
  <c r="AA105" i="1"/>
  <c r="AX105" i="1"/>
  <c r="P105" i="1"/>
  <c r="M105" i="1" s="1"/>
  <c r="L105" i="1"/>
  <c r="D106" i="1"/>
  <c r="E106" i="1"/>
  <c r="C106" i="1"/>
  <c r="AE105" i="1"/>
  <c r="AB105" i="1" s="1"/>
  <c r="AY104" i="1"/>
  <c r="AO104" i="1"/>
  <c r="H105" i="1"/>
  <c r="G106" i="1" a="1"/>
  <c r="G106" i="1" s="1"/>
  <c r="BB106" i="1" a="1"/>
  <c r="BB106" i="1" s="1"/>
  <c r="BD106" i="1" a="1"/>
  <c r="BD106" i="1" s="1"/>
  <c r="BF106" i="1" a="1"/>
  <c r="BF106" i="1" s="1"/>
  <c r="AW106" i="1" a="1"/>
  <c r="AW106" i="1" s="1"/>
  <c r="AS106" i="1" a="1"/>
  <c r="AS106" i="1" s="1"/>
  <c r="AH106" i="1" a="1"/>
  <c r="AH106" i="1" s="1"/>
  <c r="AJ106" i="1" a="1"/>
  <c r="AJ106" i="1" s="1"/>
  <c r="AL106" i="1" a="1"/>
  <c r="AL106" i="1" s="1"/>
  <c r="BA106" i="1" a="1"/>
  <c r="BA106" i="1" s="1"/>
  <c r="BE106" i="1" a="1"/>
  <c r="BE106" i="1" s="1"/>
  <c r="AR106" i="1" a="1"/>
  <c r="AR106" i="1" s="1"/>
  <c r="AI106" i="1" a="1"/>
  <c r="AI106" i="1" s="1"/>
  <c r="AD106" i="1" a="1"/>
  <c r="AD106" i="1" s="1"/>
  <c r="Z106" i="1" a="1"/>
  <c r="Z106" i="1" s="1"/>
  <c r="S106" i="1" a="1"/>
  <c r="S106" i="1" s="1"/>
  <c r="U106" i="1" a="1"/>
  <c r="U106" i="1" s="1"/>
  <c r="W106" i="1" a="1"/>
  <c r="W106" i="1" s="1"/>
  <c r="O106" i="1" a="1"/>
  <c r="O106" i="1" s="1"/>
  <c r="K106" i="1" a="1"/>
  <c r="K106" i="1" s="1"/>
  <c r="J106" i="1" a="1"/>
  <c r="J106" i="1" s="1"/>
  <c r="F106" i="1" a="1"/>
  <c r="F106" i="1" s="1"/>
  <c r="H106" i="1" s="1"/>
  <c r="BC106" i="1" a="1"/>
  <c r="BC106" i="1" s="1"/>
  <c r="AV106" i="1" a="1"/>
  <c r="AV106" i="1" s="1"/>
  <c r="AK106" i="1" a="1"/>
  <c r="AK106" i="1" s="1"/>
  <c r="AC106" i="1" a="1"/>
  <c r="AC106" i="1" s="1"/>
  <c r="R106" i="1" a="1"/>
  <c r="R106" i="1" s="1"/>
  <c r="V106" i="1" a="1"/>
  <c r="V106" i="1" s="1"/>
  <c r="AG106" i="1" a="1"/>
  <c r="AG106" i="1" s="1"/>
  <c r="Y106" i="1" a="1"/>
  <c r="Y106" i="1" s="1"/>
  <c r="T106" i="1" a="1"/>
  <c r="T106" i="1" s="1"/>
  <c r="N106" i="1" a="1"/>
  <c r="N106" i="1" s="1"/>
  <c r="I105" i="1"/>
  <c r="Q105" i="1" a="1"/>
  <c r="Q105" i="1" s="1"/>
  <c r="X105" i="1"/>
  <c r="AF105" i="1"/>
  <c r="A106" i="1"/>
  <c r="B107" i="1"/>
  <c r="AZ106" i="1" l="1"/>
  <c r="AY105" i="1"/>
  <c r="D107" i="1"/>
  <c r="E107" i="1"/>
  <c r="C107" i="1"/>
  <c r="L106" i="1"/>
  <c r="AT106" i="1"/>
  <c r="AX106" i="1"/>
  <c r="P106" i="1"/>
  <c r="M106" i="1" s="1"/>
  <c r="AA106" i="1"/>
  <c r="AO105" i="1"/>
  <c r="AE106" i="1"/>
  <c r="AB106" i="1" s="1"/>
  <c r="F107" i="1" a="1"/>
  <c r="F107" i="1" s="1"/>
  <c r="BB107" i="1" a="1"/>
  <c r="BB107" i="1" s="1"/>
  <c r="BD107" i="1" a="1"/>
  <c r="BD107" i="1" s="1"/>
  <c r="BF107" i="1" a="1"/>
  <c r="BF107" i="1" s="1"/>
  <c r="AV107" i="1" a="1"/>
  <c r="AV107" i="1" s="1"/>
  <c r="AR107" i="1" a="1"/>
  <c r="AR107" i="1" s="1"/>
  <c r="AH107" i="1" a="1"/>
  <c r="AH107" i="1" s="1"/>
  <c r="AJ107" i="1" a="1"/>
  <c r="AJ107" i="1" s="1"/>
  <c r="AL107" i="1" a="1"/>
  <c r="AL107" i="1" s="1"/>
  <c r="BC107" i="1" a="1"/>
  <c r="BC107" i="1" s="1"/>
  <c r="AS107" i="1" a="1"/>
  <c r="AS107" i="1" s="1"/>
  <c r="AG107" i="1" a="1"/>
  <c r="AG107" i="1" s="1"/>
  <c r="AK107" i="1" a="1"/>
  <c r="AK107" i="1" s="1"/>
  <c r="AC107" i="1" a="1"/>
  <c r="AC107" i="1" s="1"/>
  <c r="Y107" i="1" a="1"/>
  <c r="Y107" i="1" s="1"/>
  <c r="S107" i="1" a="1"/>
  <c r="S107" i="1" s="1"/>
  <c r="U107" i="1" a="1"/>
  <c r="U107" i="1" s="1"/>
  <c r="W107" i="1" a="1"/>
  <c r="W107" i="1" s="1"/>
  <c r="N107" i="1" a="1"/>
  <c r="N107" i="1" s="1"/>
  <c r="G107" i="1" a="1"/>
  <c r="G107" i="1" s="1"/>
  <c r="BA107" i="1" a="1"/>
  <c r="BA107" i="1" s="1"/>
  <c r="BE107" i="1" a="1"/>
  <c r="BE107" i="1" s="1"/>
  <c r="AW107" i="1" a="1"/>
  <c r="AW107" i="1" s="1"/>
  <c r="AX107" i="1" s="1"/>
  <c r="AD107" i="1" a="1"/>
  <c r="AD107" i="1" s="1"/>
  <c r="AE107" i="1" s="1"/>
  <c r="AB107" i="1" s="1"/>
  <c r="T107" i="1" a="1"/>
  <c r="T107" i="1" s="1"/>
  <c r="K107" i="1" a="1"/>
  <c r="K107" i="1" s="1"/>
  <c r="AI107" i="1" a="1"/>
  <c r="AI107" i="1" s="1"/>
  <c r="Z107" i="1" a="1"/>
  <c r="Z107" i="1" s="1"/>
  <c r="R107" i="1" a="1"/>
  <c r="R107" i="1" s="1"/>
  <c r="V107" i="1" a="1"/>
  <c r="V107" i="1" s="1"/>
  <c r="O107" i="1" a="1"/>
  <c r="O107" i="1" s="1"/>
  <c r="P107" i="1" s="1"/>
  <c r="M107" i="1" s="1"/>
  <c r="J107" i="1" a="1"/>
  <c r="J107" i="1" s="1"/>
  <c r="Q106" i="1" a="1"/>
  <c r="Q106" i="1" s="1"/>
  <c r="I106" i="1"/>
  <c r="X106" i="1"/>
  <c r="AF106" i="1"/>
  <c r="A107" i="1"/>
  <c r="B108" i="1"/>
  <c r="AZ107" i="1" l="1"/>
  <c r="AT107" i="1"/>
  <c r="D108" i="1"/>
  <c r="E108" i="1"/>
  <c r="C108" i="1"/>
  <c r="AZ108" i="1" s="1"/>
  <c r="AO106" i="1"/>
  <c r="AY106" i="1"/>
  <c r="AA107" i="1"/>
  <c r="L107" i="1"/>
  <c r="H107" i="1"/>
  <c r="AY107" i="1" s="1"/>
  <c r="G108" i="1" a="1"/>
  <c r="G108" i="1" s="1"/>
  <c r="BB108" i="1" a="1"/>
  <c r="BB108" i="1" s="1"/>
  <c r="BD108" i="1" a="1"/>
  <c r="BD108" i="1" s="1"/>
  <c r="BF108" i="1" a="1"/>
  <c r="BF108" i="1" s="1"/>
  <c r="AW108" i="1" a="1"/>
  <c r="AW108" i="1" s="1"/>
  <c r="AS108" i="1" a="1"/>
  <c r="AS108" i="1" s="1"/>
  <c r="AH108" i="1" a="1"/>
  <c r="AH108" i="1" s="1"/>
  <c r="AJ108" i="1" a="1"/>
  <c r="AJ108" i="1" s="1"/>
  <c r="AL108" i="1" a="1"/>
  <c r="AL108" i="1" s="1"/>
  <c r="F108" i="1" a="1"/>
  <c r="F108" i="1" s="1"/>
  <c r="H108" i="1" s="1"/>
  <c r="BA108" i="1" a="1"/>
  <c r="BA108" i="1" s="1"/>
  <c r="BE108" i="1" a="1"/>
  <c r="BE108" i="1" s="1"/>
  <c r="AV108" i="1" a="1"/>
  <c r="AV108" i="1" s="1"/>
  <c r="AI108" i="1" a="1"/>
  <c r="AI108" i="1" s="1"/>
  <c r="AD108" i="1" a="1"/>
  <c r="AD108" i="1" s="1"/>
  <c r="Z108" i="1" a="1"/>
  <c r="Z108" i="1" s="1"/>
  <c r="S108" i="1" a="1"/>
  <c r="S108" i="1" s="1"/>
  <c r="U108" i="1" a="1"/>
  <c r="U108" i="1" s="1"/>
  <c r="W108" i="1" a="1"/>
  <c r="W108" i="1" s="1"/>
  <c r="O108" i="1" a="1"/>
  <c r="O108" i="1" s="1"/>
  <c r="K108" i="1" a="1"/>
  <c r="K108" i="1" s="1"/>
  <c r="J108" i="1" a="1"/>
  <c r="J108" i="1" s="1"/>
  <c r="BC108" i="1" a="1"/>
  <c r="BC108" i="1" s="1"/>
  <c r="AR108" i="1" a="1"/>
  <c r="AR108" i="1" s="1"/>
  <c r="AG108" i="1" a="1"/>
  <c r="AG108" i="1" s="1"/>
  <c r="Y108" i="1" a="1"/>
  <c r="Y108" i="1" s="1"/>
  <c r="R108" i="1" a="1"/>
  <c r="R108" i="1" s="1"/>
  <c r="V108" i="1" a="1"/>
  <c r="V108" i="1" s="1"/>
  <c r="N108" i="1" a="1"/>
  <c r="N108" i="1" s="1"/>
  <c r="AK108" i="1" a="1"/>
  <c r="AK108" i="1" s="1"/>
  <c r="AC108" i="1" a="1"/>
  <c r="AC108" i="1" s="1"/>
  <c r="T108" i="1" a="1"/>
  <c r="T108" i="1" s="1"/>
  <c r="X107" i="1"/>
  <c r="AF107" i="1"/>
  <c r="I107" i="1"/>
  <c r="Q107" i="1" a="1"/>
  <c r="Q107" i="1" s="1"/>
  <c r="AO107" i="1" s="1"/>
  <c r="A108" i="1"/>
  <c r="B109" i="1"/>
  <c r="D109" i="1" l="1"/>
  <c r="E109" i="1"/>
  <c r="C109" i="1"/>
  <c r="AZ109" i="1" s="1"/>
  <c r="AX108" i="1"/>
  <c r="AT108" i="1"/>
  <c r="L108" i="1"/>
  <c r="AE108" i="1"/>
  <c r="AB108" i="1" s="1"/>
  <c r="P108" i="1"/>
  <c r="M108" i="1" s="1"/>
  <c r="AA108" i="1"/>
  <c r="F109" i="1" a="1"/>
  <c r="F109" i="1" s="1"/>
  <c r="BB109" i="1" a="1"/>
  <c r="BB109" i="1" s="1"/>
  <c r="BD109" i="1" a="1"/>
  <c r="BD109" i="1" s="1"/>
  <c r="BF109" i="1" a="1"/>
  <c r="BF109" i="1" s="1"/>
  <c r="AV109" i="1" a="1"/>
  <c r="AV109" i="1" s="1"/>
  <c r="AR109" i="1" a="1"/>
  <c r="AR109" i="1" s="1"/>
  <c r="AH109" i="1" a="1"/>
  <c r="AH109" i="1" s="1"/>
  <c r="AJ109" i="1" a="1"/>
  <c r="AJ109" i="1" s="1"/>
  <c r="AL109" i="1" a="1"/>
  <c r="AL109" i="1" s="1"/>
  <c r="G109" i="1" a="1"/>
  <c r="G109" i="1" s="1"/>
  <c r="BC109" i="1" a="1"/>
  <c r="BC109" i="1" s="1"/>
  <c r="AW109" i="1" a="1"/>
  <c r="AW109" i="1" s="1"/>
  <c r="AG109" i="1" a="1"/>
  <c r="AG109" i="1" s="1"/>
  <c r="AK109" i="1" a="1"/>
  <c r="AK109" i="1" s="1"/>
  <c r="AC109" i="1" a="1"/>
  <c r="AC109" i="1" s="1"/>
  <c r="Y109" i="1" a="1"/>
  <c r="Y109" i="1" s="1"/>
  <c r="S109" i="1" a="1"/>
  <c r="S109" i="1" s="1"/>
  <c r="U109" i="1" a="1"/>
  <c r="U109" i="1" s="1"/>
  <c r="W109" i="1" a="1"/>
  <c r="W109" i="1" s="1"/>
  <c r="N109" i="1" a="1"/>
  <c r="N109" i="1" s="1"/>
  <c r="BA109" i="1" a="1"/>
  <c r="BA109" i="1" s="1"/>
  <c r="BE109" i="1" a="1"/>
  <c r="BE109" i="1" s="1"/>
  <c r="AS109" i="1" a="1"/>
  <c r="AS109" i="1" s="1"/>
  <c r="AT109" i="1" s="1"/>
  <c r="AI109" i="1" a="1"/>
  <c r="AI109" i="1" s="1"/>
  <c r="Z109" i="1" a="1"/>
  <c r="Z109" i="1" s="1"/>
  <c r="T109" i="1" a="1"/>
  <c r="T109" i="1" s="1"/>
  <c r="O109" i="1" a="1"/>
  <c r="O109" i="1" s="1"/>
  <c r="J109" i="1" a="1"/>
  <c r="J109" i="1" s="1"/>
  <c r="AD109" i="1" a="1"/>
  <c r="AD109" i="1" s="1"/>
  <c r="AE109" i="1" s="1"/>
  <c r="AB109" i="1" s="1"/>
  <c r="R109" i="1" a="1"/>
  <c r="R109" i="1" s="1"/>
  <c r="V109" i="1" a="1"/>
  <c r="V109" i="1" s="1"/>
  <c r="K109" i="1" a="1"/>
  <c r="K109" i="1" s="1"/>
  <c r="L109" i="1" s="1"/>
  <c r="Q108" i="1" a="1"/>
  <c r="Q108" i="1" s="1"/>
  <c r="I108" i="1"/>
  <c r="X108" i="1"/>
  <c r="AF108" i="1"/>
  <c r="A109" i="1"/>
  <c r="B110" i="1"/>
  <c r="AX109" i="1" l="1"/>
  <c r="D110" i="1"/>
  <c r="E110" i="1"/>
  <c r="C110" i="1"/>
  <c r="AY108" i="1"/>
  <c r="AO108" i="1"/>
  <c r="P109" i="1"/>
  <c r="M109" i="1" s="1"/>
  <c r="AA109" i="1"/>
  <c r="AF109" i="1" s="1"/>
  <c r="H109" i="1"/>
  <c r="AY109" i="1" s="1"/>
  <c r="G110" i="1" a="1"/>
  <c r="G110" i="1" s="1"/>
  <c r="BB110" i="1" a="1"/>
  <c r="BB110" i="1" s="1"/>
  <c r="BD110" i="1" a="1"/>
  <c r="BD110" i="1" s="1"/>
  <c r="BF110" i="1" a="1"/>
  <c r="BF110" i="1" s="1"/>
  <c r="AW110" i="1" a="1"/>
  <c r="AW110" i="1" s="1"/>
  <c r="AS110" i="1" a="1"/>
  <c r="AS110" i="1" s="1"/>
  <c r="AH110" i="1" a="1"/>
  <c r="AH110" i="1" s="1"/>
  <c r="AJ110" i="1" a="1"/>
  <c r="AJ110" i="1" s="1"/>
  <c r="AL110" i="1" a="1"/>
  <c r="AL110" i="1" s="1"/>
  <c r="BA110" i="1" a="1"/>
  <c r="BA110" i="1" s="1"/>
  <c r="BE110" i="1" a="1"/>
  <c r="BE110" i="1" s="1"/>
  <c r="AR110" i="1" a="1"/>
  <c r="AR110" i="1" s="1"/>
  <c r="AI110" i="1" a="1"/>
  <c r="AI110" i="1" s="1"/>
  <c r="AD110" i="1" a="1"/>
  <c r="AD110" i="1" s="1"/>
  <c r="Z110" i="1" a="1"/>
  <c r="Z110" i="1" s="1"/>
  <c r="S110" i="1" a="1"/>
  <c r="S110" i="1" s="1"/>
  <c r="U110" i="1" a="1"/>
  <c r="U110" i="1" s="1"/>
  <c r="W110" i="1" a="1"/>
  <c r="W110" i="1" s="1"/>
  <c r="O110" i="1" a="1"/>
  <c r="O110" i="1" s="1"/>
  <c r="K110" i="1" a="1"/>
  <c r="K110" i="1" s="1"/>
  <c r="J110" i="1" a="1"/>
  <c r="J110" i="1" s="1"/>
  <c r="F110" i="1" a="1"/>
  <c r="F110" i="1" s="1"/>
  <c r="H110" i="1" s="1"/>
  <c r="BC110" i="1" a="1"/>
  <c r="BC110" i="1" s="1"/>
  <c r="AV110" i="1" a="1"/>
  <c r="AV110" i="1" s="1"/>
  <c r="AK110" i="1" a="1"/>
  <c r="AK110" i="1" s="1"/>
  <c r="AC110" i="1" a="1"/>
  <c r="AC110" i="1" s="1"/>
  <c r="R110" i="1" a="1"/>
  <c r="R110" i="1" s="1"/>
  <c r="V110" i="1" a="1"/>
  <c r="V110" i="1" s="1"/>
  <c r="AG110" i="1" a="1"/>
  <c r="AG110" i="1" s="1"/>
  <c r="Y110" i="1" a="1"/>
  <c r="Y110" i="1" s="1"/>
  <c r="T110" i="1" a="1"/>
  <c r="T110" i="1" s="1"/>
  <c r="N110" i="1" a="1"/>
  <c r="N110" i="1" s="1"/>
  <c r="I109" i="1"/>
  <c r="Q109" i="1" a="1"/>
  <c r="Q109" i="1" s="1"/>
  <c r="X109" i="1"/>
  <c r="A110" i="1"/>
  <c r="B111" i="1"/>
  <c r="AZ111" i="1" l="1"/>
  <c r="AZ110" i="1"/>
  <c r="D111" i="1"/>
  <c r="E111" i="1"/>
  <c r="C111" i="1"/>
  <c r="AX110" i="1"/>
  <c r="L110" i="1"/>
  <c r="AT110" i="1"/>
  <c r="AY110" i="1" s="1"/>
  <c r="P110" i="1"/>
  <c r="M110" i="1" s="1"/>
  <c r="AA110" i="1"/>
  <c r="AO109" i="1"/>
  <c r="AE110" i="1"/>
  <c r="AB110" i="1" s="1"/>
  <c r="F111" i="1" a="1"/>
  <c r="F111" i="1" s="1"/>
  <c r="BB111" i="1" a="1"/>
  <c r="BB111" i="1" s="1"/>
  <c r="BD111" i="1" a="1"/>
  <c r="BD111" i="1" s="1"/>
  <c r="BF111" i="1" a="1"/>
  <c r="BF111" i="1" s="1"/>
  <c r="AV111" i="1" a="1"/>
  <c r="AV111" i="1" s="1"/>
  <c r="AR111" i="1" a="1"/>
  <c r="AR111" i="1" s="1"/>
  <c r="AH111" i="1" a="1"/>
  <c r="AH111" i="1" s="1"/>
  <c r="AJ111" i="1" a="1"/>
  <c r="AJ111" i="1" s="1"/>
  <c r="AL111" i="1" a="1"/>
  <c r="AL111" i="1" s="1"/>
  <c r="BC111" i="1" a="1"/>
  <c r="BC111" i="1" s="1"/>
  <c r="AS111" i="1" a="1"/>
  <c r="AS111" i="1" s="1"/>
  <c r="AG111" i="1" a="1"/>
  <c r="AG111" i="1" s="1"/>
  <c r="AK111" i="1" a="1"/>
  <c r="AK111" i="1" s="1"/>
  <c r="AC111" i="1" a="1"/>
  <c r="AC111" i="1" s="1"/>
  <c r="Y111" i="1" a="1"/>
  <c r="Y111" i="1" s="1"/>
  <c r="S111" i="1" a="1"/>
  <c r="S111" i="1" s="1"/>
  <c r="U111" i="1" a="1"/>
  <c r="U111" i="1" s="1"/>
  <c r="W111" i="1" a="1"/>
  <c r="W111" i="1" s="1"/>
  <c r="N111" i="1" a="1"/>
  <c r="N111" i="1" s="1"/>
  <c r="G111" i="1" a="1"/>
  <c r="G111" i="1" s="1"/>
  <c r="BA111" i="1" a="1"/>
  <c r="BA111" i="1" s="1"/>
  <c r="BE111" i="1" a="1"/>
  <c r="BE111" i="1" s="1"/>
  <c r="AW111" i="1" a="1"/>
  <c r="AW111" i="1" s="1"/>
  <c r="AX111" i="1" s="1"/>
  <c r="AD111" i="1" a="1"/>
  <c r="AD111" i="1" s="1"/>
  <c r="T111" i="1" a="1"/>
  <c r="T111" i="1" s="1"/>
  <c r="K111" i="1" a="1"/>
  <c r="K111" i="1" s="1"/>
  <c r="AI111" i="1" a="1"/>
  <c r="AI111" i="1" s="1"/>
  <c r="Z111" i="1" a="1"/>
  <c r="Z111" i="1" s="1"/>
  <c r="R111" i="1" a="1"/>
  <c r="R111" i="1" s="1"/>
  <c r="V111" i="1" a="1"/>
  <c r="V111" i="1" s="1"/>
  <c r="O111" i="1" a="1"/>
  <c r="O111" i="1" s="1"/>
  <c r="P111" i="1" s="1"/>
  <c r="M111" i="1" s="1"/>
  <c r="J111" i="1" a="1"/>
  <c r="J111" i="1" s="1"/>
  <c r="Q110" i="1" a="1"/>
  <c r="Q110" i="1" s="1"/>
  <c r="I110" i="1"/>
  <c r="X110" i="1"/>
  <c r="AF110" i="1"/>
  <c r="A111" i="1"/>
  <c r="B112" i="1"/>
  <c r="D112" i="1" l="1"/>
  <c r="E112" i="1"/>
  <c r="C112" i="1"/>
  <c r="AZ112" i="1" s="1"/>
  <c r="AT111" i="1"/>
  <c r="AA111" i="1"/>
  <c r="AE111" i="1"/>
  <c r="AB111" i="1" s="1"/>
  <c r="L111" i="1"/>
  <c r="AO110" i="1"/>
  <c r="H111" i="1"/>
  <c r="G112" i="1" a="1"/>
  <c r="G112" i="1" s="1"/>
  <c r="BB112" i="1" a="1"/>
  <c r="BB112" i="1" s="1"/>
  <c r="BD112" i="1" a="1"/>
  <c r="BD112" i="1" s="1"/>
  <c r="BF112" i="1" a="1"/>
  <c r="BF112" i="1" s="1"/>
  <c r="AW112" i="1" a="1"/>
  <c r="AW112" i="1" s="1"/>
  <c r="AS112" i="1" a="1"/>
  <c r="AS112" i="1" s="1"/>
  <c r="AH112" i="1" a="1"/>
  <c r="AH112" i="1" s="1"/>
  <c r="AJ112" i="1" a="1"/>
  <c r="AJ112" i="1" s="1"/>
  <c r="AL112" i="1" a="1"/>
  <c r="AL112" i="1" s="1"/>
  <c r="F112" i="1" a="1"/>
  <c r="F112" i="1" s="1"/>
  <c r="BA112" i="1" a="1"/>
  <c r="BA112" i="1" s="1"/>
  <c r="BE112" i="1" a="1"/>
  <c r="BE112" i="1" s="1"/>
  <c r="AV112" i="1" a="1"/>
  <c r="AV112" i="1" s="1"/>
  <c r="AI112" i="1" a="1"/>
  <c r="AI112" i="1" s="1"/>
  <c r="AD112" i="1" a="1"/>
  <c r="AD112" i="1" s="1"/>
  <c r="Z112" i="1" a="1"/>
  <c r="Z112" i="1" s="1"/>
  <c r="S112" i="1" a="1"/>
  <c r="S112" i="1" s="1"/>
  <c r="U112" i="1" a="1"/>
  <c r="U112" i="1" s="1"/>
  <c r="W112" i="1" a="1"/>
  <c r="W112" i="1" s="1"/>
  <c r="O112" i="1" a="1"/>
  <c r="O112" i="1" s="1"/>
  <c r="K112" i="1" a="1"/>
  <c r="K112" i="1" s="1"/>
  <c r="J112" i="1" a="1"/>
  <c r="J112" i="1" s="1"/>
  <c r="BC112" i="1" a="1"/>
  <c r="BC112" i="1" s="1"/>
  <c r="AG112" i="1" a="1"/>
  <c r="AG112" i="1" s="1"/>
  <c r="Y112" i="1" a="1"/>
  <c r="Y112" i="1" s="1"/>
  <c r="R112" i="1" a="1"/>
  <c r="R112" i="1" s="1"/>
  <c r="V112" i="1" a="1"/>
  <c r="V112" i="1" s="1"/>
  <c r="N112" i="1" a="1"/>
  <c r="N112" i="1" s="1"/>
  <c r="AR112" i="1" a="1"/>
  <c r="AR112" i="1" s="1"/>
  <c r="AK112" i="1" a="1"/>
  <c r="AK112" i="1" s="1"/>
  <c r="AC112" i="1" a="1"/>
  <c r="AC112" i="1" s="1"/>
  <c r="T112" i="1" a="1"/>
  <c r="T112" i="1" s="1"/>
  <c r="X111" i="1"/>
  <c r="AF111" i="1"/>
  <c r="I111" i="1"/>
  <c r="Q111" i="1" a="1"/>
  <c r="Q111" i="1" s="1"/>
  <c r="AO111" i="1" s="1"/>
  <c r="A112" i="1"/>
  <c r="B113" i="1"/>
  <c r="AY111" i="1" l="1"/>
  <c r="D113" i="1"/>
  <c r="E113" i="1"/>
  <c r="C113" i="1"/>
  <c r="H112" i="1"/>
  <c r="AX112" i="1"/>
  <c r="AT112" i="1"/>
  <c r="L112" i="1"/>
  <c r="AE112" i="1"/>
  <c r="AB112" i="1" s="1"/>
  <c r="P112" i="1"/>
  <c r="M112" i="1" s="1"/>
  <c r="AA112" i="1"/>
  <c r="F113" i="1" a="1"/>
  <c r="F113" i="1" s="1"/>
  <c r="BB113" i="1" a="1"/>
  <c r="BB113" i="1" s="1"/>
  <c r="BD113" i="1" a="1"/>
  <c r="BD113" i="1" s="1"/>
  <c r="BF113" i="1" a="1"/>
  <c r="BF113" i="1" s="1"/>
  <c r="AV113" i="1" a="1"/>
  <c r="AV113" i="1" s="1"/>
  <c r="AR113" i="1" a="1"/>
  <c r="AR113" i="1" s="1"/>
  <c r="AH113" i="1" a="1"/>
  <c r="AH113" i="1" s="1"/>
  <c r="AJ113" i="1" a="1"/>
  <c r="AJ113" i="1" s="1"/>
  <c r="AL113" i="1" a="1"/>
  <c r="AL113" i="1" s="1"/>
  <c r="G113" i="1" a="1"/>
  <c r="G113" i="1" s="1"/>
  <c r="BC113" i="1" a="1"/>
  <c r="BC113" i="1" s="1"/>
  <c r="AW113" i="1" a="1"/>
  <c r="AW113" i="1" s="1"/>
  <c r="AG113" i="1" a="1"/>
  <c r="AG113" i="1" s="1"/>
  <c r="AK113" i="1" a="1"/>
  <c r="AK113" i="1" s="1"/>
  <c r="AC113" i="1" a="1"/>
  <c r="AC113" i="1" s="1"/>
  <c r="Y113" i="1" a="1"/>
  <c r="Y113" i="1" s="1"/>
  <c r="S113" i="1" a="1"/>
  <c r="S113" i="1" s="1"/>
  <c r="U113" i="1" a="1"/>
  <c r="U113" i="1" s="1"/>
  <c r="W113" i="1" a="1"/>
  <c r="W113" i="1" s="1"/>
  <c r="N113" i="1" a="1"/>
  <c r="N113" i="1" s="1"/>
  <c r="BA113" i="1" a="1"/>
  <c r="BA113" i="1" s="1"/>
  <c r="BE113" i="1" a="1"/>
  <c r="BE113" i="1" s="1"/>
  <c r="AS113" i="1" a="1"/>
  <c r="AS113" i="1" s="1"/>
  <c r="AI113" i="1" a="1"/>
  <c r="AI113" i="1" s="1"/>
  <c r="Z113" i="1" a="1"/>
  <c r="Z113" i="1" s="1"/>
  <c r="T113" i="1" a="1"/>
  <c r="T113" i="1" s="1"/>
  <c r="O113" i="1" a="1"/>
  <c r="O113" i="1" s="1"/>
  <c r="J113" i="1" a="1"/>
  <c r="J113" i="1" s="1"/>
  <c r="AD113" i="1" a="1"/>
  <c r="AD113" i="1" s="1"/>
  <c r="AE113" i="1" s="1"/>
  <c r="AB113" i="1" s="1"/>
  <c r="R113" i="1" a="1"/>
  <c r="R113" i="1" s="1"/>
  <c r="V113" i="1" a="1"/>
  <c r="V113" i="1" s="1"/>
  <c r="K113" i="1" a="1"/>
  <c r="K113" i="1" s="1"/>
  <c r="L113" i="1" s="1"/>
  <c r="Q112" i="1" a="1"/>
  <c r="Q112" i="1" s="1"/>
  <c r="I112" i="1"/>
  <c r="X112" i="1"/>
  <c r="AF112" i="1"/>
  <c r="A113" i="1"/>
  <c r="B114" i="1"/>
  <c r="AZ113" i="1" l="1"/>
  <c r="AT113" i="1"/>
  <c r="AX113" i="1"/>
  <c r="D114" i="1"/>
  <c r="E114" i="1"/>
  <c r="C114" i="1"/>
  <c r="AZ114" i="1" s="1"/>
  <c r="AY112" i="1"/>
  <c r="AO112" i="1"/>
  <c r="P113" i="1"/>
  <c r="M113" i="1" s="1"/>
  <c r="AA113" i="1"/>
  <c r="H113" i="1"/>
  <c r="AY113" i="1" s="1"/>
  <c r="G114" i="1" a="1"/>
  <c r="G114" i="1" s="1"/>
  <c r="BB114" i="1" a="1"/>
  <c r="BB114" i="1" s="1"/>
  <c r="BD114" i="1" a="1"/>
  <c r="BD114" i="1" s="1"/>
  <c r="BF114" i="1" a="1"/>
  <c r="BF114" i="1" s="1"/>
  <c r="AW114" i="1" a="1"/>
  <c r="AW114" i="1" s="1"/>
  <c r="AS114" i="1" a="1"/>
  <c r="AS114" i="1" s="1"/>
  <c r="AH114" i="1" a="1"/>
  <c r="AH114" i="1" s="1"/>
  <c r="AJ114" i="1" a="1"/>
  <c r="AJ114" i="1" s="1"/>
  <c r="AL114" i="1" a="1"/>
  <c r="AL114" i="1" s="1"/>
  <c r="BA114" i="1" a="1"/>
  <c r="BA114" i="1" s="1"/>
  <c r="BE114" i="1" a="1"/>
  <c r="BE114" i="1" s="1"/>
  <c r="AR114" i="1" a="1"/>
  <c r="AR114" i="1" s="1"/>
  <c r="AI114" i="1" a="1"/>
  <c r="AI114" i="1" s="1"/>
  <c r="AD114" i="1" a="1"/>
  <c r="AD114" i="1" s="1"/>
  <c r="Z114" i="1" a="1"/>
  <c r="Z114" i="1" s="1"/>
  <c r="S114" i="1" a="1"/>
  <c r="S114" i="1" s="1"/>
  <c r="U114" i="1" a="1"/>
  <c r="U114" i="1" s="1"/>
  <c r="W114" i="1" a="1"/>
  <c r="W114" i="1" s="1"/>
  <c r="O114" i="1" a="1"/>
  <c r="O114" i="1" s="1"/>
  <c r="K114" i="1" a="1"/>
  <c r="K114" i="1" s="1"/>
  <c r="J114" i="1" a="1"/>
  <c r="J114" i="1" s="1"/>
  <c r="F114" i="1" a="1"/>
  <c r="F114" i="1" s="1"/>
  <c r="H114" i="1" s="1"/>
  <c r="BC114" i="1" a="1"/>
  <c r="BC114" i="1" s="1"/>
  <c r="AV114" i="1" a="1"/>
  <c r="AV114" i="1" s="1"/>
  <c r="AK114" i="1" a="1"/>
  <c r="AK114" i="1" s="1"/>
  <c r="AC114" i="1" a="1"/>
  <c r="AC114" i="1" s="1"/>
  <c r="R114" i="1" a="1"/>
  <c r="R114" i="1" s="1"/>
  <c r="V114" i="1" a="1"/>
  <c r="V114" i="1" s="1"/>
  <c r="AG114" i="1" a="1"/>
  <c r="AG114" i="1" s="1"/>
  <c r="Y114" i="1" a="1"/>
  <c r="Y114" i="1" s="1"/>
  <c r="T114" i="1" a="1"/>
  <c r="T114" i="1" s="1"/>
  <c r="N114" i="1" a="1"/>
  <c r="N114" i="1" s="1"/>
  <c r="I113" i="1"/>
  <c r="Q113" i="1" a="1"/>
  <c r="Q113" i="1" s="1"/>
  <c r="X113" i="1"/>
  <c r="AF113" i="1"/>
  <c r="A114" i="1"/>
  <c r="B115" i="1"/>
  <c r="D115" i="1" l="1"/>
  <c r="E115" i="1"/>
  <c r="C115" i="1"/>
  <c r="AX114" i="1"/>
  <c r="AT114" i="1"/>
  <c r="L114" i="1"/>
  <c r="P114" i="1"/>
  <c r="M114" i="1" s="1"/>
  <c r="AA114" i="1"/>
  <c r="AO113" i="1"/>
  <c r="AE114" i="1"/>
  <c r="AB114" i="1" s="1"/>
  <c r="F115" i="1" a="1"/>
  <c r="F115" i="1" s="1"/>
  <c r="BB115" i="1" a="1"/>
  <c r="BB115" i="1" s="1"/>
  <c r="BD115" i="1" a="1"/>
  <c r="BD115" i="1" s="1"/>
  <c r="BF115" i="1" a="1"/>
  <c r="BF115" i="1" s="1"/>
  <c r="AV115" i="1" a="1"/>
  <c r="AV115" i="1" s="1"/>
  <c r="AR115" i="1" a="1"/>
  <c r="AR115" i="1" s="1"/>
  <c r="AH115" i="1" a="1"/>
  <c r="AH115" i="1" s="1"/>
  <c r="AJ115" i="1" a="1"/>
  <c r="AJ115" i="1" s="1"/>
  <c r="AL115" i="1" a="1"/>
  <c r="AL115" i="1" s="1"/>
  <c r="BC115" i="1" a="1"/>
  <c r="BC115" i="1" s="1"/>
  <c r="AS115" i="1" a="1"/>
  <c r="AS115" i="1" s="1"/>
  <c r="AG115" i="1" a="1"/>
  <c r="AG115" i="1" s="1"/>
  <c r="AK115" i="1" a="1"/>
  <c r="AK115" i="1" s="1"/>
  <c r="AC115" i="1" a="1"/>
  <c r="AC115" i="1" s="1"/>
  <c r="Y115" i="1" a="1"/>
  <c r="Y115" i="1" s="1"/>
  <c r="S115" i="1" a="1"/>
  <c r="S115" i="1" s="1"/>
  <c r="U115" i="1" a="1"/>
  <c r="U115" i="1" s="1"/>
  <c r="W115" i="1" a="1"/>
  <c r="W115" i="1" s="1"/>
  <c r="N115" i="1" a="1"/>
  <c r="N115" i="1" s="1"/>
  <c r="G115" i="1" a="1"/>
  <c r="G115" i="1" s="1"/>
  <c r="BA115" i="1" a="1"/>
  <c r="BA115" i="1" s="1"/>
  <c r="BE115" i="1" a="1"/>
  <c r="BE115" i="1" s="1"/>
  <c r="AW115" i="1" a="1"/>
  <c r="AW115" i="1" s="1"/>
  <c r="AX115" i="1" s="1"/>
  <c r="AD115" i="1" a="1"/>
  <c r="AD115" i="1" s="1"/>
  <c r="AE115" i="1" s="1"/>
  <c r="AB115" i="1" s="1"/>
  <c r="T115" i="1" a="1"/>
  <c r="T115" i="1" s="1"/>
  <c r="K115" i="1" a="1"/>
  <c r="K115" i="1" s="1"/>
  <c r="AI115" i="1" a="1"/>
  <c r="AI115" i="1" s="1"/>
  <c r="Z115" i="1" a="1"/>
  <c r="Z115" i="1" s="1"/>
  <c r="R115" i="1" a="1"/>
  <c r="R115" i="1" s="1"/>
  <c r="V115" i="1" a="1"/>
  <c r="V115" i="1" s="1"/>
  <c r="O115" i="1" a="1"/>
  <c r="O115" i="1" s="1"/>
  <c r="J115" i="1" a="1"/>
  <c r="J115" i="1" s="1"/>
  <c r="Q114" i="1" a="1"/>
  <c r="Q114" i="1" s="1"/>
  <c r="I114" i="1"/>
  <c r="X114" i="1"/>
  <c r="AF114" i="1"/>
  <c r="A115" i="1"/>
  <c r="B116" i="1"/>
  <c r="AZ115" i="1" l="1"/>
  <c r="AT115" i="1"/>
  <c r="D116" i="1"/>
  <c r="E116" i="1"/>
  <c r="C116" i="1"/>
  <c r="P115" i="1"/>
  <c r="M115" i="1" s="1"/>
  <c r="AA115" i="1"/>
  <c r="AY114" i="1"/>
  <c r="L115" i="1"/>
  <c r="AO114" i="1"/>
  <c r="H115" i="1"/>
  <c r="G116" i="1" a="1"/>
  <c r="G116" i="1" s="1"/>
  <c r="BB116" i="1" a="1"/>
  <c r="BB116" i="1" s="1"/>
  <c r="BD116" i="1" a="1"/>
  <c r="BD116" i="1" s="1"/>
  <c r="BF116" i="1" a="1"/>
  <c r="BF116" i="1" s="1"/>
  <c r="AW116" i="1" a="1"/>
  <c r="AW116" i="1" s="1"/>
  <c r="AS116" i="1" a="1"/>
  <c r="AS116" i="1" s="1"/>
  <c r="AH116" i="1" a="1"/>
  <c r="AH116" i="1" s="1"/>
  <c r="AJ116" i="1" a="1"/>
  <c r="AJ116" i="1" s="1"/>
  <c r="AL116" i="1" a="1"/>
  <c r="AL116" i="1" s="1"/>
  <c r="F116" i="1" a="1"/>
  <c r="F116" i="1" s="1"/>
  <c r="H116" i="1" s="1"/>
  <c r="BA116" i="1" a="1"/>
  <c r="BA116" i="1" s="1"/>
  <c r="BE116" i="1" a="1"/>
  <c r="BE116" i="1" s="1"/>
  <c r="AV116" i="1" a="1"/>
  <c r="AV116" i="1" s="1"/>
  <c r="AI116" i="1" a="1"/>
  <c r="AI116" i="1" s="1"/>
  <c r="AD116" i="1" a="1"/>
  <c r="AD116" i="1" s="1"/>
  <c r="Z116" i="1" a="1"/>
  <c r="Z116" i="1" s="1"/>
  <c r="S116" i="1" a="1"/>
  <c r="S116" i="1" s="1"/>
  <c r="U116" i="1" a="1"/>
  <c r="U116" i="1" s="1"/>
  <c r="W116" i="1" a="1"/>
  <c r="W116" i="1" s="1"/>
  <c r="O116" i="1" a="1"/>
  <c r="O116" i="1" s="1"/>
  <c r="K116" i="1" a="1"/>
  <c r="K116" i="1" s="1"/>
  <c r="J116" i="1" a="1"/>
  <c r="J116" i="1" s="1"/>
  <c r="BC116" i="1" a="1"/>
  <c r="BC116" i="1" s="1"/>
  <c r="AR116" i="1" a="1"/>
  <c r="AR116" i="1" s="1"/>
  <c r="AG116" i="1" a="1"/>
  <c r="AG116" i="1" s="1"/>
  <c r="Y116" i="1" a="1"/>
  <c r="Y116" i="1" s="1"/>
  <c r="R116" i="1" a="1"/>
  <c r="R116" i="1" s="1"/>
  <c r="V116" i="1" a="1"/>
  <c r="V116" i="1" s="1"/>
  <c r="N116" i="1" a="1"/>
  <c r="N116" i="1" s="1"/>
  <c r="AK116" i="1" a="1"/>
  <c r="AK116" i="1" s="1"/>
  <c r="AC116" i="1" a="1"/>
  <c r="AC116" i="1" s="1"/>
  <c r="T116" i="1" a="1"/>
  <c r="T116" i="1" s="1"/>
  <c r="X115" i="1"/>
  <c r="AF115" i="1"/>
  <c r="I115" i="1"/>
  <c r="Q115" i="1" a="1"/>
  <c r="Q115" i="1" s="1"/>
  <c r="AO115" i="1" s="1"/>
  <c r="A116" i="1"/>
  <c r="B117" i="1"/>
  <c r="AZ116" i="1" l="1"/>
  <c r="AY115" i="1"/>
  <c r="D117" i="1"/>
  <c r="E117" i="1"/>
  <c r="C117" i="1"/>
  <c r="AX116" i="1"/>
  <c r="AT116" i="1"/>
  <c r="L116" i="1"/>
  <c r="AE116" i="1"/>
  <c r="AB116" i="1" s="1"/>
  <c r="P116" i="1"/>
  <c r="M116" i="1" s="1"/>
  <c r="AA116" i="1"/>
  <c r="F117" i="1" a="1"/>
  <c r="F117" i="1" s="1"/>
  <c r="BB117" i="1" a="1"/>
  <c r="BB117" i="1" s="1"/>
  <c r="BD117" i="1" a="1"/>
  <c r="BD117" i="1" s="1"/>
  <c r="BF117" i="1" a="1"/>
  <c r="BF117" i="1" s="1"/>
  <c r="AV117" i="1" a="1"/>
  <c r="AV117" i="1" s="1"/>
  <c r="AR117" i="1" a="1"/>
  <c r="AR117" i="1" s="1"/>
  <c r="AH117" i="1" a="1"/>
  <c r="AH117" i="1" s="1"/>
  <c r="AJ117" i="1" a="1"/>
  <c r="AJ117" i="1" s="1"/>
  <c r="AL117" i="1" a="1"/>
  <c r="AL117" i="1" s="1"/>
  <c r="G117" i="1" a="1"/>
  <c r="G117" i="1" s="1"/>
  <c r="BC117" i="1" a="1"/>
  <c r="BC117" i="1" s="1"/>
  <c r="AW117" i="1" a="1"/>
  <c r="AW117" i="1" s="1"/>
  <c r="AG117" i="1" a="1"/>
  <c r="AG117" i="1" s="1"/>
  <c r="AK117" i="1" a="1"/>
  <c r="AK117" i="1" s="1"/>
  <c r="AC117" i="1" a="1"/>
  <c r="AC117" i="1" s="1"/>
  <c r="Y117" i="1" a="1"/>
  <c r="Y117" i="1" s="1"/>
  <c r="S117" i="1" a="1"/>
  <c r="S117" i="1" s="1"/>
  <c r="U117" i="1" a="1"/>
  <c r="U117" i="1" s="1"/>
  <c r="W117" i="1" a="1"/>
  <c r="W117" i="1" s="1"/>
  <c r="N117" i="1" a="1"/>
  <c r="N117" i="1" s="1"/>
  <c r="BA117" i="1" a="1"/>
  <c r="BA117" i="1" s="1"/>
  <c r="BE117" i="1" a="1"/>
  <c r="BE117" i="1" s="1"/>
  <c r="AS117" i="1" a="1"/>
  <c r="AS117" i="1" s="1"/>
  <c r="AI117" i="1" a="1"/>
  <c r="AI117" i="1" s="1"/>
  <c r="Z117" i="1" a="1"/>
  <c r="Z117" i="1" s="1"/>
  <c r="T117" i="1" a="1"/>
  <c r="T117" i="1" s="1"/>
  <c r="O117" i="1" a="1"/>
  <c r="O117" i="1" s="1"/>
  <c r="J117" i="1" a="1"/>
  <c r="J117" i="1" s="1"/>
  <c r="AD117" i="1" a="1"/>
  <c r="AD117" i="1" s="1"/>
  <c r="AE117" i="1" s="1"/>
  <c r="AB117" i="1" s="1"/>
  <c r="R117" i="1" a="1"/>
  <c r="R117" i="1" s="1"/>
  <c r="V117" i="1" a="1"/>
  <c r="V117" i="1" s="1"/>
  <c r="K117" i="1" a="1"/>
  <c r="K117" i="1" s="1"/>
  <c r="Q116" i="1" a="1"/>
  <c r="Q116" i="1" s="1"/>
  <c r="I116" i="1"/>
  <c r="X116" i="1"/>
  <c r="AF116" i="1"/>
  <c r="A117" i="1"/>
  <c r="B118" i="1"/>
  <c r="AZ117" i="1" l="1"/>
  <c r="AX117" i="1"/>
  <c r="AT117" i="1"/>
  <c r="D118" i="1"/>
  <c r="E118" i="1"/>
  <c r="C118" i="1"/>
  <c r="L117" i="1"/>
  <c r="AY116" i="1"/>
  <c r="AO116" i="1"/>
  <c r="P117" i="1"/>
  <c r="M117" i="1" s="1"/>
  <c r="AA117" i="1"/>
  <c r="H117" i="1"/>
  <c r="G118" i="1" a="1"/>
  <c r="G118" i="1" s="1"/>
  <c r="BB118" i="1" a="1"/>
  <c r="BB118" i="1" s="1"/>
  <c r="BD118" i="1" a="1"/>
  <c r="BD118" i="1" s="1"/>
  <c r="BF118" i="1" a="1"/>
  <c r="BF118" i="1" s="1"/>
  <c r="AW118" i="1" a="1"/>
  <c r="AW118" i="1" s="1"/>
  <c r="AS118" i="1" a="1"/>
  <c r="AS118" i="1" s="1"/>
  <c r="AH118" i="1" a="1"/>
  <c r="AH118" i="1" s="1"/>
  <c r="AJ118" i="1" a="1"/>
  <c r="AJ118" i="1" s="1"/>
  <c r="AL118" i="1" a="1"/>
  <c r="AL118" i="1" s="1"/>
  <c r="BA118" i="1" a="1"/>
  <c r="BA118" i="1" s="1"/>
  <c r="BE118" i="1" a="1"/>
  <c r="BE118" i="1" s="1"/>
  <c r="AR118" i="1" a="1"/>
  <c r="AR118" i="1" s="1"/>
  <c r="AI118" i="1" a="1"/>
  <c r="AI118" i="1" s="1"/>
  <c r="AD118" i="1" a="1"/>
  <c r="AD118" i="1" s="1"/>
  <c r="Z118" i="1" a="1"/>
  <c r="Z118" i="1" s="1"/>
  <c r="S118" i="1" a="1"/>
  <c r="S118" i="1" s="1"/>
  <c r="U118" i="1" a="1"/>
  <c r="U118" i="1" s="1"/>
  <c r="W118" i="1" a="1"/>
  <c r="W118" i="1" s="1"/>
  <c r="O118" i="1" a="1"/>
  <c r="O118" i="1" s="1"/>
  <c r="K118" i="1" a="1"/>
  <c r="K118" i="1" s="1"/>
  <c r="J118" i="1" a="1"/>
  <c r="J118" i="1" s="1"/>
  <c r="F118" i="1" a="1"/>
  <c r="F118" i="1" s="1"/>
  <c r="BC118" i="1" a="1"/>
  <c r="BC118" i="1" s="1"/>
  <c r="AV118" i="1" a="1"/>
  <c r="AV118" i="1" s="1"/>
  <c r="AK118" i="1" a="1"/>
  <c r="AK118" i="1" s="1"/>
  <c r="AC118" i="1" a="1"/>
  <c r="AC118" i="1" s="1"/>
  <c r="R118" i="1" a="1"/>
  <c r="R118" i="1" s="1"/>
  <c r="V118" i="1" a="1"/>
  <c r="V118" i="1" s="1"/>
  <c r="AG118" i="1" a="1"/>
  <c r="AG118" i="1" s="1"/>
  <c r="Y118" i="1" a="1"/>
  <c r="Y118" i="1" s="1"/>
  <c r="T118" i="1" a="1"/>
  <c r="T118" i="1" s="1"/>
  <c r="N118" i="1" a="1"/>
  <c r="N118" i="1" s="1"/>
  <c r="I117" i="1"/>
  <c r="Q117" i="1" a="1"/>
  <c r="Q117" i="1" s="1"/>
  <c r="X117" i="1"/>
  <c r="A118" i="1"/>
  <c r="B119" i="1"/>
  <c r="AZ118" i="1" l="1"/>
  <c r="AY117" i="1"/>
  <c r="AF117" i="1"/>
  <c r="AO117" i="1" s="1"/>
  <c r="D119" i="1"/>
  <c r="E119" i="1"/>
  <c r="C119" i="1"/>
  <c r="AZ119" i="1" s="1"/>
  <c r="H118" i="1"/>
  <c r="AX118" i="1"/>
  <c r="AT118" i="1"/>
  <c r="P118" i="1"/>
  <c r="M118" i="1" s="1"/>
  <c r="AA118" i="1"/>
  <c r="L118" i="1"/>
  <c r="AE118" i="1"/>
  <c r="AB118" i="1" s="1"/>
  <c r="F119" i="1" a="1"/>
  <c r="F119" i="1" s="1"/>
  <c r="BB119" i="1" a="1"/>
  <c r="BB119" i="1" s="1"/>
  <c r="BD119" i="1" a="1"/>
  <c r="BD119" i="1" s="1"/>
  <c r="BF119" i="1" a="1"/>
  <c r="BF119" i="1" s="1"/>
  <c r="AV119" i="1" a="1"/>
  <c r="AV119" i="1" s="1"/>
  <c r="AR119" i="1" a="1"/>
  <c r="AR119" i="1" s="1"/>
  <c r="AH119" i="1" a="1"/>
  <c r="AH119" i="1" s="1"/>
  <c r="AJ119" i="1" a="1"/>
  <c r="AJ119" i="1" s="1"/>
  <c r="AL119" i="1" a="1"/>
  <c r="AL119" i="1" s="1"/>
  <c r="BC119" i="1" a="1"/>
  <c r="BC119" i="1" s="1"/>
  <c r="AS119" i="1" a="1"/>
  <c r="AS119" i="1" s="1"/>
  <c r="AG119" i="1" a="1"/>
  <c r="AG119" i="1" s="1"/>
  <c r="AK119" i="1" a="1"/>
  <c r="AK119" i="1" s="1"/>
  <c r="AC119" i="1" a="1"/>
  <c r="AC119" i="1" s="1"/>
  <c r="Y119" i="1" a="1"/>
  <c r="Y119" i="1" s="1"/>
  <c r="S119" i="1" a="1"/>
  <c r="S119" i="1" s="1"/>
  <c r="U119" i="1" a="1"/>
  <c r="U119" i="1" s="1"/>
  <c r="W119" i="1" a="1"/>
  <c r="W119" i="1" s="1"/>
  <c r="N119" i="1" a="1"/>
  <c r="N119" i="1" s="1"/>
  <c r="G119" i="1" a="1"/>
  <c r="G119" i="1" s="1"/>
  <c r="BA119" i="1" a="1"/>
  <c r="BA119" i="1" s="1"/>
  <c r="BE119" i="1" a="1"/>
  <c r="BE119" i="1" s="1"/>
  <c r="AW119" i="1" a="1"/>
  <c r="AW119" i="1" s="1"/>
  <c r="AX119" i="1" s="1"/>
  <c r="AD119" i="1" a="1"/>
  <c r="AD119" i="1" s="1"/>
  <c r="T119" i="1" a="1"/>
  <c r="T119" i="1" s="1"/>
  <c r="K119" i="1" a="1"/>
  <c r="K119" i="1" s="1"/>
  <c r="AI119" i="1" a="1"/>
  <c r="AI119" i="1" s="1"/>
  <c r="Z119" i="1" a="1"/>
  <c r="Z119" i="1" s="1"/>
  <c r="R119" i="1" a="1"/>
  <c r="R119" i="1" s="1"/>
  <c r="V119" i="1" a="1"/>
  <c r="V119" i="1" s="1"/>
  <c r="O119" i="1" a="1"/>
  <c r="O119" i="1" s="1"/>
  <c r="P119" i="1" s="1"/>
  <c r="M119" i="1" s="1"/>
  <c r="J119" i="1" a="1"/>
  <c r="J119" i="1" s="1"/>
  <c r="Q118" i="1" a="1"/>
  <c r="Q118" i="1" s="1"/>
  <c r="I118" i="1"/>
  <c r="X118" i="1"/>
  <c r="AF118" i="1"/>
  <c r="A119" i="1"/>
  <c r="B120" i="1"/>
  <c r="AT119" i="1" l="1"/>
  <c r="D120" i="1"/>
  <c r="E120" i="1"/>
  <c r="C120" i="1"/>
  <c r="AZ120" i="1" s="1"/>
  <c r="AE119" i="1"/>
  <c r="AB119" i="1" s="1"/>
  <c r="AY118" i="1"/>
  <c r="AO118" i="1"/>
  <c r="AA119" i="1"/>
  <c r="H119" i="1"/>
  <c r="AY119" i="1" s="1"/>
  <c r="L119" i="1"/>
  <c r="G120" i="1" a="1"/>
  <c r="G120" i="1" s="1"/>
  <c r="BB120" i="1" a="1"/>
  <c r="BB120" i="1" s="1"/>
  <c r="BD120" i="1" a="1"/>
  <c r="BD120" i="1" s="1"/>
  <c r="BF120" i="1" a="1"/>
  <c r="BF120" i="1" s="1"/>
  <c r="AW120" i="1" a="1"/>
  <c r="AW120" i="1" s="1"/>
  <c r="AS120" i="1" a="1"/>
  <c r="AS120" i="1" s="1"/>
  <c r="AH120" i="1" a="1"/>
  <c r="AH120" i="1" s="1"/>
  <c r="AJ120" i="1" a="1"/>
  <c r="AJ120" i="1" s="1"/>
  <c r="AL120" i="1" a="1"/>
  <c r="AL120" i="1" s="1"/>
  <c r="F120" i="1" a="1"/>
  <c r="F120" i="1" s="1"/>
  <c r="H120" i="1" s="1"/>
  <c r="BA120" i="1" a="1"/>
  <c r="BA120" i="1" s="1"/>
  <c r="BE120" i="1" a="1"/>
  <c r="BE120" i="1" s="1"/>
  <c r="AV120" i="1" a="1"/>
  <c r="AV120" i="1" s="1"/>
  <c r="AI120" i="1" a="1"/>
  <c r="AI120" i="1" s="1"/>
  <c r="AD120" i="1" a="1"/>
  <c r="AD120" i="1" s="1"/>
  <c r="Z120" i="1" a="1"/>
  <c r="Z120" i="1" s="1"/>
  <c r="S120" i="1" a="1"/>
  <c r="S120" i="1" s="1"/>
  <c r="U120" i="1" a="1"/>
  <c r="U120" i="1" s="1"/>
  <c r="W120" i="1" a="1"/>
  <c r="W120" i="1" s="1"/>
  <c r="O120" i="1" a="1"/>
  <c r="O120" i="1" s="1"/>
  <c r="K120" i="1" a="1"/>
  <c r="K120" i="1" s="1"/>
  <c r="J120" i="1" a="1"/>
  <c r="J120" i="1" s="1"/>
  <c r="BC120" i="1" a="1"/>
  <c r="BC120" i="1" s="1"/>
  <c r="AG120" i="1" a="1"/>
  <c r="AG120" i="1" s="1"/>
  <c r="Y120" i="1" a="1"/>
  <c r="Y120" i="1" s="1"/>
  <c r="R120" i="1" a="1"/>
  <c r="R120" i="1" s="1"/>
  <c r="V120" i="1" a="1"/>
  <c r="V120" i="1" s="1"/>
  <c r="N120" i="1" a="1"/>
  <c r="N120" i="1" s="1"/>
  <c r="AR120" i="1" a="1"/>
  <c r="AR120" i="1" s="1"/>
  <c r="AK120" i="1" a="1"/>
  <c r="AK120" i="1" s="1"/>
  <c r="AC120" i="1" a="1"/>
  <c r="AC120" i="1" s="1"/>
  <c r="T120" i="1" a="1"/>
  <c r="T120" i="1" s="1"/>
  <c r="X119" i="1"/>
  <c r="AF119" i="1"/>
  <c r="I119" i="1"/>
  <c r="Q119" i="1" a="1"/>
  <c r="Q119" i="1" s="1"/>
  <c r="AO119" i="1" s="1"/>
  <c r="A120" i="1"/>
  <c r="B121" i="1"/>
  <c r="D121" i="1" l="1"/>
  <c r="E121" i="1"/>
  <c r="C121" i="1"/>
  <c r="AX120" i="1"/>
  <c r="AT120" i="1"/>
  <c r="P120" i="1"/>
  <c r="M120" i="1" s="1"/>
  <c r="AA120" i="1"/>
  <c r="L120" i="1"/>
  <c r="AE120" i="1"/>
  <c r="AB120" i="1" s="1"/>
  <c r="F121" i="1" a="1"/>
  <c r="F121" i="1" s="1"/>
  <c r="BB121" i="1" a="1"/>
  <c r="BB121" i="1" s="1"/>
  <c r="BD121" i="1" a="1"/>
  <c r="BD121" i="1" s="1"/>
  <c r="BF121" i="1" a="1"/>
  <c r="BF121" i="1" s="1"/>
  <c r="AV121" i="1" a="1"/>
  <c r="AV121" i="1" s="1"/>
  <c r="AR121" i="1" a="1"/>
  <c r="AR121" i="1" s="1"/>
  <c r="AH121" i="1" a="1"/>
  <c r="AH121" i="1" s="1"/>
  <c r="AJ121" i="1" a="1"/>
  <c r="AJ121" i="1" s="1"/>
  <c r="AL121" i="1" a="1"/>
  <c r="AL121" i="1" s="1"/>
  <c r="G121" i="1" a="1"/>
  <c r="G121" i="1" s="1"/>
  <c r="BC121" i="1" a="1"/>
  <c r="BC121" i="1" s="1"/>
  <c r="AW121" i="1" a="1"/>
  <c r="AW121" i="1" s="1"/>
  <c r="AG121" i="1" a="1"/>
  <c r="AG121" i="1" s="1"/>
  <c r="AK121" i="1" a="1"/>
  <c r="AK121" i="1" s="1"/>
  <c r="AC121" i="1" a="1"/>
  <c r="AC121" i="1" s="1"/>
  <c r="Y121" i="1" a="1"/>
  <c r="Y121" i="1" s="1"/>
  <c r="S121" i="1" a="1"/>
  <c r="S121" i="1" s="1"/>
  <c r="U121" i="1" a="1"/>
  <c r="U121" i="1" s="1"/>
  <c r="W121" i="1" a="1"/>
  <c r="W121" i="1" s="1"/>
  <c r="N121" i="1" a="1"/>
  <c r="N121" i="1" s="1"/>
  <c r="BA121" i="1" a="1"/>
  <c r="BA121" i="1" s="1"/>
  <c r="BE121" i="1" a="1"/>
  <c r="BE121" i="1" s="1"/>
  <c r="AS121" i="1" a="1"/>
  <c r="AS121" i="1" s="1"/>
  <c r="AT121" i="1" s="1"/>
  <c r="AI121" i="1" a="1"/>
  <c r="AI121" i="1" s="1"/>
  <c r="Z121" i="1" a="1"/>
  <c r="Z121" i="1" s="1"/>
  <c r="T121" i="1" a="1"/>
  <c r="T121" i="1" s="1"/>
  <c r="O121" i="1" a="1"/>
  <c r="O121" i="1" s="1"/>
  <c r="J121" i="1" a="1"/>
  <c r="J121" i="1" s="1"/>
  <c r="AD121" i="1" a="1"/>
  <c r="AD121" i="1" s="1"/>
  <c r="AE121" i="1" s="1"/>
  <c r="AB121" i="1" s="1"/>
  <c r="R121" i="1" a="1"/>
  <c r="R121" i="1" s="1"/>
  <c r="V121" i="1" a="1"/>
  <c r="V121" i="1" s="1"/>
  <c r="K121" i="1" a="1"/>
  <c r="K121" i="1" s="1"/>
  <c r="Q120" i="1" a="1"/>
  <c r="Q120" i="1" s="1"/>
  <c r="I120" i="1"/>
  <c r="X120" i="1"/>
  <c r="AF120" i="1"/>
  <c r="A121" i="1"/>
  <c r="B122" i="1"/>
  <c r="AZ121" i="1" l="1"/>
  <c r="D122" i="1"/>
  <c r="E122" i="1"/>
  <c r="C122" i="1"/>
  <c r="AZ122" i="1" s="1"/>
  <c r="L121" i="1"/>
  <c r="AX121" i="1"/>
  <c r="AY120" i="1"/>
  <c r="P121" i="1"/>
  <c r="M121" i="1" s="1"/>
  <c r="AA121" i="1"/>
  <c r="AO120" i="1"/>
  <c r="H121" i="1"/>
  <c r="G122" i="1" a="1"/>
  <c r="G122" i="1" s="1"/>
  <c r="BB122" i="1" a="1"/>
  <c r="BB122" i="1" s="1"/>
  <c r="BD122" i="1" a="1"/>
  <c r="BD122" i="1" s="1"/>
  <c r="BF122" i="1" a="1"/>
  <c r="BF122" i="1" s="1"/>
  <c r="AW122" i="1" a="1"/>
  <c r="AW122" i="1" s="1"/>
  <c r="AS122" i="1" a="1"/>
  <c r="AS122" i="1" s="1"/>
  <c r="AH122" i="1" a="1"/>
  <c r="AH122" i="1" s="1"/>
  <c r="AJ122" i="1" a="1"/>
  <c r="AJ122" i="1" s="1"/>
  <c r="AL122" i="1" a="1"/>
  <c r="AL122" i="1" s="1"/>
  <c r="BA122" i="1" a="1"/>
  <c r="BA122" i="1" s="1"/>
  <c r="BE122" i="1" a="1"/>
  <c r="BE122" i="1" s="1"/>
  <c r="AR122" i="1" a="1"/>
  <c r="AR122" i="1" s="1"/>
  <c r="AI122" i="1" a="1"/>
  <c r="AI122" i="1" s="1"/>
  <c r="AD122" i="1" a="1"/>
  <c r="AD122" i="1" s="1"/>
  <c r="Z122" i="1" a="1"/>
  <c r="Z122" i="1" s="1"/>
  <c r="S122" i="1" a="1"/>
  <c r="S122" i="1" s="1"/>
  <c r="U122" i="1" a="1"/>
  <c r="U122" i="1" s="1"/>
  <c r="W122" i="1" a="1"/>
  <c r="W122" i="1" s="1"/>
  <c r="O122" i="1" a="1"/>
  <c r="O122" i="1" s="1"/>
  <c r="K122" i="1" a="1"/>
  <c r="K122" i="1" s="1"/>
  <c r="J122" i="1" a="1"/>
  <c r="J122" i="1" s="1"/>
  <c r="F122" i="1" a="1"/>
  <c r="F122" i="1" s="1"/>
  <c r="H122" i="1" s="1"/>
  <c r="BC122" i="1" a="1"/>
  <c r="BC122" i="1" s="1"/>
  <c r="AV122" i="1" a="1"/>
  <c r="AV122" i="1" s="1"/>
  <c r="AK122" i="1" a="1"/>
  <c r="AK122" i="1" s="1"/>
  <c r="AC122" i="1" a="1"/>
  <c r="AC122" i="1" s="1"/>
  <c r="R122" i="1" a="1"/>
  <c r="R122" i="1" s="1"/>
  <c r="V122" i="1" a="1"/>
  <c r="V122" i="1" s="1"/>
  <c r="AG122" i="1" a="1"/>
  <c r="AG122" i="1" s="1"/>
  <c r="Y122" i="1" a="1"/>
  <c r="Y122" i="1" s="1"/>
  <c r="T122" i="1" a="1"/>
  <c r="T122" i="1" s="1"/>
  <c r="N122" i="1" a="1"/>
  <c r="N122" i="1" s="1"/>
  <c r="I121" i="1"/>
  <c r="Q121" i="1" a="1"/>
  <c r="Q121" i="1" s="1"/>
  <c r="X121" i="1"/>
  <c r="AF121" i="1"/>
  <c r="A122" i="1"/>
  <c r="B123" i="1"/>
  <c r="AY121" i="1" l="1"/>
  <c r="D123" i="1"/>
  <c r="E123" i="1"/>
  <c r="C123" i="1"/>
  <c r="AX122" i="1"/>
  <c r="AT122" i="1"/>
  <c r="L122" i="1"/>
  <c r="AE122" i="1"/>
  <c r="AB122" i="1" s="1"/>
  <c r="AO121" i="1"/>
  <c r="P122" i="1"/>
  <c r="M122" i="1" s="1"/>
  <c r="AA122" i="1"/>
  <c r="F123" i="1" a="1"/>
  <c r="F123" i="1" s="1"/>
  <c r="BB123" i="1" a="1"/>
  <c r="BB123" i="1" s="1"/>
  <c r="BD123" i="1" a="1"/>
  <c r="BD123" i="1" s="1"/>
  <c r="BF123" i="1" a="1"/>
  <c r="BF123" i="1" s="1"/>
  <c r="AV123" i="1" a="1"/>
  <c r="AV123" i="1" s="1"/>
  <c r="AR123" i="1" a="1"/>
  <c r="AR123" i="1" s="1"/>
  <c r="AH123" i="1" a="1"/>
  <c r="AH123" i="1" s="1"/>
  <c r="AJ123" i="1" a="1"/>
  <c r="AJ123" i="1" s="1"/>
  <c r="AL123" i="1" a="1"/>
  <c r="AL123" i="1" s="1"/>
  <c r="BC123" i="1" a="1"/>
  <c r="BC123" i="1" s="1"/>
  <c r="AS123" i="1" a="1"/>
  <c r="AS123" i="1" s="1"/>
  <c r="AG123" i="1" a="1"/>
  <c r="AG123" i="1" s="1"/>
  <c r="AK123" i="1" a="1"/>
  <c r="AK123" i="1" s="1"/>
  <c r="AC123" i="1" a="1"/>
  <c r="AC123" i="1" s="1"/>
  <c r="Y123" i="1" a="1"/>
  <c r="Y123" i="1" s="1"/>
  <c r="S123" i="1" a="1"/>
  <c r="S123" i="1" s="1"/>
  <c r="U123" i="1" a="1"/>
  <c r="U123" i="1" s="1"/>
  <c r="W123" i="1" a="1"/>
  <c r="W123" i="1" s="1"/>
  <c r="N123" i="1" a="1"/>
  <c r="N123" i="1" s="1"/>
  <c r="G123" i="1" a="1"/>
  <c r="G123" i="1" s="1"/>
  <c r="BA123" i="1" a="1"/>
  <c r="BA123" i="1" s="1"/>
  <c r="BE123" i="1" a="1"/>
  <c r="BE123" i="1" s="1"/>
  <c r="AW123" i="1" a="1"/>
  <c r="AW123" i="1" s="1"/>
  <c r="AX123" i="1" s="1"/>
  <c r="AD123" i="1" a="1"/>
  <c r="AD123" i="1" s="1"/>
  <c r="T123" i="1" a="1"/>
  <c r="T123" i="1" s="1"/>
  <c r="K123" i="1" a="1"/>
  <c r="K123" i="1" s="1"/>
  <c r="AI123" i="1" a="1"/>
  <c r="AI123" i="1" s="1"/>
  <c r="Z123" i="1" a="1"/>
  <c r="Z123" i="1" s="1"/>
  <c r="R123" i="1" a="1"/>
  <c r="R123" i="1" s="1"/>
  <c r="V123" i="1" a="1"/>
  <c r="V123" i="1" s="1"/>
  <c r="O123" i="1" a="1"/>
  <c r="O123" i="1" s="1"/>
  <c r="P123" i="1" s="1"/>
  <c r="M123" i="1" s="1"/>
  <c r="J123" i="1" a="1"/>
  <c r="J123" i="1" s="1"/>
  <c r="Q122" i="1" a="1"/>
  <c r="Q122" i="1" s="1"/>
  <c r="I122" i="1"/>
  <c r="X122" i="1"/>
  <c r="AF122" i="1"/>
  <c r="A123" i="1"/>
  <c r="B124" i="1"/>
  <c r="AZ123" i="1" l="1"/>
  <c r="AT123" i="1"/>
  <c r="AY122" i="1"/>
  <c r="AE123" i="1"/>
  <c r="AB123" i="1" s="1"/>
  <c r="D124" i="1"/>
  <c r="E124" i="1"/>
  <c r="C124" i="1"/>
  <c r="AA123" i="1"/>
  <c r="AO122" i="1"/>
  <c r="L123" i="1"/>
  <c r="H123" i="1"/>
  <c r="G124" i="1" a="1"/>
  <c r="G124" i="1" s="1"/>
  <c r="BB124" i="1" a="1"/>
  <c r="BB124" i="1" s="1"/>
  <c r="BD124" i="1" a="1"/>
  <c r="BD124" i="1" s="1"/>
  <c r="BF124" i="1" a="1"/>
  <c r="BF124" i="1" s="1"/>
  <c r="AW124" i="1" a="1"/>
  <c r="AW124" i="1" s="1"/>
  <c r="AS124" i="1" a="1"/>
  <c r="AS124" i="1" s="1"/>
  <c r="AH124" i="1" a="1"/>
  <c r="AH124" i="1" s="1"/>
  <c r="AJ124" i="1" a="1"/>
  <c r="AJ124" i="1" s="1"/>
  <c r="AL124" i="1" a="1"/>
  <c r="AL124" i="1" s="1"/>
  <c r="F124" i="1" a="1"/>
  <c r="F124" i="1" s="1"/>
  <c r="BA124" i="1" a="1"/>
  <c r="BA124" i="1" s="1"/>
  <c r="BE124" i="1" a="1"/>
  <c r="BE124" i="1" s="1"/>
  <c r="AV124" i="1" a="1"/>
  <c r="AV124" i="1" s="1"/>
  <c r="AI124" i="1" a="1"/>
  <c r="AI124" i="1" s="1"/>
  <c r="AD124" i="1" a="1"/>
  <c r="AD124" i="1" s="1"/>
  <c r="Z124" i="1" a="1"/>
  <c r="Z124" i="1" s="1"/>
  <c r="S124" i="1" a="1"/>
  <c r="S124" i="1" s="1"/>
  <c r="U124" i="1" a="1"/>
  <c r="U124" i="1" s="1"/>
  <c r="W124" i="1" a="1"/>
  <c r="W124" i="1" s="1"/>
  <c r="O124" i="1" a="1"/>
  <c r="O124" i="1" s="1"/>
  <c r="K124" i="1" a="1"/>
  <c r="K124" i="1" s="1"/>
  <c r="J124" i="1" a="1"/>
  <c r="J124" i="1" s="1"/>
  <c r="BC124" i="1" a="1"/>
  <c r="BC124" i="1" s="1"/>
  <c r="AR124" i="1" a="1"/>
  <c r="AR124" i="1" s="1"/>
  <c r="AG124" i="1" a="1"/>
  <c r="AG124" i="1" s="1"/>
  <c r="Y124" i="1" a="1"/>
  <c r="Y124" i="1" s="1"/>
  <c r="R124" i="1" a="1"/>
  <c r="R124" i="1" s="1"/>
  <c r="V124" i="1" a="1"/>
  <c r="V124" i="1" s="1"/>
  <c r="N124" i="1" a="1"/>
  <c r="N124" i="1" s="1"/>
  <c r="AK124" i="1" a="1"/>
  <c r="AK124" i="1" s="1"/>
  <c r="AC124" i="1" a="1"/>
  <c r="AC124" i="1" s="1"/>
  <c r="T124" i="1" a="1"/>
  <c r="T124" i="1" s="1"/>
  <c r="X123" i="1"/>
  <c r="AF123" i="1"/>
  <c r="I123" i="1"/>
  <c r="Q123" i="1" a="1"/>
  <c r="Q123" i="1" s="1"/>
  <c r="AO123" i="1" s="1"/>
  <c r="A124" i="1"/>
  <c r="B125" i="1"/>
  <c r="AZ124" i="1" l="1"/>
  <c r="AY123" i="1"/>
  <c r="D125" i="1"/>
  <c r="E125" i="1"/>
  <c r="C125" i="1"/>
  <c r="AZ125" i="1" s="1"/>
  <c r="L124" i="1"/>
  <c r="H124" i="1"/>
  <c r="AT124" i="1"/>
  <c r="AX124" i="1"/>
  <c r="P124" i="1"/>
  <c r="M124" i="1" s="1"/>
  <c r="AA124" i="1"/>
  <c r="AE124" i="1"/>
  <c r="AB124" i="1" s="1"/>
  <c r="F125" i="1" a="1"/>
  <c r="F125" i="1" s="1"/>
  <c r="BB125" i="1" a="1"/>
  <c r="BB125" i="1" s="1"/>
  <c r="BD125" i="1" a="1"/>
  <c r="BD125" i="1" s="1"/>
  <c r="BF125" i="1" a="1"/>
  <c r="BF125" i="1" s="1"/>
  <c r="AV125" i="1" a="1"/>
  <c r="AV125" i="1" s="1"/>
  <c r="AR125" i="1" a="1"/>
  <c r="AR125" i="1" s="1"/>
  <c r="AH125" i="1" a="1"/>
  <c r="AH125" i="1" s="1"/>
  <c r="AJ125" i="1" a="1"/>
  <c r="AJ125" i="1" s="1"/>
  <c r="AL125" i="1" a="1"/>
  <c r="AL125" i="1" s="1"/>
  <c r="G125" i="1" a="1"/>
  <c r="G125" i="1" s="1"/>
  <c r="BC125" i="1" a="1"/>
  <c r="BC125" i="1" s="1"/>
  <c r="AW125" i="1" a="1"/>
  <c r="AW125" i="1" s="1"/>
  <c r="AG125" i="1" a="1"/>
  <c r="AG125" i="1" s="1"/>
  <c r="AK125" i="1" a="1"/>
  <c r="AK125" i="1" s="1"/>
  <c r="AC125" i="1" a="1"/>
  <c r="AC125" i="1" s="1"/>
  <c r="Y125" i="1" a="1"/>
  <c r="Y125" i="1" s="1"/>
  <c r="S125" i="1" a="1"/>
  <c r="S125" i="1" s="1"/>
  <c r="U125" i="1" a="1"/>
  <c r="U125" i="1" s="1"/>
  <c r="W125" i="1" a="1"/>
  <c r="W125" i="1" s="1"/>
  <c r="N125" i="1" a="1"/>
  <c r="N125" i="1" s="1"/>
  <c r="BA125" i="1" a="1"/>
  <c r="BA125" i="1" s="1"/>
  <c r="BE125" i="1" a="1"/>
  <c r="BE125" i="1" s="1"/>
  <c r="AS125" i="1" a="1"/>
  <c r="AS125" i="1" s="1"/>
  <c r="AI125" i="1" a="1"/>
  <c r="AI125" i="1" s="1"/>
  <c r="Z125" i="1" a="1"/>
  <c r="Z125" i="1" s="1"/>
  <c r="T125" i="1" a="1"/>
  <c r="T125" i="1" s="1"/>
  <c r="O125" i="1" a="1"/>
  <c r="O125" i="1" s="1"/>
  <c r="J125" i="1" a="1"/>
  <c r="J125" i="1" s="1"/>
  <c r="AD125" i="1" a="1"/>
  <c r="AD125" i="1" s="1"/>
  <c r="AE125" i="1" s="1"/>
  <c r="AB125" i="1" s="1"/>
  <c r="R125" i="1" a="1"/>
  <c r="R125" i="1" s="1"/>
  <c r="V125" i="1" a="1"/>
  <c r="V125" i="1" s="1"/>
  <c r="K125" i="1" a="1"/>
  <c r="K125" i="1" s="1"/>
  <c r="Q124" i="1" a="1"/>
  <c r="Q124" i="1" s="1"/>
  <c r="I124" i="1"/>
  <c r="X124" i="1"/>
  <c r="A125" i="1"/>
  <c r="B126" i="1"/>
  <c r="D126" i="1" l="1"/>
  <c r="E126" i="1"/>
  <c r="C126" i="1"/>
  <c r="P125" i="1"/>
  <c r="M125" i="1" s="1"/>
  <c r="AA125" i="1"/>
  <c r="AT125" i="1"/>
  <c r="L125" i="1"/>
  <c r="AY124" i="1"/>
  <c r="AX125" i="1"/>
  <c r="H125" i="1"/>
  <c r="AF124" i="1"/>
  <c r="AO124" i="1" s="1"/>
  <c r="G126" i="1" a="1"/>
  <c r="G126" i="1" s="1"/>
  <c r="BB126" i="1" a="1"/>
  <c r="BB126" i="1" s="1"/>
  <c r="BD126" i="1" a="1"/>
  <c r="BD126" i="1" s="1"/>
  <c r="BF126" i="1" a="1"/>
  <c r="BF126" i="1" s="1"/>
  <c r="AW126" i="1" a="1"/>
  <c r="AW126" i="1" s="1"/>
  <c r="AS126" i="1" a="1"/>
  <c r="AS126" i="1" s="1"/>
  <c r="AH126" i="1" a="1"/>
  <c r="AH126" i="1" s="1"/>
  <c r="AJ126" i="1" a="1"/>
  <c r="AJ126" i="1" s="1"/>
  <c r="AL126" i="1" a="1"/>
  <c r="AL126" i="1" s="1"/>
  <c r="BA126" i="1" a="1"/>
  <c r="BA126" i="1" s="1"/>
  <c r="BE126" i="1" a="1"/>
  <c r="BE126" i="1" s="1"/>
  <c r="AR126" i="1" a="1"/>
  <c r="AR126" i="1" s="1"/>
  <c r="AI126" i="1" a="1"/>
  <c r="AI126" i="1" s="1"/>
  <c r="AD126" i="1" a="1"/>
  <c r="AD126" i="1" s="1"/>
  <c r="Z126" i="1" a="1"/>
  <c r="Z126" i="1" s="1"/>
  <c r="S126" i="1" a="1"/>
  <c r="S126" i="1" s="1"/>
  <c r="U126" i="1" a="1"/>
  <c r="U126" i="1" s="1"/>
  <c r="W126" i="1" a="1"/>
  <c r="W126" i="1" s="1"/>
  <c r="O126" i="1" a="1"/>
  <c r="O126" i="1" s="1"/>
  <c r="K126" i="1" a="1"/>
  <c r="K126" i="1" s="1"/>
  <c r="J126" i="1" a="1"/>
  <c r="J126" i="1" s="1"/>
  <c r="F126" i="1" a="1"/>
  <c r="F126" i="1" s="1"/>
  <c r="H126" i="1" s="1"/>
  <c r="BC126" i="1" a="1"/>
  <c r="BC126" i="1" s="1"/>
  <c r="AV126" i="1" a="1"/>
  <c r="AV126" i="1" s="1"/>
  <c r="AK126" i="1" a="1"/>
  <c r="AK126" i="1" s="1"/>
  <c r="AC126" i="1" a="1"/>
  <c r="AC126" i="1" s="1"/>
  <c r="R126" i="1" a="1"/>
  <c r="R126" i="1" s="1"/>
  <c r="V126" i="1" a="1"/>
  <c r="V126" i="1" s="1"/>
  <c r="AG126" i="1" a="1"/>
  <c r="AG126" i="1" s="1"/>
  <c r="Y126" i="1" a="1"/>
  <c r="Y126" i="1" s="1"/>
  <c r="T126" i="1" a="1"/>
  <c r="T126" i="1" s="1"/>
  <c r="N126" i="1" a="1"/>
  <c r="N126" i="1" s="1"/>
  <c r="I125" i="1"/>
  <c r="Q125" i="1" a="1"/>
  <c r="Q125" i="1" s="1"/>
  <c r="X125" i="1"/>
  <c r="AF125" i="1"/>
  <c r="A126" i="1"/>
  <c r="B127" i="1"/>
  <c r="AZ126" i="1" l="1"/>
  <c r="AY125" i="1"/>
  <c r="D127" i="1"/>
  <c r="E127" i="1"/>
  <c r="C127" i="1"/>
  <c r="AZ127" i="1" s="1"/>
  <c r="AT126" i="1"/>
  <c r="AX126" i="1"/>
  <c r="P126" i="1"/>
  <c r="M126" i="1" s="1"/>
  <c r="AA126" i="1"/>
  <c r="AO125" i="1"/>
  <c r="L126" i="1"/>
  <c r="I126" i="1" s="1"/>
  <c r="AE126" i="1"/>
  <c r="AB126" i="1" s="1"/>
  <c r="F127" i="1" a="1"/>
  <c r="F127" i="1" s="1"/>
  <c r="BB127" i="1" a="1"/>
  <c r="BB127" i="1" s="1"/>
  <c r="BD127" i="1" a="1"/>
  <c r="BD127" i="1" s="1"/>
  <c r="BF127" i="1" a="1"/>
  <c r="BF127" i="1" s="1"/>
  <c r="AV127" i="1" a="1"/>
  <c r="AV127" i="1" s="1"/>
  <c r="AR127" i="1" a="1"/>
  <c r="AR127" i="1" s="1"/>
  <c r="AH127" i="1" a="1"/>
  <c r="AH127" i="1" s="1"/>
  <c r="AJ127" i="1" a="1"/>
  <c r="AJ127" i="1" s="1"/>
  <c r="AL127" i="1" a="1"/>
  <c r="AL127" i="1" s="1"/>
  <c r="BC127" i="1" a="1"/>
  <c r="BC127" i="1" s="1"/>
  <c r="AS127" i="1" a="1"/>
  <c r="AS127" i="1" s="1"/>
  <c r="AG127" i="1" a="1"/>
  <c r="AG127" i="1" s="1"/>
  <c r="AK127" i="1" a="1"/>
  <c r="AK127" i="1" s="1"/>
  <c r="AC127" i="1" a="1"/>
  <c r="AC127" i="1" s="1"/>
  <c r="Y127" i="1" a="1"/>
  <c r="Y127" i="1" s="1"/>
  <c r="S127" i="1" a="1"/>
  <c r="S127" i="1" s="1"/>
  <c r="U127" i="1" a="1"/>
  <c r="U127" i="1" s="1"/>
  <c r="W127" i="1" a="1"/>
  <c r="W127" i="1" s="1"/>
  <c r="N127" i="1" a="1"/>
  <c r="N127" i="1" s="1"/>
  <c r="G127" i="1" a="1"/>
  <c r="G127" i="1" s="1"/>
  <c r="BA127" i="1" a="1"/>
  <c r="BA127" i="1" s="1"/>
  <c r="BE127" i="1" a="1"/>
  <c r="BE127" i="1" s="1"/>
  <c r="AW127" i="1" a="1"/>
  <c r="AW127" i="1" s="1"/>
  <c r="AX127" i="1" s="1"/>
  <c r="AD127" i="1" a="1"/>
  <c r="AD127" i="1" s="1"/>
  <c r="AE127" i="1" s="1"/>
  <c r="AB127" i="1" s="1"/>
  <c r="T127" i="1" a="1"/>
  <c r="T127" i="1" s="1"/>
  <c r="K127" i="1" a="1"/>
  <c r="K127" i="1" s="1"/>
  <c r="AI127" i="1" a="1"/>
  <c r="AI127" i="1" s="1"/>
  <c r="Z127" i="1" a="1"/>
  <c r="Z127" i="1" s="1"/>
  <c r="R127" i="1" a="1"/>
  <c r="R127" i="1" s="1"/>
  <c r="V127" i="1" a="1"/>
  <c r="V127" i="1" s="1"/>
  <c r="O127" i="1" a="1"/>
  <c r="O127" i="1" s="1"/>
  <c r="P127" i="1" s="1"/>
  <c r="M127" i="1" s="1"/>
  <c r="J127" i="1" a="1"/>
  <c r="J127" i="1" s="1"/>
  <c r="Q126" i="1" a="1"/>
  <c r="Q126" i="1" s="1"/>
  <c r="X126" i="1"/>
  <c r="A127" i="1"/>
  <c r="B128" i="1"/>
  <c r="AF126" i="1" l="1"/>
  <c r="AT127" i="1"/>
  <c r="D128" i="1"/>
  <c r="E128" i="1"/>
  <c r="C128" i="1"/>
  <c r="AZ128" i="1" s="1"/>
  <c r="AA127" i="1"/>
  <c r="AY126" i="1"/>
  <c r="L127" i="1"/>
  <c r="AO126" i="1"/>
  <c r="H127" i="1"/>
  <c r="AY127" i="1" s="1"/>
  <c r="G128" i="1" a="1"/>
  <c r="G128" i="1" s="1"/>
  <c r="BB128" i="1" a="1"/>
  <c r="BB128" i="1" s="1"/>
  <c r="BD128" i="1" a="1"/>
  <c r="BD128" i="1" s="1"/>
  <c r="BF128" i="1" a="1"/>
  <c r="BF128" i="1" s="1"/>
  <c r="AW128" i="1" a="1"/>
  <c r="AW128" i="1" s="1"/>
  <c r="AS128" i="1" a="1"/>
  <c r="AS128" i="1" s="1"/>
  <c r="AH128" i="1" a="1"/>
  <c r="AH128" i="1" s="1"/>
  <c r="AJ128" i="1" a="1"/>
  <c r="AJ128" i="1" s="1"/>
  <c r="AL128" i="1" a="1"/>
  <c r="AL128" i="1" s="1"/>
  <c r="F128" i="1" a="1"/>
  <c r="F128" i="1" s="1"/>
  <c r="H128" i="1" s="1"/>
  <c r="BA128" i="1" a="1"/>
  <c r="BA128" i="1" s="1"/>
  <c r="BE128" i="1" a="1"/>
  <c r="BE128" i="1" s="1"/>
  <c r="AV128" i="1" a="1"/>
  <c r="AV128" i="1" s="1"/>
  <c r="AI128" i="1" a="1"/>
  <c r="AI128" i="1" s="1"/>
  <c r="AD128" i="1" a="1"/>
  <c r="AD128" i="1" s="1"/>
  <c r="Z128" i="1" a="1"/>
  <c r="Z128" i="1" s="1"/>
  <c r="S128" i="1" a="1"/>
  <c r="S128" i="1" s="1"/>
  <c r="U128" i="1" a="1"/>
  <c r="U128" i="1" s="1"/>
  <c r="W128" i="1" a="1"/>
  <c r="W128" i="1" s="1"/>
  <c r="O128" i="1" a="1"/>
  <c r="O128" i="1" s="1"/>
  <c r="K128" i="1" a="1"/>
  <c r="K128" i="1" s="1"/>
  <c r="J128" i="1" a="1"/>
  <c r="J128" i="1" s="1"/>
  <c r="BC128" i="1" a="1"/>
  <c r="BC128" i="1" s="1"/>
  <c r="AG128" i="1" a="1"/>
  <c r="AG128" i="1" s="1"/>
  <c r="Y128" i="1" a="1"/>
  <c r="Y128" i="1" s="1"/>
  <c r="R128" i="1" a="1"/>
  <c r="R128" i="1" s="1"/>
  <c r="V128" i="1" a="1"/>
  <c r="V128" i="1" s="1"/>
  <c r="N128" i="1" a="1"/>
  <c r="N128" i="1" s="1"/>
  <c r="AR128" i="1" a="1"/>
  <c r="AR128" i="1" s="1"/>
  <c r="AK128" i="1" a="1"/>
  <c r="AK128" i="1" s="1"/>
  <c r="AC128" i="1" a="1"/>
  <c r="AC128" i="1" s="1"/>
  <c r="T128" i="1" a="1"/>
  <c r="T128" i="1" s="1"/>
  <c r="X127" i="1"/>
  <c r="AF127" i="1"/>
  <c r="I127" i="1"/>
  <c r="Q127" i="1" a="1"/>
  <c r="Q127" i="1" s="1"/>
  <c r="AO127" i="1" s="1"/>
  <c r="A128" i="1"/>
  <c r="B129" i="1"/>
  <c r="D129" i="1" l="1"/>
  <c r="E129" i="1"/>
  <c r="C129" i="1"/>
  <c r="AZ129" i="1" s="1"/>
  <c r="AT128" i="1"/>
  <c r="AX128" i="1"/>
  <c r="L128" i="1"/>
  <c r="I128" i="1" s="1"/>
  <c r="AE128" i="1"/>
  <c r="AB128" i="1" s="1"/>
  <c r="P128" i="1"/>
  <c r="M128" i="1" s="1"/>
  <c r="AA128" i="1"/>
  <c r="F129" i="1" a="1"/>
  <c r="F129" i="1" s="1"/>
  <c r="BB129" i="1" a="1"/>
  <c r="BB129" i="1" s="1"/>
  <c r="BD129" i="1" a="1"/>
  <c r="BD129" i="1" s="1"/>
  <c r="BF129" i="1" a="1"/>
  <c r="BF129" i="1" s="1"/>
  <c r="AV129" i="1" a="1"/>
  <c r="AV129" i="1" s="1"/>
  <c r="AR129" i="1" a="1"/>
  <c r="AR129" i="1" s="1"/>
  <c r="AH129" i="1" a="1"/>
  <c r="AH129" i="1" s="1"/>
  <c r="AJ129" i="1" a="1"/>
  <c r="AJ129" i="1" s="1"/>
  <c r="AL129" i="1" a="1"/>
  <c r="AL129" i="1" s="1"/>
  <c r="G129" i="1" a="1"/>
  <c r="G129" i="1" s="1"/>
  <c r="BC129" i="1" a="1"/>
  <c r="BC129" i="1" s="1"/>
  <c r="AW129" i="1" a="1"/>
  <c r="AW129" i="1" s="1"/>
  <c r="AG129" i="1" a="1"/>
  <c r="AG129" i="1" s="1"/>
  <c r="AK129" i="1" a="1"/>
  <c r="AK129" i="1" s="1"/>
  <c r="AC129" i="1" a="1"/>
  <c r="AC129" i="1" s="1"/>
  <c r="Y129" i="1" a="1"/>
  <c r="Y129" i="1" s="1"/>
  <c r="S129" i="1" a="1"/>
  <c r="S129" i="1" s="1"/>
  <c r="U129" i="1" a="1"/>
  <c r="U129" i="1" s="1"/>
  <c r="W129" i="1" a="1"/>
  <c r="W129" i="1" s="1"/>
  <c r="N129" i="1" a="1"/>
  <c r="N129" i="1" s="1"/>
  <c r="BA129" i="1" a="1"/>
  <c r="BA129" i="1" s="1"/>
  <c r="BE129" i="1" a="1"/>
  <c r="BE129" i="1" s="1"/>
  <c r="AS129" i="1" a="1"/>
  <c r="AS129" i="1" s="1"/>
  <c r="AI129" i="1" a="1"/>
  <c r="AI129" i="1" s="1"/>
  <c r="Z129" i="1" a="1"/>
  <c r="Z129" i="1" s="1"/>
  <c r="T129" i="1" a="1"/>
  <c r="T129" i="1" s="1"/>
  <c r="O129" i="1" a="1"/>
  <c r="O129" i="1" s="1"/>
  <c r="J129" i="1" a="1"/>
  <c r="J129" i="1" s="1"/>
  <c r="AD129" i="1" a="1"/>
  <c r="AD129" i="1" s="1"/>
  <c r="AE129" i="1" s="1"/>
  <c r="AB129" i="1" s="1"/>
  <c r="R129" i="1" a="1"/>
  <c r="R129" i="1" s="1"/>
  <c r="V129" i="1" a="1"/>
  <c r="V129" i="1" s="1"/>
  <c r="K129" i="1" a="1"/>
  <c r="K129" i="1" s="1"/>
  <c r="L129" i="1" s="1"/>
  <c r="Q128" i="1" a="1"/>
  <c r="Q128" i="1" s="1"/>
  <c r="X128" i="1"/>
  <c r="AF128" i="1"/>
  <c r="A129" i="1"/>
  <c r="B130" i="1"/>
  <c r="D130" i="1" l="1"/>
  <c r="E130" i="1"/>
  <c r="C130" i="1"/>
  <c r="AZ130" i="1" s="1"/>
  <c r="AX129" i="1"/>
  <c r="P129" i="1"/>
  <c r="M129" i="1" s="1"/>
  <c r="AA129" i="1"/>
  <c r="AT129" i="1"/>
  <c r="AY128" i="1"/>
  <c r="AO128" i="1"/>
  <c r="H129" i="1"/>
  <c r="G130" i="1" a="1"/>
  <c r="G130" i="1" s="1"/>
  <c r="BB130" i="1" a="1"/>
  <c r="BB130" i="1" s="1"/>
  <c r="BD130" i="1" a="1"/>
  <c r="BD130" i="1" s="1"/>
  <c r="BF130" i="1" a="1"/>
  <c r="BF130" i="1" s="1"/>
  <c r="AW130" i="1" a="1"/>
  <c r="AW130" i="1" s="1"/>
  <c r="AS130" i="1" a="1"/>
  <c r="AS130" i="1" s="1"/>
  <c r="AH130" i="1" a="1"/>
  <c r="AH130" i="1" s="1"/>
  <c r="AJ130" i="1" a="1"/>
  <c r="AJ130" i="1" s="1"/>
  <c r="AL130" i="1" a="1"/>
  <c r="AL130" i="1" s="1"/>
  <c r="BA130" i="1" a="1"/>
  <c r="BA130" i="1" s="1"/>
  <c r="BE130" i="1" a="1"/>
  <c r="BE130" i="1" s="1"/>
  <c r="AR130" i="1" a="1"/>
  <c r="AR130" i="1" s="1"/>
  <c r="AI130" i="1" a="1"/>
  <c r="AI130" i="1" s="1"/>
  <c r="AD130" i="1" a="1"/>
  <c r="AD130" i="1" s="1"/>
  <c r="Z130" i="1" a="1"/>
  <c r="Z130" i="1" s="1"/>
  <c r="S130" i="1" a="1"/>
  <c r="S130" i="1" s="1"/>
  <c r="U130" i="1" a="1"/>
  <c r="U130" i="1" s="1"/>
  <c r="W130" i="1" a="1"/>
  <c r="W130" i="1" s="1"/>
  <c r="O130" i="1" a="1"/>
  <c r="O130" i="1" s="1"/>
  <c r="K130" i="1" a="1"/>
  <c r="K130" i="1" s="1"/>
  <c r="J130" i="1" a="1"/>
  <c r="J130" i="1" s="1"/>
  <c r="F130" i="1" a="1"/>
  <c r="F130" i="1" s="1"/>
  <c r="H130" i="1" s="1"/>
  <c r="BC130" i="1" a="1"/>
  <c r="BC130" i="1" s="1"/>
  <c r="AV130" i="1" a="1"/>
  <c r="AV130" i="1" s="1"/>
  <c r="AK130" i="1" a="1"/>
  <c r="AK130" i="1" s="1"/>
  <c r="AC130" i="1" a="1"/>
  <c r="AC130" i="1" s="1"/>
  <c r="R130" i="1" a="1"/>
  <c r="R130" i="1" s="1"/>
  <c r="V130" i="1" a="1"/>
  <c r="V130" i="1" s="1"/>
  <c r="AG130" i="1" a="1"/>
  <c r="AG130" i="1" s="1"/>
  <c r="Y130" i="1" a="1"/>
  <c r="Y130" i="1" s="1"/>
  <c r="T130" i="1" a="1"/>
  <c r="T130" i="1" s="1"/>
  <c r="N130" i="1" a="1"/>
  <c r="N130" i="1" s="1"/>
  <c r="I129" i="1"/>
  <c r="Q129" i="1" a="1"/>
  <c r="Q129" i="1" s="1"/>
  <c r="X129" i="1"/>
  <c r="AF129" i="1"/>
  <c r="A130" i="1"/>
  <c r="B131" i="1"/>
  <c r="D131" i="1" l="1"/>
  <c r="E131" i="1"/>
  <c r="C131" i="1"/>
  <c r="AZ131" i="1" s="1"/>
  <c r="AY129" i="1"/>
  <c r="L130" i="1"/>
  <c r="AT130" i="1"/>
  <c r="AX130" i="1"/>
  <c r="AE130" i="1"/>
  <c r="AB130" i="1" s="1"/>
  <c r="AO129" i="1"/>
  <c r="P130" i="1"/>
  <c r="M130" i="1" s="1"/>
  <c r="AA130" i="1"/>
  <c r="F131" i="1" a="1"/>
  <c r="F131" i="1" s="1"/>
  <c r="BB131" i="1" a="1"/>
  <c r="BB131" i="1" s="1"/>
  <c r="BD131" i="1" a="1"/>
  <c r="BD131" i="1" s="1"/>
  <c r="BF131" i="1" a="1"/>
  <c r="BF131" i="1" s="1"/>
  <c r="AV131" i="1" a="1"/>
  <c r="AV131" i="1" s="1"/>
  <c r="AR131" i="1" a="1"/>
  <c r="AR131" i="1" s="1"/>
  <c r="AH131" i="1" a="1"/>
  <c r="AH131" i="1" s="1"/>
  <c r="AJ131" i="1" a="1"/>
  <c r="AJ131" i="1" s="1"/>
  <c r="AL131" i="1" a="1"/>
  <c r="AL131" i="1" s="1"/>
  <c r="BC131" i="1" a="1"/>
  <c r="BC131" i="1" s="1"/>
  <c r="AS131" i="1" a="1"/>
  <c r="AS131" i="1" s="1"/>
  <c r="AG131" i="1" a="1"/>
  <c r="AG131" i="1" s="1"/>
  <c r="AK131" i="1" a="1"/>
  <c r="AK131" i="1" s="1"/>
  <c r="AC131" i="1" a="1"/>
  <c r="AC131" i="1" s="1"/>
  <c r="Y131" i="1" a="1"/>
  <c r="Y131" i="1" s="1"/>
  <c r="S131" i="1" a="1"/>
  <c r="S131" i="1" s="1"/>
  <c r="U131" i="1" a="1"/>
  <c r="U131" i="1" s="1"/>
  <c r="W131" i="1" a="1"/>
  <c r="W131" i="1" s="1"/>
  <c r="N131" i="1" a="1"/>
  <c r="N131" i="1" s="1"/>
  <c r="G131" i="1" a="1"/>
  <c r="G131" i="1" s="1"/>
  <c r="BA131" i="1" a="1"/>
  <c r="BA131" i="1" s="1"/>
  <c r="BE131" i="1" a="1"/>
  <c r="BE131" i="1" s="1"/>
  <c r="AW131" i="1" a="1"/>
  <c r="AW131" i="1" s="1"/>
  <c r="AX131" i="1" s="1"/>
  <c r="AD131" i="1" a="1"/>
  <c r="AD131" i="1" s="1"/>
  <c r="AE131" i="1" s="1"/>
  <c r="AB131" i="1" s="1"/>
  <c r="T131" i="1" a="1"/>
  <c r="T131" i="1" s="1"/>
  <c r="K131" i="1" a="1"/>
  <c r="K131" i="1" s="1"/>
  <c r="AI131" i="1" a="1"/>
  <c r="AI131" i="1" s="1"/>
  <c r="Z131" i="1" a="1"/>
  <c r="Z131" i="1" s="1"/>
  <c r="R131" i="1" a="1"/>
  <c r="R131" i="1" s="1"/>
  <c r="V131" i="1" a="1"/>
  <c r="V131" i="1" s="1"/>
  <c r="O131" i="1" a="1"/>
  <c r="O131" i="1" s="1"/>
  <c r="P131" i="1" s="1"/>
  <c r="M131" i="1" s="1"/>
  <c r="J131" i="1" a="1"/>
  <c r="J131" i="1" s="1"/>
  <c r="Q130" i="1" a="1"/>
  <c r="Q130" i="1" s="1"/>
  <c r="I130" i="1"/>
  <c r="X130" i="1"/>
  <c r="AF130" i="1"/>
  <c r="A131" i="1"/>
  <c r="B132" i="1"/>
  <c r="D132" i="1" l="1"/>
  <c r="E132" i="1"/>
  <c r="C132" i="1"/>
  <c r="AT131" i="1"/>
  <c r="AY130" i="1"/>
  <c r="AO130" i="1"/>
  <c r="H131" i="1"/>
  <c r="AA131" i="1"/>
  <c r="L131" i="1"/>
  <c r="G132" i="1" a="1"/>
  <c r="G132" i="1" s="1"/>
  <c r="BB132" i="1" a="1"/>
  <c r="BB132" i="1" s="1"/>
  <c r="BD132" i="1" a="1"/>
  <c r="BD132" i="1" s="1"/>
  <c r="BF132" i="1" a="1"/>
  <c r="BF132" i="1" s="1"/>
  <c r="AW132" i="1" a="1"/>
  <c r="AW132" i="1" s="1"/>
  <c r="AS132" i="1" a="1"/>
  <c r="AS132" i="1" s="1"/>
  <c r="AH132" i="1" a="1"/>
  <c r="AH132" i="1" s="1"/>
  <c r="AJ132" i="1" a="1"/>
  <c r="AJ132" i="1" s="1"/>
  <c r="AL132" i="1" a="1"/>
  <c r="AL132" i="1" s="1"/>
  <c r="F132" i="1" a="1"/>
  <c r="F132" i="1" s="1"/>
  <c r="H132" i="1" s="1"/>
  <c r="BA132" i="1" a="1"/>
  <c r="BA132" i="1" s="1"/>
  <c r="BE132" i="1" a="1"/>
  <c r="BE132" i="1" s="1"/>
  <c r="AV132" i="1" a="1"/>
  <c r="AV132" i="1" s="1"/>
  <c r="AI132" i="1" a="1"/>
  <c r="AI132" i="1" s="1"/>
  <c r="AD132" i="1" a="1"/>
  <c r="AD132" i="1" s="1"/>
  <c r="Z132" i="1" a="1"/>
  <c r="Z132" i="1" s="1"/>
  <c r="S132" i="1" a="1"/>
  <c r="S132" i="1" s="1"/>
  <c r="U132" i="1" a="1"/>
  <c r="U132" i="1" s="1"/>
  <c r="W132" i="1" a="1"/>
  <c r="W132" i="1" s="1"/>
  <c r="O132" i="1" a="1"/>
  <c r="O132" i="1" s="1"/>
  <c r="K132" i="1" a="1"/>
  <c r="K132" i="1" s="1"/>
  <c r="J132" i="1" a="1"/>
  <c r="J132" i="1" s="1"/>
  <c r="BC132" i="1" a="1"/>
  <c r="BC132" i="1" s="1"/>
  <c r="AR132" i="1" a="1"/>
  <c r="AR132" i="1" s="1"/>
  <c r="AG132" i="1" a="1"/>
  <c r="AG132" i="1" s="1"/>
  <c r="Y132" i="1" a="1"/>
  <c r="Y132" i="1" s="1"/>
  <c r="R132" i="1" a="1"/>
  <c r="R132" i="1" s="1"/>
  <c r="V132" i="1" a="1"/>
  <c r="V132" i="1" s="1"/>
  <c r="N132" i="1" a="1"/>
  <c r="N132" i="1" s="1"/>
  <c r="AK132" i="1" a="1"/>
  <c r="AK132" i="1" s="1"/>
  <c r="AC132" i="1" a="1"/>
  <c r="AC132" i="1" s="1"/>
  <c r="T132" i="1" a="1"/>
  <c r="T132" i="1" s="1"/>
  <c r="X131" i="1"/>
  <c r="AF131" i="1"/>
  <c r="I131" i="1"/>
  <c r="Q131" i="1" a="1"/>
  <c r="Q131" i="1" s="1"/>
  <c r="AO131" i="1" s="1"/>
  <c r="A132" i="1"/>
  <c r="B133" i="1"/>
  <c r="AZ132" i="1" l="1"/>
  <c r="AY131" i="1"/>
  <c r="D133" i="1"/>
  <c r="E133" i="1"/>
  <c r="C133" i="1"/>
  <c r="AX132" i="1"/>
  <c r="AT132" i="1"/>
  <c r="P132" i="1"/>
  <c r="M132" i="1" s="1"/>
  <c r="AA132" i="1"/>
  <c r="L132" i="1"/>
  <c r="AE132" i="1"/>
  <c r="AB132" i="1" s="1"/>
  <c r="F133" i="1" a="1"/>
  <c r="F133" i="1" s="1"/>
  <c r="BB133" i="1" a="1"/>
  <c r="BB133" i="1" s="1"/>
  <c r="BD133" i="1" a="1"/>
  <c r="BD133" i="1" s="1"/>
  <c r="BF133" i="1" a="1"/>
  <c r="BF133" i="1" s="1"/>
  <c r="AV133" i="1" a="1"/>
  <c r="AV133" i="1" s="1"/>
  <c r="AR133" i="1" a="1"/>
  <c r="AR133" i="1" s="1"/>
  <c r="AH133" i="1" a="1"/>
  <c r="AH133" i="1" s="1"/>
  <c r="AJ133" i="1" a="1"/>
  <c r="AJ133" i="1" s="1"/>
  <c r="AL133" i="1" a="1"/>
  <c r="AL133" i="1" s="1"/>
  <c r="G133" i="1" a="1"/>
  <c r="G133" i="1" s="1"/>
  <c r="BC133" i="1" a="1"/>
  <c r="BC133" i="1" s="1"/>
  <c r="AW133" i="1" a="1"/>
  <c r="AW133" i="1" s="1"/>
  <c r="AG133" i="1" a="1"/>
  <c r="AG133" i="1" s="1"/>
  <c r="AK133" i="1" a="1"/>
  <c r="AK133" i="1" s="1"/>
  <c r="AC133" i="1" a="1"/>
  <c r="AC133" i="1" s="1"/>
  <c r="Y133" i="1" a="1"/>
  <c r="Y133" i="1" s="1"/>
  <c r="S133" i="1" a="1"/>
  <c r="S133" i="1" s="1"/>
  <c r="U133" i="1" a="1"/>
  <c r="U133" i="1" s="1"/>
  <c r="W133" i="1" a="1"/>
  <c r="W133" i="1" s="1"/>
  <c r="N133" i="1" a="1"/>
  <c r="N133" i="1" s="1"/>
  <c r="BA133" i="1" a="1"/>
  <c r="BA133" i="1" s="1"/>
  <c r="BE133" i="1" a="1"/>
  <c r="BE133" i="1" s="1"/>
  <c r="AS133" i="1" a="1"/>
  <c r="AS133" i="1" s="1"/>
  <c r="AI133" i="1" a="1"/>
  <c r="AI133" i="1" s="1"/>
  <c r="Z133" i="1" a="1"/>
  <c r="Z133" i="1" s="1"/>
  <c r="T133" i="1" a="1"/>
  <c r="T133" i="1" s="1"/>
  <c r="O133" i="1" a="1"/>
  <c r="O133" i="1" s="1"/>
  <c r="J133" i="1" a="1"/>
  <c r="J133" i="1" s="1"/>
  <c r="AD133" i="1" a="1"/>
  <c r="AD133" i="1" s="1"/>
  <c r="AE133" i="1" s="1"/>
  <c r="AB133" i="1" s="1"/>
  <c r="R133" i="1" a="1"/>
  <c r="R133" i="1" s="1"/>
  <c r="V133" i="1" a="1"/>
  <c r="V133" i="1" s="1"/>
  <c r="K133" i="1" a="1"/>
  <c r="K133" i="1" s="1"/>
  <c r="L133" i="1" s="1"/>
  <c r="Q132" i="1" a="1"/>
  <c r="Q132" i="1" s="1"/>
  <c r="I132" i="1"/>
  <c r="X132" i="1"/>
  <c r="AF132" i="1"/>
  <c r="A133" i="1"/>
  <c r="B134" i="1"/>
  <c r="AT133" i="1" l="1"/>
  <c r="AA133" i="1"/>
  <c r="D134" i="1"/>
  <c r="E134" i="1"/>
  <c r="C134" i="1"/>
  <c r="AX133" i="1"/>
  <c r="AY132" i="1"/>
  <c r="AO132" i="1"/>
  <c r="P133" i="1"/>
  <c r="M133" i="1" s="1"/>
  <c r="H133" i="1"/>
  <c r="G134" i="1" a="1"/>
  <c r="G134" i="1" s="1"/>
  <c r="BB134" i="1" a="1"/>
  <c r="BB134" i="1" s="1"/>
  <c r="BD134" i="1" a="1"/>
  <c r="BD134" i="1" s="1"/>
  <c r="BF134" i="1" a="1"/>
  <c r="BF134" i="1" s="1"/>
  <c r="AW134" i="1" a="1"/>
  <c r="AW134" i="1" s="1"/>
  <c r="AS134" i="1" a="1"/>
  <c r="AS134" i="1" s="1"/>
  <c r="AH134" i="1" a="1"/>
  <c r="AH134" i="1" s="1"/>
  <c r="AJ134" i="1" a="1"/>
  <c r="AJ134" i="1" s="1"/>
  <c r="AL134" i="1" a="1"/>
  <c r="AL134" i="1" s="1"/>
  <c r="BA134" i="1" a="1"/>
  <c r="BA134" i="1" s="1"/>
  <c r="BE134" i="1" a="1"/>
  <c r="BE134" i="1" s="1"/>
  <c r="AR134" i="1" a="1"/>
  <c r="AR134" i="1" s="1"/>
  <c r="AI134" i="1" a="1"/>
  <c r="AI134" i="1" s="1"/>
  <c r="AD134" i="1" a="1"/>
  <c r="AD134" i="1" s="1"/>
  <c r="Z134" i="1" a="1"/>
  <c r="Z134" i="1" s="1"/>
  <c r="S134" i="1" a="1"/>
  <c r="S134" i="1" s="1"/>
  <c r="U134" i="1" a="1"/>
  <c r="U134" i="1" s="1"/>
  <c r="W134" i="1" a="1"/>
  <c r="W134" i="1" s="1"/>
  <c r="O134" i="1" a="1"/>
  <c r="O134" i="1" s="1"/>
  <c r="K134" i="1" a="1"/>
  <c r="K134" i="1" s="1"/>
  <c r="J134" i="1" a="1"/>
  <c r="J134" i="1" s="1"/>
  <c r="F134" i="1" a="1"/>
  <c r="F134" i="1" s="1"/>
  <c r="H134" i="1" s="1"/>
  <c r="BC134" i="1" a="1"/>
  <c r="BC134" i="1" s="1"/>
  <c r="AV134" i="1" a="1"/>
  <c r="AV134" i="1" s="1"/>
  <c r="AK134" i="1" a="1"/>
  <c r="AK134" i="1" s="1"/>
  <c r="AC134" i="1" a="1"/>
  <c r="AC134" i="1" s="1"/>
  <c r="R134" i="1" a="1"/>
  <c r="R134" i="1" s="1"/>
  <c r="V134" i="1" a="1"/>
  <c r="V134" i="1" s="1"/>
  <c r="AG134" i="1" a="1"/>
  <c r="AG134" i="1" s="1"/>
  <c r="Y134" i="1" a="1"/>
  <c r="Y134" i="1" s="1"/>
  <c r="T134" i="1" a="1"/>
  <c r="T134" i="1" s="1"/>
  <c r="N134" i="1" a="1"/>
  <c r="N134" i="1" s="1"/>
  <c r="I133" i="1"/>
  <c r="Q133" i="1" a="1"/>
  <c r="Q133" i="1" s="1"/>
  <c r="X133" i="1"/>
  <c r="AF133" i="1"/>
  <c r="A134" i="1"/>
  <c r="B135" i="1"/>
  <c r="AY133" i="1" l="1"/>
  <c r="D135" i="1"/>
  <c r="E135" i="1"/>
  <c r="C135" i="1"/>
  <c r="AZ135" i="1" s="1"/>
  <c r="AT134" i="1"/>
  <c r="AX134" i="1"/>
  <c r="P134" i="1"/>
  <c r="M134" i="1" s="1"/>
  <c r="AA134" i="1"/>
  <c r="AO133" i="1"/>
  <c r="L134" i="1"/>
  <c r="AE134" i="1"/>
  <c r="AB134" i="1" s="1"/>
  <c r="F135" i="1" a="1"/>
  <c r="F135" i="1" s="1"/>
  <c r="BB135" i="1" a="1"/>
  <c r="BB135" i="1" s="1"/>
  <c r="BD135" i="1" a="1"/>
  <c r="BD135" i="1" s="1"/>
  <c r="BF135" i="1" a="1"/>
  <c r="BF135" i="1" s="1"/>
  <c r="AV135" i="1" a="1"/>
  <c r="AV135" i="1" s="1"/>
  <c r="AR135" i="1" a="1"/>
  <c r="AR135" i="1" s="1"/>
  <c r="AH135" i="1" a="1"/>
  <c r="AH135" i="1" s="1"/>
  <c r="AJ135" i="1" a="1"/>
  <c r="AJ135" i="1" s="1"/>
  <c r="AL135" i="1" a="1"/>
  <c r="AL135" i="1" s="1"/>
  <c r="BC135" i="1" a="1"/>
  <c r="BC135" i="1" s="1"/>
  <c r="AS135" i="1" a="1"/>
  <c r="AS135" i="1" s="1"/>
  <c r="AG135" i="1" a="1"/>
  <c r="AG135" i="1" s="1"/>
  <c r="AK135" i="1" a="1"/>
  <c r="AK135" i="1" s="1"/>
  <c r="AC135" i="1" a="1"/>
  <c r="AC135" i="1" s="1"/>
  <c r="Y135" i="1" a="1"/>
  <c r="Y135" i="1" s="1"/>
  <c r="S135" i="1" a="1"/>
  <c r="S135" i="1" s="1"/>
  <c r="U135" i="1" a="1"/>
  <c r="U135" i="1" s="1"/>
  <c r="W135" i="1" a="1"/>
  <c r="W135" i="1" s="1"/>
  <c r="N135" i="1" a="1"/>
  <c r="N135" i="1" s="1"/>
  <c r="G135" i="1" a="1"/>
  <c r="G135" i="1" s="1"/>
  <c r="BA135" i="1" a="1"/>
  <c r="BA135" i="1" s="1"/>
  <c r="BE135" i="1" a="1"/>
  <c r="BE135" i="1" s="1"/>
  <c r="AW135" i="1" a="1"/>
  <c r="AW135" i="1" s="1"/>
  <c r="AX135" i="1" s="1"/>
  <c r="AD135" i="1" a="1"/>
  <c r="AD135" i="1" s="1"/>
  <c r="AE135" i="1" s="1"/>
  <c r="AB135" i="1" s="1"/>
  <c r="T135" i="1" a="1"/>
  <c r="T135" i="1" s="1"/>
  <c r="K135" i="1" a="1"/>
  <c r="K135" i="1" s="1"/>
  <c r="AI135" i="1" a="1"/>
  <c r="AI135" i="1" s="1"/>
  <c r="Z135" i="1" a="1"/>
  <c r="Z135" i="1" s="1"/>
  <c r="R135" i="1" a="1"/>
  <c r="R135" i="1" s="1"/>
  <c r="V135" i="1" a="1"/>
  <c r="V135" i="1" s="1"/>
  <c r="O135" i="1" a="1"/>
  <c r="O135" i="1" s="1"/>
  <c r="P135" i="1" s="1"/>
  <c r="M135" i="1" s="1"/>
  <c r="J135" i="1" a="1"/>
  <c r="J135" i="1" s="1"/>
  <c r="Q134" i="1" a="1"/>
  <c r="Q134" i="1" s="1"/>
  <c r="I134" i="1"/>
  <c r="X134" i="1"/>
  <c r="AF134" i="1"/>
  <c r="A135" i="1"/>
  <c r="B136" i="1"/>
  <c r="AA135" i="1" l="1"/>
  <c r="D136" i="1"/>
  <c r="E136" i="1"/>
  <c r="C136" i="1"/>
  <c r="AZ136" i="1" s="1"/>
  <c r="AT135" i="1"/>
  <c r="AY134" i="1"/>
  <c r="AO134" i="1"/>
  <c r="H135" i="1"/>
  <c r="L135" i="1"/>
  <c r="G136" i="1" a="1"/>
  <c r="G136" i="1" s="1"/>
  <c r="BB136" i="1" a="1"/>
  <c r="BB136" i="1" s="1"/>
  <c r="BD136" i="1" a="1"/>
  <c r="BD136" i="1" s="1"/>
  <c r="BF136" i="1" a="1"/>
  <c r="BF136" i="1" s="1"/>
  <c r="AW136" i="1" a="1"/>
  <c r="AW136" i="1" s="1"/>
  <c r="AS136" i="1" a="1"/>
  <c r="AS136" i="1" s="1"/>
  <c r="AH136" i="1" a="1"/>
  <c r="AH136" i="1" s="1"/>
  <c r="AJ136" i="1" a="1"/>
  <c r="AJ136" i="1" s="1"/>
  <c r="AL136" i="1" a="1"/>
  <c r="AL136" i="1" s="1"/>
  <c r="F136" i="1" a="1"/>
  <c r="F136" i="1" s="1"/>
  <c r="H136" i="1" s="1"/>
  <c r="BA136" i="1" a="1"/>
  <c r="BA136" i="1" s="1"/>
  <c r="BE136" i="1" a="1"/>
  <c r="BE136" i="1" s="1"/>
  <c r="AV136" i="1" a="1"/>
  <c r="AV136" i="1" s="1"/>
  <c r="AI136" i="1" a="1"/>
  <c r="AI136" i="1" s="1"/>
  <c r="AD136" i="1" a="1"/>
  <c r="AD136" i="1" s="1"/>
  <c r="Z136" i="1" a="1"/>
  <c r="Z136" i="1" s="1"/>
  <c r="S136" i="1" a="1"/>
  <c r="S136" i="1" s="1"/>
  <c r="U136" i="1" a="1"/>
  <c r="U136" i="1" s="1"/>
  <c r="W136" i="1" a="1"/>
  <c r="W136" i="1" s="1"/>
  <c r="O136" i="1" a="1"/>
  <c r="O136" i="1" s="1"/>
  <c r="K136" i="1" a="1"/>
  <c r="K136" i="1" s="1"/>
  <c r="J136" i="1" a="1"/>
  <c r="J136" i="1" s="1"/>
  <c r="BC136" i="1" a="1"/>
  <c r="BC136" i="1" s="1"/>
  <c r="AG136" i="1" a="1"/>
  <c r="AG136" i="1" s="1"/>
  <c r="Y136" i="1" a="1"/>
  <c r="Y136" i="1" s="1"/>
  <c r="R136" i="1" a="1"/>
  <c r="R136" i="1" s="1"/>
  <c r="V136" i="1" a="1"/>
  <c r="V136" i="1" s="1"/>
  <c r="N136" i="1" a="1"/>
  <c r="N136" i="1" s="1"/>
  <c r="AR136" i="1" a="1"/>
  <c r="AR136" i="1" s="1"/>
  <c r="AK136" i="1" a="1"/>
  <c r="AK136" i="1" s="1"/>
  <c r="AC136" i="1" a="1"/>
  <c r="AC136" i="1" s="1"/>
  <c r="T136" i="1" a="1"/>
  <c r="T136" i="1" s="1"/>
  <c r="X135" i="1"/>
  <c r="AF135" i="1"/>
  <c r="I135" i="1"/>
  <c r="Q135" i="1" a="1"/>
  <c r="Q135" i="1" s="1"/>
  <c r="AO135" i="1" s="1"/>
  <c r="A136" i="1"/>
  <c r="B137" i="1"/>
  <c r="AZ134" i="1" l="1"/>
  <c r="AY135" i="1"/>
  <c r="D137" i="1"/>
  <c r="E137" i="1"/>
  <c r="C137" i="1"/>
  <c r="AZ137" i="1" s="1"/>
  <c r="AX136" i="1"/>
  <c r="AT136" i="1"/>
  <c r="L136" i="1"/>
  <c r="AE136" i="1"/>
  <c r="AB136" i="1" s="1"/>
  <c r="P136" i="1"/>
  <c r="M136" i="1" s="1"/>
  <c r="AA136" i="1"/>
  <c r="F137" i="1" a="1"/>
  <c r="F137" i="1" s="1"/>
  <c r="BB137" i="1" a="1"/>
  <c r="BB137" i="1" s="1"/>
  <c r="BD137" i="1" a="1"/>
  <c r="BD137" i="1" s="1"/>
  <c r="BF137" i="1" a="1"/>
  <c r="BF137" i="1" s="1"/>
  <c r="AV137" i="1" a="1"/>
  <c r="AV137" i="1" s="1"/>
  <c r="AR137" i="1" a="1"/>
  <c r="AR137" i="1" s="1"/>
  <c r="AH137" i="1" a="1"/>
  <c r="AH137" i="1" s="1"/>
  <c r="AJ137" i="1" a="1"/>
  <c r="AJ137" i="1" s="1"/>
  <c r="AL137" i="1" a="1"/>
  <c r="AL137" i="1" s="1"/>
  <c r="G137" i="1" a="1"/>
  <c r="G137" i="1" s="1"/>
  <c r="BC137" i="1" a="1"/>
  <c r="BC137" i="1" s="1"/>
  <c r="AW137" i="1" a="1"/>
  <c r="AW137" i="1" s="1"/>
  <c r="AG137" i="1" a="1"/>
  <c r="AG137" i="1" s="1"/>
  <c r="AK137" i="1" a="1"/>
  <c r="AK137" i="1" s="1"/>
  <c r="AC137" i="1" a="1"/>
  <c r="AC137" i="1" s="1"/>
  <c r="Y137" i="1" a="1"/>
  <c r="Y137" i="1" s="1"/>
  <c r="S137" i="1" a="1"/>
  <c r="S137" i="1" s="1"/>
  <c r="U137" i="1" a="1"/>
  <c r="U137" i="1" s="1"/>
  <c r="W137" i="1" a="1"/>
  <c r="W137" i="1" s="1"/>
  <c r="N137" i="1" a="1"/>
  <c r="N137" i="1" s="1"/>
  <c r="BA137" i="1" a="1"/>
  <c r="BA137" i="1" s="1"/>
  <c r="BE137" i="1" a="1"/>
  <c r="BE137" i="1" s="1"/>
  <c r="AS137" i="1" a="1"/>
  <c r="AS137" i="1" s="1"/>
  <c r="AI137" i="1" a="1"/>
  <c r="AI137" i="1" s="1"/>
  <c r="Z137" i="1" a="1"/>
  <c r="Z137" i="1" s="1"/>
  <c r="T137" i="1" a="1"/>
  <c r="T137" i="1" s="1"/>
  <c r="O137" i="1" a="1"/>
  <c r="O137" i="1" s="1"/>
  <c r="J137" i="1" a="1"/>
  <c r="J137" i="1" s="1"/>
  <c r="AD137" i="1" a="1"/>
  <c r="AD137" i="1" s="1"/>
  <c r="AE137" i="1" s="1"/>
  <c r="AB137" i="1" s="1"/>
  <c r="R137" i="1" a="1"/>
  <c r="R137" i="1" s="1"/>
  <c r="V137" i="1" a="1"/>
  <c r="V137" i="1" s="1"/>
  <c r="K137" i="1" a="1"/>
  <c r="K137" i="1" s="1"/>
  <c r="L137" i="1" s="1"/>
  <c r="Q136" i="1" a="1"/>
  <c r="Q136" i="1" s="1"/>
  <c r="I136" i="1"/>
  <c r="X136" i="1"/>
  <c r="AF136" i="1"/>
  <c r="A137" i="1"/>
  <c r="B138" i="1"/>
  <c r="AT137" i="1" l="1"/>
  <c r="AX137" i="1"/>
  <c r="D138" i="1"/>
  <c r="E138" i="1"/>
  <c r="C138" i="1"/>
  <c r="AZ138" i="1" s="1"/>
  <c r="AY136" i="1"/>
  <c r="AO136" i="1"/>
  <c r="P137" i="1"/>
  <c r="M137" i="1" s="1"/>
  <c r="AA137" i="1"/>
  <c r="H137" i="1"/>
  <c r="G138" i="1" a="1"/>
  <c r="G138" i="1" s="1"/>
  <c r="BB138" i="1" a="1"/>
  <c r="BB138" i="1" s="1"/>
  <c r="BD138" i="1" a="1"/>
  <c r="BD138" i="1" s="1"/>
  <c r="BF138" i="1" a="1"/>
  <c r="BF138" i="1" s="1"/>
  <c r="AW138" i="1" a="1"/>
  <c r="AW138" i="1" s="1"/>
  <c r="AS138" i="1" a="1"/>
  <c r="AS138" i="1" s="1"/>
  <c r="AH138" i="1" a="1"/>
  <c r="AH138" i="1" s="1"/>
  <c r="AJ138" i="1" a="1"/>
  <c r="AJ138" i="1" s="1"/>
  <c r="AL138" i="1" a="1"/>
  <c r="AL138" i="1" s="1"/>
  <c r="BA138" i="1" a="1"/>
  <c r="BA138" i="1" s="1"/>
  <c r="BE138" i="1" a="1"/>
  <c r="BE138" i="1" s="1"/>
  <c r="AR138" i="1" a="1"/>
  <c r="AR138" i="1" s="1"/>
  <c r="AI138" i="1" a="1"/>
  <c r="AI138" i="1" s="1"/>
  <c r="AD138" i="1" a="1"/>
  <c r="AD138" i="1" s="1"/>
  <c r="Z138" i="1" a="1"/>
  <c r="Z138" i="1" s="1"/>
  <c r="S138" i="1" a="1"/>
  <c r="S138" i="1" s="1"/>
  <c r="U138" i="1" a="1"/>
  <c r="U138" i="1" s="1"/>
  <c r="W138" i="1" a="1"/>
  <c r="W138" i="1" s="1"/>
  <c r="O138" i="1" a="1"/>
  <c r="O138" i="1" s="1"/>
  <c r="K138" i="1" a="1"/>
  <c r="K138" i="1" s="1"/>
  <c r="J138" i="1" a="1"/>
  <c r="J138" i="1" s="1"/>
  <c r="F138" i="1" a="1"/>
  <c r="F138" i="1" s="1"/>
  <c r="H138" i="1" s="1"/>
  <c r="BC138" i="1" a="1"/>
  <c r="BC138" i="1" s="1"/>
  <c r="AV138" i="1" a="1"/>
  <c r="AV138" i="1" s="1"/>
  <c r="AK138" i="1" a="1"/>
  <c r="AK138" i="1" s="1"/>
  <c r="AC138" i="1" a="1"/>
  <c r="AC138" i="1" s="1"/>
  <c r="R138" i="1" a="1"/>
  <c r="R138" i="1" s="1"/>
  <c r="V138" i="1" a="1"/>
  <c r="V138" i="1" s="1"/>
  <c r="AG138" i="1" a="1"/>
  <c r="AG138" i="1" s="1"/>
  <c r="Y138" i="1" a="1"/>
  <c r="Y138" i="1" s="1"/>
  <c r="T138" i="1" a="1"/>
  <c r="T138" i="1" s="1"/>
  <c r="N138" i="1" a="1"/>
  <c r="N138" i="1" s="1"/>
  <c r="I137" i="1"/>
  <c r="Q137" i="1" a="1"/>
  <c r="Q137" i="1" s="1"/>
  <c r="X137" i="1"/>
  <c r="AF137" i="1"/>
  <c r="A138" i="1"/>
  <c r="B139" i="1"/>
  <c r="AY137" i="1" l="1"/>
  <c r="D139" i="1"/>
  <c r="E139" i="1"/>
  <c r="C139" i="1"/>
  <c r="AZ139" i="1" s="1"/>
  <c r="AT138" i="1"/>
  <c r="AX138" i="1"/>
  <c r="L138" i="1"/>
  <c r="AE138" i="1"/>
  <c r="AB138" i="1" s="1"/>
  <c r="AO137" i="1"/>
  <c r="P138" i="1"/>
  <c r="M138" i="1" s="1"/>
  <c r="AA138" i="1"/>
  <c r="X138" i="1" s="1"/>
  <c r="F139" i="1" a="1"/>
  <c r="F139" i="1" s="1"/>
  <c r="BB139" i="1" a="1"/>
  <c r="BB139" i="1" s="1"/>
  <c r="BD139" i="1" a="1"/>
  <c r="BD139" i="1" s="1"/>
  <c r="BF139" i="1" a="1"/>
  <c r="BF139" i="1" s="1"/>
  <c r="AV139" i="1" a="1"/>
  <c r="AV139" i="1" s="1"/>
  <c r="AR139" i="1" a="1"/>
  <c r="AR139" i="1" s="1"/>
  <c r="AH139" i="1" a="1"/>
  <c r="AH139" i="1" s="1"/>
  <c r="AJ139" i="1" a="1"/>
  <c r="AJ139" i="1" s="1"/>
  <c r="AL139" i="1" a="1"/>
  <c r="AL139" i="1" s="1"/>
  <c r="BC139" i="1" a="1"/>
  <c r="BC139" i="1" s="1"/>
  <c r="AS139" i="1" a="1"/>
  <c r="AS139" i="1" s="1"/>
  <c r="AG139" i="1" a="1"/>
  <c r="AG139" i="1" s="1"/>
  <c r="AK139" i="1" a="1"/>
  <c r="AK139" i="1" s="1"/>
  <c r="AC139" i="1" a="1"/>
  <c r="AC139" i="1" s="1"/>
  <c r="Y139" i="1" a="1"/>
  <c r="Y139" i="1" s="1"/>
  <c r="S139" i="1" a="1"/>
  <c r="S139" i="1" s="1"/>
  <c r="U139" i="1" a="1"/>
  <c r="U139" i="1" s="1"/>
  <c r="W139" i="1" a="1"/>
  <c r="W139" i="1" s="1"/>
  <c r="N139" i="1" a="1"/>
  <c r="N139" i="1" s="1"/>
  <c r="G139" i="1" a="1"/>
  <c r="G139" i="1" s="1"/>
  <c r="BA139" i="1" a="1"/>
  <c r="BA139" i="1" s="1"/>
  <c r="BE139" i="1" a="1"/>
  <c r="BE139" i="1" s="1"/>
  <c r="AW139" i="1" a="1"/>
  <c r="AW139" i="1" s="1"/>
  <c r="AX139" i="1" s="1"/>
  <c r="AD139" i="1" a="1"/>
  <c r="AD139" i="1" s="1"/>
  <c r="T139" i="1" a="1"/>
  <c r="T139" i="1" s="1"/>
  <c r="K139" i="1" a="1"/>
  <c r="K139" i="1" s="1"/>
  <c r="AI139" i="1" a="1"/>
  <c r="AI139" i="1" s="1"/>
  <c r="Z139" i="1" a="1"/>
  <c r="Z139" i="1" s="1"/>
  <c r="R139" i="1" a="1"/>
  <c r="R139" i="1" s="1"/>
  <c r="V139" i="1" a="1"/>
  <c r="V139" i="1" s="1"/>
  <c r="O139" i="1" a="1"/>
  <c r="O139" i="1" s="1"/>
  <c r="P139" i="1" s="1"/>
  <c r="M139" i="1" s="1"/>
  <c r="J139" i="1" a="1"/>
  <c r="J139" i="1" s="1"/>
  <c r="I138" i="1"/>
  <c r="AF138" i="1"/>
  <c r="A139" i="1"/>
  <c r="B140" i="1"/>
  <c r="Q138" i="1" l="1" a="1"/>
  <c r="Q138" i="1" s="1"/>
  <c r="AE139" i="1"/>
  <c r="AB139" i="1" s="1"/>
  <c r="AT139" i="1"/>
  <c r="D140" i="1"/>
  <c r="E140" i="1"/>
  <c r="C140" i="1"/>
  <c r="AZ140" i="1" s="1"/>
  <c r="AA139" i="1"/>
  <c r="AY138" i="1"/>
  <c r="AO138" i="1"/>
  <c r="H139" i="1"/>
  <c r="L139" i="1"/>
  <c r="G140" i="1" a="1"/>
  <c r="G140" i="1" s="1"/>
  <c r="BB140" i="1" a="1"/>
  <c r="BB140" i="1" s="1"/>
  <c r="BD140" i="1" a="1"/>
  <c r="BD140" i="1" s="1"/>
  <c r="BF140" i="1" a="1"/>
  <c r="BF140" i="1" s="1"/>
  <c r="AW140" i="1" a="1"/>
  <c r="AW140" i="1" s="1"/>
  <c r="AS140" i="1" a="1"/>
  <c r="AS140" i="1" s="1"/>
  <c r="AH140" i="1" a="1"/>
  <c r="AH140" i="1" s="1"/>
  <c r="AJ140" i="1" a="1"/>
  <c r="AJ140" i="1" s="1"/>
  <c r="AL140" i="1" a="1"/>
  <c r="AL140" i="1" s="1"/>
  <c r="F140" i="1" a="1"/>
  <c r="F140" i="1" s="1"/>
  <c r="H140" i="1" s="1"/>
  <c r="BA140" i="1" a="1"/>
  <c r="BA140" i="1" s="1"/>
  <c r="BE140" i="1" a="1"/>
  <c r="BE140" i="1" s="1"/>
  <c r="AV140" i="1" a="1"/>
  <c r="AV140" i="1" s="1"/>
  <c r="AI140" i="1" a="1"/>
  <c r="AI140" i="1" s="1"/>
  <c r="AD140" i="1" a="1"/>
  <c r="AD140" i="1" s="1"/>
  <c r="Z140" i="1" a="1"/>
  <c r="Z140" i="1" s="1"/>
  <c r="S140" i="1" a="1"/>
  <c r="S140" i="1" s="1"/>
  <c r="U140" i="1" a="1"/>
  <c r="U140" i="1" s="1"/>
  <c r="W140" i="1" a="1"/>
  <c r="W140" i="1" s="1"/>
  <c r="O140" i="1" a="1"/>
  <c r="O140" i="1" s="1"/>
  <c r="K140" i="1" a="1"/>
  <c r="K140" i="1" s="1"/>
  <c r="J140" i="1" a="1"/>
  <c r="J140" i="1" s="1"/>
  <c r="BC140" i="1" a="1"/>
  <c r="BC140" i="1" s="1"/>
  <c r="AR140" i="1" a="1"/>
  <c r="AR140" i="1" s="1"/>
  <c r="AG140" i="1" a="1"/>
  <c r="AG140" i="1" s="1"/>
  <c r="Y140" i="1" a="1"/>
  <c r="Y140" i="1" s="1"/>
  <c r="R140" i="1" a="1"/>
  <c r="R140" i="1" s="1"/>
  <c r="V140" i="1" a="1"/>
  <c r="V140" i="1" s="1"/>
  <c r="N140" i="1" a="1"/>
  <c r="N140" i="1" s="1"/>
  <c r="AK140" i="1" a="1"/>
  <c r="AK140" i="1" s="1"/>
  <c r="AC140" i="1" a="1"/>
  <c r="AC140" i="1" s="1"/>
  <c r="T140" i="1" a="1"/>
  <c r="T140" i="1" s="1"/>
  <c r="X139" i="1"/>
  <c r="AF139" i="1"/>
  <c r="I139" i="1"/>
  <c r="Q139" i="1" a="1"/>
  <c r="Q139" i="1" s="1"/>
  <c r="AO139" i="1" s="1"/>
  <c r="A140" i="1"/>
  <c r="B141" i="1"/>
  <c r="AY139" i="1" l="1"/>
  <c r="D141" i="1"/>
  <c r="E141" i="1"/>
  <c r="C141" i="1"/>
  <c r="AZ141" i="1" s="1"/>
  <c r="AT140" i="1"/>
  <c r="AX140" i="1"/>
  <c r="L140" i="1"/>
  <c r="AE140" i="1"/>
  <c r="AB140" i="1" s="1"/>
  <c r="P140" i="1"/>
  <c r="M140" i="1" s="1"/>
  <c r="AA140" i="1"/>
  <c r="F141" i="1" a="1"/>
  <c r="F141" i="1" s="1"/>
  <c r="BB141" i="1" a="1"/>
  <c r="BB141" i="1" s="1"/>
  <c r="BD141" i="1" a="1"/>
  <c r="BD141" i="1" s="1"/>
  <c r="BF141" i="1" a="1"/>
  <c r="BF141" i="1" s="1"/>
  <c r="AV141" i="1" a="1"/>
  <c r="AV141" i="1" s="1"/>
  <c r="AR141" i="1" a="1"/>
  <c r="AR141" i="1" s="1"/>
  <c r="AH141" i="1" a="1"/>
  <c r="AH141" i="1" s="1"/>
  <c r="AJ141" i="1" a="1"/>
  <c r="AJ141" i="1" s="1"/>
  <c r="AL141" i="1" a="1"/>
  <c r="AL141" i="1" s="1"/>
  <c r="G141" i="1" a="1"/>
  <c r="G141" i="1" s="1"/>
  <c r="BC141" i="1" a="1"/>
  <c r="BC141" i="1" s="1"/>
  <c r="AW141" i="1" a="1"/>
  <c r="AW141" i="1" s="1"/>
  <c r="AG141" i="1" a="1"/>
  <c r="AG141" i="1" s="1"/>
  <c r="AK141" i="1" a="1"/>
  <c r="AK141" i="1" s="1"/>
  <c r="AC141" i="1" a="1"/>
  <c r="AC141" i="1" s="1"/>
  <c r="Y141" i="1" a="1"/>
  <c r="Y141" i="1" s="1"/>
  <c r="S141" i="1" a="1"/>
  <c r="S141" i="1" s="1"/>
  <c r="U141" i="1" a="1"/>
  <c r="U141" i="1" s="1"/>
  <c r="W141" i="1" a="1"/>
  <c r="W141" i="1" s="1"/>
  <c r="N141" i="1" a="1"/>
  <c r="N141" i="1" s="1"/>
  <c r="BA141" i="1" a="1"/>
  <c r="BA141" i="1" s="1"/>
  <c r="BE141" i="1" a="1"/>
  <c r="BE141" i="1" s="1"/>
  <c r="AS141" i="1" a="1"/>
  <c r="AS141" i="1" s="1"/>
  <c r="AI141" i="1" a="1"/>
  <c r="AI141" i="1" s="1"/>
  <c r="Z141" i="1" a="1"/>
  <c r="Z141" i="1" s="1"/>
  <c r="T141" i="1" a="1"/>
  <c r="T141" i="1" s="1"/>
  <c r="O141" i="1" a="1"/>
  <c r="O141" i="1" s="1"/>
  <c r="J141" i="1" a="1"/>
  <c r="J141" i="1" s="1"/>
  <c r="AD141" i="1" a="1"/>
  <c r="AD141" i="1" s="1"/>
  <c r="AE141" i="1" s="1"/>
  <c r="AB141" i="1" s="1"/>
  <c r="R141" i="1" a="1"/>
  <c r="R141" i="1" s="1"/>
  <c r="V141" i="1" a="1"/>
  <c r="V141" i="1" s="1"/>
  <c r="K141" i="1" a="1"/>
  <c r="K141" i="1" s="1"/>
  <c r="L141" i="1" s="1"/>
  <c r="Q140" i="1" a="1"/>
  <c r="Q140" i="1" s="1"/>
  <c r="I140" i="1"/>
  <c r="X140" i="1"/>
  <c r="AF140" i="1"/>
  <c r="A141" i="1"/>
  <c r="B142" i="1"/>
  <c r="AT141" i="1" l="1"/>
  <c r="P141" i="1"/>
  <c r="M141" i="1" s="1"/>
  <c r="AA141" i="1"/>
  <c r="D142" i="1"/>
  <c r="E142" i="1"/>
  <c r="C142" i="1"/>
  <c r="AZ142" i="1" s="1"/>
  <c r="AX141" i="1"/>
  <c r="AO140" i="1"/>
  <c r="AY140" i="1"/>
  <c r="H141" i="1"/>
  <c r="G142" i="1" a="1"/>
  <c r="G142" i="1" s="1"/>
  <c r="BB142" i="1" a="1"/>
  <c r="BB142" i="1" s="1"/>
  <c r="BD142" i="1" a="1"/>
  <c r="BD142" i="1" s="1"/>
  <c r="BF142" i="1" a="1"/>
  <c r="BF142" i="1" s="1"/>
  <c r="AW142" i="1" a="1"/>
  <c r="AW142" i="1" s="1"/>
  <c r="AS142" i="1" a="1"/>
  <c r="AS142" i="1" s="1"/>
  <c r="AH142" i="1" a="1"/>
  <c r="AH142" i="1" s="1"/>
  <c r="AJ142" i="1" a="1"/>
  <c r="AJ142" i="1" s="1"/>
  <c r="AL142" i="1" a="1"/>
  <c r="AL142" i="1" s="1"/>
  <c r="BA142" i="1" a="1"/>
  <c r="BA142" i="1" s="1"/>
  <c r="BE142" i="1" a="1"/>
  <c r="BE142" i="1" s="1"/>
  <c r="AR142" i="1" a="1"/>
  <c r="AR142" i="1" s="1"/>
  <c r="AI142" i="1" a="1"/>
  <c r="AI142" i="1" s="1"/>
  <c r="AD142" i="1" a="1"/>
  <c r="AD142" i="1" s="1"/>
  <c r="Z142" i="1" a="1"/>
  <c r="Z142" i="1" s="1"/>
  <c r="S142" i="1" a="1"/>
  <c r="S142" i="1" s="1"/>
  <c r="U142" i="1" a="1"/>
  <c r="U142" i="1" s="1"/>
  <c r="W142" i="1" a="1"/>
  <c r="W142" i="1" s="1"/>
  <c r="O142" i="1" a="1"/>
  <c r="O142" i="1" s="1"/>
  <c r="K142" i="1" a="1"/>
  <c r="K142" i="1" s="1"/>
  <c r="J142" i="1" a="1"/>
  <c r="J142" i="1" s="1"/>
  <c r="F142" i="1" a="1"/>
  <c r="F142" i="1" s="1"/>
  <c r="H142" i="1" s="1"/>
  <c r="BC142" i="1" a="1"/>
  <c r="BC142" i="1" s="1"/>
  <c r="AV142" i="1" a="1"/>
  <c r="AV142" i="1" s="1"/>
  <c r="AK142" i="1" a="1"/>
  <c r="AK142" i="1" s="1"/>
  <c r="AC142" i="1" a="1"/>
  <c r="AC142" i="1" s="1"/>
  <c r="R142" i="1" a="1"/>
  <c r="R142" i="1" s="1"/>
  <c r="V142" i="1" a="1"/>
  <c r="V142" i="1" s="1"/>
  <c r="AG142" i="1" a="1"/>
  <c r="AG142" i="1" s="1"/>
  <c r="Y142" i="1" a="1"/>
  <c r="Y142" i="1" s="1"/>
  <c r="T142" i="1" a="1"/>
  <c r="T142" i="1" s="1"/>
  <c r="N142" i="1" a="1"/>
  <c r="N142" i="1" s="1"/>
  <c r="I141" i="1"/>
  <c r="Q141" i="1" a="1"/>
  <c r="Q141" i="1" s="1"/>
  <c r="X141" i="1"/>
  <c r="AF141" i="1"/>
  <c r="A142" i="1"/>
  <c r="B143" i="1"/>
  <c r="AY141" i="1" l="1"/>
  <c r="D143" i="1"/>
  <c r="E143" i="1"/>
  <c r="C143" i="1"/>
  <c r="AT142" i="1"/>
  <c r="AX142" i="1"/>
  <c r="L142" i="1"/>
  <c r="AO141" i="1"/>
  <c r="P142" i="1"/>
  <c r="M142" i="1" s="1"/>
  <c r="AA142" i="1"/>
  <c r="AE142" i="1"/>
  <c r="AB142" i="1" s="1"/>
  <c r="F143" i="1" a="1"/>
  <c r="F143" i="1" s="1"/>
  <c r="BB143" i="1" a="1"/>
  <c r="BB143" i="1" s="1"/>
  <c r="BD143" i="1" a="1"/>
  <c r="BD143" i="1" s="1"/>
  <c r="BF143" i="1" a="1"/>
  <c r="BF143" i="1" s="1"/>
  <c r="AV143" i="1" a="1"/>
  <c r="AV143" i="1" s="1"/>
  <c r="AR143" i="1" a="1"/>
  <c r="AR143" i="1" s="1"/>
  <c r="AH143" i="1" a="1"/>
  <c r="AH143" i="1" s="1"/>
  <c r="AJ143" i="1" a="1"/>
  <c r="AJ143" i="1" s="1"/>
  <c r="AL143" i="1" a="1"/>
  <c r="AL143" i="1" s="1"/>
  <c r="BC143" i="1" a="1"/>
  <c r="BC143" i="1" s="1"/>
  <c r="AS143" i="1" a="1"/>
  <c r="AS143" i="1" s="1"/>
  <c r="AG143" i="1" a="1"/>
  <c r="AG143" i="1" s="1"/>
  <c r="AK143" i="1" a="1"/>
  <c r="AK143" i="1" s="1"/>
  <c r="AC143" i="1" a="1"/>
  <c r="AC143" i="1" s="1"/>
  <c r="Y143" i="1" a="1"/>
  <c r="Y143" i="1" s="1"/>
  <c r="S143" i="1" a="1"/>
  <c r="S143" i="1" s="1"/>
  <c r="U143" i="1" a="1"/>
  <c r="U143" i="1" s="1"/>
  <c r="W143" i="1" a="1"/>
  <c r="W143" i="1" s="1"/>
  <c r="N143" i="1" a="1"/>
  <c r="N143" i="1" s="1"/>
  <c r="G143" i="1" a="1"/>
  <c r="G143" i="1" s="1"/>
  <c r="BA143" i="1" a="1"/>
  <c r="BA143" i="1" s="1"/>
  <c r="BE143" i="1" a="1"/>
  <c r="BE143" i="1" s="1"/>
  <c r="AW143" i="1" a="1"/>
  <c r="AW143" i="1" s="1"/>
  <c r="AX143" i="1" s="1"/>
  <c r="AD143" i="1" a="1"/>
  <c r="AD143" i="1" s="1"/>
  <c r="AE143" i="1" s="1"/>
  <c r="AB143" i="1" s="1"/>
  <c r="T143" i="1" a="1"/>
  <c r="T143" i="1" s="1"/>
  <c r="K143" i="1" a="1"/>
  <c r="K143" i="1" s="1"/>
  <c r="AI143" i="1" a="1"/>
  <c r="AI143" i="1" s="1"/>
  <c r="Z143" i="1" a="1"/>
  <c r="Z143" i="1" s="1"/>
  <c r="R143" i="1" a="1"/>
  <c r="R143" i="1" s="1"/>
  <c r="V143" i="1" a="1"/>
  <c r="V143" i="1" s="1"/>
  <c r="O143" i="1" a="1"/>
  <c r="O143" i="1" s="1"/>
  <c r="P143" i="1" s="1"/>
  <c r="M143" i="1" s="1"/>
  <c r="J143" i="1" a="1"/>
  <c r="J143" i="1" s="1"/>
  <c r="Q142" i="1" a="1"/>
  <c r="Q142" i="1" s="1"/>
  <c r="I142" i="1"/>
  <c r="X142" i="1"/>
  <c r="AF142" i="1"/>
  <c r="A143" i="1"/>
  <c r="B144" i="1"/>
  <c r="AZ143" i="1" l="1"/>
  <c r="AT143" i="1"/>
  <c r="D144" i="1"/>
  <c r="E144" i="1"/>
  <c r="C144" i="1"/>
  <c r="AZ144" i="1" s="1"/>
  <c r="AA143" i="1"/>
  <c r="AY142" i="1"/>
  <c r="L143" i="1"/>
  <c r="AO142" i="1"/>
  <c r="H143" i="1"/>
  <c r="AY143" i="1" s="1"/>
  <c r="G144" i="1" a="1"/>
  <c r="G144" i="1" s="1"/>
  <c r="BB144" i="1" a="1"/>
  <c r="BB144" i="1" s="1"/>
  <c r="BD144" i="1" a="1"/>
  <c r="BD144" i="1" s="1"/>
  <c r="BF144" i="1" a="1"/>
  <c r="BF144" i="1" s="1"/>
  <c r="AW144" i="1" a="1"/>
  <c r="AW144" i="1" s="1"/>
  <c r="AS144" i="1" a="1"/>
  <c r="AS144" i="1" s="1"/>
  <c r="AH144" i="1" a="1"/>
  <c r="AH144" i="1" s="1"/>
  <c r="AJ144" i="1" a="1"/>
  <c r="AJ144" i="1" s="1"/>
  <c r="AL144" i="1" a="1"/>
  <c r="AL144" i="1" s="1"/>
  <c r="F144" i="1" a="1"/>
  <c r="F144" i="1" s="1"/>
  <c r="H144" i="1" s="1"/>
  <c r="BA144" i="1" a="1"/>
  <c r="BA144" i="1" s="1"/>
  <c r="BE144" i="1" a="1"/>
  <c r="BE144" i="1" s="1"/>
  <c r="AV144" i="1" a="1"/>
  <c r="AV144" i="1" s="1"/>
  <c r="AI144" i="1" a="1"/>
  <c r="AI144" i="1" s="1"/>
  <c r="AD144" i="1" a="1"/>
  <c r="AD144" i="1" s="1"/>
  <c r="Z144" i="1" a="1"/>
  <c r="Z144" i="1" s="1"/>
  <c r="S144" i="1" a="1"/>
  <c r="S144" i="1" s="1"/>
  <c r="U144" i="1" a="1"/>
  <c r="U144" i="1" s="1"/>
  <c r="W144" i="1" a="1"/>
  <c r="W144" i="1" s="1"/>
  <c r="O144" i="1" a="1"/>
  <c r="O144" i="1" s="1"/>
  <c r="K144" i="1" a="1"/>
  <c r="K144" i="1" s="1"/>
  <c r="J144" i="1" a="1"/>
  <c r="J144" i="1" s="1"/>
  <c r="BC144" i="1" a="1"/>
  <c r="BC144" i="1" s="1"/>
  <c r="AG144" i="1" a="1"/>
  <c r="AG144" i="1" s="1"/>
  <c r="Y144" i="1" a="1"/>
  <c r="Y144" i="1" s="1"/>
  <c r="R144" i="1" a="1"/>
  <c r="R144" i="1" s="1"/>
  <c r="V144" i="1" a="1"/>
  <c r="V144" i="1" s="1"/>
  <c r="N144" i="1" a="1"/>
  <c r="N144" i="1" s="1"/>
  <c r="AR144" i="1" a="1"/>
  <c r="AR144" i="1" s="1"/>
  <c r="AK144" i="1" a="1"/>
  <c r="AK144" i="1" s="1"/>
  <c r="AC144" i="1" a="1"/>
  <c r="AC144" i="1" s="1"/>
  <c r="T144" i="1" a="1"/>
  <c r="T144" i="1" s="1"/>
  <c r="X143" i="1"/>
  <c r="AF143" i="1"/>
  <c r="I143" i="1"/>
  <c r="Q143" i="1" a="1"/>
  <c r="Q143" i="1" s="1"/>
  <c r="AO143" i="1" s="1"/>
  <c r="A144" i="1"/>
  <c r="B145" i="1"/>
  <c r="D145" i="1" l="1"/>
  <c r="E145" i="1"/>
  <c r="C145" i="1"/>
  <c r="AZ145" i="1" s="1"/>
  <c r="AT144" i="1"/>
  <c r="AX144" i="1"/>
  <c r="L144" i="1"/>
  <c r="AE144" i="1"/>
  <c r="AB144" i="1" s="1"/>
  <c r="P144" i="1"/>
  <c r="M144" i="1" s="1"/>
  <c r="AA144" i="1"/>
  <c r="F145" i="1" a="1"/>
  <c r="F145" i="1" s="1"/>
  <c r="BB145" i="1" a="1"/>
  <c r="BB145" i="1" s="1"/>
  <c r="BD145" i="1" a="1"/>
  <c r="BD145" i="1" s="1"/>
  <c r="BF145" i="1" a="1"/>
  <c r="BF145" i="1" s="1"/>
  <c r="AV145" i="1" a="1"/>
  <c r="AV145" i="1" s="1"/>
  <c r="AR145" i="1" a="1"/>
  <c r="AR145" i="1" s="1"/>
  <c r="AH145" i="1" a="1"/>
  <c r="AH145" i="1" s="1"/>
  <c r="AJ145" i="1" a="1"/>
  <c r="AJ145" i="1" s="1"/>
  <c r="AL145" i="1" a="1"/>
  <c r="AL145" i="1" s="1"/>
  <c r="G145" i="1" a="1"/>
  <c r="G145" i="1" s="1"/>
  <c r="BC145" i="1" a="1"/>
  <c r="BC145" i="1" s="1"/>
  <c r="AW145" i="1" a="1"/>
  <c r="AW145" i="1" s="1"/>
  <c r="AG145" i="1" a="1"/>
  <c r="AG145" i="1" s="1"/>
  <c r="AK145" i="1" a="1"/>
  <c r="AK145" i="1" s="1"/>
  <c r="AC145" i="1" a="1"/>
  <c r="AC145" i="1" s="1"/>
  <c r="Y145" i="1" a="1"/>
  <c r="Y145" i="1" s="1"/>
  <c r="S145" i="1" a="1"/>
  <c r="S145" i="1" s="1"/>
  <c r="U145" i="1" a="1"/>
  <c r="U145" i="1" s="1"/>
  <c r="W145" i="1" a="1"/>
  <c r="W145" i="1" s="1"/>
  <c r="N145" i="1" a="1"/>
  <c r="N145" i="1" s="1"/>
  <c r="BA145" i="1" a="1"/>
  <c r="BA145" i="1" s="1"/>
  <c r="BE145" i="1" a="1"/>
  <c r="BE145" i="1" s="1"/>
  <c r="AS145" i="1" a="1"/>
  <c r="AS145" i="1" s="1"/>
  <c r="AT145" i="1" s="1"/>
  <c r="AI145" i="1" a="1"/>
  <c r="AI145" i="1" s="1"/>
  <c r="Z145" i="1" a="1"/>
  <c r="Z145" i="1" s="1"/>
  <c r="T145" i="1" a="1"/>
  <c r="T145" i="1" s="1"/>
  <c r="O145" i="1" a="1"/>
  <c r="O145" i="1" s="1"/>
  <c r="J145" i="1" a="1"/>
  <c r="J145" i="1" s="1"/>
  <c r="AD145" i="1" a="1"/>
  <c r="AD145" i="1" s="1"/>
  <c r="AE145" i="1" s="1"/>
  <c r="AB145" i="1" s="1"/>
  <c r="R145" i="1" a="1"/>
  <c r="R145" i="1" s="1"/>
  <c r="V145" i="1" a="1"/>
  <c r="V145" i="1" s="1"/>
  <c r="K145" i="1" a="1"/>
  <c r="K145" i="1" s="1"/>
  <c r="Q144" i="1" a="1"/>
  <c r="Q144" i="1" s="1"/>
  <c r="I144" i="1"/>
  <c r="X144" i="1"/>
  <c r="AF144" i="1"/>
  <c r="A145" i="1"/>
  <c r="B146" i="1"/>
  <c r="L145" i="1" l="1"/>
  <c r="AX145" i="1"/>
  <c r="AA145" i="1"/>
  <c r="D146" i="1"/>
  <c r="E146" i="1"/>
  <c r="C146" i="1"/>
  <c r="AZ146" i="1" s="1"/>
  <c r="AO144" i="1"/>
  <c r="P145" i="1"/>
  <c r="M145" i="1" s="1"/>
  <c r="AY144" i="1"/>
  <c r="H145" i="1"/>
  <c r="AY145" i="1" s="1"/>
  <c r="G146" i="1" a="1"/>
  <c r="G146" i="1" s="1"/>
  <c r="BB146" i="1" a="1"/>
  <c r="BB146" i="1" s="1"/>
  <c r="BD146" i="1" a="1"/>
  <c r="BD146" i="1" s="1"/>
  <c r="BF146" i="1" a="1"/>
  <c r="BF146" i="1" s="1"/>
  <c r="AW146" i="1" a="1"/>
  <c r="AW146" i="1" s="1"/>
  <c r="AS146" i="1" a="1"/>
  <c r="AS146" i="1" s="1"/>
  <c r="AH146" i="1" a="1"/>
  <c r="AH146" i="1" s="1"/>
  <c r="AJ146" i="1" a="1"/>
  <c r="AJ146" i="1" s="1"/>
  <c r="AL146" i="1" a="1"/>
  <c r="AL146" i="1" s="1"/>
  <c r="BA146" i="1" a="1"/>
  <c r="BA146" i="1" s="1"/>
  <c r="BE146" i="1" a="1"/>
  <c r="BE146" i="1" s="1"/>
  <c r="AR146" i="1" a="1"/>
  <c r="AR146" i="1" s="1"/>
  <c r="AI146" i="1" a="1"/>
  <c r="AI146" i="1" s="1"/>
  <c r="AD146" i="1" a="1"/>
  <c r="AD146" i="1" s="1"/>
  <c r="Z146" i="1" a="1"/>
  <c r="Z146" i="1" s="1"/>
  <c r="S146" i="1" a="1"/>
  <c r="S146" i="1" s="1"/>
  <c r="U146" i="1" a="1"/>
  <c r="U146" i="1" s="1"/>
  <c r="W146" i="1" a="1"/>
  <c r="W146" i="1" s="1"/>
  <c r="O146" i="1" a="1"/>
  <c r="O146" i="1" s="1"/>
  <c r="K146" i="1" a="1"/>
  <c r="K146" i="1" s="1"/>
  <c r="J146" i="1" a="1"/>
  <c r="J146" i="1" s="1"/>
  <c r="F146" i="1" a="1"/>
  <c r="F146" i="1" s="1"/>
  <c r="H146" i="1" s="1"/>
  <c r="BC146" i="1" a="1"/>
  <c r="BC146" i="1" s="1"/>
  <c r="AV146" i="1" a="1"/>
  <c r="AV146" i="1" s="1"/>
  <c r="AK146" i="1" a="1"/>
  <c r="AK146" i="1" s="1"/>
  <c r="AC146" i="1" a="1"/>
  <c r="AC146" i="1" s="1"/>
  <c r="R146" i="1" a="1"/>
  <c r="R146" i="1" s="1"/>
  <c r="V146" i="1" a="1"/>
  <c r="V146" i="1" s="1"/>
  <c r="AG146" i="1" a="1"/>
  <c r="AG146" i="1" s="1"/>
  <c r="Y146" i="1" a="1"/>
  <c r="Y146" i="1" s="1"/>
  <c r="T146" i="1" a="1"/>
  <c r="T146" i="1" s="1"/>
  <c r="N146" i="1" a="1"/>
  <c r="N146" i="1" s="1"/>
  <c r="I145" i="1"/>
  <c r="Q145" i="1" a="1"/>
  <c r="Q145" i="1" s="1"/>
  <c r="X145" i="1"/>
  <c r="AF145" i="1"/>
  <c r="A146" i="1"/>
  <c r="B147" i="1"/>
  <c r="D147" i="1" l="1"/>
  <c r="E147" i="1"/>
  <c r="C147" i="1"/>
  <c r="AX146" i="1"/>
  <c r="AT146" i="1"/>
  <c r="L146" i="1"/>
  <c r="AO145" i="1"/>
  <c r="AE146" i="1"/>
  <c r="AB146" i="1" s="1"/>
  <c r="P146" i="1"/>
  <c r="M146" i="1" s="1"/>
  <c r="AA146" i="1"/>
  <c r="F147" i="1" a="1"/>
  <c r="F147" i="1" s="1"/>
  <c r="BB147" i="1" a="1"/>
  <c r="BB147" i="1" s="1"/>
  <c r="BD147" i="1" a="1"/>
  <c r="BD147" i="1" s="1"/>
  <c r="BF147" i="1" a="1"/>
  <c r="BF147" i="1" s="1"/>
  <c r="AV147" i="1" a="1"/>
  <c r="AV147" i="1" s="1"/>
  <c r="AR147" i="1" a="1"/>
  <c r="AR147" i="1" s="1"/>
  <c r="AH147" i="1" a="1"/>
  <c r="AH147" i="1" s="1"/>
  <c r="AJ147" i="1" a="1"/>
  <c r="AJ147" i="1" s="1"/>
  <c r="AL147" i="1" a="1"/>
  <c r="AL147" i="1" s="1"/>
  <c r="BC147" i="1" a="1"/>
  <c r="BC147" i="1" s="1"/>
  <c r="AS147" i="1" a="1"/>
  <c r="AS147" i="1" s="1"/>
  <c r="AG147" i="1" a="1"/>
  <c r="AG147" i="1" s="1"/>
  <c r="AK147" i="1" a="1"/>
  <c r="AK147" i="1" s="1"/>
  <c r="AC147" i="1" a="1"/>
  <c r="AC147" i="1" s="1"/>
  <c r="Y147" i="1" a="1"/>
  <c r="Y147" i="1" s="1"/>
  <c r="S147" i="1" a="1"/>
  <c r="S147" i="1" s="1"/>
  <c r="U147" i="1" a="1"/>
  <c r="U147" i="1" s="1"/>
  <c r="W147" i="1" a="1"/>
  <c r="W147" i="1" s="1"/>
  <c r="N147" i="1" a="1"/>
  <c r="N147" i="1" s="1"/>
  <c r="G147" i="1" a="1"/>
  <c r="G147" i="1" s="1"/>
  <c r="BA147" i="1" a="1"/>
  <c r="BA147" i="1" s="1"/>
  <c r="BE147" i="1" a="1"/>
  <c r="BE147" i="1" s="1"/>
  <c r="AW147" i="1" a="1"/>
  <c r="AW147" i="1" s="1"/>
  <c r="AX147" i="1" s="1"/>
  <c r="AD147" i="1" a="1"/>
  <c r="AD147" i="1" s="1"/>
  <c r="AE147" i="1" s="1"/>
  <c r="AB147" i="1" s="1"/>
  <c r="T147" i="1" a="1"/>
  <c r="T147" i="1" s="1"/>
  <c r="K147" i="1" a="1"/>
  <c r="K147" i="1" s="1"/>
  <c r="AI147" i="1" a="1"/>
  <c r="AI147" i="1" s="1"/>
  <c r="Z147" i="1" a="1"/>
  <c r="Z147" i="1" s="1"/>
  <c r="R147" i="1" a="1"/>
  <c r="R147" i="1" s="1"/>
  <c r="V147" i="1" a="1"/>
  <c r="V147" i="1" s="1"/>
  <c r="O147" i="1" a="1"/>
  <c r="O147" i="1" s="1"/>
  <c r="P147" i="1" s="1"/>
  <c r="M147" i="1" s="1"/>
  <c r="J147" i="1" a="1"/>
  <c r="J147" i="1" s="1"/>
  <c r="Q146" i="1" a="1"/>
  <c r="Q146" i="1" s="1"/>
  <c r="I146" i="1"/>
  <c r="X146" i="1"/>
  <c r="AF146" i="1"/>
  <c r="A147" i="1"/>
  <c r="B148" i="1"/>
  <c r="AZ147" i="1" l="1"/>
  <c r="AT147" i="1"/>
  <c r="AA147" i="1"/>
  <c r="D148" i="1"/>
  <c r="E148" i="1"/>
  <c r="C148" i="1"/>
  <c r="AO146" i="1"/>
  <c r="AY146" i="1"/>
  <c r="L147" i="1"/>
  <c r="H147" i="1"/>
  <c r="AY147" i="1" s="1"/>
  <c r="G148" i="1" a="1"/>
  <c r="G148" i="1" s="1"/>
  <c r="BB148" i="1" a="1"/>
  <c r="BB148" i="1" s="1"/>
  <c r="BD148" i="1" a="1"/>
  <c r="BD148" i="1" s="1"/>
  <c r="BF148" i="1" a="1"/>
  <c r="BF148" i="1" s="1"/>
  <c r="AW148" i="1" a="1"/>
  <c r="AW148" i="1" s="1"/>
  <c r="AS148" i="1" a="1"/>
  <c r="AS148" i="1" s="1"/>
  <c r="AH148" i="1" a="1"/>
  <c r="AH148" i="1" s="1"/>
  <c r="AJ148" i="1" a="1"/>
  <c r="AJ148" i="1" s="1"/>
  <c r="AL148" i="1" a="1"/>
  <c r="AL148" i="1" s="1"/>
  <c r="F148" i="1" a="1"/>
  <c r="F148" i="1" s="1"/>
  <c r="H148" i="1" s="1"/>
  <c r="BA148" i="1" a="1"/>
  <c r="BA148" i="1" s="1"/>
  <c r="BE148" i="1" a="1"/>
  <c r="BE148" i="1" s="1"/>
  <c r="AV148" i="1" a="1"/>
  <c r="AV148" i="1" s="1"/>
  <c r="AI148" i="1" a="1"/>
  <c r="AI148" i="1" s="1"/>
  <c r="AD148" i="1" a="1"/>
  <c r="AD148" i="1" s="1"/>
  <c r="Z148" i="1" a="1"/>
  <c r="Z148" i="1" s="1"/>
  <c r="S148" i="1" a="1"/>
  <c r="S148" i="1" s="1"/>
  <c r="U148" i="1" a="1"/>
  <c r="U148" i="1" s="1"/>
  <c r="W148" i="1" a="1"/>
  <c r="W148" i="1" s="1"/>
  <c r="O148" i="1" a="1"/>
  <c r="O148" i="1" s="1"/>
  <c r="K148" i="1" a="1"/>
  <c r="K148" i="1" s="1"/>
  <c r="J148" i="1" a="1"/>
  <c r="J148" i="1" s="1"/>
  <c r="BC148" i="1" a="1"/>
  <c r="BC148" i="1" s="1"/>
  <c r="AR148" i="1" a="1"/>
  <c r="AR148" i="1" s="1"/>
  <c r="AG148" i="1" a="1"/>
  <c r="AG148" i="1" s="1"/>
  <c r="Y148" i="1" a="1"/>
  <c r="Y148" i="1" s="1"/>
  <c r="R148" i="1" a="1"/>
  <c r="R148" i="1" s="1"/>
  <c r="V148" i="1" a="1"/>
  <c r="V148" i="1" s="1"/>
  <c r="N148" i="1" a="1"/>
  <c r="N148" i="1" s="1"/>
  <c r="AK148" i="1" a="1"/>
  <c r="AK148" i="1" s="1"/>
  <c r="AC148" i="1" a="1"/>
  <c r="AC148" i="1" s="1"/>
  <c r="T148" i="1" a="1"/>
  <c r="T148" i="1" s="1"/>
  <c r="X147" i="1"/>
  <c r="AF147" i="1"/>
  <c r="I147" i="1"/>
  <c r="Q147" i="1" a="1"/>
  <c r="Q147" i="1" s="1"/>
  <c r="AO147" i="1" s="1"/>
  <c r="A148" i="1"/>
  <c r="B149" i="1"/>
  <c r="AZ149" i="1" l="1"/>
  <c r="AZ148" i="1"/>
  <c r="D149" i="1"/>
  <c r="E149" i="1"/>
  <c r="C149" i="1"/>
  <c r="L148" i="1"/>
  <c r="AX148" i="1"/>
  <c r="AT148" i="1"/>
  <c r="P148" i="1"/>
  <c r="M148" i="1" s="1"/>
  <c r="AA148" i="1"/>
  <c r="AE148" i="1"/>
  <c r="AB148" i="1" s="1"/>
  <c r="F149" i="1" a="1"/>
  <c r="F149" i="1" s="1"/>
  <c r="BB149" i="1" a="1"/>
  <c r="BB149" i="1" s="1"/>
  <c r="BD149" i="1" a="1"/>
  <c r="BD149" i="1" s="1"/>
  <c r="BF149" i="1" a="1"/>
  <c r="BF149" i="1" s="1"/>
  <c r="AV149" i="1" a="1"/>
  <c r="AV149" i="1" s="1"/>
  <c r="AR149" i="1" a="1"/>
  <c r="AR149" i="1" s="1"/>
  <c r="AH149" i="1" a="1"/>
  <c r="AH149" i="1" s="1"/>
  <c r="AJ149" i="1" a="1"/>
  <c r="AJ149" i="1" s="1"/>
  <c r="AL149" i="1" a="1"/>
  <c r="AL149" i="1" s="1"/>
  <c r="G149" i="1" a="1"/>
  <c r="G149" i="1" s="1"/>
  <c r="BC149" i="1" a="1"/>
  <c r="BC149" i="1" s="1"/>
  <c r="AW149" i="1" a="1"/>
  <c r="AW149" i="1" s="1"/>
  <c r="AG149" i="1" a="1"/>
  <c r="AG149" i="1" s="1"/>
  <c r="AK149" i="1" a="1"/>
  <c r="AK149" i="1" s="1"/>
  <c r="AC149" i="1" a="1"/>
  <c r="AC149" i="1" s="1"/>
  <c r="Y149" i="1" a="1"/>
  <c r="Y149" i="1" s="1"/>
  <c r="S149" i="1" a="1"/>
  <c r="S149" i="1" s="1"/>
  <c r="U149" i="1" a="1"/>
  <c r="U149" i="1" s="1"/>
  <c r="W149" i="1" a="1"/>
  <c r="W149" i="1" s="1"/>
  <c r="N149" i="1" a="1"/>
  <c r="N149" i="1" s="1"/>
  <c r="BA149" i="1" a="1"/>
  <c r="BA149" i="1" s="1"/>
  <c r="BE149" i="1" a="1"/>
  <c r="BE149" i="1" s="1"/>
  <c r="AS149" i="1" a="1"/>
  <c r="AS149" i="1" s="1"/>
  <c r="AI149" i="1" a="1"/>
  <c r="AI149" i="1" s="1"/>
  <c r="Z149" i="1" a="1"/>
  <c r="Z149" i="1" s="1"/>
  <c r="T149" i="1" a="1"/>
  <c r="T149" i="1" s="1"/>
  <c r="O149" i="1" a="1"/>
  <c r="O149" i="1" s="1"/>
  <c r="J149" i="1" a="1"/>
  <c r="J149" i="1" s="1"/>
  <c r="AD149" i="1" a="1"/>
  <c r="AD149" i="1" s="1"/>
  <c r="AE149" i="1" s="1"/>
  <c r="AB149" i="1" s="1"/>
  <c r="R149" i="1" a="1"/>
  <c r="R149" i="1" s="1"/>
  <c r="V149" i="1" a="1"/>
  <c r="V149" i="1" s="1"/>
  <c r="K149" i="1" a="1"/>
  <c r="K149" i="1" s="1"/>
  <c r="Q148" i="1" a="1"/>
  <c r="Q148" i="1" s="1"/>
  <c r="I148" i="1"/>
  <c r="X148" i="1"/>
  <c r="AF148" i="1"/>
  <c r="A149" i="1"/>
  <c r="B150" i="1"/>
  <c r="L149" i="1" l="1"/>
  <c r="AX149" i="1"/>
  <c r="AT149" i="1"/>
  <c r="D150" i="1"/>
  <c r="E150" i="1"/>
  <c r="C150" i="1"/>
  <c r="AZ150" i="1" s="1"/>
  <c r="AO148" i="1"/>
  <c r="P149" i="1"/>
  <c r="M149" i="1" s="1"/>
  <c r="AA149" i="1"/>
  <c r="AY148" i="1"/>
  <c r="H149" i="1"/>
  <c r="G150" i="1" a="1"/>
  <c r="G150" i="1" s="1"/>
  <c r="BB150" i="1" a="1"/>
  <c r="BB150" i="1" s="1"/>
  <c r="BD150" i="1" a="1"/>
  <c r="BD150" i="1" s="1"/>
  <c r="BF150" i="1" a="1"/>
  <c r="BF150" i="1" s="1"/>
  <c r="AW150" i="1" a="1"/>
  <c r="AW150" i="1" s="1"/>
  <c r="AS150" i="1" a="1"/>
  <c r="AS150" i="1" s="1"/>
  <c r="AH150" i="1" a="1"/>
  <c r="AH150" i="1" s="1"/>
  <c r="AJ150" i="1" a="1"/>
  <c r="AJ150" i="1" s="1"/>
  <c r="AL150" i="1" a="1"/>
  <c r="AL150" i="1" s="1"/>
  <c r="BA150" i="1" a="1"/>
  <c r="BA150" i="1" s="1"/>
  <c r="BE150" i="1" a="1"/>
  <c r="BE150" i="1" s="1"/>
  <c r="AR150" i="1" a="1"/>
  <c r="AR150" i="1" s="1"/>
  <c r="AI150" i="1" a="1"/>
  <c r="AI150" i="1" s="1"/>
  <c r="AD150" i="1" a="1"/>
  <c r="AD150" i="1" s="1"/>
  <c r="Z150" i="1" a="1"/>
  <c r="Z150" i="1" s="1"/>
  <c r="S150" i="1" a="1"/>
  <c r="S150" i="1" s="1"/>
  <c r="U150" i="1" a="1"/>
  <c r="U150" i="1" s="1"/>
  <c r="W150" i="1" a="1"/>
  <c r="W150" i="1" s="1"/>
  <c r="O150" i="1" a="1"/>
  <c r="O150" i="1" s="1"/>
  <c r="K150" i="1" a="1"/>
  <c r="K150" i="1" s="1"/>
  <c r="J150" i="1" a="1"/>
  <c r="J150" i="1" s="1"/>
  <c r="F150" i="1" a="1"/>
  <c r="F150" i="1" s="1"/>
  <c r="H150" i="1" s="1"/>
  <c r="BC150" i="1" a="1"/>
  <c r="BC150" i="1" s="1"/>
  <c r="AV150" i="1" a="1"/>
  <c r="AV150" i="1" s="1"/>
  <c r="AK150" i="1" a="1"/>
  <c r="AK150" i="1" s="1"/>
  <c r="AC150" i="1" a="1"/>
  <c r="AC150" i="1" s="1"/>
  <c r="R150" i="1" a="1"/>
  <c r="R150" i="1" s="1"/>
  <c r="V150" i="1" a="1"/>
  <c r="V150" i="1" s="1"/>
  <c r="AG150" i="1" a="1"/>
  <c r="AG150" i="1" s="1"/>
  <c r="Y150" i="1" a="1"/>
  <c r="Y150" i="1" s="1"/>
  <c r="T150" i="1" a="1"/>
  <c r="T150" i="1" s="1"/>
  <c r="N150" i="1" a="1"/>
  <c r="N150" i="1" s="1"/>
  <c r="I149" i="1"/>
  <c r="Q149" i="1" a="1"/>
  <c r="Q149" i="1" s="1"/>
  <c r="X149" i="1"/>
  <c r="AF149" i="1"/>
  <c r="A150" i="1"/>
  <c r="B151" i="1"/>
  <c r="AY149" i="1" l="1"/>
  <c r="D151" i="1"/>
  <c r="E151" i="1"/>
  <c r="C151" i="1"/>
  <c r="AX150" i="1"/>
  <c r="L150" i="1"/>
  <c r="AT150" i="1"/>
  <c r="AY150" i="1" s="1"/>
  <c r="P150" i="1"/>
  <c r="M150" i="1" s="1"/>
  <c r="AA150" i="1"/>
  <c r="AO149" i="1"/>
  <c r="AE150" i="1"/>
  <c r="AB150" i="1" s="1"/>
  <c r="F151" i="1" a="1"/>
  <c r="F151" i="1" s="1"/>
  <c r="BB151" i="1" a="1"/>
  <c r="BB151" i="1" s="1"/>
  <c r="BD151" i="1" a="1"/>
  <c r="BD151" i="1" s="1"/>
  <c r="BF151" i="1" a="1"/>
  <c r="BF151" i="1" s="1"/>
  <c r="AV151" i="1" a="1"/>
  <c r="AV151" i="1" s="1"/>
  <c r="AR151" i="1" a="1"/>
  <c r="AR151" i="1" s="1"/>
  <c r="AH151" i="1" a="1"/>
  <c r="AH151" i="1" s="1"/>
  <c r="AJ151" i="1" a="1"/>
  <c r="AJ151" i="1" s="1"/>
  <c r="AL151" i="1" a="1"/>
  <c r="AL151" i="1" s="1"/>
  <c r="BC151" i="1" a="1"/>
  <c r="BC151" i="1" s="1"/>
  <c r="AS151" i="1" a="1"/>
  <c r="AS151" i="1" s="1"/>
  <c r="AG151" i="1" a="1"/>
  <c r="AG151" i="1" s="1"/>
  <c r="AK151" i="1" a="1"/>
  <c r="AK151" i="1" s="1"/>
  <c r="AC151" i="1" a="1"/>
  <c r="AC151" i="1" s="1"/>
  <c r="Y151" i="1" a="1"/>
  <c r="Y151" i="1" s="1"/>
  <c r="S151" i="1" a="1"/>
  <c r="S151" i="1" s="1"/>
  <c r="U151" i="1" a="1"/>
  <c r="U151" i="1" s="1"/>
  <c r="W151" i="1" a="1"/>
  <c r="W151" i="1" s="1"/>
  <c r="N151" i="1" a="1"/>
  <c r="N151" i="1" s="1"/>
  <c r="G151" i="1" a="1"/>
  <c r="G151" i="1" s="1"/>
  <c r="BA151" i="1" a="1"/>
  <c r="BA151" i="1" s="1"/>
  <c r="BE151" i="1" a="1"/>
  <c r="BE151" i="1" s="1"/>
  <c r="AW151" i="1" a="1"/>
  <c r="AW151" i="1" s="1"/>
  <c r="AX151" i="1" s="1"/>
  <c r="AD151" i="1" a="1"/>
  <c r="AD151" i="1" s="1"/>
  <c r="AE151" i="1" s="1"/>
  <c r="AB151" i="1" s="1"/>
  <c r="T151" i="1" a="1"/>
  <c r="T151" i="1" s="1"/>
  <c r="K151" i="1" a="1"/>
  <c r="K151" i="1" s="1"/>
  <c r="AI151" i="1" a="1"/>
  <c r="AI151" i="1" s="1"/>
  <c r="Z151" i="1" a="1"/>
  <c r="Z151" i="1" s="1"/>
  <c r="R151" i="1" a="1"/>
  <c r="R151" i="1" s="1"/>
  <c r="V151" i="1" a="1"/>
  <c r="V151" i="1" s="1"/>
  <c r="O151" i="1" a="1"/>
  <c r="O151" i="1" s="1"/>
  <c r="P151" i="1" s="1"/>
  <c r="M151" i="1" s="1"/>
  <c r="J151" i="1" a="1"/>
  <c r="J151" i="1" s="1"/>
  <c r="Q150" i="1" a="1"/>
  <c r="Q150" i="1" s="1"/>
  <c r="I150" i="1"/>
  <c r="X150" i="1"/>
  <c r="AF150" i="1"/>
  <c r="A151" i="1"/>
  <c r="B152" i="1"/>
  <c r="AZ151" i="1" l="1"/>
  <c r="AT151" i="1"/>
  <c r="D152" i="1"/>
  <c r="E152" i="1"/>
  <c r="C152" i="1"/>
  <c r="AA151" i="1"/>
  <c r="L151" i="1"/>
  <c r="AO150" i="1"/>
  <c r="H151" i="1"/>
  <c r="G152" i="1" a="1"/>
  <c r="G152" i="1" s="1"/>
  <c r="BB152" i="1" a="1"/>
  <c r="BB152" i="1" s="1"/>
  <c r="BD152" i="1" a="1"/>
  <c r="BD152" i="1" s="1"/>
  <c r="BF152" i="1" a="1"/>
  <c r="BF152" i="1" s="1"/>
  <c r="AW152" i="1" a="1"/>
  <c r="AW152" i="1" s="1"/>
  <c r="AS152" i="1" a="1"/>
  <c r="AS152" i="1" s="1"/>
  <c r="AH152" i="1" a="1"/>
  <c r="AH152" i="1" s="1"/>
  <c r="AJ152" i="1" a="1"/>
  <c r="AJ152" i="1" s="1"/>
  <c r="AL152" i="1" a="1"/>
  <c r="AL152" i="1" s="1"/>
  <c r="F152" i="1" a="1"/>
  <c r="F152" i="1" s="1"/>
  <c r="BA152" i="1" a="1"/>
  <c r="BA152" i="1" s="1"/>
  <c r="BE152" i="1" a="1"/>
  <c r="BE152" i="1" s="1"/>
  <c r="AV152" i="1" a="1"/>
  <c r="AV152" i="1" s="1"/>
  <c r="AI152" i="1" a="1"/>
  <c r="AI152" i="1" s="1"/>
  <c r="AD152" i="1" a="1"/>
  <c r="AD152" i="1" s="1"/>
  <c r="Z152" i="1" a="1"/>
  <c r="Z152" i="1" s="1"/>
  <c r="S152" i="1" a="1"/>
  <c r="S152" i="1" s="1"/>
  <c r="U152" i="1" a="1"/>
  <c r="U152" i="1" s="1"/>
  <c r="W152" i="1" a="1"/>
  <c r="W152" i="1" s="1"/>
  <c r="O152" i="1" a="1"/>
  <c r="O152" i="1" s="1"/>
  <c r="K152" i="1" a="1"/>
  <c r="K152" i="1" s="1"/>
  <c r="J152" i="1" a="1"/>
  <c r="J152" i="1" s="1"/>
  <c r="BC152" i="1" a="1"/>
  <c r="BC152" i="1" s="1"/>
  <c r="AG152" i="1" a="1"/>
  <c r="AG152" i="1" s="1"/>
  <c r="Y152" i="1" a="1"/>
  <c r="Y152" i="1" s="1"/>
  <c r="R152" i="1" a="1"/>
  <c r="R152" i="1" s="1"/>
  <c r="V152" i="1" a="1"/>
  <c r="V152" i="1" s="1"/>
  <c r="N152" i="1" a="1"/>
  <c r="N152" i="1" s="1"/>
  <c r="AR152" i="1" a="1"/>
  <c r="AR152" i="1" s="1"/>
  <c r="AK152" i="1" a="1"/>
  <c r="AK152" i="1" s="1"/>
  <c r="AC152" i="1" a="1"/>
  <c r="AC152" i="1" s="1"/>
  <c r="T152" i="1" a="1"/>
  <c r="T152" i="1" s="1"/>
  <c r="X151" i="1"/>
  <c r="AF151" i="1"/>
  <c r="I151" i="1"/>
  <c r="Q151" i="1" a="1"/>
  <c r="Q151" i="1" s="1"/>
  <c r="AO151" i="1" s="1"/>
  <c r="A152" i="1"/>
  <c r="B153" i="1"/>
  <c r="AZ152" i="1" l="1"/>
  <c r="AY151" i="1"/>
  <c r="D153" i="1"/>
  <c r="E153" i="1"/>
  <c r="C153" i="1"/>
  <c r="AZ153" i="1" s="1"/>
  <c r="H152" i="1"/>
  <c r="AX152" i="1"/>
  <c r="AT152" i="1"/>
  <c r="L152" i="1"/>
  <c r="AE152" i="1"/>
  <c r="AB152" i="1" s="1"/>
  <c r="P152" i="1"/>
  <c r="M152" i="1" s="1"/>
  <c r="AA152" i="1"/>
  <c r="F153" i="1" a="1"/>
  <c r="F153" i="1" s="1"/>
  <c r="BB153" i="1" a="1"/>
  <c r="BB153" i="1" s="1"/>
  <c r="BD153" i="1" a="1"/>
  <c r="BD153" i="1" s="1"/>
  <c r="BF153" i="1" a="1"/>
  <c r="BF153" i="1" s="1"/>
  <c r="AV153" i="1" a="1"/>
  <c r="AV153" i="1" s="1"/>
  <c r="AR153" i="1" a="1"/>
  <c r="AR153" i="1" s="1"/>
  <c r="AH153" i="1" a="1"/>
  <c r="AH153" i="1" s="1"/>
  <c r="AJ153" i="1" a="1"/>
  <c r="AJ153" i="1" s="1"/>
  <c r="AL153" i="1" a="1"/>
  <c r="AL153" i="1" s="1"/>
  <c r="G153" i="1" a="1"/>
  <c r="G153" i="1" s="1"/>
  <c r="BC153" i="1" a="1"/>
  <c r="BC153" i="1" s="1"/>
  <c r="AW153" i="1" a="1"/>
  <c r="AW153" i="1" s="1"/>
  <c r="AG153" i="1" a="1"/>
  <c r="AG153" i="1" s="1"/>
  <c r="AK153" i="1" a="1"/>
  <c r="AK153" i="1" s="1"/>
  <c r="AC153" i="1" a="1"/>
  <c r="AC153" i="1" s="1"/>
  <c r="Y153" i="1" a="1"/>
  <c r="Y153" i="1" s="1"/>
  <c r="S153" i="1" a="1"/>
  <c r="S153" i="1" s="1"/>
  <c r="U153" i="1" a="1"/>
  <c r="U153" i="1" s="1"/>
  <c r="W153" i="1" a="1"/>
  <c r="W153" i="1" s="1"/>
  <c r="N153" i="1" a="1"/>
  <c r="N153" i="1" s="1"/>
  <c r="BA153" i="1" a="1"/>
  <c r="BA153" i="1" s="1"/>
  <c r="BE153" i="1" a="1"/>
  <c r="BE153" i="1" s="1"/>
  <c r="AS153" i="1" a="1"/>
  <c r="AS153" i="1" s="1"/>
  <c r="AI153" i="1" a="1"/>
  <c r="AI153" i="1" s="1"/>
  <c r="Z153" i="1" a="1"/>
  <c r="Z153" i="1" s="1"/>
  <c r="T153" i="1" a="1"/>
  <c r="T153" i="1" s="1"/>
  <c r="O153" i="1" a="1"/>
  <c r="O153" i="1" s="1"/>
  <c r="J153" i="1" a="1"/>
  <c r="J153" i="1" s="1"/>
  <c r="AD153" i="1" a="1"/>
  <c r="AD153" i="1" s="1"/>
  <c r="AE153" i="1" s="1"/>
  <c r="AB153" i="1" s="1"/>
  <c r="R153" i="1" a="1"/>
  <c r="R153" i="1" s="1"/>
  <c r="V153" i="1" a="1"/>
  <c r="V153" i="1" s="1"/>
  <c r="K153" i="1" a="1"/>
  <c r="K153" i="1" s="1"/>
  <c r="L153" i="1" s="1"/>
  <c r="Q152" i="1" a="1"/>
  <c r="Q152" i="1" s="1"/>
  <c r="I152" i="1"/>
  <c r="X152" i="1"/>
  <c r="AF152" i="1"/>
  <c r="A153" i="1"/>
  <c r="B154" i="1"/>
  <c r="AX153" i="1" l="1"/>
  <c r="AT153" i="1"/>
  <c r="AY152" i="1"/>
  <c r="D154" i="1"/>
  <c r="E154" i="1"/>
  <c r="C154" i="1"/>
  <c r="AZ154" i="1" s="1"/>
  <c r="AO152" i="1"/>
  <c r="P153" i="1"/>
  <c r="M153" i="1" s="1"/>
  <c r="AA153" i="1"/>
  <c r="H153" i="1"/>
  <c r="G154" i="1" a="1"/>
  <c r="G154" i="1" s="1"/>
  <c r="BB154" i="1" a="1"/>
  <c r="BB154" i="1" s="1"/>
  <c r="BD154" i="1" a="1"/>
  <c r="BD154" i="1" s="1"/>
  <c r="BF154" i="1" a="1"/>
  <c r="BF154" i="1" s="1"/>
  <c r="AW154" i="1" a="1"/>
  <c r="AW154" i="1" s="1"/>
  <c r="AS154" i="1" a="1"/>
  <c r="AS154" i="1" s="1"/>
  <c r="AH154" i="1" a="1"/>
  <c r="AH154" i="1" s="1"/>
  <c r="AJ154" i="1" a="1"/>
  <c r="AJ154" i="1" s="1"/>
  <c r="AL154" i="1" a="1"/>
  <c r="AL154" i="1" s="1"/>
  <c r="BA154" i="1" a="1"/>
  <c r="BA154" i="1" s="1"/>
  <c r="BE154" i="1" a="1"/>
  <c r="BE154" i="1" s="1"/>
  <c r="AR154" i="1" a="1"/>
  <c r="AR154" i="1" s="1"/>
  <c r="AI154" i="1" a="1"/>
  <c r="AI154" i="1" s="1"/>
  <c r="AD154" i="1" a="1"/>
  <c r="AD154" i="1" s="1"/>
  <c r="Z154" i="1" a="1"/>
  <c r="Z154" i="1" s="1"/>
  <c r="S154" i="1" a="1"/>
  <c r="S154" i="1" s="1"/>
  <c r="U154" i="1" a="1"/>
  <c r="U154" i="1" s="1"/>
  <c r="W154" i="1" a="1"/>
  <c r="W154" i="1" s="1"/>
  <c r="O154" i="1" a="1"/>
  <c r="O154" i="1" s="1"/>
  <c r="K154" i="1" a="1"/>
  <c r="K154" i="1" s="1"/>
  <c r="J154" i="1" a="1"/>
  <c r="J154" i="1" s="1"/>
  <c r="F154" i="1" a="1"/>
  <c r="F154" i="1" s="1"/>
  <c r="H154" i="1" s="1"/>
  <c r="BC154" i="1" a="1"/>
  <c r="BC154" i="1" s="1"/>
  <c r="AV154" i="1" a="1"/>
  <c r="AV154" i="1" s="1"/>
  <c r="AK154" i="1" a="1"/>
  <c r="AK154" i="1" s="1"/>
  <c r="AC154" i="1" a="1"/>
  <c r="AC154" i="1" s="1"/>
  <c r="R154" i="1" a="1"/>
  <c r="R154" i="1" s="1"/>
  <c r="V154" i="1" a="1"/>
  <c r="V154" i="1" s="1"/>
  <c r="AG154" i="1" a="1"/>
  <c r="AG154" i="1" s="1"/>
  <c r="Y154" i="1" a="1"/>
  <c r="Y154" i="1" s="1"/>
  <c r="T154" i="1" a="1"/>
  <c r="T154" i="1" s="1"/>
  <c r="N154" i="1" a="1"/>
  <c r="N154" i="1" s="1"/>
  <c r="I153" i="1"/>
  <c r="Q153" i="1" a="1"/>
  <c r="Q153" i="1" s="1"/>
  <c r="X153" i="1"/>
  <c r="AF153" i="1"/>
  <c r="A154" i="1"/>
  <c r="B155" i="1"/>
  <c r="AY153" i="1" l="1"/>
  <c r="D155" i="1"/>
  <c r="E155" i="1"/>
  <c r="C155" i="1"/>
  <c r="AZ155" i="1" s="1"/>
  <c r="L154" i="1"/>
  <c r="AX154" i="1"/>
  <c r="AT154" i="1"/>
  <c r="P154" i="1"/>
  <c r="M154" i="1" s="1"/>
  <c r="AA154" i="1"/>
  <c r="AO153" i="1"/>
  <c r="AE154" i="1"/>
  <c r="AB154" i="1" s="1"/>
  <c r="F155" i="1" a="1"/>
  <c r="F155" i="1" s="1"/>
  <c r="BB155" i="1" a="1"/>
  <c r="BB155" i="1" s="1"/>
  <c r="BD155" i="1" a="1"/>
  <c r="BD155" i="1" s="1"/>
  <c r="BF155" i="1" a="1"/>
  <c r="BF155" i="1" s="1"/>
  <c r="AV155" i="1" a="1"/>
  <c r="AV155" i="1" s="1"/>
  <c r="AR155" i="1" a="1"/>
  <c r="AR155" i="1" s="1"/>
  <c r="AH155" i="1" a="1"/>
  <c r="AH155" i="1" s="1"/>
  <c r="AJ155" i="1" a="1"/>
  <c r="AJ155" i="1" s="1"/>
  <c r="AL155" i="1" a="1"/>
  <c r="AL155" i="1" s="1"/>
  <c r="BC155" i="1" a="1"/>
  <c r="BC155" i="1" s="1"/>
  <c r="AS155" i="1" a="1"/>
  <c r="AS155" i="1" s="1"/>
  <c r="AG155" i="1" a="1"/>
  <c r="AG155" i="1" s="1"/>
  <c r="AK155" i="1" a="1"/>
  <c r="AK155" i="1" s="1"/>
  <c r="AC155" i="1" a="1"/>
  <c r="AC155" i="1" s="1"/>
  <c r="Y155" i="1" a="1"/>
  <c r="Y155" i="1" s="1"/>
  <c r="S155" i="1" a="1"/>
  <c r="S155" i="1" s="1"/>
  <c r="U155" i="1" a="1"/>
  <c r="U155" i="1" s="1"/>
  <c r="W155" i="1" a="1"/>
  <c r="W155" i="1" s="1"/>
  <c r="N155" i="1" a="1"/>
  <c r="N155" i="1" s="1"/>
  <c r="G155" i="1" a="1"/>
  <c r="G155" i="1" s="1"/>
  <c r="BA155" i="1" a="1"/>
  <c r="BA155" i="1" s="1"/>
  <c r="BE155" i="1" a="1"/>
  <c r="BE155" i="1" s="1"/>
  <c r="AW155" i="1" a="1"/>
  <c r="AW155" i="1" s="1"/>
  <c r="AX155" i="1" s="1"/>
  <c r="AD155" i="1" a="1"/>
  <c r="AD155" i="1" s="1"/>
  <c r="AE155" i="1" s="1"/>
  <c r="AB155" i="1" s="1"/>
  <c r="T155" i="1" a="1"/>
  <c r="T155" i="1" s="1"/>
  <c r="K155" i="1" a="1"/>
  <c r="K155" i="1" s="1"/>
  <c r="AI155" i="1" a="1"/>
  <c r="AI155" i="1" s="1"/>
  <c r="Z155" i="1" a="1"/>
  <c r="Z155" i="1" s="1"/>
  <c r="R155" i="1" a="1"/>
  <c r="R155" i="1" s="1"/>
  <c r="V155" i="1" a="1"/>
  <c r="V155" i="1" s="1"/>
  <c r="O155" i="1" a="1"/>
  <c r="O155" i="1" s="1"/>
  <c r="P155" i="1" s="1"/>
  <c r="M155" i="1" s="1"/>
  <c r="J155" i="1" a="1"/>
  <c r="J155" i="1" s="1"/>
  <c r="Q154" i="1" a="1"/>
  <c r="Q154" i="1" s="1"/>
  <c r="I154" i="1"/>
  <c r="X154" i="1"/>
  <c r="AF154" i="1"/>
  <c r="A155" i="1"/>
  <c r="B156" i="1"/>
  <c r="AA155" i="1" l="1"/>
  <c r="AT155" i="1"/>
  <c r="D156" i="1"/>
  <c r="E156" i="1"/>
  <c r="C156" i="1"/>
  <c r="AY154" i="1"/>
  <c r="L155" i="1"/>
  <c r="AO154" i="1"/>
  <c r="H155" i="1"/>
  <c r="G156" i="1" a="1"/>
  <c r="G156" i="1" s="1"/>
  <c r="BB156" i="1" a="1"/>
  <c r="BB156" i="1" s="1"/>
  <c r="BD156" i="1" a="1"/>
  <c r="BD156" i="1" s="1"/>
  <c r="BF156" i="1" a="1"/>
  <c r="BF156" i="1" s="1"/>
  <c r="AW156" i="1" a="1"/>
  <c r="AW156" i="1" s="1"/>
  <c r="AS156" i="1" a="1"/>
  <c r="AS156" i="1" s="1"/>
  <c r="AH156" i="1" a="1"/>
  <c r="AH156" i="1" s="1"/>
  <c r="AJ156" i="1" a="1"/>
  <c r="AJ156" i="1" s="1"/>
  <c r="AL156" i="1" a="1"/>
  <c r="AL156" i="1" s="1"/>
  <c r="F156" i="1" a="1"/>
  <c r="F156" i="1" s="1"/>
  <c r="BA156" i="1" a="1"/>
  <c r="BA156" i="1" s="1"/>
  <c r="BE156" i="1" a="1"/>
  <c r="BE156" i="1" s="1"/>
  <c r="AV156" i="1" a="1"/>
  <c r="AV156" i="1" s="1"/>
  <c r="AI156" i="1" a="1"/>
  <c r="AI156" i="1" s="1"/>
  <c r="AD156" i="1" a="1"/>
  <c r="AD156" i="1" s="1"/>
  <c r="Z156" i="1" a="1"/>
  <c r="Z156" i="1" s="1"/>
  <c r="S156" i="1" a="1"/>
  <c r="S156" i="1" s="1"/>
  <c r="U156" i="1" a="1"/>
  <c r="U156" i="1" s="1"/>
  <c r="W156" i="1" a="1"/>
  <c r="W156" i="1" s="1"/>
  <c r="O156" i="1" a="1"/>
  <c r="O156" i="1" s="1"/>
  <c r="K156" i="1" a="1"/>
  <c r="K156" i="1" s="1"/>
  <c r="J156" i="1" a="1"/>
  <c r="J156" i="1" s="1"/>
  <c r="BC156" i="1" a="1"/>
  <c r="BC156" i="1" s="1"/>
  <c r="AR156" i="1" a="1"/>
  <c r="AR156" i="1" s="1"/>
  <c r="AG156" i="1" a="1"/>
  <c r="AG156" i="1" s="1"/>
  <c r="Y156" i="1" a="1"/>
  <c r="Y156" i="1" s="1"/>
  <c r="R156" i="1" a="1"/>
  <c r="R156" i="1" s="1"/>
  <c r="V156" i="1" a="1"/>
  <c r="V156" i="1" s="1"/>
  <c r="N156" i="1" a="1"/>
  <c r="N156" i="1" s="1"/>
  <c r="AK156" i="1" a="1"/>
  <c r="AK156" i="1" s="1"/>
  <c r="AC156" i="1" a="1"/>
  <c r="AC156" i="1" s="1"/>
  <c r="T156" i="1" a="1"/>
  <c r="T156" i="1" s="1"/>
  <c r="X155" i="1"/>
  <c r="AF155" i="1"/>
  <c r="I155" i="1"/>
  <c r="Q155" i="1" a="1"/>
  <c r="Q155" i="1" s="1"/>
  <c r="AO155" i="1" s="1"/>
  <c r="A156" i="1"/>
  <c r="B157" i="1"/>
  <c r="AZ156" i="1" l="1"/>
  <c r="AY155" i="1"/>
  <c r="D157" i="1"/>
  <c r="E157" i="1"/>
  <c r="C157" i="1"/>
  <c r="AZ157" i="1" s="1"/>
  <c r="H156" i="1"/>
  <c r="AT156" i="1"/>
  <c r="AX156" i="1"/>
  <c r="L156" i="1"/>
  <c r="AE156" i="1"/>
  <c r="AB156" i="1" s="1"/>
  <c r="P156" i="1"/>
  <c r="M156" i="1" s="1"/>
  <c r="AA156" i="1"/>
  <c r="F157" i="1" a="1"/>
  <c r="F157" i="1" s="1"/>
  <c r="BB157" i="1" a="1"/>
  <c r="BB157" i="1" s="1"/>
  <c r="BD157" i="1" a="1"/>
  <c r="BD157" i="1" s="1"/>
  <c r="BF157" i="1" a="1"/>
  <c r="BF157" i="1" s="1"/>
  <c r="AV157" i="1" a="1"/>
  <c r="AV157" i="1" s="1"/>
  <c r="AR157" i="1" a="1"/>
  <c r="AR157" i="1" s="1"/>
  <c r="AH157" i="1" a="1"/>
  <c r="AH157" i="1" s="1"/>
  <c r="AJ157" i="1" a="1"/>
  <c r="AJ157" i="1" s="1"/>
  <c r="AL157" i="1" a="1"/>
  <c r="AL157" i="1" s="1"/>
  <c r="G157" i="1" a="1"/>
  <c r="G157" i="1" s="1"/>
  <c r="BC157" i="1" a="1"/>
  <c r="BC157" i="1" s="1"/>
  <c r="AW157" i="1" a="1"/>
  <c r="AW157" i="1" s="1"/>
  <c r="AG157" i="1" a="1"/>
  <c r="AG157" i="1" s="1"/>
  <c r="AK157" i="1" a="1"/>
  <c r="AK157" i="1" s="1"/>
  <c r="AC157" i="1" a="1"/>
  <c r="AC157" i="1" s="1"/>
  <c r="Y157" i="1" a="1"/>
  <c r="Y157" i="1" s="1"/>
  <c r="S157" i="1" a="1"/>
  <c r="S157" i="1" s="1"/>
  <c r="U157" i="1" a="1"/>
  <c r="U157" i="1" s="1"/>
  <c r="W157" i="1" a="1"/>
  <c r="W157" i="1" s="1"/>
  <c r="N157" i="1" a="1"/>
  <c r="N157" i="1" s="1"/>
  <c r="BA157" i="1" a="1"/>
  <c r="BA157" i="1" s="1"/>
  <c r="BE157" i="1" a="1"/>
  <c r="BE157" i="1" s="1"/>
  <c r="AS157" i="1" a="1"/>
  <c r="AS157" i="1" s="1"/>
  <c r="AI157" i="1" a="1"/>
  <c r="AI157" i="1" s="1"/>
  <c r="Z157" i="1" a="1"/>
  <c r="Z157" i="1" s="1"/>
  <c r="T157" i="1" a="1"/>
  <c r="T157" i="1" s="1"/>
  <c r="O157" i="1" a="1"/>
  <c r="O157" i="1" s="1"/>
  <c r="J157" i="1" a="1"/>
  <c r="J157" i="1" s="1"/>
  <c r="AD157" i="1" a="1"/>
  <c r="AD157" i="1" s="1"/>
  <c r="AE157" i="1" s="1"/>
  <c r="AB157" i="1" s="1"/>
  <c r="R157" i="1" a="1"/>
  <c r="R157" i="1" s="1"/>
  <c r="V157" i="1" a="1"/>
  <c r="V157" i="1" s="1"/>
  <c r="K157" i="1" a="1"/>
  <c r="K157" i="1" s="1"/>
  <c r="Q156" i="1" a="1"/>
  <c r="Q156" i="1" s="1"/>
  <c r="I156" i="1"/>
  <c r="X156" i="1"/>
  <c r="AF156" i="1"/>
  <c r="A157" i="1"/>
  <c r="B158" i="1"/>
  <c r="L157" i="1" l="1"/>
  <c r="AT157" i="1"/>
  <c r="P157" i="1"/>
  <c r="M157" i="1" s="1"/>
  <c r="AA157" i="1"/>
  <c r="AX157" i="1"/>
  <c r="D158" i="1"/>
  <c r="E158" i="1"/>
  <c r="C158" i="1"/>
  <c r="AZ158" i="1" s="1"/>
  <c r="AO156" i="1"/>
  <c r="AY156" i="1"/>
  <c r="H157" i="1"/>
  <c r="G158" i="1" a="1"/>
  <c r="G158" i="1" s="1"/>
  <c r="BB158" i="1" a="1"/>
  <c r="BB158" i="1" s="1"/>
  <c r="BD158" i="1" a="1"/>
  <c r="BD158" i="1" s="1"/>
  <c r="BF158" i="1" a="1"/>
  <c r="BF158" i="1" s="1"/>
  <c r="AW158" i="1" a="1"/>
  <c r="AW158" i="1" s="1"/>
  <c r="AS158" i="1" a="1"/>
  <c r="AS158" i="1" s="1"/>
  <c r="AH158" i="1" a="1"/>
  <c r="AH158" i="1" s="1"/>
  <c r="AJ158" i="1" a="1"/>
  <c r="AJ158" i="1" s="1"/>
  <c r="AL158" i="1" a="1"/>
  <c r="AL158" i="1" s="1"/>
  <c r="BA158" i="1" a="1"/>
  <c r="BA158" i="1" s="1"/>
  <c r="BE158" i="1" a="1"/>
  <c r="BE158" i="1" s="1"/>
  <c r="AR158" i="1" a="1"/>
  <c r="AR158" i="1" s="1"/>
  <c r="AI158" i="1" a="1"/>
  <c r="AI158" i="1" s="1"/>
  <c r="AD158" i="1" a="1"/>
  <c r="AD158" i="1" s="1"/>
  <c r="Z158" i="1" a="1"/>
  <c r="Z158" i="1" s="1"/>
  <c r="S158" i="1" a="1"/>
  <c r="S158" i="1" s="1"/>
  <c r="U158" i="1" a="1"/>
  <c r="U158" i="1" s="1"/>
  <c r="W158" i="1" a="1"/>
  <c r="W158" i="1" s="1"/>
  <c r="O158" i="1" a="1"/>
  <c r="O158" i="1" s="1"/>
  <c r="K158" i="1" a="1"/>
  <c r="K158" i="1" s="1"/>
  <c r="J158" i="1" a="1"/>
  <c r="J158" i="1" s="1"/>
  <c r="F158" i="1" a="1"/>
  <c r="F158" i="1" s="1"/>
  <c r="H158" i="1" s="1"/>
  <c r="BC158" i="1" a="1"/>
  <c r="BC158" i="1" s="1"/>
  <c r="AV158" i="1" a="1"/>
  <c r="AV158" i="1" s="1"/>
  <c r="AK158" i="1" a="1"/>
  <c r="AK158" i="1" s="1"/>
  <c r="AC158" i="1" a="1"/>
  <c r="AC158" i="1" s="1"/>
  <c r="R158" i="1" a="1"/>
  <c r="R158" i="1" s="1"/>
  <c r="V158" i="1" a="1"/>
  <c r="V158" i="1" s="1"/>
  <c r="AG158" i="1" a="1"/>
  <c r="AG158" i="1" s="1"/>
  <c r="Y158" i="1" a="1"/>
  <c r="Y158" i="1" s="1"/>
  <c r="T158" i="1" a="1"/>
  <c r="T158" i="1" s="1"/>
  <c r="N158" i="1" a="1"/>
  <c r="N158" i="1" s="1"/>
  <c r="I157" i="1"/>
  <c r="Q157" i="1" a="1"/>
  <c r="Q157" i="1" s="1"/>
  <c r="X157" i="1"/>
  <c r="AF157" i="1"/>
  <c r="A158" i="1"/>
  <c r="B159" i="1"/>
  <c r="AY157" i="1" l="1"/>
  <c r="D159" i="1"/>
  <c r="E159" i="1"/>
  <c r="C159" i="1"/>
  <c r="AZ159" i="1" s="1"/>
  <c r="AT158" i="1"/>
  <c r="AX158" i="1"/>
  <c r="AO157" i="1"/>
  <c r="P158" i="1"/>
  <c r="M158" i="1" s="1"/>
  <c r="AA158" i="1"/>
  <c r="L158" i="1"/>
  <c r="AE158" i="1"/>
  <c r="AB158" i="1" s="1"/>
  <c r="F159" i="1" a="1"/>
  <c r="F159" i="1" s="1"/>
  <c r="BB159" i="1" a="1"/>
  <c r="BB159" i="1" s="1"/>
  <c r="BD159" i="1" a="1"/>
  <c r="BD159" i="1" s="1"/>
  <c r="BF159" i="1" a="1"/>
  <c r="BF159" i="1" s="1"/>
  <c r="AV159" i="1" a="1"/>
  <c r="AV159" i="1" s="1"/>
  <c r="AR159" i="1" a="1"/>
  <c r="AR159" i="1" s="1"/>
  <c r="AH159" i="1" a="1"/>
  <c r="AH159" i="1" s="1"/>
  <c r="AJ159" i="1" a="1"/>
  <c r="AJ159" i="1" s="1"/>
  <c r="AL159" i="1" a="1"/>
  <c r="AL159" i="1" s="1"/>
  <c r="BC159" i="1" a="1"/>
  <c r="BC159" i="1" s="1"/>
  <c r="AS159" i="1" a="1"/>
  <c r="AS159" i="1" s="1"/>
  <c r="AG159" i="1" a="1"/>
  <c r="AG159" i="1" s="1"/>
  <c r="AK159" i="1" a="1"/>
  <c r="AK159" i="1" s="1"/>
  <c r="AC159" i="1" a="1"/>
  <c r="AC159" i="1" s="1"/>
  <c r="Y159" i="1" a="1"/>
  <c r="Y159" i="1" s="1"/>
  <c r="S159" i="1" a="1"/>
  <c r="S159" i="1" s="1"/>
  <c r="U159" i="1" a="1"/>
  <c r="U159" i="1" s="1"/>
  <c r="W159" i="1" a="1"/>
  <c r="W159" i="1" s="1"/>
  <c r="N159" i="1" a="1"/>
  <c r="N159" i="1" s="1"/>
  <c r="G159" i="1" a="1"/>
  <c r="G159" i="1" s="1"/>
  <c r="BA159" i="1" a="1"/>
  <c r="BA159" i="1" s="1"/>
  <c r="BE159" i="1" a="1"/>
  <c r="BE159" i="1" s="1"/>
  <c r="AW159" i="1" a="1"/>
  <c r="AW159" i="1" s="1"/>
  <c r="AX159" i="1" s="1"/>
  <c r="AD159" i="1" a="1"/>
  <c r="AD159" i="1" s="1"/>
  <c r="AE159" i="1" s="1"/>
  <c r="AB159" i="1" s="1"/>
  <c r="T159" i="1" a="1"/>
  <c r="T159" i="1" s="1"/>
  <c r="K159" i="1" a="1"/>
  <c r="K159" i="1" s="1"/>
  <c r="AI159" i="1" a="1"/>
  <c r="AI159" i="1" s="1"/>
  <c r="Z159" i="1" a="1"/>
  <c r="Z159" i="1" s="1"/>
  <c r="R159" i="1" a="1"/>
  <c r="R159" i="1" s="1"/>
  <c r="V159" i="1" a="1"/>
  <c r="V159" i="1" s="1"/>
  <c r="O159" i="1" a="1"/>
  <c r="O159" i="1" s="1"/>
  <c r="P159" i="1" s="1"/>
  <c r="M159" i="1" s="1"/>
  <c r="J159" i="1" a="1"/>
  <c r="J159" i="1" s="1"/>
  <c r="Q158" i="1" a="1"/>
  <c r="Q158" i="1" s="1"/>
  <c r="I158" i="1"/>
  <c r="X158" i="1"/>
  <c r="AF158" i="1"/>
  <c r="A159" i="1"/>
  <c r="B160" i="1"/>
  <c r="D160" i="1" l="1"/>
  <c r="E160" i="1"/>
  <c r="C160" i="1"/>
  <c r="AZ160" i="1" s="1"/>
  <c r="AT159" i="1"/>
  <c r="AO158" i="1"/>
  <c r="AY158" i="1"/>
  <c r="AA159" i="1"/>
  <c r="X159" i="1" s="1"/>
  <c r="H159" i="1"/>
  <c r="AY159" i="1" s="1"/>
  <c r="L159" i="1"/>
  <c r="G160" i="1" a="1"/>
  <c r="G160" i="1" s="1"/>
  <c r="BB160" i="1" a="1"/>
  <c r="BB160" i="1" s="1"/>
  <c r="BD160" i="1" a="1"/>
  <c r="BD160" i="1" s="1"/>
  <c r="BF160" i="1" a="1"/>
  <c r="BF160" i="1" s="1"/>
  <c r="AW160" i="1" a="1"/>
  <c r="AW160" i="1" s="1"/>
  <c r="AS160" i="1" a="1"/>
  <c r="AS160" i="1" s="1"/>
  <c r="AH160" i="1" a="1"/>
  <c r="AH160" i="1" s="1"/>
  <c r="AJ160" i="1" a="1"/>
  <c r="AJ160" i="1" s="1"/>
  <c r="AL160" i="1" a="1"/>
  <c r="AL160" i="1" s="1"/>
  <c r="F160" i="1" a="1"/>
  <c r="F160" i="1" s="1"/>
  <c r="BA160" i="1" a="1"/>
  <c r="BA160" i="1" s="1"/>
  <c r="BE160" i="1" a="1"/>
  <c r="BE160" i="1" s="1"/>
  <c r="AV160" i="1" a="1"/>
  <c r="AV160" i="1" s="1"/>
  <c r="AI160" i="1" a="1"/>
  <c r="AI160" i="1" s="1"/>
  <c r="AD160" i="1" a="1"/>
  <c r="AD160" i="1" s="1"/>
  <c r="Z160" i="1" a="1"/>
  <c r="Z160" i="1" s="1"/>
  <c r="S160" i="1" a="1"/>
  <c r="S160" i="1" s="1"/>
  <c r="U160" i="1" a="1"/>
  <c r="U160" i="1" s="1"/>
  <c r="W160" i="1" a="1"/>
  <c r="W160" i="1" s="1"/>
  <c r="O160" i="1" a="1"/>
  <c r="O160" i="1" s="1"/>
  <c r="K160" i="1" a="1"/>
  <c r="K160" i="1" s="1"/>
  <c r="J160" i="1" a="1"/>
  <c r="J160" i="1" s="1"/>
  <c r="BC160" i="1" a="1"/>
  <c r="BC160" i="1" s="1"/>
  <c r="AG160" i="1" a="1"/>
  <c r="AG160" i="1" s="1"/>
  <c r="Y160" i="1" a="1"/>
  <c r="Y160" i="1" s="1"/>
  <c r="R160" i="1" a="1"/>
  <c r="R160" i="1" s="1"/>
  <c r="V160" i="1" a="1"/>
  <c r="V160" i="1" s="1"/>
  <c r="N160" i="1" a="1"/>
  <c r="N160" i="1" s="1"/>
  <c r="AR160" i="1" a="1"/>
  <c r="AR160" i="1" s="1"/>
  <c r="AK160" i="1" a="1"/>
  <c r="AK160" i="1" s="1"/>
  <c r="AC160" i="1" a="1"/>
  <c r="AC160" i="1" s="1"/>
  <c r="T160" i="1" a="1"/>
  <c r="T160" i="1" s="1"/>
  <c r="I159" i="1"/>
  <c r="A160" i="1"/>
  <c r="B161" i="1"/>
  <c r="D161" i="1" l="1"/>
  <c r="E161" i="1"/>
  <c r="C161" i="1"/>
  <c r="AZ161" i="1" s="1"/>
  <c r="L160" i="1"/>
  <c r="Q159" i="1" a="1"/>
  <c r="Q159" i="1" s="1"/>
  <c r="AF159" i="1"/>
  <c r="H160" i="1"/>
  <c r="AX160" i="1"/>
  <c r="AT160" i="1"/>
  <c r="P160" i="1"/>
  <c r="M160" i="1" s="1"/>
  <c r="AA160" i="1"/>
  <c r="AE160" i="1"/>
  <c r="AB160" i="1" s="1"/>
  <c r="F161" i="1" a="1"/>
  <c r="F161" i="1" s="1"/>
  <c r="BB161" i="1" a="1"/>
  <c r="BB161" i="1" s="1"/>
  <c r="BD161" i="1" a="1"/>
  <c r="BD161" i="1" s="1"/>
  <c r="BF161" i="1" a="1"/>
  <c r="BF161" i="1" s="1"/>
  <c r="AV161" i="1" a="1"/>
  <c r="AV161" i="1" s="1"/>
  <c r="AR161" i="1" a="1"/>
  <c r="AR161" i="1" s="1"/>
  <c r="AH161" i="1" a="1"/>
  <c r="AH161" i="1" s="1"/>
  <c r="AJ161" i="1" a="1"/>
  <c r="AJ161" i="1" s="1"/>
  <c r="AL161" i="1" a="1"/>
  <c r="AL161" i="1" s="1"/>
  <c r="G161" i="1" a="1"/>
  <c r="G161" i="1" s="1"/>
  <c r="BC161" i="1" a="1"/>
  <c r="BC161" i="1" s="1"/>
  <c r="AW161" i="1" a="1"/>
  <c r="AW161" i="1" s="1"/>
  <c r="AG161" i="1" a="1"/>
  <c r="AG161" i="1" s="1"/>
  <c r="AK161" i="1" a="1"/>
  <c r="AK161" i="1" s="1"/>
  <c r="AC161" i="1" a="1"/>
  <c r="AC161" i="1" s="1"/>
  <c r="Y161" i="1" a="1"/>
  <c r="Y161" i="1" s="1"/>
  <c r="S161" i="1" a="1"/>
  <c r="S161" i="1" s="1"/>
  <c r="U161" i="1" a="1"/>
  <c r="U161" i="1" s="1"/>
  <c r="W161" i="1" a="1"/>
  <c r="W161" i="1" s="1"/>
  <c r="N161" i="1" a="1"/>
  <c r="N161" i="1" s="1"/>
  <c r="BA161" i="1" a="1"/>
  <c r="BA161" i="1" s="1"/>
  <c r="BE161" i="1" a="1"/>
  <c r="BE161" i="1" s="1"/>
  <c r="AS161" i="1" a="1"/>
  <c r="AS161" i="1" s="1"/>
  <c r="AI161" i="1" a="1"/>
  <c r="AI161" i="1" s="1"/>
  <c r="Z161" i="1" a="1"/>
  <c r="Z161" i="1" s="1"/>
  <c r="T161" i="1" a="1"/>
  <c r="T161" i="1" s="1"/>
  <c r="O161" i="1" a="1"/>
  <c r="O161" i="1" s="1"/>
  <c r="J161" i="1" a="1"/>
  <c r="J161" i="1" s="1"/>
  <c r="AD161" i="1" a="1"/>
  <c r="AD161" i="1" s="1"/>
  <c r="AE161" i="1" s="1"/>
  <c r="AB161" i="1" s="1"/>
  <c r="R161" i="1" a="1"/>
  <c r="R161" i="1" s="1"/>
  <c r="V161" i="1" a="1"/>
  <c r="V161" i="1" s="1"/>
  <c r="K161" i="1" a="1"/>
  <c r="K161" i="1" s="1"/>
  <c r="L161" i="1" s="1"/>
  <c r="Q160" i="1" a="1"/>
  <c r="Q160" i="1" s="1"/>
  <c r="I160" i="1"/>
  <c r="X160" i="1"/>
  <c r="AF160" i="1"/>
  <c r="A161" i="1"/>
  <c r="B162" i="1"/>
  <c r="AX161" i="1" l="1"/>
  <c r="D162" i="1"/>
  <c r="E162" i="1"/>
  <c r="C162" i="1"/>
  <c r="AO159" i="1"/>
  <c r="AY160" i="1"/>
  <c r="P161" i="1"/>
  <c r="M161" i="1" s="1"/>
  <c r="AA161" i="1"/>
  <c r="AT161" i="1"/>
  <c r="AO160" i="1"/>
  <c r="H161" i="1"/>
  <c r="G162" i="1" a="1"/>
  <c r="G162" i="1" s="1"/>
  <c r="BB162" i="1" a="1"/>
  <c r="BB162" i="1" s="1"/>
  <c r="BD162" i="1" a="1"/>
  <c r="BD162" i="1" s="1"/>
  <c r="BF162" i="1" a="1"/>
  <c r="BF162" i="1" s="1"/>
  <c r="AW162" i="1" a="1"/>
  <c r="AW162" i="1" s="1"/>
  <c r="AS162" i="1" a="1"/>
  <c r="AS162" i="1" s="1"/>
  <c r="AH162" i="1" a="1"/>
  <c r="AH162" i="1" s="1"/>
  <c r="AJ162" i="1" a="1"/>
  <c r="AJ162" i="1" s="1"/>
  <c r="AL162" i="1" a="1"/>
  <c r="AL162" i="1" s="1"/>
  <c r="BA162" i="1" a="1"/>
  <c r="BA162" i="1" s="1"/>
  <c r="BE162" i="1" a="1"/>
  <c r="BE162" i="1" s="1"/>
  <c r="AR162" i="1" a="1"/>
  <c r="AR162" i="1" s="1"/>
  <c r="AI162" i="1" a="1"/>
  <c r="AI162" i="1" s="1"/>
  <c r="AD162" i="1" a="1"/>
  <c r="AD162" i="1" s="1"/>
  <c r="Z162" i="1" a="1"/>
  <c r="Z162" i="1" s="1"/>
  <c r="S162" i="1" a="1"/>
  <c r="S162" i="1" s="1"/>
  <c r="U162" i="1" a="1"/>
  <c r="U162" i="1" s="1"/>
  <c r="W162" i="1" a="1"/>
  <c r="W162" i="1" s="1"/>
  <c r="O162" i="1" a="1"/>
  <c r="O162" i="1" s="1"/>
  <c r="K162" i="1" a="1"/>
  <c r="K162" i="1" s="1"/>
  <c r="J162" i="1" a="1"/>
  <c r="J162" i="1" s="1"/>
  <c r="F162" i="1" a="1"/>
  <c r="F162" i="1" s="1"/>
  <c r="H162" i="1" s="1"/>
  <c r="BC162" i="1" a="1"/>
  <c r="BC162" i="1" s="1"/>
  <c r="AV162" i="1" a="1"/>
  <c r="AV162" i="1" s="1"/>
  <c r="AK162" i="1" a="1"/>
  <c r="AK162" i="1" s="1"/>
  <c r="AC162" i="1" a="1"/>
  <c r="AC162" i="1" s="1"/>
  <c r="R162" i="1" a="1"/>
  <c r="R162" i="1" s="1"/>
  <c r="V162" i="1" a="1"/>
  <c r="V162" i="1" s="1"/>
  <c r="AG162" i="1" a="1"/>
  <c r="AG162" i="1" s="1"/>
  <c r="Y162" i="1" a="1"/>
  <c r="Y162" i="1" s="1"/>
  <c r="T162" i="1" a="1"/>
  <c r="T162" i="1" s="1"/>
  <c r="N162" i="1" a="1"/>
  <c r="N162" i="1" s="1"/>
  <c r="I161" i="1"/>
  <c r="Q161" i="1" a="1"/>
  <c r="Q161" i="1" s="1"/>
  <c r="X161" i="1"/>
  <c r="AF161" i="1"/>
  <c r="A162" i="1"/>
  <c r="B163" i="1"/>
  <c r="AZ162" i="1" l="1"/>
  <c r="D163" i="1"/>
  <c r="E163" i="1"/>
  <c r="C163" i="1"/>
  <c r="AX162" i="1"/>
  <c r="AT162" i="1"/>
  <c r="AY161" i="1"/>
  <c r="P162" i="1"/>
  <c r="M162" i="1" s="1"/>
  <c r="AA162" i="1"/>
  <c r="AO161" i="1"/>
  <c r="L162" i="1"/>
  <c r="AE162" i="1"/>
  <c r="AB162" i="1" s="1"/>
  <c r="F163" i="1" a="1"/>
  <c r="F163" i="1" s="1"/>
  <c r="BB163" i="1" a="1"/>
  <c r="BB163" i="1" s="1"/>
  <c r="BD163" i="1" a="1"/>
  <c r="BD163" i="1" s="1"/>
  <c r="BF163" i="1" a="1"/>
  <c r="BF163" i="1" s="1"/>
  <c r="AV163" i="1" a="1"/>
  <c r="AV163" i="1" s="1"/>
  <c r="AR163" i="1" a="1"/>
  <c r="AR163" i="1" s="1"/>
  <c r="AH163" i="1" a="1"/>
  <c r="AH163" i="1" s="1"/>
  <c r="AJ163" i="1" a="1"/>
  <c r="AJ163" i="1" s="1"/>
  <c r="AL163" i="1" a="1"/>
  <c r="AL163" i="1" s="1"/>
  <c r="BC163" i="1" a="1"/>
  <c r="BC163" i="1" s="1"/>
  <c r="AS163" i="1" a="1"/>
  <c r="AS163" i="1" s="1"/>
  <c r="AG163" i="1" a="1"/>
  <c r="AG163" i="1" s="1"/>
  <c r="AK163" i="1" a="1"/>
  <c r="AK163" i="1" s="1"/>
  <c r="AC163" i="1" a="1"/>
  <c r="AC163" i="1" s="1"/>
  <c r="Y163" i="1" a="1"/>
  <c r="Y163" i="1" s="1"/>
  <c r="S163" i="1" a="1"/>
  <c r="S163" i="1" s="1"/>
  <c r="U163" i="1" a="1"/>
  <c r="U163" i="1" s="1"/>
  <c r="W163" i="1" a="1"/>
  <c r="W163" i="1" s="1"/>
  <c r="N163" i="1" a="1"/>
  <c r="N163" i="1" s="1"/>
  <c r="G163" i="1" a="1"/>
  <c r="G163" i="1" s="1"/>
  <c r="BA163" i="1" a="1"/>
  <c r="BA163" i="1" s="1"/>
  <c r="BE163" i="1" a="1"/>
  <c r="BE163" i="1" s="1"/>
  <c r="AW163" i="1" a="1"/>
  <c r="AW163" i="1" s="1"/>
  <c r="AX163" i="1" s="1"/>
  <c r="AD163" i="1" a="1"/>
  <c r="AD163" i="1" s="1"/>
  <c r="AE163" i="1" s="1"/>
  <c r="AB163" i="1" s="1"/>
  <c r="T163" i="1" a="1"/>
  <c r="T163" i="1" s="1"/>
  <c r="K163" i="1" a="1"/>
  <c r="K163" i="1" s="1"/>
  <c r="AI163" i="1" a="1"/>
  <c r="AI163" i="1" s="1"/>
  <c r="Z163" i="1" a="1"/>
  <c r="Z163" i="1" s="1"/>
  <c r="R163" i="1" a="1"/>
  <c r="R163" i="1" s="1"/>
  <c r="V163" i="1" a="1"/>
  <c r="V163" i="1" s="1"/>
  <c r="O163" i="1" a="1"/>
  <c r="O163" i="1" s="1"/>
  <c r="P163" i="1" s="1"/>
  <c r="M163" i="1" s="1"/>
  <c r="J163" i="1" a="1"/>
  <c r="J163" i="1" s="1"/>
  <c r="Q162" i="1" a="1"/>
  <c r="Q162" i="1" s="1"/>
  <c r="I162" i="1"/>
  <c r="X162" i="1"/>
  <c r="AF162" i="1"/>
  <c r="A163" i="1"/>
  <c r="B164" i="1"/>
  <c r="AZ163" i="1" l="1"/>
  <c r="AT163" i="1"/>
  <c r="D164" i="1"/>
  <c r="E164" i="1"/>
  <c r="C164" i="1"/>
  <c r="AY162" i="1"/>
  <c r="AO162" i="1"/>
  <c r="H163" i="1"/>
  <c r="AY163" i="1" s="1"/>
  <c r="AA163" i="1"/>
  <c r="L163" i="1"/>
  <c r="G164" i="1" a="1"/>
  <c r="G164" i="1" s="1"/>
  <c r="BB164" i="1" a="1"/>
  <c r="BB164" i="1" s="1"/>
  <c r="BD164" i="1" a="1"/>
  <c r="BD164" i="1" s="1"/>
  <c r="BF164" i="1" a="1"/>
  <c r="BF164" i="1" s="1"/>
  <c r="AW164" i="1" a="1"/>
  <c r="AW164" i="1" s="1"/>
  <c r="AS164" i="1" a="1"/>
  <c r="AS164" i="1" s="1"/>
  <c r="AH164" i="1" a="1"/>
  <c r="AH164" i="1" s="1"/>
  <c r="AJ164" i="1" a="1"/>
  <c r="AJ164" i="1" s="1"/>
  <c r="AL164" i="1" a="1"/>
  <c r="AL164" i="1" s="1"/>
  <c r="F164" i="1" a="1"/>
  <c r="F164" i="1" s="1"/>
  <c r="BA164" i="1" a="1"/>
  <c r="BA164" i="1" s="1"/>
  <c r="BE164" i="1" a="1"/>
  <c r="BE164" i="1" s="1"/>
  <c r="AV164" i="1" a="1"/>
  <c r="AV164" i="1" s="1"/>
  <c r="AI164" i="1" a="1"/>
  <c r="AI164" i="1" s="1"/>
  <c r="AD164" i="1" a="1"/>
  <c r="AD164" i="1" s="1"/>
  <c r="Z164" i="1" a="1"/>
  <c r="Z164" i="1" s="1"/>
  <c r="S164" i="1" a="1"/>
  <c r="S164" i="1" s="1"/>
  <c r="U164" i="1" a="1"/>
  <c r="U164" i="1" s="1"/>
  <c r="W164" i="1" a="1"/>
  <c r="W164" i="1" s="1"/>
  <c r="O164" i="1" a="1"/>
  <c r="O164" i="1" s="1"/>
  <c r="K164" i="1" a="1"/>
  <c r="K164" i="1" s="1"/>
  <c r="J164" i="1" a="1"/>
  <c r="J164" i="1" s="1"/>
  <c r="BC164" i="1" a="1"/>
  <c r="BC164" i="1" s="1"/>
  <c r="AR164" i="1" a="1"/>
  <c r="AR164" i="1" s="1"/>
  <c r="AG164" i="1" a="1"/>
  <c r="AG164" i="1" s="1"/>
  <c r="Y164" i="1" a="1"/>
  <c r="Y164" i="1" s="1"/>
  <c r="R164" i="1" a="1"/>
  <c r="R164" i="1" s="1"/>
  <c r="V164" i="1" a="1"/>
  <c r="V164" i="1" s="1"/>
  <c r="N164" i="1" a="1"/>
  <c r="N164" i="1" s="1"/>
  <c r="AK164" i="1" a="1"/>
  <c r="AK164" i="1" s="1"/>
  <c r="AC164" i="1" a="1"/>
  <c r="AC164" i="1" s="1"/>
  <c r="T164" i="1" a="1"/>
  <c r="T164" i="1" s="1"/>
  <c r="X163" i="1"/>
  <c r="AF163" i="1"/>
  <c r="I163" i="1"/>
  <c r="Q163" i="1" a="1"/>
  <c r="Q163" i="1" s="1"/>
  <c r="AO163" i="1" s="1"/>
  <c r="A164" i="1"/>
  <c r="B165" i="1"/>
  <c r="D165" i="1" l="1"/>
  <c r="E165" i="1"/>
  <c r="C165" i="1"/>
  <c r="AZ165" i="1" s="1"/>
  <c r="L164" i="1"/>
  <c r="AX164" i="1"/>
  <c r="H164" i="1"/>
  <c r="AT164" i="1"/>
  <c r="AE164" i="1"/>
  <c r="AB164" i="1" s="1"/>
  <c r="P164" i="1"/>
  <c r="M164" i="1" s="1"/>
  <c r="AA164" i="1"/>
  <c r="F165" i="1" a="1"/>
  <c r="F165" i="1" s="1"/>
  <c r="BB165" i="1" a="1"/>
  <c r="BB165" i="1" s="1"/>
  <c r="BD165" i="1" a="1"/>
  <c r="BD165" i="1" s="1"/>
  <c r="BF165" i="1" a="1"/>
  <c r="BF165" i="1" s="1"/>
  <c r="AV165" i="1" a="1"/>
  <c r="AV165" i="1" s="1"/>
  <c r="AR165" i="1" a="1"/>
  <c r="AR165" i="1" s="1"/>
  <c r="AH165" i="1" a="1"/>
  <c r="AH165" i="1" s="1"/>
  <c r="AJ165" i="1" a="1"/>
  <c r="AJ165" i="1" s="1"/>
  <c r="AL165" i="1" a="1"/>
  <c r="AL165" i="1" s="1"/>
  <c r="G165" i="1" a="1"/>
  <c r="G165" i="1" s="1"/>
  <c r="BC165" i="1" a="1"/>
  <c r="BC165" i="1" s="1"/>
  <c r="AW165" i="1" a="1"/>
  <c r="AW165" i="1" s="1"/>
  <c r="AG165" i="1" a="1"/>
  <c r="AG165" i="1" s="1"/>
  <c r="AK165" i="1" a="1"/>
  <c r="AK165" i="1" s="1"/>
  <c r="AC165" i="1" a="1"/>
  <c r="AC165" i="1" s="1"/>
  <c r="Y165" i="1" a="1"/>
  <c r="Y165" i="1" s="1"/>
  <c r="S165" i="1" a="1"/>
  <c r="S165" i="1" s="1"/>
  <c r="U165" i="1" a="1"/>
  <c r="U165" i="1" s="1"/>
  <c r="W165" i="1" a="1"/>
  <c r="W165" i="1" s="1"/>
  <c r="N165" i="1" a="1"/>
  <c r="N165" i="1" s="1"/>
  <c r="BA165" i="1" a="1"/>
  <c r="BA165" i="1" s="1"/>
  <c r="BE165" i="1" a="1"/>
  <c r="BE165" i="1" s="1"/>
  <c r="AS165" i="1" a="1"/>
  <c r="AS165" i="1" s="1"/>
  <c r="AI165" i="1" a="1"/>
  <c r="AI165" i="1" s="1"/>
  <c r="Z165" i="1" a="1"/>
  <c r="Z165" i="1" s="1"/>
  <c r="T165" i="1" a="1"/>
  <c r="T165" i="1" s="1"/>
  <c r="O165" i="1" a="1"/>
  <c r="O165" i="1" s="1"/>
  <c r="J165" i="1" a="1"/>
  <c r="J165" i="1" s="1"/>
  <c r="AD165" i="1" a="1"/>
  <c r="AD165" i="1" s="1"/>
  <c r="AE165" i="1" s="1"/>
  <c r="AB165" i="1" s="1"/>
  <c r="R165" i="1" a="1"/>
  <c r="R165" i="1" s="1"/>
  <c r="V165" i="1" a="1"/>
  <c r="V165" i="1" s="1"/>
  <c r="K165" i="1" a="1"/>
  <c r="K165" i="1" s="1"/>
  <c r="Q164" i="1" a="1"/>
  <c r="Q164" i="1" s="1"/>
  <c r="I164" i="1"/>
  <c r="X164" i="1"/>
  <c r="AF164" i="1"/>
  <c r="A165" i="1"/>
  <c r="B166" i="1"/>
  <c r="L165" i="1" l="1"/>
  <c r="AT165" i="1"/>
  <c r="D166" i="1"/>
  <c r="E166" i="1"/>
  <c r="C166" i="1"/>
  <c r="AX165" i="1"/>
  <c r="AY164" i="1"/>
  <c r="AO164" i="1"/>
  <c r="P165" i="1"/>
  <c r="M165" i="1" s="1"/>
  <c r="AA165" i="1"/>
  <c r="H165" i="1"/>
  <c r="G166" i="1" a="1"/>
  <c r="G166" i="1" s="1"/>
  <c r="BB166" i="1" a="1"/>
  <c r="BB166" i="1" s="1"/>
  <c r="BD166" i="1" a="1"/>
  <c r="BD166" i="1" s="1"/>
  <c r="BF166" i="1" a="1"/>
  <c r="BF166" i="1" s="1"/>
  <c r="AW166" i="1" a="1"/>
  <c r="AW166" i="1" s="1"/>
  <c r="AS166" i="1" a="1"/>
  <c r="AS166" i="1" s="1"/>
  <c r="AH166" i="1" a="1"/>
  <c r="AH166" i="1" s="1"/>
  <c r="AJ166" i="1" a="1"/>
  <c r="AJ166" i="1" s="1"/>
  <c r="AL166" i="1" a="1"/>
  <c r="AL166" i="1" s="1"/>
  <c r="BA166" i="1" a="1"/>
  <c r="BA166" i="1" s="1"/>
  <c r="BE166" i="1" a="1"/>
  <c r="BE166" i="1" s="1"/>
  <c r="AR166" i="1" a="1"/>
  <c r="AR166" i="1" s="1"/>
  <c r="AI166" i="1" a="1"/>
  <c r="AI166" i="1" s="1"/>
  <c r="AD166" i="1" a="1"/>
  <c r="AD166" i="1" s="1"/>
  <c r="Z166" i="1" a="1"/>
  <c r="Z166" i="1" s="1"/>
  <c r="S166" i="1" a="1"/>
  <c r="S166" i="1" s="1"/>
  <c r="U166" i="1" a="1"/>
  <c r="U166" i="1" s="1"/>
  <c r="W166" i="1" a="1"/>
  <c r="W166" i="1" s="1"/>
  <c r="O166" i="1" a="1"/>
  <c r="O166" i="1" s="1"/>
  <c r="K166" i="1" a="1"/>
  <c r="K166" i="1" s="1"/>
  <c r="J166" i="1" a="1"/>
  <c r="J166" i="1" s="1"/>
  <c r="F166" i="1" a="1"/>
  <c r="F166" i="1" s="1"/>
  <c r="H166" i="1" s="1"/>
  <c r="BC166" i="1" a="1"/>
  <c r="BC166" i="1" s="1"/>
  <c r="AV166" i="1" a="1"/>
  <c r="AV166" i="1" s="1"/>
  <c r="AK166" i="1" a="1"/>
  <c r="AK166" i="1" s="1"/>
  <c r="AC166" i="1" a="1"/>
  <c r="AC166" i="1" s="1"/>
  <c r="R166" i="1" a="1"/>
  <c r="R166" i="1" s="1"/>
  <c r="V166" i="1" a="1"/>
  <c r="V166" i="1" s="1"/>
  <c r="AG166" i="1" a="1"/>
  <c r="AG166" i="1" s="1"/>
  <c r="Y166" i="1" a="1"/>
  <c r="Y166" i="1" s="1"/>
  <c r="T166" i="1" a="1"/>
  <c r="T166" i="1" s="1"/>
  <c r="N166" i="1" a="1"/>
  <c r="N166" i="1" s="1"/>
  <c r="I165" i="1"/>
  <c r="Q165" i="1" a="1"/>
  <c r="Q165" i="1" s="1"/>
  <c r="X165" i="1"/>
  <c r="AF165" i="1"/>
  <c r="A166" i="1"/>
  <c r="B167" i="1"/>
  <c r="AZ166" i="1" l="1"/>
  <c r="AY165" i="1"/>
  <c r="D167" i="1"/>
  <c r="E167" i="1"/>
  <c r="C167" i="1"/>
  <c r="AZ167" i="1" s="1"/>
  <c r="AX166" i="1"/>
  <c r="AT166" i="1"/>
  <c r="L166" i="1"/>
  <c r="AE166" i="1"/>
  <c r="AB166" i="1" s="1"/>
  <c r="AO165" i="1"/>
  <c r="P166" i="1"/>
  <c r="M166" i="1" s="1"/>
  <c r="AA166" i="1"/>
  <c r="F167" i="1" a="1"/>
  <c r="F167" i="1" s="1"/>
  <c r="BB167" i="1" a="1"/>
  <c r="BB167" i="1" s="1"/>
  <c r="BD167" i="1" a="1"/>
  <c r="BD167" i="1" s="1"/>
  <c r="BF167" i="1" a="1"/>
  <c r="BF167" i="1" s="1"/>
  <c r="AV167" i="1" a="1"/>
  <c r="AV167" i="1" s="1"/>
  <c r="AR167" i="1" a="1"/>
  <c r="AR167" i="1" s="1"/>
  <c r="AH167" i="1" a="1"/>
  <c r="AH167" i="1" s="1"/>
  <c r="AJ167" i="1" a="1"/>
  <c r="AJ167" i="1" s="1"/>
  <c r="AL167" i="1" a="1"/>
  <c r="AL167" i="1" s="1"/>
  <c r="BC167" i="1" a="1"/>
  <c r="BC167" i="1" s="1"/>
  <c r="AS167" i="1" a="1"/>
  <c r="AS167" i="1" s="1"/>
  <c r="AG167" i="1" a="1"/>
  <c r="AG167" i="1" s="1"/>
  <c r="AK167" i="1" a="1"/>
  <c r="AK167" i="1" s="1"/>
  <c r="AC167" i="1" a="1"/>
  <c r="AC167" i="1" s="1"/>
  <c r="Y167" i="1" a="1"/>
  <c r="Y167" i="1" s="1"/>
  <c r="S167" i="1" a="1"/>
  <c r="S167" i="1" s="1"/>
  <c r="U167" i="1" a="1"/>
  <c r="U167" i="1" s="1"/>
  <c r="W167" i="1" a="1"/>
  <c r="W167" i="1" s="1"/>
  <c r="N167" i="1" a="1"/>
  <c r="N167" i="1" s="1"/>
  <c r="G167" i="1" a="1"/>
  <c r="G167" i="1" s="1"/>
  <c r="BA167" i="1" a="1"/>
  <c r="BA167" i="1" s="1"/>
  <c r="BE167" i="1" a="1"/>
  <c r="BE167" i="1" s="1"/>
  <c r="AW167" i="1" a="1"/>
  <c r="AW167" i="1" s="1"/>
  <c r="AX167" i="1" s="1"/>
  <c r="AD167" i="1" a="1"/>
  <c r="AD167" i="1" s="1"/>
  <c r="AE167" i="1" s="1"/>
  <c r="AB167" i="1" s="1"/>
  <c r="T167" i="1" a="1"/>
  <c r="T167" i="1" s="1"/>
  <c r="K167" i="1" a="1"/>
  <c r="K167" i="1" s="1"/>
  <c r="AI167" i="1" a="1"/>
  <c r="AI167" i="1" s="1"/>
  <c r="Z167" i="1" a="1"/>
  <c r="Z167" i="1" s="1"/>
  <c r="R167" i="1" a="1"/>
  <c r="R167" i="1" s="1"/>
  <c r="V167" i="1" a="1"/>
  <c r="V167" i="1" s="1"/>
  <c r="O167" i="1" a="1"/>
  <c r="O167" i="1" s="1"/>
  <c r="P167" i="1" s="1"/>
  <c r="M167" i="1" s="1"/>
  <c r="J167" i="1" a="1"/>
  <c r="J167" i="1" s="1"/>
  <c r="Q166" i="1" a="1"/>
  <c r="Q166" i="1" s="1"/>
  <c r="I166" i="1"/>
  <c r="X166" i="1"/>
  <c r="A167" i="1"/>
  <c r="B168" i="1"/>
  <c r="AT167" i="1" l="1"/>
  <c r="D168" i="1"/>
  <c r="E168" i="1"/>
  <c r="C168" i="1"/>
  <c r="AZ168" i="1" s="1"/>
  <c r="AY166" i="1"/>
  <c r="AF166" i="1"/>
  <c r="AO166" i="1" s="1"/>
  <c r="AA167" i="1"/>
  <c r="H167" i="1"/>
  <c r="L167" i="1"/>
  <c r="G168" i="1" a="1"/>
  <c r="G168" i="1" s="1"/>
  <c r="BB168" i="1" a="1"/>
  <c r="BB168" i="1" s="1"/>
  <c r="BD168" i="1" a="1"/>
  <c r="BD168" i="1" s="1"/>
  <c r="BF168" i="1" a="1"/>
  <c r="BF168" i="1" s="1"/>
  <c r="AW168" i="1" a="1"/>
  <c r="AW168" i="1" s="1"/>
  <c r="AS168" i="1" a="1"/>
  <c r="AS168" i="1" s="1"/>
  <c r="AH168" i="1" a="1"/>
  <c r="AH168" i="1" s="1"/>
  <c r="AJ168" i="1" a="1"/>
  <c r="AJ168" i="1" s="1"/>
  <c r="AL168" i="1" a="1"/>
  <c r="AL168" i="1" s="1"/>
  <c r="F168" i="1" a="1"/>
  <c r="F168" i="1" s="1"/>
  <c r="H168" i="1" s="1"/>
  <c r="BA168" i="1" a="1"/>
  <c r="BA168" i="1" s="1"/>
  <c r="BE168" i="1" a="1"/>
  <c r="BE168" i="1" s="1"/>
  <c r="AV168" i="1" a="1"/>
  <c r="AV168" i="1" s="1"/>
  <c r="AI168" i="1" a="1"/>
  <c r="AI168" i="1" s="1"/>
  <c r="AD168" i="1" a="1"/>
  <c r="AD168" i="1" s="1"/>
  <c r="Z168" i="1" a="1"/>
  <c r="Z168" i="1" s="1"/>
  <c r="S168" i="1" a="1"/>
  <c r="S168" i="1" s="1"/>
  <c r="U168" i="1" a="1"/>
  <c r="U168" i="1" s="1"/>
  <c r="W168" i="1" a="1"/>
  <c r="W168" i="1" s="1"/>
  <c r="O168" i="1" a="1"/>
  <c r="O168" i="1" s="1"/>
  <c r="K168" i="1" a="1"/>
  <c r="K168" i="1" s="1"/>
  <c r="J168" i="1" a="1"/>
  <c r="J168" i="1" s="1"/>
  <c r="BC168" i="1" a="1"/>
  <c r="BC168" i="1" s="1"/>
  <c r="AG168" i="1" a="1"/>
  <c r="AG168" i="1" s="1"/>
  <c r="Y168" i="1" a="1"/>
  <c r="Y168" i="1" s="1"/>
  <c r="R168" i="1" a="1"/>
  <c r="R168" i="1" s="1"/>
  <c r="V168" i="1" a="1"/>
  <c r="V168" i="1" s="1"/>
  <c r="N168" i="1" a="1"/>
  <c r="N168" i="1" s="1"/>
  <c r="AR168" i="1" a="1"/>
  <c r="AR168" i="1" s="1"/>
  <c r="AK168" i="1" a="1"/>
  <c r="AK168" i="1" s="1"/>
  <c r="AC168" i="1" a="1"/>
  <c r="AC168" i="1" s="1"/>
  <c r="T168" i="1" a="1"/>
  <c r="T168" i="1" s="1"/>
  <c r="X167" i="1"/>
  <c r="AF167" i="1"/>
  <c r="I167" i="1"/>
  <c r="Q167" i="1" a="1"/>
  <c r="Q167" i="1" s="1"/>
  <c r="AO167" i="1" s="1"/>
  <c r="A168" i="1"/>
  <c r="B169" i="1"/>
  <c r="AY167" i="1" l="1"/>
  <c r="L168" i="1"/>
  <c r="D169" i="1"/>
  <c r="E169" i="1"/>
  <c r="C169" i="1"/>
  <c r="AT168" i="1"/>
  <c r="AX168" i="1"/>
  <c r="P168" i="1"/>
  <c r="M168" i="1" s="1"/>
  <c r="AA168" i="1"/>
  <c r="AE168" i="1"/>
  <c r="AB168" i="1" s="1"/>
  <c r="F169" i="1" a="1"/>
  <c r="F169" i="1" s="1"/>
  <c r="BB169" i="1" a="1"/>
  <c r="BB169" i="1" s="1"/>
  <c r="BD169" i="1" a="1"/>
  <c r="BD169" i="1" s="1"/>
  <c r="BF169" i="1" a="1"/>
  <c r="BF169" i="1" s="1"/>
  <c r="AV169" i="1" a="1"/>
  <c r="AV169" i="1" s="1"/>
  <c r="AR169" i="1" a="1"/>
  <c r="AR169" i="1" s="1"/>
  <c r="AH169" i="1" a="1"/>
  <c r="AH169" i="1" s="1"/>
  <c r="AJ169" i="1" a="1"/>
  <c r="AJ169" i="1" s="1"/>
  <c r="AL169" i="1" a="1"/>
  <c r="AL169" i="1" s="1"/>
  <c r="G169" i="1" a="1"/>
  <c r="G169" i="1" s="1"/>
  <c r="BC169" i="1" a="1"/>
  <c r="BC169" i="1" s="1"/>
  <c r="AW169" i="1" a="1"/>
  <c r="AW169" i="1" s="1"/>
  <c r="AG169" i="1" a="1"/>
  <c r="AG169" i="1" s="1"/>
  <c r="AK169" i="1" a="1"/>
  <c r="AK169" i="1" s="1"/>
  <c r="AC169" i="1" a="1"/>
  <c r="AC169" i="1" s="1"/>
  <c r="Y169" i="1" a="1"/>
  <c r="Y169" i="1" s="1"/>
  <c r="S169" i="1" a="1"/>
  <c r="S169" i="1" s="1"/>
  <c r="U169" i="1" a="1"/>
  <c r="U169" i="1" s="1"/>
  <c r="W169" i="1" a="1"/>
  <c r="W169" i="1" s="1"/>
  <c r="N169" i="1" a="1"/>
  <c r="N169" i="1" s="1"/>
  <c r="BA169" i="1" a="1"/>
  <c r="BA169" i="1" s="1"/>
  <c r="BE169" i="1" a="1"/>
  <c r="BE169" i="1" s="1"/>
  <c r="AS169" i="1" a="1"/>
  <c r="AS169" i="1" s="1"/>
  <c r="AI169" i="1" a="1"/>
  <c r="AI169" i="1" s="1"/>
  <c r="Z169" i="1" a="1"/>
  <c r="Z169" i="1" s="1"/>
  <c r="T169" i="1" a="1"/>
  <c r="T169" i="1" s="1"/>
  <c r="O169" i="1" a="1"/>
  <c r="O169" i="1" s="1"/>
  <c r="J169" i="1" a="1"/>
  <c r="J169" i="1" s="1"/>
  <c r="AD169" i="1" a="1"/>
  <c r="AD169" i="1" s="1"/>
  <c r="R169" i="1" a="1"/>
  <c r="R169" i="1" s="1"/>
  <c r="V169" i="1" a="1"/>
  <c r="V169" i="1" s="1"/>
  <c r="K169" i="1" a="1"/>
  <c r="K169" i="1" s="1"/>
  <c r="L169" i="1" s="1"/>
  <c r="Q168" i="1" a="1"/>
  <c r="Q168" i="1" s="1"/>
  <c r="I168" i="1"/>
  <c r="X168" i="1"/>
  <c r="AF168" i="1"/>
  <c r="A169" i="1"/>
  <c r="B170" i="1"/>
  <c r="AZ169" i="1" l="1"/>
  <c r="AX169" i="1"/>
  <c r="AT169" i="1"/>
  <c r="P169" i="1"/>
  <c r="M169" i="1" s="1"/>
  <c r="AA169" i="1"/>
  <c r="D170" i="1"/>
  <c r="E170" i="1"/>
  <c r="C170" i="1"/>
  <c r="AZ170" i="1" s="1"/>
  <c r="AE169" i="1"/>
  <c r="AB169" i="1" s="1"/>
  <c r="AY168" i="1"/>
  <c r="AO168" i="1"/>
  <c r="H169" i="1"/>
  <c r="G170" i="1" a="1"/>
  <c r="G170" i="1" s="1"/>
  <c r="BB170" i="1" a="1"/>
  <c r="BB170" i="1" s="1"/>
  <c r="BD170" i="1" a="1"/>
  <c r="BD170" i="1" s="1"/>
  <c r="BF170" i="1" a="1"/>
  <c r="BF170" i="1" s="1"/>
  <c r="AW170" i="1" a="1"/>
  <c r="AW170" i="1" s="1"/>
  <c r="AS170" i="1" a="1"/>
  <c r="AS170" i="1" s="1"/>
  <c r="AH170" i="1" a="1"/>
  <c r="AH170" i="1" s="1"/>
  <c r="AJ170" i="1" a="1"/>
  <c r="AJ170" i="1" s="1"/>
  <c r="AL170" i="1" a="1"/>
  <c r="AL170" i="1" s="1"/>
  <c r="BA170" i="1" a="1"/>
  <c r="BA170" i="1" s="1"/>
  <c r="BE170" i="1" a="1"/>
  <c r="BE170" i="1" s="1"/>
  <c r="AR170" i="1" a="1"/>
  <c r="AR170" i="1" s="1"/>
  <c r="AI170" i="1" a="1"/>
  <c r="AI170" i="1" s="1"/>
  <c r="AD170" i="1" a="1"/>
  <c r="AD170" i="1" s="1"/>
  <c r="Z170" i="1" a="1"/>
  <c r="Z170" i="1" s="1"/>
  <c r="S170" i="1" a="1"/>
  <c r="S170" i="1" s="1"/>
  <c r="U170" i="1" a="1"/>
  <c r="U170" i="1" s="1"/>
  <c r="W170" i="1" a="1"/>
  <c r="W170" i="1" s="1"/>
  <c r="O170" i="1" a="1"/>
  <c r="O170" i="1" s="1"/>
  <c r="K170" i="1" a="1"/>
  <c r="K170" i="1" s="1"/>
  <c r="J170" i="1" a="1"/>
  <c r="J170" i="1" s="1"/>
  <c r="F170" i="1" a="1"/>
  <c r="F170" i="1" s="1"/>
  <c r="H170" i="1" s="1"/>
  <c r="BC170" i="1" a="1"/>
  <c r="BC170" i="1" s="1"/>
  <c r="AV170" i="1" a="1"/>
  <c r="AV170" i="1" s="1"/>
  <c r="AK170" i="1" a="1"/>
  <c r="AK170" i="1" s="1"/>
  <c r="AC170" i="1" a="1"/>
  <c r="AC170" i="1" s="1"/>
  <c r="R170" i="1" a="1"/>
  <c r="R170" i="1" s="1"/>
  <c r="V170" i="1" a="1"/>
  <c r="V170" i="1" s="1"/>
  <c r="AG170" i="1" a="1"/>
  <c r="AG170" i="1" s="1"/>
  <c r="Y170" i="1" a="1"/>
  <c r="Y170" i="1" s="1"/>
  <c r="T170" i="1" a="1"/>
  <c r="T170" i="1" s="1"/>
  <c r="N170" i="1" a="1"/>
  <c r="N170" i="1" s="1"/>
  <c r="I169" i="1"/>
  <c r="Q169" i="1" a="1"/>
  <c r="Q169" i="1" s="1"/>
  <c r="X169" i="1"/>
  <c r="AF169" i="1"/>
  <c r="A170" i="1"/>
  <c r="B171" i="1"/>
  <c r="AY169" i="1" l="1"/>
  <c r="D171" i="1"/>
  <c r="E171" i="1"/>
  <c r="C171" i="1"/>
  <c r="AZ171" i="1" s="1"/>
  <c r="AX170" i="1"/>
  <c r="L170" i="1"/>
  <c r="AT170" i="1"/>
  <c r="AY170" i="1" s="1"/>
  <c r="AO169" i="1"/>
  <c r="AE170" i="1"/>
  <c r="AB170" i="1" s="1"/>
  <c r="P170" i="1"/>
  <c r="M170" i="1" s="1"/>
  <c r="AA170" i="1"/>
  <c r="F171" i="1" a="1"/>
  <c r="F171" i="1" s="1"/>
  <c r="BB171" i="1" a="1"/>
  <c r="BB171" i="1" s="1"/>
  <c r="BD171" i="1" a="1"/>
  <c r="BD171" i="1" s="1"/>
  <c r="BF171" i="1" a="1"/>
  <c r="BF171" i="1" s="1"/>
  <c r="AV171" i="1" a="1"/>
  <c r="AV171" i="1" s="1"/>
  <c r="AR171" i="1" a="1"/>
  <c r="AR171" i="1" s="1"/>
  <c r="AH171" i="1" a="1"/>
  <c r="AH171" i="1" s="1"/>
  <c r="AJ171" i="1" a="1"/>
  <c r="AJ171" i="1" s="1"/>
  <c r="AL171" i="1" a="1"/>
  <c r="AL171" i="1" s="1"/>
  <c r="BC171" i="1" a="1"/>
  <c r="BC171" i="1" s="1"/>
  <c r="AS171" i="1" a="1"/>
  <c r="AS171" i="1" s="1"/>
  <c r="AG171" i="1" a="1"/>
  <c r="AG171" i="1" s="1"/>
  <c r="AK171" i="1" a="1"/>
  <c r="AK171" i="1" s="1"/>
  <c r="AC171" i="1" a="1"/>
  <c r="AC171" i="1" s="1"/>
  <c r="Y171" i="1" a="1"/>
  <c r="Y171" i="1" s="1"/>
  <c r="S171" i="1" a="1"/>
  <c r="S171" i="1" s="1"/>
  <c r="U171" i="1" a="1"/>
  <c r="U171" i="1" s="1"/>
  <c r="W171" i="1" a="1"/>
  <c r="W171" i="1" s="1"/>
  <c r="N171" i="1" a="1"/>
  <c r="N171" i="1" s="1"/>
  <c r="G171" i="1" a="1"/>
  <c r="G171" i="1" s="1"/>
  <c r="BA171" i="1" a="1"/>
  <c r="BA171" i="1" s="1"/>
  <c r="BE171" i="1" a="1"/>
  <c r="BE171" i="1" s="1"/>
  <c r="AW171" i="1" a="1"/>
  <c r="AW171" i="1" s="1"/>
  <c r="AX171" i="1" s="1"/>
  <c r="AD171" i="1" a="1"/>
  <c r="AD171" i="1" s="1"/>
  <c r="AE171" i="1" s="1"/>
  <c r="AB171" i="1" s="1"/>
  <c r="T171" i="1" a="1"/>
  <c r="T171" i="1" s="1"/>
  <c r="K171" i="1" a="1"/>
  <c r="K171" i="1" s="1"/>
  <c r="AI171" i="1" a="1"/>
  <c r="AI171" i="1" s="1"/>
  <c r="Z171" i="1" a="1"/>
  <c r="Z171" i="1" s="1"/>
  <c r="R171" i="1" a="1"/>
  <c r="R171" i="1" s="1"/>
  <c r="V171" i="1" a="1"/>
  <c r="V171" i="1" s="1"/>
  <c r="O171" i="1" a="1"/>
  <c r="O171" i="1" s="1"/>
  <c r="P171" i="1" s="1"/>
  <c r="M171" i="1" s="1"/>
  <c r="J171" i="1" a="1"/>
  <c r="J171" i="1" s="1"/>
  <c r="Q170" i="1" a="1"/>
  <c r="Q170" i="1" s="1"/>
  <c r="I170" i="1"/>
  <c r="X170" i="1"/>
  <c r="AF170" i="1"/>
  <c r="A171" i="1"/>
  <c r="B172" i="1"/>
  <c r="AZ172" i="1" l="1"/>
  <c r="D172" i="1"/>
  <c r="E172" i="1"/>
  <c r="C172" i="1"/>
  <c r="AA171" i="1"/>
  <c r="AT171" i="1"/>
  <c r="L171" i="1"/>
  <c r="AO170" i="1"/>
  <c r="H171" i="1"/>
  <c r="G172" i="1" a="1"/>
  <c r="G172" i="1" s="1"/>
  <c r="BB172" i="1" a="1"/>
  <c r="BB172" i="1" s="1"/>
  <c r="BD172" i="1" a="1"/>
  <c r="BD172" i="1" s="1"/>
  <c r="BF172" i="1" a="1"/>
  <c r="BF172" i="1" s="1"/>
  <c r="AW172" i="1" a="1"/>
  <c r="AW172" i="1" s="1"/>
  <c r="AS172" i="1" a="1"/>
  <c r="AS172" i="1" s="1"/>
  <c r="AH172" i="1" a="1"/>
  <c r="AH172" i="1" s="1"/>
  <c r="AJ172" i="1" a="1"/>
  <c r="AJ172" i="1" s="1"/>
  <c r="AL172" i="1" a="1"/>
  <c r="AL172" i="1" s="1"/>
  <c r="F172" i="1" a="1"/>
  <c r="F172" i="1" s="1"/>
  <c r="H172" i="1" s="1"/>
  <c r="BA172" i="1" a="1"/>
  <c r="BA172" i="1" s="1"/>
  <c r="BE172" i="1" a="1"/>
  <c r="BE172" i="1" s="1"/>
  <c r="AV172" i="1" a="1"/>
  <c r="AV172" i="1" s="1"/>
  <c r="AI172" i="1" a="1"/>
  <c r="AI172" i="1" s="1"/>
  <c r="AD172" i="1" a="1"/>
  <c r="AD172" i="1" s="1"/>
  <c r="Z172" i="1" a="1"/>
  <c r="Z172" i="1" s="1"/>
  <c r="S172" i="1" a="1"/>
  <c r="S172" i="1" s="1"/>
  <c r="U172" i="1" a="1"/>
  <c r="U172" i="1" s="1"/>
  <c r="W172" i="1" a="1"/>
  <c r="W172" i="1" s="1"/>
  <c r="O172" i="1" a="1"/>
  <c r="O172" i="1" s="1"/>
  <c r="K172" i="1" a="1"/>
  <c r="K172" i="1" s="1"/>
  <c r="J172" i="1" a="1"/>
  <c r="J172" i="1" s="1"/>
  <c r="BC172" i="1" a="1"/>
  <c r="BC172" i="1" s="1"/>
  <c r="AR172" i="1" a="1"/>
  <c r="AR172" i="1" s="1"/>
  <c r="AG172" i="1" a="1"/>
  <c r="AG172" i="1" s="1"/>
  <c r="Y172" i="1" a="1"/>
  <c r="Y172" i="1" s="1"/>
  <c r="R172" i="1" a="1"/>
  <c r="R172" i="1" s="1"/>
  <c r="V172" i="1" a="1"/>
  <c r="V172" i="1" s="1"/>
  <c r="N172" i="1" a="1"/>
  <c r="N172" i="1" s="1"/>
  <c r="AK172" i="1" a="1"/>
  <c r="AK172" i="1" s="1"/>
  <c r="AC172" i="1" a="1"/>
  <c r="AC172" i="1" s="1"/>
  <c r="T172" i="1" a="1"/>
  <c r="T172" i="1" s="1"/>
  <c r="X171" i="1"/>
  <c r="AF171" i="1"/>
  <c r="I171" i="1"/>
  <c r="Q171" i="1" a="1"/>
  <c r="Q171" i="1" s="1"/>
  <c r="AO171" i="1" s="1"/>
  <c r="A172" i="1"/>
  <c r="B173" i="1"/>
  <c r="D173" i="1" l="1"/>
  <c r="E173" i="1"/>
  <c r="C173" i="1"/>
  <c r="AZ173" i="1" s="1"/>
  <c r="AT172" i="1"/>
  <c r="L172" i="1"/>
  <c r="AX172" i="1"/>
  <c r="AY171" i="1"/>
  <c r="AE172" i="1"/>
  <c r="AB172" i="1" s="1"/>
  <c r="P172" i="1"/>
  <c r="M172" i="1" s="1"/>
  <c r="AA172" i="1"/>
  <c r="F173" i="1" a="1"/>
  <c r="F173" i="1" s="1"/>
  <c r="BB173" i="1" a="1"/>
  <c r="BB173" i="1" s="1"/>
  <c r="BD173" i="1" a="1"/>
  <c r="BD173" i="1" s="1"/>
  <c r="BF173" i="1" a="1"/>
  <c r="BF173" i="1" s="1"/>
  <c r="AV173" i="1" a="1"/>
  <c r="AV173" i="1" s="1"/>
  <c r="AR173" i="1" a="1"/>
  <c r="AR173" i="1" s="1"/>
  <c r="AH173" i="1" a="1"/>
  <c r="AH173" i="1" s="1"/>
  <c r="AJ173" i="1" a="1"/>
  <c r="AJ173" i="1" s="1"/>
  <c r="AL173" i="1" a="1"/>
  <c r="AL173" i="1" s="1"/>
  <c r="G173" i="1" a="1"/>
  <c r="G173" i="1" s="1"/>
  <c r="BC173" i="1" a="1"/>
  <c r="BC173" i="1" s="1"/>
  <c r="AW173" i="1" a="1"/>
  <c r="AW173" i="1" s="1"/>
  <c r="AG173" i="1" a="1"/>
  <c r="AG173" i="1" s="1"/>
  <c r="AK173" i="1" a="1"/>
  <c r="AK173" i="1" s="1"/>
  <c r="AC173" i="1" a="1"/>
  <c r="AC173" i="1" s="1"/>
  <c r="Y173" i="1" a="1"/>
  <c r="Y173" i="1" s="1"/>
  <c r="S173" i="1" a="1"/>
  <c r="S173" i="1" s="1"/>
  <c r="U173" i="1" a="1"/>
  <c r="U173" i="1" s="1"/>
  <c r="W173" i="1" a="1"/>
  <c r="W173" i="1" s="1"/>
  <c r="N173" i="1" a="1"/>
  <c r="N173" i="1" s="1"/>
  <c r="BA173" i="1" a="1"/>
  <c r="BA173" i="1" s="1"/>
  <c r="BE173" i="1" a="1"/>
  <c r="BE173" i="1" s="1"/>
  <c r="AS173" i="1" a="1"/>
  <c r="AS173" i="1" s="1"/>
  <c r="AI173" i="1" a="1"/>
  <c r="AI173" i="1" s="1"/>
  <c r="Z173" i="1" a="1"/>
  <c r="Z173" i="1" s="1"/>
  <c r="T173" i="1" a="1"/>
  <c r="T173" i="1" s="1"/>
  <c r="O173" i="1" a="1"/>
  <c r="O173" i="1" s="1"/>
  <c r="J173" i="1" a="1"/>
  <c r="J173" i="1" s="1"/>
  <c r="AD173" i="1" a="1"/>
  <c r="AD173" i="1" s="1"/>
  <c r="AE173" i="1" s="1"/>
  <c r="AB173" i="1" s="1"/>
  <c r="R173" i="1" a="1"/>
  <c r="R173" i="1" s="1"/>
  <c r="V173" i="1" a="1"/>
  <c r="V173" i="1" s="1"/>
  <c r="K173" i="1" a="1"/>
  <c r="K173" i="1" s="1"/>
  <c r="L173" i="1" s="1"/>
  <c r="Q172" i="1" a="1"/>
  <c r="Q172" i="1" s="1"/>
  <c r="I172" i="1"/>
  <c r="X172" i="1"/>
  <c r="AF172" i="1"/>
  <c r="A173" i="1"/>
  <c r="B174" i="1"/>
  <c r="AZ174" i="1" l="1"/>
  <c r="AT173" i="1"/>
  <c r="AX173" i="1"/>
  <c r="D174" i="1"/>
  <c r="E174" i="1"/>
  <c r="C174" i="1"/>
  <c r="AO172" i="1"/>
  <c r="P173" i="1"/>
  <c r="M173" i="1" s="1"/>
  <c r="AA173" i="1"/>
  <c r="X173" i="1" s="1"/>
  <c r="AY172" i="1"/>
  <c r="H173" i="1"/>
  <c r="G174" i="1" a="1"/>
  <c r="G174" i="1" s="1"/>
  <c r="BB174" i="1" a="1"/>
  <c r="BB174" i="1" s="1"/>
  <c r="BD174" i="1" a="1"/>
  <c r="BD174" i="1" s="1"/>
  <c r="BF174" i="1" a="1"/>
  <c r="BF174" i="1" s="1"/>
  <c r="AW174" i="1" a="1"/>
  <c r="AW174" i="1" s="1"/>
  <c r="AS174" i="1" a="1"/>
  <c r="AS174" i="1" s="1"/>
  <c r="AH174" i="1" a="1"/>
  <c r="AH174" i="1" s="1"/>
  <c r="AJ174" i="1" a="1"/>
  <c r="AJ174" i="1" s="1"/>
  <c r="AL174" i="1" a="1"/>
  <c r="AL174" i="1" s="1"/>
  <c r="BA174" i="1" a="1"/>
  <c r="BA174" i="1" s="1"/>
  <c r="BE174" i="1" a="1"/>
  <c r="BE174" i="1" s="1"/>
  <c r="AR174" i="1" a="1"/>
  <c r="AR174" i="1" s="1"/>
  <c r="AI174" i="1" a="1"/>
  <c r="AI174" i="1" s="1"/>
  <c r="AD174" i="1" a="1"/>
  <c r="AD174" i="1" s="1"/>
  <c r="Z174" i="1" a="1"/>
  <c r="Z174" i="1" s="1"/>
  <c r="S174" i="1" a="1"/>
  <c r="S174" i="1" s="1"/>
  <c r="U174" i="1" a="1"/>
  <c r="U174" i="1" s="1"/>
  <c r="W174" i="1" a="1"/>
  <c r="W174" i="1" s="1"/>
  <c r="O174" i="1" a="1"/>
  <c r="O174" i="1" s="1"/>
  <c r="K174" i="1" a="1"/>
  <c r="K174" i="1" s="1"/>
  <c r="J174" i="1" a="1"/>
  <c r="J174" i="1" s="1"/>
  <c r="F174" i="1" a="1"/>
  <c r="F174" i="1" s="1"/>
  <c r="H174" i="1" s="1"/>
  <c r="BC174" i="1" a="1"/>
  <c r="BC174" i="1" s="1"/>
  <c r="AV174" i="1" a="1"/>
  <c r="AV174" i="1" s="1"/>
  <c r="AK174" i="1" a="1"/>
  <c r="AK174" i="1" s="1"/>
  <c r="AC174" i="1" a="1"/>
  <c r="AC174" i="1" s="1"/>
  <c r="R174" i="1" a="1"/>
  <c r="R174" i="1" s="1"/>
  <c r="V174" i="1" a="1"/>
  <c r="V174" i="1" s="1"/>
  <c r="AG174" i="1" a="1"/>
  <c r="AG174" i="1" s="1"/>
  <c r="Y174" i="1" a="1"/>
  <c r="Y174" i="1" s="1"/>
  <c r="T174" i="1" a="1"/>
  <c r="T174" i="1" s="1"/>
  <c r="N174" i="1" a="1"/>
  <c r="N174" i="1" s="1"/>
  <c r="I173" i="1"/>
  <c r="Q173" i="1" a="1"/>
  <c r="Q173" i="1" s="1"/>
  <c r="AF173" i="1"/>
  <c r="A174" i="1"/>
  <c r="B175" i="1"/>
  <c r="AY173" i="1" l="1"/>
  <c r="D175" i="1"/>
  <c r="E175" i="1"/>
  <c r="C175" i="1"/>
  <c r="AZ175" i="1" s="1"/>
  <c r="L174" i="1"/>
  <c r="AT174" i="1"/>
  <c r="AX174" i="1"/>
  <c r="AO173" i="1"/>
  <c r="P174" i="1"/>
  <c r="M174" i="1" s="1"/>
  <c r="AA174" i="1"/>
  <c r="AE174" i="1"/>
  <c r="AB174" i="1" s="1"/>
  <c r="F175" i="1" a="1"/>
  <c r="F175" i="1" s="1"/>
  <c r="BB175" i="1" a="1"/>
  <c r="BB175" i="1" s="1"/>
  <c r="BD175" i="1" a="1"/>
  <c r="BD175" i="1" s="1"/>
  <c r="BF175" i="1" a="1"/>
  <c r="BF175" i="1" s="1"/>
  <c r="AV175" i="1" a="1"/>
  <c r="AV175" i="1" s="1"/>
  <c r="AR175" i="1" a="1"/>
  <c r="AR175" i="1" s="1"/>
  <c r="AH175" i="1" a="1"/>
  <c r="AH175" i="1" s="1"/>
  <c r="AJ175" i="1" a="1"/>
  <c r="AJ175" i="1" s="1"/>
  <c r="AL175" i="1" a="1"/>
  <c r="AL175" i="1" s="1"/>
  <c r="BC175" i="1" a="1"/>
  <c r="BC175" i="1" s="1"/>
  <c r="AS175" i="1" a="1"/>
  <c r="AS175" i="1" s="1"/>
  <c r="AG175" i="1" a="1"/>
  <c r="AG175" i="1" s="1"/>
  <c r="AK175" i="1" a="1"/>
  <c r="AK175" i="1" s="1"/>
  <c r="AC175" i="1" a="1"/>
  <c r="AC175" i="1" s="1"/>
  <c r="Y175" i="1" a="1"/>
  <c r="Y175" i="1" s="1"/>
  <c r="S175" i="1" a="1"/>
  <c r="S175" i="1" s="1"/>
  <c r="U175" i="1" a="1"/>
  <c r="U175" i="1" s="1"/>
  <c r="W175" i="1" a="1"/>
  <c r="W175" i="1" s="1"/>
  <c r="N175" i="1" a="1"/>
  <c r="N175" i="1" s="1"/>
  <c r="G175" i="1" a="1"/>
  <c r="G175" i="1" s="1"/>
  <c r="BA175" i="1" a="1"/>
  <c r="BA175" i="1" s="1"/>
  <c r="BE175" i="1" a="1"/>
  <c r="BE175" i="1" s="1"/>
  <c r="AW175" i="1" a="1"/>
  <c r="AW175" i="1" s="1"/>
  <c r="AX175" i="1" s="1"/>
  <c r="AD175" i="1" a="1"/>
  <c r="AD175" i="1" s="1"/>
  <c r="T175" i="1" a="1"/>
  <c r="T175" i="1" s="1"/>
  <c r="K175" i="1" a="1"/>
  <c r="K175" i="1" s="1"/>
  <c r="AI175" i="1" a="1"/>
  <c r="AI175" i="1" s="1"/>
  <c r="Z175" i="1" a="1"/>
  <c r="Z175" i="1" s="1"/>
  <c r="R175" i="1" a="1"/>
  <c r="R175" i="1" s="1"/>
  <c r="V175" i="1" a="1"/>
  <c r="V175" i="1" s="1"/>
  <c r="O175" i="1" a="1"/>
  <c r="O175" i="1" s="1"/>
  <c r="P175" i="1" s="1"/>
  <c r="M175" i="1" s="1"/>
  <c r="J175" i="1" a="1"/>
  <c r="J175" i="1" s="1"/>
  <c r="Q174" i="1" a="1"/>
  <c r="Q174" i="1" s="1"/>
  <c r="I174" i="1"/>
  <c r="X174" i="1"/>
  <c r="AF174" i="1"/>
  <c r="A175" i="1"/>
  <c r="B176" i="1"/>
  <c r="AA175" i="1" l="1"/>
  <c r="AE175" i="1"/>
  <c r="AB175" i="1" s="1"/>
  <c r="AT175" i="1"/>
  <c r="D176" i="1"/>
  <c r="E176" i="1"/>
  <c r="C176" i="1"/>
  <c r="AO174" i="1"/>
  <c r="AY174" i="1"/>
  <c r="L175" i="1"/>
  <c r="H175" i="1"/>
  <c r="G176" i="1" a="1"/>
  <c r="G176" i="1" s="1"/>
  <c r="BB176" i="1" a="1"/>
  <c r="BB176" i="1" s="1"/>
  <c r="BD176" i="1" a="1"/>
  <c r="BD176" i="1" s="1"/>
  <c r="BF176" i="1" a="1"/>
  <c r="BF176" i="1" s="1"/>
  <c r="AW176" i="1" a="1"/>
  <c r="AW176" i="1" s="1"/>
  <c r="AS176" i="1" a="1"/>
  <c r="AS176" i="1" s="1"/>
  <c r="AH176" i="1" a="1"/>
  <c r="AH176" i="1" s="1"/>
  <c r="AJ176" i="1" a="1"/>
  <c r="AJ176" i="1" s="1"/>
  <c r="AL176" i="1" a="1"/>
  <c r="AL176" i="1" s="1"/>
  <c r="F176" i="1" a="1"/>
  <c r="F176" i="1" s="1"/>
  <c r="H176" i="1" s="1"/>
  <c r="BA176" i="1" a="1"/>
  <c r="BA176" i="1" s="1"/>
  <c r="BE176" i="1" a="1"/>
  <c r="BE176" i="1" s="1"/>
  <c r="AV176" i="1" a="1"/>
  <c r="AV176" i="1" s="1"/>
  <c r="AI176" i="1" a="1"/>
  <c r="AI176" i="1" s="1"/>
  <c r="AD176" i="1" a="1"/>
  <c r="AD176" i="1" s="1"/>
  <c r="Z176" i="1" a="1"/>
  <c r="Z176" i="1" s="1"/>
  <c r="S176" i="1" a="1"/>
  <c r="S176" i="1" s="1"/>
  <c r="U176" i="1" a="1"/>
  <c r="U176" i="1" s="1"/>
  <c r="W176" i="1" a="1"/>
  <c r="W176" i="1" s="1"/>
  <c r="O176" i="1" a="1"/>
  <c r="O176" i="1" s="1"/>
  <c r="K176" i="1" a="1"/>
  <c r="K176" i="1" s="1"/>
  <c r="J176" i="1" a="1"/>
  <c r="J176" i="1" s="1"/>
  <c r="BC176" i="1" a="1"/>
  <c r="BC176" i="1" s="1"/>
  <c r="AG176" i="1" a="1"/>
  <c r="AG176" i="1" s="1"/>
  <c r="Y176" i="1" a="1"/>
  <c r="Y176" i="1" s="1"/>
  <c r="R176" i="1" a="1"/>
  <c r="R176" i="1" s="1"/>
  <c r="V176" i="1" a="1"/>
  <c r="V176" i="1" s="1"/>
  <c r="N176" i="1" a="1"/>
  <c r="N176" i="1" s="1"/>
  <c r="AR176" i="1" a="1"/>
  <c r="AR176" i="1" s="1"/>
  <c r="AK176" i="1" a="1"/>
  <c r="AK176" i="1" s="1"/>
  <c r="AC176" i="1" a="1"/>
  <c r="AC176" i="1" s="1"/>
  <c r="T176" i="1" a="1"/>
  <c r="T176" i="1" s="1"/>
  <c r="X175" i="1"/>
  <c r="AF175" i="1"/>
  <c r="I175" i="1"/>
  <c r="Q175" i="1" a="1"/>
  <c r="Q175" i="1" s="1"/>
  <c r="AO175" i="1" s="1"/>
  <c r="B177" i="1"/>
  <c r="A176" i="1"/>
  <c r="AZ176" i="1" l="1"/>
  <c r="AY175" i="1"/>
  <c r="D177" i="1"/>
  <c r="E177" i="1"/>
  <c r="C177" i="1"/>
  <c r="AZ177" i="1" s="1"/>
  <c r="AA176" i="1"/>
  <c r="AT176" i="1"/>
  <c r="AX176" i="1"/>
  <c r="P176" i="1"/>
  <c r="M176" i="1" s="1"/>
  <c r="L176" i="1"/>
  <c r="AE176" i="1"/>
  <c r="AB176" i="1" s="1"/>
  <c r="F177" i="1" a="1"/>
  <c r="F177" i="1" s="1"/>
  <c r="BB177" i="1" a="1"/>
  <c r="BB177" i="1" s="1"/>
  <c r="BD177" i="1" a="1"/>
  <c r="BD177" i="1" s="1"/>
  <c r="BF177" i="1" a="1"/>
  <c r="BF177" i="1" s="1"/>
  <c r="AV177" i="1" a="1"/>
  <c r="AV177" i="1" s="1"/>
  <c r="AR177" i="1" a="1"/>
  <c r="AR177" i="1" s="1"/>
  <c r="AH177" i="1" a="1"/>
  <c r="AH177" i="1" s="1"/>
  <c r="AJ177" i="1" a="1"/>
  <c r="AJ177" i="1" s="1"/>
  <c r="AL177" i="1" a="1"/>
  <c r="AL177" i="1" s="1"/>
  <c r="G177" i="1" a="1"/>
  <c r="G177" i="1" s="1"/>
  <c r="BC177" i="1" a="1"/>
  <c r="BC177" i="1" s="1"/>
  <c r="AW177" i="1" a="1"/>
  <c r="AW177" i="1" s="1"/>
  <c r="AG177" i="1" a="1"/>
  <c r="AG177" i="1" s="1"/>
  <c r="AK177" i="1" a="1"/>
  <c r="AK177" i="1" s="1"/>
  <c r="AC177" i="1" a="1"/>
  <c r="AC177" i="1" s="1"/>
  <c r="Y177" i="1" a="1"/>
  <c r="Y177" i="1" s="1"/>
  <c r="S177" i="1" a="1"/>
  <c r="S177" i="1" s="1"/>
  <c r="U177" i="1" a="1"/>
  <c r="U177" i="1" s="1"/>
  <c r="W177" i="1" a="1"/>
  <c r="W177" i="1" s="1"/>
  <c r="N177" i="1" a="1"/>
  <c r="N177" i="1" s="1"/>
  <c r="BA177" i="1" a="1"/>
  <c r="BA177" i="1" s="1"/>
  <c r="BE177" i="1" a="1"/>
  <c r="BE177" i="1" s="1"/>
  <c r="AS177" i="1" a="1"/>
  <c r="AS177" i="1" s="1"/>
  <c r="AI177" i="1" a="1"/>
  <c r="AI177" i="1" s="1"/>
  <c r="Z177" i="1" a="1"/>
  <c r="Z177" i="1" s="1"/>
  <c r="T177" i="1" a="1"/>
  <c r="T177" i="1" s="1"/>
  <c r="O177" i="1" a="1"/>
  <c r="O177" i="1" s="1"/>
  <c r="J177" i="1" a="1"/>
  <c r="J177" i="1" s="1"/>
  <c r="AD177" i="1" a="1"/>
  <c r="AD177" i="1" s="1"/>
  <c r="AE177" i="1" s="1"/>
  <c r="AB177" i="1" s="1"/>
  <c r="R177" i="1" a="1"/>
  <c r="R177" i="1" s="1"/>
  <c r="V177" i="1" a="1"/>
  <c r="V177" i="1" s="1"/>
  <c r="K177" i="1" a="1"/>
  <c r="K177" i="1" s="1"/>
  <c r="Q176" i="1" a="1"/>
  <c r="Q176" i="1" s="1"/>
  <c r="I176" i="1"/>
  <c r="X176" i="1"/>
  <c r="AF176" i="1"/>
  <c r="B178" i="1"/>
  <c r="A177" i="1"/>
  <c r="AX177" i="1" l="1"/>
  <c r="L177" i="1"/>
  <c r="AT177" i="1"/>
  <c r="D178" i="1"/>
  <c r="E178" i="1"/>
  <c r="C178" i="1"/>
  <c r="AZ178" i="1" s="1"/>
  <c r="AY176" i="1"/>
  <c r="P177" i="1"/>
  <c r="M177" i="1" s="1"/>
  <c r="AA177" i="1"/>
  <c r="AO176" i="1"/>
  <c r="H177" i="1"/>
  <c r="AY177" i="1" s="1"/>
  <c r="G178" i="1" a="1"/>
  <c r="G178" i="1" s="1"/>
  <c r="BB178" i="1" a="1"/>
  <c r="BB178" i="1" s="1"/>
  <c r="BD178" i="1" a="1"/>
  <c r="BD178" i="1" s="1"/>
  <c r="BF178" i="1" a="1"/>
  <c r="BF178" i="1" s="1"/>
  <c r="AW178" i="1" a="1"/>
  <c r="AW178" i="1" s="1"/>
  <c r="AS178" i="1" a="1"/>
  <c r="AS178" i="1" s="1"/>
  <c r="AH178" i="1" a="1"/>
  <c r="AH178" i="1" s="1"/>
  <c r="AJ178" i="1" a="1"/>
  <c r="AJ178" i="1" s="1"/>
  <c r="AL178" i="1" a="1"/>
  <c r="AL178" i="1" s="1"/>
  <c r="BA178" i="1" a="1"/>
  <c r="BA178" i="1" s="1"/>
  <c r="BE178" i="1" a="1"/>
  <c r="BE178" i="1" s="1"/>
  <c r="AR178" i="1" a="1"/>
  <c r="AR178" i="1" s="1"/>
  <c r="AI178" i="1" a="1"/>
  <c r="AI178" i="1" s="1"/>
  <c r="AD178" i="1" a="1"/>
  <c r="AD178" i="1" s="1"/>
  <c r="Z178" i="1" a="1"/>
  <c r="Z178" i="1" s="1"/>
  <c r="S178" i="1" a="1"/>
  <c r="S178" i="1" s="1"/>
  <c r="U178" i="1" a="1"/>
  <c r="U178" i="1" s="1"/>
  <c r="W178" i="1" a="1"/>
  <c r="W178" i="1" s="1"/>
  <c r="O178" i="1" a="1"/>
  <c r="O178" i="1" s="1"/>
  <c r="K178" i="1" a="1"/>
  <c r="K178" i="1" s="1"/>
  <c r="J178" i="1" a="1"/>
  <c r="J178" i="1" s="1"/>
  <c r="F178" i="1" a="1"/>
  <c r="F178" i="1" s="1"/>
  <c r="H178" i="1" s="1"/>
  <c r="BC178" i="1" a="1"/>
  <c r="BC178" i="1" s="1"/>
  <c r="AV178" i="1" a="1"/>
  <c r="AV178" i="1" s="1"/>
  <c r="AK178" i="1" a="1"/>
  <c r="AK178" i="1" s="1"/>
  <c r="AC178" i="1" a="1"/>
  <c r="AC178" i="1" s="1"/>
  <c r="R178" i="1" a="1"/>
  <c r="R178" i="1" s="1"/>
  <c r="V178" i="1" a="1"/>
  <c r="V178" i="1" s="1"/>
  <c r="AG178" i="1" a="1"/>
  <c r="AG178" i="1" s="1"/>
  <c r="Y178" i="1" a="1"/>
  <c r="Y178" i="1" s="1"/>
  <c r="T178" i="1" a="1"/>
  <c r="T178" i="1" s="1"/>
  <c r="N178" i="1" a="1"/>
  <c r="N178" i="1" s="1"/>
  <c r="I177" i="1"/>
  <c r="X177" i="1"/>
  <c r="AF177" i="1"/>
  <c r="B179" i="1"/>
  <c r="A178" i="1"/>
  <c r="Q177" i="1" l="1" a="1"/>
  <c r="Q177" i="1" s="1"/>
  <c r="D179" i="1"/>
  <c r="E179" i="1"/>
  <c r="C179" i="1"/>
  <c r="AX178" i="1"/>
  <c r="AT178" i="1"/>
  <c r="AO177" i="1"/>
  <c r="L178" i="1"/>
  <c r="AE178" i="1"/>
  <c r="AB178" i="1" s="1"/>
  <c r="P178" i="1"/>
  <c r="M178" i="1" s="1"/>
  <c r="AA178" i="1"/>
  <c r="F179" i="1" a="1"/>
  <c r="F179" i="1" s="1"/>
  <c r="BB179" i="1" a="1"/>
  <c r="BB179" i="1" s="1"/>
  <c r="BD179" i="1" a="1"/>
  <c r="BD179" i="1" s="1"/>
  <c r="BF179" i="1" a="1"/>
  <c r="BF179" i="1" s="1"/>
  <c r="AV179" i="1" a="1"/>
  <c r="AV179" i="1" s="1"/>
  <c r="AR179" i="1" a="1"/>
  <c r="AR179" i="1" s="1"/>
  <c r="AH179" i="1" a="1"/>
  <c r="AH179" i="1" s="1"/>
  <c r="AJ179" i="1" a="1"/>
  <c r="AJ179" i="1" s="1"/>
  <c r="AL179" i="1" a="1"/>
  <c r="AL179" i="1" s="1"/>
  <c r="BC179" i="1" a="1"/>
  <c r="BC179" i="1" s="1"/>
  <c r="AS179" i="1" a="1"/>
  <c r="AS179" i="1" s="1"/>
  <c r="AG179" i="1" a="1"/>
  <c r="AG179" i="1" s="1"/>
  <c r="AK179" i="1" a="1"/>
  <c r="AK179" i="1" s="1"/>
  <c r="AC179" i="1" a="1"/>
  <c r="AC179" i="1" s="1"/>
  <c r="Y179" i="1" a="1"/>
  <c r="Y179" i="1" s="1"/>
  <c r="S179" i="1" a="1"/>
  <c r="S179" i="1" s="1"/>
  <c r="U179" i="1" a="1"/>
  <c r="U179" i="1" s="1"/>
  <c r="W179" i="1" a="1"/>
  <c r="W179" i="1" s="1"/>
  <c r="N179" i="1" a="1"/>
  <c r="N179" i="1" s="1"/>
  <c r="G179" i="1" a="1"/>
  <c r="G179" i="1" s="1"/>
  <c r="BA179" i="1" a="1"/>
  <c r="BA179" i="1" s="1"/>
  <c r="BE179" i="1" a="1"/>
  <c r="BE179" i="1" s="1"/>
  <c r="AW179" i="1" a="1"/>
  <c r="AW179" i="1" s="1"/>
  <c r="AX179" i="1" s="1"/>
  <c r="AD179" i="1" a="1"/>
  <c r="AD179" i="1" s="1"/>
  <c r="AE179" i="1" s="1"/>
  <c r="AB179" i="1" s="1"/>
  <c r="T179" i="1" a="1"/>
  <c r="T179" i="1" s="1"/>
  <c r="K179" i="1" a="1"/>
  <c r="K179" i="1" s="1"/>
  <c r="AI179" i="1" a="1"/>
  <c r="AI179" i="1" s="1"/>
  <c r="Z179" i="1" a="1"/>
  <c r="Z179" i="1" s="1"/>
  <c r="R179" i="1" a="1"/>
  <c r="R179" i="1" s="1"/>
  <c r="V179" i="1" a="1"/>
  <c r="V179" i="1" s="1"/>
  <c r="O179" i="1" a="1"/>
  <c r="O179" i="1" s="1"/>
  <c r="P179" i="1" s="1"/>
  <c r="M179" i="1" s="1"/>
  <c r="J179" i="1" a="1"/>
  <c r="J179" i="1" s="1"/>
  <c r="Q178" i="1" a="1"/>
  <c r="Q178" i="1" s="1"/>
  <c r="I178" i="1"/>
  <c r="X178" i="1"/>
  <c r="AF178" i="1"/>
  <c r="B180" i="1"/>
  <c r="A179" i="1"/>
  <c r="AZ179" i="1" l="1"/>
  <c r="AA179" i="1"/>
  <c r="AT179" i="1"/>
  <c r="D180" i="1"/>
  <c r="E180" i="1"/>
  <c r="C180" i="1"/>
  <c r="AZ180" i="1" s="1"/>
  <c r="AY178" i="1"/>
  <c r="AO178" i="1"/>
  <c r="H179" i="1"/>
  <c r="AY179" i="1" s="1"/>
  <c r="L179" i="1"/>
  <c r="G180" i="1" a="1"/>
  <c r="G180" i="1" s="1"/>
  <c r="BB180" i="1" a="1"/>
  <c r="BB180" i="1" s="1"/>
  <c r="BD180" i="1" a="1"/>
  <c r="BD180" i="1" s="1"/>
  <c r="BF180" i="1" a="1"/>
  <c r="BF180" i="1" s="1"/>
  <c r="AW180" i="1" a="1"/>
  <c r="AW180" i="1" s="1"/>
  <c r="AS180" i="1" a="1"/>
  <c r="AS180" i="1" s="1"/>
  <c r="AH180" i="1" a="1"/>
  <c r="AH180" i="1" s="1"/>
  <c r="AJ180" i="1" a="1"/>
  <c r="AJ180" i="1" s="1"/>
  <c r="AL180" i="1" a="1"/>
  <c r="AL180" i="1" s="1"/>
  <c r="F180" i="1" a="1"/>
  <c r="F180" i="1" s="1"/>
  <c r="BA180" i="1" a="1"/>
  <c r="BA180" i="1" s="1"/>
  <c r="BE180" i="1" a="1"/>
  <c r="BE180" i="1" s="1"/>
  <c r="AV180" i="1" a="1"/>
  <c r="AV180" i="1" s="1"/>
  <c r="AI180" i="1" a="1"/>
  <c r="AI180" i="1" s="1"/>
  <c r="AD180" i="1" a="1"/>
  <c r="AD180" i="1" s="1"/>
  <c r="Z180" i="1" a="1"/>
  <c r="Z180" i="1" s="1"/>
  <c r="S180" i="1" a="1"/>
  <c r="S180" i="1" s="1"/>
  <c r="U180" i="1" a="1"/>
  <c r="U180" i="1" s="1"/>
  <c r="W180" i="1" a="1"/>
  <c r="W180" i="1" s="1"/>
  <c r="O180" i="1" a="1"/>
  <c r="O180" i="1" s="1"/>
  <c r="K180" i="1" a="1"/>
  <c r="K180" i="1" s="1"/>
  <c r="J180" i="1" a="1"/>
  <c r="J180" i="1" s="1"/>
  <c r="BC180" i="1" a="1"/>
  <c r="BC180" i="1" s="1"/>
  <c r="AR180" i="1" a="1"/>
  <c r="AR180" i="1" s="1"/>
  <c r="AG180" i="1" a="1"/>
  <c r="AG180" i="1" s="1"/>
  <c r="Y180" i="1" a="1"/>
  <c r="Y180" i="1" s="1"/>
  <c r="R180" i="1" a="1"/>
  <c r="R180" i="1" s="1"/>
  <c r="V180" i="1" a="1"/>
  <c r="V180" i="1" s="1"/>
  <c r="N180" i="1" a="1"/>
  <c r="N180" i="1" s="1"/>
  <c r="AK180" i="1" a="1"/>
  <c r="AK180" i="1" s="1"/>
  <c r="AC180" i="1" a="1"/>
  <c r="AC180" i="1" s="1"/>
  <c r="T180" i="1" a="1"/>
  <c r="T180" i="1" s="1"/>
  <c r="X179" i="1"/>
  <c r="AF179" i="1"/>
  <c r="I179" i="1"/>
  <c r="Q179" i="1" a="1"/>
  <c r="Q179" i="1" s="1"/>
  <c r="AO179" i="1" s="1"/>
  <c r="B181" i="1"/>
  <c r="A180" i="1"/>
  <c r="D181" i="1" l="1"/>
  <c r="E181" i="1"/>
  <c r="C181" i="1"/>
  <c r="AZ181" i="1" s="1"/>
  <c r="H180" i="1"/>
  <c r="AT180" i="1"/>
  <c r="AX180" i="1"/>
  <c r="P180" i="1"/>
  <c r="M180" i="1" s="1"/>
  <c r="L180" i="1"/>
  <c r="AE180" i="1"/>
  <c r="AB180" i="1" s="1"/>
  <c r="AA180" i="1"/>
  <c r="F181" i="1" a="1"/>
  <c r="F181" i="1" s="1"/>
  <c r="BB181" i="1" a="1"/>
  <c r="BB181" i="1" s="1"/>
  <c r="BD181" i="1" a="1"/>
  <c r="BD181" i="1" s="1"/>
  <c r="BF181" i="1" a="1"/>
  <c r="BF181" i="1" s="1"/>
  <c r="AV181" i="1" a="1"/>
  <c r="AV181" i="1" s="1"/>
  <c r="AR181" i="1" a="1"/>
  <c r="AR181" i="1" s="1"/>
  <c r="AH181" i="1" a="1"/>
  <c r="AH181" i="1" s="1"/>
  <c r="AJ181" i="1" a="1"/>
  <c r="AJ181" i="1" s="1"/>
  <c r="AL181" i="1" a="1"/>
  <c r="AL181" i="1" s="1"/>
  <c r="G181" i="1" a="1"/>
  <c r="G181" i="1" s="1"/>
  <c r="BC181" i="1" a="1"/>
  <c r="BC181" i="1" s="1"/>
  <c r="AW181" i="1" a="1"/>
  <c r="AW181" i="1" s="1"/>
  <c r="AG181" i="1" a="1"/>
  <c r="AG181" i="1" s="1"/>
  <c r="AK181" i="1" a="1"/>
  <c r="AK181" i="1" s="1"/>
  <c r="AC181" i="1" a="1"/>
  <c r="AC181" i="1" s="1"/>
  <c r="Y181" i="1" a="1"/>
  <c r="Y181" i="1" s="1"/>
  <c r="S181" i="1" a="1"/>
  <c r="S181" i="1" s="1"/>
  <c r="U181" i="1" a="1"/>
  <c r="U181" i="1" s="1"/>
  <c r="W181" i="1" a="1"/>
  <c r="W181" i="1" s="1"/>
  <c r="N181" i="1" a="1"/>
  <c r="N181" i="1" s="1"/>
  <c r="BA181" i="1" a="1"/>
  <c r="BA181" i="1" s="1"/>
  <c r="BE181" i="1" a="1"/>
  <c r="BE181" i="1" s="1"/>
  <c r="AS181" i="1" a="1"/>
  <c r="AS181" i="1" s="1"/>
  <c r="AI181" i="1" a="1"/>
  <c r="AI181" i="1" s="1"/>
  <c r="Z181" i="1" a="1"/>
  <c r="Z181" i="1" s="1"/>
  <c r="T181" i="1" a="1"/>
  <c r="T181" i="1" s="1"/>
  <c r="O181" i="1" a="1"/>
  <c r="O181" i="1" s="1"/>
  <c r="J181" i="1" a="1"/>
  <c r="J181" i="1" s="1"/>
  <c r="AD181" i="1" a="1"/>
  <c r="AD181" i="1" s="1"/>
  <c r="AE181" i="1" s="1"/>
  <c r="AB181" i="1" s="1"/>
  <c r="R181" i="1" a="1"/>
  <c r="R181" i="1" s="1"/>
  <c r="V181" i="1" a="1"/>
  <c r="V181" i="1" s="1"/>
  <c r="K181" i="1" a="1"/>
  <c r="K181" i="1" s="1"/>
  <c r="Q180" i="1" a="1"/>
  <c r="Q180" i="1" s="1"/>
  <c r="I180" i="1"/>
  <c r="X180" i="1"/>
  <c r="AF180" i="1"/>
  <c r="B182" i="1"/>
  <c r="A181" i="1"/>
  <c r="L181" i="1" l="1"/>
  <c r="AT181" i="1"/>
  <c r="AO180" i="1"/>
  <c r="P181" i="1"/>
  <c r="M181" i="1" s="1"/>
  <c r="AA181" i="1"/>
  <c r="D182" i="1"/>
  <c r="E182" i="1"/>
  <c r="C182" i="1"/>
  <c r="AZ182" i="1" s="1"/>
  <c r="AY180" i="1"/>
  <c r="AX181" i="1"/>
  <c r="H181" i="1"/>
  <c r="G182" i="1" a="1"/>
  <c r="G182" i="1" s="1"/>
  <c r="BB182" i="1" a="1"/>
  <c r="BB182" i="1" s="1"/>
  <c r="BD182" i="1" a="1"/>
  <c r="BD182" i="1" s="1"/>
  <c r="BF182" i="1" a="1"/>
  <c r="BF182" i="1" s="1"/>
  <c r="AW182" i="1" a="1"/>
  <c r="AW182" i="1" s="1"/>
  <c r="AS182" i="1" a="1"/>
  <c r="AS182" i="1" s="1"/>
  <c r="AH182" i="1" a="1"/>
  <c r="AH182" i="1" s="1"/>
  <c r="AJ182" i="1" a="1"/>
  <c r="AJ182" i="1" s="1"/>
  <c r="AL182" i="1" a="1"/>
  <c r="AL182" i="1" s="1"/>
  <c r="BA182" i="1" a="1"/>
  <c r="BA182" i="1" s="1"/>
  <c r="BE182" i="1" a="1"/>
  <c r="BE182" i="1" s="1"/>
  <c r="AR182" i="1" a="1"/>
  <c r="AR182" i="1" s="1"/>
  <c r="AI182" i="1" a="1"/>
  <c r="AI182" i="1" s="1"/>
  <c r="AD182" i="1" a="1"/>
  <c r="AD182" i="1" s="1"/>
  <c r="Z182" i="1" a="1"/>
  <c r="Z182" i="1" s="1"/>
  <c r="S182" i="1" a="1"/>
  <c r="S182" i="1" s="1"/>
  <c r="U182" i="1" a="1"/>
  <c r="U182" i="1" s="1"/>
  <c r="W182" i="1" a="1"/>
  <c r="W182" i="1" s="1"/>
  <c r="O182" i="1" a="1"/>
  <c r="O182" i="1" s="1"/>
  <c r="K182" i="1" a="1"/>
  <c r="K182" i="1" s="1"/>
  <c r="J182" i="1" a="1"/>
  <c r="J182" i="1" s="1"/>
  <c r="F182" i="1" a="1"/>
  <c r="F182" i="1" s="1"/>
  <c r="H182" i="1" s="1"/>
  <c r="BC182" i="1" a="1"/>
  <c r="BC182" i="1" s="1"/>
  <c r="AV182" i="1" a="1"/>
  <c r="AV182" i="1" s="1"/>
  <c r="AK182" i="1" a="1"/>
  <c r="AK182" i="1" s="1"/>
  <c r="AC182" i="1" a="1"/>
  <c r="AC182" i="1" s="1"/>
  <c r="R182" i="1" a="1"/>
  <c r="R182" i="1" s="1"/>
  <c r="V182" i="1" a="1"/>
  <c r="V182" i="1" s="1"/>
  <c r="AG182" i="1" a="1"/>
  <c r="AG182" i="1" s="1"/>
  <c r="Y182" i="1" a="1"/>
  <c r="Y182" i="1" s="1"/>
  <c r="T182" i="1" a="1"/>
  <c r="T182" i="1" s="1"/>
  <c r="N182" i="1" a="1"/>
  <c r="N182" i="1" s="1"/>
  <c r="I181" i="1"/>
  <c r="Q181" i="1" a="1"/>
  <c r="Q181" i="1" s="1"/>
  <c r="X181" i="1"/>
  <c r="AF181" i="1"/>
  <c r="B183" i="1"/>
  <c r="A182" i="1"/>
  <c r="D183" i="1" l="1"/>
  <c r="E183" i="1"/>
  <c r="C183" i="1"/>
  <c r="AY181" i="1"/>
  <c r="AT182" i="1"/>
  <c r="AX182" i="1"/>
  <c r="L182" i="1"/>
  <c r="AO181" i="1"/>
  <c r="P182" i="1"/>
  <c r="M182" i="1" s="1"/>
  <c r="AA182" i="1"/>
  <c r="AE182" i="1"/>
  <c r="AB182" i="1" s="1"/>
  <c r="F183" i="1" a="1"/>
  <c r="F183" i="1" s="1"/>
  <c r="BB183" i="1" a="1"/>
  <c r="BB183" i="1" s="1"/>
  <c r="BD183" i="1" a="1"/>
  <c r="BD183" i="1" s="1"/>
  <c r="BF183" i="1" a="1"/>
  <c r="BF183" i="1" s="1"/>
  <c r="AV183" i="1" a="1"/>
  <c r="AV183" i="1" s="1"/>
  <c r="AR183" i="1" a="1"/>
  <c r="AR183" i="1" s="1"/>
  <c r="AH183" i="1" a="1"/>
  <c r="AH183" i="1" s="1"/>
  <c r="AJ183" i="1" a="1"/>
  <c r="AJ183" i="1" s="1"/>
  <c r="AL183" i="1" a="1"/>
  <c r="AL183" i="1" s="1"/>
  <c r="BC183" i="1" a="1"/>
  <c r="BC183" i="1" s="1"/>
  <c r="AS183" i="1" a="1"/>
  <c r="AS183" i="1" s="1"/>
  <c r="AG183" i="1" a="1"/>
  <c r="AG183" i="1" s="1"/>
  <c r="AK183" i="1" a="1"/>
  <c r="AK183" i="1" s="1"/>
  <c r="AC183" i="1" a="1"/>
  <c r="AC183" i="1" s="1"/>
  <c r="Y183" i="1" a="1"/>
  <c r="Y183" i="1" s="1"/>
  <c r="S183" i="1" a="1"/>
  <c r="S183" i="1" s="1"/>
  <c r="U183" i="1" a="1"/>
  <c r="U183" i="1" s="1"/>
  <c r="W183" i="1" a="1"/>
  <c r="W183" i="1" s="1"/>
  <c r="N183" i="1" a="1"/>
  <c r="N183" i="1" s="1"/>
  <c r="G183" i="1" a="1"/>
  <c r="G183" i="1" s="1"/>
  <c r="BA183" i="1" a="1"/>
  <c r="BA183" i="1" s="1"/>
  <c r="BE183" i="1" a="1"/>
  <c r="BE183" i="1" s="1"/>
  <c r="AW183" i="1" a="1"/>
  <c r="AW183" i="1" s="1"/>
  <c r="AX183" i="1" s="1"/>
  <c r="AD183" i="1" a="1"/>
  <c r="AD183" i="1" s="1"/>
  <c r="AE183" i="1" s="1"/>
  <c r="AB183" i="1" s="1"/>
  <c r="T183" i="1" a="1"/>
  <c r="T183" i="1" s="1"/>
  <c r="K183" i="1" a="1"/>
  <c r="K183" i="1" s="1"/>
  <c r="AI183" i="1" a="1"/>
  <c r="AI183" i="1" s="1"/>
  <c r="Z183" i="1" a="1"/>
  <c r="Z183" i="1" s="1"/>
  <c r="R183" i="1" a="1"/>
  <c r="R183" i="1" s="1"/>
  <c r="V183" i="1" a="1"/>
  <c r="V183" i="1" s="1"/>
  <c r="O183" i="1" a="1"/>
  <c r="O183" i="1" s="1"/>
  <c r="P183" i="1" s="1"/>
  <c r="M183" i="1" s="1"/>
  <c r="J183" i="1" a="1"/>
  <c r="J183" i="1" s="1"/>
  <c r="Q182" i="1" a="1"/>
  <c r="Q182" i="1" s="1"/>
  <c r="I182" i="1"/>
  <c r="X182" i="1"/>
  <c r="B184" i="1"/>
  <c r="A183" i="1"/>
  <c r="AZ183" i="1" l="1"/>
  <c r="AF182" i="1"/>
  <c r="AT183" i="1"/>
  <c r="D184" i="1"/>
  <c r="E184" i="1"/>
  <c r="C184" i="1"/>
  <c r="AZ184" i="1" s="1"/>
  <c r="AA183" i="1"/>
  <c r="X183" i="1" s="1"/>
  <c r="AY182" i="1"/>
  <c r="L183" i="1"/>
  <c r="I183" i="1" s="1"/>
  <c r="AO182" i="1"/>
  <c r="H183" i="1"/>
  <c r="AY183" i="1" s="1"/>
  <c r="G184" i="1" a="1"/>
  <c r="G184" i="1" s="1"/>
  <c r="BB184" i="1" a="1"/>
  <c r="BB184" i="1" s="1"/>
  <c r="BD184" i="1" a="1"/>
  <c r="BD184" i="1" s="1"/>
  <c r="BF184" i="1" a="1"/>
  <c r="BF184" i="1" s="1"/>
  <c r="AW184" i="1" a="1"/>
  <c r="AW184" i="1" s="1"/>
  <c r="AS184" i="1" a="1"/>
  <c r="AS184" i="1" s="1"/>
  <c r="AH184" i="1" a="1"/>
  <c r="AH184" i="1" s="1"/>
  <c r="AJ184" i="1" a="1"/>
  <c r="AJ184" i="1" s="1"/>
  <c r="AL184" i="1" a="1"/>
  <c r="AL184" i="1" s="1"/>
  <c r="F184" i="1" a="1"/>
  <c r="F184" i="1" s="1"/>
  <c r="H184" i="1" s="1"/>
  <c r="BA184" i="1" a="1"/>
  <c r="BA184" i="1" s="1"/>
  <c r="BE184" i="1" a="1"/>
  <c r="BE184" i="1" s="1"/>
  <c r="AV184" i="1" a="1"/>
  <c r="AV184" i="1" s="1"/>
  <c r="AI184" i="1" a="1"/>
  <c r="AI184" i="1" s="1"/>
  <c r="AD184" i="1" a="1"/>
  <c r="AD184" i="1" s="1"/>
  <c r="Z184" i="1" a="1"/>
  <c r="Z184" i="1" s="1"/>
  <c r="S184" i="1" a="1"/>
  <c r="S184" i="1" s="1"/>
  <c r="U184" i="1" a="1"/>
  <c r="U184" i="1" s="1"/>
  <c r="W184" i="1" a="1"/>
  <c r="W184" i="1" s="1"/>
  <c r="O184" i="1" a="1"/>
  <c r="O184" i="1" s="1"/>
  <c r="K184" i="1" a="1"/>
  <c r="K184" i="1" s="1"/>
  <c r="J184" i="1" a="1"/>
  <c r="J184" i="1" s="1"/>
  <c r="BC184" i="1" a="1"/>
  <c r="BC184" i="1" s="1"/>
  <c r="AG184" i="1" a="1"/>
  <c r="AG184" i="1" s="1"/>
  <c r="Y184" i="1" a="1"/>
  <c r="Y184" i="1" s="1"/>
  <c r="R184" i="1" a="1"/>
  <c r="R184" i="1" s="1"/>
  <c r="V184" i="1" a="1"/>
  <c r="V184" i="1" s="1"/>
  <c r="N184" i="1" a="1"/>
  <c r="N184" i="1" s="1"/>
  <c r="AR184" i="1" a="1"/>
  <c r="AR184" i="1" s="1"/>
  <c r="AK184" i="1" a="1"/>
  <c r="AK184" i="1" s="1"/>
  <c r="AC184" i="1" a="1"/>
  <c r="AC184" i="1" s="1"/>
  <c r="T184" i="1" a="1"/>
  <c r="T184" i="1" s="1"/>
  <c r="AF183" i="1"/>
  <c r="Q183" i="1" a="1"/>
  <c r="Q183" i="1" s="1"/>
  <c r="B185" i="1"/>
  <c r="A184" i="1"/>
  <c r="AO183" i="1" l="1"/>
  <c r="D185" i="1"/>
  <c r="E185" i="1"/>
  <c r="C185" i="1"/>
  <c r="AZ185" i="1" s="1"/>
  <c r="AX184" i="1"/>
  <c r="AT184" i="1"/>
  <c r="L184" i="1"/>
  <c r="AE184" i="1"/>
  <c r="AB184" i="1" s="1"/>
  <c r="P184" i="1"/>
  <c r="M184" i="1" s="1"/>
  <c r="AA184" i="1"/>
  <c r="F185" i="1" a="1"/>
  <c r="F185" i="1" s="1"/>
  <c r="BB185" i="1" a="1"/>
  <c r="BB185" i="1" s="1"/>
  <c r="BD185" i="1" a="1"/>
  <c r="BD185" i="1" s="1"/>
  <c r="BF185" i="1" a="1"/>
  <c r="BF185" i="1" s="1"/>
  <c r="AV185" i="1" a="1"/>
  <c r="AV185" i="1" s="1"/>
  <c r="AR185" i="1" a="1"/>
  <c r="AR185" i="1" s="1"/>
  <c r="AH185" i="1" a="1"/>
  <c r="AH185" i="1" s="1"/>
  <c r="AJ185" i="1" a="1"/>
  <c r="AJ185" i="1" s="1"/>
  <c r="AL185" i="1" a="1"/>
  <c r="AL185" i="1" s="1"/>
  <c r="G185" i="1" a="1"/>
  <c r="G185" i="1" s="1"/>
  <c r="BC185" i="1" a="1"/>
  <c r="BC185" i="1" s="1"/>
  <c r="AW185" i="1" a="1"/>
  <c r="AW185" i="1" s="1"/>
  <c r="AG185" i="1" a="1"/>
  <c r="AG185" i="1" s="1"/>
  <c r="AK185" i="1" a="1"/>
  <c r="AK185" i="1" s="1"/>
  <c r="AC185" i="1" a="1"/>
  <c r="AC185" i="1" s="1"/>
  <c r="Y185" i="1" a="1"/>
  <c r="Y185" i="1" s="1"/>
  <c r="S185" i="1" a="1"/>
  <c r="S185" i="1" s="1"/>
  <c r="U185" i="1" a="1"/>
  <c r="U185" i="1" s="1"/>
  <c r="W185" i="1" a="1"/>
  <c r="W185" i="1" s="1"/>
  <c r="N185" i="1" a="1"/>
  <c r="N185" i="1" s="1"/>
  <c r="BA185" i="1" a="1"/>
  <c r="BA185" i="1" s="1"/>
  <c r="BE185" i="1" a="1"/>
  <c r="BE185" i="1" s="1"/>
  <c r="AS185" i="1" a="1"/>
  <c r="AS185" i="1" s="1"/>
  <c r="AT185" i="1" s="1"/>
  <c r="AI185" i="1" a="1"/>
  <c r="AI185" i="1" s="1"/>
  <c r="Z185" i="1" a="1"/>
  <c r="Z185" i="1" s="1"/>
  <c r="T185" i="1" a="1"/>
  <c r="T185" i="1" s="1"/>
  <c r="O185" i="1" a="1"/>
  <c r="O185" i="1" s="1"/>
  <c r="J185" i="1" a="1"/>
  <c r="J185" i="1" s="1"/>
  <c r="AD185" i="1" a="1"/>
  <c r="AD185" i="1" s="1"/>
  <c r="AE185" i="1" s="1"/>
  <c r="AB185" i="1" s="1"/>
  <c r="R185" i="1" a="1"/>
  <c r="R185" i="1" s="1"/>
  <c r="V185" i="1" a="1"/>
  <c r="V185" i="1" s="1"/>
  <c r="K185" i="1" a="1"/>
  <c r="K185" i="1" s="1"/>
  <c r="L185" i="1" s="1"/>
  <c r="Q184" i="1" a="1"/>
  <c r="Q184" i="1" s="1"/>
  <c r="I184" i="1"/>
  <c r="X184" i="1"/>
  <c r="AF184" i="1"/>
  <c r="B186" i="1"/>
  <c r="A185" i="1"/>
  <c r="AX185" i="1" l="1"/>
  <c r="AY184" i="1"/>
  <c r="D186" i="1"/>
  <c r="E186" i="1"/>
  <c r="C186" i="1"/>
  <c r="AZ186" i="1" s="1"/>
  <c r="AO184" i="1"/>
  <c r="P185" i="1"/>
  <c r="M185" i="1" s="1"/>
  <c r="AA185" i="1"/>
  <c r="H185" i="1"/>
  <c r="AY185" i="1" s="1"/>
  <c r="G186" i="1" a="1"/>
  <c r="G186" i="1" s="1"/>
  <c r="BB186" i="1" a="1"/>
  <c r="BB186" i="1" s="1"/>
  <c r="BD186" i="1" a="1"/>
  <c r="BD186" i="1" s="1"/>
  <c r="BF186" i="1" a="1"/>
  <c r="BF186" i="1" s="1"/>
  <c r="AW186" i="1" a="1"/>
  <c r="AW186" i="1" s="1"/>
  <c r="AS186" i="1" a="1"/>
  <c r="AS186" i="1" s="1"/>
  <c r="AH186" i="1" a="1"/>
  <c r="AH186" i="1" s="1"/>
  <c r="AJ186" i="1" a="1"/>
  <c r="AJ186" i="1" s="1"/>
  <c r="AL186" i="1" a="1"/>
  <c r="AL186" i="1" s="1"/>
  <c r="BA186" i="1" a="1"/>
  <c r="BA186" i="1" s="1"/>
  <c r="BE186" i="1" a="1"/>
  <c r="BE186" i="1" s="1"/>
  <c r="AR186" i="1" a="1"/>
  <c r="AR186" i="1" s="1"/>
  <c r="AI186" i="1" a="1"/>
  <c r="AI186" i="1" s="1"/>
  <c r="AD186" i="1" a="1"/>
  <c r="AD186" i="1" s="1"/>
  <c r="Z186" i="1" a="1"/>
  <c r="Z186" i="1" s="1"/>
  <c r="S186" i="1" a="1"/>
  <c r="S186" i="1" s="1"/>
  <c r="U186" i="1" a="1"/>
  <c r="U186" i="1" s="1"/>
  <c r="W186" i="1" a="1"/>
  <c r="W186" i="1" s="1"/>
  <c r="O186" i="1" a="1"/>
  <c r="O186" i="1" s="1"/>
  <c r="K186" i="1" a="1"/>
  <c r="K186" i="1" s="1"/>
  <c r="J186" i="1" a="1"/>
  <c r="J186" i="1" s="1"/>
  <c r="F186" i="1" a="1"/>
  <c r="F186" i="1" s="1"/>
  <c r="H186" i="1" s="1"/>
  <c r="BC186" i="1" a="1"/>
  <c r="BC186" i="1" s="1"/>
  <c r="AV186" i="1" a="1"/>
  <c r="AV186" i="1" s="1"/>
  <c r="AK186" i="1" a="1"/>
  <c r="AK186" i="1" s="1"/>
  <c r="AC186" i="1" a="1"/>
  <c r="AC186" i="1" s="1"/>
  <c r="R186" i="1" a="1"/>
  <c r="R186" i="1" s="1"/>
  <c r="V186" i="1" a="1"/>
  <c r="V186" i="1" s="1"/>
  <c r="AG186" i="1" a="1"/>
  <c r="AG186" i="1" s="1"/>
  <c r="Y186" i="1" a="1"/>
  <c r="Y186" i="1" s="1"/>
  <c r="T186" i="1" a="1"/>
  <c r="T186" i="1" s="1"/>
  <c r="N186" i="1" a="1"/>
  <c r="N186" i="1" s="1"/>
  <c r="I185" i="1"/>
  <c r="Q185" i="1" a="1"/>
  <c r="Q185" i="1" s="1"/>
  <c r="X185" i="1"/>
  <c r="AF185" i="1"/>
  <c r="B187" i="1"/>
  <c r="A186" i="1"/>
  <c r="D187" i="1" l="1"/>
  <c r="E187" i="1"/>
  <c r="C187" i="1"/>
  <c r="AX186" i="1"/>
  <c r="L186" i="1"/>
  <c r="AT186" i="1"/>
  <c r="AY186" i="1" s="1"/>
  <c r="AO185" i="1"/>
  <c r="P186" i="1"/>
  <c r="M186" i="1" s="1"/>
  <c r="AA186" i="1"/>
  <c r="AE186" i="1"/>
  <c r="AB186" i="1" s="1"/>
  <c r="F187" i="1" a="1"/>
  <c r="F187" i="1" s="1"/>
  <c r="BB187" i="1" a="1"/>
  <c r="BB187" i="1" s="1"/>
  <c r="BD187" i="1" a="1"/>
  <c r="BD187" i="1" s="1"/>
  <c r="BF187" i="1" a="1"/>
  <c r="BF187" i="1" s="1"/>
  <c r="AV187" i="1" a="1"/>
  <c r="AV187" i="1" s="1"/>
  <c r="AR187" i="1" a="1"/>
  <c r="AR187" i="1" s="1"/>
  <c r="AH187" i="1" a="1"/>
  <c r="AH187" i="1" s="1"/>
  <c r="AJ187" i="1" a="1"/>
  <c r="AJ187" i="1" s="1"/>
  <c r="AL187" i="1" a="1"/>
  <c r="AL187" i="1" s="1"/>
  <c r="BC187" i="1" a="1"/>
  <c r="BC187" i="1" s="1"/>
  <c r="AS187" i="1" a="1"/>
  <c r="AS187" i="1" s="1"/>
  <c r="AG187" i="1" a="1"/>
  <c r="AG187" i="1" s="1"/>
  <c r="AK187" i="1" a="1"/>
  <c r="AK187" i="1" s="1"/>
  <c r="AC187" i="1" a="1"/>
  <c r="AC187" i="1" s="1"/>
  <c r="Y187" i="1" a="1"/>
  <c r="Y187" i="1" s="1"/>
  <c r="S187" i="1" a="1"/>
  <c r="S187" i="1" s="1"/>
  <c r="U187" i="1" a="1"/>
  <c r="U187" i="1" s="1"/>
  <c r="W187" i="1" a="1"/>
  <c r="W187" i="1" s="1"/>
  <c r="N187" i="1" a="1"/>
  <c r="N187" i="1" s="1"/>
  <c r="G187" i="1" a="1"/>
  <c r="G187" i="1" s="1"/>
  <c r="BA187" i="1" a="1"/>
  <c r="BA187" i="1" s="1"/>
  <c r="BE187" i="1" a="1"/>
  <c r="BE187" i="1" s="1"/>
  <c r="AW187" i="1" a="1"/>
  <c r="AW187" i="1" s="1"/>
  <c r="AX187" i="1" s="1"/>
  <c r="AD187" i="1" a="1"/>
  <c r="AD187" i="1" s="1"/>
  <c r="T187" i="1" a="1"/>
  <c r="T187" i="1" s="1"/>
  <c r="K187" i="1" a="1"/>
  <c r="K187" i="1" s="1"/>
  <c r="AI187" i="1" a="1"/>
  <c r="AI187" i="1" s="1"/>
  <c r="Z187" i="1" a="1"/>
  <c r="Z187" i="1" s="1"/>
  <c r="R187" i="1" a="1"/>
  <c r="R187" i="1" s="1"/>
  <c r="V187" i="1" a="1"/>
  <c r="V187" i="1" s="1"/>
  <c r="O187" i="1" a="1"/>
  <c r="O187" i="1" s="1"/>
  <c r="P187" i="1" s="1"/>
  <c r="M187" i="1" s="1"/>
  <c r="J187" i="1" a="1"/>
  <c r="J187" i="1" s="1"/>
  <c r="Q186" i="1" a="1"/>
  <c r="Q186" i="1" s="1"/>
  <c r="I186" i="1"/>
  <c r="X186" i="1"/>
  <c r="AF186" i="1"/>
  <c r="B188" i="1"/>
  <c r="A187" i="1"/>
  <c r="AZ187" i="1" l="1"/>
  <c r="AE187" i="1"/>
  <c r="AB187" i="1" s="1"/>
  <c r="AA187" i="1"/>
  <c r="AT187" i="1"/>
  <c r="D188" i="1"/>
  <c r="E188" i="1"/>
  <c r="C188" i="1"/>
  <c r="AZ188" i="1" s="1"/>
  <c r="AO186" i="1"/>
  <c r="L187" i="1"/>
  <c r="H187" i="1"/>
  <c r="AY187" i="1" s="1"/>
  <c r="G188" i="1" a="1"/>
  <c r="G188" i="1" s="1"/>
  <c r="BB188" i="1" a="1"/>
  <c r="BB188" i="1" s="1"/>
  <c r="BD188" i="1" a="1"/>
  <c r="BD188" i="1" s="1"/>
  <c r="BF188" i="1" a="1"/>
  <c r="BF188" i="1" s="1"/>
  <c r="AW188" i="1" a="1"/>
  <c r="AW188" i="1" s="1"/>
  <c r="AS188" i="1" a="1"/>
  <c r="AS188" i="1" s="1"/>
  <c r="AH188" i="1" a="1"/>
  <c r="AH188" i="1" s="1"/>
  <c r="AJ188" i="1" a="1"/>
  <c r="AJ188" i="1" s="1"/>
  <c r="AL188" i="1" a="1"/>
  <c r="AL188" i="1" s="1"/>
  <c r="F188" i="1" a="1"/>
  <c r="F188" i="1" s="1"/>
  <c r="H188" i="1" s="1"/>
  <c r="BA188" i="1" a="1"/>
  <c r="BA188" i="1" s="1"/>
  <c r="BE188" i="1" a="1"/>
  <c r="BE188" i="1" s="1"/>
  <c r="AV188" i="1" a="1"/>
  <c r="AV188" i="1" s="1"/>
  <c r="AI188" i="1" a="1"/>
  <c r="AI188" i="1" s="1"/>
  <c r="AD188" i="1" a="1"/>
  <c r="AD188" i="1" s="1"/>
  <c r="Z188" i="1" a="1"/>
  <c r="Z188" i="1" s="1"/>
  <c r="S188" i="1" a="1"/>
  <c r="S188" i="1" s="1"/>
  <c r="U188" i="1" a="1"/>
  <c r="U188" i="1" s="1"/>
  <c r="W188" i="1" a="1"/>
  <c r="W188" i="1" s="1"/>
  <c r="O188" i="1" a="1"/>
  <c r="O188" i="1" s="1"/>
  <c r="K188" i="1" a="1"/>
  <c r="K188" i="1" s="1"/>
  <c r="J188" i="1" a="1"/>
  <c r="J188" i="1" s="1"/>
  <c r="BC188" i="1" a="1"/>
  <c r="BC188" i="1" s="1"/>
  <c r="AR188" i="1" a="1"/>
  <c r="AR188" i="1" s="1"/>
  <c r="AG188" i="1" a="1"/>
  <c r="AG188" i="1" s="1"/>
  <c r="Y188" i="1" a="1"/>
  <c r="Y188" i="1" s="1"/>
  <c r="R188" i="1" a="1"/>
  <c r="R188" i="1" s="1"/>
  <c r="V188" i="1" a="1"/>
  <c r="V188" i="1" s="1"/>
  <c r="N188" i="1" a="1"/>
  <c r="N188" i="1" s="1"/>
  <c r="AK188" i="1" a="1"/>
  <c r="AK188" i="1" s="1"/>
  <c r="AC188" i="1" a="1"/>
  <c r="AC188" i="1" s="1"/>
  <c r="T188" i="1" a="1"/>
  <c r="T188" i="1" s="1"/>
  <c r="X187" i="1"/>
  <c r="AF187" i="1"/>
  <c r="I187" i="1"/>
  <c r="Q187" i="1" a="1"/>
  <c r="Q187" i="1" s="1"/>
  <c r="AO187" i="1" s="1"/>
  <c r="B189" i="1"/>
  <c r="A188" i="1"/>
  <c r="D189" i="1" l="1"/>
  <c r="E189" i="1"/>
  <c r="C189" i="1"/>
  <c r="AZ189" i="1" s="1"/>
  <c r="AT188" i="1"/>
  <c r="AX188" i="1"/>
  <c r="P188" i="1"/>
  <c r="M188" i="1" s="1"/>
  <c r="AA188" i="1"/>
  <c r="L188" i="1"/>
  <c r="AE188" i="1"/>
  <c r="AB188" i="1" s="1"/>
  <c r="F189" i="1" a="1"/>
  <c r="F189" i="1" s="1"/>
  <c r="BB189" i="1" a="1"/>
  <c r="BB189" i="1" s="1"/>
  <c r="BD189" i="1" a="1"/>
  <c r="BD189" i="1" s="1"/>
  <c r="BF189" i="1" a="1"/>
  <c r="BF189" i="1" s="1"/>
  <c r="AV189" i="1" a="1"/>
  <c r="AV189" i="1" s="1"/>
  <c r="AR189" i="1" a="1"/>
  <c r="AR189" i="1" s="1"/>
  <c r="AH189" i="1" a="1"/>
  <c r="AH189" i="1" s="1"/>
  <c r="AJ189" i="1" a="1"/>
  <c r="AJ189" i="1" s="1"/>
  <c r="AL189" i="1" a="1"/>
  <c r="AL189" i="1" s="1"/>
  <c r="G189" i="1" a="1"/>
  <c r="G189" i="1" s="1"/>
  <c r="BC189" i="1" a="1"/>
  <c r="BC189" i="1" s="1"/>
  <c r="AW189" i="1" a="1"/>
  <c r="AW189" i="1" s="1"/>
  <c r="AG189" i="1" a="1"/>
  <c r="AG189" i="1" s="1"/>
  <c r="AK189" i="1" a="1"/>
  <c r="AK189" i="1" s="1"/>
  <c r="AC189" i="1" a="1"/>
  <c r="AC189" i="1" s="1"/>
  <c r="Y189" i="1" a="1"/>
  <c r="Y189" i="1" s="1"/>
  <c r="S189" i="1" a="1"/>
  <c r="S189" i="1" s="1"/>
  <c r="U189" i="1" a="1"/>
  <c r="U189" i="1" s="1"/>
  <c r="W189" i="1" a="1"/>
  <c r="W189" i="1" s="1"/>
  <c r="N189" i="1" a="1"/>
  <c r="N189" i="1" s="1"/>
  <c r="BA189" i="1" a="1"/>
  <c r="BA189" i="1" s="1"/>
  <c r="BE189" i="1" a="1"/>
  <c r="BE189" i="1" s="1"/>
  <c r="AS189" i="1" a="1"/>
  <c r="AS189" i="1" s="1"/>
  <c r="AT189" i="1" s="1"/>
  <c r="AI189" i="1" a="1"/>
  <c r="AI189" i="1" s="1"/>
  <c r="Z189" i="1" a="1"/>
  <c r="Z189" i="1" s="1"/>
  <c r="T189" i="1" a="1"/>
  <c r="T189" i="1" s="1"/>
  <c r="O189" i="1" a="1"/>
  <c r="O189" i="1" s="1"/>
  <c r="J189" i="1" a="1"/>
  <c r="J189" i="1" s="1"/>
  <c r="AD189" i="1" a="1"/>
  <c r="AD189" i="1" s="1"/>
  <c r="AE189" i="1" s="1"/>
  <c r="AB189" i="1" s="1"/>
  <c r="R189" i="1" a="1"/>
  <c r="R189" i="1" s="1"/>
  <c r="V189" i="1" a="1"/>
  <c r="V189" i="1" s="1"/>
  <c r="K189" i="1" a="1"/>
  <c r="K189" i="1" s="1"/>
  <c r="Q188" i="1" a="1"/>
  <c r="Q188" i="1" s="1"/>
  <c r="I188" i="1"/>
  <c r="X188" i="1"/>
  <c r="AF188" i="1"/>
  <c r="B190" i="1"/>
  <c r="A189" i="1"/>
  <c r="P189" i="1" l="1"/>
  <c r="M189" i="1" s="1"/>
  <c r="AA189" i="1"/>
  <c r="D190" i="1"/>
  <c r="E190" i="1"/>
  <c r="C190" i="1"/>
  <c r="AZ190" i="1" s="1"/>
  <c r="L189" i="1"/>
  <c r="AY188" i="1"/>
  <c r="AX189" i="1"/>
  <c r="AO188" i="1"/>
  <c r="H189" i="1"/>
  <c r="G190" i="1" a="1"/>
  <c r="G190" i="1" s="1"/>
  <c r="BB190" i="1" a="1"/>
  <c r="BB190" i="1" s="1"/>
  <c r="BD190" i="1" a="1"/>
  <c r="BD190" i="1" s="1"/>
  <c r="BF190" i="1" a="1"/>
  <c r="BF190" i="1" s="1"/>
  <c r="AW190" i="1" a="1"/>
  <c r="AW190" i="1" s="1"/>
  <c r="AS190" i="1" a="1"/>
  <c r="AS190" i="1" s="1"/>
  <c r="AH190" i="1" a="1"/>
  <c r="AH190" i="1" s="1"/>
  <c r="AJ190" i="1" a="1"/>
  <c r="AJ190" i="1" s="1"/>
  <c r="AL190" i="1" a="1"/>
  <c r="AL190" i="1" s="1"/>
  <c r="BA190" i="1" a="1"/>
  <c r="BA190" i="1" s="1"/>
  <c r="BE190" i="1" a="1"/>
  <c r="BE190" i="1" s="1"/>
  <c r="AR190" i="1" a="1"/>
  <c r="AR190" i="1" s="1"/>
  <c r="AI190" i="1" a="1"/>
  <c r="AI190" i="1" s="1"/>
  <c r="AD190" i="1" a="1"/>
  <c r="AD190" i="1" s="1"/>
  <c r="Z190" i="1" a="1"/>
  <c r="Z190" i="1" s="1"/>
  <c r="S190" i="1" a="1"/>
  <c r="S190" i="1" s="1"/>
  <c r="U190" i="1" a="1"/>
  <c r="U190" i="1" s="1"/>
  <c r="W190" i="1" a="1"/>
  <c r="W190" i="1" s="1"/>
  <c r="O190" i="1" a="1"/>
  <c r="O190" i="1" s="1"/>
  <c r="K190" i="1" a="1"/>
  <c r="K190" i="1" s="1"/>
  <c r="J190" i="1" a="1"/>
  <c r="J190" i="1" s="1"/>
  <c r="F190" i="1" a="1"/>
  <c r="F190" i="1" s="1"/>
  <c r="H190" i="1" s="1"/>
  <c r="BC190" i="1" a="1"/>
  <c r="BC190" i="1" s="1"/>
  <c r="AV190" i="1" a="1"/>
  <c r="AV190" i="1" s="1"/>
  <c r="AK190" i="1" a="1"/>
  <c r="AK190" i="1" s="1"/>
  <c r="AC190" i="1" a="1"/>
  <c r="AC190" i="1" s="1"/>
  <c r="R190" i="1" a="1"/>
  <c r="R190" i="1" s="1"/>
  <c r="V190" i="1" a="1"/>
  <c r="V190" i="1" s="1"/>
  <c r="AG190" i="1" a="1"/>
  <c r="AG190" i="1" s="1"/>
  <c r="Y190" i="1" a="1"/>
  <c r="Y190" i="1" s="1"/>
  <c r="T190" i="1" a="1"/>
  <c r="T190" i="1" s="1"/>
  <c r="N190" i="1" a="1"/>
  <c r="N190" i="1" s="1"/>
  <c r="I189" i="1"/>
  <c r="Q189" i="1" a="1"/>
  <c r="Q189" i="1" s="1"/>
  <c r="X189" i="1"/>
  <c r="AF189" i="1"/>
  <c r="B191" i="1"/>
  <c r="A190" i="1"/>
  <c r="D191" i="1" l="1"/>
  <c r="E191" i="1"/>
  <c r="C191" i="1"/>
  <c r="AZ191" i="1" s="1"/>
  <c r="AY189" i="1"/>
  <c r="AT190" i="1"/>
  <c r="AX190" i="1"/>
  <c r="P190" i="1"/>
  <c r="M190" i="1" s="1"/>
  <c r="AA190" i="1"/>
  <c r="AO189" i="1"/>
  <c r="L190" i="1"/>
  <c r="AE190" i="1"/>
  <c r="AB190" i="1" s="1"/>
  <c r="F191" i="1" a="1"/>
  <c r="F191" i="1" s="1"/>
  <c r="BB191" i="1" a="1"/>
  <c r="BB191" i="1" s="1"/>
  <c r="BD191" i="1" a="1"/>
  <c r="BD191" i="1" s="1"/>
  <c r="BF191" i="1" a="1"/>
  <c r="BF191" i="1" s="1"/>
  <c r="AV191" i="1" a="1"/>
  <c r="AV191" i="1" s="1"/>
  <c r="AR191" i="1" a="1"/>
  <c r="AR191" i="1" s="1"/>
  <c r="AH191" i="1" a="1"/>
  <c r="AH191" i="1" s="1"/>
  <c r="AJ191" i="1" a="1"/>
  <c r="AJ191" i="1" s="1"/>
  <c r="AL191" i="1" a="1"/>
  <c r="AL191" i="1" s="1"/>
  <c r="BC191" i="1" a="1"/>
  <c r="BC191" i="1" s="1"/>
  <c r="AS191" i="1" a="1"/>
  <c r="AS191" i="1" s="1"/>
  <c r="AG191" i="1" a="1"/>
  <c r="AG191" i="1" s="1"/>
  <c r="AK191" i="1" a="1"/>
  <c r="AK191" i="1" s="1"/>
  <c r="AC191" i="1" a="1"/>
  <c r="AC191" i="1" s="1"/>
  <c r="Y191" i="1" a="1"/>
  <c r="Y191" i="1" s="1"/>
  <c r="S191" i="1" a="1"/>
  <c r="S191" i="1" s="1"/>
  <c r="U191" i="1" a="1"/>
  <c r="U191" i="1" s="1"/>
  <c r="W191" i="1" a="1"/>
  <c r="W191" i="1" s="1"/>
  <c r="N191" i="1" a="1"/>
  <c r="N191" i="1" s="1"/>
  <c r="G191" i="1" a="1"/>
  <c r="G191" i="1" s="1"/>
  <c r="BA191" i="1" a="1"/>
  <c r="BA191" i="1" s="1"/>
  <c r="BE191" i="1" a="1"/>
  <c r="BE191" i="1" s="1"/>
  <c r="AW191" i="1" a="1"/>
  <c r="AW191" i="1" s="1"/>
  <c r="AX191" i="1" s="1"/>
  <c r="AD191" i="1" a="1"/>
  <c r="AD191" i="1" s="1"/>
  <c r="AE191" i="1" s="1"/>
  <c r="AB191" i="1" s="1"/>
  <c r="T191" i="1" a="1"/>
  <c r="T191" i="1" s="1"/>
  <c r="K191" i="1" a="1"/>
  <c r="K191" i="1" s="1"/>
  <c r="AI191" i="1" a="1"/>
  <c r="AI191" i="1" s="1"/>
  <c r="Z191" i="1" a="1"/>
  <c r="Z191" i="1" s="1"/>
  <c r="R191" i="1" a="1"/>
  <c r="R191" i="1" s="1"/>
  <c r="V191" i="1" a="1"/>
  <c r="V191" i="1" s="1"/>
  <c r="O191" i="1" a="1"/>
  <c r="O191" i="1" s="1"/>
  <c r="P191" i="1" s="1"/>
  <c r="M191" i="1" s="1"/>
  <c r="J191" i="1" a="1"/>
  <c r="J191" i="1" s="1"/>
  <c r="Q190" i="1" a="1"/>
  <c r="Q190" i="1" s="1"/>
  <c r="I190" i="1"/>
  <c r="X190" i="1"/>
  <c r="AF190" i="1"/>
  <c r="B192" i="1"/>
  <c r="A191" i="1"/>
  <c r="AT191" i="1" l="1"/>
  <c r="D192" i="1"/>
  <c r="E192" i="1"/>
  <c r="C192" i="1"/>
  <c r="AA191" i="1"/>
  <c r="AY190" i="1"/>
  <c r="AO190" i="1"/>
  <c r="H191" i="1"/>
  <c r="L191" i="1"/>
  <c r="G192" i="1" a="1"/>
  <c r="G192" i="1" s="1"/>
  <c r="BB192" i="1" a="1"/>
  <c r="BB192" i="1" s="1"/>
  <c r="BD192" i="1" a="1"/>
  <c r="BD192" i="1" s="1"/>
  <c r="BF192" i="1" a="1"/>
  <c r="BF192" i="1" s="1"/>
  <c r="AW192" i="1" a="1"/>
  <c r="AW192" i="1" s="1"/>
  <c r="AS192" i="1" a="1"/>
  <c r="AS192" i="1" s="1"/>
  <c r="AH192" i="1" a="1"/>
  <c r="AH192" i="1" s="1"/>
  <c r="AJ192" i="1" a="1"/>
  <c r="AJ192" i="1" s="1"/>
  <c r="F192" i="1" a="1"/>
  <c r="F192" i="1" s="1"/>
  <c r="H192" i="1" s="1"/>
  <c r="BA192" i="1" a="1"/>
  <c r="BA192" i="1" s="1"/>
  <c r="BE192" i="1" a="1"/>
  <c r="BE192" i="1" s="1"/>
  <c r="AV192" i="1" a="1"/>
  <c r="AV192" i="1" s="1"/>
  <c r="AI192" i="1" a="1"/>
  <c r="AI192" i="1" s="1"/>
  <c r="AL192" i="1" a="1"/>
  <c r="AL192" i="1" s="1"/>
  <c r="AD192" i="1" a="1"/>
  <c r="AD192" i="1" s="1"/>
  <c r="Z192" i="1" a="1"/>
  <c r="Z192" i="1" s="1"/>
  <c r="S192" i="1" a="1"/>
  <c r="S192" i="1" s="1"/>
  <c r="U192" i="1" a="1"/>
  <c r="U192" i="1" s="1"/>
  <c r="W192" i="1" a="1"/>
  <c r="W192" i="1" s="1"/>
  <c r="O192" i="1" a="1"/>
  <c r="O192" i="1" s="1"/>
  <c r="K192" i="1" a="1"/>
  <c r="K192" i="1" s="1"/>
  <c r="J192" i="1" a="1"/>
  <c r="J192" i="1" s="1"/>
  <c r="BC192" i="1" a="1"/>
  <c r="BC192" i="1" s="1"/>
  <c r="AG192" i="1" a="1"/>
  <c r="AG192" i="1" s="1"/>
  <c r="Y192" i="1" a="1"/>
  <c r="Y192" i="1" s="1"/>
  <c r="R192" i="1" a="1"/>
  <c r="R192" i="1" s="1"/>
  <c r="V192" i="1" a="1"/>
  <c r="V192" i="1" s="1"/>
  <c r="N192" i="1" a="1"/>
  <c r="N192" i="1" s="1"/>
  <c r="AR192" i="1" a="1"/>
  <c r="AR192" i="1" s="1"/>
  <c r="AK192" i="1" a="1"/>
  <c r="AK192" i="1" s="1"/>
  <c r="AC192" i="1" a="1"/>
  <c r="AC192" i="1" s="1"/>
  <c r="T192" i="1" a="1"/>
  <c r="T192" i="1" s="1"/>
  <c r="X191" i="1"/>
  <c r="AF191" i="1"/>
  <c r="I191" i="1"/>
  <c r="Q191" i="1" a="1"/>
  <c r="Q191" i="1" s="1"/>
  <c r="AO191" i="1" s="1"/>
  <c r="B193" i="1"/>
  <c r="A192" i="1"/>
  <c r="AY191" i="1" l="1"/>
  <c r="D193" i="1"/>
  <c r="E193" i="1"/>
  <c r="C193" i="1"/>
  <c r="AT192" i="1"/>
  <c r="AX192" i="1"/>
  <c r="L192" i="1"/>
  <c r="AE192" i="1"/>
  <c r="AB192" i="1" s="1"/>
  <c r="P192" i="1"/>
  <c r="M192" i="1" s="1"/>
  <c r="AA192" i="1"/>
  <c r="F193" i="1" a="1"/>
  <c r="F193" i="1" s="1"/>
  <c r="BB193" i="1" a="1"/>
  <c r="BB193" i="1" s="1"/>
  <c r="BD193" i="1" a="1"/>
  <c r="BD193" i="1" s="1"/>
  <c r="BF193" i="1" a="1"/>
  <c r="BF193" i="1" s="1"/>
  <c r="AV193" i="1" a="1"/>
  <c r="AV193" i="1" s="1"/>
  <c r="AR193" i="1" a="1"/>
  <c r="AR193" i="1" s="1"/>
  <c r="G193" i="1" a="1"/>
  <c r="G193" i="1" s="1"/>
  <c r="BC193" i="1" a="1"/>
  <c r="BC193" i="1" s="1"/>
  <c r="AW193" i="1" a="1"/>
  <c r="AW193" i="1" s="1"/>
  <c r="AX193" i="1" s="1"/>
  <c r="AH193" i="1" a="1"/>
  <c r="AH193" i="1" s="1"/>
  <c r="AJ193" i="1" a="1"/>
  <c r="AJ193" i="1" s="1"/>
  <c r="AL193" i="1" a="1"/>
  <c r="AL193" i="1" s="1"/>
  <c r="AC193" i="1" a="1"/>
  <c r="AC193" i="1" s="1"/>
  <c r="Y193" i="1" a="1"/>
  <c r="Y193" i="1" s="1"/>
  <c r="S193" i="1" a="1"/>
  <c r="S193" i="1" s="1"/>
  <c r="U193" i="1" a="1"/>
  <c r="U193" i="1" s="1"/>
  <c r="W193" i="1" a="1"/>
  <c r="W193" i="1" s="1"/>
  <c r="N193" i="1" a="1"/>
  <c r="N193" i="1" s="1"/>
  <c r="BA193" i="1" a="1"/>
  <c r="BA193" i="1" s="1"/>
  <c r="BE193" i="1" a="1"/>
  <c r="BE193" i="1" s="1"/>
  <c r="AS193" i="1" a="1"/>
  <c r="AS193" i="1" s="1"/>
  <c r="AG193" i="1" a="1"/>
  <c r="AG193" i="1" s="1"/>
  <c r="AK193" i="1" a="1"/>
  <c r="AK193" i="1" s="1"/>
  <c r="Z193" i="1" a="1"/>
  <c r="Z193" i="1" s="1"/>
  <c r="AA193" i="1" s="1"/>
  <c r="T193" i="1" a="1"/>
  <c r="T193" i="1" s="1"/>
  <c r="O193" i="1" a="1"/>
  <c r="O193" i="1" s="1"/>
  <c r="J193" i="1" a="1"/>
  <c r="J193" i="1" s="1"/>
  <c r="AI193" i="1" a="1"/>
  <c r="AI193" i="1" s="1"/>
  <c r="AD193" i="1" a="1"/>
  <c r="AD193" i="1" s="1"/>
  <c r="AE193" i="1" s="1"/>
  <c r="AB193" i="1" s="1"/>
  <c r="R193" i="1" a="1"/>
  <c r="R193" i="1" s="1"/>
  <c r="V193" i="1" a="1"/>
  <c r="V193" i="1" s="1"/>
  <c r="K193" i="1" a="1"/>
  <c r="K193" i="1" s="1"/>
  <c r="Q192" i="1" a="1"/>
  <c r="Q192" i="1" s="1"/>
  <c r="I192" i="1"/>
  <c r="X192" i="1"/>
  <c r="AF192" i="1"/>
  <c r="B194" i="1"/>
  <c r="A193" i="1"/>
  <c r="AZ193" i="1" l="1"/>
  <c r="AT193" i="1"/>
  <c r="P193" i="1"/>
  <c r="M193" i="1" s="1"/>
  <c r="D194" i="1"/>
  <c r="E194" i="1"/>
  <c r="C194" i="1"/>
  <c r="AZ194" i="1" s="1"/>
  <c r="AY192" i="1"/>
  <c r="L193" i="1"/>
  <c r="AO192" i="1"/>
  <c r="H193" i="1"/>
  <c r="AY193" i="1" s="1"/>
  <c r="G194" i="1" a="1"/>
  <c r="G194" i="1" s="1"/>
  <c r="BB194" i="1" a="1"/>
  <c r="BB194" i="1" s="1"/>
  <c r="BD194" i="1" a="1"/>
  <c r="BD194" i="1" s="1"/>
  <c r="BF194" i="1" a="1"/>
  <c r="BF194" i="1" s="1"/>
  <c r="AW194" i="1" a="1"/>
  <c r="AW194" i="1" s="1"/>
  <c r="AS194" i="1" a="1"/>
  <c r="AS194" i="1" s="1"/>
  <c r="BA194" i="1" a="1"/>
  <c r="BA194" i="1" s="1"/>
  <c r="BE194" i="1" a="1"/>
  <c r="BE194" i="1" s="1"/>
  <c r="AR194" i="1" a="1"/>
  <c r="AR194" i="1" s="1"/>
  <c r="AH194" i="1" a="1"/>
  <c r="AH194" i="1" s="1"/>
  <c r="AJ194" i="1" a="1"/>
  <c r="AJ194" i="1" s="1"/>
  <c r="AL194" i="1" a="1"/>
  <c r="AL194" i="1" s="1"/>
  <c r="AD194" i="1" a="1"/>
  <c r="AD194" i="1" s="1"/>
  <c r="Z194" i="1" a="1"/>
  <c r="Z194" i="1" s="1"/>
  <c r="S194" i="1" a="1"/>
  <c r="S194" i="1" s="1"/>
  <c r="U194" i="1" a="1"/>
  <c r="U194" i="1" s="1"/>
  <c r="W194" i="1" a="1"/>
  <c r="W194" i="1" s="1"/>
  <c r="O194" i="1" a="1"/>
  <c r="O194" i="1" s="1"/>
  <c r="K194" i="1" a="1"/>
  <c r="K194" i="1" s="1"/>
  <c r="J194" i="1" a="1"/>
  <c r="J194" i="1" s="1"/>
  <c r="F194" i="1" a="1"/>
  <c r="F194" i="1" s="1"/>
  <c r="H194" i="1" s="1"/>
  <c r="BC194" i="1" a="1"/>
  <c r="BC194" i="1" s="1"/>
  <c r="AV194" i="1" a="1"/>
  <c r="AV194" i="1" s="1"/>
  <c r="AI194" i="1" a="1"/>
  <c r="AI194" i="1" s="1"/>
  <c r="AC194" i="1" a="1"/>
  <c r="AC194" i="1" s="1"/>
  <c r="R194" i="1" a="1"/>
  <c r="R194" i="1" s="1"/>
  <c r="V194" i="1" a="1"/>
  <c r="V194" i="1" s="1"/>
  <c r="AG194" i="1" a="1"/>
  <c r="AG194" i="1" s="1"/>
  <c r="AK194" i="1" a="1"/>
  <c r="AK194" i="1" s="1"/>
  <c r="Y194" i="1" a="1"/>
  <c r="Y194" i="1" s="1"/>
  <c r="T194" i="1" a="1"/>
  <c r="T194" i="1" s="1"/>
  <c r="N194" i="1" a="1"/>
  <c r="N194" i="1" s="1"/>
  <c r="I193" i="1"/>
  <c r="Q193" i="1" a="1"/>
  <c r="Q193" i="1" s="1"/>
  <c r="X193" i="1"/>
  <c r="AF193" i="1"/>
  <c r="B195" i="1"/>
  <c r="A194" i="1"/>
  <c r="D195" i="1" l="1"/>
  <c r="E195" i="1"/>
  <c r="C195" i="1"/>
  <c r="AX194" i="1"/>
  <c r="AT194" i="1"/>
  <c r="AO193" i="1"/>
  <c r="P194" i="1"/>
  <c r="M194" i="1" s="1"/>
  <c r="AA194" i="1"/>
  <c r="L194" i="1"/>
  <c r="AE194" i="1"/>
  <c r="AB194" i="1" s="1"/>
  <c r="F195" i="1" a="1"/>
  <c r="F195" i="1" s="1"/>
  <c r="BB195" i="1" a="1"/>
  <c r="BB195" i="1" s="1"/>
  <c r="BD195" i="1" a="1"/>
  <c r="BD195" i="1" s="1"/>
  <c r="BF195" i="1" a="1"/>
  <c r="BF195" i="1" s="1"/>
  <c r="AV195" i="1" a="1"/>
  <c r="AV195" i="1" s="1"/>
  <c r="AR195" i="1" a="1"/>
  <c r="AR195" i="1" s="1"/>
  <c r="BC195" i="1" a="1"/>
  <c r="BC195" i="1" s="1"/>
  <c r="AS195" i="1" a="1"/>
  <c r="AS195" i="1" s="1"/>
  <c r="AT195" i="1" s="1"/>
  <c r="AH195" i="1" a="1"/>
  <c r="AH195" i="1" s="1"/>
  <c r="AJ195" i="1" a="1"/>
  <c r="AJ195" i="1" s="1"/>
  <c r="AL195" i="1" a="1"/>
  <c r="AL195" i="1" s="1"/>
  <c r="AC195" i="1" a="1"/>
  <c r="AC195" i="1" s="1"/>
  <c r="Y195" i="1" a="1"/>
  <c r="Y195" i="1" s="1"/>
  <c r="S195" i="1" a="1"/>
  <c r="S195" i="1" s="1"/>
  <c r="U195" i="1" a="1"/>
  <c r="U195" i="1" s="1"/>
  <c r="W195" i="1" a="1"/>
  <c r="W195" i="1" s="1"/>
  <c r="N195" i="1" a="1"/>
  <c r="N195" i="1" s="1"/>
  <c r="G195" i="1" a="1"/>
  <c r="G195" i="1" s="1"/>
  <c r="BA195" i="1" a="1"/>
  <c r="BA195" i="1" s="1"/>
  <c r="BE195" i="1" a="1"/>
  <c r="BE195" i="1" s="1"/>
  <c r="AW195" i="1" a="1"/>
  <c r="AW195" i="1" s="1"/>
  <c r="AX195" i="1" s="1"/>
  <c r="AG195" i="1" a="1"/>
  <c r="AG195" i="1" s="1"/>
  <c r="AK195" i="1" a="1"/>
  <c r="AK195" i="1" s="1"/>
  <c r="AD195" i="1" a="1"/>
  <c r="AD195" i="1" s="1"/>
  <c r="AE195" i="1" s="1"/>
  <c r="AB195" i="1" s="1"/>
  <c r="T195" i="1" a="1"/>
  <c r="T195" i="1" s="1"/>
  <c r="K195" i="1" a="1"/>
  <c r="K195" i="1" s="1"/>
  <c r="AI195" i="1" a="1"/>
  <c r="AI195" i="1" s="1"/>
  <c r="Z195" i="1" a="1"/>
  <c r="Z195" i="1" s="1"/>
  <c r="R195" i="1" a="1"/>
  <c r="R195" i="1" s="1"/>
  <c r="V195" i="1" a="1"/>
  <c r="V195" i="1" s="1"/>
  <c r="O195" i="1" a="1"/>
  <c r="O195" i="1" s="1"/>
  <c r="P195" i="1" s="1"/>
  <c r="M195" i="1" s="1"/>
  <c r="J195" i="1" a="1"/>
  <c r="J195" i="1" s="1"/>
  <c r="Q194" i="1" a="1"/>
  <c r="Q194" i="1" s="1"/>
  <c r="I194" i="1"/>
  <c r="X194" i="1"/>
  <c r="AF194" i="1"/>
  <c r="B196" i="1"/>
  <c r="A195" i="1"/>
  <c r="D196" i="1" l="1"/>
  <c r="E196" i="1"/>
  <c r="C196" i="1"/>
  <c r="AZ196" i="1" s="1"/>
  <c r="AA195" i="1"/>
  <c r="AY194" i="1"/>
  <c r="AO194" i="1"/>
  <c r="H195" i="1"/>
  <c r="AY195" i="1" s="1"/>
  <c r="AZ195" i="1" s="1"/>
  <c r="L195" i="1"/>
  <c r="G196" i="1" a="1"/>
  <c r="G196" i="1" s="1"/>
  <c r="BB196" i="1" a="1"/>
  <c r="BB196" i="1" s="1"/>
  <c r="BD196" i="1" a="1"/>
  <c r="BD196" i="1" s="1"/>
  <c r="BF196" i="1" a="1"/>
  <c r="BF196" i="1" s="1"/>
  <c r="AW196" i="1" a="1"/>
  <c r="AW196" i="1" s="1"/>
  <c r="AS196" i="1" a="1"/>
  <c r="AS196" i="1" s="1"/>
  <c r="F196" i="1" a="1"/>
  <c r="F196" i="1" s="1"/>
  <c r="H196" i="1" s="1"/>
  <c r="BA196" i="1" a="1"/>
  <c r="BA196" i="1" s="1"/>
  <c r="BE196" i="1" a="1"/>
  <c r="BE196" i="1" s="1"/>
  <c r="AV196" i="1" a="1"/>
  <c r="AV196" i="1" s="1"/>
  <c r="AH196" i="1" a="1"/>
  <c r="AH196" i="1" s="1"/>
  <c r="AJ196" i="1" a="1"/>
  <c r="AJ196" i="1" s="1"/>
  <c r="AL196" i="1" a="1"/>
  <c r="AL196" i="1" s="1"/>
  <c r="AD196" i="1" a="1"/>
  <c r="AD196" i="1" s="1"/>
  <c r="Z196" i="1" a="1"/>
  <c r="Z196" i="1" s="1"/>
  <c r="S196" i="1" a="1"/>
  <c r="S196" i="1" s="1"/>
  <c r="U196" i="1" a="1"/>
  <c r="U196" i="1" s="1"/>
  <c r="W196" i="1" a="1"/>
  <c r="W196" i="1" s="1"/>
  <c r="O196" i="1" a="1"/>
  <c r="O196" i="1" s="1"/>
  <c r="K196" i="1" a="1"/>
  <c r="K196" i="1" s="1"/>
  <c r="J196" i="1" a="1"/>
  <c r="J196" i="1" s="1"/>
  <c r="BC196" i="1" a="1"/>
  <c r="BC196" i="1" s="1"/>
  <c r="AR196" i="1" a="1"/>
  <c r="AR196" i="1" s="1"/>
  <c r="AI196" i="1" a="1"/>
  <c r="AI196" i="1" s="1"/>
  <c r="Y196" i="1" a="1"/>
  <c r="Y196" i="1" s="1"/>
  <c r="R196" i="1" a="1"/>
  <c r="R196" i="1" s="1"/>
  <c r="V196" i="1" a="1"/>
  <c r="V196" i="1" s="1"/>
  <c r="N196" i="1" a="1"/>
  <c r="N196" i="1" s="1"/>
  <c r="AG196" i="1" a="1"/>
  <c r="AG196" i="1" s="1"/>
  <c r="AK196" i="1" a="1"/>
  <c r="AK196" i="1" s="1"/>
  <c r="AC196" i="1" a="1"/>
  <c r="AC196" i="1" s="1"/>
  <c r="T196" i="1" a="1"/>
  <c r="T196" i="1" s="1"/>
  <c r="X195" i="1"/>
  <c r="AF195" i="1"/>
  <c r="I195" i="1"/>
  <c r="Q195" i="1" a="1"/>
  <c r="Q195" i="1" s="1"/>
  <c r="AO195" i="1" s="1"/>
  <c r="B197" i="1"/>
  <c r="A196" i="1"/>
  <c r="D197" i="1" l="1"/>
  <c r="E197" i="1"/>
  <c r="C197" i="1"/>
  <c r="AZ197" i="1" s="1"/>
  <c r="L196" i="1"/>
  <c r="AT196" i="1"/>
  <c r="AX196" i="1"/>
  <c r="P196" i="1"/>
  <c r="M196" i="1" s="1"/>
  <c r="AA196" i="1"/>
  <c r="AE196" i="1"/>
  <c r="AB196" i="1" s="1"/>
  <c r="F197" i="1" a="1"/>
  <c r="F197" i="1" s="1"/>
  <c r="BB197" i="1" a="1"/>
  <c r="BB197" i="1" s="1"/>
  <c r="BD197" i="1" a="1"/>
  <c r="BD197" i="1" s="1"/>
  <c r="BF197" i="1" a="1"/>
  <c r="BF197" i="1" s="1"/>
  <c r="AV197" i="1" a="1"/>
  <c r="AV197" i="1" s="1"/>
  <c r="AR197" i="1" a="1"/>
  <c r="AR197" i="1" s="1"/>
  <c r="G197" i="1" a="1"/>
  <c r="G197" i="1" s="1"/>
  <c r="BC197" i="1" a="1"/>
  <c r="BC197" i="1" s="1"/>
  <c r="AW197" i="1" a="1"/>
  <c r="AW197" i="1" s="1"/>
  <c r="AX197" i="1" s="1"/>
  <c r="AH197" i="1" a="1"/>
  <c r="AH197" i="1" s="1"/>
  <c r="AJ197" i="1" a="1"/>
  <c r="AJ197" i="1" s="1"/>
  <c r="AL197" i="1" a="1"/>
  <c r="AL197" i="1" s="1"/>
  <c r="AC197" i="1" a="1"/>
  <c r="AC197" i="1" s="1"/>
  <c r="Y197" i="1" a="1"/>
  <c r="Y197" i="1" s="1"/>
  <c r="S197" i="1" a="1"/>
  <c r="S197" i="1" s="1"/>
  <c r="U197" i="1" a="1"/>
  <c r="U197" i="1" s="1"/>
  <c r="W197" i="1" a="1"/>
  <c r="W197" i="1" s="1"/>
  <c r="N197" i="1" a="1"/>
  <c r="N197" i="1" s="1"/>
  <c r="BA197" i="1" a="1"/>
  <c r="BA197" i="1" s="1"/>
  <c r="BE197" i="1" a="1"/>
  <c r="BE197" i="1" s="1"/>
  <c r="AS197" i="1" a="1"/>
  <c r="AS197" i="1" s="1"/>
  <c r="AG197" i="1" a="1"/>
  <c r="AG197" i="1" s="1"/>
  <c r="AK197" i="1" a="1"/>
  <c r="AK197" i="1" s="1"/>
  <c r="Z197" i="1" a="1"/>
  <c r="Z197" i="1" s="1"/>
  <c r="AA197" i="1" s="1"/>
  <c r="T197" i="1" a="1"/>
  <c r="T197" i="1" s="1"/>
  <c r="O197" i="1" a="1"/>
  <c r="O197" i="1" s="1"/>
  <c r="P197" i="1" s="1"/>
  <c r="M197" i="1" s="1"/>
  <c r="J197" i="1" a="1"/>
  <c r="J197" i="1" s="1"/>
  <c r="AI197" i="1" a="1"/>
  <c r="AI197" i="1" s="1"/>
  <c r="AD197" i="1" a="1"/>
  <c r="AD197" i="1" s="1"/>
  <c r="AE197" i="1" s="1"/>
  <c r="AB197" i="1" s="1"/>
  <c r="R197" i="1" a="1"/>
  <c r="R197" i="1" s="1"/>
  <c r="V197" i="1" a="1"/>
  <c r="V197" i="1" s="1"/>
  <c r="K197" i="1" a="1"/>
  <c r="K197" i="1" s="1"/>
  <c r="Q196" i="1" a="1"/>
  <c r="Q196" i="1" s="1"/>
  <c r="I196" i="1"/>
  <c r="X196" i="1"/>
  <c r="AF196" i="1"/>
  <c r="B198" i="1"/>
  <c r="A197" i="1"/>
  <c r="AT197" i="1" l="1"/>
  <c r="AY196" i="1"/>
  <c r="D198" i="1"/>
  <c r="E198" i="1"/>
  <c r="C198" i="1"/>
  <c r="AO196" i="1"/>
  <c r="H197" i="1"/>
  <c r="AY197" i="1" s="1"/>
  <c r="L197" i="1"/>
  <c r="G198" i="1" a="1"/>
  <c r="G198" i="1" s="1"/>
  <c r="BB198" i="1" a="1"/>
  <c r="BB198" i="1" s="1"/>
  <c r="BD198" i="1" a="1"/>
  <c r="BD198" i="1" s="1"/>
  <c r="BF198" i="1" a="1"/>
  <c r="BF198" i="1" s="1"/>
  <c r="AW198" i="1" a="1"/>
  <c r="AW198" i="1" s="1"/>
  <c r="AS198" i="1" a="1"/>
  <c r="AS198" i="1" s="1"/>
  <c r="BA198" i="1" a="1"/>
  <c r="BA198" i="1" s="1"/>
  <c r="BE198" i="1" a="1"/>
  <c r="BE198" i="1" s="1"/>
  <c r="AR198" i="1" a="1"/>
  <c r="AR198" i="1" s="1"/>
  <c r="AH198" i="1" a="1"/>
  <c r="AH198" i="1" s="1"/>
  <c r="AJ198" i="1" a="1"/>
  <c r="AJ198" i="1" s="1"/>
  <c r="AL198" i="1" a="1"/>
  <c r="AL198" i="1" s="1"/>
  <c r="AD198" i="1" a="1"/>
  <c r="AD198" i="1" s="1"/>
  <c r="Z198" i="1" a="1"/>
  <c r="Z198" i="1" s="1"/>
  <c r="S198" i="1" a="1"/>
  <c r="S198" i="1" s="1"/>
  <c r="U198" i="1" a="1"/>
  <c r="U198" i="1" s="1"/>
  <c r="W198" i="1" a="1"/>
  <c r="W198" i="1" s="1"/>
  <c r="O198" i="1" a="1"/>
  <c r="O198" i="1" s="1"/>
  <c r="K198" i="1" a="1"/>
  <c r="K198" i="1" s="1"/>
  <c r="J198" i="1" a="1"/>
  <c r="J198" i="1" s="1"/>
  <c r="F198" i="1" a="1"/>
  <c r="F198" i="1" s="1"/>
  <c r="H198" i="1" s="1"/>
  <c r="BC198" i="1" a="1"/>
  <c r="BC198" i="1" s="1"/>
  <c r="AV198" i="1" a="1"/>
  <c r="AV198" i="1" s="1"/>
  <c r="AI198" i="1" a="1"/>
  <c r="AI198" i="1" s="1"/>
  <c r="AC198" i="1" a="1"/>
  <c r="AC198" i="1" s="1"/>
  <c r="R198" i="1" a="1"/>
  <c r="R198" i="1" s="1"/>
  <c r="V198" i="1" a="1"/>
  <c r="V198" i="1" s="1"/>
  <c r="AG198" i="1" a="1"/>
  <c r="AG198" i="1" s="1"/>
  <c r="AK198" i="1" a="1"/>
  <c r="AK198" i="1" s="1"/>
  <c r="Y198" i="1" a="1"/>
  <c r="Y198" i="1" s="1"/>
  <c r="T198" i="1" a="1"/>
  <c r="T198" i="1" s="1"/>
  <c r="N198" i="1" a="1"/>
  <c r="N198" i="1" s="1"/>
  <c r="I197" i="1"/>
  <c r="Q197" i="1" a="1"/>
  <c r="Q197" i="1" s="1"/>
  <c r="X197" i="1"/>
  <c r="AF197" i="1"/>
  <c r="B199" i="1"/>
  <c r="A198" i="1"/>
  <c r="AZ198" i="1" l="1"/>
  <c r="D199" i="1"/>
  <c r="E199" i="1"/>
  <c r="C199" i="1"/>
  <c r="AT198" i="1"/>
  <c r="L198" i="1"/>
  <c r="AX198" i="1"/>
  <c r="AO197" i="1"/>
  <c r="P198" i="1"/>
  <c r="M198" i="1" s="1"/>
  <c r="AA198" i="1"/>
  <c r="AE198" i="1"/>
  <c r="AB198" i="1" s="1"/>
  <c r="F199" i="1" a="1"/>
  <c r="F199" i="1" s="1"/>
  <c r="BB199" i="1" a="1"/>
  <c r="BB199" i="1" s="1"/>
  <c r="BD199" i="1" a="1"/>
  <c r="BD199" i="1" s="1"/>
  <c r="BF199" i="1" a="1"/>
  <c r="BF199" i="1" s="1"/>
  <c r="AV199" i="1" a="1"/>
  <c r="AV199" i="1" s="1"/>
  <c r="AR199" i="1" a="1"/>
  <c r="AR199" i="1" s="1"/>
  <c r="BC199" i="1" a="1"/>
  <c r="BC199" i="1" s="1"/>
  <c r="AS199" i="1" a="1"/>
  <c r="AS199" i="1" s="1"/>
  <c r="AT199" i="1" s="1"/>
  <c r="AH199" i="1" a="1"/>
  <c r="AH199" i="1" s="1"/>
  <c r="AJ199" i="1" a="1"/>
  <c r="AJ199" i="1" s="1"/>
  <c r="AL199" i="1" a="1"/>
  <c r="AL199" i="1" s="1"/>
  <c r="AC199" i="1" a="1"/>
  <c r="AC199" i="1" s="1"/>
  <c r="Y199" i="1" a="1"/>
  <c r="Y199" i="1" s="1"/>
  <c r="S199" i="1" a="1"/>
  <c r="S199" i="1" s="1"/>
  <c r="U199" i="1" a="1"/>
  <c r="U199" i="1" s="1"/>
  <c r="W199" i="1" a="1"/>
  <c r="W199" i="1" s="1"/>
  <c r="N199" i="1" a="1"/>
  <c r="N199" i="1" s="1"/>
  <c r="G199" i="1" a="1"/>
  <c r="G199" i="1" s="1"/>
  <c r="BA199" i="1" a="1"/>
  <c r="BA199" i="1" s="1"/>
  <c r="BE199" i="1" a="1"/>
  <c r="BE199" i="1" s="1"/>
  <c r="AW199" i="1" a="1"/>
  <c r="AW199" i="1" s="1"/>
  <c r="AX199" i="1" s="1"/>
  <c r="AG199" i="1" a="1"/>
  <c r="AG199" i="1" s="1"/>
  <c r="AK199" i="1" a="1"/>
  <c r="AK199" i="1" s="1"/>
  <c r="AD199" i="1" a="1"/>
  <c r="AD199" i="1" s="1"/>
  <c r="AE199" i="1" s="1"/>
  <c r="AB199" i="1" s="1"/>
  <c r="T199" i="1" a="1"/>
  <c r="T199" i="1" s="1"/>
  <c r="K199" i="1" a="1"/>
  <c r="K199" i="1" s="1"/>
  <c r="AI199" i="1" a="1"/>
  <c r="AI199" i="1" s="1"/>
  <c r="Z199" i="1" a="1"/>
  <c r="Z199" i="1" s="1"/>
  <c r="R199" i="1" a="1"/>
  <c r="R199" i="1" s="1"/>
  <c r="V199" i="1" a="1"/>
  <c r="V199" i="1" s="1"/>
  <c r="O199" i="1" a="1"/>
  <c r="O199" i="1" s="1"/>
  <c r="P199" i="1" s="1"/>
  <c r="M199" i="1" s="1"/>
  <c r="J199" i="1" a="1"/>
  <c r="J199" i="1" s="1"/>
  <c r="Q198" i="1" a="1"/>
  <c r="Q198" i="1" s="1"/>
  <c r="I198" i="1"/>
  <c r="X198" i="1"/>
  <c r="AF198" i="1"/>
  <c r="B200" i="1"/>
  <c r="A199" i="1"/>
  <c r="AZ199" i="1" l="1"/>
  <c r="D200" i="1"/>
  <c r="E200" i="1"/>
  <c r="C200" i="1"/>
  <c r="AZ200" i="1" s="1"/>
  <c r="AA199" i="1"/>
  <c r="X199" i="1" s="1"/>
  <c r="AY198" i="1"/>
  <c r="AO198" i="1"/>
  <c r="L199" i="1"/>
  <c r="H199" i="1"/>
  <c r="AY199" i="1" s="1"/>
  <c r="G200" i="1" a="1"/>
  <c r="G200" i="1" s="1"/>
  <c r="BB200" i="1" a="1"/>
  <c r="BB200" i="1" s="1"/>
  <c r="BD200" i="1" a="1"/>
  <c r="BD200" i="1" s="1"/>
  <c r="BF200" i="1" a="1"/>
  <c r="BF200" i="1" s="1"/>
  <c r="AW200" i="1" a="1"/>
  <c r="AW200" i="1" s="1"/>
  <c r="AS200" i="1" a="1"/>
  <c r="AS200" i="1" s="1"/>
  <c r="F200" i="1" a="1"/>
  <c r="F200" i="1" s="1"/>
  <c r="H200" i="1" s="1"/>
  <c r="BA200" i="1" a="1"/>
  <c r="BA200" i="1" s="1"/>
  <c r="BE200" i="1" a="1"/>
  <c r="BE200" i="1" s="1"/>
  <c r="AV200" i="1" a="1"/>
  <c r="AV200" i="1" s="1"/>
  <c r="AH200" i="1" a="1"/>
  <c r="AH200" i="1" s="1"/>
  <c r="AJ200" i="1" a="1"/>
  <c r="AJ200" i="1" s="1"/>
  <c r="AL200" i="1" a="1"/>
  <c r="AL200" i="1" s="1"/>
  <c r="AD200" i="1" a="1"/>
  <c r="AD200" i="1" s="1"/>
  <c r="Z200" i="1" a="1"/>
  <c r="Z200" i="1" s="1"/>
  <c r="S200" i="1" a="1"/>
  <c r="S200" i="1" s="1"/>
  <c r="U200" i="1" a="1"/>
  <c r="U200" i="1" s="1"/>
  <c r="W200" i="1" a="1"/>
  <c r="W200" i="1" s="1"/>
  <c r="O200" i="1" a="1"/>
  <c r="O200" i="1" s="1"/>
  <c r="K200" i="1" a="1"/>
  <c r="K200" i="1" s="1"/>
  <c r="J200" i="1" a="1"/>
  <c r="J200" i="1" s="1"/>
  <c r="BC200" i="1" a="1"/>
  <c r="BC200" i="1" s="1"/>
  <c r="AI200" i="1" a="1"/>
  <c r="AI200" i="1" s="1"/>
  <c r="Y200" i="1" a="1"/>
  <c r="Y200" i="1" s="1"/>
  <c r="R200" i="1" a="1"/>
  <c r="R200" i="1" s="1"/>
  <c r="V200" i="1" a="1"/>
  <c r="V200" i="1" s="1"/>
  <c r="N200" i="1" a="1"/>
  <c r="N200" i="1" s="1"/>
  <c r="AR200" i="1" a="1"/>
  <c r="AR200" i="1" s="1"/>
  <c r="AG200" i="1" a="1"/>
  <c r="AG200" i="1" s="1"/>
  <c r="AK200" i="1" a="1"/>
  <c r="AK200" i="1" s="1"/>
  <c r="AC200" i="1" a="1"/>
  <c r="AC200" i="1" s="1"/>
  <c r="T200" i="1" a="1"/>
  <c r="T200" i="1" s="1"/>
  <c r="I199" i="1"/>
  <c r="Q199" i="1" a="1"/>
  <c r="Q199" i="1" s="1"/>
  <c r="B201" i="1"/>
  <c r="A200" i="1"/>
  <c r="AF199" i="1" l="1"/>
  <c r="AO199" i="1" s="1"/>
  <c r="D201" i="1"/>
  <c r="E201" i="1"/>
  <c r="C201" i="1"/>
  <c r="AZ201" i="1" s="1"/>
  <c r="AT200" i="1"/>
  <c r="AX200" i="1"/>
  <c r="L200" i="1"/>
  <c r="AE200" i="1"/>
  <c r="AB200" i="1" s="1"/>
  <c r="P200" i="1"/>
  <c r="M200" i="1" s="1"/>
  <c r="AA200" i="1"/>
  <c r="F201" i="1" a="1"/>
  <c r="F201" i="1" s="1"/>
  <c r="BB201" i="1" a="1"/>
  <c r="BB201" i="1" s="1"/>
  <c r="BD201" i="1" a="1"/>
  <c r="BD201" i="1" s="1"/>
  <c r="BF201" i="1" a="1"/>
  <c r="BF201" i="1" s="1"/>
  <c r="AV201" i="1" a="1"/>
  <c r="AV201" i="1" s="1"/>
  <c r="AR201" i="1" a="1"/>
  <c r="AR201" i="1" s="1"/>
  <c r="G201" i="1" a="1"/>
  <c r="G201" i="1" s="1"/>
  <c r="BC201" i="1" a="1"/>
  <c r="BC201" i="1" s="1"/>
  <c r="AW201" i="1" a="1"/>
  <c r="AW201" i="1" s="1"/>
  <c r="AH201" i="1" a="1"/>
  <c r="AH201" i="1" s="1"/>
  <c r="AJ201" i="1" a="1"/>
  <c r="AJ201" i="1" s="1"/>
  <c r="AL201" i="1" a="1"/>
  <c r="AL201" i="1" s="1"/>
  <c r="AC201" i="1" a="1"/>
  <c r="AC201" i="1" s="1"/>
  <c r="Y201" i="1" a="1"/>
  <c r="Y201" i="1" s="1"/>
  <c r="S201" i="1" a="1"/>
  <c r="S201" i="1" s="1"/>
  <c r="U201" i="1" a="1"/>
  <c r="U201" i="1" s="1"/>
  <c r="W201" i="1" a="1"/>
  <c r="W201" i="1" s="1"/>
  <c r="N201" i="1" a="1"/>
  <c r="N201" i="1" s="1"/>
  <c r="BA201" i="1" a="1"/>
  <c r="BA201" i="1" s="1"/>
  <c r="BE201" i="1" a="1"/>
  <c r="BE201" i="1" s="1"/>
  <c r="AS201" i="1" a="1"/>
  <c r="AS201" i="1" s="1"/>
  <c r="AG201" i="1" a="1"/>
  <c r="AG201" i="1" s="1"/>
  <c r="AK201" i="1" a="1"/>
  <c r="AK201" i="1" s="1"/>
  <c r="Z201" i="1" a="1"/>
  <c r="Z201" i="1" s="1"/>
  <c r="AA201" i="1" s="1"/>
  <c r="T201" i="1" a="1"/>
  <c r="T201" i="1" s="1"/>
  <c r="O201" i="1" a="1"/>
  <c r="O201" i="1" s="1"/>
  <c r="P201" i="1" s="1"/>
  <c r="M201" i="1" s="1"/>
  <c r="J201" i="1" a="1"/>
  <c r="J201" i="1" s="1"/>
  <c r="AI201" i="1" a="1"/>
  <c r="AI201" i="1" s="1"/>
  <c r="AD201" i="1" a="1"/>
  <c r="AD201" i="1" s="1"/>
  <c r="AE201" i="1" s="1"/>
  <c r="AB201" i="1" s="1"/>
  <c r="R201" i="1" a="1"/>
  <c r="R201" i="1" s="1"/>
  <c r="V201" i="1" a="1"/>
  <c r="V201" i="1" s="1"/>
  <c r="K201" i="1" a="1"/>
  <c r="K201" i="1" s="1"/>
  <c r="Q200" i="1" a="1"/>
  <c r="Q200" i="1" s="1"/>
  <c r="I200" i="1"/>
  <c r="X200" i="1"/>
  <c r="AF200" i="1"/>
  <c r="B202" i="1"/>
  <c r="A201" i="1"/>
  <c r="AX201" i="1" l="1"/>
  <c r="AT201" i="1"/>
  <c r="D202" i="1"/>
  <c r="E202" i="1"/>
  <c r="C202" i="1"/>
  <c r="AZ202" i="1" s="1"/>
  <c r="L201" i="1"/>
  <c r="AY200" i="1"/>
  <c r="AO200" i="1"/>
  <c r="H201" i="1"/>
  <c r="G202" i="1" a="1"/>
  <c r="G202" i="1" s="1"/>
  <c r="BB202" i="1" a="1"/>
  <c r="BB202" i="1" s="1"/>
  <c r="BD202" i="1" a="1"/>
  <c r="BD202" i="1" s="1"/>
  <c r="BF202" i="1" a="1"/>
  <c r="BF202" i="1" s="1"/>
  <c r="AW202" i="1" a="1"/>
  <c r="AW202" i="1" s="1"/>
  <c r="AS202" i="1" a="1"/>
  <c r="AS202" i="1" s="1"/>
  <c r="BA202" i="1" a="1"/>
  <c r="BA202" i="1" s="1"/>
  <c r="BE202" i="1" a="1"/>
  <c r="BE202" i="1" s="1"/>
  <c r="AR202" i="1" a="1"/>
  <c r="AR202" i="1" s="1"/>
  <c r="AH202" i="1" a="1"/>
  <c r="AH202" i="1" s="1"/>
  <c r="AJ202" i="1" a="1"/>
  <c r="AJ202" i="1" s="1"/>
  <c r="AL202" i="1" a="1"/>
  <c r="AL202" i="1" s="1"/>
  <c r="AD202" i="1" a="1"/>
  <c r="AD202" i="1" s="1"/>
  <c r="Z202" i="1" a="1"/>
  <c r="Z202" i="1" s="1"/>
  <c r="S202" i="1" a="1"/>
  <c r="S202" i="1" s="1"/>
  <c r="U202" i="1" a="1"/>
  <c r="U202" i="1" s="1"/>
  <c r="W202" i="1" a="1"/>
  <c r="W202" i="1" s="1"/>
  <c r="O202" i="1" a="1"/>
  <c r="O202" i="1" s="1"/>
  <c r="K202" i="1" a="1"/>
  <c r="K202" i="1" s="1"/>
  <c r="J202" i="1" a="1"/>
  <c r="J202" i="1" s="1"/>
  <c r="F202" i="1" a="1"/>
  <c r="F202" i="1" s="1"/>
  <c r="H202" i="1" s="1"/>
  <c r="BC202" i="1" a="1"/>
  <c r="BC202" i="1" s="1"/>
  <c r="AV202" i="1" a="1"/>
  <c r="AV202" i="1" s="1"/>
  <c r="AI202" i="1" a="1"/>
  <c r="AI202" i="1" s="1"/>
  <c r="AC202" i="1" a="1"/>
  <c r="AC202" i="1" s="1"/>
  <c r="R202" i="1" a="1"/>
  <c r="R202" i="1" s="1"/>
  <c r="V202" i="1" a="1"/>
  <c r="V202" i="1" s="1"/>
  <c r="AG202" i="1" a="1"/>
  <c r="AG202" i="1" s="1"/>
  <c r="AK202" i="1" a="1"/>
  <c r="AK202" i="1" s="1"/>
  <c r="Y202" i="1" a="1"/>
  <c r="Y202" i="1" s="1"/>
  <c r="T202" i="1" a="1"/>
  <c r="T202" i="1" s="1"/>
  <c r="N202" i="1" a="1"/>
  <c r="N202" i="1" s="1"/>
  <c r="I201" i="1"/>
  <c r="Q201" i="1" a="1"/>
  <c r="Q201" i="1" s="1"/>
  <c r="X201" i="1"/>
  <c r="AF201" i="1"/>
  <c r="B203" i="1"/>
  <c r="A202" i="1"/>
  <c r="AY201" i="1" l="1"/>
  <c r="D203" i="1"/>
  <c r="E203" i="1"/>
  <c r="C203" i="1"/>
  <c r="AT202" i="1"/>
  <c r="AX202" i="1"/>
  <c r="L202" i="1"/>
  <c r="AE202" i="1"/>
  <c r="AB202" i="1" s="1"/>
  <c r="AO201" i="1"/>
  <c r="P202" i="1"/>
  <c r="M202" i="1" s="1"/>
  <c r="AA202" i="1"/>
  <c r="F203" i="1" a="1"/>
  <c r="F203" i="1" s="1"/>
  <c r="BB203" i="1" a="1"/>
  <c r="BB203" i="1" s="1"/>
  <c r="BD203" i="1" a="1"/>
  <c r="BD203" i="1" s="1"/>
  <c r="BF203" i="1" a="1"/>
  <c r="BF203" i="1" s="1"/>
  <c r="AV203" i="1" a="1"/>
  <c r="AV203" i="1" s="1"/>
  <c r="AR203" i="1" a="1"/>
  <c r="AR203" i="1" s="1"/>
  <c r="BC203" i="1" a="1"/>
  <c r="BC203" i="1" s="1"/>
  <c r="AS203" i="1" a="1"/>
  <c r="AS203" i="1" s="1"/>
  <c r="AT203" i="1" s="1"/>
  <c r="AH203" i="1" a="1"/>
  <c r="AH203" i="1" s="1"/>
  <c r="AJ203" i="1" a="1"/>
  <c r="AJ203" i="1" s="1"/>
  <c r="AL203" i="1" a="1"/>
  <c r="AL203" i="1" s="1"/>
  <c r="AC203" i="1" a="1"/>
  <c r="AC203" i="1" s="1"/>
  <c r="Y203" i="1" a="1"/>
  <c r="Y203" i="1" s="1"/>
  <c r="S203" i="1" a="1"/>
  <c r="S203" i="1" s="1"/>
  <c r="U203" i="1" a="1"/>
  <c r="U203" i="1" s="1"/>
  <c r="W203" i="1" a="1"/>
  <c r="W203" i="1" s="1"/>
  <c r="N203" i="1" a="1"/>
  <c r="N203" i="1" s="1"/>
  <c r="G203" i="1" a="1"/>
  <c r="G203" i="1" s="1"/>
  <c r="BA203" i="1" a="1"/>
  <c r="BA203" i="1" s="1"/>
  <c r="BE203" i="1" a="1"/>
  <c r="BE203" i="1" s="1"/>
  <c r="AW203" i="1" a="1"/>
  <c r="AW203" i="1" s="1"/>
  <c r="AX203" i="1" s="1"/>
  <c r="AG203" i="1" a="1"/>
  <c r="AG203" i="1" s="1"/>
  <c r="AK203" i="1" a="1"/>
  <c r="AK203" i="1" s="1"/>
  <c r="AD203" i="1" a="1"/>
  <c r="AD203" i="1" s="1"/>
  <c r="AE203" i="1" s="1"/>
  <c r="AB203" i="1" s="1"/>
  <c r="T203" i="1" a="1"/>
  <c r="T203" i="1" s="1"/>
  <c r="K203" i="1" a="1"/>
  <c r="K203" i="1" s="1"/>
  <c r="AI203" i="1" a="1"/>
  <c r="AI203" i="1" s="1"/>
  <c r="Z203" i="1" a="1"/>
  <c r="Z203" i="1" s="1"/>
  <c r="R203" i="1" a="1"/>
  <c r="R203" i="1" s="1"/>
  <c r="V203" i="1" a="1"/>
  <c r="V203" i="1" s="1"/>
  <c r="O203" i="1" a="1"/>
  <c r="O203" i="1" s="1"/>
  <c r="P203" i="1" s="1"/>
  <c r="M203" i="1" s="1"/>
  <c r="J203" i="1" a="1"/>
  <c r="J203" i="1" s="1"/>
  <c r="Q202" i="1" a="1"/>
  <c r="Q202" i="1" s="1"/>
  <c r="I202" i="1"/>
  <c r="X202" i="1"/>
  <c r="AF202" i="1"/>
  <c r="B204" i="1"/>
  <c r="A203" i="1"/>
  <c r="AZ203" i="1" l="1"/>
  <c r="AZ204" i="1"/>
  <c r="AA203" i="1"/>
  <c r="D204" i="1"/>
  <c r="E204" i="1"/>
  <c r="C204" i="1"/>
  <c r="AY202" i="1"/>
  <c r="AO202" i="1"/>
  <c r="L203" i="1"/>
  <c r="H203" i="1"/>
  <c r="AY203" i="1" s="1"/>
  <c r="G204" i="1" a="1"/>
  <c r="G204" i="1" s="1"/>
  <c r="BB204" i="1" a="1"/>
  <c r="BB204" i="1" s="1"/>
  <c r="BD204" i="1" a="1"/>
  <c r="BD204" i="1" s="1"/>
  <c r="BF204" i="1" a="1"/>
  <c r="BF204" i="1" s="1"/>
  <c r="AW204" i="1" a="1"/>
  <c r="AW204" i="1" s="1"/>
  <c r="AS204" i="1" a="1"/>
  <c r="AS204" i="1" s="1"/>
  <c r="F204" i="1" a="1"/>
  <c r="F204" i="1" s="1"/>
  <c r="H204" i="1" s="1"/>
  <c r="BA204" i="1" a="1"/>
  <c r="BA204" i="1" s="1"/>
  <c r="BE204" i="1" a="1"/>
  <c r="BE204" i="1" s="1"/>
  <c r="AV204" i="1" a="1"/>
  <c r="AV204" i="1" s="1"/>
  <c r="AH204" i="1" a="1"/>
  <c r="AH204" i="1" s="1"/>
  <c r="AJ204" i="1" a="1"/>
  <c r="AJ204" i="1" s="1"/>
  <c r="AL204" i="1" a="1"/>
  <c r="AL204" i="1" s="1"/>
  <c r="AD204" i="1" a="1"/>
  <c r="AD204" i="1" s="1"/>
  <c r="Z204" i="1" a="1"/>
  <c r="Z204" i="1" s="1"/>
  <c r="S204" i="1" a="1"/>
  <c r="S204" i="1" s="1"/>
  <c r="U204" i="1" a="1"/>
  <c r="U204" i="1" s="1"/>
  <c r="W204" i="1" a="1"/>
  <c r="W204" i="1" s="1"/>
  <c r="O204" i="1" a="1"/>
  <c r="O204" i="1" s="1"/>
  <c r="K204" i="1" a="1"/>
  <c r="K204" i="1" s="1"/>
  <c r="J204" i="1" a="1"/>
  <c r="J204" i="1" s="1"/>
  <c r="BC204" i="1" a="1"/>
  <c r="BC204" i="1" s="1"/>
  <c r="AR204" i="1" a="1"/>
  <c r="AR204" i="1" s="1"/>
  <c r="AI204" i="1" a="1"/>
  <c r="AI204" i="1" s="1"/>
  <c r="Y204" i="1" a="1"/>
  <c r="Y204" i="1" s="1"/>
  <c r="R204" i="1" a="1"/>
  <c r="R204" i="1" s="1"/>
  <c r="V204" i="1" a="1"/>
  <c r="V204" i="1" s="1"/>
  <c r="N204" i="1" a="1"/>
  <c r="N204" i="1" s="1"/>
  <c r="AG204" i="1" a="1"/>
  <c r="AG204" i="1" s="1"/>
  <c r="AK204" i="1" a="1"/>
  <c r="AK204" i="1" s="1"/>
  <c r="AC204" i="1" a="1"/>
  <c r="AC204" i="1" s="1"/>
  <c r="T204" i="1" a="1"/>
  <c r="T204" i="1" s="1"/>
  <c r="X203" i="1"/>
  <c r="AF203" i="1"/>
  <c r="I203" i="1"/>
  <c r="Q203" i="1" a="1"/>
  <c r="Q203" i="1" s="1"/>
  <c r="AO203" i="1" s="1"/>
  <c r="B205" i="1"/>
  <c r="A204" i="1"/>
  <c r="D205" i="1" l="1"/>
  <c r="E205" i="1"/>
  <c r="C205" i="1"/>
  <c r="AZ205" i="1" s="1"/>
  <c r="AT204" i="1"/>
  <c r="AX204" i="1"/>
  <c r="L204" i="1"/>
  <c r="AE204" i="1"/>
  <c r="AB204" i="1" s="1"/>
  <c r="P204" i="1"/>
  <c r="M204" i="1" s="1"/>
  <c r="AA204" i="1"/>
  <c r="F205" i="1" a="1"/>
  <c r="F205" i="1" s="1"/>
  <c r="BB205" i="1" a="1"/>
  <c r="BB205" i="1" s="1"/>
  <c r="BD205" i="1" a="1"/>
  <c r="BD205" i="1" s="1"/>
  <c r="BF205" i="1" a="1"/>
  <c r="BF205" i="1" s="1"/>
  <c r="AV205" i="1" a="1"/>
  <c r="AV205" i="1" s="1"/>
  <c r="AR205" i="1" a="1"/>
  <c r="AR205" i="1" s="1"/>
  <c r="G205" i="1" a="1"/>
  <c r="G205" i="1" s="1"/>
  <c r="BC205" i="1" a="1"/>
  <c r="BC205" i="1" s="1"/>
  <c r="AW205" i="1" a="1"/>
  <c r="AW205" i="1" s="1"/>
  <c r="AX205" i="1" s="1"/>
  <c r="AH205" i="1" a="1"/>
  <c r="AH205" i="1" s="1"/>
  <c r="AJ205" i="1" a="1"/>
  <c r="AJ205" i="1" s="1"/>
  <c r="AL205" i="1" a="1"/>
  <c r="AL205" i="1" s="1"/>
  <c r="AC205" i="1" a="1"/>
  <c r="AC205" i="1" s="1"/>
  <c r="Y205" i="1" a="1"/>
  <c r="Y205" i="1" s="1"/>
  <c r="S205" i="1" a="1"/>
  <c r="S205" i="1" s="1"/>
  <c r="U205" i="1" a="1"/>
  <c r="U205" i="1" s="1"/>
  <c r="W205" i="1" a="1"/>
  <c r="W205" i="1" s="1"/>
  <c r="N205" i="1" a="1"/>
  <c r="N205" i="1" s="1"/>
  <c r="BA205" i="1" a="1"/>
  <c r="BA205" i="1" s="1"/>
  <c r="BE205" i="1" a="1"/>
  <c r="BE205" i="1" s="1"/>
  <c r="AS205" i="1" a="1"/>
  <c r="AS205" i="1" s="1"/>
  <c r="AT205" i="1" s="1"/>
  <c r="AG205" i="1" a="1"/>
  <c r="AG205" i="1" s="1"/>
  <c r="AK205" i="1" a="1"/>
  <c r="AK205" i="1" s="1"/>
  <c r="Z205" i="1" a="1"/>
  <c r="Z205" i="1" s="1"/>
  <c r="AA205" i="1" s="1"/>
  <c r="T205" i="1" a="1"/>
  <c r="T205" i="1" s="1"/>
  <c r="O205" i="1" a="1"/>
  <c r="O205" i="1" s="1"/>
  <c r="P205" i="1" s="1"/>
  <c r="M205" i="1" s="1"/>
  <c r="J205" i="1" a="1"/>
  <c r="J205" i="1" s="1"/>
  <c r="AI205" i="1" a="1"/>
  <c r="AI205" i="1" s="1"/>
  <c r="AD205" i="1" a="1"/>
  <c r="AD205" i="1" s="1"/>
  <c r="AE205" i="1" s="1"/>
  <c r="AB205" i="1" s="1"/>
  <c r="R205" i="1" a="1"/>
  <c r="R205" i="1" s="1"/>
  <c r="V205" i="1" a="1"/>
  <c r="V205" i="1" s="1"/>
  <c r="K205" i="1" a="1"/>
  <c r="K205" i="1" s="1"/>
  <c r="Q204" i="1" a="1"/>
  <c r="Q204" i="1" s="1"/>
  <c r="I204" i="1"/>
  <c r="X204" i="1"/>
  <c r="AF204" i="1"/>
  <c r="B206" i="1"/>
  <c r="A205" i="1"/>
  <c r="D206" i="1" l="1"/>
  <c r="E206" i="1"/>
  <c r="C206" i="1"/>
  <c r="AZ206" i="1" s="1"/>
  <c r="L205" i="1"/>
  <c r="AY204" i="1"/>
  <c r="AO204" i="1"/>
  <c r="H205" i="1"/>
  <c r="AY205" i="1" s="1"/>
  <c r="G206" i="1" a="1"/>
  <c r="G206" i="1" s="1"/>
  <c r="BB206" i="1" a="1"/>
  <c r="BB206" i="1" s="1"/>
  <c r="BD206" i="1" a="1"/>
  <c r="BD206" i="1" s="1"/>
  <c r="BF206" i="1" a="1"/>
  <c r="BF206" i="1" s="1"/>
  <c r="AW206" i="1" a="1"/>
  <c r="AW206" i="1" s="1"/>
  <c r="AS206" i="1" a="1"/>
  <c r="AS206" i="1" s="1"/>
  <c r="BA206" i="1" a="1"/>
  <c r="BA206" i="1" s="1"/>
  <c r="BE206" i="1" a="1"/>
  <c r="BE206" i="1" s="1"/>
  <c r="AR206" i="1" a="1"/>
  <c r="AR206" i="1" s="1"/>
  <c r="AH206" i="1" a="1"/>
  <c r="AH206" i="1" s="1"/>
  <c r="AJ206" i="1" a="1"/>
  <c r="AJ206" i="1" s="1"/>
  <c r="AL206" i="1" a="1"/>
  <c r="AL206" i="1" s="1"/>
  <c r="AD206" i="1" a="1"/>
  <c r="AD206" i="1" s="1"/>
  <c r="Z206" i="1" a="1"/>
  <c r="Z206" i="1" s="1"/>
  <c r="S206" i="1" a="1"/>
  <c r="S206" i="1" s="1"/>
  <c r="U206" i="1" a="1"/>
  <c r="U206" i="1" s="1"/>
  <c r="W206" i="1" a="1"/>
  <c r="W206" i="1" s="1"/>
  <c r="O206" i="1" a="1"/>
  <c r="O206" i="1" s="1"/>
  <c r="K206" i="1" a="1"/>
  <c r="K206" i="1" s="1"/>
  <c r="J206" i="1" a="1"/>
  <c r="J206" i="1" s="1"/>
  <c r="F206" i="1" a="1"/>
  <c r="F206" i="1" s="1"/>
  <c r="H206" i="1" s="1"/>
  <c r="BC206" i="1" a="1"/>
  <c r="BC206" i="1" s="1"/>
  <c r="AV206" i="1" a="1"/>
  <c r="AV206" i="1" s="1"/>
  <c r="AI206" i="1" a="1"/>
  <c r="AI206" i="1" s="1"/>
  <c r="AC206" i="1" a="1"/>
  <c r="AC206" i="1" s="1"/>
  <c r="R206" i="1" a="1"/>
  <c r="R206" i="1" s="1"/>
  <c r="V206" i="1" a="1"/>
  <c r="V206" i="1" s="1"/>
  <c r="AG206" i="1" a="1"/>
  <c r="AG206" i="1" s="1"/>
  <c r="AK206" i="1" a="1"/>
  <c r="AK206" i="1" s="1"/>
  <c r="Y206" i="1" a="1"/>
  <c r="Y206" i="1" s="1"/>
  <c r="T206" i="1" a="1"/>
  <c r="T206" i="1" s="1"/>
  <c r="N206" i="1" a="1"/>
  <c r="N206" i="1" s="1"/>
  <c r="I205" i="1"/>
  <c r="Q205" i="1" a="1"/>
  <c r="Q205" i="1" s="1"/>
  <c r="X205" i="1"/>
  <c r="AF205" i="1"/>
  <c r="B207" i="1"/>
  <c r="A206" i="1"/>
  <c r="D207" i="1" l="1"/>
  <c r="E207" i="1"/>
  <c r="C207" i="1"/>
  <c r="AX206" i="1"/>
  <c r="AT206" i="1"/>
  <c r="L206" i="1"/>
  <c r="AO205" i="1"/>
  <c r="P206" i="1"/>
  <c r="M206" i="1" s="1"/>
  <c r="AA206" i="1"/>
  <c r="AE206" i="1"/>
  <c r="AB206" i="1" s="1"/>
  <c r="F207" i="1" a="1"/>
  <c r="F207" i="1" s="1"/>
  <c r="BB207" i="1" a="1"/>
  <c r="BB207" i="1" s="1"/>
  <c r="BD207" i="1" a="1"/>
  <c r="BD207" i="1" s="1"/>
  <c r="BF207" i="1" a="1"/>
  <c r="BF207" i="1" s="1"/>
  <c r="AV207" i="1" a="1"/>
  <c r="AV207" i="1" s="1"/>
  <c r="AR207" i="1" a="1"/>
  <c r="AR207" i="1" s="1"/>
  <c r="BC207" i="1" a="1"/>
  <c r="BC207" i="1" s="1"/>
  <c r="AS207" i="1" a="1"/>
  <c r="AS207" i="1" s="1"/>
  <c r="AT207" i="1" s="1"/>
  <c r="AH207" i="1" a="1"/>
  <c r="AH207" i="1" s="1"/>
  <c r="AJ207" i="1" a="1"/>
  <c r="AJ207" i="1" s="1"/>
  <c r="AL207" i="1" a="1"/>
  <c r="AL207" i="1" s="1"/>
  <c r="AC207" i="1" a="1"/>
  <c r="AC207" i="1" s="1"/>
  <c r="Y207" i="1" a="1"/>
  <c r="Y207" i="1" s="1"/>
  <c r="S207" i="1" a="1"/>
  <c r="S207" i="1" s="1"/>
  <c r="U207" i="1" a="1"/>
  <c r="U207" i="1" s="1"/>
  <c r="W207" i="1" a="1"/>
  <c r="W207" i="1" s="1"/>
  <c r="N207" i="1" a="1"/>
  <c r="N207" i="1" s="1"/>
  <c r="G207" i="1" a="1"/>
  <c r="G207" i="1" s="1"/>
  <c r="BA207" i="1" a="1"/>
  <c r="BA207" i="1" s="1"/>
  <c r="BE207" i="1" a="1"/>
  <c r="BE207" i="1" s="1"/>
  <c r="AW207" i="1" a="1"/>
  <c r="AW207" i="1" s="1"/>
  <c r="AX207" i="1" s="1"/>
  <c r="AG207" i="1" a="1"/>
  <c r="AG207" i="1" s="1"/>
  <c r="AK207" i="1" a="1"/>
  <c r="AK207" i="1" s="1"/>
  <c r="AD207" i="1" a="1"/>
  <c r="AD207" i="1" s="1"/>
  <c r="AE207" i="1" s="1"/>
  <c r="AB207" i="1" s="1"/>
  <c r="T207" i="1" a="1"/>
  <c r="T207" i="1" s="1"/>
  <c r="K207" i="1" a="1"/>
  <c r="K207" i="1" s="1"/>
  <c r="AI207" i="1" a="1"/>
  <c r="AI207" i="1" s="1"/>
  <c r="Z207" i="1" a="1"/>
  <c r="Z207" i="1" s="1"/>
  <c r="AA207" i="1" s="1"/>
  <c r="R207" i="1" a="1"/>
  <c r="R207" i="1" s="1"/>
  <c r="V207" i="1" a="1"/>
  <c r="V207" i="1" s="1"/>
  <c r="O207" i="1" a="1"/>
  <c r="O207" i="1" s="1"/>
  <c r="P207" i="1" s="1"/>
  <c r="M207" i="1" s="1"/>
  <c r="J207" i="1" a="1"/>
  <c r="J207" i="1" s="1"/>
  <c r="Q206" i="1" a="1"/>
  <c r="Q206" i="1" s="1"/>
  <c r="I206" i="1"/>
  <c r="X206" i="1"/>
  <c r="AF206" i="1"/>
  <c r="B208" i="1"/>
  <c r="A207" i="1"/>
  <c r="AZ207" i="1" l="1"/>
  <c r="D208" i="1"/>
  <c r="E208" i="1"/>
  <c r="C208" i="1"/>
  <c r="AZ208" i="1" s="1"/>
  <c r="AY206" i="1"/>
  <c r="L207" i="1"/>
  <c r="AO206" i="1"/>
  <c r="H207" i="1"/>
  <c r="AY207" i="1" s="1"/>
  <c r="G208" i="1" a="1"/>
  <c r="G208" i="1" s="1"/>
  <c r="BB208" i="1" a="1"/>
  <c r="BB208" i="1" s="1"/>
  <c r="BD208" i="1" a="1"/>
  <c r="BD208" i="1" s="1"/>
  <c r="BF208" i="1" a="1"/>
  <c r="BF208" i="1" s="1"/>
  <c r="AW208" i="1" a="1"/>
  <c r="AW208" i="1" s="1"/>
  <c r="AS208" i="1" a="1"/>
  <c r="AS208" i="1" s="1"/>
  <c r="F208" i="1" a="1"/>
  <c r="F208" i="1" s="1"/>
  <c r="H208" i="1" s="1"/>
  <c r="BA208" i="1" a="1"/>
  <c r="BA208" i="1" s="1"/>
  <c r="BE208" i="1" a="1"/>
  <c r="BE208" i="1" s="1"/>
  <c r="AV208" i="1" a="1"/>
  <c r="AV208" i="1" s="1"/>
  <c r="AH208" i="1" a="1"/>
  <c r="AH208" i="1" s="1"/>
  <c r="AJ208" i="1" a="1"/>
  <c r="AJ208" i="1" s="1"/>
  <c r="AL208" i="1" a="1"/>
  <c r="AL208" i="1" s="1"/>
  <c r="AD208" i="1" a="1"/>
  <c r="AD208" i="1" s="1"/>
  <c r="Z208" i="1" a="1"/>
  <c r="Z208" i="1" s="1"/>
  <c r="S208" i="1" a="1"/>
  <c r="S208" i="1" s="1"/>
  <c r="U208" i="1" a="1"/>
  <c r="U208" i="1" s="1"/>
  <c r="W208" i="1" a="1"/>
  <c r="W208" i="1" s="1"/>
  <c r="O208" i="1" a="1"/>
  <c r="O208" i="1" s="1"/>
  <c r="K208" i="1" a="1"/>
  <c r="K208" i="1" s="1"/>
  <c r="J208" i="1" a="1"/>
  <c r="J208" i="1" s="1"/>
  <c r="BC208" i="1" a="1"/>
  <c r="BC208" i="1" s="1"/>
  <c r="AI208" i="1" a="1"/>
  <c r="AI208" i="1" s="1"/>
  <c r="Y208" i="1" a="1"/>
  <c r="Y208" i="1" s="1"/>
  <c r="R208" i="1" a="1"/>
  <c r="R208" i="1" s="1"/>
  <c r="V208" i="1" a="1"/>
  <c r="V208" i="1" s="1"/>
  <c r="N208" i="1" a="1"/>
  <c r="N208" i="1" s="1"/>
  <c r="AR208" i="1" a="1"/>
  <c r="AR208" i="1" s="1"/>
  <c r="AG208" i="1" a="1"/>
  <c r="AG208" i="1" s="1"/>
  <c r="AK208" i="1" a="1"/>
  <c r="AK208" i="1" s="1"/>
  <c r="AC208" i="1" a="1"/>
  <c r="AC208" i="1" s="1"/>
  <c r="T208" i="1" a="1"/>
  <c r="T208" i="1" s="1"/>
  <c r="X207" i="1"/>
  <c r="AF207" i="1"/>
  <c r="I207" i="1"/>
  <c r="Q207" i="1" a="1"/>
  <c r="Q207" i="1" s="1"/>
  <c r="AO207" i="1" s="1"/>
  <c r="B209" i="1"/>
  <c r="A208" i="1"/>
  <c r="D209" i="1" l="1"/>
  <c r="E209" i="1"/>
  <c r="C209" i="1"/>
  <c r="AZ209" i="1" s="1"/>
  <c r="AT208" i="1"/>
  <c r="AX208" i="1"/>
  <c r="L208" i="1"/>
  <c r="P208" i="1"/>
  <c r="M208" i="1" s="1"/>
  <c r="AA208" i="1"/>
  <c r="AE208" i="1"/>
  <c r="AB208" i="1" s="1"/>
  <c r="F209" i="1" a="1"/>
  <c r="F209" i="1" s="1"/>
  <c r="BB209" i="1" a="1"/>
  <c r="BB209" i="1" s="1"/>
  <c r="BD209" i="1" a="1"/>
  <c r="BD209" i="1" s="1"/>
  <c r="BF209" i="1" a="1"/>
  <c r="BF209" i="1" s="1"/>
  <c r="AV209" i="1" a="1"/>
  <c r="AV209" i="1" s="1"/>
  <c r="AR209" i="1" a="1"/>
  <c r="AR209" i="1" s="1"/>
  <c r="G209" i="1" a="1"/>
  <c r="G209" i="1" s="1"/>
  <c r="BC209" i="1" a="1"/>
  <c r="BC209" i="1" s="1"/>
  <c r="AW209" i="1" a="1"/>
  <c r="AW209" i="1" s="1"/>
  <c r="AX209" i="1" s="1"/>
  <c r="AH209" i="1" a="1"/>
  <c r="AH209" i="1" s="1"/>
  <c r="AJ209" i="1" a="1"/>
  <c r="AJ209" i="1" s="1"/>
  <c r="AL209" i="1" a="1"/>
  <c r="AL209" i="1" s="1"/>
  <c r="AC209" i="1" a="1"/>
  <c r="AC209" i="1" s="1"/>
  <c r="Y209" i="1" a="1"/>
  <c r="Y209" i="1" s="1"/>
  <c r="S209" i="1" a="1"/>
  <c r="S209" i="1" s="1"/>
  <c r="U209" i="1" a="1"/>
  <c r="U209" i="1" s="1"/>
  <c r="W209" i="1" a="1"/>
  <c r="W209" i="1" s="1"/>
  <c r="N209" i="1" a="1"/>
  <c r="N209" i="1" s="1"/>
  <c r="BA209" i="1" a="1"/>
  <c r="BA209" i="1" s="1"/>
  <c r="BE209" i="1" a="1"/>
  <c r="BE209" i="1" s="1"/>
  <c r="AS209" i="1" a="1"/>
  <c r="AS209" i="1" s="1"/>
  <c r="AT209" i="1" s="1"/>
  <c r="AG209" i="1" a="1"/>
  <c r="AG209" i="1" s="1"/>
  <c r="AK209" i="1" a="1"/>
  <c r="AK209" i="1" s="1"/>
  <c r="Z209" i="1" a="1"/>
  <c r="Z209" i="1" s="1"/>
  <c r="AA209" i="1" s="1"/>
  <c r="T209" i="1" a="1"/>
  <c r="T209" i="1" s="1"/>
  <c r="O209" i="1" a="1"/>
  <c r="O209" i="1" s="1"/>
  <c r="P209" i="1" s="1"/>
  <c r="M209" i="1" s="1"/>
  <c r="J209" i="1" a="1"/>
  <c r="J209" i="1" s="1"/>
  <c r="AI209" i="1" a="1"/>
  <c r="AI209" i="1" s="1"/>
  <c r="AD209" i="1" a="1"/>
  <c r="AD209" i="1" s="1"/>
  <c r="AE209" i="1" s="1"/>
  <c r="AB209" i="1" s="1"/>
  <c r="R209" i="1" a="1"/>
  <c r="R209" i="1" s="1"/>
  <c r="V209" i="1" a="1"/>
  <c r="V209" i="1" s="1"/>
  <c r="K209" i="1" a="1"/>
  <c r="K209" i="1" s="1"/>
  <c r="Q208" i="1" a="1"/>
  <c r="Q208" i="1" s="1"/>
  <c r="I208" i="1"/>
  <c r="X208" i="1"/>
  <c r="AF208" i="1"/>
  <c r="B210" i="1"/>
  <c r="A209" i="1"/>
  <c r="D210" i="1" l="1"/>
  <c r="E210" i="1"/>
  <c r="C210" i="1"/>
  <c r="AZ210" i="1" s="1"/>
  <c r="AY208" i="1"/>
  <c r="L209" i="1"/>
  <c r="AO208" i="1"/>
  <c r="H209" i="1"/>
  <c r="AY209" i="1" s="1"/>
  <c r="G210" i="1" a="1"/>
  <c r="G210" i="1" s="1"/>
  <c r="BB210" i="1" a="1"/>
  <c r="BB210" i="1" s="1"/>
  <c r="BD210" i="1" a="1"/>
  <c r="BD210" i="1" s="1"/>
  <c r="BF210" i="1" a="1"/>
  <c r="BF210" i="1" s="1"/>
  <c r="AW210" i="1" a="1"/>
  <c r="AW210" i="1" s="1"/>
  <c r="AS210" i="1" a="1"/>
  <c r="AS210" i="1" s="1"/>
  <c r="BA210" i="1" a="1"/>
  <c r="BA210" i="1" s="1"/>
  <c r="BE210" i="1" a="1"/>
  <c r="BE210" i="1" s="1"/>
  <c r="AR210" i="1" a="1"/>
  <c r="AR210" i="1" s="1"/>
  <c r="AH210" i="1" a="1"/>
  <c r="AH210" i="1" s="1"/>
  <c r="AJ210" i="1" a="1"/>
  <c r="AJ210" i="1" s="1"/>
  <c r="AL210" i="1" a="1"/>
  <c r="AL210" i="1" s="1"/>
  <c r="AD210" i="1" a="1"/>
  <c r="AD210" i="1" s="1"/>
  <c r="Z210" i="1" a="1"/>
  <c r="Z210" i="1" s="1"/>
  <c r="S210" i="1" a="1"/>
  <c r="S210" i="1" s="1"/>
  <c r="U210" i="1" a="1"/>
  <c r="U210" i="1" s="1"/>
  <c r="W210" i="1" a="1"/>
  <c r="W210" i="1" s="1"/>
  <c r="O210" i="1" a="1"/>
  <c r="O210" i="1" s="1"/>
  <c r="K210" i="1" a="1"/>
  <c r="K210" i="1" s="1"/>
  <c r="J210" i="1" a="1"/>
  <c r="J210" i="1" s="1"/>
  <c r="F210" i="1" a="1"/>
  <c r="F210" i="1" s="1"/>
  <c r="H210" i="1" s="1"/>
  <c r="BC210" i="1" a="1"/>
  <c r="BC210" i="1" s="1"/>
  <c r="AV210" i="1" a="1"/>
  <c r="AV210" i="1" s="1"/>
  <c r="AI210" i="1" a="1"/>
  <c r="AI210" i="1" s="1"/>
  <c r="AC210" i="1" a="1"/>
  <c r="AC210" i="1" s="1"/>
  <c r="R210" i="1" a="1"/>
  <c r="R210" i="1" s="1"/>
  <c r="V210" i="1" a="1"/>
  <c r="V210" i="1" s="1"/>
  <c r="AG210" i="1" a="1"/>
  <c r="AG210" i="1" s="1"/>
  <c r="AK210" i="1" a="1"/>
  <c r="AK210" i="1" s="1"/>
  <c r="Y210" i="1" a="1"/>
  <c r="Y210" i="1" s="1"/>
  <c r="T210" i="1" a="1"/>
  <c r="T210" i="1" s="1"/>
  <c r="N210" i="1" a="1"/>
  <c r="N210" i="1" s="1"/>
  <c r="I209" i="1"/>
  <c r="Q209" i="1" a="1"/>
  <c r="Q209" i="1" s="1"/>
  <c r="X209" i="1"/>
  <c r="AF209" i="1"/>
  <c r="B211" i="1"/>
  <c r="A210" i="1"/>
  <c r="D211" i="1" l="1"/>
  <c r="E211" i="1"/>
  <c r="C211" i="1"/>
  <c r="AZ211" i="1" s="1"/>
  <c r="L210" i="1"/>
  <c r="AX210" i="1"/>
  <c r="AT210" i="1"/>
  <c r="AO209" i="1"/>
  <c r="P210" i="1"/>
  <c r="M210" i="1" s="1"/>
  <c r="AA210" i="1"/>
  <c r="AE210" i="1"/>
  <c r="AB210" i="1" s="1"/>
  <c r="F211" i="1" a="1"/>
  <c r="F211" i="1" s="1"/>
  <c r="BB211" i="1" a="1"/>
  <c r="BB211" i="1" s="1"/>
  <c r="BD211" i="1" a="1"/>
  <c r="BD211" i="1" s="1"/>
  <c r="BF211" i="1" a="1"/>
  <c r="BF211" i="1" s="1"/>
  <c r="AV211" i="1" a="1"/>
  <c r="AV211" i="1" s="1"/>
  <c r="AR211" i="1" a="1"/>
  <c r="AR211" i="1" s="1"/>
  <c r="BC211" i="1" a="1"/>
  <c r="BC211" i="1" s="1"/>
  <c r="AS211" i="1" a="1"/>
  <c r="AS211" i="1" s="1"/>
  <c r="AT211" i="1" s="1"/>
  <c r="AH211" i="1" a="1"/>
  <c r="AH211" i="1" s="1"/>
  <c r="AJ211" i="1" a="1"/>
  <c r="AJ211" i="1" s="1"/>
  <c r="AL211" i="1" a="1"/>
  <c r="AL211" i="1" s="1"/>
  <c r="AC211" i="1" a="1"/>
  <c r="AC211" i="1" s="1"/>
  <c r="Y211" i="1" a="1"/>
  <c r="Y211" i="1" s="1"/>
  <c r="S211" i="1" a="1"/>
  <c r="S211" i="1" s="1"/>
  <c r="U211" i="1" a="1"/>
  <c r="U211" i="1" s="1"/>
  <c r="W211" i="1" a="1"/>
  <c r="W211" i="1" s="1"/>
  <c r="N211" i="1" a="1"/>
  <c r="N211" i="1" s="1"/>
  <c r="G211" i="1" a="1"/>
  <c r="G211" i="1" s="1"/>
  <c r="BA211" i="1" a="1"/>
  <c r="BA211" i="1" s="1"/>
  <c r="BE211" i="1" a="1"/>
  <c r="BE211" i="1" s="1"/>
  <c r="AW211" i="1" a="1"/>
  <c r="AW211" i="1" s="1"/>
  <c r="AX211" i="1" s="1"/>
  <c r="AG211" i="1" a="1"/>
  <c r="AG211" i="1" s="1"/>
  <c r="AK211" i="1" a="1"/>
  <c r="AK211" i="1" s="1"/>
  <c r="AD211" i="1" a="1"/>
  <c r="AD211" i="1" s="1"/>
  <c r="AE211" i="1" s="1"/>
  <c r="AB211" i="1" s="1"/>
  <c r="T211" i="1" a="1"/>
  <c r="T211" i="1" s="1"/>
  <c r="K211" i="1" a="1"/>
  <c r="K211" i="1" s="1"/>
  <c r="AI211" i="1" a="1"/>
  <c r="AI211" i="1" s="1"/>
  <c r="Z211" i="1" a="1"/>
  <c r="Z211" i="1" s="1"/>
  <c r="AA211" i="1" s="1"/>
  <c r="R211" i="1" a="1"/>
  <c r="R211" i="1" s="1"/>
  <c r="V211" i="1" a="1"/>
  <c r="V211" i="1" s="1"/>
  <c r="O211" i="1" a="1"/>
  <c r="O211" i="1" s="1"/>
  <c r="P211" i="1" s="1"/>
  <c r="M211" i="1" s="1"/>
  <c r="J211" i="1" a="1"/>
  <c r="J211" i="1" s="1"/>
  <c r="Q210" i="1" a="1"/>
  <c r="Q210" i="1" s="1"/>
  <c r="I210" i="1"/>
  <c r="X210" i="1"/>
  <c r="AF210" i="1"/>
  <c r="B212" i="1"/>
  <c r="A211" i="1"/>
  <c r="D212" i="1" l="1"/>
  <c r="E212" i="1"/>
  <c r="C212" i="1"/>
  <c r="AZ212" i="1" s="1"/>
  <c r="AY210" i="1"/>
  <c r="AO210" i="1"/>
  <c r="L211" i="1"/>
  <c r="H211" i="1"/>
  <c r="AY211" i="1" s="1"/>
  <c r="G212" i="1" a="1"/>
  <c r="G212" i="1" s="1"/>
  <c r="BB212" i="1" a="1"/>
  <c r="BB212" i="1" s="1"/>
  <c r="BD212" i="1" a="1"/>
  <c r="BD212" i="1" s="1"/>
  <c r="BF212" i="1" a="1"/>
  <c r="BF212" i="1" s="1"/>
  <c r="AW212" i="1" a="1"/>
  <c r="AW212" i="1" s="1"/>
  <c r="AS212" i="1" a="1"/>
  <c r="AS212" i="1" s="1"/>
  <c r="F212" i="1" a="1"/>
  <c r="F212" i="1" s="1"/>
  <c r="H212" i="1" s="1"/>
  <c r="BA212" i="1" a="1"/>
  <c r="BA212" i="1" s="1"/>
  <c r="BE212" i="1" a="1"/>
  <c r="BE212" i="1" s="1"/>
  <c r="AV212" i="1" a="1"/>
  <c r="AV212" i="1" s="1"/>
  <c r="AH212" i="1" a="1"/>
  <c r="AH212" i="1" s="1"/>
  <c r="AJ212" i="1" a="1"/>
  <c r="AJ212" i="1" s="1"/>
  <c r="AL212" i="1" a="1"/>
  <c r="AL212" i="1" s="1"/>
  <c r="AD212" i="1" a="1"/>
  <c r="AD212" i="1" s="1"/>
  <c r="Z212" i="1" a="1"/>
  <c r="Z212" i="1" s="1"/>
  <c r="S212" i="1" a="1"/>
  <c r="S212" i="1" s="1"/>
  <c r="U212" i="1" a="1"/>
  <c r="U212" i="1" s="1"/>
  <c r="W212" i="1" a="1"/>
  <c r="W212" i="1" s="1"/>
  <c r="O212" i="1" a="1"/>
  <c r="O212" i="1" s="1"/>
  <c r="K212" i="1" a="1"/>
  <c r="K212" i="1" s="1"/>
  <c r="J212" i="1" a="1"/>
  <c r="J212" i="1" s="1"/>
  <c r="BC212" i="1" a="1"/>
  <c r="BC212" i="1" s="1"/>
  <c r="AR212" i="1" a="1"/>
  <c r="AR212" i="1" s="1"/>
  <c r="AI212" i="1" a="1"/>
  <c r="AI212" i="1" s="1"/>
  <c r="Y212" i="1" a="1"/>
  <c r="Y212" i="1" s="1"/>
  <c r="R212" i="1" a="1"/>
  <c r="R212" i="1" s="1"/>
  <c r="V212" i="1" a="1"/>
  <c r="V212" i="1" s="1"/>
  <c r="N212" i="1" a="1"/>
  <c r="N212" i="1" s="1"/>
  <c r="AG212" i="1" a="1"/>
  <c r="AG212" i="1" s="1"/>
  <c r="AK212" i="1" a="1"/>
  <c r="AK212" i="1" s="1"/>
  <c r="AC212" i="1" a="1"/>
  <c r="AC212" i="1" s="1"/>
  <c r="T212" i="1" a="1"/>
  <c r="T212" i="1" s="1"/>
  <c r="X211" i="1"/>
  <c r="AF211" i="1"/>
  <c r="I211" i="1"/>
  <c r="Q211" i="1" a="1"/>
  <c r="Q211" i="1" s="1"/>
  <c r="AO211" i="1" s="1"/>
  <c r="B213" i="1"/>
  <c r="A212" i="1"/>
  <c r="D213" i="1" l="1"/>
  <c r="E213" i="1"/>
  <c r="C213" i="1"/>
  <c r="AZ213" i="1" s="1"/>
  <c r="AX212" i="1"/>
  <c r="AT212" i="1"/>
  <c r="L212" i="1"/>
  <c r="AE212" i="1"/>
  <c r="AB212" i="1" s="1"/>
  <c r="P212" i="1"/>
  <c r="M212" i="1" s="1"/>
  <c r="AA212" i="1"/>
  <c r="F213" i="1" a="1"/>
  <c r="F213" i="1" s="1"/>
  <c r="BB213" i="1" a="1"/>
  <c r="BB213" i="1" s="1"/>
  <c r="BD213" i="1" a="1"/>
  <c r="BD213" i="1" s="1"/>
  <c r="BF213" i="1" a="1"/>
  <c r="BF213" i="1" s="1"/>
  <c r="AV213" i="1" a="1"/>
  <c r="AV213" i="1" s="1"/>
  <c r="AR213" i="1" a="1"/>
  <c r="AR213" i="1" s="1"/>
  <c r="G213" i="1" a="1"/>
  <c r="G213" i="1" s="1"/>
  <c r="BC213" i="1" a="1"/>
  <c r="BC213" i="1" s="1"/>
  <c r="AW213" i="1" a="1"/>
  <c r="AW213" i="1" s="1"/>
  <c r="AX213" i="1" s="1"/>
  <c r="AH213" i="1" a="1"/>
  <c r="AH213" i="1" s="1"/>
  <c r="AJ213" i="1" a="1"/>
  <c r="AJ213" i="1" s="1"/>
  <c r="AL213" i="1" a="1"/>
  <c r="AL213" i="1" s="1"/>
  <c r="AC213" i="1" a="1"/>
  <c r="AC213" i="1" s="1"/>
  <c r="Y213" i="1" a="1"/>
  <c r="Y213" i="1" s="1"/>
  <c r="S213" i="1" a="1"/>
  <c r="S213" i="1" s="1"/>
  <c r="U213" i="1" a="1"/>
  <c r="U213" i="1" s="1"/>
  <c r="W213" i="1" a="1"/>
  <c r="W213" i="1" s="1"/>
  <c r="N213" i="1" a="1"/>
  <c r="N213" i="1" s="1"/>
  <c r="BA213" i="1" a="1"/>
  <c r="BA213" i="1" s="1"/>
  <c r="BE213" i="1" a="1"/>
  <c r="BE213" i="1" s="1"/>
  <c r="AS213" i="1" a="1"/>
  <c r="AS213" i="1" s="1"/>
  <c r="AG213" i="1" a="1"/>
  <c r="AG213" i="1" s="1"/>
  <c r="AK213" i="1" a="1"/>
  <c r="AK213" i="1" s="1"/>
  <c r="Z213" i="1" a="1"/>
  <c r="Z213" i="1" s="1"/>
  <c r="AA213" i="1" s="1"/>
  <c r="T213" i="1" a="1"/>
  <c r="T213" i="1" s="1"/>
  <c r="O213" i="1" a="1"/>
  <c r="O213" i="1" s="1"/>
  <c r="P213" i="1" s="1"/>
  <c r="M213" i="1" s="1"/>
  <c r="J213" i="1" a="1"/>
  <c r="J213" i="1" s="1"/>
  <c r="AI213" i="1" a="1"/>
  <c r="AI213" i="1" s="1"/>
  <c r="AD213" i="1" a="1"/>
  <c r="AD213" i="1" s="1"/>
  <c r="AE213" i="1" s="1"/>
  <c r="AB213" i="1" s="1"/>
  <c r="R213" i="1" a="1"/>
  <c r="R213" i="1" s="1"/>
  <c r="V213" i="1" a="1"/>
  <c r="V213" i="1" s="1"/>
  <c r="K213" i="1" a="1"/>
  <c r="K213" i="1" s="1"/>
  <c r="Q212" i="1" a="1"/>
  <c r="Q212" i="1" s="1"/>
  <c r="I212" i="1"/>
  <c r="X212" i="1"/>
  <c r="AF212" i="1"/>
  <c r="B214" i="1"/>
  <c r="A213" i="1"/>
  <c r="D214" i="1" l="1"/>
  <c r="E214" i="1"/>
  <c r="C214" i="1"/>
  <c r="AZ214" i="1" s="1"/>
  <c r="L213" i="1"/>
  <c r="AY212" i="1"/>
  <c r="AT213" i="1"/>
  <c r="AO212" i="1"/>
  <c r="H213" i="1"/>
  <c r="G214" i="1" a="1"/>
  <c r="G214" i="1" s="1"/>
  <c r="BB214" i="1" a="1"/>
  <c r="BB214" i="1" s="1"/>
  <c r="BD214" i="1" a="1"/>
  <c r="BD214" i="1" s="1"/>
  <c r="BF214" i="1" a="1"/>
  <c r="BF214" i="1" s="1"/>
  <c r="AW214" i="1" a="1"/>
  <c r="AW214" i="1" s="1"/>
  <c r="AS214" i="1" a="1"/>
  <c r="AS214" i="1" s="1"/>
  <c r="BA214" i="1" a="1"/>
  <c r="BA214" i="1" s="1"/>
  <c r="BE214" i="1" a="1"/>
  <c r="BE214" i="1" s="1"/>
  <c r="AR214" i="1" a="1"/>
  <c r="AR214" i="1" s="1"/>
  <c r="AH214" i="1" a="1"/>
  <c r="AH214" i="1" s="1"/>
  <c r="AJ214" i="1" a="1"/>
  <c r="AJ214" i="1" s="1"/>
  <c r="AL214" i="1" a="1"/>
  <c r="AL214" i="1" s="1"/>
  <c r="AD214" i="1" a="1"/>
  <c r="AD214" i="1" s="1"/>
  <c r="Z214" i="1" a="1"/>
  <c r="Z214" i="1" s="1"/>
  <c r="S214" i="1" a="1"/>
  <c r="S214" i="1" s="1"/>
  <c r="U214" i="1" a="1"/>
  <c r="U214" i="1" s="1"/>
  <c r="W214" i="1" a="1"/>
  <c r="W214" i="1" s="1"/>
  <c r="O214" i="1" a="1"/>
  <c r="O214" i="1" s="1"/>
  <c r="K214" i="1" a="1"/>
  <c r="K214" i="1" s="1"/>
  <c r="J214" i="1" a="1"/>
  <c r="J214" i="1" s="1"/>
  <c r="F214" i="1" a="1"/>
  <c r="F214" i="1" s="1"/>
  <c r="H214" i="1" s="1"/>
  <c r="BC214" i="1" a="1"/>
  <c r="BC214" i="1" s="1"/>
  <c r="AV214" i="1" a="1"/>
  <c r="AV214" i="1" s="1"/>
  <c r="AI214" i="1" a="1"/>
  <c r="AI214" i="1" s="1"/>
  <c r="AC214" i="1" a="1"/>
  <c r="AC214" i="1" s="1"/>
  <c r="R214" i="1" a="1"/>
  <c r="R214" i="1" s="1"/>
  <c r="V214" i="1" a="1"/>
  <c r="V214" i="1" s="1"/>
  <c r="AG214" i="1" a="1"/>
  <c r="AG214" i="1" s="1"/>
  <c r="AK214" i="1" a="1"/>
  <c r="AK214" i="1" s="1"/>
  <c r="Y214" i="1" a="1"/>
  <c r="Y214" i="1" s="1"/>
  <c r="T214" i="1" a="1"/>
  <c r="T214" i="1" s="1"/>
  <c r="N214" i="1" a="1"/>
  <c r="N214" i="1" s="1"/>
  <c r="I213" i="1"/>
  <c r="Q213" i="1" a="1"/>
  <c r="Q213" i="1" s="1"/>
  <c r="X213" i="1"/>
  <c r="AF213" i="1"/>
  <c r="B215" i="1"/>
  <c r="A214" i="1"/>
  <c r="D215" i="1" l="1"/>
  <c r="E215" i="1"/>
  <c r="C215" i="1"/>
  <c r="AZ215" i="1" s="1"/>
  <c r="AX214" i="1"/>
  <c r="AT214" i="1"/>
  <c r="AY213" i="1"/>
  <c r="L214" i="1"/>
  <c r="AE214" i="1"/>
  <c r="AB214" i="1" s="1"/>
  <c r="AO213" i="1"/>
  <c r="P214" i="1"/>
  <c r="M214" i="1" s="1"/>
  <c r="AA214" i="1"/>
  <c r="F215" i="1" a="1"/>
  <c r="F215" i="1" s="1"/>
  <c r="BB215" i="1" a="1"/>
  <c r="BB215" i="1" s="1"/>
  <c r="BD215" i="1" a="1"/>
  <c r="BD215" i="1" s="1"/>
  <c r="BF215" i="1" a="1"/>
  <c r="BF215" i="1" s="1"/>
  <c r="AV215" i="1" a="1"/>
  <c r="AV215" i="1" s="1"/>
  <c r="AR215" i="1" a="1"/>
  <c r="AR215" i="1" s="1"/>
  <c r="BC215" i="1" a="1"/>
  <c r="BC215" i="1" s="1"/>
  <c r="AS215" i="1" a="1"/>
  <c r="AS215" i="1" s="1"/>
  <c r="AT215" i="1" s="1"/>
  <c r="AH215" i="1" a="1"/>
  <c r="AH215" i="1" s="1"/>
  <c r="AJ215" i="1" a="1"/>
  <c r="AJ215" i="1" s="1"/>
  <c r="AL215" i="1" a="1"/>
  <c r="AL215" i="1" s="1"/>
  <c r="AC215" i="1" a="1"/>
  <c r="AC215" i="1" s="1"/>
  <c r="Y215" i="1" a="1"/>
  <c r="Y215" i="1" s="1"/>
  <c r="S215" i="1" a="1"/>
  <c r="S215" i="1" s="1"/>
  <c r="U215" i="1" a="1"/>
  <c r="U215" i="1" s="1"/>
  <c r="W215" i="1" a="1"/>
  <c r="W215" i="1" s="1"/>
  <c r="N215" i="1" a="1"/>
  <c r="N215" i="1" s="1"/>
  <c r="G215" i="1" a="1"/>
  <c r="G215" i="1" s="1"/>
  <c r="BA215" i="1" a="1"/>
  <c r="BA215" i="1" s="1"/>
  <c r="BE215" i="1" a="1"/>
  <c r="BE215" i="1" s="1"/>
  <c r="AW215" i="1" a="1"/>
  <c r="AW215" i="1" s="1"/>
  <c r="AX215" i="1" s="1"/>
  <c r="AG215" i="1" a="1"/>
  <c r="AG215" i="1" s="1"/>
  <c r="AK215" i="1" a="1"/>
  <c r="AK215" i="1" s="1"/>
  <c r="AD215" i="1" a="1"/>
  <c r="AD215" i="1" s="1"/>
  <c r="AE215" i="1" s="1"/>
  <c r="AB215" i="1" s="1"/>
  <c r="T215" i="1" a="1"/>
  <c r="T215" i="1" s="1"/>
  <c r="K215" i="1" a="1"/>
  <c r="K215" i="1" s="1"/>
  <c r="AI215" i="1" a="1"/>
  <c r="AI215" i="1" s="1"/>
  <c r="Z215" i="1" a="1"/>
  <c r="Z215" i="1" s="1"/>
  <c r="R215" i="1" a="1"/>
  <c r="R215" i="1" s="1"/>
  <c r="V215" i="1" a="1"/>
  <c r="V215" i="1" s="1"/>
  <c r="O215" i="1" a="1"/>
  <c r="O215" i="1" s="1"/>
  <c r="P215" i="1" s="1"/>
  <c r="M215" i="1" s="1"/>
  <c r="J215" i="1" a="1"/>
  <c r="J215" i="1" s="1"/>
  <c r="Q214" i="1" a="1"/>
  <c r="Q214" i="1" s="1"/>
  <c r="I214" i="1"/>
  <c r="X214" i="1"/>
  <c r="AF214" i="1"/>
  <c r="B216" i="1"/>
  <c r="A215" i="1"/>
  <c r="AA215" i="1" l="1"/>
  <c r="D216" i="1"/>
  <c r="E216" i="1"/>
  <c r="C216" i="1"/>
  <c r="AZ216" i="1" s="1"/>
  <c r="AY214" i="1"/>
  <c r="L215" i="1"/>
  <c r="AO214" i="1"/>
  <c r="H215" i="1"/>
  <c r="AY215" i="1" s="1"/>
  <c r="G216" i="1" a="1"/>
  <c r="G216" i="1" s="1"/>
  <c r="BB216" i="1" a="1"/>
  <c r="BB216" i="1" s="1"/>
  <c r="BD216" i="1" a="1"/>
  <c r="BD216" i="1" s="1"/>
  <c r="BF216" i="1" a="1"/>
  <c r="BF216" i="1" s="1"/>
  <c r="AW216" i="1" a="1"/>
  <c r="AW216" i="1" s="1"/>
  <c r="AS216" i="1" a="1"/>
  <c r="AS216" i="1" s="1"/>
  <c r="F216" i="1" a="1"/>
  <c r="F216" i="1" s="1"/>
  <c r="H216" i="1" s="1"/>
  <c r="BA216" i="1" a="1"/>
  <c r="BA216" i="1" s="1"/>
  <c r="BE216" i="1" a="1"/>
  <c r="BE216" i="1" s="1"/>
  <c r="AV216" i="1" a="1"/>
  <c r="AV216" i="1" s="1"/>
  <c r="AH216" i="1" a="1"/>
  <c r="AH216" i="1" s="1"/>
  <c r="AJ216" i="1" a="1"/>
  <c r="AJ216" i="1" s="1"/>
  <c r="AL216" i="1" a="1"/>
  <c r="AL216" i="1" s="1"/>
  <c r="AD216" i="1" a="1"/>
  <c r="AD216" i="1" s="1"/>
  <c r="Z216" i="1" a="1"/>
  <c r="Z216" i="1" s="1"/>
  <c r="S216" i="1" a="1"/>
  <c r="S216" i="1" s="1"/>
  <c r="U216" i="1" a="1"/>
  <c r="U216" i="1" s="1"/>
  <c r="W216" i="1" a="1"/>
  <c r="W216" i="1" s="1"/>
  <c r="O216" i="1" a="1"/>
  <c r="O216" i="1" s="1"/>
  <c r="K216" i="1" a="1"/>
  <c r="K216" i="1" s="1"/>
  <c r="J216" i="1" a="1"/>
  <c r="J216" i="1" s="1"/>
  <c r="BC216" i="1" a="1"/>
  <c r="BC216" i="1" s="1"/>
  <c r="AI216" i="1" a="1"/>
  <c r="AI216" i="1" s="1"/>
  <c r="Y216" i="1" a="1"/>
  <c r="Y216" i="1" s="1"/>
  <c r="R216" i="1" a="1"/>
  <c r="R216" i="1" s="1"/>
  <c r="V216" i="1" a="1"/>
  <c r="V216" i="1" s="1"/>
  <c r="N216" i="1" a="1"/>
  <c r="N216" i="1" s="1"/>
  <c r="AR216" i="1" a="1"/>
  <c r="AR216" i="1" s="1"/>
  <c r="AG216" i="1" a="1"/>
  <c r="AG216" i="1" s="1"/>
  <c r="AK216" i="1" a="1"/>
  <c r="AK216" i="1" s="1"/>
  <c r="AC216" i="1" a="1"/>
  <c r="AC216" i="1" s="1"/>
  <c r="T216" i="1" a="1"/>
  <c r="T216" i="1" s="1"/>
  <c r="X215" i="1"/>
  <c r="AF215" i="1"/>
  <c r="I215" i="1"/>
  <c r="Q215" i="1" a="1"/>
  <c r="Q215" i="1" s="1"/>
  <c r="AO215" i="1" s="1"/>
  <c r="B217" i="1"/>
  <c r="A216" i="1"/>
  <c r="D217" i="1" l="1"/>
  <c r="E217" i="1"/>
  <c r="C217" i="1"/>
  <c r="AZ217" i="1" s="1"/>
  <c r="AT216" i="1"/>
  <c r="AX216" i="1"/>
  <c r="L216" i="1"/>
  <c r="AE216" i="1"/>
  <c r="AB216" i="1" s="1"/>
  <c r="P216" i="1"/>
  <c r="M216" i="1" s="1"/>
  <c r="AA216" i="1"/>
  <c r="F217" i="1" a="1"/>
  <c r="F217" i="1" s="1"/>
  <c r="BB217" i="1" a="1"/>
  <c r="BB217" i="1" s="1"/>
  <c r="BD217" i="1" a="1"/>
  <c r="BD217" i="1" s="1"/>
  <c r="BF217" i="1" a="1"/>
  <c r="BF217" i="1" s="1"/>
  <c r="AV217" i="1" a="1"/>
  <c r="AV217" i="1" s="1"/>
  <c r="AR217" i="1" a="1"/>
  <c r="AR217" i="1" s="1"/>
  <c r="G217" i="1" a="1"/>
  <c r="G217" i="1" s="1"/>
  <c r="BC217" i="1" a="1"/>
  <c r="BC217" i="1" s="1"/>
  <c r="AW217" i="1" a="1"/>
  <c r="AW217" i="1" s="1"/>
  <c r="AX217" i="1" s="1"/>
  <c r="AH217" i="1" a="1"/>
  <c r="AH217" i="1" s="1"/>
  <c r="AJ217" i="1" a="1"/>
  <c r="AJ217" i="1" s="1"/>
  <c r="AL217" i="1" a="1"/>
  <c r="AL217" i="1" s="1"/>
  <c r="AC217" i="1" a="1"/>
  <c r="AC217" i="1" s="1"/>
  <c r="Y217" i="1" a="1"/>
  <c r="Y217" i="1" s="1"/>
  <c r="S217" i="1" a="1"/>
  <c r="S217" i="1" s="1"/>
  <c r="U217" i="1" a="1"/>
  <c r="U217" i="1" s="1"/>
  <c r="W217" i="1" a="1"/>
  <c r="W217" i="1" s="1"/>
  <c r="N217" i="1" a="1"/>
  <c r="N217" i="1" s="1"/>
  <c r="BA217" i="1" a="1"/>
  <c r="BA217" i="1" s="1"/>
  <c r="BE217" i="1" a="1"/>
  <c r="BE217" i="1" s="1"/>
  <c r="AS217" i="1" a="1"/>
  <c r="AS217" i="1" s="1"/>
  <c r="AG217" i="1" a="1"/>
  <c r="AG217" i="1" s="1"/>
  <c r="AK217" i="1" a="1"/>
  <c r="AK217" i="1" s="1"/>
  <c r="Z217" i="1" a="1"/>
  <c r="Z217" i="1" s="1"/>
  <c r="AA217" i="1" s="1"/>
  <c r="T217" i="1" a="1"/>
  <c r="T217" i="1" s="1"/>
  <c r="O217" i="1" a="1"/>
  <c r="O217" i="1" s="1"/>
  <c r="P217" i="1" s="1"/>
  <c r="M217" i="1" s="1"/>
  <c r="J217" i="1" a="1"/>
  <c r="J217" i="1" s="1"/>
  <c r="AI217" i="1" a="1"/>
  <c r="AI217" i="1" s="1"/>
  <c r="AD217" i="1" a="1"/>
  <c r="AD217" i="1" s="1"/>
  <c r="AE217" i="1" s="1"/>
  <c r="AB217" i="1" s="1"/>
  <c r="R217" i="1" a="1"/>
  <c r="R217" i="1" s="1"/>
  <c r="V217" i="1" a="1"/>
  <c r="V217" i="1" s="1"/>
  <c r="K217" i="1" a="1"/>
  <c r="K217" i="1" s="1"/>
  <c r="Q216" i="1" a="1"/>
  <c r="Q216" i="1" s="1"/>
  <c r="I216" i="1"/>
  <c r="X216" i="1"/>
  <c r="AF216" i="1"/>
  <c r="B218" i="1"/>
  <c r="A217" i="1"/>
  <c r="AT217" i="1" l="1"/>
  <c r="D218" i="1"/>
  <c r="E218" i="1"/>
  <c r="C218" i="1"/>
  <c r="AY216" i="1"/>
  <c r="AO216" i="1"/>
  <c r="L217" i="1"/>
  <c r="H217" i="1"/>
  <c r="G218" i="1" a="1"/>
  <c r="G218" i="1" s="1"/>
  <c r="BB218" i="1" a="1"/>
  <c r="BB218" i="1" s="1"/>
  <c r="BD218" i="1" a="1"/>
  <c r="BD218" i="1" s="1"/>
  <c r="BF218" i="1" a="1"/>
  <c r="BF218" i="1" s="1"/>
  <c r="AW218" i="1" a="1"/>
  <c r="AW218" i="1" s="1"/>
  <c r="AS218" i="1" a="1"/>
  <c r="AS218" i="1" s="1"/>
  <c r="BA218" i="1" a="1"/>
  <c r="BA218" i="1" s="1"/>
  <c r="BE218" i="1" a="1"/>
  <c r="BE218" i="1" s="1"/>
  <c r="AR218" i="1" a="1"/>
  <c r="AR218" i="1" s="1"/>
  <c r="AH218" i="1" a="1"/>
  <c r="AH218" i="1" s="1"/>
  <c r="AJ218" i="1" a="1"/>
  <c r="AJ218" i="1" s="1"/>
  <c r="AL218" i="1" a="1"/>
  <c r="AL218" i="1" s="1"/>
  <c r="AD218" i="1" a="1"/>
  <c r="AD218" i="1" s="1"/>
  <c r="Z218" i="1" a="1"/>
  <c r="Z218" i="1" s="1"/>
  <c r="S218" i="1" a="1"/>
  <c r="S218" i="1" s="1"/>
  <c r="U218" i="1" a="1"/>
  <c r="U218" i="1" s="1"/>
  <c r="W218" i="1" a="1"/>
  <c r="W218" i="1" s="1"/>
  <c r="O218" i="1" a="1"/>
  <c r="O218" i="1" s="1"/>
  <c r="K218" i="1" a="1"/>
  <c r="K218" i="1" s="1"/>
  <c r="J218" i="1" a="1"/>
  <c r="J218" i="1" s="1"/>
  <c r="F218" i="1" a="1"/>
  <c r="F218" i="1" s="1"/>
  <c r="H218" i="1" s="1"/>
  <c r="BC218" i="1" a="1"/>
  <c r="BC218" i="1" s="1"/>
  <c r="AV218" i="1" a="1"/>
  <c r="AV218" i="1" s="1"/>
  <c r="AI218" i="1" a="1"/>
  <c r="AI218" i="1" s="1"/>
  <c r="AC218" i="1" a="1"/>
  <c r="AC218" i="1" s="1"/>
  <c r="R218" i="1" a="1"/>
  <c r="R218" i="1" s="1"/>
  <c r="V218" i="1" a="1"/>
  <c r="V218" i="1" s="1"/>
  <c r="AG218" i="1" a="1"/>
  <c r="AG218" i="1" s="1"/>
  <c r="AK218" i="1" a="1"/>
  <c r="AK218" i="1" s="1"/>
  <c r="Y218" i="1" a="1"/>
  <c r="Y218" i="1" s="1"/>
  <c r="T218" i="1" a="1"/>
  <c r="T218" i="1" s="1"/>
  <c r="N218" i="1" a="1"/>
  <c r="N218" i="1" s="1"/>
  <c r="I217" i="1"/>
  <c r="Q217" i="1" a="1"/>
  <c r="Q217" i="1" s="1"/>
  <c r="X217" i="1"/>
  <c r="AF217" i="1"/>
  <c r="B219" i="1"/>
  <c r="A218" i="1"/>
  <c r="AZ218" i="1" l="1"/>
  <c r="AY217" i="1"/>
  <c r="D219" i="1"/>
  <c r="E219" i="1"/>
  <c r="C219" i="1"/>
  <c r="AZ219" i="1" s="1"/>
  <c r="AT218" i="1"/>
  <c r="AX218" i="1"/>
  <c r="L218" i="1"/>
  <c r="AO217" i="1"/>
  <c r="P218" i="1"/>
  <c r="M218" i="1" s="1"/>
  <c r="AA218" i="1"/>
  <c r="AE218" i="1"/>
  <c r="AB218" i="1" s="1"/>
  <c r="F219" i="1" a="1"/>
  <c r="F219" i="1" s="1"/>
  <c r="BB219" i="1" a="1"/>
  <c r="BB219" i="1" s="1"/>
  <c r="BD219" i="1" a="1"/>
  <c r="BD219" i="1" s="1"/>
  <c r="BF219" i="1" a="1"/>
  <c r="BF219" i="1" s="1"/>
  <c r="AV219" i="1" a="1"/>
  <c r="AV219" i="1" s="1"/>
  <c r="AR219" i="1" a="1"/>
  <c r="AR219" i="1" s="1"/>
  <c r="BC219" i="1" a="1"/>
  <c r="BC219" i="1" s="1"/>
  <c r="AS219" i="1" a="1"/>
  <c r="AS219" i="1" s="1"/>
  <c r="AT219" i="1" s="1"/>
  <c r="AH219" i="1" a="1"/>
  <c r="AH219" i="1" s="1"/>
  <c r="AJ219" i="1" a="1"/>
  <c r="AJ219" i="1" s="1"/>
  <c r="AL219" i="1" a="1"/>
  <c r="AL219" i="1" s="1"/>
  <c r="AC219" i="1" a="1"/>
  <c r="AC219" i="1" s="1"/>
  <c r="Y219" i="1" a="1"/>
  <c r="Y219" i="1" s="1"/>
  <c r="S219" i="1" a="1"/>
  <c r="S219" i="1" s="1"/>
  <c r="U219" i="1" a="1"/>
  <c r="U219" i="1" s="1"/>
  <c r="W219" i="1" a="1"/>
  <c r="W219" i="1" s="1"/>
  <c r="N219" i="1" a="1"/>
  <c r="N219" i="1" s="1"/>
  <c r="G219" i="1" a="1"/>
  <c r="G219" i="1" s="1"/>
  <c r="BA219" i="1" a="1"/>
  <c r="BA219" i="1" s="1"/>
  <c r="BE219" i="1" a="1"/>
  <c r="BE219" i="1" s="1"/>
  <c r="AW219" i="1" a="1"/>
  <c r="AW219" i="1" s="1"/>
  <c r="AX219" i="1" s="1"/>
  <c r="AG219" i="1" a="1"/>
  <c r="AG219" i="1" s="1"/>
  <c r="AK219" i="1" a="1"/>
  <c r="AK219" i="1" s="1"/>
  <c r="AD219" i="1" a="1"/>
  <c r="AD219" i="1" s="1"/>
  <c r="AE219" i="1" s="1"/>
  <c r="AB219" i="1" s="1"/>
  <c r="T219" i="1" a="1"/>
  <c r="T219" i="1" s="1"/>
  <c r="K219" i="1" a="1"/>
  <c r="K219" i="1" s="1"/>
  <c r="AI219" i="1" a="1"/>
  <c r="AI219" i="1" s="1"/>
  <c r="Z219" i="1" a="1"/>
  <c r="Z219" i="1" s="1"/>
  <c r="R219" i="1" a="1"/>
  <c r="R219" i="1" s="1"/>
  <c r="V219" i="1" a="1"/>
  <c r="V219" i="1" s="1"/>
  <c r="O219" i="1" a="1"/>
  <c r="O219" i="1" s="1"/>
  <c r="J219" i="1" a="1"/>
  <c r="J219" i="1" s="1"/>
  <c r="Q218" i="1" a="1"/>
  <c r="Q218" i="1" s="1"/>
  <c r="I218" i="1"/>
  <c r="X218" i="1"/>
  <c r="AF218" i="1"/>
  <c r="B220" i="1"/>
  <c r="A219" i="1"/>
  <c r="P219" i="1" l="1"/>
  <c r="M219" i="1" s="1"/>
  <c r="D220" i="1"/>
  <c r="E220" i="1"/>
  <c r="C220" i="1"/>
  <c r="AY218" i="1"/>
  <c r="AA219" i="1"/>
  <c r="L219" i="1"/>
  <c r="AO218" i="1"/>
  <c r="H219" i="1"/>
  <c r="AY219" i="1" s="1"/>
  <c r="G220" i="1" a="1"/>
  <c r="G220" i="1" s="1"/>
  <c r="BB220" i="1" a="1"/>
  <c r="BB220" i="1" s="1"/>
  <c r="BD220" i="1" a="1"/>
  <c r="BD220" i="1" s="1"/>
  <c r="BF220" i="1" a="1"/>
  <c r="BF220" i="1" s="1"/>
  <c r="AW220" i="1" a="1"/>
  <c r="AW220" i="1" s="1"/>
  <c r="AS220" i="1" a="1"/>
  <c r="AS220" i="1" s="1"/>
  <c r="F220" i="1" a="1"/>
  <c r="F220" i="1" s="1"/>
  <c r="H220" i="1" s="1"/>
  <c r="BA220" i="1" a="1"/>
  <c r="BA220" i="1" s="1"/>
  <c r="BE220" i="1" a="1"/>
  <c r="BE220" i="1" s="1"/>
  <c r="AV220" i="1" a="1"/>
  <c r="AV220" i="1" s="1"/>
  <c r="AH220" i="1" a="1"/>
  <c r="AH220" i="1" s="1"/>
  <c r="AJ220" i="1" a="1"/>
  <c r="AJ220" i="1" s="1"/>
  <c r="AL220" i="1" a="1"/>
  <c r="AL220" i="1" s="1"/>
  <c r="AD220" i="1" a="1"/>
  <c r="AD220" i="1" s="1"/>
  <c r="Z220" i="1" a="1"/>
  <c r="Z220" i="1" s="1"/>
  <c r="S220" i="1" a="1"/>
  <c r="S220" i="1" s="1"/>
  <c r="U220" i="1" a="1"/>
  <c r="U220" i="1" s="1"/>
  <c r="W220" i="1" a="1"/>
  <c r="W220" i="1" s="1"/>
  <c r="O220" i="1" a="1"/>
  <c r="O220" i="1" s="1"/>
  <c r="K220" i="1" a="1"/>
  <c r="K220" i="1" s="1"/>
  <c r="J220" i="1" a="1"/>
  <c r="J220" i="1" s="1"/>
  <c r="BC220" i="1" a="1"/>
  <c r="BC220" i="1" s="1"/>
  <c r="AR220" i="1" a="1"/>
  <c r="AR220" i="1" s="1"/>
  <c r="AI220" i="1" a="1"/>
  <c r="AI220" i="1" s="1"/>
  <c r="Y220" i="1" a="1"/>
  <c r="Y220" i="1" s="1"/>
  <c r="R220" i="1" a="1"/>
  <c r="R220" i="1" s="1"/>
  <c r="V220" i="1" a="1"/>
  <c r="V220" i="1" s="1"/>
  <c r="N220" i="1" a="1"/>
  <c r="N220" i="1" s="1"/>
  <c r="AG220" i="1" a="1"/>
  <c r="AG220" i="1" s="1"/>
  <c r="AK220" i="1" a="1"/>
  <c r="AK220" i="1" s="1"/>
  <c r="AC220" i="1" a="1"/>
  <c r="AC220" i="1" s="1"/>
  <c r="T220" i="1" a="1"/>
  <c r="T220" i="1" s="1"/>
  <c r="X219" i="1"/>
  <c r="AF219" i="1"/>
  <c r="I219" i="1"/>
  <c r="Q219" i="1" a="1"/>
  <c r="Q219" i="1" s="1"/>
  <c r="AO219" i="1" s="1"/>
  <c r="B221" i="1"/>
  <c r="A220" i="1"/>
  <c r="AZ220" i="1" l="1"/>
  <c r="D221" i="1"/>
  <c r="E221" i="1"/>
  <c r="C221" i="1"/>
  <c r="AZ221" i="1" s="1"/>
  <c r="AX220" i="1"/>
  <c r="AT220" i="1"/>
  <c r="P220" i="1"/>
  <c r="M220" i="1" s="1"/>
  <c r="AA220" i="1"/>
  <c r="L220" i="1"/>
  <c r="AE220" i="1"/>
  <c r="AB220" i="1" s="1"/>
  <c r="F221" i="1" a="1"/>
  <c r="F221" i="1" s="1"/>
  <c r="BB221" i="1" a="1"/>
  <c r="BB221" i="1" s="1"/>
  <c r="BD221" i="1" a="1"/>
  <c r="BD221" i="1" s="1"/>
  <c r="BF221" i="1" a="1"/>
  <c r="BF221" i="1" s="1"/>
  <c r="AV221" i="1" a="1"/>
  <c r="AV221" i="1" s="1"/>
  <c r="AR221" i="1" a="1"/>
  <c r="AR221" i="1" s="1"/>
  <c r="G221" i="1" a="1"/>
  <c r="G221" i="1" s="1"/>
  <c r="BC221" i="1" a="1"/>
  <c r="BC221" i="1" s="1"/>
  <c r="AW221" i="1" a="1"/>
  <c r="AW221" i="1" s="1"/>
  <c r="AX221" i="1" s="1"/>
  <c r="AH221" i="1" a="1"/>
  <c r="AH221" i="1" s="1"/>
  <c r="AJ221" i="1" a="1"/>
  <c r="AJ221" i="1" s="1"/>
  <c r="AL221" i="1" a="1"/>
  <c r="AL221" i="1" s="1"/>
  <c r="AC221" i="1" a="1"/>
  <c r="AC221" i="1" s="1"/>
  <c r="Y221" i="1" a="1"/>
  <c r="Y221" i="1" s="1"/>
  <c r="S221" i="1" a="1"/>
  <c r="S221" i="1" s="1"/>
  <c r="U221" i="1" a="1"/>
  <c r="U221" i="1" s="1"/>
  <c r="W221" i="1" a="1"/>
  <c r="W221" i="1" s="1"/>
  <c r="N221" i="1" a="1"/>
  <c r="N221" i="1" s="1"/>
  <c r="BA221" i="1" a="1"/>
  <c r="BA221" i="1" s="1"/>
  <c r="BE221" i="1" a="1"/>
  <c r="BE221" i="1" s="1"/>
  <c r="AS221" i="1" a="1"/>
  <c r="AS221" i="1" s="1"/>
  <c r="AG221" i="1" a="1"/>
  <c r="AG221" i="1" s="1"/>
  <c r="AK221" i="1" a="1"/>
  <c r="AK221" i="1" s="1"/>
  <c r="Z221" i="1" a="1"/>
  <c r="Z221" i="1" s="1"/>
  <c r="AA221" i="1" s="1"/>
  <c r="T221" i="1" a="1"/>
  <c r="T221" i="1" s="1"/>
  <c r="O221" i="1" a="1"/>
  <c r="O221" i="1" s="1"/>
  <c r="P221" i="1" s="1"/>
  <c r="M221" i="1" s="1"/>
  <c r="J221" i="1" a="1"/>
  <c r="J221" i="1" s="1"/>
  <c r="AI221" i="1" a="1"/>
  <c r="AI221" i="1" s="1"/>
  <c r="AD221" i="1" a="1"/>
  <c r="AD221" i="1" s="1"/>
  <c r="AE221" i="1" s="1"/>
  <c r="AB221" i="1" s="1"/>
  <c r="R221" i="1" a="1"/>
  <c r="R221" i="1" s="1"/>
  <c r="V221" i="1" a="1"/>
  <c r="V221" i="1" s="1"/>
  <c r="K221" i="1" a="1"/>
  <c r="K221" i="1" s="1"/>
  <c r="Q220" i="1" a="1"/>
  <c r="Q220" i="1" s="1"/>
  <c r="I220" i="1"/>
  <c r="X220" i="1"/>
  <c r="AF220" i="1"/>
  <c r="B222" i="1"/>
  <c r="A221" i="1"/>
  <c r="AT221" i="1" l="1"/>
  <c r="D222" i="1"/>
  <c r="E222" i="1"/>
  <c r="C222" i="1"/>
  <c r="L221" i="1"/>
  <c r="AY220" i="1"/>
  <c r="AO220" i="1"/>
  <c r="H221" i="1"/>
  <c r="G222" i="1" a="1"/>
  <c r="G222" i="1" s="1"/>
  <c r="BB222" i="1" a="1"/>
  <c r="BB222" i="1" s="1"/>
  <c r="BD222" i="1" a="1"/>
  <c r="BD222" i="1" s="1"/>
  <c r="BF222" i="1" a="1"/>
  <c r="BF222" i="1" s="1"/>
  <c r="AW222" i="1" a="1"/>
  <c r="AW222" i="1" s="1"/>
  <c r="AS222" i="1" a="1"/>
  <c r="AS222" i="1" s="1"/>
  <c r="BA222" i="1" a="1"/>
  <c r="BA222" i="1" s="1"/>
  <c r="BE222" i="1" a="1"/>
  <c r="BE222" i="1" s="1"/>
  <c r="AR222" i="1" a="1"/>
  <c r="AR222" i="1" s="1"/>
  <c r="AH222" i="1" a="1"/>
  <c r="AH222" i="1" s="1"/>
  <c r="AJ222" i="1" a="1"/>
  <c r="AJ222" i="1" s="1"/>
  <c r="AL222" i="1" a="1"/>
  <c r="AL222" i="1" s="1"/>
  <c r="AD222" i="1" a="1"/>
  <c r="AD222" i="1" s="1"/>
  <c r="Z222" i="1" a="1"/>
  <c r="Z222" i="1" s="1"/>
  <c r="S222" i="1" a="1"/>
  <c r="S222" i="1" s="1"/>
  <c r="U222" i="1" a="1"/>
  <c r="U222" i="1" s="1"/>
  <c r="W222" i="1" a="1"/>
  <c r="W222" i="1" s="1"/>
  <c r="O222" i="1" a="1"/>
  <c r="O222" i="1" s="1"/>
  <c r="K222" i="1" a="1"/>
  <c r="K222" i="1" s="1"/>
  <c r="J222" i="1" a="1"/>
  <c r="J222" i="1" s="1"/>
  <c r="F222" i="1" a="1"/>
  <c r="F222" i="1" s="1"/>
  <c r="H222" i="1" s="1"/>
  <c r="BC222" i="1" a="1"/>
  <c r="BC222" i="1" s="1"/>
  <c r="AV222" i="1" a="1"/>
  <c r="AV222" i="1" s="1"/>
  <c r="AI222" i="1" a="1"/>
  <c r="AI222" i="1" s="1"/>
  <c r="AC222" i="1" a="1"/>
  <c r="AC222" i="1" s="1"/>
  <c r="R222" i="1" a="1"/>
  <c r="R222" i="1" s="1"/>
  <c r="V222" i="1" a="1"/>
  <c r="V222" i="1" s="1"/>
  <c r="AG222" i="1" a="1"/>
  <c r="AG222" i="1" s="1"/>
  <c r="AK222" i="1" a="1"/>
  <c r="AK222" i="1" s="1"/>
  <c r="Y222" i="1" a="1"/>
  <c r="Y222" i="1" s="1"/>
  <c r="T222" i="1" a="1"/>
  <c r="T222" i="1" s="1"/>
  <c r="N222" i="1" a="1"/>
  <c r="N222" i="1" s="1"/>
  <c r="I221" i="1"/>
  <c r="Q221" i="1" a="1"/>
  <c r="Q221" i="1" s="1"/>
  <c r="X221" i="1"/>
  <c r="AF221" i="1"/>
  <c r="B223" i="1"/>
  <c r="A222" i="1"/>
  <c r="AZ222" i="1" l="1"/>
  <c r="AY221" i="1"/>
  <c r="D223" i="1"/>
  <c r="E223" i="1"/>
  <c r="C223" i="1"/>
  <c r="AX222" i="1"/>
  <c r="AT222" i="1"/>
  <c r="P222" i="1"/>
  <c r="M222" i="1" s="1"/>
  <c r="AA222" i="1"/>
  <c r="AO221" i="1"/>
  <c r="L222" i="1"/>
  <c r="AE222" i="1"/>
  <c r="AB222" i="1" s="1"/>
  <c r="F223" i="1" a="1"/>
  <c r="F223" i="1" s="1"/>
  <c r="BB223" i="1" a="1"/>
  <c r="BB223" i="1" s="1"/>
  <c r="BD223" i="1" a="1"/>
  <c r="BD223" i="1" s="1"/>
  <c r="BF223" i="1" a="1"/>
  <c r="BF223" i="1" s="1"/>
  <c r="AV223" i="1" a="1"/>
  <c r="AV223" i="1" s="1"/>
  <c r="AR223" i="1" a="1"/>
  <c r="AR223" i="1" s="1"/>
  <c r="BC223" i="1" a="1"/>
  <c r="BC223" i="1" s="1"/>
  <c r="AS223" i="1" a="1"/>
  <c r="AS223" i="1" s="1"/>
  <c r="AT223" i="1" s="1"/>
  <c r="AH223" i="1" a="1"/>
  <c r="AH223" i="1" s="1"/>
  <c r="AJ223" i="1" a="1"/>
  <c r="AJ223" i="1" s="1"/>
  <c r="AL223" i="1" a="1"/>
  <c r="AL223" i="1" s="1"/>
  <c r="AC223" i="1" a="1"/>
  <c r="AC223" i="1" s="1"/>
  <c r="Y223" i="1" a="1"/>
  <c r="Y223" i="1" s="1"/>
  <c r="S223" i="1" a="1"/>
  <c r="S223" i="1" s="1"/>
  <c r="U223" i="1" a="1"/>
  <c r="U223" i="1" s="1"/>
  <c r="W223" i="1" a="1"/>
  <c r="W223" i="1" s="1"/>
  <c r="N223" i="1" a="1"/>
  <c r="N223" i="1" s="1"/>
  <c r="G223" i="1" a="1"/>
  <c r="G223" i="1" s="1"/>
  <c r="BA223" i="1" a="1"/>
  <c r="BA223" i="1" s="1"/>
  <c r="BE223" i="1" a="1"/>
  <c r="BE223" i="1" s="1"/>
  <c r="AW223" i="1" a="1"/>
  <c r="AW223" i="1" s="1"/>
  <c r="AX223" i="1" s="1"/>
  <c r="AG223" i="1" a="1"/>
  <c r="AG223" i="1" s="1"/>
  <c r="AK223" i="1" a="1"/>
  <c r="AK223" i="1" s="1"/>
  <c r="AD223" i="1" a="1"/>
  <c r="AD223" i="1" s="1"/>
  <c r="AE223" i="1" s="1"/>
  <c r="AB223" i="1" s="1"/>
  <c r="T223" i="1" a="1"/>
  <c r="T223" i="1" s="1"/>
  <c r="K223" i="1" a="1"/>
  <c r="K223" i="1" s="1"/>
  <c r="AI223" i="1" a="1"/>
  <c r="AI223" i="1" s="1"/>
  <c r="Z223" i="1" a="1"/>
  <c r="Z223" i="1" s="1"/>
  <c r="R223" i="1" a="1"/>
  <c r="R223" i="1" s="1"/>
  <c r="V223" i="1" a="1"/>
  <c r="V223" i="1" s="1"/>
  <c r="O223" i="1" a="1"/>
  <c r="O223" i="1" s="1"/>
  <c r="J223" i="1" a="1"/>
  <c r="J223" i="1" s="1"/>
  <c r="Q222" i="1" a="1"/>
  <c r="Q222" i="1" s="1"/>
  <c r="I222" i="1"/>
  <c r="X222" i="1"/>
  <c r="AF222" i="1"/>
  <c r="B224" i="1"/>
  <c r="A223" i="1"/>
  <c r="P223" i="1" l="1"/>
  <c r="M223" i="1" s="1"/>
  <c r="D224" i="1"/>
  <c r="E224" i="1"/>
  <c r="C224" i="1"/>
  <c r="AZ224" i="1" s="1"/>
  <c r="AY222" i="1"/>
  <c r="AA223" i="1"/>
  <c r="AO222" i="1"/>
  <c r="H223" i="1"/>
  <c r="AY223" i="1" s="1"/>
  <c r="L223" i="1"/>
  <c r="G224" i="1" a="1"/>
  <c r="G224" i="1" s="1"/>
  <c r="BB224" i="1" a="1"/>
  <c r="BB224" i="1" s="1"/>
  <c r="BD224" i="1" a="1"/>
  <c r="BD224" i="1" s="1"/>
  <c r="BF224" i="1" a="1"/>
  <c r="BF224" i="1" s="1"/>
  <c r="AW224" i="1" a="1"/>
  <c r="AW224" i="1" s="1"/>
  <c r="AS224" i="1" a="1"/>
  <c r="AS224" i="1" s="1"/>
  <c r="F224" i="1" a="1"/>
  <c r="F224" i="1" s="1"/>
  <c r="H224" i="1" s="1"/>
  <c r="BA224" i="1" a="1"/>
  <c r="BA224" i="1" s="1"/>
  <c r="BE224" i="1" a="1"/>
  <c r="BE224" i="1" s="1"/>
  <c r="AV224" i="1" a="1"/>
  <c r="AV224" i="1" s="1"/>
  <c r="AH224" i="1" a="1"/>
  <c r="AH224" i="1" s="1"/>
  <c r="AJ224" i="1" a="1"/>
  <c r="AJ224" i="1" s="1"/>
  <c r="AL224" i="1" a="1"/>
  <c r="AL224" i="1" s="1"/>
  <c r="AD224" i="1" a="1"/>
  <c r="AD224" i="1" s="1"/>
  <c r="Z224" i="1" a="1"/>
  <c r="Z224" i="1" s="1"/>
  <c r="S224" i="1" a="1"/>
  <c r="S224" i="1" s="1"/>
  <c r="U224" i="1" a="1"/>
  <c r="U224" i="1" s="1"/>
  <c r="W224" i="1" a="1"/>
  <c r="W224" i="1" s="1"/>
  <c r="O224" i="1" a="1"/>
  <c r="O224" i="1" s="1"/>
  <c r="K224" i="1" a="1"/>
  <c r="K224" i="1" s="1"/>
  <c r="J224" i="1" a="1"/>
  <c r="J224" i="1" s="1"/>
  <c r="BC224" i="1" a="1"/>
  <c r="BC224" i="1" s="1"/>
  <c r="AI224" i="1" a="1"/>
  <c r="AI224" i="1" s="1"/>
  <c r="Y224" i="1" a="1"/>
  <c r="Y224" i="1" s="1"/>
  <c r="R224" i="1" a="1"/>
  <c r="R224" i="1" s="1"/>
  <c r="V224" i="1" a="1"/>
  <c r="V224" i="1" s="1"/>
  <c r="N224" i="1" a="1"/>
  <c r="N224" i="1" s="1"/>
  <c r="AR224" i="1" a="1"/>
  <c r="AR224" i="1" s="1"/>
  <c r="AG224" i="1" a="1"/>
  <c r="AG224" i="1" s="1"/>
  <c r="AK224" i="1" a="1"/>
  <c r="AK224" i="1" s="1"/>
  <c r="AC224" i="1" a="1"/>
  <c r="AC224" i="1" s="1"/>
  <c r="T224" i="1" a="1"/>
  <c r="T224" i="1" s="1"/>
  <c r="X223" i="1"/>
  <c r="AF223" i="1"/>
  <c r="I223" i="1"/>
  <c r="Q223" i="1" a="1"/>
  <c r="Q223" i="1" s="1"/>
  <c r="AO223" i="1" s="1"/>
  <c r="B225" i="1"/>
  <c r="A224" i="1"/>
  <c r="D225" i="1" l="1"/>
  <c r="E225" i="1"/>
  <c r="C225" i="1"/>
  <c r="AZ225" i="1" s="1"/>
  <c r="AT224" i="1"/>
  <c r="AX224" i="1"/>
  <c r="AA224" i="1"/>
  <c r="P224" i="1"/>
  <c r="M224" i="1" s="1"/>
  <c r="L224" i="1"/>
  <c r="AE224" i="1"/>
  <c r="AB224" i="1" s="1"/>
  <c r="F225" i="1" a="1"/>
  <c r="F225" i="1" s="1"/>
  <c r="BB225" i="1" a="1"/>
  <c r="BB225" i="1" s="1"/>
  <c r="BD225" i="1" a="1"/>
  <c r="BD225" i="1" s="1"/>
  <c r="BF225" i="1" a="1"/>
  <c r="BF225" i="1" s="1"/>
  <c r="AV225" i="1" a="1"/>
  <c r="AV225" i="1" s="1"/>
  <c r="AR225" i="1" a="1"/>
  <c r="AR225" i="1" s="1"/>
  <c r="G225" i="1" a="1"/>
  <c r="G225" i="1" s="1"/>
  <c r="BC225" i="1" a="1"/>
  <c r="BC225" i="1" s="1"/>
  <c r="AW225" i="1" a="1"/>
  <c r="AW225" i="1" s="1"/>
  <c r="AX225" i="1" s="1"/>
  <c r="AH225" i="1" a="1"/>
  <c r="AH225" i="1" s="1"/>
  <c r="AJ225" i="1" a="1"/>
  <c r="AJ225" i="1" s="1"/>
  <c r="AL225" i="1" a="1"/>
  <c r="AL225" i="1" s="1"/>
  <c r="AC225" i="1" a="1"/>
  <c r="AC225" i="1" s="1"/>
  <c r="Y225" i="1" a="1"/>
  <c r="Y225" i="1" s="1"/>
  <c r="S225" i="1" a="1"/>
  <c r="S225" i="1" s="1"/>
  <c r="U225" i="1" a="1"/>
  <c r="U225" i="1" s="1"/>
  <c r="W225" i="1" a="1"/>
  <c r="W225" i="1" s="1"/>
  <c r="N225" i="1" a="1"/>
  <c r="N225" i="1" s="1"/>
  <c r="BA225" i="1" a="1"/>
  <c r="BA225" i="1" s="1"/>
  <c r="BE225" i="1" a="1"/>
  <c r="BE225" i="1" s="1"/>
  <c r="AS225" i="1" a="1"/>
  <c r="AS225" i="1" s="1"/>
  <c r="AT225" i="1" s="1"/>
  <c r="AG225" i="1" a="1"/>
  <c r="AG225" i="1" s="1"/>
  <c r="AK225" i="1" a="1"/>
  <c r="AK225" i="1" s="1"/>
  <c r="Z225" i="1" a="1"/>
  <c r="Z225" i="1" s="1"/>
  <c r="AA225" i="1" s="1"/>
  <c r="T225" i="1" a="1"/>
  <c r="T225" i="1" s="1"/>
  <c r="O225" i="1" a="1"/>
  <c r="O225" i="1" s="1"/>
  <c r="P225" i="1" s="1"/>
  <c r="M225" i="1" s="1"/>
  <c r="J225" i="1" a="1"/>
  <c r="J225" i="1" s="1"/>
  <c r="AI225" i="1" a="1"/>
  <c r="AI225" i="1" s="1"/>
  <c r="AD225" i="1" a="1"/>
  <c r="AD225" i="1" s="1"/>
  <c r="AE225" i="1" s="1"/>
  <c r="AB225" i="1" s="1"/>
  <c r="R225" i="1" a="1"/>
  <c r="R225" i="1" s="1"/>
  <c r="V225" i="1" a="1"/>
  <c r="V225" i="1" s="1"/>
  <c r="K225" i="1" a="1"/>
  <c r="K225" i="1" s="1"/>
  <c r="Q224" i="1" a="1"/>
  <c r="Q224" i="1" s="1"/>
  <c r="I224" i="1"/>
  <c r="X224" i="1"/>
  <c r="AF224" i="1"/>
  <c r="B226" i="1"/>
  <c r="A225" i="1"/>
  <c r="D226" i="1" l="1"/>
  <c r="E226" i="1"/>
  <c r="C226" i="1"/>
  <c r="AY224" i="1"/>
  <c r="L225" i="1"/>
  <c r="AO224" i="1"/>
  <c r="H225" i="1"/>
  <c r="AY225" i="1" s="1"/>
  <c r="G226" i="1" a="1"/>
  <c r="G226" i="1" s="1"/>
  <c r="BB226" i="1" a="1"/>
  <c r="BB226" i="1" s="1"/>
  <c r="BD226" i="1" a="1"/>
  <c r="BD226" i="1" s="1"/>
  <c r="BF226" i="1" a="1"/>
  <c r="BF226" i="1" s="1"/>
  <c r="AW226" i="1" a="1"/>
  <c r="AW226" i="1" s="1"/>
  <c r="AS226" i="1" a="1"/>
  <c r="AS226" i="1" s="1"/>
  <c r="BA226" i="1" a="1"/>
  <c r="BA226" i="1" s="1"/>
  <c r="BE226" i="1" a="1"/>
  <c r="BE226" i="1" s="1"/>
  <c r="AR226" i="1" a="1"/>
  <c r="AR226" i="1" s="1"/>
  <c r="AH226" i="1" a="1"/>
  <c r="AH226" i="1" s="1"/>
  <c r="AJ226" i="1" a="1"/>
  <c r="AJ226" i="1" s="1"/>
  <c r="AL226" i="1" a="1"/>
  <c r="AL226" i="1" s="1"/>
  <c r="AD226" i="1" a="1"/>
  <c r="AD226" i="1" s="1"/>
  <c r="Z226" i="1" a="1"/>
  <c r="Z226" i="1" s="1"/>
  <c r="S226" i="1" a="1"/>
  <c r="S226" i="1" s="1"/>
  <c r="U226" i="1" a="1"/>
  <c r="U226" i="1" s="1"/>
  <c r="W226" i="1" a="1"/>
  <c r="W226" i="1" s="1"/>
  <c r="O226" i="1" a="1"/>
  <c r="O226" i="1" s="1"/>
  <c r="K226" i="1" a="1"/>
  <c r="K226" i="1" s="1"/>
  <c r="J226" i="1" a="1"/>
  <c r="J226" i="1" s="1"/>
  <c r="F226" i="1" a="1"/>
  <c r="F226" i="1" s="1"/>
  <c r="H226" i="1" s="1"/>
  <c r="BC226" i="1" a="1"/>
  <c r="BC226" i="1" s="1"/>
  <c r="AV226" i="1" a="1"/>
  <c r="AV226" i="1" s="1"/>
  <c r="AI226" i="1" a="1"/>
  <c r="AI226" i="1" s="1"/>
  <c r="AC226" i="1" a="1"/>
  <c r="AC226" i="1" s="1"/>
  <c r="R226" i="1" a="1"/>
  <c r="R226" i="1" s="1"/>
  <c r="V226" i="1" a="1"/>
  <c r="V226" i="1" s="1"/>
  <c r="AG226" i="1" a="1"/>
  <c r="AG226" i="1" s="1"/>
  <c r="AK226" i="1" a="1"/>
  <c r="AK226" i="1" s="1"/>
  <c r="Y226" i="1" a="1"/>
  <c r="Y226" i="1" s="1"/>
  <c r="T226" i="1" a="1"/>
  <c r="T226" i="1" s="1"/>
  <c r="N226" i="1" a="1"/>
  <c r="N226" i="1" s="1"/>
  <c r="I225" i="1"/>
  <c r="Q225" i="1" a="1"/>
  <c r="Q225" i="1" s="1"/>
  <c r="X225" i="1"/>
  <c r="AF225" i="1"/>
  <c r="B227" i="1"/>
  <c r="A226" i="1"/>
  <c r="D227" i="1" l="1"/>
  <c r="E227" i="1"/>
  <c r="C227" i="1"/>
  <c r="AZ227" i="1" s="1"/>
  <c r="AT226" i="1"/>
  <c r="AX226" i="1"/>
  <c r="P226" i="1"/>
  <c r="M226" i="1" s="1"/>
  <c r="AO225" i="1"/>
  <c r="AA226" i="1"/>
  <c r="L226" i="1"/>
  <c r="AE226" i="1"/>
  <c r="AB226" i="1" s="1"/>
  <c r="F227" i="1" a="1"/>
  <c r="F227" i="1" s="1"/>
  <c r="BB227" i="1" a="1"/>
  <c r="BB227" i="1" s="1"/>
  <c r="BD227" i="1" a="1"/>
  <c r="BD227" i="1" s="1"/>
  <c r="BF227" i="1" a="1"/>
  <c r="BF227" i="1" s="1"/>
  <c r="AV227" i="1" a="1"/>
  <c r="AV227" i="1" s="1"/>
  <c r="AR227" i="1" a="1"/>
  <c r="AR227" i="1" s="1"/>
  <c r="BC227" i="1" a="1"/>
  <c r="BC227" i="1" s="1"/>
  <c r="AS227" i="1" a="1"/>
  <c r="AS227" i="1" s="1"/>
  <c r="AT227" i="1" s="1"/>
  <c r="AH227" i="1" a="1"/>
  <c r="AH227" i="1" s="1"/>
  <c r="AJ227" i="1" a="1"/>
  <c r="AJ227" i="1" s="1"/>
  <c r="AL227" i="1" a="1"/>
  <c r="AL227" i="1" s="1"/>
  <c r="AC227" i="1" a="1"/>
  <c r="AC227" i="1" s="1"/>
  <c r="Y227" i="1" a="1"/>
  <c r="Y227" i="1" s="1"/>
  <c r="S227" i="1" a="1"/>
  <c r="S227" i="1" s="1"/>
  <c r="U227" i="1" a="1"/>
  <c r="U227" i="1" s="1"/>
  <c r="W227" i="1" a="1"/>
  <c r="W227" i="1" s="1"/>
  <c r="N227" i="1" a="1"/>
  <c r="N227" i="1" s="1"/>
  <c r="G227" i="1" a="1"/>
  <c r="G227" i="1" s="1"/>
  <c r="BA227" i="1" a="1"/>
  <c r="BA227" i="1" s="1"/>
  <c r="BE227" i="1" a="1"/>
  <c r="BE227" i="1" s="1"/>
  <c r="AW227" i="1" a="1"/>
  <c r="AW227" i="1" s="1"/>
  <c r="AX227" i="1" s="1"/>
  <c r="AG227" i="1" a="1"/>
  <c r="AG227" i="1" s="1"/>
  <c r="AK227" i="1" a="1"/>
  <c r="AK227" i="1" s="1"/>
  <c r="AD227" i="1" a="1"/>
  <c r="AD227" i="1" s="1"/>
  <c r="AE227" i="1" s="1"/>
  <c r="AB227" i="1" s="1"/>
  <c r="T227" i="1" a="1"/>
  <c r="T227" i="1" s="1"/>
  <c r="K227" i="1" a="1"/>
  <c r="K227" i="1" s="1"/>
  <c r="AI227" i="1" a="1"/>
  <c r="AI227" i="1" s="1"/>
  <c r="Z227" i="1" a="1"/>
  <c r="Z227" i="1" s="1"/>
  <c r="R227" i="1" a="1"/>
  <c r="R227" i="1" s="1"/>
  <c r="V227" i="1" a="1"/>
  <c r="V227" i="1" s="1"/>
  <c r="O227" i="1" a="1"/>
  <c r="O227" i="1" s="1"/>
  <c r="J227" i="1" a="1"/>
  <c r="J227" i="1" s="1"/>
  <c r="Q226" i="1" a="1"/>
  <c r="Q226" i="1" s="1"/>
  <c r="I226" i="1"/>
  <c r="X226" i="1"/>
  <c r="AF226" i="1"/>
  <c r="B228" i="1"/>
  <c r="A227" i="1"/>
  <c r="D228" i="1" l="1"/>
  <c r="E228" i="1"/>
  <c r="C228" i="1"/>
  <c r="AZ228" i="1" s="1"/>
  <c r="AY226" i="1"/>
  <c r="P227" i="1"/>
  <c r="M227" i="1" s="1"/>
  <c r="AA227" i="1"/>
  <c r="AO226" i="1"/>
  <c r="H227" i="1"/>
  <c r="AY227" i="1" s="1"/>
  <c r="L227" i="1"/>
  <c r="G228" i="1" a="1"/>
  <c r="G228" i="1" s="1"/>
  <c r="BB228" i="1" a="1"/>
  <c r="BB228" i="1" s="1"/>
  <c r="BD228" i="1" a="1"/>
  <c r="BD228" i="1" s="1"/>
  <c r="BF228" i="1" a="1"/>
  <c r="BF228" i="1" s="1"/>
  <c r="AW228" i="1" a="1"/>
  <c r="AW228" i="1" s="1"/>
  <c r="AS228" i="1" a="1"/>
  <c r="AS228" i="1" s="1"/>
  <c r="F228" i="1" a="1"/>
  <c r="F228" i="1" s="1"/>
  <c r="H228" i="1" s="1"/>
  <c r="BA228" i="1" a="1"/>
  <c r="BA228" i="1" s="1"/>
  <c r="BE228" i="1" a="1"/>
  <c r="BE228" i="1" s="1"/>
  <c r="AV228" i="1" a="1"/>
  <c r="AV228" i="1" s="1"/>
  <c r="AH228" i="1" a="1"/>
  <c r="AH228" i="1" s="1"/>
  <c r="AJ228" i="1" a="1"/>
  <c r="AJ228" i="1" s="1"/>
  <c r="AL228" i="1" a="1"/>
  <c r="AL228" i="1" s="1"/>
  <c r="AD228" i="1" a="1"/>
  <c r="AD228" i="1" s="1"/>
  <c r="Z228" i="1" a="1"/>
  <c r="Z228" i="1" s="1"/>
  <c r="S228" i="1" a="1"/>
  <c r="S228" i="1" s="1"/>
  <c r="U228" i="1" a="1"/>
  <c r="U228" i="1" s="1"/>
  <c r="W228" i="1" a="1"/>
  <c r="W228" i="1" s="1"/>
  <c r="O228" i="1" a="1"/>
  <c r="O228" i="1" s="1"/>
  <c r="K228" i="1" a="1"/>
  <c r="K228" i="1" s="1"/>
  <c r="J228" i="1" a="1"/>
  <c r="J228" i="1" s="1"/>
  <c r="BC228" i="1" a="1"/>
  <c r="BC228" i="1" s="1"/>
  <c r="AR228" i="1" a="1"/>
  <c r="AR228" i="1" s="1"/>
  <c r="AI228" i="1" a="1"/>
  <c r="AI228" i="1" s="1"/>
  <c r="Y228" i="1" a="1"/>
  <c r="Y228" i="1" s="1"/>
  <c r="R228" i="1" a="1"/>
  <c r="R228" i="1" s="1"/>
  <c r="V228" i="1" a="1"/>
  <c r="V228" i="1" s="1"/>
  <c r="N228" i="1" a="1"/>
  <c r="N228" i="1" s="1"/>
  <c r="AG228" i="1" a="1"/>
  <c r="AG228" i="1" s="1"/>
  <c r="AK228" i="1" a="1"/>
  <c r="AK228" i="1" s="1"/>
  <c r="AC228" i="1" a="1"/>
  <c r="AC228" i="1" s="1"/>
  <c r="T228" i="1" a="1"/>
  <c r="T228" i="1" s="1"/>
  <c r="X227" i="1"/>
  <c r="AF227" i="1"/>
  <c r="I227" i="1"/>
  <c r="Q227" i="1" a="1"/>
  <c r="Q227" i="1" s="1"/>
  <c r="AO227" i="1" s="1"/>
  <c r="B229" i="1"/>
  <c r="A228" i="1"/>
  <c r="AZ226" i="1" l="1"/>
  <c r="D229" i="1"/>
  <c r="E229" i="1"/>
  <c r="C229" i="1"/>
  <c r="P228" i="1"/>
  <c r="M228" i="1" s="1"/>
  <c r="AX228" i="1"/>
  <c r="AT228" i="1"/>
  <c r="AA228" i="1"/>
  <c r="L228" i="1"/>
  <c r="AE228" i="1"/>
  <c r="AB228" i="1" s="1"/>
  <c r="F229" i="1" a="1"/>
  <c r="F229" i="1" s="1"/>
  <c r="BB229" i="1" a="1"/>
  <c r="BB229" i="1" s="1"/>
  <c r="BD229" i="1" a="1"/>
  <c r="BD229" i="1" s="1"/>
  <c r="BF229" i="1" a="1"/>
  <c r="BF229" i="1" s="1"/>
  <c r="AV229" i="1" a="1"/>
  <c r="AV229" i="1" s="1"/>
  <c r="AR229" i="1" a="1"/>
  <c r="AR229" i="1" s="1"/>
  <c r="G229" i="1" a="1"/>
  <c r="G229" i="1" s="1"/>
  <c r="BC229" i="1" a="1"/>
  <c r="BC229" i="1" s="1"/>
  <c r="AW229" i="1" a="1"/>
  <c r="AW229" i="1" s="1"/>
  <c r="AX229" i="1" s="1"/>
  <c r="AH229" i="1" a="1"/>
  <c r="AH229" i="1" s="1"/>
  <c r="AJ229" i="1" a="1"/>
  <c r="AJ229" i="1" s="1"/>
  <c r="AL229" i="1" a="1"/>
  <c r="AL229" i="1" s="1"/>
  <c r="AC229" i="1" a="1"/>
  <c r="AC229" i="1" s="1"/>
  <c r="Y229" i="1" a="1"/>
  <c r="Y229" i="1" s="1"/>
  <c r="S229" i="1" a="1"/>
  <c r="S229" i="1" s="1"/>
  <c r="U229" i="1" a="1"/>
  <c r="U229" i="1" s="1"/>
  <c r="W229" i="1" a="1"/>
  <c r="W229" i="1" s="1"/>
  <c r="N229" i="1" a="1"/>
  <c r="N229" i="1" s="1"/>
  <c r="BA229" i="1" a="1"/>
  <c r="BA229" i="1" s="1"/>
  <c r="BE229" i="1" a="1"/>
  <c r="BE229" i="1" s="1"/>
  <c r="AS229" i="1" a="1"/>
  <c r="AS229" i="1" s="1"/>
  <c r="AG229" i="1" a="1"/>
  <c r="AG229" i="1" s="1"/>
  <c r="AK229" i="1" a="1"/>
  <c r="AK229" i="1" s="1"/>
  <c r="Z229" i="1" a="1"/>
  <c r="Z229" i="1" s="1"/>
  <c r="AA229" i="1" s="1"/>
  <c r="T229" i="1" a="1"/>
  <c r="T229" i="1" s="1"/>
  <c r="O229" i="1" a="1"/>
  <c r="O229" i="1" s="1"/>
  <c r="P229" i="1" s="1"/>
  <c r="M229" i="1" s="1"/>
  <c r="J229" i="1" a="1"/>
  <c r="J229" i="1" s="1"/>
  <c r="AI229" i="1" a="1"/>
  <c r="AI229" i="1" s="1"/>
  <c r="AD229" i="1" a="1"/>
  <c r="AD229" i="1" s="1"/>
  <c r="AE229" i="1" s="1"/>
  <c r="AB229" i="1" s="1"/>
  <c r="R229" i="1" a="1"/>
  <c r="R229" i="1" s="1"/>
  <c r="V229" i="1" a="1"/>
  <c r="V229" i="1" s="1"/>
  <c r="K229" i="1" a="1"/>
  <c r="K229" i="1" s="1"/>
  <c r="Q228" i="1" a="1"/>
  <c r="Q228" i="1" s="1"/>
  <c r="I228" i="1"/>
  <c r="X228" i="1"/>
  <c r="AF228" i="1"/>
  <c r="B230" i="1"/>
  <c r="A229" i="1"/>
  <c r="AZ229" i="1" l="1"/>
  <c r="AT229" i="1"/>
  <c r="AY228" i="1"/>
  <c r="D230" i="1"/>
  <c r="E230" i="1"/>
  <c r="C230" i="1"/>
  <c r="AZ230" i="1" s="1"/>
  <c r="AO228" i="1"/>
  <c r="H229" i="1"/>
  <c r="AY229" i="1" s="1"/>
  <c r="L229" i="1"/>
  <c r="G230" i="1" a="1"/>
  <c r="G230" i="1" s="1"/>
  <c r="BB230" i="1" a="1"/>
  <c r="BB230" i="1" s="1"/>
  <c r="BD230" i="1" a="1"/>
  <c r="BD230" i="1" s="1"/>
  <c r="BF230" i="1" a="1"/>
  <c r="BF230" i="1" s="1"/>
  <c r="AW230" i="1" a="1"/>
  <c r="AW230" i="1" s="1"/>
  <c r="AS230" i="1" a="1"/>
  <c r="AS230" i="1" s="1"/>
  <c r="BA230" i="1" a="1"/>
  <c r="BA230" i="1" s="1"/>
  <c r="BE230" i="1" a="1"/>
  <c r="BE230" i="1" s="1"/>
  <c r="AR230" i="1" a="1"/>
  <c r="AR230" i="1" s="1"/>
  <c r="AH230" i="1" a="1"/>
  <c r="AH230" i="1" s="1"/>
  <c r="AJ230" i="1" a="1"/>
  <c r="AJ230" i="1" s="1"/>
  <c r="AL230" i="1" a="1"/>
  <c r="AL230" i="1" s="1"/>
  <c r="AD230" i="1" a="1"/>
  <c r="AD230" i="1" s="1"/>
  <c r="Z230" i="1" a="1"/>
  <c r="Z230" i="1" s="1"/>
  <c r="S230" i="1" a="1"/>
  <c r="S230" i="1" s="1"/>
  <c r="U230" i="1" a="1"/>
  <c r="U230" i="1" s="1"/>
  <c r="W230" i="1" a="1"/>
  <c r="W230" i="1" s="1"/>
  <c r="O230" i="1" a="1"/>
  <c r="O230" i="1" s="1"/>
  <c r="K230" i="1" a="1"/>
  <c r="K230" i="1" s="1"/>
  <c r="J230" i="1" a="1"/>
  <c r="J230" i="1" s="1"/>
  <c r="F230" i="1" a="1"/>
  <c r="F230" i="1" s="1"/>
  <c r="H230" i="1" s="1"/>
  <c r="BC230" i="1" a="1"/>
  <c r="BC230" i="1" s="1"/>
  <c r="AV230" i="1" a="1"/>
  <c r="AV230" i="1" s="1"/>
  <c r="AI230" i="1" a="1"/>
  <c r="AI230" i="1" s="1"/>
  <c r="AC230" i="1" a="1"/>
  <c r="AC230" i="1" s="1"/>
  <c r="R230" i="1" a="1"/>
  <c r="R230" i="1" s="1"/>
  <c r="V230" i="1" a="1"/>
  <c r="V230" i="1" s="1"/>
  <c r="AG230" i="1" a="1"/>
  <c r="AG230" i="1" s="1"/>
  <c r="AK230" i="1" a="1"/>
  <c r="AK230" i="1" s="1"/>
  <c r="Y230" i="1" a="1"/>
  <c r="Y230" i="1" s="1"/>
  <c r="T230" i="1" a="1"/>
  <c r="T230" i="1" s="1"/>
  <c r="N230" i="1" a="1"/>
  <c r="N230" i="1" s="1"/>
  <c r="I229" i="1"/>
  <c r="Q229" i="1" a="1"/>
  <c r="Q229" i="1" s="1"/>
  <c r="X229" i="1"/>
  <c r="AF229" i="1"/>
  <c r="B231" i="1"/>
  <c r="A230" i="1"/>
  <c r="D231" i="1" l="1"/>
  <c r="E231" i="1"/>
  <c r="C231" i="1"/>
  <c r="AZ231" i="1" s="1"/>
  <c r="AT230" i="1"/>
  <c r="AX230" i="1"/>
  <c r="L230" i="1"/>
  <c r="AO229" i="1"/>
  <c r="P230" i="1"/>
  <c r="M230" i="1" s="1"/>
  <c r="AA230" i="1"/>
  <c r="AE230" i="1"/>
  <c r="AB230" i="1" s="1"/>
  <c r="F231" i="1" a="1"/>
  <c r="F231" i="1" s="1"/>
  <c r="BB231" i="1" a="1"/>
  <c r="BB231" i="1" s="1"/>
  <c r="BD231" i="1" a="1"/>
  <c r="BD231" i="1" s="1"/>
  <c r="BF231" i="1" a="1"/>
  <c r="BF231" i="1" s="1"/>
  <c r="AV231" i="1" a="1"/>
  <c r="AV231" i="1" s="1"/>
  <c r="AR231" i="1" a="1"/>
  <c r="AR231" i="1" s="1"/>
  <c r="BC231" i="1" a="1"/>
  <c r="BC231" i="1" s="1"/>
  <c r="AS231" i="1" a="1"/>
  <c r="AS231" i="1" s="1"/>
  <c r="AT231" i="1" s="1"/>
  <c r="AH231" i="1" a="1"/>
  <c r="AH231" i="1" s="1"/>
  <c r="AJ231" i="1" a="1"/>
  <c r="AJ231" i="1" s="1"/>
  <c r="AL231" i="1" a="1"/>
  <c r="AL231" i="1" s="1"/>
  <c r="AC231" i="1" a="1"/>
  <c r="AC231" i="1" s="1"/>
  <c r="Y231" i="1" a="1"/>
  <c r="Y231" i="1" s="1"/>
  <c r="S231" i="1" a="1"/>
  <c r="S231" i="1" s="1"/>
  <c r="U231" i="1" a="1"/>
  <c r="U231" i="1" s="1"/>
  <c r="W231" i="1" a="1"/>
  <c r="W231" i="1" s="1"/>
  <c r="N231" i="1" a="1"/>
  <c r="N231" i="1" s="1"/>
  <c r="G231" i="1" a="1"/>
  <c r="G231" i="1" s="1"/>
  <c r="BA231" i="1" a="1"/>
  <c r="BA231" i="1" s="1"/>
  <c r="BE231" i="1" a="1"/>
  <c r="BE231" i="1" s="1"/>
  <c r="AW231" i="1" a="1"/>
  <c r="AW231" i="1" s="1"/>
  <c r="AG231" i="1" a="1"/>
  <c r="AG231" i="1" s="1"/>
  <c r="AK231" i="1" a="1"/>
  <c r="AK231" i="1" s="1"/>
  <c r="AD231" i="1" a="1"/>
  <c r="AD231" i="1" s="1"/>
  <c r="AE231" i="1" s="1"/>
  <c r="AB231" i="1" s="1"/>
  <c r="T231" i="1" a="1"/>
  <c r="T231" i="1" s="1"/>
  <c r="K231" i="1" a="1"/>
  <c r="K231" i="1" s="1"/>
  <c r="AI231" i="1" a="1"/>
  <c r="AI231" i="1" s="1"/>
  <c r="Z231" i="1" a="1"/>
  <c r="Z231" i="1" s="1"/>
  <c r="R231" i="1" a="1"/>
  <c r="R231" i="1" s="1"/>
  <c r="V231" i="1" a="1"/>
  <c r="V231" i="1" s="1"/>
  <c r="O231" i="1" a="1"/>
  <c r="O231" i="1" s="1"/>
  <c r="P231" i="1" s="1"/>
  <c r="M231" i="1" s="1"/>
  <c r="J231" i="1" a="1"/>
  <c r="J231" i="1" s="1"/>
  <c r="Q230" i="1" a="1"/>
  <c r="Q230" i="1" s="1"/>
  <c r="I230" i="1"/>
  <c r="X230" i="1"/>
  <c r="AF230" i="1"/>
  <c r="B232" i="1"/>
  <c r="A231" i="1"/>
  <c r="D232" i="1" l="1"/>
  <c r="E232" i="1"/>
  <c r="C232" i="1"/>
  <c r="AZ232" i="1" s="1"/>
  <c r="AX231" i="1"/>
  <c r="AO230" i="1"/>
  <c r="AY230" i="1"/>
  <c r="AA231" i="1"/>
  <c r="L231" i="1"/>
  <c r="H231" i="1"/>
  <c r="G232" i="1" a="1"/>
  <c r="G232" i="1" s="1"/>
  <c r="BB232" i="1" a="1"/>
  <c r="BB232" i="1" s="1"/>
  <c r="BD232" i="1" a="1"/>
  <c r="BD232" i="1" s="1"/>
  <c r="BF232" i="1" a="1"/>
  <c r="BF232" i="1" s="1"/>
  <c r="AW232" i="1" a="1"/>
  <c r="AW232" i="1" s="1"/>
  <c r="AS232" i="1" a="1"/>
  <c r="AS232" i="1" s="1"/>
  <c r="F232" i="1" a="1"/>
  <c r="F232" i="1" s="1"/>
  <c r="H232" i="1" s="1"/>
  <c r="BA232" i="1" a="1"/>
  <c r="BA232" i="1" s="1"/>
  <c r="BE232" i="1" a="1"/>
  <c r="BE232" i="1" s="1"/>
  <c r="AV232" i="1" a="1"/>
  <c r="AV232" i="1" s="1"/>
  <c r="AH232" i="1" a="1"/>
  <c r="AH232" i="1" s="1"/>
  <c r="AJ232" i="1" a="1"/>
  <c r="AJ232" i="1" s="1"/>
  <c r="AL232" i="1" a="1"/>
  <c r="AL232" i="1" s="1"/>
  <c r="AD232" i="1" a="1"/>
  <c r="AD232" i="1" s="1"/>
  <c r="Z232" i="1" a="1"/>
  <c r="Z232" i="1" s="1"/>
  <c r="S232" i="1" a="1"/>
  <c r="S232" i="1" s="1"/>
  <c r="U232" i="1" a="1"/>
  <c r="U232" i="1" s="1"/>
  <c r="W232" i="1" a="1"/>
  <c r="W232" i="1" s="1"/>
  <c r="O232" i="1" a="1"/>
  <c r="O232" i="1" s="1"/>
  <c r="K232" i="1" a="1"/>
  <c r="K232" i="1" s="1"/>
  <c r="J232" i="1" a="1"/>
  <c r="J232" i="1" s="1"/>
  <c r="BC232" i="1" a="1"/>
  <c r="BC232" i="1" s="1"/>
  <c r="AI232" i="1" a="1"/>
  <c r="AI232" i="1" s="1"/>
  <c r="Y232" i="1" a="1"/>
  <c r="Y232" i="1" s="1"/>
  <c r="R232" i="1" a="1"/>
  <c r="R232" i="1" s="1"/>
  <c r="V232" i="1" a="1"/>
  <c r="V232" i="1" s="1"/>
  <c r="N232" i="1" a="1"/>
  <c r="N232" i="1" s="1"/>
  <c r="AR232" i="1" a="1"/>
  <c r="AR232" i="1" s="1"/>
  <c r="AG232" i="1" a="1"/>
  <c r="AG232" i="1" s="1"/>
  <c r="AK232" i="1" a="1"/>
  <c r="AK232" i="1" s="1"/>
  <c r="AC232" i="1" a="1"/>
  <c r="AC232" i="1" s="1"/>
  <c r="T232" i="1" a="1"/>
  <c r="T232" i="1" s="1"/>
  <c r="X231" i="1"/>
  <c r="AF231" i="1"/>
  <c r="I231" i="1"/>
  <c r="Q231" i="1" a="1"/>
  <c r="Q231" i="1" s="1"/>
  <c r="AO231" i="1" s="1"/>
  <c r="B233" i="1"/>
  <c r="A232" i="1"/>
  <c r="AY231" i="1" l="1"/>
  <c r="D233" i="1"/>
  <c r="E233" i="1"/>
  <c r="C233" i="1"/>
  <c r="L232" i="1"/>
  <c r="AT232" i="1"/>
  <c r="AX232" i="1"/>
  <c r="AE232" i="1"/>
  <c r="AB232" i="1" s="1"/>
  <c r="P232" i="1"/>
  <c r="M232" i="1" s="1"/>
  <c r="AA232" i="1"/>
  <c r="F233" i="1" a="1"/>
  <c r="F233" i="1" s="1"/>
  <c r="BB233" i="1" a="1"/>
  <c r="BB233" i="1" s="1"/>
  <c r="BD233" i="1" a="1"/>
  <c r="BD233" i="1" s="1"/>
  <c r="BF233" i="1" a="1"/>
  <c r="BF233" i="1" s="1"/>
  <c r="AV233" i="1" a="1"/>
  <c r="AV233" i="1" s="1"/>
  <c r="AR233" i="1" a="1"/>
  <c r="AR233" i="1" s="1"/>
  <c r="G233" i="1" a="1"/>
  <c r="G233" i="1" s="1"/>
  <c r="BC233" i="1" a="1"/>
  <c r="BC233" i="1" s="1"/>
  <c r="AW233" i="1" a="1"/>
  <c r="AW233" i="1" s="1"/>
  <c r="AX233" i="1" s="1"/>
  <c r="AH233" i="1" a="1"/>
  <c r="AH233" i="1" s="1"/>
  <c r="AJ233" i="1" a="1"/>
  <c r="AJ233" i="1" s="1"/>
  <c r="AL233" i="1" a="1"/>
  <c r="AL233" i="1" s="1"/>
  <c r="AC233" i="1" a="1"/>
  <c r="AC233" i="1" s="1"/>
  <c r="Y233" i="1" a="1"/>
  <c r="Y233" i="1" s="1"/>
  <c r="S233" i="1" a="1"/>
  <c r="S233" i="1" s="1"/>
  <c r="U233" i="1" a="1"/>
  <c r="U233" i="1" s="1"/>
  <c r="W233" i="1" a="1"/>
  <c r="W233" i="1" s="1"/>
  <c r="N233" i="1" a="1"/>
  <c r="N233" i="1" s="1"/>
  <c r="BA233" i="1" a="1"/>
  <c r="BA233" i="1" s="1"/>
  <c r="BE233" i="1" a="1"/>
  <c r="BE233" i="1" s="1"/>
  <c r="AS233" i="1" a="1"/>
  <c r="AS233" i="1" s="1"/>
  <c r="AG233" i="1" a="1"/>
  <c r="AG233" i="1" s="1"/>
  <c r="AK233" i="1" a="1"/>
  <c r="AK233" i="1" s="1"/>
  <c r="Z233" i="1" a="1"/>
  <c r="Z233" i="1" s="1"/>
  <c r="T233" i="1" a="1"/>
  <c r="T233" i="1" s="1"/>
  <c r="O233" i="1" a="1"/>
  <c r="O233" i="1" s="1"/>
  <c r="P233" i="1" s="1"/>
  <c r="M233" i="1" s="1"/>
  <c r="J233" i="1" a="1"/>
  <c r="J233" i="1" s="1"/>
  <c r="AI233" i="1" a="1"/>
  <c r="AI233" i="1" s="1"/>
  <c r="AD233" i="1" a="1"/>
  <c r="AD233" i="1" s="1"/>
  <c r="AE233" i="1" s="1"/>
  <c r="AB233" i="1" s="1"/>
  <c r="R233" i="1" a="1"/>
  <c r="R233" i="1" s="1"/>
  <c r="V233" i="1" a="1"/>
  <c r="V233" i="1" s="1"/>
  <c r="K233" i="1" a="1"/>
  <c r="K233" i="1" s="1"/>
  <c r="Q232" i="1" a="1"/>
  <c r="Q232" i="1" s="1"/>
  <c r="I232" i="1"/>
  <c r="X232" i="1"/>
  <c r="AF232" i="1"/>
  <c r="B234" i="1"/>
  <c r="A233" i="1"/>
  <c r="AZ233" i="1" l="1"/>
  <c r="AT233" i="1"/>
  <c r="D234" i="1"/>
  <c r="E234" i="1"/>
  <c r="C234" i="1"/>
  <c r="AZ234" i="1" s="1"/>
  <c r="AY232" i="1"/>
  <c r="AA233" i="1"/>
  <c r="L233" i="1"/>
  <c r="AO232" i="1"/>
  <c r="H233" i="1"/>
  <c r="AY233" i="1" s="1"/>
  <c r="G234" i="1" a="1"/>
  <c r="G234" i="1" s="1"/>
  <c r="BB234" i="1" a="1"/>
  <c r="BB234" i="1" s="1"/>
  <c r="BD234" i="1" a="1"/>
  <c r="BD234" i="1" s="1"/>
  <c r="BF234" i="1" a="1"/>
  <c r="BF234" i="1" s="1"/>
  <c r="AW234" i="1" a="1"/>
  <c r="AW234" i="1" s="1"/>
  <c r="AS234" i="1" a="1"/>
  <c r="AS234" i="1" s="1"/>
  <c r="BA234" i="1" a="1"/>
  <c r="BA234" i="1" s="1"/>
  <c r="BE234" i="1" a="1"/>
  <c r="BE234" i="1" s="1"/>
  <c r="AR234" i="1" a="1"/>
  <c r="AR234" i="1" s="1"/>
  <c r="AH234" i="1" a="1"/>
  <c r="AH234" i="1" s="1"/>
  <c r="AJ234" i="1" a="1"/>
  <c r="AJ234" i="1" s="1"/>
  <c r="AL234" i="1" a="1"/>
  <c r="AL234" i="1" s="1"/>
  <c r="AD234" i="1" a="1"/>
  <c r="AD234" i="1" s="1"/>
  <c r="Z234" i="1" a="1"/>
  <c r="Z234" i="1" s="1"/>
  <c r="S234" i="1" a="1"/>
  <c r="S234" i="1" s="1"/>
  <c r="U234" i="1" a="1"/>
  <c r="U234" i="1" s="1"/>
  <c r="W234" i="1" a="1"/>
  <c r="W234" i="1" s="1"/>
  <c r="O234" i="1" a="1"/>
  <c r="O234" i="1" s="1"/>
  <c r="K234" i="1" a="1"/>
  <c r="K234" i="1" s="1"/>
  <c r="J234" i="1" a="1"/>
  <c r="J234" i="1" s="1"/>
  <c r="F234" i="1" a="1"/>
  <c r="F234" i="1" s="1"/>
  <c r="H234" i="1" s="1"/>
  <c r="BC234" i="1" a="1"/>
  <c r="BC234" i="1" s="1"/>
  <c r="AV234" i="1" a="1"/>
  <c r="AV234" i="1" s="1"/>
  <c r="AI234" i="1" a="1"/>
  <c r="AI234" i="1" s="1"/>
  <c r="AC234" i="1" a="1"/>
  <c r="AC234" i="1" s="1"/>
  <c r="R234" i="1" a="1"/>
  <c r="R234" i="1" s="1"/>
  <c r="V234" i="1" a="1"/>
  <c r="V234" i="1" s="1"/>
  <c r="AG234" i="1" a="1"/>
  <c r="AG234" i="1" s="1"/>
  <c r="AK234" i="1" a="1"/>
  <c r="AK234" i="1" s="1"/>
  <c r="Y234" i="1" a="1"/>
  <c r="Y234" i="1" s="1"/>
  <c r="T234" i="1" a="1"/>
  <c r="T234" i="1" s="1"/>
  <c r="N234" i="1" a="1"/>
  <c r="N234" i="1" s="1"/>
  <c r="I233" i="1"/>
  <c r="Q233" i="1" a="1"/>
  <c r="Q233" i="1" s="1"/>
  <c r="X233" i="1"/>
  <c r="AF233" i="1"/>
  <c r="B235" i="1"/>
  <c r="A234" i="1"/>
  <c r="D235" i="1" l="1"/>
  <c r="E235" i="1"/>
  <c r="C235" i="1"/>
  <c r="AZ235" i="1" s="1"/>
  <c r="L234" i="1"/>
  <c r="AX234" i="1"/>
  <c r="AT234" i="1"/>
  <c r="AE234" i="1"/>
  <c r="AB234" i="1" s="1"/>
  <c r="AO233" i="1"/>
  <c r="P234" i="1"/>
  <c r="M234" i="1" s="1"/>
  <c r="AA234" i="1"/>
  <c r="F235" i="1" a="1"/>
  <c r="F235" i="1" s="1"/>
  <c r="BB235" i="1" a="1"/>
  <c r="BB235" i="1" s="1"/>
  <c r="BD235" i="1" a="1"/>
  <c r="BD235" i="1" s="1"/>
  <c r="BF235" i="1" a="1"/>
  <c r="BF235" i="1" s="1"/>
  <c r="AV235" i="1" a="1"/>
  <c r="AV235" i="1" s="1"/>
  <c r="AR235" i="1" a="1"/>
  <c r="AR235" i="1" s="1"/>
  <c r="BC235" i="1" a="1"/>
  <c r="BC235" i="1" s="1"/>
  <c r="AS235" i="1" a="1"/>
  <c r="AS235" i="1" s="1"/>
  <c r="AT235" i="1" s="1"/>
  <c r="AH235" i="1" a="1"/>
  <c r="AH235" i="1" s="1"/>
  <c r="AJ235" i="1" a="1"/>
  <c r="AJ235" i="1" s="1"/>
  <c r="AL235" i="1" a="1"/>
  <c r="AL235" i="1" s="1"/>
  <c r="AC235" i="1" a="1"/>
  <c r="AC235" i="1" s="1"/>
  <c r="Y235" i="1" a="1"/>
  <c r="Y235" i="1" s="1"/>
  <c r="S235" i="1" a="1"/>
  <c r="S235" i="1" s="1"/>
  <c r="U235" i="1" a="1"/>
  <c r="U235" i="1" s="1"/>
  <c r="W235" i="1" a="1"/>
  <c r="W235" i="1" s="1"/>
  <c r="N235" i="1" a="1"/>
  <c r="N235" i="1" s="1"/>
  <c r="G235" i="1" a="1"/>
  <c r="G235" i="1" s="1"/>
  <c r="BA235" i="1" a="1"/>
  <c r="BA235" i="1" s="1"/>
  <c r="BE235" i="1" a="1"/>
  <c r="BE235" i="1" s="1"/>
  <c r="AW235" i="1" a="1"/>
  <c r="AW235" i="1" s="1"/>
  <c r="AX235" i="1" s="1"/>
  <c r="AG235" i="1" a="1"/>
  <c r="AG235" i="1" s="1"/>
  <c r="AK235" i="1" a="1"/>
  <c r="AK235" i="1" s="1"/>
  <c r="AD235" i="1" a="1"/>
  <c r="AD235" i="1" s="1"/>
  <c r="AE235" i="1" s="1"/>
  <c r="AB235" i="1" s="1"/>
  <c r="T235" i="1" a="1"/>
  <c r="T235" i="1" s="1"/>
  <c r="K235" i="1" a="1"/>
  <c r="K235" i="1" s="1"/>
  <c r="AI235" i="1" a="1"/>
  <c r="AI235" i="1" s="1"/>
  <c r="Z235" i="1" a="1"/>
  <c r="Z235" i="1" s="1"/>
  <c r="R235" i="1" a="1"/>
  <c r="R235" i="1" s="1"/>
  <c r="V235" i="1" a="1"/>
  <c r="V235" i="1" s="1"/>
  <c r="O235" i="1" a="1"/>
  <c r="O235" i="1" s="1"/>
  <c r="P235" i="1" s="1"/>
  <c r="M235" i="1" s="1"/>
  <c r="J235" i="1" a="1"/>
  <c r="J235" i="1" s="1"/>
  <c r="Q234" i="1" a="1"/>
  <c r="Q234" i="1" s="1"/>
  <c r="I234" i="1"/>
  <c r="X234" i="1"/>
  <c r="AF234" i="1"/>
  <c r="B236" i="1"/>
  <c r="A235" i="1"/>
  <c r="AA235" i="1" l="1"/>
  <c r="D236" i="1"/>
  <c r="E236" i="1"/>
  <c r="C236" i="1"/>
  <c r="AZ236" i="1" s="1"/>
  <c r="AY234" i="1"/>
  <c r="L235" i="1"/>
  <c r="AO234" i="1"/>
  <c r="H235" i="1"/>
  <c r="AY235" i="1" s="1"/>
  <c r="G236" i="1" a="1"/>
  <c r="G236" i="1" s="1"/>
  <c r="BB236" i="1" a="1"/>
  <c r="BB236" i="1" s="1"/>
  <c r="BD236" i="1" a="1"/>
  <c r="BD236" i="1" s="1"/>
  <c r="BF236" i="1" a="1"/>
  <c r="BF236" i="1" s="1"/>
  <c r="AW236" i="1" a="1"/>
  <c r="AW236" i="1" s="1"/>
  <c r="AS236" i="1" a="1"/>
  <c r="AS236" i="1" s="1"/>
  <c r="F236" i="1" a="1"/>
  <c r="F236" i="1" s="1"/>
  <c r="H236" i="1" s="1"/>
  <c r="BA236" i="1" a="1"/>
  <c r="BA236" i="1" s="1"/>
  <c r="BE236" i="1" a="1"/>
  <c r="BE236" i="1" s="1"/>
  <c r="AV236" i="1" a="1"/>
  <c r="AV236" i="1" s="1"/>
  <c r="AH236" i="1" a="1"/>
  <c r="AH236" i="1" s="1"/>
  <c r="AJ236" i="1" a="1"/>
  <c r="AJ236" i="1" s="1"/>
  <c r="AL236" i="1" a="1"/>
  <c r="AL236" i="1" s="1"/>
  <c r="AD236" i="1" a="1"/>
  <c r="AD236" i="1" s="1"/>
  <c r="Z236" i="1" a="1"/>
  <c r="Z236" i="1" s="1"/>
  <c r="S236" i="1" a="1"/>
  <c r="S236" i="1" s="1"/>
  <c r="U236" i="1" a="1"/>
  <c r="U236" i="1" s="1"/>
  <c r="W236" i="1" a="1"/>
  <c r="W236" i="1" s="1"/>
  <c r="O236" i="1" a="1"/>
  <c r="O236" i="1" s="1"/>
  <c r="K236" i="1" a="1"/>
  <c r="K236" i="1" s="1"/>
  <c r="J236" i="1" a="1"/>
  <c r="J236" i="1" s="1"/>
  <c r="BC236" i="1" a="1"/>
  <c r="BC236" i="1" s="1"/>
  <c r="AR236" i="1" a="1"/>
  <c r="AR236" i="1" s="1"/>
  <c r="AI236" i="1" a="1"/>
  <c r="AI236" i="1" s="1"/>
  <c r="Y236" i="1" a="1"/>
  <c r="Y236" i="1" s="1"/>
  <c r="R236" i="1" a="1"/>
  <c r="R236" i="1" s="1"/>
  <c r="V236" i="1" a="1"/>
  <c r="V236" i="1" s="1"/>
  <c r="N236" i="1" a="1"/>
  <c r="N236" i="1" s="1"/>
  <c r="AG236" i="1" a="1"/>
  <c r="AG236" i="1" s="1"/>
  <c r="AK236" i="1" a="1"/>
  <c r="AK236" i="1" s="1"/>
  <c r="AC236" i="1" a="1"/>
  <c r="AC236" i="1" s="1"/>
  <c r="T236" i="1" a="1"/>
  <c r="T236" i="1" s="1"/>
  <c r="X235" i="1"/>
  <c r="AF235" i="1"/>
  <c r="I235" i="1"/>
  <c r="Q235" i="1" a="1"/>
  <c r="Q235" i="1" s="1"/>
  <c r="AO235" i="1" s="1"/>
  <c r="B237" i="1"/>
  <c r="A236" i="1"/>
  <c r="D237" i="1" l="1"/>
  <c r="E237" i="1"/>
  <c r="C237" i="1"/>
  <c r="AZ237" i="1" s="1"/>
  <c r="AT236" i="1"/>
  <c r="AX236" i="1"/>
  <c r="L236" i="1"/>
  <c r="I236" i="1" s="1"/>
  <c r="P236" i="1"/>
  <c r="M236" i="1" s="1"/>
  <c r="AA236" i="1"/>
  <c r="AE236" i="1"/>
  <c r="AB236" i="1" s="1"/>
  <c r="F237" i="1" a="1"/>
  <c r="F237" i="1" s="1"/>
  <c r="BB237" i="1" a="1"/>
  <c r="BB237" i="1" s="1"/>
  <c r="BD237" i="1" a="1"/>
  <c r="BD237" i="1" s="1"/>
  <c r="BF237" i="1" a="1"/>
  <c r="BF237" i="1" s="1"/>
  <c r="AV237" i="1" a="1"/>
  <c r="AV237" i="1" s="1"/>
  <c r="AR237" i="1" a="1"/>
  <c r="AR237" i="1" s="1"/>
  <c r="G237" i="1" a="1"/>
  <c r="G237" i="1" s="1"/>
  <c r="BC237" i="1" a="1"/>
  <c r="BC237" i="1" s="1"/>
  <c r="AW237" i="1" a="1"/>
  <c r="AW237" i="1" s="1"/>
  <c r="AX237" i="1" s="1"/>
  <c r="AH237" i="1" a="1"/>
  <c r="AH237" i="1" s="1"/>
  <c r="AJ237" i="1" a="1"/>
  <c r="AJ237" i="1" s="1"/>
  <c r="AL237" i="1" a="1"/>
  <c r="AL237" i="1" s="1"/>
  <c r="AC237" i="1" a="1"/>
  <c r="AC237" i="1" s="1"/>
  <c r="Y237" i="1" a="1"/>
  <c r="Y237" i="1" s="1"/>
  <c r="S237" i="1" a="1"/>
  <c r="S237" i="1" s="1"/>
  <c r="U237" i="1" a="1"/>
  <c r="U237" i="1" s="1"/>
  <c r="W237" i="1" a="1"/>
  <c r="W237" i="1" s="1"/>
  <c r="N237" i="1" a="1"/>
  <c r="N237" i="1" s="1"/>
  <c r="BA237" i="1" a="1"/>
  <c r="BA237" i="1" s="1"/>
  <c r="BE237" i="1" a="1"/>
  <c r="BE237" i="1" s="1"/>
  <c r="AS237" i="1" a="1"/>
  <c r="AS237" i="1" s="1"/>
  <c r="AT237" i="1" s="1"/>
  <c r="AG237" i="1" a="1"/>
  <c r="AG237" i="1" s="1"/>
  <c r="AK237" i="1" a="1"/>
  <c r="AK237" i="1" s="1"/>
  <c r="Z237" i="1" a="1"/>
  <c r="Z237" i="1" s="1"/>
  <c r="AA237" i="1" s="1"/>
  <c r="T237" i="1" a="1"/>
  <c r="T237" i="1" s="1"/>
  <c r="O237" i="1" a="1"/>
  <c r="O237" i="1" s="1"/>
  <c r="P237" i="1" s="1"/>
  <c r="M237" i="1" s="1"/>
  <c r="J237" i="1" a="1"/>
  <c r="J237" i="1" s="1"/>
  <c r="AI237" i="1" a="1"/>
  <c r="AI237" i="1" s="1"/>
  <c r="AD237" i="1" a="1"/>
  <c r="AD237" i="1" s="1"/>
  <c r="AE237" i="1" s="1"/>
  <c r="AB237" i="1" s="1"/>
  <c r="R237" i="1" a="1"/>
  <c r="R237" i="1" s="1"/>
  <c r="V237" i="1" a="1"/>
  <c r="V237" i="1" s="1"/>
  <c r="K237" i="1" a="1"/>
  <c r="K237" i="1" s="1"/>
  <c r="Q236" i="1" a="1"/>
  <c r="Q236" i="1" s="1"/>
  <c r="X236" i="1"/>
  <c r="B238" i="1"/>
  <c r="A237" i="1"/>
  <c r="AF236" i="1" l="1"/>
  <c r="D238" i="1"/>
  <c r="E238" i="1"/>
  <c r="C238" i="1"/>
  <c r="AZ238" i="1" s="1"/>
  <c r="AY236" i="1"/>
  <c r="L237" i="1"/>
  <c r="AO236" i="1"/>
  <c r="H237" i="1"/>
  <c r="AY237" i="1" s="1"/>
  <c r="G238" i="1" a="1"/>
  <c r="G238" i="1" s="1"/>
  <c r="BB238" i="1" a="1"/>
  <c r="BB238" i="1" s="1"/>
  <c r="BD238" i="1" a="1"/>
  <c r="BD238" i="1" s="1"/>
  <c r="BF238" i="1" a="1"/>
  <c r="BF238" i="1" s="1"/>
  <c r="AW238" i="1" a="1"/>
  <c r="AW238" i="1" s="1"/>
  <c r="AS238" i="1" a="1"/>
  <c r="AS238" i="1" s="1"/>
  <c r="BA238" i="1" a="1"/>
  <c r="BA238" i="1" s="1"/>
  <c r="BE238" i="1" a="1"/>
  <c r="BE238" i="1" s="1"/>
  <c r="AR238" i="1" a="1"/>
  <c r="AR238" i="1" s="1"/>
  <c r="AH238" i="1" a="1"/>
  <c r="AH238" i="1" s="1"/>
  <c r="AJ238" i="1" a="1"/>
  <c r="AJ238" i="1" s="1"/>
  <c r="AL238" i="1" a="1"/>
  <c r="AL238" i="1" s="1"/>
  <c r="AD238" i="1" a="1"/>
  <c r="AD238" i="1" s="1"/>
  <c r="Z238" i="1" a="1"/>
  <c r="Z238" i="1" s="1"/>
  <c r="S238" i="1" a="1"/>
  <c r="S238" i="1" s="1"/>
  <c r="U238" i="1" a="1"/>
  <c r="U238" i="1" s="1"/>
  <c r="W238" i="1" a="1"/>
  <c r="W238" i="1" s="1"/>
  <c r="O238" i="1" a="1"/>
  <c r="O238" i="1" s="1"/>
  <c r="K238" i="1" a="1"/>
  <c r="K238" i="1" s="1"/>
  <c r="J238" i="1" a="1"/>
  <c r="J238" i="1" s="1"/>
  <c r="F238" i="1" a="1"/>
  <c r="F238" i="1" s="1"/>
  <c r="H238" i="1" s="1"/>
  <c r="BC238" i="1" a="1"/>
  <c r="BC238" i="1" s="1"/>
  <c r="AV238" i="1" a="1"/>
  <c r="AV238" i="1" s="1"/>
  <c r="AI238" i="1" a="1"/>
  <c r="AI238" i="1" s="1"/>
  <c r="AC238" i="1" a="1"/>
  <c r="AC238" i="1" s="1"/>
  <c r="R238" i="1" a="1"/>
  <c r="R238" i="1" s="1"/>
  <c r="V238" i="1" a="1"/>
  <c r="V238" i="1" s="1"/>
  <c r="AG238" i="1" a="1"/>
  <c r="AG238" i="1" s="1"/>
  <c r="AK238" i="1" a="1"/>
  <c r="AK238" i="1" s="1"/>
  <c r="Y238" i="1" a="1"/>
  <c r="Y238" i="1" s="1"/>
  <c r="T238" i="1" a="1"/>
  <c r="T238" i="1" s="1"/>
  <c r="N238" i="1" a="1"/>
  <c r="N238" i="1" s="1"/>
  <c r="I237" i="1"/>
  <c r="Q237" i="1" a="1"/>
  <c r="Q237" i="1" s="1"/>
  <c r="X237" i="1"/>
  <c r="AF237" i="1"/>
  <c r="B239" i="1"/>
  <c r="A238" i="1"/>
  <c r="D239" i="1" l="1"/>
  <c r="E239" i="1"/>
  <c r="C239" i="1"/>
  <c r="AZ239" i="1" s="1"/>
  <c r="AX238" i="1"/>
  <c r="AT238" i="1"/>
  <c r="P238" i="1"/>
  <c r="M238" i="1" s="1"/>
  <c r="AA238" i="1"/>
  <c r="L238" i="1"/>
  <c r="AE238" i="1"/>
  <c r="AB238" i="1" s="1"/>
  <c r="AO237" i="1"/>
  <c r="F239" i="1" a="1"/>
  <c r="F239" i="1" s="1"/>
  <c r="BB239" i="1" a="1"/>
  <c r="BB239" i="1" s="1"/>
  <c r="BD239" i="1" a="1"/>
  <c r="BD239" i="1" s="1"/>
  <c r="BF239" i="1" a="1"/>
  <c r="BF239" i="1" s="1"/>
  <c r="AV239" i="1" a="1"/>
  <c r="AV239" i="1" s="1"/>
  <c r="AR239" i="1" a="1"/>
  <c r="AR239" i="1" s="1"/>
  <c r="BC239" i="1" a="1"/>
  <c r="BC239" i="1" s="1"/>
  <c r="AS239" i="1" a="1"/>
  <c r="AS239" i="1" s="1"/>
  <c r="AT239" i="1" s="1"/>
  <c r="AH239" i="1" a="1"/>
  <c r="AH239" i="1" s="1"/>
  <c r="AJ239" i="1" a="1"/>
  <c r="AJ239" i="1" s="1"/>
  <c r="AL239" i="1" a="1"/>
  <c r="AL239" i="1" s="1"/>
  <c r="AC239" i="1" a="1"/>
  <c r="AC239" i="1" s="1"/>
  <c r="Y239" i="1" a="1"/>
  <c r="Y239" i="1" s="1"/>
  <c r="S239" i="1" a="1"/>
  <c r="S239" i="1" s="1"/>
  <c r="U239" i="1" a="1"/>
  <c r="U239" i="1" s="1"/>
  <c r="W239" i="1" a="1"/>
  <c r="W239" i="1" s="1"/>
  <c r="N239" i="1" a="1"/>
  <c r="N239" i="1" s="1"/>
  <c r="G239" i="1" a="1"/>
  <c r="G239" i="1" s="1"/>
  <c r="BA239" i="1" a="1"/>
  <c r="BA239" i="1" s="1"/>
  <c r="BE239" i="1" a="1"/>
  <c r="BE239" i="1" s="1"/>
  <c r="AW239" i="1" a="1"/>
  <c r="AW239" i="1" s="1"/>
  <c r="AX239" i="1" s="1"/>
  <c r="AG239" i="1" a="1"/>
  <c r="AG239" i="1" s="1"/>
  <c r="AK239" i="1" a="1"/>
  <c r="AK239" i="1" s="1"/>
  <c r="AD239" i="1" a="1"/>
  <c r="AD239" i="1" s="1"/>
  <c r="AE239" i="1" s="1"/>
  <c r="AB239" i="1" s="1"/>
  <c r="T239" i="1" a="1"/>
  <c r="T239" i="1" s="1"/>
  <c r="K239" i="1" a="1"/>
  <c r="K239" i="1" s="1"/>
  <c r="AI239" i="1" a="1"/>
  <c r="AI239" i="1" s="1"/>
  <c r="Z239" i="1" a="1"/>
  <c r="Z239" i="1" s="1"/>
  <c r="R239" i="1" a="1"/>
  <c r="R239" i="1" s="1"/>
  <c r="V239" i="1" a="1"/>
  <c r="V239" i="1" s="1"/>
  <c r="O239" i="1" a="1"/>
  <c r="O239" i="1" s="1"/>
  <c r="P239" i="1" s="1"/>
  <c r="M239" i="1" s="1"/>
  <c r="J239" i="1" a="1"/>
  <c r="J239" i="1" s="1"/>
  <c r="Q238" i="1" a="1"/>
  <c r="Q238" i="1" s="1"/>
  <c r="I238" i="1"/>
  <c r="X238" i="1"/>
  <c r="AF238" i="1"/>
  <c r="B240" i="1"/>
  <c r="A239" i="1"/>
  <c r="AA239" i="1" l="1"/>
  <c r="D240" i="1"/>
  <c r="E240" i="1"/>
  <c r="C240" i="1"/>
  <c r="AZ240" i="1" s="1"/>
  <c r="AY238" i="1"/>
  <c r="AO238" i="1"/>
  <c r="H239" i="1"/>
  <c r="AY239" i="1" s="1"/>
  <c r="L239" i="1"/>
  <c r="G240" i="1" a="1"/>
  <c r="G240" i="1" s="1"/>
  <c r="BB240" i="1" a="1"/>
  <c r="BB240" i="1" s="1"/>
  <c r="BD240" i="1" a="1"/>
  <c r="BD240" i="1" s="1"/>
  <c r="BF240" i="1" a="1"/>
  <c r="BF240" i="1" s="1"/>
  <c r="AW240" i="1" a="1"/>
  <c r="AW240" i="1" s="1"/>
  <c r="AS240" i="1" a="1"/>
  <c r="AS240" i="1" s="1"/>
  <c r="F240" i="1" a="1"/>
  <c r="F240" i="1" s="1"/>
  <c r="H240" i="1" s="1"/>
  <c r="BA240" i="1" a="1"/>
  <c r="BA240" i="1" s="1"/>
  <c r="BE240" i="1" a="1"/>
  <c r="BE240" i="1" s="1"/>
  <c r="AV240" i="1" a="1"/>
  <c r="AV240" i="1" s="1"/>
  <c r="AH240" i="1" a="1"/>
  <c r="AH240" i="1" s="1"/>
  <c r="AJ240" i="1" a="1"/>
  <c r="AJ240" i="1" s="1"/>
  <c r="AL240" i="1" a="1"/>
  <c r="AL240" i="1" s="1"/>
  <c r="AD240" i="1" a="1"/>
  <c r="AD240" i="1" s="1"/>
  <c r="Z240" i="1" a="1"/>
  <c r="Z240" i="1" s="1"/>
  <c r="S240" i="1" a="1"/>
  <c r="S240" i="1" s="1"/>
  <c r="U240" i="1" a="1"/>
  <c r="U240" i="1" s="1"/>
  <c r="W240" i="1" a="1"/>
  <c r="W240" i="1" s="1"/>
  <c r="O240" i="1" a="1"/>
  <c r="O240" i="1" s="1"/>
  <c r="K240" i="1" a="1"/>
  <c r="K240" i="1" s="1"/>
  <c r="J240" i="1" a="1"/>
  <c r="J240" i="1" s="1"/>
  <c r="BC240" i="1" a="1"/>
  <c r="BC240" i="1" s="1"/>
  <c r="AI240" i="1" a="1"/>
  <c r="AI240" i="1" s="1"/>
  <c r="Y240" i="1" a="1"/>
  <c r="Y240" i="1" s="1"/>
  <c r="R240" i="1" a="1"/>
  <c r="R240" i="1" s="1"/>
  <c r="V240" i="1" a="1"/>
  <c r="V240" i="1" s="1"/>
  <c r="N240" i="1" a="1"/>
  <c r="N240" i="1" s="1"/>
  <c r="AR240" i="1" a="1"/>
  <c r="AR240" i="1" s="1"/>
  <c r="AG240" i="1" a="1"/>
  <c r="AG240" i="1" s="1"/>
  <c r="AK240" i="1" a="1"/>
  <c r="AK240" i="1" s="1"/>
  <c r="AC240" i="1" a="1"/>
  <c r="AC240" i="1" s="1"/>
  <c r="T240" i="1" a="1"/>
  <c r="T240" i="1" s="1"/>
  <c r="X239" i="1"/>
  <c r="AF239" i="1"/>
  <c r="I239" i="1"/>
  <c r="Q239" i="1" a="1"/>
  <c r="Q239" i="1" s="1"/>
  <c r="AO239" i="1" s="1"/>
  <c r="B241" i="1"/>
  <c r="A240" i="1"/>
  <c r="D241" i="1" l="1"/>
  <c r="E241" i="1"/>
  <c r="C241" i="1"/>
  <c r="AZ241" i="1" s="1"/>
  <c r="AX240" i="1"/>
  <c r="AT240" i="1"/>
  <c r="AA240" i="1"/>
  <c r="P240" i="1"/>
  <c r="M240" i="1" s="1"/>
  <c r="L240" i="1"/>
  <c r="AE240" i="1"/>
  <c r="AB240" i="1" s="1"/>
  <c r="F241" i="1" a="1"/>
  <c r="F241" i="1" s="1"/>
  <c r="BB241" i="1" a="1"/>
  <c r="BB241" i="1" s="1"/>
  <c r="BD241" i="1" a="1"/>
  <c r="BD241" i="1" s="1"/>
  <c r="BF241" i="1" a="1"/>
  <c r="BF241" i="1" s="1"/>
  <c r="AV241" i="1" a="1"/>
  <c r="AV241" i="1" s="1"/>
  <c r="AR241" i="1" a="1"/>
  <c r="AR241" i="1" s="1"/>
  <c r="G241" i="1" a="1"/>
  <c r="G241" i="1" s="1"/>
  <c r="BC241" i="1" a="1"/>
  <c r="BC241" i="1" s="1"/>
  <c r="AW241" i="1" a="1"/>
  <c r="AW241" i="1" s="1"/>
  <c r="AX241" i="1" s="1"/>
  <c r="AH241" i="1" a="1"/>
  <c r="AH241" i="1" s="1"/>
  <c r="AJ241" i="1" a="1"/>
  <c r="AJ241" i="1" s="1"/>
  <c r="AL241" i="1" a="1"/>
  <c r="AL241" i="1" s="1"/>
  <c r="AC241" i="1" a="1"/>
  <c r="AC241" i="1" s="1"/>
  <c r="Y241" i="1" a="1"/>
  <c r="Y241" i="1" s="1"/>
  <c r="S241" i="1" a="1"/>
  <c r="S241" i="1" s="1"/>
  <c r="U241" i="1" a="1"/>
  <c r="U241" i="1" s="1"/>
  <c r="W241" i="1" a="1"/>
  <c r="W241" i="1" s="1"/>
  <c r="N241" i="1" a="1"/>
  <c r="N241" i="1" s="1"/>
  <c r="BA241" i="1" a="1"/>
  <c r="BA241" i="1" s="1"/>
  <c r="BE241" i="1" a="1"/>
  <c r="BE241" i="1" s="1"/>
  <c r="AS241" i="1" a="1"/>
  <c r="AS241" i="1" s="1"/>
  <c r="AG241" i="1" a="1"/>
  <c r="AG241" i="1" s="1"/>
  <c r="AK241" i="1" a="1"/>
  <c r="AK241" i="1" s="1"/>
  <c r="Z241" i="1" a="1"/>
  <c r="Z241" i="1" s="1"/>
  <c r="AA241" i="1" s="1"/>
  <c r="T241" i="1" a="1"/>
  <c r="T241" i="1" s="1"/>
  <c r="O241" i="1" a="1"/>
  <c r="O241" i="1" s="1"/>
  <c r="J241" i="1" a="1"/>
  <c r="J241" i="1" s="1"/>
  <c r="AI241" i="1" a="1"/>
  <c r="AI241" i="1" s="1"/>
  <c r="AD241" i="1" a="1"/>
  <c r="AD241" i="1" s="1"/>
  <c r="AE241" i="1" s="1"/>
  <c r="AB241" i="1" s="1"/>
  <c r="R241" i="1" a="1"/>
  <c r="R241" i="1" s="1"/>
  <c r="V241" i="1" a="1"/>
  <c r="V241" i="1" s="1"/>
  <c r="K241" i="1" a="1"/>
  <c r="K241" i="1" s="1"/>
  <c r="Q240" i="1" a="1"/>
  <c r="Q240" i="1" s="1"/>
  <c r="I240" i="1"/>
  <c r="X240" i="1"/>
  <c r="AF240" i="1"/>
  <c r="B242" i="1"/>
  <c r="A241" i="1"/>
  <c r="P241" i="1" l="1"/>
  <c r="M241" i="1" s="1"/>
  <c r="AT241" i="1"/>
  <c r="AY240" i="1"/>
  <c r="D242" i="1"/>
  <c r="E242" i="1"/>
  <c r="C242" i="1"/>
  <c r="AO240" i="1"/>
  <c r="H241" i="1"/>
  <c r="AY241" i="1" s="1"/>
  <c r="L241" i="1"/>
  <c r="G242" i="1" a="1"/>
  <c r="G242" i="1" s="1"/>
  <c r="BB242" i="1" a="1"/>
  <c r="BB242" i="1" s="1"/>
  <c r="BD242" i="1" a="1"/>
  <c r="BD242" i="1" s="1"/>
  <c r="BF242" i="1" a="1"/>
  <c r="BF242" i="1" s="1"/>
  <c r="AW242" i="1" a="1"/>
  <c r="AW242" i="1" s="1"/>
  <c r="AS242" i="1" a="1"/>
  <c r="AS242" i="1" s="1"/>
  <c r="BA242" i="1" a="1"/>
  <c r="BA242" i="1" s="1"/>
  <c r="BE242" i="1" a="1"/>
  <c r="BE242" i="1" s="1"/>
  <c r="AR242" i="1" a="1"/>
  <c r="AR242" i="1" s="1"/>
  <c r="AH242" i="1" a="1"/>
  <c r="AH242" i="1" s="1"/>
  <c r="AJ242" i="1" a="1"/>
  <c r="AJ242" i="1" s="1"/>
  <c r="AL242" i="1" a="1"/>
  <c r="AL242" i="1" s="1"/>
  <c r="AD242" i="1" a="1"/>
  <c r="AD242" i="1" s="1"/>
  <c r="Z242" i="1" a="1"/>
  <c r="Z242" i="1" s="1"/>
  <c r="S242" i="1" a="1"/>
  <c r="S242" i="1" s="1"/>
  <c r="U242" i="1" a="1"/>
  <c r="U242" i="1" s="1"/>
  <c r="W242" i="1" a="1"/>
  <c r="W242" i="1" s="1"/>
  <c r="O242" i="1" a="1"/>
  <c r="O242" i="1" s="1"/>
  <c r="K242" i="1" a="1"/>
  <c r="K242" i="1" s="1"/>
  <c r="J242" i="1" a="1"/>
  <c r="J242" i="1" s="1"/>
  <c r="F242" i="1" a="1"/>
  <c r="F242" i="1" s="1"/>
  <c r="H242" i="1" s="1"/>
  <c r="BC242" i="1" a="1"/>
  <c r="BC242" i="1" s="1"/>
  <c r="AV242" i="1" a="1"/>
  <c r="AV242" i="1" s="1"/>
  <c r="AI242" i="1" a="1"/>
  <c r="AI242" i="1" s="1"/>
  <c r="AC242" i="1" a="1"/>
  <c r="AC242" i="1" s="1"/>
  <c r="R242" i="1" a="1"/>
  <c r="R242" i="1" s="1"/>
  <c r="V242" i="1" a="1"/>
  <c r="V242" i="1" s="1"/>
  <c r="AG242" i="1" a="1"/>
  <c r="AG242" i="1" s="1"/>
  <c r="AK242" i="1" a="1"/>
  <c r="AK242" i="1" s="1"/>
  <c r="Y242" i="1" a="1"/>
  <c r="Y242" i="1" s="1"/>
  <c r="T242" i="1" a="1"/>
  <c r="T242" i="1" s="1"/>
  <c r="N242" i="1" a="1"/>
  <c r="N242" i="1" s="1"/>
  <c r="I241" i="1"/>
  <c r="Q241" i="1" a="1"/>
  <c r="Q241" i="1" s="1"/>
  <c r="X241" i="1"/>
  <c r="AF241" i="1"/>
  <c r="B243" i="1"/>
  <c r="A242" i="1"/>
  <c r="AZ242" i="1" l="1"/>
  <c r="D243" i="1"/>
  <c r="E243" i="1"/>
  <c r="C243" i="1"/>
  <c r="AT242" i="1"/>
  <c r="AX242" i="1"/>
  <c r="AA242" i="1"/>
  <c r="AO241" i="1"/>
  <c r="P242" i="1"/>
  <c r="M242" i="1" s="1"/>
  <c r="L242" i="1"/>
  <c r="AE242" i="1"/>
  <c r="AB242" i="1" s="1"/>
  <c r="F243" i="1" a="1"/>
  <c r="F243" i="1" s="1"/>
  <c r="BB243" i="1" a="1"/>
  <c r="BB243" i="1" s="1"/>
  <c r="BD243" i="1" a="1"/>
  <c r="BD243" i="1" s="1"/>
  <c r="BF243" i="1" a="1"/>
  <c r="BF243" i="1" s="1"/>
  <c r="AV243" i="1" a="1"/>
  <c r="AV243" i="1" s="1"/>
  <c r="AR243" i="1" a="1"/>
  <c r="AR243" i="1" s="1"/>
  <c r="BC243" i="1" a="1"/>
  <c r="BC243" i="1" s="1"/>
  <c r="AS243" i="1" a="1"/>
  <c r="AS243" i="1" s="1"/>
  <c r="AH243" i="1" a="1"/>
  <c r="AH243" i="1" s="1"/>
  <c r="AJ243" i="1" a="1"/>
  <c r="AJ243" i="1" s="1"/>
  <c r="AL243" i="1" a="1"/>
  <c r="AL243" i="1" s="1"/>
  <c r="AC243" i="1" a="1"/>
  <c r="AC243" i="1" s="1"/>
  <c r="Y243" i="1" a="1"/>
  <c r="Y243" i="1" s="1"/>
  <c r="S243" i="1" a="1"/>
  <c r="S243" i="1" s="1"/>
  <c r="U243" i="1" a="1"/>
  <c r="U243" i="1" s="1"/>
  <c r="W243" i="1" a="1"/>
  <c r="W243" i="1" s="1"/>
  <c r="N243" i="1" a="1"/>
  <c r="N243" i="1" s="1"/>
  <c r="G243" i="1" a="1"/>
  <c r="G243" i="1" s="1"/>
  <c r="BA243" i="1" a="1"/>
  <c r="BA243" i="1" s="1"/>
  <c r="BE243" i="1" a="1"/>
  <c r="BE243" i="1" s="1"/>
  <c r="AW243" i="1" a="1"/>
  <c r="AW243" i="1" s="1"/>
  <c r="AX243" i="1" s="1"/>
  <c r="AG243" i="1" a="1"/>
  <c r="AG243" i="1" s="1"/>
  <c r="AK243" i="1" a="1"/>
  <c r="AK243" i="1" s="1"/>
  <c r="AD243" i="1" a="1"/>
  <c r="AD243" i="1" s="1"/>
  <c r="AE243" i="1" s="1"/>
  <c r="AB243" i="1" s="1"/>
  <c r="T243" i="1" a="1"/>
  <c r="T243" i="1" s="1"/>
  <c r="K243" i="1" a="1"/>
  <c r="K243" i="1" s="1"/>
  <c r="AI243" i="1" a="1"/>
  <c r="AI243" i="1" s="1"/>
  <c r="Z243" i="1" a="1"/>
  <c r="Z243" i="1" s="1"/>
  <c r="R243" i="1" a="1"/>
  <c r="R243" i="1" s="1"/>
  <c r="V243" i="1" a="1"/>
  <c r="V243" i="1" s="1"/>
  <c r="O243" i="1" a="1"/>
  <c r="O243" i="1" s="1"/>
  <c r="P243" i="1" s="1"/>
  <c r="M243" i="1" s="1"/>
  <c r="J243" i="1" a="1"/>
  <c r="J243" i="1" s="1"/>
  <c r="Q242" i="1" a="1"/>
  <c r="Q242" i="1" s="1"/>
  <c r="I242" i="1"/>
  <c r="X242" i="1"/>
  <c r="AF242" i="1"/>
  <c r="B244" i="1"/>
  <c r="A243" i="1"/>
  <c r="AZ243" i="1" l="1"/>
  <c r="AT243" i="1"/>
  <c r="AA243" i="1"/>
  <c r="D244" i="1"/>
  <c r="E244" i="1"/>
  <c r="C244" i="1"/>
  <c r="AZ244" i="1" s="1"/>
  <c r="AY242" i="1"/>
  <c r="AO242" i="1"/>
  <c r="H243" i="1"/>
  <c r="L243" i="1"/>
  <c r="G244" i="1" a="1"/>
  <c r="G244" i="1" s="1"/>
  <c r="BB244" i="1" a="1"/>
  <c r="BB244" i="1" s="1"/>
  <c r="BD244" i="1" a="1"/>
  <c r="BD244" i="1" s="1"/>
  <c r="BF244" i="1" a="1"/>
  <c r="BF244" i="1" s="1"/>
  <c r="AW244" i="1" a="1"/>
  <c r="AW244" i="1" s="1"/>
  <c r="AS244" i="1" a="1"/>
  <c r="AS244" i="1" s="1"/>
  <c r="F244" i="1" a="1"/>
  <c r="F244" i="1" s="1"/>
  <c r="H244" i="1" s="1"/>
  <c r="BA244" i="1" a="1"/>
  <c r="BA244" i="1" s="1"/>
  <c r="BE244" i="1" a="1"/>
  <c r="BE244" i="1" s="1"/>
  <c r="AV244" i="1" a="1"/>
  <c r="AV244" i="1" s="1"/>
  <c r="AH244" i="1" a="1"/>
  <c r="AH244" i="1" s="1"/>
  <c r="AJ244" i="1" a="1"/>
  <c r="AJ244" i="1" s="1"/>
  <c r="AL244" i="1" a="1"/>
  <c r="AL244" i="1" s="1"/>
  <c r="AD244" i="1" a="1"/>
  <c r="AD244" i="1" s="1"/>
  <c r="Z244" i="1" a="1"/>
  <c r="Z244" i="1" s="1"/>
  <c r="S244" i="1" a="1"/>
  <c r="S244" i="1" s="1"/>
  <c r="U244" i="1" a="1"/>
  <c r="U244" i="1" s="1"/>
  <c r="W244" i="1" a="1"/>
  <c r="W244" i="1" s="1"/>
  <c r="O244" i="1" a="1"/>
  <c r="O244" i="1" s="1"/>
  <c r="K244" i="1" a="1"/>
  <c r="K244" i="1" s="1"/>
  <c r="J244" i="1" a="1"/>
  <c r="J244" i="1" s="1"/>
  <c r="BC244" i="1" a="1"/>
  <c r="BC244" i="1" s="1"/>
  <c r="AR244" i="1" a="1"/>
  <c r="AR244" i="1" s="1"/>
  <c r="AI244" i="1" a="1"/>
  <c r="AI244" i="1" s="1"/>
  <c r="Y244" i="1" a="1"/>
  <c r="Y244" i="1" s="1"/>
  <c r="R244" i="1" a="1"/>
  <c r="R244" i="1" s="1"/>
  <c r="V244" i="1" a="1"/>
  <c r="V244" i="1" s="1"/>
  <c r="N244" i="1" a="1"/>
  <c r="N244" i="1" s="1"/>
  <c r="AG244" i="1" a="1"/>
  <c r="AG244" i="1" s="1"/>
  <c r="AK244" i="1" a="1"/>
  <c r="AK244" i="1" s="1"/>
  <c r="AC244" i="1" a="1"/>
  <c r="AC244" i="1" s="1"/>
  <c r="T244" i="1" a="1"/>
  <c r="T244" i="1" s="1"/>
  <c r="X243" i="1"/>
  <c r="AF243" i="1"/>
  <c r="I243" i="1"/>
  <c r="Q243" i="1" a="1"/>
  <c r="Q243" i="1" s="1"/>
  <c r="AO243" i="1" s="1"/>
  <c r="B245" i="1"/>
  <c r="A244" i="1"/>
  <c r="AY243" i="1" l="1"/>
  <c r="D245" i="1"/>
  <c r="E245" i="1"/>
  <c r="C245" i="1"/>
  <c r="AZ245" i="1" s="1"/>
  <c r="AT244" i="1"/>
  <c r="AX244" i="1"/>
  <c r="L244" i="1"/>
  <c r="AE244" i="1"/>
  <c r="AB244" i="1" s="1"/>
  <c r="P244" i="1"/>
  <c r="M244" i="1" s="1"/>
  <c r="AA244" i="1"/>
  <c r="F245" i="1" a="1"/>
  <c r="F245" i="1" s="1"/>
  <c r="BB245" i="1" a="1"/>
  <c r="BB245" i="1" s="1"/>
  <c r="BD245" i="1" a="1"/>
  <c r="BD245" i="1" s="1"/>
  <c r="BF245" i="1" a="1"/>
  <c r="BF245" i="1" s="1"/>
  <c r="AV245" i="1" a="1"/>
  <c r="AV245" i="1" s="1"/>
  <c r="AR245" i="1" a="1"/>
  <c r="AR245" i="1" s="1"/>
  <c r="G245" i="1" a="1"/>
  <c r="G245" i="1" s="1"/>
  <c r="BC245" i="1" a="1"/>
  <c r="BC245" i="1" s="1"/>
  <c r="AW245" i="1" a="1"/>
  <c r="AW245" i="1" s="1"/>
  <c r="AX245" i="1" s="1"/>
  <c r="AH245" i="1" a="1"/>
  <c r="AH245" i="1" s="1"/>
  <c r="AJ245" i="1" a="1"/>
  <c r="AJ245" i="1" s="1"/>
  <c r="AL245" i="1" a="1"/>
  <c r="AL245" i="1" s="1"/>
  <c r="AC245" i="1" a="1"/>
  <c r="AC245" i="1" s="1"/>
  <c r="Y245" i="1" a="1"/>
  <c r="Y245" i="1" s="1"/>
  <c r="S245" i="1" a="1"/>
  <c r="S245" i="1" s="1"/>
  <c r="U245" i="1" a="1"/>
  <c r="U245" i="1" s="1"/>
  <c r="W245" i="1" a="1"/>
  <c r="W245" i="1" s="1"/>
  <c r="N245" i="1" a="1"/>
  <c r="N245" i="1" s="1"/>
  <c r="BA245" i="1" a="1"/>
  <c r="BA245" i="1" s="1"/>
  <c r="BE245" i="1" a="1"/>
  <c r="BE245" i="1" s="1"/>
  <c r="AS245" i="1" a="1"/>
  <c r="AS245" i="1" s="1"/>
  <c r="AG245" i="1" a="1"/>
  <c r="AG245" i="1" s="1"/>
  <c r="AK245" i="1" a="1"/>
  <c r="AK245" i="1" s="1"/>
  <c r="Z245" i="1" a="1"/>
  <c r="Z245" i="1" s="1"/>
  <c r="AA245" i="1" s="1"/>
  <c r="T245" i="1" a="1"/>
  <c r="T245" i="1" s="1"/>
  <c r="O245" i="1" a="1"/>
  <c r="O245" i="1" s="1"/>
  <c r="P245" i="1" s="1"/>
  <c r="M245" i="1" s="1"/>
  <c r="J245" i="1" a="1"/>
  <c r="J245" i="1" s="1"/>
  <c r="AI245" i="1" a="1"/>
  <c r="AI245" i="1" s="1"/>
  <c r="AD245" i="1" a="1"/>
  <c r="AD245" i="1" s="1"/>
  <c r="AE245" i="1" s="1"/>
  <c r="AB245" i="1" s="1"/>
  <c r="R245" i="1" a="1"/>
  <c r="R245" i="1" s="1"/>
  <c r="V245" i="1" a="1"/>
  <c r="V245" i="1" s="1"/>
  <c r="K245" i="1" a="1"/>
  <c r="K245" i="1" s="1"/>
  <c r="Q244" i="1" a="1"/>
  <c r="Q244" i="1" s="1"/>
  <c r="I244" i="1"/>
  <c r="X244" i="1"/>
  <c r="AF244" i="1"/>
  <c r="B246" i="1"/>
  <c r="A245" i="1"/>
  <c r="AT245" i="1" l="1"/>
  <c r="L245" i="1"/>
  <c r="D246" i="1"/>
  <c r="E246" i="1"/>
  <c r="C246" i="1"/>
  <c r="AY244" i="1"/>
  <c r="AO244" i="1"/>
  <c r="H245" i="1"/>
  <c r="G246" i="1" a="1"/>
  <c r="G246" i="1" s="1"/>
  <c r="BB246" i="1" a="1"/>
  <c r="BB246" i="1" s="1"/>
  <c r="BD246" i="1" a="1"/>
  <c r="BD246" i="1" s="1"/>
  <c r="BF246" i="1" a="1"/>
  <c r="BF246" i="1" s="1"/>
  <c r="AW246" i="1" a="1"/>
  <c r="AW246" i="1" s="1"/>
  <c r="AS246" i="1" a="1"/>
  <c r="AS246" i="1" s="1"/>
  <c r="BA246" i="1" a="1"/>
  <c r="BA246" i="1" s="1"/>
  <c r="BE246" i="1" a="1"/>
  <c r="BE246" i="1" s="1"/>
  <c r="AR246" i="1" a="1"/>
  <c r="AR246" i="1" s="1"/>
  <c r="AH246" i="1" a="1"/>
  <c r="AH246" i="1" s="1"/>
  <c r="AJ246" i="1" a="1"/>
  <c r="AJ246" i="1" s="1"/>
  <c r="AL246" i="1" a="1"/>
  <c r="AL246" i="1" s="1"/>
  <c r="AD246" i="1" a="1"/>
  <c r="AD246" i="1" s="1"/>
  <c r="Z246" i="1" a="1"/>
  <c r="Z246" i="1" s="1"/>
  <c r="S246" i="1" a="1"/>
  <c r="S246" i="1" s="1"/>
  <c r="U246" i="1" a="1"/>
  <c r="U246" i="1" s="1"/>
  <c r="W246" i="1" a="1"/>
  <c r="W246" i="1" s="1"/>
  <c r="O246" i="1" a="1"/>
  <c r="O246" i="1" s="1"/>
  <c r="K246" i="1" a="1"/>
  <c r="K246" i="1" s="1"/>
  <c r="J246" i="1" a="1"/>
  <c r="J246" i="1" s="1"/>
  <c r="F246" i="1" a="1"/>
  <c r="F246" i="1" s="1"/>
  <c r="H246" i="1" s="1"/>
  <c r="BC246" i="1" a="1"/>
  <c r="BC246" i="1" s="1"/>
  <c r="AV246" i="1" a="1"/>
  <c r="AV246" i="1" s="1"/>
  <c r="AI246" i="1" a="1"/>
  <c r="AI246" i="1" s="1"/>
  <c r="AC246" i="1" a="1"/>
  <c r="AC246" i="1" s="1"/>
  <c r="R246" i="1" a="1"/>
  <c r="R246" i="1" s="1"/>
  <c r="V246" i="1" a="1"/>
  <c r="V246" i="1" s="1"/>
  <c r="AG246" i="1" a="1"/>
  <c r="AG246" i="1" s="1"/>
  <c r="AK246" i="1" a="1"/>
  <c r="AK246" i="1" s="1"/>
  <c r="Y246" i="1" a="1"/>
  <c r="Y246" i="1" s="1"/>
  <c r="T246" i="1" a="1"/>
  <c r="T246" i="1" s="1"/>
  <c r="N246" i="1" a="1"/>
  <c r="N246" i="1" s="1"/>
  <c r="I245" i="1"/>
  <c r="Q245" i="1" a="1"/>
  <c r="Q245" i="1" s="1"/>
  <c r="X245" i="1"/>
  <c r="AF245" i="1"/>
  <c r="B247" i="1"/>
  <c r="A246" i="1"/>
  <c r="AZ246" i="1" l="1"/>
  <c r="AY245" i="1"/>
  <c r="D247" i="1"/>
  <c r="E247" i="1"/>
  <c r="C247" i="1"/>
  <c r="AZ247" i="1" s="1"/>
  <c r="AT246" i="1"/>
  <c r="AX246" i="1"/>
  <c r="AO245" i="1"/>
  <c r="P246" i="1"/>
  <c r="M246" i="1" s="1"/>
  <c r="AA246" i="1"/>
  <c r="L246" i="1"/>
  <c r="AE246" i="1"/>
  <c r="AB246" i="1" s="1"/>
  <c r="F247" i="1" a="1"/>
  <c r="F247" i="1" s="1"/>
  <c r="BB247" i="1" a="1"/>
  <c r="BB247" i="1" s="1"/>
  <c r="BD247" i="1" a="1"/>
  <c r="BD247" i="1" s="1"/>
  <c r="BF247" i="1" a="1"/>
  <c r="BF247" i="1" s="1"/>
  <c r="AV247" i="1" a="1"/>
  <c r="AV247" i="1" s="1"/>
  <c r="AR247" i="1" a="1"/>
  <c r="AR247" i="1" s="1"/>
  <c r="BC247" i="1" a="1"/>
  <c r="BC247" i="1" s="1"/>
  <c r="AS247" i="1" a="1"/>
  <c r="AS247" i="1" s="1"/>
  <c r="AT247" i="1" s="1"/>
  <c r="AH247" i="1" a="1"/>
  <c r="AH247" i="1" s="1"/>
  <c r="AJ247" i="1" a="1"/>
  <c r="AJ247" i="1" s="1"/>
  <c r="AL247" i="1" a="1"/>
  <c r="AL247" i="1" s="1"/>
  <c r="AC247" i="1" a="1"/>
  <c r="AC247" i="1" s="1"/>
  <c r="Y247" i="1" a="1"/>
  <c r="Y247" i="1" s="1"/>
  <c r="S247" i="1" a="1"/>
  <c r="S247" i="1" s="1"/>
  <c r="U247" i="1" a="1"/>
  <c r="U247" i="1" s="1"/>
  <c r="W247" i="1" a="1"/>
  <c r="W247" i="1" s="1"/>
  <c r="N247" i="1" a="1"/>
  <c r="N247" i="1" s="1"/>
  <c r="G247" i="1" a="1"/>
  <c r="G247" i="1" s="1"/>
  <c r="BA247" i="1" a="1"/>
  <c r="BA247" i="1" s="1"/>
  <c r="BE247" i="1" a="1"/>
  <c r="BE247" i="1" s="1"/>
  <c r="AW247" i="1" a="1"/>
  <c r="AW247" i="1" s="1"/>
  <c r="AX247" i="1" s="1"/>
  <c r="AG247" i="1" a="1"/>
  <c r="AG247" i="1" s="1"/>
  <c r="AK247" i="1" a="1"/>
  <c r="AK247" i="1" s="1"/>
  <c r="AD247" i="1" a="1"/>
  <c r="AD247" i="1" s="1"/>
  <c r="T247" i="1" a="1"/>
  <c r="T247" i="1" s="1"/>
  <c r="K247" i="1" a="1"/>
  <c r="K247" i="1" s="1"/>
  <c r="AI247" i="1" a="1"/>
  <c r="AI247" i="1" s="1"/>
  <c r="Z247" i="1" a="1"/>
  <c r="Z247" i="1" s="1"/>
  <c r="R247" i="1" a="1"/>
  <c r="R247" i="1" s="1"/>
  <c r="V247" i="1" a="1"/>
  <c r="V247" i="1" s="1"/>
  <c r="O247" i="1" a="1"/>
  <c r="O247" i="1" s="1"/>
  <c r="P247" i="1" s="1"/>
  <c r="M247" i="1" s="1"/>
  <c r="J247" i="1" a="1"/>
  <c r="J247" i="1" s="1"/>
  <c r="Q246" i="1" a="1"/>
  <c r="Q246" i="1" s="1"/>
  <c r="I246" i="1"/>
  <c r="X246" i="1"/>
  <c r="AF246" i="1"/>
  <c r="B248" i="1"/>
  <c r="A247" i="1"/>
  <c r="AA247" i="1" l="1"/>
  <c r="AY246" i="1"/>
  <c r="D248" i="1"/>
  <c r="E248" i="1"/>
  <c r="C248" i="1"/>
  <c r="AO246" i="1"/>
  <c r="H247" i="1"/>
  <c r="AY247" i="1" s="1"/>
  <c r="L247" i="1"/>
  <c r="Q247" i="1" s="1" a="1"/>
  <c r="Q247" i="1" s="1"/>
  <c r="AE247" i="1"/>
  <c r="AB247" i="1" s="1"/>
  <c r="G248" i="1" a="1"/>
  <c r="G248" i="1" s="1"/>
  <c r="BB248" i="1" a="1"/>
  <c r="BB248" i="1" s="1"/>
  <c r="BD248" i="1" a="1"/>
  <c r="BD248" i="1" s="1"/>
  <c r="BF248" i="1" a="1"/>
  <c r="BF248" i="1" s="1"/>
  <c r="AW248" i="1" a="1"/>
  <c r="AW248" i="1" s="1"/>
  <c r="AS248" i="1" a="1"/>
  <c r="AS248" i="1" s="1"/>
  <c r="F248" i="1" a="1"/>
  <c r="F248" i="1" s="1"/>
  <c r="H248" i="1" s="1"/>
  <c r="BA248" i="1" a="1"/>
  <c r="BA248" i="1" s="1"/>
  <c r="BE248" i="1" a="1"/>
  <c r="BE248" i="1" s="1"/>
  <c r="AV248" i="1" a="1"/>
  <c r="AV248" i="1" s="1"/>
  <c r="AH248" i="1" a="1"/>
  <c r="AH248" i="1" s="1"/>
  <c r="AJ248" i="1" a="1"/>
  <c r="AJ248" i="1" s="1"/>
  <c r="AL248" i="1" a="1"/>
  <c r="AL248" i="1" s="1"/>
  <c r="AD248" i="1" a="1"/>
  <c r="AD248" i="1" s="1"/>
  <c r="Z248" i="1" a="1"/>
  <c r="Z248" i="1" s="1"/>
  <c r="S248" i="1" a="1"/>
  <c r="S248" i="1" s="1"/>
  <c r="U248" i="1" a="1"/>
  <c r="U248" i="1" s="1"/>
  <c r="W248" i="1" a="1"/>
  <c r="W248" i="1" s="1"/>
  <c r="O248" i="1" a="1"/>
  <c r="O248" i="1" s="1"/>
  <c r="K248" i="1" a="1"/>
  <c r="K248" i="1" s="1"/>
  <c r="J248" i="1" a="1"/>
  <c r="J248" i="1" s="1"/>
  <c r="BC248" i="1" a="1"/>
  <c r="BC248" i="1" s="1"/>
  <c r="AI248" i="1" a="1"/>
  <c r="AI248" i="1" s="1"/>
  <c r="Y248" i="1" a="1"/>
  <c r="Y248" i="1" s="1"/>
  <c r="R248" i="1" a="1"/>
  <c r="R248" i="1" s="1"/>
  <c r="V248" i="1" a="1"/>
  <c r="V248" i="1" s="1"/>
  <c r="N248" i="1" a="1"/>
  <c r="N248" i="1" s="1"/>
  <c r="AR248" i="1" a="1"/>
  <c r="AR248" i="1" s="1"/>
  <c r="AG248" i="1" a="1"/>
  <c r="AG248" i="1" s="1"/>
  <c r="AK248" i="1" a="1"/>
  <c r="AK248" i="1" s="1"/>
  <c r="AC248" i="1" a="1"/>
  <c r="AC248" i="1" s="1"/>
  <c r="T248" i="1" a="1"/>
  <c r="T248" i="1" s="1"/>
  <c r="X247" i="1"/>
  <c r="AF247" i="1"/>
  <c r="I247" i="1"/>
  <c r="B249" i="1"/>
  <c r="A248" i="1"/>
  <c r="AZ248" i="1" l="1"/>
  <c r="AO247" i="1"/>
  <c r="D249" i="1"/>
  <c r="E249" i="1"/>
  <c r="C249" i="1"/>
  <c r="AZ249" i="1" s="1"/>
  <c r="AX248" i="1"/>
  <c r="L248" i="1"/>
  <c r="AT248" i="1"/>
  <c r="AY248" i="1" s="1"/>
  <c r="AE248" i="1"/>
  <c r="AB248" i="1" s="1"/>
  <c r="P248" i="1"/>
  <c r="M248" i="1" s="1"/>
  <c r="AA248" i="1"/>
  <c r="F249" i="1" a="1"/>
  <c r="F249" i="1" s="1"/>
  <c r="BB249" i="1" a="1"/>
  <c r="BB249" i="1" s="1"/>
  <c r="BD249" i="1" a="1"/>
  <c r="BD249" i="1" s="1"/>
  <c r="BF249" i="1" a="1"/>
  <c r="BF249" i="1" s="1"/>
  <c r="AV249" i="1" a="1"/>
  <c r="AV249" i="1" s="1"/>
  <c r="AR249" i="1" a="1"/>
  <c r="AR249" i="1" s="1"/>
  <c r="G249" i="1" a="1"/>
  <c r="G249" i="1" s="1"/>
  <c r="BC249" i="1" a="1"/>
  <c r="BC249" i="1" s="1"/>
  <c r="AW249" i="1" a="1"/>
  <c r="AW249" i="1" s="1"/>
  <c r="AX249" i="1" s="1"/>
  <c r="AH249" i="1" a="1"/>
  <c r="AH249" i="1" s="1"/>
  <c r="AJ249" i="1" a="1"/>
  <c r="AJ249" i="1" s="1"/>
  <c r="AL249" i="1" a="1"/>
  <c r="AL249" i="1" s="1"/>
  <c r="AC249" i="1" a="1"/>
  <c r="AC249" i="1" s="1"/>
  <c r="Y249" i="1" a="1"/>
  <c r="Y249" i="1" s="1"/>
  <c r="S249" i="1" a="1"/>
  <c r="S249" i="1" s="1"/>
  <c r="U249" i="1" a="1"/>
  <c r="U249" i="1" s="1"/>
  <c r="W249" i="1" a="1"/>
  <c r="W249" i="1" s="1"/>
  <c r="N249" i="1" a="1"/>
  <c r="N249" i="1" s="1"/>
  <c r="BA249" i="1" a="1"/>
  <c r="BA249" i="1" s="1"/>
  <c r="BE249" i="1" a="1"/>
  <c r="BE249" i="1" s="1"/>
  <c r="AS249" i="1" a="1"/>
  <c r="AS249" i="1" s="1"/>
  <c r="AG249" i="1" a="1"/>
  <c r="AG249" i="1" s="1"/>
  <c r="AK249" i="1" a="1"/>
  <c r="AK249" i="1" s="1"/>
  <c r="Z249" i="1" a="1"/>
  <c r="Z249" i="1" s="1"/>
  <c r="AA249" i="1" s="1"/>
  <c r="T249" i="1" a="1"/>
  <c r="T249" i="1" s="1"/>
  <c r="O249" i="1" a="1"/>
  <c r="O249" i="1" s="1"/>
  <c r="P249" i="1" s="1"/>
  <c r="M249" i="1" s="1"/>
  <c r="J249" i="1" a="1"/>
  <c r="J249" i="1" s="1"/>
  <c r="AI249" i="1" a="1"/>
  <c r="AI249" i="1" s="1"/>
  <c r="AD249" i="1" a="1"/>
  <c r="AD249" i="1" s="1"/>
  <c r="AE249" i="1" s="1"/>
  <c r="AB249" i="1" s="1"/>
  <c r="R249" i="1" a="1"/>
  <c r="R249" i="1" s="1"/>
  <c r="V249" i="1" a="1"/>
  <c r="V249" i="1" s="1"/>
  <c r="K249" i="1" a="1"/>
  <c r="K249" i="1" s="1"/>
  <c r="Q248" i="1" a="1"/>
  <c r="Q248" i="1" s="1"/>
  <c r="I248" i="1"/>
  <c r="X248" i="1"/>
  <c r="AF248" i="1"/>
  <c r="B250" i="1"/>
  <c r="A249" i="1"/>
  <c r="L249" i="1" l="1"/>
  <c r="D250" i="1"/>
  <c r="E250" i="1"/>
  <c r="C250" i="1"/>
  <c r="AZ250" i="1" s="1"/>
  <c r="AO248" i="1"/>
  <c r="AT249" i="1"/>
  <c r="H249" i="1"/>
  <c r="G250" i="1" a="1"/>
  <c r="G250" i="1" s="1"/>
  <c r="BB250" i="1" a="1"/>
  <c r="BB250" i="1" s="1"/>
  <c r="BD250" i="1" a="1"/>
  <c r="BD250" i="1" s="1"/>
  <c r="BF250" i="1" a="1"/>
  <c r="BF250" i="1" s="1"/>
  <c r="AW250" i="1" a="1"/>
  <c r="AW250" i="1" s="1"/>
  <c r="AS250" i="1" a="1"/>
  <c r="AS250" i="1" s="1"/>
  <c r="BA250" i="1" a="1"/>
  <c r="BA250" i="1" s="1"/>
  <c r="BE250" i="1" a="1"/>
  <c r="BE250" i="1" s="1"/>
  <c r="AR250" i="1" a="1"/>
  <c r="AR250" i="1" s="1"/>
  <c r="AH250" i="1" a="1"/>
  <c r="AH250" i="1" s="1"/>
  <c r="AJ250" i="1" a="1"/>
  <c r="AJ250" i="1" s="1"/>
  <c r="AL250" i="1" a="1"/>
  <c r="AL250" i="1" s="1"/>
  <c r="AD250" i="1" a="1"/>
  <c r="AD250" i="1" s="1"/>
  <c r="Z250" i="1" a="1"/>
  <c r="Z250" i="1" s="1"/>
  <c r="S250" i="1" a="1"/>
  <c r="S250" i="1" s="1"/>
  <c r="U250" i="1" a="1"/>
  <c r="U250" i="1" s="1"/>
  <c r="W250" i="1" a="1"/>
  <c r="W250" i="1" s="1"/>
  <c r="O250" i="1" a="1"/>
  <c r="O250" i="1" s="1"/>
  <c r="K250" i="1" a="1"/>
  <c r="K250" i="1" s="1"/>
  <c r="J250" i="1" a="1"/>
  <c r="J250" i="1" s="1"/>
  <c r="F250" i="1" a="1"/>
  <c r="F250" i="1" s="1"/>
  <c r="H250" i="1" s="1"/>
  <c r="BC250" i="1" a="1"/>
  <c r="BC250" i="1" s="1"/>
  <c r="AV250" i="1" a="1"/>
  <c r="AV250" i="1" s="1"/>
  <c r="AI250" i="1" a="1"/>
  <c r="AI250" i="1" s="1"/>
  <c r="AC250" i="1" a="1"/>
  <c r="AC250" i="1" s="1"/>
  <c r="R250" i="1" a="1"/>
  <c r="R250" i="1" s="1"/>
  <c r="V250" i="1" a="1"/>
  <c r="V250" i="1" s="1"/>
  <c r="AG250" i="1" a="1"/>
  <c r="AG250" i="1" s="1"/>
  <c r="AK250" i="1" a="1"/>
  <c r="AK250" i="1" s="1"/>
  <c r="Y250" i="1" a="1"/>
  <c r="Y250" i="1" s="1"/>
  <c r="T250" i="1" a="1"/>
  <c r="T250" i="1" s="1"/>
  <c r="N250" i="1" a="1"/>
  <c r="N250" i="1" s="1"/>
  <c r="I249" i="1"/>
  <c r="Q249" i="1" a="1"/>
  <c r="Q249" i="1" s="1"/>
  <c r="X249" i="1"/>
  <c r="AF249" i="1"/>
  <c r="B251" i="1"/>
  <c r="A250" i="1"/>
  <c r="D251" i="1" l="1"/>
  <c r="E251" i="1"/>
  <c r="C251" i="1"/>
  <c r="AY249" i="1"/>
  <c r="AT250" i="1"/>
  <c r="L250" i="1"/>
  <c r="AX250" i="1"/>
  <c r="AE250" i="1"/>
  <c r="AB250" i="1" s="1"/>
  <c r="AO249" i="1"/>
  <c r="P250" i="1"/>
  <c r="M250" i="1" s="1"/>
  <c r="AA250" i="1"/>
  <c r="F251" i="1" a="1"/>
  <c r="F251" i="1" s="1"/>
  <c r="BB251" i="1" a="1"/>
  <c r="BB251" i="1" s="1"/>
  <c r="BD251" i="1" a="1"/>
  <c r="BD251" i="1" s="1"/>
  <c r="BF251" i="1" a="1"/>
  <c r="BF251" i="1" s="1"/>
  <c r="AV251" i="1" a="1"/>
  <c r="AV251" i="1" s="1"/>
  <c r="AR251" i="1" a="1"/>
  <c r="AR251" i="1" s="1"/>
  <c r="BC251" i="1" a="1"/>
  <c r="BC251" i="1" s="1"/>
  <c r="AS251" i="1" a="1"/>
  <c r="AS251" i="1" s="1"/>
  <c r="AT251" i="1" s="1"/>
  <c r="AH251" i="1" a="1"/>
  <c r="AH251" i="1" s="1"/>
  <c r="AJ251" i="1" a="1"/>
  <c r="AJ251" i="1" s="1"/>
  <c r="AL251" i="1" a="1"/>
  <c r="AL251" i="1" s="1"/>
  <c r="AC251" i="1" a="1"/>
  <c r="AC251" i="1" s="1"/>
  <c r="Y251" i="1" a="1"/>
  <c r="Y251" i="1" s="1"/>
  <c r="S251" i="1" a="1"/>
  <c r="S251" i="1" s="1"/>
  <c r="U251" i="1" a="1"/>
  <c r="U251" i="1" s="1"/>
  <c r="W251" i="1" a="1"/>
  <c r="W251" i="1" s="1"/>
  <c r="N251" i="1" a="1"/>
  <c r="N251" i="1" s="1"/>
  <c r="G251" i="1" a="1"/>
  <c r="G251" i="1" s="1"/>
  <c r="BA251" i="1" a="1"/>
  <c r="BA251" i="1" s="1"/>
  <c r="BE251" i="1" a="1"/>
  <c r="BE251" i="1" s="1"/>
  <c r="AW251" i="1" a="1"/>
  <c r="AW251" i="1" s="1"/>
  <c r="AX251" i="1" s="1"/>
  <c r="AG251" i="1" a="1"/>
  <c r="AG251" i="1" s="1"/>
  <c r="AK251" i="1" a="1"/>
  <c r="AK251" i="1" s="1"/>
  <c r="AD251" i="1" a="1"/>
  <c r="AD251" i="1" s="1"/>
  <c r="AE251" i="1" s="1"/>
  <c r="AB251" i="1" s="1"/>
  <c r="T251" i="1" a="1"/>
  <c r="T251" i="1" s="1"/>
  <c r="K251" i="1" a="1"/>
  <c r="K251" i="1" s="1"/>
  <c r="AI251" i="1" a="1"/>
  <c r="AI251" i="1" s="1"/>
  <c r="Z251" i="1" a="1"/>
  <c r="Z251" i="1" s="1"/>
  <c r="R251" i="1" a="1"/>
  <c r="R251" i="1" s="1"/>
  <c r="V251" i="1" a="1"/>
  <c r="V251" i="1" s="1"/>
  <c r="O251" i="1" a="1"/>
  <c r="O251" i="1" s="1"/>
  <c r="P251" i="1" s="1"/>
  <c r="M251" i="1" s="1"/>
  <c r="J251" i="1" a="1"/>
  <c r="J251" i="1" s="1"/>
  <c r="Q250" i="1" a="1"/>
  <c r="Q250" i="1" s="1"/>
  <c r="I250" i="1"/>
  <c r="X250" i="1"/>
  <c r="AF250" i="1"/>
  <c r="B252" i="1"/>
  <c r="A251" i="1"/>
  <c r="AZ251" i="1" l="1"/>
  <c r="AA251" i="1"/>
  <c r="D252" i="1"/>
  <c r="E252" i="1"/>
  <c r="C252" i="1"/>
  <c r="AZ252" i="1" s="1"/>
  <c r="AY250" i="1"/>
  <c r="L251" i="1"/>
  <c r="AO250" i="1"/>
  <c r="H251" i="1"/>
  <c r="AY251" i="1" s="1"/>
  <c r="G252" i="1" a="1"/>
  <c r="G252" i="1" s="1"/>
  <c r="BB252" i="1" a="1"/>
  <c r="BB252" i="1" s="1"/>
  <c r="BD252" i="1" a="1"/>
  <c r="BD252" i="1" s="1"/>
  <c r="BF252" i="1" a="1"/>
  <c r="BF252" i="1" s="1"/>
  <c r="AW252" i="1" a="1"/>
  <c r="AW252" i="1" s="1"/>
  <c r="AS252" i="1" a="1"/>
  <c r="AS252" i="1" s="1"/>
  <c r="F252" i="1" a="1"/>
  <c r="F252" i="1" s="1"/>
  <c r="H252" i="1" s="1"/>
  <c r="BA252" i="1" a="1"/>
  <c r="BA252" i="1" s="1"/>
  <c r="BE252" i="1" a="1"/>
  <c r="BE252" i="1" s="1"/>
  <c r="AV252" i="1" a="1"/>
  <c r="AV252" i="1" s="1"/>
  <c r="AH252" i="1" a="1"/>
  <c r="AH252" i="1" s="1"/>
  <c r="AJ252" i="1" a="1"/>
  <c r="AJ252" i="1" s="1"/>
  <c r="AL252" i="1" a="1"/>
  <c r="AL252" i="1" s="1"/>
  <c r="AD252" i="1" a="1"/>
  <c r="AD252" i="1" s="1"/>
  <c r="Z252" i="1" a="1"/>
  <c r="Z252" i="1" s="1"/>
  <c r="S252" i="1" a="1"/>
  <c r="S252" i="1" s="1"/>
  <c r="U252" i="1" a="1"/>
  <c r="U252" i="1" s="1"/>
  <c r="W252" i="1" a="1"/>
  <c r="W252" i="1" s="1"/>
  <c r="O252" i="1" a="1"/>
  <c r="O252" i="1" s="1"/>
  <c r="K252" i="1" a="1"/>
  <c r="K252" i="1" s="1"/>
  <c r="J252" i="1" a="1"/>
  <c r="J252" i="1" s="1"/>
  <c r="BC252" i="1" a="1"/>
  <c r="BC252" i="1" s="1"/>
  <c r="AR252" i="1" a="1"/>
  <c r="AR252" i="1" s="1"/>
  <c r="AI252" i="1" a="1"/>
  <c r="AI252" i="1" s="1"/>
  <c r="Y252" i="1" a="1"/>
  <c r="Y252" i="1" s="1"/>
  <c r="R252" i="1" a="1"/>
  <c r="R252" i="1" s="1"/>
  <c r="V252" i="1" a="1"/>
  <c r="V252" i="1" s="1"/>
  <c r="N252" i="1" a="1"/>
  <c r="N252" i="1" s="1"/>
  <c r="AG252" i="1" a="1"/>
  <c r="AG252" i="1" s="1"/>
  <c r="AK252" i="1" a="1"/>
  <c r="AK252" i="1" s="1"/>
  <c r="AC252" i="1" a="1"/>
  <c r="AC252" i="1" s="1"/>
  <c r="T252" i="1" a="1"/>
  <c r="T252" i="1" s="1"/>
  <c r="X251" i="1"/>
  <c r="AF251" i="1"/>
  <c r="I251" i="1"/>
  <c r="Q251" i="1" a="1"/>
  <c r="Q251" i="1" s="1"/>
  <c r="AO251" i="1" s="1"/>
  <c r="B253" i="1"/>
  <c r="A252" i="1"/>
  <c r="D253" i="1" l="1"/>
  <c r="E253" i="1"/>
  <c r="C253" i="1"/>
  <c r="L252" i="1"/>
  <c r="AX252" i="1"/>
  <c r="AT252" i="1"/>
  <c r="P252" i="1"/>
  <c r="M252" i="1" s="1"/>
  <c r="AA252" i="1"/>
  <c r="AE252" i="1"/>
  <c r="AB252" i="1" s="1"/>
  <c r="F253" i="1" a="1"/>
  <c r="F253" i="1" s="1"/>
  <c r="BB253" i="1" a="1"/>
  <c r="BB253" i="1" s="1"/>
  <c r="BD253" i="1" a="1"/>
  <c r="BD253" i="1" s="1"/>
  <c r="BF253" i="1" a="1"/>
  <c r="BF253" i="1" s="1"/>
  <c r="AV253" i="1" a="1"/>
  <c r="AV253" i="1" s="1"/>
  <c r="AR253" i="1" a="1"/>
  <c r="AR253" i="1" s="1"/>
  <c r="G253" i="1" a="1"/>
  <c r="G253" i="1" s="1"/>
  <c r="BC253" i="1" a="1"/>
  <c r="BC253" i="1" s="1"/>
  <c r="AW253" i="1" a="1"/>
  <c r="AW253" i="1" s="1"/>
  <c r="AX253" i="1" s="1"/>
  <c r="AH253" i="1" a="1"/>
  <c r="AH253" i="1" s="1"/>
  <c r="AJ253" i="1" a="1"/>
  <c r="AJ253" i="1" s="1"/>
  <c r="AL253" i="1" a="1"/>
  <c r="AL253" i="1" s="1"/>
  <c r="AC253" i="1" a="1"/>
  <c r="AC253" i="1" s="1"/>
  <c r="Y253" i="1" a="1"/>
  <c r="Y253" i="1" s="1"/>
  <c r="S253" i="1" a="1"/>
  <c r="S253" i="1" s="1"/>
  <c r="U253" i="1" a="1"/>
  <c r="U253" i="1" s="1"/>
  <c r="W253" i="1" a="1"/>
  <c r="W253" i="1" s="1"/>
  <c r="N253" i="1" a="1"/>
  <c r="N253" i="1" s="1"/>
  <c r="BA253" i="1" a="1"/>
  <c r="BA253" i="1" s="1"/>
  <c r="BE253" i="1" a="1"/>
  <c r="BE253" i="1" s="1"/>
  <c r="AS253" i="1" a="1"/>
  <c r="AS253" i="1" s="1"/>
  <c r="AG253" i="1" a="1"/>
  <c r="AG253" i="1" s="1"/>
  <c r="AK253" i="1" a="1"/>
  <c r="AK253" i="1" s="1"/>
  <c r="Z253" i="1" a="1"/>
  <c r="Z253" i="1" s="1"/>
  <c r="AA253" i="1" s="1"/>
  <c r="T253" i="1" a="1"/>
  <c r="T253" i="1" s="1"/>
  <c r="O253" i="1" a="1"/>
  <c r="O253" i="1" s="1"/>
  <c r="P253" i="1" s="1"/>
  <c r="M253" i="1" s="1"/>
  <c r="J253" i="1" a="1"/>
  <c r="J253" i="1" s="1"/>
  <c r="AI253" i="1" a="1"/>
  <c r="AI253" i="1" s="1"/>
  <c r="AD253" i="1" a="1"/>
  <c r="AD253" i="1" s="1"/>
  <c r="AE253" i="1" s="1"/>
  <c r="AB253" i="1" s="1"/>
  <c r="R253" i="1" a="1"/>
  <c r="R253" i="1" s="1"/>
  <c r="V253" i="1" a="1"/>
  <c r="V253" i="1" s="1"/>
  <c r="K253" i="1" a="1"/>
  <c r="K253" i="1" s="1"/>
  <c r="I252" i="1"/>
  <c r="X252" i="1"/>
  <c r="AF252" i="1"/>
  <c r="B254" i="1"/>
  <c r="A253" i="1"/>
  <c r="AT253" i="1" l="1"/>
  <c r="D254" i="1"/>
  <c r="E254" i="1"/>
  <c r="C254" i="1"/>
  <c r="AY252" i="1"/>
  <c r="L253" i="1"/>
  <c r="Q252" i="1" a="1"/>
  <c r="Q252" i="1" s="1"/>
  <c r="AO252" i="1" s="1"/>
  <c r="H253" i="1"/>
  <c r="G254" i="1" a="1"/>
  <c r="G254" i="1" s="1"/>
  <c r="BB254" i="1" a="1"/>
  <c r="BB254" i="1" s="1"/>
  <c r="BD254" i="1" a="1"/>
  <c r="BD254" i="1" s="1"/>
  <c r="BF254" i="1" a="1"/>
  <c r="BF254" i="1" s="1"/>
  <c r="AW254" i="1" a="1"/>
  <c r="AW254" i="1" s="1"/>
  <c r="AS254" i="1" a="1"/>
  <c r="AS254" i="1" s="1"/>
  <c r="BA254" i="1" a="1"/>
  <c r="BA254" i="1" s="1"/>
  <c r="BE254" i="1" a="1"/>
  <c r="BE254" i="1" s="1"/>
  <c r="AR254" i="1" a="1"/>
  <c r="AR254" i="1" s="1"/>
  <c r="AH254" i="1" a="1"/>
  <c r="AH254" i="1" s="1"/>
  <c r="AJ254" i="1" a="1"/>
  <c r="AJ254" i="1" s="1"/>
  <c r="AL254" i="1" a="1"/>
  <c r="AL254" i="1" s="1"/>
  <c r="AD254" i="1" a="1"/>
  <c r="AD254" i="1" s="1"/>
  <c r="Z254" i="1" a="1"/>
  <c r="Z254" i="1" s="1"/>
  <c r="S254" i="1" a="1"/>
  <c r="S254" i="1" s="1"/>
  <c r="U254" i="1" a="1"/>
  <c r="U254" i="1" s="1"/>
  <c r="W254" i="1" a="1"/>
  <c r="W254" i="1" s="1"/>
  <c r="O254" i="1" a="1"/>
  <c r="O254" i="1" s="1"/>
  <c r="K254" i="1" a="1"/>
  <c r="K254" i="1" s="1"/>
  <c r="J254" i="1" a="1"/>
  <c r="J254" i="1" s="1"/>
  <c r="F254" i="1" a="1"/>
  <c r="F254" i="1" s="1"/>
  <c r="H254" i="1" s="1"/>
  <c r="BC254" i="1" a="1"/>
  <c r="BC254" i="1" s="1"/>
  <c r="AV254" i="1" a="1"/>
  <c r="AV254" i="1" s="1"/>
  <c r="AI254" i="1" a="1"/>
  <c r="AI254" i="1" s="1"/>
  <c r="AC254" i="1" a="1"/>
  <c r="AC254" i="1" s="1"/>
  <c r="R254" i="1" a="1"/>
  <c r="R254" i="1" s="1"/>
  <c r="V254" i="1" a="1"/>
  <c r="V254" i="1" s="1"/>
  <c r="AG254" i="1" a="1"/>
  <c r="AG254" i="1" s="1"/>
  <c r="AK254" i="1" a="1"/>
  <c r="AK254" i="1" s="1"/>
  <c r="Y254" i="1" a="1"/>
  <c r="Y254" i="1" s="1"/>
  <c r="T254" i="1" a="1"/>
  <c r="T254" i="1" s="1"/>
  <c r="N254" i="1" a="1"/>
  <c r="N254" i="1" s="1"/>
  <c r="I253" i="1"/>
  <c r="Q253" i="1" a="1"/>
  <c r="Q253" i="1" s="1"/>
  <c r="X253" i="1"/>
  <c r="AF253" i="1"/>
  <c r="B255" i="1"/>
  <c r="A254" i="1"/>
  <c r="AY253" i="1" l="1"/>
  <c r="D255" i="1"/>
  <c r="E255" i="1"/>
  <c r="C255" i="1"/>
  <c r="AZ255" i="1" s="1"/>
  <c r="AT254" i="1"/>
  <c r="AX254" i="1"/>
  <c r="L254" i="1"/>
  <c r="AE254" i="1"/>
  <c r="AB254" i="1" s="1"/>
  <c r="AO253" i="1"/>
  <c r="P254" i="1"/>
  <c r="M254" i="1" s="1"/>
  <c r="AA254" i="1"/>
  <c r="F255" i="1" a="1"/>
  <c r="F255" i="1" s="1"/>
  <c r="BB255" i="1" a="1"/>
  <c r="BB255" i="1" s="1"/>
  <c r="BD255" i="1" a="1"/>
  <c r="BD255" i="1" s="1"/>
  <c r="BF255" i="1" a="1"/>
  <c r="BF255" i="1" s="1"/>
  <c r="AV255" i="1" a="1"/>
  <c r="AV255" i="1" s="1"/>
  <c r="AR255" i="1" a="1"/>
  <c r="AR255" i="1" s="1"/>
  <c r="BC255" i="1" a="1"/>
  <c r="BC255" i="1" s="1"/>
  <c r="AS255" i="1" a="1"/>
  <c r="AS255" i="1" s="1"/>
  <c r="AT255" i="1" s="1"/>
  <c r="AH255" i="1" a="1"/>
  <c r="AH255" i="1" s="1"/>
  <c r="AJ255" i="1" a="1"/>
  <c r="AJ255" i="1" s="1"/>
  <c r="AL255" i="1" a="1"/>
  <c r="AL255" i="1" s="1"/>
  <c r="AC255" i="1" a="1"/>
  <c r="AC255" i="1" s="1"/>
  <c r="Y255" i="1" a="1"/>
  <c r="Y255" i="1" s="1"/>
  <c r="S255" i="1" a="1"/>
  <c r="S255" i="1" s="1"/>
  <c r="U255" i="1" a="1"/>
  <c r="U255" i="1" s="1"/>
  <c r="W255" i="1" a="1"/>
  <c r="W255" i="1" s="1"/>
  <c r="N255" i="1" a="1"/>
  <c r="N255" i="1" s="1"/>
  <c r="G255" i="1" a="1"/>
  <c r="G255" i="1" s="1"/>
  <c r="BA255" i="1" a="1"/>
  <c r="BA255" i="1" s="1"/>
  <c r="BE255" i="1" a="1"/>
  <c r="BE255" i="1" s="1"/>
  <c r="AW255" i="1" a="1"/>
  <c r="AW255" i="1" s="1"/>
  <c r="AX255" i="1" s="1"/>
  <c r="AG255" i="1" a="1"/>
  <c r="AG255" i="1" s="1"/>
  <c r="AK255" i="1" a="1"/>
  <c r="AK255" i="1" s="1"/>
  <c r="AD255" i="1" a="1"/>
  <c r="AD255" i="1" s="1"/>
  <c r="AE255" i="1" s="1"/>
  <c r="AB255" i="1" s="1"/>
  <c r="T255" i="1" a="1"/>
  <c r="T255" i="1" s="1"/>
  <c r="K255" i="1" a="1"/>
  <c r="K255" i="1" s="1"/>
  <c r="AI255" i="1" a="1"/>
  <c r="AI255" i="1" s="1"/>
  <c r="Z255" i="1" a="1"/>
  <c r="Z255" i="1" s="1"/>
  <c r="R255" i="1" a="1"/>
  <c r="R255" i="1" s="1"/>
  <c r="V255" i="1" a="1"/>
  <c r="V255" i="1" s="1"/>
  <c r="O255" i="1" a="1"/>
  <c r="O255" i="1" s="1"/>
  <c r="P255" i="1" s="1"/>
  <c r="M255" i="1" s="1"/>
  <c r="J255" i="1" a="1"/>
  <c r="J255" i="1" s="1"/>
  <c r="Q254" i="1" a="1"/>
  <c r="Q254" i="1" s="1"/>
  <c r="I254" i="1"/>
  <c r="X254" i="1"/>
  <c r="AF254" i="1"/>
  <c r="B256" i="1"/>
  <c r="A255" i="1"/>
  <c r="AA255" i="1" l="1"/>
  <c r="D256" i="1"/>
  <c r="E256" i="1"/>
  <c r="C256" i="1"/>
  <c r="AZ256" i="1" s="1"/>
  <c r="AY254" i="1"/>
  <c r="AZ254" i="1" s="1"/>
  <c r="L255" i="1"/>
  <c r="AO254" i="1"/>
  <c r="H255" i="1"/>
  <c r="AY255" i="1" s="1"/>
  <c r="G256" i="1" a="1"/>
  <c r="G256" i="1" s="1"/>
  <c r="BB256" i="1" a="1"/>
  <c r="BB256" i="1" s="1"/>
  <c r="BD256" i="1" a="1"/>
  <c r="BD256" i="1" s="1"/>
  <c r="BF256" i="1" a="1"/>
  <c r="BF256" i="1" s="1"/>
  <c r="AW256" i="1" a="1"/>
  <c r="AW256" i="1" s="1"/>
  <c r="AS256" i="1" a="1"/>
  <c r="AS256" i="1" s="1"/>
  <c r="F256" i="1" a="1"/>
  <c r="F256" i="1" s="1"/>
  <c r="H256" i="1" s="1"/>
  <c r="BA256" i="1" a="1"/>
  <c r="BA256" i="1" s="1"/>
  <c r="BE256" i="1" a="1"/>
  <c r="BE256" i="1" s="1"/>
  <c r="AV256" i="1" a="1"/>
  <c r="AV256" i="1" s="1"/>
  <c r="AH256" i="1" a="1"/>
  <c r="AH256" i="1" s="1"/>
  <c r="AJ256" i="1" a="1"/>
  <c r="AJ256" i="1" s="1"/>
  <c r="AL256" i="1" a="1"/>
  <c r="AL256" i="1" s="1"/>
  <c r="AD256" i="1" a="1"/>
  <c r="AD256" i="1" s="1"/>
  <c r="Z256" i="1" a="1"/>
  <c r="Z256" i="1" s="1"/>
  <c r="S256" i="1" a="1"/>
  <c r="S256" i="1" s="1"/>
  <c r="U256" i="1" a="1"/>
  <c r="U256" i="1" s="1"/>
  <c r="W256" i="1" a="1"/>
  <c r="W256" i="1" s="1"/>
  <c r="O256" i="1" a="1"/>
  <c r="O256" i="1" s="1"/>
  <c r="K256" i="1" a="1"/>
  <c r="K256" i="1" s="1"/>
  <c r="J256" i="1" a="1"/>
  <c r="J256" i="1" s="1"/>
  <c r="BC256" i="1" a="1"/>
  <c r="BC256" i="1" s="1"/>
  <c r="AI256" i="1" a="1"/>
  <c r="AI256" i="1" s="1"/>
  <c r="Y256" i="1" a="1"/>
  <c r="Y256" i="1" s="1"/>
  <c r="R256" i="1" a="1"/>
  <c r="R256" i="1" s="1"/>
  <c r="V256" i="1" a="1"/>
  <c r="V256" i="1" s="1"/>
  <c r="N256" i="1" a="1"/>
  <c r="N256" i="1" s="1"/>
  <c r="AR256" i="1" a="1"/>
  <c r="AR256" i="1" s="1"/>
  <c r="AG256" i="1" a="1"/>
  <c r="AG256" i="1" s="1"/>
  <c r="AK256" i="1" a="1"/>
  <c r="AK256" i="1" s="1"/>
  <c r="AC256" i="1" a="1"/>
  <c r="AC256" i="1" s="1"/>
  <c r="T256" i="1" a="1"/>
  <c r="T256" i="1" s="1"/>
  <c r="X255" i="1"/>
  <c r="AF255" i="1"/>
  <c r="I255" i="1"/>
  <c r="Q255" i="1" a="1"/>
  <c r="Q255" i="1" s="1"/>
  <c r="AO255" i="1" s="1"/>
  <c r="B257" i="1"/>
  <c r="A256" i="1"/>
  <c r="D257" i="1" l="1"/>
  <c r="E257" i="1"/>
  <c r="C257" i="1"/>
  <c r="AZ257" i="1" s="1"/>
  <c r="AX256" i="1"/>
  <c r="AT256" i="1"/>
  <c r="P256" i="1"/>
  <c r="M256" i="1" s="1"/>
  <c r="AA256" i="1"/>
  <c r="L256" i="1"/>
  <c r="AE256" i="1"/>
  <c r="AB256" i="1" s="1"/>
  <c r="F257" i="1" a="1"/>
  <c r="F257" i="1" s="1"/>
  <c r="BB257" i="1" a="1"/>
  <c r="BB257" i="1" s="1"/>
  <c r="BD257" i="1" a="1"/>
  <c r="BD257" i="1" s="1"/>
  <c r="BF257" i="1" a="1"/>
  <c r="BF257" i="1" s="1"/>
  <c r="AV257" i="1" a="1"/>
  <c r="AV257" i="1" s="1"/>
  <c r="AR257" i="1" a="1"/>
  <c r="AR257" i="1" s="1"/>
  <c r="G257" i="1" a="1"/>
  <c r="G257" i="1" s="1"/>
  <c r="BC257" i="1" a="1"/>
  <c r="BC257" i="1" s="1"/>
  <c r="AW257" i="1" a="1"/>
  <c r="AW257" i="1" s="1"/>
  <c r="AX257" i="1" s="1"/>
  <c r="AH257" i="1" a="1"/>
  <c r="AH257" i="1" s="1"/>
  <c r="AJ257" i="1" a="1"/>
  <c r="AJ257" i="1" s="1"/>
  <c r="AL257" i="1" a="1"/>
  <c r="AL257" i="1" s="1"/>
  <c r="AC257" i="1" a="1"/>
  <c r="AC257" i="1" s="1"/>
  <c r="Y257" i="1" a="1"/>
  <c r="Y257" i="1" s="1"/>
  <c r="S257" i="1" a="1"/>
  <c r="S257" i="1" s="1"/>
  <c r="U257" i="1" a="1"/>
  <c r="U257" i="1" s="1"/>
  <c r="W257" i="1" a="1"/>
  <c r="W257" i="1" s="1"/>
  <c r="N257" i="1" a="1"/>
  <c r="N257" i="1" s="1"/>
  <c r="BA257" i="1" a="1"/>
  <c r="BA257" i="1" s="1"/>
  <c r="BE257" i="1" a="1"/>
  <c r="BE257" i="1" s="1"/>
  <c r="AS257" i="1" a="1"/>
  <c r="AS257" i="1" s="1"/>
  <c r="AG257" i="1" a="1"/>
  <c r="AG257" i="1" s="1"/>
  <c r="AK257" i="1" a="1"/>
  <c r="AK257" i="1" s="1"/>
  <c r="Z257" i="1" a="1"/>
  <c r="Z257" i="1" s="1"/>
  <c r="T257" i="1" a="1"/>
  <c r="T257" i="1" s="1"/>
  <c r="O257" i="1" a="1"/>
  <c r="O257" i="1" s="1"/>
  <c r="P257" i="1" s="1"/>
  <c r="M257" i="1" s="1"/>
  <c r="J257" i="1" a="1"/>
  <c r="J257" i="1" s="1"/>
  <c r="AI257" i="1" a="1"/>
  <c r="AI257" i="1" s="1"/>
  <c r="AD257" i="1" a="1"/>
  <c r="AD257" i="1" s="1"/>
  <c r="AE257" i="1" s="1"/>
  <c r="AB257" i="1" s="1"/>
  <c r="R257" i="1" a="1"/>
  <c r="R257" i="1" s="1"/>
  <c r="V257" i="1" a="1"/>
  <c r="V257" i="1" s="1"/>
  <c r="K257" i="1" a="1"/>
  <c r="K257" i="1" s="1"/>
  <c r="Q256" i="1" a="1"/>
  <c r="Q256" i="1" s="1"/>
  <c r="I256" i="1"/>
  <c r="X256" i="1"/>
  <c r="AF256" i="1"/>
  <c r="B258" i="1"/>
  <c r="A257" i="1"/>
  <c r="AT257" i="1" l="1"/>
  <c r="D258" i="1"/>
  <c r="E258" i="1"/>
  <c r="C258" i="1"/>
  <c r="AZ258" i="1" s="1"/>
  <c r="AY256" i="1"/>
  <c r="AA257" i="1"/>
  <c r="AO256" i="1"/>
  <c r="L257" i="1"/>
  <c r="H257" i="1"/>
  <c r="AY257" i="1" s="1"/>
  <c r="G258" i="1" a="1"/>
  <c r="G258" i="1" s="1"/>
  <c r="BB258" i="1" a="1"/>
  <c r="BB258" i="1" s="1"/>
  <c r="BD258" i="1" a="1"/>
  <c r="BD258" i="1" s="1"/>
  <c r="BF258" i="1" a="1"/>
  <c r="BF258" i="1" s="1"/>
  <c r="AW258" i="1" a="1"/>
  <c r="AW258" i="1" s="1"/>
  <c r="AS258" i="1" a="1"/>
  <c r="AS258" i="1" s="1"/>
  <c r="BA258" i="1" a="1"/>
  <c r="BA258" i="1" s="1"/>
  <c r="BE258" i="1" a="1"/>
  <c r="BE258" i="1" s="1"/>
  <c r="AR258" i="1" a="1"/>
  <c r="AR258" i="1" s="1"/>
  <c r="AH258" i="1" a="1"/>
  <c r="AH258" i="1" s="1"/>
  <c r="AJ258" i="1" a="1"/>
  <c r="AJ258" i="1" s="1"/>
  <c r="AL258" i="1" a="1"/>
  <c r="AL258" i="1" s="1"/>
  <c r="AD258" i="1" a="1"/>
  <c r="AD258" i="1" s="1"/>
  <c r="Z258" i="1" a="1"/>
  <c r="Z258" i="1" s="1"/>
  <c r="S258" i="1" a="1"/>
  <c r="S258" i="1" s="1"/>
  <c r="U258" i="1" a="1"/>
  <c r="U258" i="1" s="1"/>
  <c r="W258" i="1" a="1"/>
  <c r="W258" i="1" s="1"/>
  <c r="O258" i="1" a="1"/>
  <c r="O258" i="1" s="1"/>
  <c r="K258" i="1" a="1"/>
  <c r="K258" i="1" s="1"/>
  <c r="J258" i="1" a="1"/>
  <c r="J258" i="1" s="1"/>
  <c r="F258" i="1" a="1"/>
  <c r="F258" i="1" s="1"/>
  <c r="H258" i="1" s="1"/>
  <c r="BC258" i="1" a="1"/>
  <c r="BC258" i="1" s="1"/>
  <c r="AV258" i="1" a="1"/>
  <c r="AV258" i="1" s="1"/>
  <c r="AI258" i="1" a="1"/>
  <c r="AI258" i="1" s="1"/>
  <c r="AC258" i="1" a="1"/>
  <c r="AC258" i="1" s="1"/>
  <c r="R258" i="1" a="1"/>
  <c r="R258" i="1" s="1"/>
  <c r="V258" i="1" a="1"/>
  <c r="V258" i="1" s="1"/>
  <c r="AG258" i="1" a="1"/>
  <c r="AG258" i="1" s="1"/>
  <c r="AK258" i="1" a="1"/>
  <c r="AK258" i="1" s="1"/>
  <c r="Y258" i="1" a="1"/>
  <c r="Y258" i="1" s="1"/>
  <c r="T258" i="1" a="1"/>
  <c r="T258" i="1" s="1"/>
  <c r="N258" i="1" a="1"/>
  <c r="N258" i="1" s="1"/>
  <c r="I257" i="1"/>
  <c r="Q257" i="1" a="1"/>
  <c r="Q257" i="1" s="1"/>
  <c r="X257" i="1"/>
  <c r="AF257" i="1"/>
  <c r="B259" i="1"/>
  <c r="A258" i="1"/>
  <c r="D259" i="1" l="1"/>
  <c r="E259" i="1"/>
  <c r="C259" i="1"/>
  <c r="AX258" i="1"/>
  <c r="AT258" i="1"/>
  <c r="P258" i="1"/>
  <c r="M258" i="1" s="1"/>
  <c r="AA258" i="1"/>
  <c r="AO257" i="1"/>
  <c r="L258" i="1"/>
  <c r="AE258" i="1"/>
  <c r="AB258" i="1" s="1"/>
  <c r="F259" i="1" a="1"/>
  <c r="F259" i="1" s="1"/>
  <c r="BB259" i="1" a="1"/>
  <c r="BB259" i="1" s="1"/>
  <c r="BD259" i="1" a="1"/>
  <c r="BD259" i="1" s="1"/>
  <c r="BF259" i="1" a="1"/>
  <c r="BF259" i="1" s="1"/>
  <c r="AV259" i="1" a="1"/>
  <c r="AV259" i="1" s="1"/>
  <c r="AR259" i="1" a="1"/>
  <c r="AR259" i="1" s="1"/>
  <c r="BC259" i="1" a="1"/>
  <c r="BC259" i="1" s="1"/>
  <c r="AS259" i="1" a="1"/>
  <c r="AS259" i="1" s="1"/>
  <c r="AT259" i="1" s="1"/>
  <c r="AH259" i="1" a="1"/>
  <c r="AH259" i="1" s="1"/>
  <c r="AJ259" i="1" a="1"/>
  <c r="AJ259" i="1" s="1"/>
  <c r="AL259" i="1" a="1"/>
  <c r="AL259" i="1" s="1"/>
  <c r="AC259" i="1" a="1"/>
  <c r="AC259" i="1" s="1"/>
  <c r="Y259" i="1" a="1"/>
  <c r="Y259" i="1" s="1"/>
  <c r="S259" i="1" a="1"/>
  <c r="S259" i="1" s="1"/>
  <c r="U259" i="1" a="1"/>
  <c r="U259" i="1" s="1"/>
  <c r="W259" i="1" a="1"/>
  <c r="W259" i="1" s="1"/>
  <c r="N259" i="1" a="1"/>
  <c r="N259" i="1" s="1"/>
  <c r="G259" i="1" a="1"/>
  <c r="G259" i="1" s="1"/>
  <c r="BA259" i="1" a="1"/>
  <c r="BA259" i="1" s="1"/>
  <c r="BE259" i="1" a="1"/>
  <c r="BE259" i="1" s="1"/>
  <c r="AW259" i="1" a="1"/>
  <c r="AW259" i="1" s="1"/>
  <c r="AX259" i="1" s="1"/>
  <c r="AG259" i="1" a="1"/>
  <c r="AG259" i="1" s="1"/>
  <c r="AK259" i="1" a="1"/>
  <c r="AK259" i="1" s="1"/>
  <c r="AD259" i="1" a="1"/>
  <c r="AD259" i="1" s="1"/>
  <c r="AE259" i="1" s="1"/>
  <c r="AB259" i="1" s="1"/>
  <c r="T259" i="1" a="1"/>
  <c r="T259" i="1" s="1"/>
  <c r="K259" i="1" a="1"/>
  <c r="K259" i="1" s="1"/>
  <c r="AI259" i="1" a="1"/>
  <c r="AI259" i="1" s="1"/>
  <c r="Z259" i="1" a="1"/>
  <c r="Z259" i="1" s="1"/>
  <c r="R259" i="1" a="1"/>
  <c r="R259" i="1" s="1"/>
  <c r="V259" i="1" a="1"/>
  <c r="V259" i="1" s="1"/>
  <c r="O259" i="1" a="1"/>
  <c r="O259" i="1" s="1"/>
  <c r="P259" i="1" s="1"/>
  <c r="M259" i="1" s="1"/>
  <c r="J259" i="1" a="1"/>
  <c r="J259" i="1" s="1"/>
  <c r="Q258" i="1" a="1"/>
  <c r="Q258" i="1" s="1"/>
  <c r="I258" i="1"/>
  <c r="X258" i="1"/>
  <c r="AF258" i="1"/>
  <c r="B260" i="1"/>
  <c r="A259" i="1"/>
  <c r="AZ259" i="1" l="1"/>
  <c r="AA259" i="1"/>
  <c r="D260" i="1"/>
  <c r="E260" i="1"/>
  <c r="C260" i="1"/>
  <c r="AY258" i="1"/>
  <c r="AO258" i="1"/>
  <c r="H259" i="1"/>
  <c r="AY259" i="1" s="1"/>
  <c r="L259" i="1"/>
  <c r="G260" i="1" a="1"/>
  <c r="G260" i="1" s="1"/>
  <c r="BB260" i="1" a="1"/>
  <c r="BB260" i="1" s="1"/>
  <c r="BD260" i="1" a="1"/>
  <c r="BD260" i="1" s="1"/>
  <c r="BF260" i="1" a="1"/>
  <c r="BF260" i="1" s="1"/>
  <c r="AW260" i="1" a="1"/>
  <c r="AW260" i="1" s="1"/>
  <c r="AS260" i="1" a="1"/>
  <c r="AS260" i="1" s="1"/>
  <c r="F260" i="1" a="1"/>
  <c r="F260" i="1" s="1"/>
  <c r="H260" i="1" s="1"/>
  <c r="BA260" i="1" a="1"/>
  <c r="BA260" i="1" s="1"/>
  <c r="BE260" i="1" a="1"/>
  <c r="BE260" i="1" s="1"/>
  <c r="AV260" i="1" a="1"/>
  <c r="AV260" i="1" s="1"/>
  <c r="AH260" i="1" a="1"/>
  <c r="AH260" i="1" s="1"/>
  <c r="AJ260" i="1" a="1"/>
  <c r="AJ260" i="1" s="1"/>
  <c r="AL260" i="1" a="1"/>
  <c r="AL260" i="1" s="1"/>
  <c r="AD260" i="1" a="1"/>
  <c r="AD260" i="1" s="1"/>
  <c r="Z260" i="1" a="1"/>
  <c r="Z260" i="1" s="1"/>
  <c r="S260" i="1" a="1"/>
  <c r="S260" i="1" s="1"/>
  <c r="U260" i="1" a="1"/>
  <c r="U260" i="1" s="1"/>
  <c r="W260" i="1" a="1"/>
  <c r="W260" i="1" s="1"/>
  <c r="O260" i="1" a="1"/>
  <c r="O260" i="1" s="1"/>
  <c r="K260" i="1" a="1"/>
  <c r="K260" i="1" s="1"/>
  <c r="J260" i="1" a="1"/>
  <c r="J260" i="1" s="1"/>
  <c r="BC260" i="1" a="1"/>
  <c r="BC260" i="1" s="1"/>
  <c r="AR260" i="1" a="1"/>
  <c r="AR260" i="1" s="1"/>
  <c r="AI260" i="1" a="1"/>
  <c r="AI260" i="1" s="1"/>
  <c r="Y260" i="1" a="1"/>
  <c r="Y260" i="1" s="1"/>
  <c r="R260" i="1" a="1"/>
  <c r="R260" i="1" s="1"/>
  <c r="V260" i="1" a="1"/>
  <c r="V260" i="1" s="1"/>
  <c r="N260" i="1" a="1"/>
  <c r="N260" i="1" s="1"/>
  <c r="AG260" i="1" a="1"/>
  <c r="AG260" i="1" s="1"/>
  <c r="AK260" i="1" a="1"/>
  <c r="AK260" i="1" s="1"/>
  <c r="AC260" i="1" a="1"/>
  <c r="AC260" i="1" s="1"/>
  <c r="T260" i="1" a="1"/>
  <c r="T260" i="1" s="1"/>
  <c r="X259" i="1"/>
  <c r="AF259" i="1"/>
  <c r="I259" i="1"/>
  <c r="Q259" i="1" a="1"/>
  <c r="Q259" i="1" s="1"/>
  <c r="AO259" i="1" s="1"/>
  <c r="B261" i="1"/>
  <c r="A260" i="1"/>
  <c r="AZ260" i="1" l="1"/>
  <c r="D261" i="1"/>
  <c r="E261" i="1"/>
  <c r="C261" i="1"/>
  <c r="AX260" i="1"/>
  <c r="L260" i="1"/>
  <c r="AT260" i="1"/>
  <c r="AY260" i="1" s="1"/>
  <c r="AE260" i="1"/>
  <c r="AB260" i="1" s="1"/>
  <c r="P260" i="1"/>
  <c r="M260" i="1" s="1"/>
  <c r="AA260" i="1"/>
  <c r="F261" i="1" a="1"/>
  <c r="F261" i="1" s="1"/>
  <c r="BB261" i="1" a="1"/>
  <c r="BB261" i="1" s="1"/>
  <c r="BD261" i="1" a="1"/>
  <c r="BD261" i="1" s="1"/>
  <c r="BF261" i="1" a="1"/>
  <c r="BF261" i="1" s="1"/>
  <c r="AV261" i="1" a="1"/>
  <c r="AV261" i="1" s="1"/>
  <c r="AR261" i="1" a="1"/>
  <c r="AR261" i="1" s="1"/>
  <c r="G261" i="1" a="1"/>
  <c r="G261" i="1" s="1"/>
  <c r="BC261" i="1" a="1"/>
  <c r="BC261" i="1" s="1"/>
  <c r="AW261" i="1" a="1"/>
  <c r="AW261" i="1" s="1"/>
  <c r="AX261" i="1" s="1"/>
  <c r="AH261" i="1" a="1"/>
  <c r="AH261" i="1" s="1"/>
  <c r="AJ261" i="1" a="1"/>
  <c r="AJ261" i="1" s="1"/>
  <c r="AL261" i="1" a="1"/>
  <c r="AL261" i="1" s="1"/>
  <c r="AC261" i="1" a="1"/>
  <c r="AC261" i="1" s="1"/>
  <c r="Y261" i="1" a="1"/>
  <c r="Y261" i="1" s="1"/>
  <c r="S261" i="1" a="1"/>
  <c r="S261" i="1" s="1"/>
  <c r="U261" i="1" a="1"/>
  <c r="U261" i="1" s="1"/>
  <c r="W261" i="1" a="1"/>
  <c r="W261" i="1" s="1"/>
  <c r="N261" i="1" a="1"/>
  <c r="N261" i="1" s="1"/>
  <c r="BA261" i="1" a="1"/>
  <c r="BA261" i="1" s="1"/>
  <c r="BE261" i="1" a="1"/>
  <c r="BE261" i="1" s="1"/>
  <c r="AS261" i="1" a="1"/>
  <c r="AS261" i="1" s="1"/>
  <c r="AG261" i="1" a="1"/>
  <c r="AG261" i="1" s="1"/>
  <c r="AK261" i="1" a="1"/>
  <c r="AK261" i="1" s="1"/>
  <c r="Z261" i="1" a="1"/>
  <c r="Z261" i="1" s="1"/>
  <c r="AA261" i="1" s="1"/>
  <c r="T261" i="1" a="1"/>
  <c r="T261" i="1" s="1"/>
  <c r="O261" i="1" a="1"/>
  <c r="O261" i="1" s="1"/>
  <c r="J261" i="1" a="1"/>
  <c r="J261" i="1" s="1"/>
  <c r="AI261" i="1" a="1"/>
  <c r="AI261" i="1" s="1"/>
  <c r="AD261" i="1" a="1"/>
  <c r="AD261" i="1" s="1"/>
  <c r="AE261" i="1" s="1"/>
  <c r="AB261" i="1" s="1"/>
  <c r="R261" i="1" a="1"/>
  <c r="R261" i="1" s="1"/>
  <c r="V261" i="1" a="1"/>
  <c r="V261" i="1" s="1"/>
  <c r="K261" i="1" a="1"/>
  <c r="K261" i="1" s="1"/>
  <c r="Q260" i="1" a="1"/>
  <c r="Q260" i="1" s="1"/>
  <c r="I260" i="1"/>
  <c r="X260" i="1"/>
  <c r="AF260" i="1"/>
  <c r="B262" i="1"/>
  <c r="A261" i="1"/>
  <c r="AZ261" i="1" l="1"/>
  <c r="L261" i="1"/>
  <c r="P261" i="1"/>
  <c r="M261" i="1" s="1"/>
  <c r="AT261" i="1"/>
  <c r="D262" i="1"/>
  <c r="E262" i="1"/>
  <c r="C262" i="1"/>
  <c r="AO260" i="1"/>
  <c r="H261" i="1"/>
  <c r="G262" i="1" a="1"/>
  <c r="G262" i="1" s="1"/>
  <c r="BB262" i="1" a="1"/>
  <c r="BB262" i="1" s="1"/>
  <c r="BD262" i="1" a="1"/>
  <c r="BD262" i="1" s="1"/>
  <c r="BF262" i="1" a="1"/>
  <c r="BF262" i="1" s="1"/>
  <c r="AW262" i="1" a="1"/>
  <c r="AW262" i="1" s="1"/>
  <c r="AS262" i="1" a="1"/>
  <c r="AS262" i="1" s="1"/>
  <c r="BA262" i="1" a="1"/>
  <c r="BA262" i="1" s="1"/>
  <c r="BE262" i="1" a="1"/>
  <c r="BE262" i="1" s="1"/>
  <c r="AR262" i="1" a="1"/>
  <c r="AR262" i="1" s="1"/>
  <c r="AH262" i="1" a="1"/>
  <c r="AH262" i="1" s="1"/>
  <c r="AJ262" i="1" a="1"/>
  <c r="AJ262" i="1" s="1"/>
  <c r="AL262" i="1" a="1"/>
  <c r="AL262" i="1" s="1"/>
  <c r="AD262" i="1" a="1"/>
  <c r="AD262" i="1" s="1"/>
  <c r="Z262" i="1" a="1"/>
  <c r="Z262" i="1" s="1"/>
  <c r="S262" i="1" a="1"/>
  <c r="S262" i="1" s="1"/>
  <c r="U262" i="1" a="1"/>
  <c r="U262" i="1" s="1"/>
  <c r="W262" i="1" a="1"/>
  <c r="W262" i="1" s="1"/>
  <c r="O262" i="1" a="1"/>
  <c r="O262" i="1" s="1"/>
  <c r="K262" i="1" a="1"/>
  <c r="K262" i="1" s="1"/>
  <c r="J262" i="1" a="1"/>
  <c r="J262" i="1" s="1"/>
  <c r="F262" i="1" a="1"/>
  <c r="F262" i="1" s="1"/>
  <c r="H262" i="1" s="1"/>
  <c r="BC262" i="1" a="1"/>
  <c r="BC262" i="1" s="1"/>
  <c r="AV262" i="1" a="1"/>
  <c r="AV262" i="1" s="1"/>
  <c r="AI262" i="1" a="1"/>
  <c r="AI262" i="1" s="1"/>
  <c r="AC262" i="1" a="1"/>
  <c r="AC262" i="1" s="1"/>
  <c r="R262" i="1" a="1"/>
  <c r="R262" i="1" s="1"/>
  <c r="V262" i="1" a="1"/>
  <c r="V262" i="1" s="1"/>
  <c r="AG262" i="1" a="1"/>
  <c r="AG262" i="1" s="1"/>
  <c r="AK262" i="1" a="1"/>
  <c r="AK262" i="1" s="1"/>
  <c r="Y262" i="1" a="1"/>
  <c r="Y262" i="1" s="1"/>
  <c r="T262" i="1" a="1"/>
  <c r="T262" i="1" s="1"/>
  <c r="N262" i="1" a="1"/>
  <c r="N262" i="1" s="1"/>
  <c r="I261" i="1"/>
  <c r="Q261" i="1" a="1"/>
  <c r="Q261" i="1" s="1"/>
  <c r="X261" i="1"/>
  <c r="AF261" i="1"/>
  <c r="B263" i="1"/>
  <c r="A262" i="1"/>
  <c r="AZ262" i="1" l="1"/>
  <c r="AY261" i="1"/>
  <c r="D263" i="1"/>
  <c r="E263" i="1"/>
  <c r="C263" i="1"/>
  <c r="AZ263" i="1" s="1"/>
  <c r="AX262" i="1"/>
  <c r="AT262" i="1"/>
  <c r="P262" i="1"/>
  <c r="M262" i="1" s="1"/>
  <c r="AA262" i="1"/>
  <c r="AO261" i="1"/>
  <c r="L262" i="1"/>
  <c r="I262" i="1" s="1"/>
  <c r="AE262" i="1"/>
  <c r="AB262" i="1" s="1"/>
  <c r="F263" i="1" a="1"/>
  <c r="F263" i="1" s="1"/>
  <c r="BB263" i="1" a="1"/>
  <c r="BB263" i="1" s="1"/>
  <c r="BD263" i="1" a="1"/>
  <c r="BD263" i="1" s="1"/>
  <c r="BF263" i="1" a="1"/>
  <c r="BF263" i="1" s="1"/>
  <c r="AV263" i="1" a="1"/>
  <c r="AV263" i="1" s="1"/>
  <c r="AR263" i="1" a="1"/>
  <c r="AR263" i="1" s="1"/>
  <c r="BC263" i="1" a="1"/>
  <c r="BC263" i="1" s="1"/>
  <c r="AS263" i="1" a="1"/>
  <c r="AS263" i="1" s="1"/>
  <c r="AT263" i="1" s="1"/>
  <c r="AH263" i="1" a="1"/>
  <c r="AH263" i="1" s="1"/>
  <c r="AJ263" i="1" a="1"/>
  <c r="AJ263" i="1" s="1"/>
  <c r="AL263" i="1" a="1"/>
  <c r="AL263" i="1" s="1"/>
  <c r="AC263" i="1" a="1"/>
  <c r="AC263" i="1" s="1"/>
  <c r="Y263" i="1" a="1"/>
  <c r="Y263" i="1" s="1"/>
  <c r="S263" i="1" a="1"/>
  <c r="S263" i="1" s="1"/>
  <c r="U263" i="1" a="1"/>
  <c r="U263" i="1" s="1"/>
  <c r="W263" i="1" a="1"/>
  <c r="W263" i="1" s="1"/>
  <c r="N263" i="1" a="1"/>
  <c r="N263" i="1" s="1"/>
  <c r="G263" i="1" a="1"/>
  <c r="G263" i="1" s="1"/>
  <c r="BA263" i="1" a="1"/>
  <c r="BA263" i="1" s="1"/>
  <c r="BE263" i="1" a="1"/>
  <c r="BE263" i="1" s="1"/>
  <c r="AW263" i="1" a="1"/>
  <c r="AW263" i="1" s="1"/>
  <c r="AX263" i="1" s="1"/>
  <c r="AG263" i="1" a="1"/>
  <c r="AG263" i="1" s="1"/>
  <c r="AK263" i="1" a="1"/>
  <c r="AK263" i="1" s="1"/>
  <c r="AD263" i="1" a="1"/>
  <c r="AD263" i="1" s="1"/>
  <c r="AE263" i="1" s="1"/>
  <c r="AB263" i="1" s="1"/>
  <c r="T263" i="1" a="1"/>
  <c r="T263" i="1" s="1"/>
  <c r="K263" i="1" a="1"/>
  <c r="K263" i="1" s="1"/>
  <c r="AI263" i="1" a="1"/>
  <c r="AI263" i="1" s="1"/>
  <c r="Z263" i="1" a="1"/>
  <c r="Z263" i="1" s="1"/>
  <c r="R263" i="1" a="1"/>
  <c r="R263" i="1" s="1"/>
  <c r="V263" i="1" a="1"/>
  <c r="V263" i="1" s="1"/>
  <c r="O263" i="1" a="1"/>
  <c r="O263" i="1" s="1"/>
  <c r="J263" i="1" a="1"/>
  <c r="J263" i="1" s="1"/>
  <c r="Q262" i="1" a="1"/>
  <c r="Q262" i="1" s="1"/>
  <c r="X262" i="1"/>
  <c r="B264" i="1"/>
  <c r="A263" i="1"/>
  <c r="AF262" i="1" l="1"/>
  <c r="AO262" i="1" s="1"/>
  <c r="AA263" i="1"/>
  <c r="AY262" i="1"/>
  <c r="D264" i="1"/>
  <c r="E264" i="1"/>
  <c r="C264" i="1"/>
  <c r="P263" i="1"/>
  <c r="M263" i="1" s="1"/>
  <c r="H263" i="1"/>
  <c r="AY263" i="1" s="1"/>
  <c r="L263" i="1"/>
  <c r="G264" i="1" a="1"/>
  <c r="G264" i="1" s="1"/>
  <c r="BB264" i="1" a="1"/>
  <c r="BB264" i="1" s="1"/>
  <c r="BD264" i="1" a="1"/>
  <c r="BD264" i="1" s="1"/>
  <c r="BF264" i="1" a="1"/>
  <c r="BF264" i="1" s="1"/>
  <c r="AW264" i="1" a="1"/>
  <c r="AW264" i="1" s="1"/>
  <c r="AS264" i="1" a="1"/>
  <c r="AS264" i="1" s="1"/>
  <c r="F264" i="1" a="1"/>
  <c r="F264" i="1" s="1"/>
  <c r="H264" i="1" s="1"/>
  <c r="BA264" i="1" a="1"/>
  <c r="BA264" i="1" s="1"/>
  <c r="BE264" i="1" a="1"/>
  <c r="BE264" i="1" s="1"/>
  <c r="AV264" i="1" a="1"/>
  <c r="AV264" i="1" s="1"/>
  <c r="AH264" i="1" a="1"/>
  <c r="AH264" i="1" s="1"/>
  <c r="AJ264" i="1" a="1"/>
  <c r="AJ264" i="1" s="1"/>
  <c r="AL264" i="1" a="1"/>
  <c r="AL264" i="1" s="1"/>
  <c r="AD264" i="1" a="1"/>
  <c r="AD264" i="1" s="1"/>
  <c r="Z264" i="1" a="1"/>
  <c r="Z264" i="1" s="1"/>
  <c r="S264" i="1" a="1"/>
  <c r="S264" i="1" s="1"/>
  <c r="U264" i="1" a="1"/>
  <c r="U264" i="1" s="1"/>
  <c r="W264" i="1" a="1"/>
  <c r="W264" i="1" s="1"/>
  <c r="O264" i="1" a="1"/>
  <c r="O264" i="1" s="1"/>
  <c r="K264" i="1" a="1"/>
  <c r="K264" i="1" s="1"/>
  <c r="J264" i="1" a="1"/>
  <c r="J264" i="1" s="1"/>
  <c r="BC264" i="1" a="1"/>
  <c r="BC264" i="1" s="1"/>
  <c r="AI264" i="1" a="1"/>
  <c r="AI264" i="1" s="1"/>
  <c r="Y264" i="1" a="1"/>
  <c r="Y264" i="1" s="1"/>
  <c r="R264" i="1" a="1"/>
  <c r="R264" i="1" s="1"/>
  <c r="V264" i="1" a="1"/>
  <c r="V264" i="1" s="1"/>
  <c r="N264" i="1" a="1"/>
  <c r="N264" i="1" s="1"/>
  <c r="AR264" i="1" a="1"/>
  <c r="AR264" i="1" s="1"/>
  <c r="AG264" i="1" a="1"/>
  <c r="AG264" i="1" s="1"/>
  <c r="AK264" i="1" a="1"/>
  <c r="AK264" i="1" s="1"/>
  <c r="AC264" i="1" a="1"/>
  <c r="AC264" i="1" s="1"/>
  <c r="T264" i="1" a="1"/>
  <c r="T264" i="1" s="1"/>
  <c r="X263" i="1"/>
  <c r="AF263" i="1"/>
  <c r="I263" i="1"/>
  <c r="Q263" i="1" a="1"/>
  <c r="Q263" i="1" s="1"/>
  <c r="AO263" i="1" s="1"/>
  <c r="B265" i="1"/>
  <c r="A264" i="1"/>
  <c r="AZ264" i="1" l="1"/>
  <c r="D265" i="1"/>
  <c r="E265" i="1"/>
  <c r="C265" i="1"/>
  <c r="AZ265" i="1" s="1"/>
  <c r="AX264" i="1"/>
  <c r="L264" i="1"/>
  <c r="AT264" i="1"/>
  <c r="AY264" i="1" s="1"/>
  <c r="P264" i="1"/>
  <c r="M264" i="1" s="1"/>
  <c r="AA264" i="1"/>
  <c r="AE264" i="1"/>
  <c r="AB264" i="1" s="1"/>
  <c r="F265" i="1" a="1"/>
  <c r="F265" i="1" s="1"/>
  <c r="BB265" i="1" a="1"/>
  <c r="BB265" i="1" s="1"/>
  <c r="BD265" i="1" a="1"/>
  <c r="BD265" i="1" s="1"/>
  <c r="BF265" i="1" a="1"/>
  <c r="BF265" i="1" s="1"/>
  <c r="AV265" i="1" a="1"/>
  <c r="AV265" i="1" s="1"/>
  <c r="AR265" i="1" a="1"/>
  <c r="AR265" i="1" s="1"/>
  <c r="G265" i="1" a="1"/>
  <c r="G265" i="1" s="1"/>
  <c r="BC265" i="1" a="1"/>
  <c r="BC265" i="1" s="1"/>
  <c r="AW265" i="1" a="1"/>
  <c r="AW265" i="1" s="1"/>
  <c r="AH265" i="1" a="1"/>
  <c r="AH265" i="1" s="1"/>
  <c r="AJ265" i="1" a="1"/>
  <c r="AJ265" i="1" s="1"/>
  <c r="AL265" i="1" a="1"/>
  <c r="AL265" i="1" s="1"/>
  <c r="AC265" i="1" a="1"/>
  <c r="AC265" i="1" s="1"/>
  <c r="Y265" i="1" a="1"/>
  <c r="Y265" i="1" s="1"/>
  <c r="S265" i="1" a="1"/>
  <c r="S265" i="1" s="1"/>
  <c r="U265" i="1" a="1"/>
  <c r="U265" i="1" s="1"/>
  <c r="W265" i="1" a="1"/>
  <c r="W265" i="1" s="1"/>
  <c r="N265" i="1" a="1"/>
  <c r="N265" i="1" s="1"/>
  <c r="BA265" i="1" a="1"/>
  <c r="BA265" i="1" s="1"/>
  <c r="BE265" i="1" a="1"/>
  <c r="BE265" i="1" s="1"/>
  <c r="AS265" i="1" a="1"/>
  <c r="AS265" i="1" s="1"/>
  <c r="AG265" i="1" a="1"/>
  <c r="AG265" i="1" s="1"/>
  <c r="AK265" i="1" a="1"/>
  <c r="AK265" i="1" s="1"/>
  <c r="Z265" i="1" a="1"/>
  <c r="Z265" i="1" s="1"/>
  <c r="AA265" i="1" s="1"/>
  <c r="T265" i="1" a="1"/>
  <c r="T265" i="1" s="1"/>
  <c r="O265" i="1" a="1"/>
  <c r="O265" i="1" s="1"/>
  <c r="J265" i="1" a="1"/>
  <c r="J265" i="1" s="1"/>
  <c r="AI265" i="1" a="1"/>
  <c r="AI265" i="1" s="1"/>
  <c r="AD265" i="1" a="1"/>
  <c r="AD265" i="1" s="1"/>
  <c r="AE265" i="1" s="1"/>
  <c r="AB265" i="1" s="1"/>
  <c r="R265" i="1" a="1"/>
  <c r="R265" i="1" s="1"/>
  <c r="V265" i="1" a="1"/>
  <c r="V265" i="1" s="1"/>
  <c r="K265" i="1" a="1"/>
  <c r="K265" i="1" s="1"/>
  <c r="Q264" i="1" a="1"/>
  <c r="Q264" i="1" s="1"/>
  <c r="I264" i="1"/>
  <c r="X264" i="1"/>
  <c r="AF264" i="1"/>
  <c r="B266" i="1"/>
  <c r="A265" i="1"/>
  <c r="AX265" i="1" l="1"/>
  <c r="AT265" i="1"/>
  <c r="D266" i="1"/>
  <c r="E266" i="1"/>
  <c r="C266" i="1"/>
  <c r="AZ266" i="1" s="1"/>
  <c r="L265" i="1"/>
  <c r="P265" i="1"/>
  <c r="M265" i="1" s="1"/>
  <c r="AO264" i="1"/>
  <c r="H265" i="1"/>
  <c r="G266" i="1" a="1"/>
  <c r="G266" i="1" s="1"/>
  <c r="BB266" i="1" a="1"/>
  <c r="BB266" i="1" s="1"/>
  <c r="BD266" i="1" a="1"/>
  <c r="BD266" i="1" s="1"/>
  <c r="BF266" i="1" a="1"/>
  <c r="BF266" i="1" s="1"/>
  <c r="AW266" i="1" a="1"/>
  <c r="AW266" i="1" s="1"/>
  <c r="AS266" i="1" a="1"/>
  <c r="AS266" i="1" s="1"/>
  <c r="BA266" i="1" a="1"/>
  <c r="BA266" i="1" s="1"/>
  <c r="BE266" i="1" a="1"/>
  <c r="BE266" i="1" s="1"/>
  <c r="AR266" i="1" a="1"/>
  <c r="AR266" i="1" s="1"/>
  <c r="AH266" i="1" a="1"/>
  <c r="AH266" i="1" s="1"/>
  <c r="AJ266" i="1" a="1"/>
  <c r="AJ266" i="1" s="1"/>
  <c r="AL266" i="1" a="1"/>
  <c r="AL266" i="1" s="1"/>
  <c r="AD266" i="1" a="1"/>
  <c r="AD266" i="1" s="1"/>
  <c r="Z266" i="1" a="1"/>
  <c r="Z266" i="1" s="1"/>
  <c r="S266" i="1" a="1"/>
  <c r="S266" i="1" s="1"/>
  <c r="U266" i="1" a="1"/>
  <c r="U266" i="1" s="1"/>
  <c r="W266" i="1" a="1"/>
  <c r="W266" i="1" s="1"/>
  <c r="O266" i="1" a="1"/>
  <c r="O266" i="1" s="1"/>
  <c r="K266" i="1" a="1"/>
  <c r="K266" i="1" s="1"/>
  <c r="J266" i="1" a="1"/>
  <c r="J266" i="1" s="1"/>
  <c r="F266" i="1" a="1"/>
  <c r="F266" i="1" s="1"/>
  <c r="H266" i="1" s="1"/>
  <c r="BC266" i="1" a="1"/>
  <c r="BC266" i="1" s="1"/>
  <c r="AV266" i="1" a="1"/>
  <c r="AV266" i="1" s="1"/>
  <c r="AI266" i="1" a="1"/>
  <c r="AI266" i="1" s="1"/>
  <c r="AC266" i="1" a="1"/>
  <c r="AC266" i="1" s="1"/>
  <c r="R266" i="1" a="1"/>
  <c r="R266" i="1" s="1"/>
  <c r="V266" i="1" a="1"/>
  <c r="V266" i="1" s="1"/>
  <c r="AG266" i="1" a="1"/>
  <c r="AG266" i="1" s="1"/>
  <c r="AK266" i="1" a="1"/>
  <c r="AK266" i="1" s="1"/>
  <c r="Y266" i="1" a="1"/>
  <c r="Y266" i="1" s="1"/>
  <c r="T266" i="1" a="1"/>
  <c r="T266" i="1" s="1"/>
  <c r="N266" i="1" a="1"/>
  <c r="N266" i="1" s="1"/>
  <c r="I265" i="1"/>
  <c r="Q265" i="1" a="1"/>
  <c r="Q265" i="1" s="1"/>
  <c r="X265" i="1"/>
  <c r="AF265" i="1"/>
  <c r="B267" i="1"/>
  <c r="A266" i="1"/>
  <c r="AY265" i="1" l="1"/>
  <c r="D267" i="1"/>
  <c r="E267" i="1"/>
  <c r="C267" i="1"/>
  <c r="AZ267" i="1" s="1"/>
  <c r="AX266" i="1"/>
  <c r="AT266" i="1"/>
  <c r="P266" i="1"/>
  <c r="M266" i="1" s="1"/>
  <c r="AA266" i="1"/>
  <c r="AO265" i="1"/>
  <c r="L266" i="1"/>
  <c r="AE266" i="1"/>
  <c r="AB266" i="1" s="1"/>
  <c r="F267" i="1" a="1"/>
  <c r="F267" i="1" s="1"/>
  <c r="BB267" i="1" a="1"/>
  <c r="BB267" i="1" s="1"/>
  <c r="BD267" i="1" a="1"/>
  <c r="BD267" i="1" s="1"/>
  <c r="BF267" i="1" a="1"/>
  <c r="BF267" i="1" s="1"/>
  <c r="AV267" i="1" a="1"/>
  <c r="AV267" i="1" s="1"/>
  <c r="AR267" i="1" a="1"/>
  <c r="AR267" i="1" s="1"/>
  <c r="BC267" i="1" a="1"/>
  <c r="BC267" i="1" s="1"/>
  <c r="AS267" i="1" a="1"/>
  <c r="AS267" i="1" s="1"/>
  <c r="AT267" i="1" s="1"/>
  <c r="AH267" i="1" a="1"/>
  <c r="AH267" i="1" s="1"/>
  <c r="AJ267" i="1" a="1"/>
  <c r="AJ267" i="1" s="1"/>
  <c r="AL267" i="1" a="1"/>
  <c r="AL267" i="1" s="1"/>
  <c r="AC267" i="1" a="1"/>
  <c r="AC267" i="1" s="1"/>
  <c r="Y267" i="1" a="1"/>
  <c r="Y267" i="1" s="1"/>
  <c r="S267" i="1" a="1"/>
  <c r="S267" i="1" s="1"/>
  <c r="U267" i="1" a="1"/>
  <c r="U267" i="1" s="1"/>
  <c r="W267" i="1" a="1"/>
  <c r="W267" i="1" s="1"/>
  <c r="N267" i="1" a="1"/>
  <c r="N267" i="1" s="1"/>
  <c r="G267" i="1" a="1"/>
  <c r="G267" i="1" s="1"/>
  <c r="BA267" i="1" a="1"/>
  <c r="BA267" i="1" s="1"/>
  <c r="BE267" i="1" a="1"/>
  <c r="BE267" i="1" s="1"/>
  <c r="AW267" i="1" a="1"/>
  <c r="AW267" i="1" s="1"/>
  <c r="AX267" i="1" s="1"/>
  <c r="AG267" i="1" a="1"/>
  <c r="AG267" i="1" s="1"/>
  <c r="AK267" i="1" a="1"/>
  <c r="AK267" i="1" s="1"/>
  <c r="AD267" i="1" a="1"/>
  <c r="AD267" i="1" s="1"/>
  <c r="AE267" i="1" s="1"/>
  <c r="AB267" i="1" s="1"/>
  <c r="T267" i="1" a="1"/>
  <c r="T267" i="1" s="1"/>
  <c r="K267" i="1" a="1"/>
  <c r="K267" i="1" s="1"/>
  <c r="AI267" i="1" a="1"/>
  <c r="AI267" i="1" s="1"/>
  <c r="Z267" i="1" a="1"/>
  <c r="Z267" i="1" s="1"/>
  <c r="R267" i="1" a="1"/>
  <c r="R267" i="1" s="1"/>
  <c r="V267" i="1" a="1"/>
  <c r="V267" i="1" s="1"/>
  <c r="O267" i="1" a="1"/>
  <c r="O267" i="1" s="1"/>
  <c r="P267" i="1" s="1"/>
  <c r="M267" i="1" s="1"/>
  <c r="J267" i="1" a="1"/>
  <c r="J267" i="1" s="1"/>
  <c r="Q266" i="1" a="1"/>
  <c r="Q266" i="1" s="1"/>
  <c r="I266" i="1"/>
  <c r="X266" i="1"/>
  <c r="AF266" i="1"/>
  <c r="B268" i="1"/>
  <c r="A267" i="1"/>
  <c r="AY266" i="1" l="1"/>
  <c r="D268" i="1"/>
  <c r="E268" i="1"/>
  <c r="C268" i="1"/>
  <c r="AA267" i="1"/>
  <c r="AO266" i="1"/>
  <c r="H267" i="1"/>
  <c r="AY267" i="1" s="1"/>
  <c r="L267" i="1"/>
  <c r="G268" i="1" a="1"/>
  <c r="G268" i="1" s="1"/>
  <c r="BB268" i="1" a="1"/>
  <c r="BB268" i="1" s="1"/>
  <c r="BD268" i="1" a="1"/>
  <c r="BD268" i="1" s="1"/>
  <c r="BF268" i="1" a="1"/>
  <c r="BF268" i="1" s="1"/>
  <c r="AW268" i="1" a="1"/>
  <c r="AW268" i="1" s="1"/>
  <c r="AS268" i="1" a="1"/>
  <c r="AS268" i="1" s="1"/>
  <c r="F268" i="1" a="1"/>
  <c r="F268" i="1" s="1"/>
  <c r="H268" i="1" s="1"/>
  <c r="BA268" i="1" a="1"/>
  <c r="BA268" i="1" s="1"/>
  <c r="BE268" i="1" a="1"/>
  <c r="BE268" i="1" s="1"/>
  <c r="AV268" i="1" a="1"/>
  <c r="AV268" i="1" s="1"/>
  <c r="AH268" i="1" a="1"/>
  <c r="AH268" i="1" s="1"/>
  <c r="AJ268" i="1" a="1"/>
  <c r="AJ268" i="1" s="1"/>
  <c r="AL268" i="1" a="1"/>
  <c r="AL268" i="1" s="1"/>
  <c r="AD268" i="1" a="1"/>
  <c r="AD268" i="1" s="1"/>
  <c r="Z268" i="1" a="1"/>
  <c r="Z268" i="1" s="1"/>
  <c r="S268" i="1" a="1"/>
  <c r="S268" i="1" s="1"/>
  <c r="U268" i="1" a="1"/>
  <c r="U268" i="1" s="1"/>
  <c r="W268" i="1" a="1"/>
  <c r="W268" i="1" s="1"/>
  <c r="O268" i="1" a="1"/>
  <c r="O268" i="1" s="1"/>
  <c r="K268" i="1" a="1"/>
  <c r="K268" i="1" s="1"/>
  <c r="J268" i="1" a="1"/>
  <c r="J268" i="1" s="1"/>
  <c r="BC268" i="1" a="1"/>
  <c r="BC268" i="1" s="1"/>
  <c r="AR268" i="1" a="1"/>
  <c r="AR268" i="1" s="1"/>
  <c r="AI268" i="1" a="1"/>
  <c r="AI268" i="1" s="1"/>
  <c r="Y268" i="1" a="1"/>
  <c r="Y268" i="1" s="1"/>
  <c r="R268" i="1" a="1"/>
  <c r="R268" i="1" s="1"/>
  <c r="V268" i="1" a="1"/>
  <c r="V268" i="1" s="1"/>
  <c r="N268" i="1" a="1"/>
  <c r="N268" i="1" s="1"/>
  <c r="AG268" i="1" a="1"/>
  <c r="AG268" i="1" s="1"/>
  <c r="AK268" i="1" a="1"/>
  <c r="AK268" i="1" s="1"/>
  <c r="AC268" i="1" a="1"/>
  <c r="AC268" i="1" s="1"/>
  <c r="T268" i="1" a="1"/>
  <c r="T268" i="1" s="1"/>
  <c r="X267" i="1"/>
  <c r="AF267" i="1"/>
  <c r="I267" i="1"/>
  <c r="Q267" i="1" a="1"/>
  <c r="Q267" i="1" s="1"/>
  <c r="AO267" i="1" s="1"/>
  <c r="B269" i="1"/>
  <c r="A268" i="1"/>
  <c r="AZ268" i="1" l="1"/>
  <c r="D269" i="1"/>
  <c r="E269" i="1"/>
  <c r="C269" i="1"/>
  <c r="AX268" i="1"/>
  <c r="AT268" i="1"/>
  <c r="P268" i="1"/>
  <c r="M268" i="1" s="1"/>
  <c r="AA268" i="1"/>
  <c r="L268" i="1"/>
  <c r="AE268" i="1"/>
  <c r="AB268" i="1" s="1"/>
  <c r="F269" i="1" a="1"/>
  <c r="F269" i="1" s="1"/>
  <c r="BB269" i="1" a="1"/>
  <c r="BB269" i="1" s="1"/>
  <c r="BD269" i="1" a="1"/>
  <c r="BD269" i="1" s="1"/>
  <c r="BF269" i="1" a="1"/>
  <c r="BF269" i="1" s="1"/>
  <c r="AV269" i="1" a="1"/>
  <c r="AV269" i="1" s="1"/>
  <c r="AR269" i="1" a="1"/>
  <c r="AR269" i="1" s="1"/>
  <c r="G269" i="1" a="1"/>
  <c r="G269" i="1" s="1"/>
  <c r="BC269" i="1" a="1"/>
  <c r="BC269" i="1" s="1"/>
  <c r="AW269" i="1" a="1"/>
  <c r="AW269" i="1" s="1"/>
  <c r="AX269" i="1" s="1"/>
  <c r="AH269" i="1" a="1"/>
  <c r="AH269" i="1" s="1"/>
  <c r="AJ269" i="1" a="1"/>
  <c r="AJ269" i="1" s="1"/>
  <c r="AL269" i="1" a="1"/>
  <c r="AL269" i="1" s="1"/>
  <c r="AC269" i="1" a="1"/>
  <c r="AC269" i="1" s="1"/>
  <c r="Y269" i="1" a="1"/>
  <c r="Y269" i="1" s="1"/>
  <c r="S269" i="1" a="1"/>
  <c r="S269" i="1" s="1"/>
  <c r="U269" i="1" a="1"/>
  <c r="U269" i="1" s="1"/>
  <c r="W269" i="1" a="1"/>
  <c r="W269" i="1" s="1"/>
  <c r="N269" i="1" a="1"/>
  <c r="N269" i="1" s="1"/>
  <c r="BA269" i="1" a="1"/>
  <c r="BA269" i="1" s="1"/>
  <c r="BE269" i="1" a="1"/>
  <c r="BE269" i="1" s="1"/>
  <c r="AS269" i="1" a="1"/>
  <c r="AS269" i="1" s="1"/>
  <c r="AG269" i="1" a="1"/>
  <c r="AG269" i="1" s="1"/>
  <c r="AK269" i="1" a="1"/>
  <c r="AK269" i="1" s="1"/>
  <c r="Z269" i="1" a="1"/>
  <c r="Z269" i="1" s="1"/>
  <c r="AA269" i="1" s="1"/>
  <c r="T269" i="1" a="1"/>
  <c r="T269" i="1" s="1"/>
  <c r="O269" i="1" a="1"/>
  <c r="O269" i="1" s="1"/>
  <c r="P269" i="1" s="1"/>
  <c r="M269" i="1" s="1"/>
  <c r="J269" i="1" a="1"/>
  <c r="J269" i="1" s="1"/>
  <c r="AI269" i="1" a="1"/>
  <c r="AI269" i="1" s="1"/>
  <c r="AD269" i="1" a="1"/>
  <c r="AD269" i="1" s="1"/>
  <c r="AE269" i="1" s="1"/>
  <c r="AB269" i="1" s="1"/>
  <c r="R269" i="1" a="1"/>
  <c r="R269" i="1" s="1"/>
  <c r="V269" i="1" a="1"/>
  <c r="V269" i="1" s="1"/>
  <c r="K269" i="1" a="1"/>
  <c r="K269" i="1" s="1"/>
  <c r="Q268" i="1" a="1"/>
  <c r="Q268" i="1" s="1"/>
  <c r="I268" i="1"/>
  <c r="X268" i="1"/>
  <c r="AF268" i="1"/>
  <c r="B270" i="1"/>
  <c r="A269" i="1"/>
  <c r="AZ269" i="1" l="1"/>
  <c r="AT269" i="1"/>
  <c r="D270" i="1"/>
  <c r="E270" i="1"/>
  <c r="C270" i="1"/>
  <c r="L269" i="1"/>
  <c r="AY268" i="1"/>
  <c r="AO268" i="1"/>
  <c r="H269" i="1"/>
  <c r="G270" i="1" a="1"/>
  <c r="G270" i="1" s="1"/>
  <c r="BB270" i="1" a="1"/>
  <c r="BB270" i="1" s="1"/>
  <c r="BD270" i="1" a="1"/>
  <c r="BD270" i="1" s="1"/>
  <c r="BF270" i="1" a="1"/>
  <c r="BF270" i="1" s="1"/>
  <c r="AW270" i="1" a="1"/>
  <c r="AW270" i="1" s="1"/>
  <c r="AS270" i="1" a="1"/>
  <c r="AS270" i="1" s="1"/>
  <c r="BA270" i="1" a="1"/>
  <c r="BA270" i="1" s="1"/>
  <c r="BE270" i="1" a="1"/>
  <c r="BE270" i="1" s="1"/>
  <c r="AR270" i="1" a="1"/>
  <c r="AR270" i="1" s="1"/>
  <c r="AH270" i="1" a="1"/>
  <c r="AH270" i="1" s="1"/>
  <c r="AJ270" i="1" a="1"/>
  <c r="AJ270" i="1" s="1"/>
  <c r="AL270" i="1" a="1"/>
  <c r="AL270" i="1" s="1"/>
  <c r="AD270" i="1" a="1"/>
  <c r="AD270" i="1" s="1"/>
  <c r="Z270" i="1" a="1"/>
  <c r="Z270" i="1" s="1"/>
  <c r="S270" i="1" a="1"/>
  <c r="S270" i="1" s="1"/>
  <c r="U270" i="1" a="1"/>
  <c r="U270" i="1" s="1"/>
  <c r="W270" i="1" a="1"/>
  <c r="W270" i="1" s="1"/>
  <c r="O270" i="1" a="1"/>
  <c r="O270" i="1" s="1"/>
  <c r="K270" i="1" a="1"/>
  <c r="K270" i="1" s="1"/>
  <c r="J270" i="1" a="1"/>
  <c r="J270" i="1" s="1"/>
  <c r="F270" i="1" a="1"/>
  <c r="F270" i="1" s="1"/>
  <c r="H270" i="1" s="1"/>
  <c r="BC270" i="1" a="1"/>
  <c r="BC270" i="1" s="1"/>
  <c r="AV270" i="1" a="1"/>
  <c r="AV270" i="1" s="1"/>
  <c r="AI270" i="1" a="1"/>
  <c r="AI270" i="1" s="1"/>
  <c r="AC270" i="1" a="1"/>
  <c r="AC270" i="1" s="1"/>
  <c r="R270" i="1" a="1"/>
  <c r="R270" i="1" s="1"/>
  <c r="V270" i="1" a="1"/>
  <c r="V270" i="1" s="1"/>
  <c r="AG270" i="1" a="1"/>
  <c r="AG270" i="1" s="1"/>
  <c r="AK270" i="1" a="1"/>
  <c r="AK270" i="1" s="1"/>
  <c r="Y270" i="1" a="1"/>
  <c r="Y270" i="1" s="1"/>
  <c r="T270" i="1" a="1"/>
  <c r="T270" i="1" s="1"/>
  <c r="N270" i="1" a="1"/>
  <c r="N270" i="1" s="1"/>
  <c r="I269" i="1"/>
  <c r="Q269" i="1" a="1"/>
  <c r="Q269" i="1" s="1"/>
  <c r="X269" i="1"/>
  <c r="AF269" i="1"/>
  <c r="B271" i="1"/>
  <c r="A270" i="1"/>
  <c r="AZ270" i="1" l="1"/>
  <c r="AY269" i="1"/>
  <c r="D271" i="1"/>
  <c r="E271" i="1"/>
  <c r="C271" i="1"/>
  <c r="AZ271" i="1" s="1"/>
  <c r="AT270" i="1"/>
  <c r="AX270" i="1"/>
  <c r="P270" i="1"/>
  <c r="M270" i="1" s="1"/>
  <c r="AA270" i="1"/>
  <c r="AO269" i="1"/>
  <c r="L270" i="1"/>
  <c r="AE270" i="1"/>
  <c r="AB270" i="1" s="1"/>
  <c r="F271" i="1" a="1"/>
  <c r="F271" i="1" s="1"/>
  <c r="BB271" i="1" a="1"/>
  <c r="BB271" i="1" s="1"/>
  <c r="BD271" i="1" a="1"/>
  <c r="BD271" i="1" s="1"/>
  <c r="BF271" i="1" a="1"/>
  <c r="BF271" i="1" s="1"/>
  <c r="AV271" i="1" a="1"/>
  <c r="AV271" i="1" s="1"/>
  <c r="AR271" i="1" a="1"/>
  <c r="AR271" i="1" s="1"/>
  <c r="BC271" i="1" a="1"/>
  <c r="BC271" i="1" s="1"/>
  <c r="AS271" i="1" a="1"/>
  <c r="AS271" i="1" s="1"/>
  <c r="AH271" i="1" a="1"/>
  <c r="AH271" i="1" s="1"/>
  <c r="AJ271" i="1" a="1"/>
  <c r="AJ271" i="1" s="1"/>
  <c r="AL271" i="1" a="1"/>
  <c r="AL271" i="1" s="1"/>
  <c r="AC271" i="1" a="1"/>
  <c r="AC271" i="1" s="1"/>
  <c r="Y271" i="1" a="1"/>
  <c r="Y271" i="1" s="1"/>
  <c r="S271" i="1" a="1"/>
  <c r="S271" i="1" s="1"/>
  <c r="U271" i="1" a="1"/>
  <c r="U271" i="1" s="1"/>
  <c r="W271" i="1" a="1"/>
  <c r="W271" i="1" s="1"/>
  <c r="N271" i="1" a="1"/>
  <c r="N271" i="1" s="1"/>
  <c r="G271" i="1" a="1"/>
  <c r="G271" i="1" s="1"/>
  <c r="BA271" i="1" a="1"/>
  <c r="BA271" i="1" s="1"/>
  <c r="BE271" i="1" a="1"/>
  <c r="BE271" i="1" s="1"/>
  <c r="AW271" i="1" a="1"/>
  <c r="AW271" i="1" s="1"/>
  <c r="AX271" i="1" s="1"/>
  <c r="AG271" i="1" a="1"/>
  <c r="AG271" i="1" s="1"/>
  <c r="AK271" i="1" a="1"/>
  <c r="AK271" i="1" s="1"/>
  <c r="AD271" i="1" a="1"/>
  <c r="AD271" i="1" s="1"/>
  <c r="AE271" i="1" s="1"/>
  <c r="AB271" i="1" s="1"/>
  <c r="T271" i="1" a="1"/>
  <c r="T271" i="1" s="1"/>
  <c r="K271" i="1" a="1"/>
  <c r="K271" i="1" s="1"/>
  <c r="AI271" i="1" a="1"/>
  <c r="AI271" i="1" s="1"/>
  <c r="Z271" i="1" a="1"/>
  <c r="Z271" i="1" s="1"/>
  <c r="R271" i="1" a="1"/>
  <c r="R271" i="1" s="1"/>
  <c r="V271" i="1" a="1"/>
  <c r="V271" i="1" s="1"/>
  <c r="O271" i="1" a="1"/>
  <c r="O271" i="1" s="1"/>
  <c r="P271" i="1" s="1"/>
  <c r="M271" i="1" s="1"/>
  <c r="J271" i="1" a="1"/>
  <c r="J271" i="1" s="1"/>
  <c r="Q270" i="1" a="1"/>
  <c r="Q270" i="1" s="1"/>
  <c r="I270" i="1"/>
  <c r="X270" i="1"/>
  <c r="AF270" i="1"/>
  <c r="B272" i="1"/>
  <c r="A271" i="1"/>
  <c r="AT271" i="1" l="1"/>
  <c r="D272" i="1"/>
  <c r="E272" i="1"/>
  <c r="C272" i="1"/>
  <c r="AZ272" i="1" s="1"/>
  <c r="AO270" i="1"/>
  <c r="AA271" i="1"/>
  <c r="AY270" i="1"/>
  <c r="H271" i="1"/>
  <c r="L271" i="1"/>
  <c r="G272" i="1" a="1"/>
  <c r="G272" i="1" s="1"/>
  <c r="BB272" i="1" a="1"/>
  <c r="BB272" i="1" s="1"/>
  <c r="BD272" i="1" a="1"/>
  <c r="BD272" i="1" s="1"/>
  <c r="BF272" i="1" a="1"/>
  <c r="BF272" i="1" s="1"/>
  <c r="AW272" i="1" a="1"/>
  <c r="AW272" i="1" s="1"/>
  <c r="AS272" i="1" a="1"/>
  <c r="AS272" i="1" s="1"/>
  <c r="F272" i="1" a="1"/>
  <c r="F272" i="1" s="1"/>
  <c r="H272" i="1" s="1"/>
  <c r="BA272" i="1" a="1"/>
  <c r="BA272" i="1" s="1"/>
  <c r="BE272" i="1" a="1"/>
  <c r="BE272" i="1" s="1"/>
  <c r="AV272" i="1" a="1"/>
  <c r="AV272" i="1" s="1"/>
  <c r="AH272" i="1" a="1"/>
  <c r="AH272" i="1" s="1"/>
  <c r="AJ272" i="1" a="1"/>
  <c r="AJ272" i="1" s="1"/>
  <c r="AL272" i="1" a="1"/>
  <c r="AL272" i="1" s="1"/>
  <c r="AD272" i="1" a="1"/>
  <c r="AD272" i="1" s="1"/>
  <c r="Z272" i="1" a="1"/>
  <c r="Z272" i="1" s="1"/>
  <c r="S272" i="1" a="1"/>
  <c r="S272" i="1" s="1"/>
  <c r="U272" i="1" a="1"/>
  <c r="U272" i="1" s="1"/>
  <c r="W272" i="1" a="1"/>
  <c r="W272" i="1" s="1"/>
  <c r="O272" i="1" a="1"/>
  <c r="O272" i="1" s="1"/>
  <c r="K272" i="1" a="1"/>
  <c r="K272" i="1" s="1"/>
  <c r="J272" i="1" a="1"/>
  <c r="J272" i="1" s="1"/>
  <c r="BC272" i="1" a="1"/>
  <c r="BC272" i="1" s="1"/>
  <c r="AI272" i="1" a="1"/>
  <c r="AI272" i="1" s="1"/>
  <c r="Y272" i="1" a="1"/>
  <c r="Y272" i="1" s="1"/>
  <c r="R272" i="1" a="1"/>
  <c r="R272" i="1" s="1"/>
  <c r="V272" i="1" a="1"/>
  <c r="V272" i="1" s="1"/>
  <c r="N272" i="1" a="1"/>
  <c r="N272" i="1" s="1"/>
  <c r="AR272" i="1" a="1"/>
  <c r="AR272" i="1" s="1"/>
  <c r="AG272" i="1" a="1"/>
  <c r="AG272" i="1" s="1"/>
  <c r="AK272" i="1" a="1"/>
  <c r="AK272" i="1" s="1"/>
  <c r="AC272" i="1" a="1"/>
  <c r="AC272" i="1" s="1"/>
  <c r="T272" i="1" a="1"/>
  <c r="T272" i="1" s="1"/>
  <c r="X271" i="1"/>
  <c r="I271" i="1"/>
  <c r="Q271" i="1" a="1"/>
  <c r="Q271" i="1" s="1"/>
  <c r="B273" i="1"/>
  <c r="A272" i="1"/>
  <c r="AF271" i="1" l="1"/>
  <c r="AO271" i="1" s="1"/>
  <c r="AY271" i="1"/>
  <c r="D273" i="1"/>
  <c r="E273" i="1"/>
  <c r="C273" i="1"/>
  <c r="AX272" i="1"/>
  <c r="AT272" i="1"/>
  <c r="L272" i="1"/>
  <c r="AE272" i="1"/>
  <c r="AB272" i="1" s="1"/>
  <c r="P272" i="1"/>
  <c r="M272" i="1" s="1"/>
  <c r="AA272" i="1"/>
  <c r="F273" i="1" a="1"/>
  <c r="F273" i="1" s="1"/>
  <c r="BB273" i="1" a="1"/>
  <c r="BB273" i="1" s="1"/>
  <c r="BD273" i="1" a="1"/>
  <c r="BD273" i="1" s="1"/>
  <c r="BF273" i="1" a="1"/>
  <c r="BF273" i="1" s="1"/>
  <c r="AV273" i="1" a="1"/>
  <c r="AV273" i="1" s="1"/>
  <c r="AR273" i="1" a="1"/>
  <c r="AR273" i="1" s="1"/>
  <c r="G273" i="1" a="1"/>
  <c r="G273" i="1" s="1"/>
  <c r="BC273" i="1" a="1"/>
  <c r="BC273" i="1" s="1"/>
  <c r="AW273" i="1" a="1"/>
  <c r="AW273" i="1" s="1"/>
  <c r="AX273" i="1" s="1"/>
  <c r="AH273" i="1" a="1"/>
  <c r="AH273" i="1" s="1"/>
  <c r="AJ273" i="1" a="1"/>
  <c r="AJ273" i="1" s="1"/>
  <c r="AL273" i="1" a="1"/>
  <c r="AL273" i="1" s="1"/>
  <c r="AC273" i="1" a="1"/>
  <c r="AC273" i="1" s="1"/>
  <c r="Y273" i="1" a="1"/>
  <c r="Y273" i="1" s="1"/>
  <c r="S273" i="1" a="1"/>
  <c r="S273" i="1" s="1"/>
  <c r="U273" i="1" a="1"/>
  <c r="U273" i="1" s="1"/>
  <c r="W273" i="1" a="1"/>
  <c r="W273" i="1" s="1"/>
  <c r="N273" i="1" a="1"/>
  <c r="N273" i="1" s="1"/>
  <c r="BA273" i="1" a="1"/>
  <c r="BA273" i="1" s="1"/>
  <c r="BE273" i="1" a="1"/>
  <c r="BE273" i="1" s="1"/>
  <c r="AS273" i="1" a="1"/>
  <c r="AS273" i="1" s="1"/>
  <c r="AG273" i="1" a="1"/>
  <c r="AG273" i="1" s="1"/>
  <c r="AK273" i="1" a="1"/>
  <c r="AK273" i="1" s="1"/>
  <c r="Z273" i="1" a="1"/>
  <c r="Z273" i="1" s="1"/>
  <c r="AA273" i="1" s="1"/>
  <c r="T273" i="1" a="1"/>
  <c r="T273" i="1" s="1"/>
  <c r="O273" i="1" a="1"/>
  <c r="O273" i="1" s="1"/>
  <c r="P273" i="1" s="1"/>
  <c r="M273" i="1" s="1"/>
  <c r="J273" i="1" a="1"/>
  <c r="J273" i="1" s="1"/>
  <c r="AI273" i="1" a="1"/>
  <c r="AI273" i="1" s="1"/>
  <c r="AD273" i="1" a="1"/>
  <c r="AD273" i="1" s="1"/>
  <c r="AE273" i="1" s="1"/>
  <c r="AB273" i="1" s="1"/>
  <c r="R273" i="1" a="1"/>
  <c r="R273" i="1" s="1"/>
  <c r="V273" i="1" a="1"/>
  <c r="V273" i="1" s="1"/>
  <c r="K273" i="1" a="1"/>
  <c r="K273" i="1" s="1"/>
  <c r="Q272" i="1" a="1"/>
  <c r="Q272" i="1" s="1"/>
  <c r="I272" i="1"/>
  <c r="X272" i="1"/>
  <c r="AF272" i="1"/>
  <c r="B274" i="1"/>
  <c r="A273" i="1"/>
  <c r="AZ273" i="1" l="1"/>
  <c r="AZ274" i="1"/>
  <c r="AT273" i="1"/>
  <c r="D274" i="1"/>
  <c r="E274" i="1"/>
  <c r="C274" i="1"/>
  <c r="AY272" i="1"/>
  <c r="L273" i="1"/>
  <c r="AO272" i="1"/>
  <c r="H273" i="1"/>
  <c r="G274" i="1" a="1"/>
  <c r="G274" i="1" s="1"/>
  <c r="BB274" i="1" a="1"/>
  <c r="BB274" i="1" s="1"/>
  <c r="BD274" i="1" a="1"/>
  <c r="BD274" i="1" s="1"/>
  <c r="BF274" i="1" a="1"/>
  <c r="BF274" i="1" s="1"/>
  <c r="AW274" i="1" a="1"/>
  <c r="AW274" i="1" s="1"/>
  <c r="AS274" i="1" a="1"/>
  <c r="AS274" i="1" s="1"/>
  <c r="BA274" i="1" a="1"/>
  <c r="BA274" i="1" s="1"/>
  <c r="BE274" i="1" a="1"/>
  <c r="BE274" i="1" s="1"/>
  <c r="AR274" i="1" a="1"/>
  <c r="AR274" i="1" s="1"/>
  <c r="AH274" i="1" a="1"/>
  <c r="AH274" i="1" s="1"/>
  <c r="AJ274" i="1" a="1"/>
  <c r="AJ274" i="1" s="1"/>
  <c r="AL274" i="1" a="1"/>
  <c r="AL274" i="1" s="1"/>
  <c r="AD274" i="1" a="1"/>
  <c r="AD274" i="1" s="1"/>
  <c r="Z274" i="1" a="1"/>
  <c r="Z274" i="1" s="1"/>
  <c r="S274" i="1" a="1"/>
  <c r="S274" i="1" s="1"/>
  <c r="U274" i="1" a="1"/>
  <c r="U274" i="1" s="1"/>
  <c r="W274" i="1" a="1"/>
  <c r="W274" i="1" s="1"/>
  <c r="O274" i="1" a="1"/>
  <c r="O274" i="1" s="1"/>
  <c r="K274" i="1" a="1"/>
  <c r="K274" i="1" s="1"/>
  <c r="J274" i="1" a="1"/>
  <c r="J274" i="1" s="1"/>
  <c r="F274" i="1" a="1"/>
  <c r="F274" i="1" s="1"/>
  <c r="H274" i="1" s="1"/>
  <c r="BC274" i="1" a="1"/>
  <c r="BC274" i="1" s="1"/>
  <c r="AV274" i="1" a="1"/>
  <c r="AV274" i="1" s="1"/>
  <c r="AI274" i="1" a="1"/>
  <c r="AI274" i="1" s="1"/>
  <c r="AC274" i="1" a="1"/>
  <c r="AC274" i="1" s="1"/>
  <c r="R274" i="1" a="1"/>
  <c r="R274" i="1" s="1"/>
  <c r="V274" i="1" a="1"/>
  <c r="V274" i="1" s="1"/>
  <c r="AG274" i="1" a="1"/>
  <c r="AG274" i="1" s="1"/>
  <c r="AK274" i="1" a="1"/>
  <c r="AK274" i="1" s="1"/>
  <c r="Y274" i="1" a="1"/>
  <c r="Y274" i="1" s="1"/>
  <c r="T274" i="1" a="1"/>
  <c r="T274" i="1" s="1"/>
  <c r="N274" i="1" a="1"/>
  <c r="N274" i="1" s="1"/>
  <c r="I273" i="1"/>
  <c r="Q273" i="1" a="1"/>
  <c r="Q273" i="1" s="1"/>
  <c r="X273" i="1"/>
  <c r="AF273" i="1"/>
  <c r="B275" i="1"/>
  <c r="A274" i="1"/>
  <c r="AY273" i="1" l="1"/>
  <c r="D275" i="1"/>
  <c r="E275" i="1"/>
  <c r="C275" i="1"/>
  <c r="AZ275" i="1" s="1"/>
  <c r="AT274" i="1"/>
  <c r="AX274" i="1"/>
  <c r="P274" i="1"/>
  <c r="M274" i="1" s="1"/>
  <c r="AA274" i="1"/>
  <c r="AO273" i="1"/>
  <c r="L274" i="1"/>
  <c r="AE274" i="1"/>
  <c r="AB274" i="1" s="1"/>
  <c r="F275" i="1" a="1"/>
  <c r="F275" i="1" s="1"/>
  <c r="BB275" i="1" a="1"/>
  <c r="BB275" i="1" s="1"/>
  <c r="BD275" i="1" a="1"/>
  <c r="BD275" i="1" s="1"/>
  <c r="BF275" i="1" a="1"/>
  <c r="BF275" i="1" s="1"/>
  <c r="AV275" i="1" a="1"/>
  <c r="AV275" i="1" s="1"/>
  <c r="AR275" i="1" a="1"/>
  <c r="AR275" i="1" s="1"/>
  <c r="BC275" i="1" a="1"/>
  <c r="BC275" i="1" s="1"/>
  <c r="AS275" i="1" a="1"/>
  <c r="AS275" i="1" s="1"/>
  <c r="AT275" i="1" s="1"/>
  <c r="AH275" i="1" a="1"/>
  <c r="AH275" i="1" s="1"/>
  <c r="AJ275" i="1" a="1"/>
  <c r="AJ275" i="1" s="1"/>
  <c r="AL275" i="1" a="1"/>
  <c r="AL275" i="1" s="1"/>
  <c r="AC275" i="1" a="1"/>
  <c r="AC275" i="1" s="1"/>
  <c r="Y275" i="1" a="1"/>
  <c r="Y275" i="1" s="1"/>
  <c r="S275" i="1" a="1"/>
  <c r="S275" i="1" s="1"/>
  <c r="U275" i="1" a="1"/>
  <c r="U275" i="1" s="1"/>
  <c r="W275" i="1" a="1"/>
  <c r="W275" i="1" s="1"/>
  <c r="N275" i="1" a="1"/>
  <c r="N275" i="1" s="1"/>
  <c r="G275" i="1" a="1"/>
  <c r="G275" i="1" s="1"/>
  <c r="BA275" i="1" a="1"/>
  <c r="BA275" i="1" s="1"/>
  <c r="BE275" i="1" a="1"/>
  <c r="BE275" i="1" s="1"/>
  <c r="AW275" i="1" a="1"/>
  <c r="AW275" i="1" s="1"/>
  <c r="AX275" i="1" s="1"/>
  <c r="AG275" i="1" a="1"/>
  <c r="AG275" i="1" s="1"/>
  <c r="AK275" i="1" a="1"/>
  <c r="AK275" i="1" s="1"/>
  <c r="AD275" i="1" a="1"/>
  <c r="AD275" i="1" s="1"/>
  <c r="AE275" i="1" s="1"/>
  <c r="AB275" i="1" s="1"/>
  <c r="T275" i="1" a="1"/>
  <c r="T275" i="1" s="1"/>
  <c r="K275" i="1" a="1"/>
  <c r="K275" i="1" s="1"/>
  <c r="AI275" i="1" a="1"/>
  <c r="AI275" i="1" s="1"/>
  <c r="Z275" i="1" a="1"/>
  <c r="Z275" i="1" s="1"/>
  <c r="R275" i="1" a="1"/>
  <c r="R275" i="1" s="1"/>
  <c r="V275" i="1" a="1"/>
  <c r="V275" i="1" s="1"/>
  <c r="O275" i="1" a="1"/>
  <c r="O275" i="1" s="1"/>
  <c r="P275" i="1" s="1"/>
  <c r="M275" i="1" s="1"/>
  <c r="J275" i="1" a="1"/>
  <c r="J275" i="1" s="1"/>
  <c r="Q274" i="1" a="1"/>
  <c r="Q274" i="1" s="1"/>
  <c r="I274" i="1"/>
  <c r="X274" i="1"/>
  <c r="AF274" i="1"/>
  <c r="B276" i="1"/>
  <c r="A275" i="1"/>
  <c r="D276" i="1" l="1"/>
  <c r="E276" i="1"/>
  <c r="C276" i="1"/>
  <c r="AY274" i="1"/>
  <c r="AA275" i="1"/>
  <c r="AO274" i="1"/>
  <c r="H275" i="1"/>
  <c r="AY275" i="1" s="1"/>
  <c r="L275" i="1"/>
  <c r="G276" i="1" a="1"/>
  <c r="G276" i="1" s="1"/>
  <c r="BB276" i="1" a="1"/>
  <c r="BB276" i="1" s="1"/>
  <c r="BD276" i="1" a="1"/>
  <c r="BD276" i="1" s="1"/>
  <c r="BF276" i="1" a="1"/>
  <c r="BF276" i="1" s="1"/>
  <c r="AW276" i="1" a="1"/>
  <c r="AW276" i="1" s="1"/>
  <c r="AS276" i="1" a="1"/>
  <c r="AS276" i="1" s="1"/>
  <c r="F276" i="1" a="1"/>
  <c r="F276" i="1" s="1"/>
  <c r="H276" i="1" s="1"/>
  <c r="BA276" i="1" a="1"/>
  <c r="BA276" i="1" s="1"/>
  <c r="BE276" i="1" a="1"/>
  <c r="BE276" i="1" s="1"/>
  <c r="AV276" i="1" a="1"/>
  <c r="AV276" i="1" s="1"/>
  <c r="AH276" i="1" a="1"/>
  <c r="AH276" i="1" s="1"/>
  <c r="AJ276" i="1" a="1"/>
  <c r="AJ276" i="1" s="1"/>
  <c r="AL276" i="1" a="1"/>
  <c r="AL276" i="1" s="1"/>
  <c r="AD276" i="1" a="1"/>
  <c r="AD276" i="1" s="1"/>
  <c r="Z276" i="1" a="1"/>
  <c r="Z276" i="1" s="1"/>
  <c r="S276" i="1" a="1"/>
  <c r="S276" i="1" s="1"/>
  <c r="U276" i="1" a="1"/>
  <c r="U276" i="1" s="1"/>
  <c r="W276" i="1" a="1"/>
  <c r="W276" i="1" s="1"/>
  <c r="O276" i="1" a="1"/>
  <c r="O276" i="1" s="1"/>
  <c r="K276" i="1" a="1"/>
  <c r="K276" i="1" s="1"/>
  <c r="J276" i="1" a="1"/>
  <c r="J276" i="1" s="1"/>
  <c r="BC276" i="1" a="1"/>
  <c r="BC276" i="1" s="1"/>
  <c r="AR276" i="1" a="1"/>
  <c r="AR276" i="1" s="1"/>
  <c r="AI276" i="1" a="1"/>
  <c r="AI276" i="1" s="1"/>
  <c r="Y276" i="1" a="1"/>
  <c r="Y276" i="1" s="1"/>
  <c r="R276" i="1" a="1"/>
  <c r="R276" i="1" s="1"/>
  <c r="V276" i="1" a="1"/>
  <c r="V276" i="1" s="1"/>
  <c r="N276" i="1" a="1"/>
  <c r="N276" i="1" s="1"/>
  <c r="AG276" i="1" a="1"/>
  <c r="AG276" i="1" s="1"/>
  <c r="AK276" i="1" a="1"/>
  <c r="AK276" i="1" s="1"/>
  <c r="AC276" i="1" a="1"/>
  <c r="AC276" i="1" s="1"/>
  <c r="T276" i="1" a="1"/>
  <c r="T276" i="1" s="1"/>
  <c r="X275" i="1"/>
  <c r="AF275" i="1"/>
  <c r="I275" i="1"/>
  <c r="Q275" i="1" a="1"/>
  <c r="Q275" i="1" s="1"/>
  <c r="AO275" i="1" s="1"/>
  <c r="B277" i="1"/>
  <c r="A276" i="1"/>
  <c r="AZ276" i="1" l="1"/>
  <c r="D277" i="1"/>
  <c r="E277" i="1"/>
  <c r="C277" i="1"/>
  <c r="AZ277" i="1" s="1"/>
  <c r="AX276" i="1"/>
  <c r="L276" i="1"/>
  <c r="AT276" i="1"/>
  <c r="AY276" i="1" s="1"/>
  <c r="P276" i="1"/>
  <c r="M276" i="1" s="1"/>
  <c r="AA276" i="1"/>
  <c r="AE276" i="1"/>
  <c r="AB276" i="1" s="1"/>
  <c r="F277" i="1" a="1"/>
  <c r="F277" i="1" s="1"/>
  <c r="BB277" i="1" a="1"/>
  <c r="BB277" i="1" s="1"/>
  <c r="BD277" i="1" a="1"/>
  <c r="BD277" i="1" s="1"/>
  <c r="BF277" i="1" a="1"/>
  <c r="BF277" i="1" s="1"/>
  <c r="AV277" i="1" a="1"/>
  <c r="AV277" i="1" s="1"/>
  <c r="AR277" i="1" a="1"/>
  <c r="AR277" i="1" s="1"/>
  <c r="G277" i="1" a="1"/>
  <c r="G277" i="1" s="1"/>
  <c r="BC277" i="1" a="1"/>
  <c r="BC277" i="1" s="1"/>
  <c r="AW277" i="1" a="1"/>
  <c r="AW277" i="1" s="1"/>
  <c r="AX277" i="1" s="1"/>
  <c r="AH277" i="1" a="1"/>
  <c r="AH277" i="1" s="1"/>
  <c r="AJ277" i="1" a="1"/>
  <c r="AJ277" i="1" s="1"/>
  <c r="AL277" i="1" a="1"/>
  <c r="AL277" i="1" s="1"/>
  <c r="AC277" i="1" a="1"/>
  <c r="AC277" i="1" s="1"/>
  <c r="Y277" i="1" a="1"/>
  <c r="Y277" i="1" s="1"/>
  <c r="S277" i="1" a="1"/>
  <c r="S277" i="1" s="1"/>
  <c r="U277" i="1" a="1"/>
  <c r="U277" i="1" s="1"/>
  <c r="W277" i="1" a="1"/>
  <c r="W277" i="1" s="1"/>
  <c r="N277" i="1" a="1"/>
  <c r="N277" i="1" s="1"/>
  <c r="BA277" i="1" a="1"/>
  <c r="BA277" i="1" s="1"/>
  <c r="BE277" i="1" a="1"/>
  <c r="BE277" i="1" s="1"/>
  <c r="AS277" i="1" a="1"/>
  <c r="AS277" i="1" s="1"/>
  <c r="AG277" i="1" a="1"/>
  <c r="AG277" i="1" s="1"/>
  <c r="AK277" i="1" a="1"/>
  <c r="AK277" i="1" s="1"/>
  <c r="Z277" i="1" a="1"/>
  <c r="Z277" i="1" s="1"/>
  <c r="AA277" i="1" s="1"/>
  <c r="T277" i="1" a="1"/>
  <c r="T277" i="1" s="1"/>
  <c r="O277" i="1" a="1"/>
  <c r="O277" i="1" s="1"/>
  <c r="J277" i="1" a="1"/>
  <c r="J277" i="1" s="1"/>
  <c r="AI277" i="1" a="1"/>
  <c r="AI277" i="1" s="1"/>
  <c r="AD277" i="1" a="1"/>
  <c r="AD277" i="1" s="1"/>
  <c r="AE277" i="1" s="1"/>
  <c r="AB277" i="1" s="1"/>
  <c r="R277" i="1" a="1"/>
  <c r="R277" i="1" s="1"/>
  <c r="V277" i="1" a="1"/>
  <c r="V277" i="1" s="1"/>
  <c r="K277" i="1" a="1"/>
  <c r="K277" i="1" s="1"/>
  <c r="Q276" i="1" a="1"/>
  <c r="Q276" i="1" s="1"/>
  <c r="I276" i="1"/>
  <c r="X276" i="1"/>
  <c r="AF276" i="1"/>
  <c r="B278" i="1"/>
  <c r="A277" i="1"/>
  <c r="P277" i="1" l="1"/>
  <c r="M277" i="1" s="1"/>
  <c r="AT277" i="1"/>
  <c r="L277" i="1"/>
  <c r="D278" i="1"/>
  <c r="E278" i="1"/>
  <c r="C278" i="1"/>
  <c r="AO276" i="1"/>
  <c r="H277" i="1"/>
  <c r="AY277" i="1" s="1"/>
  <c r="G278" i="1" a="1"/>
  <c r="G278" i="1" s="1"/>
  <c r="BB278" i="1" a="1"/>
  <c r="BB278" i="1" s="1"/>
  <c r="BD278" i="1" a="1"/>
  <c r="BD278" i="1" s="1"/>
  <c r="BF278" i="1" a="1"/>
  <c r="BF278" i="1" s="1"/>
  <c r="AW278" i="1" a="1"/>
  <c r="AW278" i="1" s="1"/>
  <c r="AS278" i="1" a="1"/>
  <c r="AS278" i="1" s="1"/>
  <c r="BA278" i="1" a="1"/>
  <c r="BA278" i="1" s="1"/>
  <c r="BE278" i="1" a="1"/>
  <c r="BE278" i="1" s="1"/>
  <c r="AR278" i="1" a="1"/>
  <c r="AR278" i="1" s="1"/>
  <c r="AH278" i="1" a="1"/>
  <c r="AH278" i="1" s="1"/>
  <c r="AJ278" i="1" a="1"/>
  <c r="AJ278" i="1" s="1"/>
  <c r="AL278" i="1" a="1"/>
  <c r="AL278" i="1" s="1"/>
  <c r="AD278" i="1" a="1"/>
  <c r="AD278" i="1" s="1"/>
  <c r="Z278" i="1" a="1"/>
  <c r="Z278" i="1" s="1"/>
  <c r="S278" i="1" a="1"/>
  <c r="S278" i="1" s="1"/>
  <c r="U278" i="1" a="1"/>
  <c r="U278" i="1" s="1"/>
  <c r="W278" i="1" a="1"/>
  <c r="W278" i="1" s="1"/>
  <c r="O278" i="1" a="1"/>
  <c r="O278" i="1" s="1"/>
  <c r="K278" i="1" a="1"/>
  <c r="K278" i="1" s="1"/>
  <c r="J278" i="1" a="1"/>
  <c r="J278" i="1" s="1"/>
  <c r="F278" i="1" a="1"/>
  <c r="F278" i="1" s="1"/>
  <c r="H278" i="1" s="1"/>
  <c r="BC278" i="1" a="1"/>
  <c r="BC278" i="1" s="1"/>
  <c r="AV278" i="1" a="1"/>
  <c r="AV278" i="1" s="1"/>
  <c r="AI278" i="1" a="1"/>
  <c r="AI278" i="1" s="1"/>
  <c r="AC278" i="1" a="1"/>
  <c r="AC278" i="1" s="1"/>
  <c r="R278" i="1" a="1"/>
  <c r="R278" i="1" s="1"/>
  <c r="V278" i="1" a="1"/>
  <c r="V278" i="1" s="1"/>
  <c r="AG278" i="1" a="1"/>
  <c r="AG278" i="1" s="1"/>
  <c r="AK278" i="1" a="1"/>
  <c r="AK278" i="1" s="1"/>
  <c r="Y278" i="1" a="1"/>
  <c r="Y278" i="1" s="1"/>
  <c r="T278" i="1" a="1"/>
  <c r="T278" i="1" s="1"/>
  <c r="N278" i="1" a="1"/>
  <c r="N278" i="1" s="1"/>
  <c r="I277" i="1"/>
  <c r="Q277" i="1" a="1"/>
  <c r="Q277" i="1" s="1"/>
  <c r="X277" i="1"/>
  <c r="AF277" i="1"/>
  <c r="B279" i="1"/>
  <c r="A278" i="1"/>
  <c r="AZ278" i="1" l="1"/>
  <c r="D279" i="1"/>
  <c r="E279" i="1"/>
  <c r="C279" i="1"/>
  <c r="AZ279" i="1" s="1"/>
  <c r="AX278" i="1"/>
  <c r="AT278" i="1"/>
  <c r="AO277" i="1"/>
  <c r="P278" i="1"/>
  <c r="M278" i="1" s="1"/>
  <c r="AA278" i="1"/>
  <c r="L278" i="1"/>
  <c r="AE278" i="1"/>
  <c r="AB278" i="1" s="1"/>
  <c r="F279" i="1" a="1"/>
  <c r="F279" i="1" s="1"/>
  <c r="BB279" i="1" a="1"/>
  <c r="BB279" i="1" s="1"/>
  <c r="BD279" i="1" a="1"/>
  <c r="BD279" i="1" s="1"/>
  <c r="BF279" i="1" a="1"/>
  <c r="BF279" i="1" s="1"/>
  <c r="AV279" i="1" a="1"/>
  <c r="AV279" i="1" s="1"/>
  <c r="AR279" i="1" a="1"/>
  <c r="AR279" i="1" s="1"/>
  <c r="BC279" i="1" a="1"/>
  <c r="BC279" i="1" s="1"/>
  <c r="AS279" i="1" a="1"/>
  <c r="AS279" i="1" s="1"/>
  <c r="AT279" i="1" s="1"/>
  <c r="AH279" i="1" a="1"/>
  <c r="AH279" i="1" s="1"/>
  <c r="AJ279" i="1" a="1"/>
  <c r="AJ279" i="1" s="1"/>
  <c r="AL279" i="1" a="1"/>
  <c r="AL279" i="1" s="1"/>
  <c r="AC279" i="1" a="1"/>
  <c r="AC279" i="1" s="1"/>
  <c r="Y279" i="1" a="1"/>
  <c r="Y279" i="1" s="1"/>
  <c r="S279" i="1" a="1"/>
  <c r="S279" i="1" s="1"/>
  <c r="U279" i="1" a="1"/>
  <c r="U279" i="1" s="1"/>
  <c r="W279" i="1" a="1"/>
  <c r="W279" i="1" s="1"/>
  <c r="N279" i="1" a="1"/>
  <c r="N279" i="1" s="1"/>
  <c r="G279" i="1" a="1"/>
  <c r="G279" i="1" s="1"/>
  <c r="BA279" i="1" a="1"/>
  <c r="BA279" i="1" s="1"/>
  <c r="BE279" i="1" a="1"/>
  <c r="BE279" i="1" s="1"/>
  <c r="AW279" i="1" a="1"/>
  <c r="AW279" i="1" s="1"/>
  <c r="AX279" i="1" s="1"/>
  <c r="AG279" i="1" a="1"/>
  <c r="AG279" i="1" s="1"/>
  <c r="AK279" i="1" a="1"/>
  <c r="AK279" i="1" s="1"/>
  <c r="AD279" i="1" a="1"/>
  <c r="AD279" i="1" s="1"/>
  <c r="AE279" i="1" s="1"/>
  <c r="AB279" i="1" s="1"/>
  <c r="T279" i="1" a="1"/>
  <c r="T279" i="1" s="1"/>
  <c r="K279" i="1" a="1"/>
  <c r="K279" i="1" s="1"/>
  <c r="AI279" i="1" a="1"/>
  <c r="AI279" i="1" s="1"/>
  <c r="Z279" i="1" a="1"/>
  <c r="Z279" i="1" s="1"/>
  <c r="R279" i="1" a="1"/>
  <c r="R279" i="1" s="1"/>
  <c r="V279" i="1" a="1"/>
  <c r="V279" i="1" s="1"/>
  <c r="O279" i="1" a="1"/>
  <c r="O279" i="1" s="1"/>
  <c r="P279" i="1" s="1"/>
  <c r="M279" i="1" s="1"/>
  <c r="J279" i="1" a="1"/>
  <c r="J279" i="1" s="1"/>
  <c r="Q278" i="1" a="1"/>
  <c r="Q278" i="1" s="1"/>
  <c r="I278" i="1"/>
  <c r="X278" i="1"/>
  <c r="AF278" i="1"/>
  <c r="B280" i="1"/>
  <c r="A279" i="1"/>
  <c r="D280" i="1" l="1"/>
  <c r="E280" i="1"/>
  <c r="C280" i="1"/>
  <c r="AZ280" i="1" s="1"/>
  <c r="AY278" i="1"/>
  <c r="AO278" i="1"/>
  <c r="H279" i="1"/>
  <c r="AY279" i="1" s="1"/>
  <c r="AA279" i="1"/>
  <c r="L279" i="1"/>
  <c r="I279" i="1" s="1"/>
  <c r="G280" i="1" a="1"/>
  <c r="G280" i="1" s="1"/>
  <c r="BB280" i="1" a="1"/>
  <c r="BB280" i="1" s="1"/>
  <c r="BD280" i="1" a="1"/>
  <c r="BD280" i="1" s="1"/>
  <c r="BF280" i="1" a="1"/>
  <c r="BF280" i="1" s="1"/>
  <c r="AW280" i="1" a="1"/>
  <c r="AW280" i="1" s="1"/>
  <c r="AS280" i="1" a="1"/>
  <c r="AS280" i="1" s="1"/>
  <c r="F280" i="1" a="1"/>
  <c r="F280" i="1" s="1"/>
  <c r="H280" i="1" s="1"/>
  <c r="BA280" i="1" a="1"/>
  <c r="BA280" i="1" s="1"/>
  <c r="BE280" i="1" a="1"/>
  <c r="BE280" i="1" s="1"/>
  <c r="AV280" i="1" a="1"/>
  <c r="AV280" i="1" s="1"/>
  <c r="AH280" i="1" a="1"/>
  <c r="AH280" i="1" s="1"/>
  <c r="AJ280" i="1" a="1"/>
  <c r="AJ280" i="1" s="1"/>
  <c r="AL280" i="1" a="1"/>
  <c r="AL280" i="1" s="1"/>
  <c r="AD280" i="1" a="1"/>
  <c r="AD280" i="1" s="1"/>
  <c r="Z280" i="1" a="1"/>
  <c r="Z280" i="1" s="1"/>
  <c r="S280" i="1" a="1"/>
  <c r="S280" i="1" s="1"/>
  <c r="U280" i="1" a="1"/>
  <c r="U280" i="1" s="1"/>
  <c r="W280" i="1" a="1"/>
  <c r="W280" i="1" s="1"/>
  <c r="O280" i="1" a="1"/>
  <c r="O280" i="1" s="1"/>
  <c r="K280" i="1" a="1"/>
  <c r="K280" i="1" s="1"/>
  <c r="J280" i="1" a="1"/>
  <c r="J280" i="1" s="1"/>
  <c r="BC280" i="1" a="1"/>
  <c r="BC280" i="1" s="1"/>
  <c r="AI280" i="1" a="1"/>
  <c r="AI280" i="1" s="1"/>
  <c r="Y280" i="1" a="1"/>
  <c r="Y280" i="1" s="1"/>
  <c r="R280" i="1" a="1"/>
  <c r="R280" i="1" s="1"/>
  <c r="V280" i="1" a="1"/>
  <c r="V280" i="1" s="1"/>
  <c r="N280" i="1" a="1"/>
  <c r="N280" i="1" s="1"/>
  <c r="AR280" i="1" a="1"/>
  <c r="AR280" i="1" s="1"/>
  <c r="AG280" i="1" a="1"/>
  <c r="AG280" i="1" s="1"/>
  <c r="AK280" i="1" a="1"/>
  <c r="AK280" i="1" s="1"/>
  <c r="AC280" i="1" a="1"/>
  <c r="AC280" i="1" s="1"/>
  <c r="T280" i="1" a="1"/>
  <c r="T280" i="1" s="1"/>
  <c r="X279" i="1"/>
  <c r="AF279" i="1"/>
  <c r="Q279" i="1" a="1"/>
  <c r="Q279" i="1" s="1"/>
  <c r="B281" i="1"/>
  <c r="A280" i="1"/>
  <c r="AZ281" i="1" l="1"/>
  <c r="AO279" i="1"/>
  <c r="D281" i="1"/>
  <c r="E281" i="1"/>
  <c r="C281" i="1"/>
  <c r="AX280" i="1"/>
  <c r="AT280" i="1"/>
  <c r="AA280" i="1"/>
  <c r="P280" i="1"/>
  <c r="M280" i="1" s="1"/>
  <c r="L280" i="1"/>
  <c r="AE280" i="1"/>
  <c r="AB280" i="1" s="1"/>
  <c r="F281" i="1" a="1"/>
  <c r="F281" i="1" s="1"/>
  <c r="BB281" i="1" a="1"/>
  <c r="BB281" i="1" s="1"/>
  <c r="BD281" i="1" a="1"/>
  <c r="BD281" i="1" s="1"/>
  <c r="BF281" i="1" a="1"/>
  <c r="BF281" i="1" s="1"/>
  <c r="AV281" i="1" a="1"/>
  <c r="AV281" i="1" s="1"/>
  <c r="AR281" i="1" a="1"/>
  <c r="AR281" i="1" s="1"/>
  <c r="G281" i="1" a="1"/>
  <c r="G281" i="1" s="1"/>
  <c r="BC281" i="1" a="1"/>
  <c r="BC281" i="1" s="1"/>
  <c r="AW281" i="1" a="1"/>
  <c r="AW281" i="1" s="1"/>
  <c r="AX281" i="1" s="1"/>
  <c r="AH281" i="1" a="1"/>
  <c r="AH281" i="1" s="1"/>
  <c r="AJ281" i="1" a="1"/>
  <c r="AJ281" i="1" s="1"/>
  <c r="AL281" i="1" a="1"/>
  <c r="AL281" i="1" s="1"/>
  <c r="AC281" i="1" a="1"/>
  <c r="AC281" i="1" s="1"/>
  <c r="Y281" i="1" a="1"/>
  <c r="Y281" i="1" s="1"/>
  <c r="S281" i="1" a="1"/>
  <c r="S281" i="1" s="1"/>
  <c r="U281" i="1" a="1"/>
  <c r="U281" i="1" s="1"/>
  <c r="W281" i="1" a="1"/>
  <c r="W281" i="1" s="1"/>
  <c r="N281" i="1" a="1"/>
  <c r="N281" i="1" s="1"/>
  <c r="BA281" i="1" a="1"/>
  <c r="BA281" i="1" s="1"/>
  <c r="BE281" i="1" a="1"/>
  <c r="BE281" i="1" s="1"/>
  <c r="AS281" i="1" a="1"/>
  <c r="AS281" i="1" s="1"/>
  <c r="AG281" i="1" a="1"/>
  <c r="AG281" i="1" s="1"/>
  <c r="AK281" i="1" a="1"/>
  <c r="AK281" i="1" s="1"/>
  <c r="Z281" i="1" a="1"/>
  <c r="Z281" i="1" s="1"/>
  <c r="AA281" i="1" s="1"/>
  <c r="T281" i="1" a="1"/>
  <c r="T281" i="1" s="1"/>
  <c r="O281" i="1" a="1"/>
  <c r="O281" i="1" s="1"/>
  <c r="P281" i="1" s="1"/>
  <c r="M281" i="1" s="1"/>
  <c r="J281" i="1" a="1"/>
  <c r="J281" i="1" s="1"/>
  <c r="AI281" i="1" a="1"/>
  <c r="AI281" i="1" s="1"/>
  <c r="AD281" i="1" a="1"/>
  <c r="AD281" i="1" s="1"/>
  <c r="AE281" i="1" s="1"/>
  <c r="AB281" i="1" s="1"/>
  <c r="R281" i="1" a="1"/>
  <c r="R281" i="1" s="1"/>
  <c r="V281" i="1" a="1"/>
  <c r="V281" i="1" s="1"/>
  <c r="K281" i="1" a="1"/>
  <c r="K281" i="1" s="1"/>
  <c r="Q280" i="1" a="1"/>
  <c r="Q280" i="1" s="1"/>
  <c r="I280" i="1"/>
  <c r="X280" i="1"/>
  <c r="AF280" i="1"/>
  <c r="B282" i="1"/>
  <c r="A281" i="1"/>
  <c r="AT281" i="1" l="1"/>
  <c r="D282" i="1"/>
  <c r="E282" i="1"/>
  <c r="C282" i="1"/>
  <c r="AZ282" i="1" s="1"/>
  <c r="L281" i="1"/>
  <c r="AY280" i="1"/>
  <c r="AO280" i="1"/>
  <c r="H281" i="1"/>
  <c r="G282" i="1" a="1"/>
  <c r="G282" i="1" s="1"/>
  <c r="BB282" i="1" a="1"/>
  <c r="BB282" i="1" s="1"/>
  <c r="BD282" i="1" a="1"/>
  <c r="BD282" i="1" s="1"/>
  <c r="BF282" i="1" a="1"/>
  <c r="BF282" i="1" s="1"/>
  <c r="AW282" i="1" a="1"/>
  <c r="AW282" i="1" s="1"/>
  <c r="AS282" i="1" a="1"/>
  <c r="AS282" i="1" s="1"/>
  <c r="BA282" i="1" a="1"/>
  <c r="BA282" i="1" s="1"/>
  <c r="BE282" i="1" a="1"/>
  <c r="BE282" i="1" s="1"/>
  <c r="AR282" i="1" a="1"/>
  <c r="AR282" i="1" s="1"/>
  <c r="AH282" i="1" a="1"/>
  <c r="AH282" i="1" s="1"/>
  <c r="AJ282" i="1" a="1"/>
  <c r="AJ282" i="1" s="1"/>
  <c r="AL282" i="1" a="1"/>
  <c r="AL282" i="1" s="1"/>
  <c r="AD282" i="1" a="1"/>
  <c r="AD282" i="1" s="1"/>
  <c r="Z282" i="1" a="1"/>
  <c r="Z282" i="1" s="1"/>
  <c r="S282" i="1" a="1"/>
  <c r="S282" i="1" s="1"/>
  <c r="U282" i="1" a="1"/>
  <c r="U282" i="1" s="1"/>
  <c r="W282" i="1" a="1"/>
  <c r="W282" i="1" s="1"/>
  <c r="O282" i="1" a="1"/>
  <c r="O282" i="1" s="1"/>
  <c r="K282" i="1" a="1"/>
  <c r="K282" i="1" s="1"/>
  <c r="J282" i="1" a="1"/>
  <c r="J282" i="1" s="1"/>
  <c r="F282" i="1" a="1"/>
  <c r="F282" i="1" s="1"/>
  <c r="H282" i="1" s="1"/>
  <c r="BC282" i="1" a="1"/>
  <c r="BC282" i="1" s="1"/>
  <c r="AV282" i="1" a="1"/>
  <c r="AV282" i="1" s="1"/>
  <c r="AI282" i="1" a="1"/>
  <c r="AI282" i="1" s="1"/>
  <c r="AC282" i="1" a="1"/>
  <c r="AC282" i="1" s="1"/>
  <c r="R282" i="1" a="1"/>
  <c r="R282" i="1" s="1"/>
  <c r="V282" i="1" a="1"/>
  <c r="V282" i="1" s="1"/>
  <c r="AG282" i="1" a="1"/>
  <c r="AG282" i="1" s="1"/>
  <c r="AK282" i="1" a="1"/>
  <c r="AK282" i="1" s="1"/>
  <c r="Y282" i="1" a="1"/>
  <c r="Y282" i="1" s="1"/>
  <c r="T282" i="1" a="1"/>
  <c r="T282" i="1" s="1"/>
  <c r="N282" i="1" a="1"/>
  <c r="N282" i="1" s="1"/>
  <c r="I281" i="1"/>
  <c r="Q281" i="1" a="1"/>
  <c r="Q281" i="1" s="1"/>
  <c r="X281" i="1"/>
  <c r="AF281" i="1"/>
  <c r="B283" i="1"/>
  <c r="A282" i="1"/>
  <c r="AY281" i="1" l="1"/>
  <c r="D283" i="1"/>
  <c r="E283" i="1"/>
  <c r="C283" i="1"/>
  <c r="AX282" i="1"/>
  <c r="AT282" i="1"/>
  <c r="L282" i="1"/>
  <c r="AE282" i="1"/>
  <c r="AB282" i="1" s="1"/>
  <c r="AO281" i="1"/>
  <c r="P282" i="1"/>
  <c r="M282" i="1" s="1"/>
  <c r="AA282" i="1"/>
  <c r="F283" i="1" a="1"/>
  <c r="F283" i="1" s="1"/>
  <c r="BB283" i="1" a="1"/>
  <c r="BB283" i="1" s="1"/>
  <c r="BD283" i="1" a="1"/>
  <c r="BD283" i="1" s="1"/>
  <c r="BF283" i="1" a="1"/>
  <c r="BF283" i="1" s="1"/>
  <c r="AV283" i="1" a="1"/>
  <c r="AV283" i="1" s="1"/>
  <c r="AR283" i="1" a="1"/>
  <c r="AR283" i="1" s="1"/>
  <c r="BC283" i="1" a="1"/>
  <c r="BC283" i="1" s="1"/>
  <c r="AS283" i="1" a="1"/>
  <c r="AS283" i="1" s="1"/>
  <c r="AH283" i="1" a="1"/>
  <c r="AH283" i="1" s="1"/>
  <c r="AJ283" i="1" a="1"/>
  <c r="AJ283" i="1" s="1"/>
  <c r="AL283" i="1" a="1"/>
  <c r="AL283" i="1" s="1"/>
  <c r="AC283" i="1" a="1"/>
  <c r="AC283" i="1" s="1"/>
  <c r="Y283" i="1" a="1"/>
  <c r="Y283" i="1" s="1"/>
  <c r="S283" i="1" a="1"/>
  <c r="S283" i="1" s="1"/>
  <c r="U283" i="1" a="1"/>
  <c r="U283" i="1" s="1"/>
  <c r="W283" i="1" a="1"/>
  <c r="W283" i="1" s="1"/>
  <c r="N283" i="1" a="1"/>
  <c r="N283" i="1" s="1"/>
  <c r="G283" i="1" a="1"/>
  <c r="G283" i="1" s="1"/>
  <c r="BA283" i="1" a="1"/>
  <c r="BA283" i="1" s="1"/>
  <c r="BE283" i="1" a="1"/>
  <c r="BE283" i="1" s="1"/>
  <c r="AW283" i="1" a="1"/>
  <c r="AW283" i="1" s="1"/>
  <c r="AX283" i="1" s="1"/>
  <c r="AG283" i="1" a="1"/>
  <c r="AG283" i="1" s="1"/>
  <c r="AK283" i="1" a="1"/>
  <c r="AK283" i="1" s="1"/>
  <c r="AD283" i="1" a="1"/>
  <c r="AD283" i="1" s="1"/>
  <c r="AE283" i="1" s="1"/>
  <c r="AB283" i="1" s="1"/>
  <c r="T283" i="1" a="1"/>
  <c r="T283" i="1" s="1"/>
  <c r="K283" i="1" a="1"/>
  <c r="K283" i="1" s="1"/>
  <c r="AI283" i="1" a="1"/>
  <c r="AI283" i="1" s="1"/>
  <c r="Z283" i="1" a="1"/>
  <c r="Z283" i="1" s="1"/>
  <c r="R283" i="1" a="1"/>
  <c r="R283" i="1" s="1"/>
  <c r="V283" i="1" a="1"/>
  <c r="V283" i="1" s="1"/>
  <c r="O283" i="1" a="1"/>
  <c r="O283" i="1" s="1"/>
  <c r="P283" i="1" s="1"/>
  <c r="M283" i="1" s="1"/>
  <c r="J283" i="1" a="1"/>
  <c r="J283" i="1" s="1"/>
  <c r="Q282" i="1" a="1"/>
  <c r="Q282" i="1" s="1"/>
  <c r="I282" i="1"/>
  <c r="X282" i="1"/>
  <c r="AF282" i="1"/>
  <c r="B284" i="1"/>
  <c r="A283" i="1"/>
  <c r="AZ283" i="1" l="1"/>
  <c r="AT283" i="1"/>
  <c r="AY282" i="1"/>
  <c r="D284" i="1"/>
  <c r="E284" i="1"/>
  <c r="C284" i="1"/>
  <c r="AA283" i="1"/>
  <c r="L283" i="1"/>
  <c r="AO282" i="1"/>
  <c r="H283" i="1"/>
  <c r="AY283" i="1" s="1"/>
  <c r="G284" i="1" a="1"/>
  <c r="G284" i="1" s="1"/>
  <c r="BB284" i="1" a="1"/>
  <c r="BB284" i="1" s="1"/>
  <c r="BD284" i="1" a="1"/>
  <c r="BD284" i="1" s="1"/>
  <c r="BF284" i="1" a="1"/>
  <c r="BF284" i="1" s="1"/>
  <c r="AW284" i="1" a="1"/>
  <c r="AW284" i="1" s="1"/>
  <c r="AS284" i="1" a="1"/>
  <c r="AS284" i="1" s="1"/>
  <c r="F284" i="1" a="1"/>
  <c r="F284" i="1" s="1"/>
  <c r="H284" i="1" s="1"/>
  <c r="BA284" i="1" a="1"/>
  <c r="BA284" i="1" s="1"/>
  <c r="BE284" i="1" a="1"/>
  <c r="BE284" i="1" s="1"/>
  <c r="AV284" i="1" a="1"/>
  <c r="AV284" i="1" s="1"/>
  <c r="AH284" i="1" a="1"/>
  <c r="AH284" i="1" s="1"/>
  <c r="AJ284" i="1" a="1"/>
  <c r="AJ284" i="1" s="1"/>
  <c r="AL284" i="1" a="1"/>
  <c r="AL284" i="1" s="1"/>
  <c r="AD284" i="1" a="1"/>
  <c r="AD284" i="1" s="1"/>
  <c r="Z284" i="1" a="1"/>
  <c r="Z284" i="1" s="1"/>
  <c r="S284" i="1" a="1"/>
  <c r="S284" i="1" s="1"/>
  <c r="U284" i="1" a="1"/>
  <c r="U284" i="1" s="1"/>
  <c r="W284" i="1" a="1"/>
  <c r="W284" i="1" s="1"/>
  <c r="O284" i="1" a="1"/>
  <c r="O284" i="1" s="1"/>
  <c r="K284" i="1" a="1"/>
  <c r="K284" i="1" s="1"/>
  <c r="J284" i="1" a="1"/>
  <c r="J284" i="1" s="1"/>
  <c r="BC284" i="1" a="1"/>
  <c r="BC284" i="1" s="1"/>
  <c r="AR284" i="1" a="1"/>
  <c r="AR284" i="1" s="1"/>
  <c r="AI284" i="1" a="1"/>
  <c r="AI284" i="1" s="1"/>
  <c r="Y284" i="1" a="1"/>
  <c r="Y284" i="1" s="1"/>
  <c r="R284" i="1" a="1"/>
  <c r="R284" i="1" s="1"/>
  <c r="V284" i="1" a="1"/>
  <c r="V284" i="1" s="1"/>
  <c r="N284" i="1" a="1"/>
  <c r="N284" i="1" s="1"/>
  <c r="AG284" i="1" a="1"/>
  <c r="AG284" i="1" s="1"/>
  <c r="AK284" i="1" a="1"/>
  <c r="AK284" i="1" s="1"/>
  <c r="AC284" i="1" a="1"/>
  <c r="AC284" i="1" s="1"/>
  <c r="T284" i="1" a="1"/>
  <c r="T284" i="1" s="1"/>
  <c r="X283" i="1"/>
  <c r="AF283" i="1"/>
  <c r="I283" i="1"/>
  <c r="Q283" i="1" a="1"/>
  <c r="Q283" i="1" s="1"/>
  <c r="AO283" i="1" s="1"/>
  <c r="B285" i="1"/>
  <c r="A284" i="1"/>
  <c r="D285" i="1" l="1"/>
  <c r="E285" i="1"/>
  <c r="C285" i="1"/>
  <c r="AT284" i="1"/>
  <c r="AX284" i="1"/>
  <c r="P284" i="1"/>
  <c r="M284" i="1" s="1"/>
  <c r="AA284" i="1"/>
  <c r="L284" i="1"/>
  <c r="AE284" i="1"/>
  <c r="AB284" i="1" s="1"/>
  <c r="F285" i="1" a="1"/>
  <c r="F285" i="1" s="1"/>
  <c r="BB285" i="1" a="1"/>
  <c r="BB285" i="1" s="1"/>
  <c r="BD285" i="1" a="1"/>
  <c r="BD285" i="1" s="1"/>
  <c r="BF285" i="1" a="1"/>
  <c r="BF285" i="1" s="1"/>
  <c r="AV285" i="1" a="1"/>
  <c r="AV285" i="1" s="1"/>
  <c r="AR285" i="1" a="1"/>
  <c r="AR285" i="1" s="1"/>
  <c r="G285" i="1" a="1"/>
  <c r="G285" i="1" s="1"/>
  <c r="BC285" i="1" a="1"/>
  <c r="BC285" i="1" s="1"/>
  <c r="AW285" i="1" a="1"/>
  <c r="AW285" i="1" s="1"/>
  <c r="AH285" i="1" a="1"/>
  <c r="AH285" i="1" s="1"/>
  <c r="AJ285" i="1" a="1"/>
  <c r="AJ285" i="1" s="1"/>
  <c r="AL285" i="1" a="1"/>
  <c r="AL285" i="1" s="1"/>
  <c r="AC285" i="1" a="1"/>
  <c r="AC285" i="1" s="1"/>
  <c r="Y285" i="1" a="1"/>
  <c r="Y285" i="1" s="1"/>
  <c r="S285" i="1" a="1"/>
  <c r="S285" i="1" s="1"/>
  <c r="U285" i="1" a="1"/>
  <c r="U285" i="1" s="1"/>
  <c r="W285" i="1" a="1"/>
  <c r="W285" i="1" s="1"/>
  <c r="N285" i="1" a="1"/>
  <c r="N285" i="1" s="1"/>
  <c r="BA285" i="1" a="1"/>
  <c r="BA285" i="1" s="1"/>
  <c r="BE285" i="1" a="1"/>
  <c r="BE285" i="1" s="1"/>
  <c r="AS285" i="1" a="1"/>
  <c r="AS285" i="1" s="1"/>
  <c r="AG285" i="1" a="1"/>
  <c r="AG285" i="1" s="1"/>
  <c r="AK285" i="1" a="1"/>
  <c r="AK285" i="1" s="1"/>
  <c r="Z285" i="1" a="1"/>
  <c r="Z285" i="1" s="1"/>
  <c r="AA285" i="1" s="1"/>
  <c r="T285" i="1" a="1"/>
  <c r="T285" i="1" s="1"/>
  <c r="O285" i="1" a="1"/>
  <c r="O285" i="1" s="1"/>
  <c r="P285" i="1" s="1"/>
  <c r="M285" i="1" s="1"/>
  <c r="J285" i="1" a="1"/>
  <c r="J285" i="1" s="1"/>
  <c r="AI285" i="1" a="1"/>
  <c r="AI285" i="1" s="1"/>
  <c r="AD285" i="1" a="1"/>
  <c r="AD285" i="1" s="1"/>
  <c r="AE285" i="1" s="1"/>
  <c r="AB285" i="1" s="1"/>
  <c r="R285" i="1" a="1"/>
  <c r="R285" i="1" s="1"/>
  <c r="V285" i="1" a="1"/>
  <c r="V285" i="1" s="1"/>
  <c r="K285" i="1" a="1"/>
  <c r="K285" i="1" s="1"/>
  <c r="Q284" i="1" a="1"/>
  <c r="Q284" i="1" s="1"/>
  <c r="I284" i="1"/>
  <c r="X284" i="1"/>
  <c r="AF284" i="1"/>
  <c r="B286" i="1"/>
  <c r="A285" i="1"/>
  <c r="AX285" i="1" l="1"/>
  <c r="AT285" i="1"/>
  <c r="D286" i="1"/>
  <c r="E286" i="1"/>
  <c r="C286" i="1"/>
  <c r="AZ286" i="1" s="1"/>
  <c r="AY284" i="1"/>
  <c r="AO284" i="1"/>
  <c r="H285" i="1"/>
  <c r="L285" i="1"/>
  <c r="G286" i="1" a="1"/>
  <c r="G286" i="1" s="1"/>
  <c r="BB286" i="1" a="1"/>
  <c r="BB286" i="1" s="1"/>
  <c r="BD286" i="1" a="1"/>
  <c r="BD286" i="1" s="1"/>
  <c r="BF286" i="1" a="1"/>
  <c r="BF286" i="1" s="1"/>
  <c r="AW286" i="1" a="1"/>
  <c r="AW286" i="1" s="1"/>
  <c r="AS286" i="1" a="1"/>
  <c r="AS286" i="1" s="1"/>
  <c r="BA286" i="1" a="1"/>
  <c r="BA286" i="1" s="1"/>
  <c r="BE286" i="1" a="1"/>
  <c r="BE286" i="1" s="1"/>
  <c r="AR286" i="1" a="1"/>
  <c r="AR286" i="1" s="1"/>
  <c r="AH286" i="1" a="1"/>
  <c r="AH286" i="1" s="1"/>
  <c r="AJ286" i="1" a="1"/>
  <c r="AJ286" i="1" s="1"/>
  <c r="AL286" i="1" a="1"/>
  <c r="AL286" i="1" s="1"/>
  <c r="AD286" i="1" a="1"/>
  <c r="AD286" i="1" s="1"/>
  <c r="Z286" i="1" a="1"/>
  <c r="Z286" i="1" s="1"/>
  <c r="S286" i="1" a="1"/>
  <c r="S286" i="1" s="1"/>
  <c r="U286" i="1" a="1"/>
  <c r="U286" i="1" s="1"/>
  <c r="W286" i="1" a="1"/>
  <c r="W286" i="1" s="1"/>
  <c r="O286" i="1" a="1"/>
  <c r="O286" i="1" s="1"/>
  <c r="K286" i="1" a="1"/>
  <c r="K286" i="1" s="1"/>
  <c r="J286" i="1" a="1"/>
  <c r="J286" i="1" s="1"/>
  <c r="F286" i="1" a="1"/>
  <c r="F286" i="1" s="1"/>
  <c r="H286" i="1" s="1"/>
  <c r="BC286" i="1" a="1"/>
  <c r="BC286" i="1" s="1"/>
  <c r="AV286" i="1" a="1"/>
  <c r="AV286" i="1" s="1"/>
  <c r="AI286" i="1" a="1"/>
  <c r="AI286" i="1" s="1"/>
  <c r="AC286" i="1" a="1"/>
  <c r="AC286" i="1" s="1"/>
  <c r="R286" i="1" a="1"/>
  <c r="R286" i="1" s="1"/>
  <c r="V286" i="1" a="1"/>
  <c r="V286" i="1" s="1"/>
  <c r="AG286" i="1" a="1"/>
  <c r="AG286" i="1" s="1"/>
  <c r="AK286" i="1" a="1"/>
  <c r="AK286" i="1" s="1"/>
  <c r="Y286" i="1" a="1"/>
  <c r="Y286" i="1" s="1"/>
  <c r="T286" i="1" a="1"/>
  <c r="T286" i="1" s="1"/>
  <c r="N286" i="1" a="1"/>
  <c r="N286" i="1" s="1"/>
  <c r="I285" i="1"/>
  <c r="Q285" i="1" a="1"/>
  <c r="Q285" i="1" s="1"/>
  <c r="X285" i="1"/>
  <c r="AF285" i="1"/>
  <c r="B287" i="1"/>
  <c r="A286" i="1"/>
  <c r="AY285" i="1" l="1"/>
  <c r="D287" i="1"/>
  <c r="E287" i="1"/>
  <c r="C287" i="1"/>
  <c r="AZ287" i="1" s="1"/>
  <c r="AX286" i="1"/>
  <c r="AT286" i="1"/>
  <c r="AO285" i="1"/>
  <c r="P286" i="1"/>
  <c r="M286" i="1" s="1"/>
  <c r="AA286" i="1"/>
  <c r="L286" i="1"/>
  <c r="AE286" i="1"/>
  <c r="AB286" i="1" s="1"/>
  <c r="F287" i="1" a="1"/>
  <c r="F287" i="1" s="1"/>
  <c r="BB287" i="1" a="1"/>
  <c r="BB287" i="1" s="1"/>
  <c r="BD287" i="1" a="1"/>
  <c r="BD287" i="1" s="1"/>
  <c r="BF287" i="1" a="1"/>
  <c r="BF287" i="1" s="1"/>
  <c r="AV287" i="1" a="1"/>
  <c r="AV287" i="1" s="1"/>
  <c r="AR287" i="1" a="1"/>
  <c r="AR287" i="1" s="1"/>
  <c r="BC287" i="1" a="1"/>
  <c r="BC287" i="1" s="1"/>
  <c r="AS287" i="1" a="1"/>
  <c r="AS287" i="1" s="1"/>
  <c r="AT287" i="1" s="1"/>
  <c r="AH287" i="1" a="1"/>
  <c r="AH287" i="1" s="1"/>
  <c r="AJ287" i="1" a="1"/>
  <c r="AJ287" i="1" s="1"/>
  <c r="AL287" i="1" a="1"/>
  <c r="AL287" i="1" s="1"/>
  <c r="AC287" i="1" a="1"/>
  <c r="AC287" i="1" s="1"/>
  <c r="Y287" i="1" a="1"/>
  <c r="Y287" i="1" s="1"/>
  <c r="S287" i="1" a="1"/>
  <c r="S287" i="1" s="1"/>
  <c r="U287" i="1" a="1"/>
  <c r="U287" i="1" s="1"/>
  <c r="W287" i="1" a="1"/>
  <c r="W287" i="1" s="1"/>
  <c r="N287" i="1" a="1"/>
  <c r="N287" i="1" s="1"/>
  <c r="G287" i="1" a="1"/>
  <c r="G287" i="1" s="1"/>
  <c r="BA287" i="1" a="1"/>
  <c r="BA287" i="1" s="1"/>
  <c r="BE287" i="1" a="1"/>
  <c r="BE287" i="1" s="1"/>
  <c r="AW287" i="1" a="1"/>
  <c r="AW287" i="1" s="1"/>
  <c r="AX287" i="1" s="1"/>
  <c r="AG287" i="1" a="1"/>
  <c r="AG287" i="1" s="1"/>
  <c r="AK287" i="1" a="1"/>
  <c r="AK287" i="1" s="1"/>
  <c r="AD287" i="1" a="1"/>
  <c r="AD287" i="1" s="1"/>
  <c r="AE287" i="1" s="1"/>
  <c r="AB287" i="1" s="1"/>
  <c r="T287" i="1" a="1"/>
  <c r="T287" i="1" s="1"/>
  <c r="K287" i="1" a="1"/>
  <c r="K287" i="1" s="1"/>
  <c r="AI287" i="1" a="1"/>
  <c r="AI287" i="1" s="1"/>
  <c r="Z287" i="1" a="1"/>
  <c r="Z287" i="1" s="1"/>
  <c r="R287" i="1" a="1"/>
  <c r="R287" i="1" s="1"/>
  <c r="V287" i="1" a="1"/>
  <c r="V287" i="1" s="1"/>
  <c r="O287" i="1" a="1"/>
  <c r="O287" i="1" s="1"/>
  <c r="P287" i="1" s="1"/>
  <c r="M287" i="1" s="1"/>
  <c r="J287" i="1" a="1"/>
  <c r="J287" i="1" s="1"/>
  <c r="Q286" i="1" a="1"/>
  <c r="Q286" i="1" s="1"/>
  <c r="I286" i="1"/>
  <c r="X286" i="1"/>
  <c r="AF286" i="1"/>
  <c r="B288" i="1"/>
  <c r="A287" i="1"/>
  <c r="AZ285" i="1" l="1"/>
  <c r="AA287" i="1"/>
  <c r="D288" i="1"/>
  <c r="E288" i="1"/>
  <c r="C288" i="1"/>
  <c r="AZ288" i="1" s="1"/>
  <c r="AY286" i="1"/>
  <c r="AO286" i="1"/>
  <c r="H287" i="1"/>
  <c r="AY287" i="1" s="1"/>
  <c r="L287" i="1"/>
  <c r="G288" i="1" a="1"/>
  <c r="G288" i="1" s="1"/>
  <c r="BB288" i="1" a="1"/>
  <c r="BB288" i="1" s="1"/>
  <c r="BD288" i="1" a="1"/>
  <c r="BD288" i="1" s="1"/>
  <c r="BF288" i="1" a="1"/>
  <c r="BF288" i="1" s="1"/>
  <c r="AW288" i="1" a="1"/>
  <c r="AW288" i="1" s="1"/>
  <c r="AS288" i="1" a="1"/>
  <c r="AS288" i="1" s="1"/>
  <c r="F288" i="1" a="1"/>
  <c r="F288" i="1" s="1"/>
  <c r="H288" i="1" s="1"/>
  <c r="BA288" i="1" a="1"/>
  <c r="BA288" i="1" s="1"/>
  <c r="BE288" i="1" a="1"/>
  <c r="BE288" i="1" s="1"/>
  <c r="AV288" i="1" a="1"/>
  <c r="AV288" i="1" s="1"/>
  <c r="AH288" i="1" a="1"/>
  <c r="AH288" i="1" s="1"/>
  <c r="AJ288" i="1" a="1"/>
  <c r="AJ288" i="1" s="1"/>
  <c r="AL288" i="1" a="1"/>
  <c r="AL288" i="1" s="1"/>
  <c r="AD288" i="1" a="1"/>
  <c r="AD288" i="1" s="1"/>
  <c r="Z288" i="1" a="1"/>
  <c r="Z288" i="1" s="1"/>
  <c r="S288" i="1" a="1"/>
  <c r="S288" i="1" s="1"/>
  <c r="U288" i="1" a="1"/>
  <c r="U288" i="1" s="1"/>
  <c r="W288" i="1" a="1"/>
  <c r="W288" i="1" s="1"/>
  <c r="O288" i="1" a="1"/>
  <c r="O288" i="1" s="1"/>
  <c r="K288" i="1" a="1"/>
  <c r="K288" i="1" s="1"/>
  <c r="J288" i="1" a="1"/>
  <c r="J288" i="1" s="1"/>
  <c r="BC288" i="1" a="1"/>
  <c r="BC288" i="1" s="1"/>
  <c r="AI288" i="1" a="1"/>
  <c r="AI288" i="1" s="1"/>
  <c r="Y288" i="1" a="1"/>
  <c r="Y288" i="1" s="1"/>
  <c r="R288" i="1" a="1"/>
  <c r="R288" i="1" s="1"/>
  <c r="V288" i="1" a="1"/>
  <c r="V288" i="1" s="1"/>
  <c r="N288" i="1" a="1"/>
  <c r="N288" i="1" s="1"/>
  <c r="AR288" i="1" a="1"/>
  <c r="AR288" i="1" s="1"/>
  <c r="AG288" i="1" a="1"/>
  <c r="AG288" i="1" s="1"/>
  <c r="AK288" i="1" a="1"/>
  <c r="AK288" i="1" s="1"/>
  <c r="AC288" i="1" a="1"/>
  <c r="AC288" i="1" s="1"/>
  <c r="T288" i="1" a="1"/>
  <c r="T288" i="1" s="1"/>
  <c r="X287" i="1"/>
  <c r="AF287" i="1"/>
  <c r="I287" i="1"/>
  <c r="Q287" i="1" a="1"/>
  <c r="Q287" i="1" s="1"/>
  <c r="AO287" i="1" s="1"/>
  <c r="B289" i="1"/>
  <c r="A288" i="1"/>
  <c r="D289" i="1" l="1"/>
  <c r="E289" i="1"/>
  <c r="C289" i="1"/>
  <c r="AZ289" i="1" s="1"/>
  <c r="AX288" i="1"/>
  <c r="AT288" i="1"/>
  <c r="L288" i="1"/>
  <c r="AE288" i="1"/>
  <c r="AB288" i="1" s="1"/>
  <c r="P288" i="1"/>
  <c r="M288" i="1" s="1"/>
  <c r="AA288" i="1"/>
  <c r="F289" i="1" a="1"/>
  <c r="F289" i="1" s="1"/>
  <c r="BB289" i="1" a="1"/>
  <c r="BB289" i="1" s="1"/>
  <c r="BD289" i="1" a="1"/>
  <c r="BD289" i="1" s="1"/>
  <c r="BF289" i="1" a="1"/>
  <c r="BF289" i="1" s="1"/>
  <c r="AV289" i="1" a="1"/>
  <c r="AV289" i="1" s="1"/>
  <c r="AR289" i="1" a="1"/>
  <c r="AR289" i="1" s="1"/>
  <c r="G289" i="1" a="1"/>
  <c r="G289" i="1" s="1"/>
  <c r="BC289" i="1" a="1"/>
  <c r="BC289" i="1" s="1"/>
  <c r="AW289" i="1" a="1"/>
  <c r="AW289" i="1" s="1"/>
  <c r="AX289" i="1" s="1"/>
  <c r="AH289" i="1" a="1"/>
  <c r="AH289" i="1" s="1"/>
  <c r="AJ289" i="1" a="1"/>
  <c r="AJ289" i="1" s="1"/>
  <c r="AL289" i="1" a="1"/>
  <c r="AL289" i="1" s="1"/>
  <c r="AC289" i="1" a="1"/>
  <c r="AC289" i="1" s="1"/>
  <c r="Y289" i="1" a="1"/>
  <c r="Y289" i="1" s="1"/>
  <c r="S289" i="1" a="1"/>
  <c r="S289" i="1" s="1"/>
  <c r="U289" i="1" a="1"/>
  <c r="U289" i="1" s="1"/>
  <c r="W289" i="1" a="1"/>
  <c r="W289" i="1" s="1"/>
  <c r="N289" i="1" a="1"/>
  <c r="N289" i="1" s="1"/>
  <c r="BA289" i="1" a="1"/>
  <c r="BA289" i="1" s="1"/>
  <c r="BE289" i="1" a="1"/>
  <c r="BE289" i="1" s="1"/>
  <c r="AS289" i="1" a="1"/>
  <c r="AS289" i="1" s="1"/>
  <c r="AG289" i="1" a="1"/>
  <c r="AG289" i="1" s="1"/>
  <c r="AK289" i="1" a="1"/>
  <c r="AK289" i="1" s="1"/>
  <c r="Z289" i="1" a="1"/>
  <c r="Z289" i="1" s="1"/>
  <c r="AA289" i="1" s="1"/>
  <c r="T289" i="1" a="1"/>
  <c r="T289" i="1" s="1"/>
  <c r="O289" i="1" a="1"/>
  <c r="O289" i="1" s="1"/>
  <c r="P289" i="1" s="1"/>
  <c r="M289" i="1" s="1"/>
  <c r="J289" i="1" a="1"/>
  <c r="J289" i="1" s="1"/>
  <c r="AI289" i="1" a="1"/>
  <c r="AI289" i="1" s="1"/>
  <c r="AD289" i="1" a="1"/>
  <c r="AD289" i="1" s="1"/>
  <c r="AE289" i="1" s="1"/>
  <c r="AB289" i="1" s="1"/>
  <c r="R289" i="1" a="1"/>
  <c r="R289" i="1" s="1"/>
  <c r="V289" i="1" a="1"/>
  <c r="V289" i="1" s="1"/>
  <c r="K289" i="1" a="1"/>
  <c r="K289" i="1" s="1"/>
  <c r="Q288" i="1" a="1"/>
  <c r="Q288" i="1" s="1"/>
  <c r="I288" i="1"/>
  <c r="X288" i="1"/>
  <c r="AF288" i="1"/>
  <c r="B290" i="1"/>
  <c r="A289" i="1"/>
  <c r="AT289" i="1" l="1"/>
  <c r="D290" i="1"/>
  <c r="E290" i="1"/>
  <c r="C290" i="1"/>
  <c r="L289" i="1"/>
  <c r="AY288" i="1"/>
  <c r="AO288" i="1"/>
  <c r="H289" i="1"/>
  <c r="G290" i="1" a="1"/>
  <c r="G290" i="1" s="1"/>
  <c r="BB290" i="1" a="1"/>
  <c r="BB290" i="1" s="1"/>
  <c r="BD290" i="1" a="1"/>
  <c r="BD290" i="1" s="1"/>
  <c r="BF290" i="1" a="1"/>
  <c r="BF290" i="1" s="1"/>
  <c r="AW290" i="1" a="1"/>
  <c r="AW290" i="1" s="1"/>
  <c r="AS290" i="1" a="1"/>
  <c r="AS290" i="1" s="1"/>
  <c r="BA290" i="1" a="1"/>
  <c r="BA290" i="1" s="1"/>
  <c r="BE290" i="1" a="1"/>
  <c r="BE290" i="1" s="1"/>
  <c r="AR290" i="1" a="1"/>
  <c r="AR290" i="1" s="1"/>
  <c r="AH290" i="1" a="1"/>
  <c r="AH290" i="1" s="1"/>
  <c r="AJ290" i="1" a="1"/>
  <c r="AJ290" i="1" s="1"/>
  <c r="AL290" i="1" a="1"/>
  <c r="AL290" i="1" s="1"/>
  <c r="AD290" i="1" a="1"/>
  <c r="AD290" i="1" s="1"/>
  <c r="Z290" i="1" a="1"/>
  <c r="Z290" i="1" s="1"/>
  <c r="S290" i="1" a="1"/>
  <c r="S290" i="1" s="1"/>
  <c r="U290" i="1" a="1"/>
  <c r="U290" i="1" s="1"/>
  <c r="W290" i="1" a="1"/>
  <c r="W290" i="1" s="1"/>
  <c r="O290" i="1" a="1"/>
  <c r="O290" i="1" s="1"/>
  <c r="K290" i="1" a="1"/>
  <c r="K290" i="1" s="1"/>
  <c r="J290" i="1" a="1"/>
  <c r="J290" i="1" s="1"/>
  <c r="F290" i="1" a="1"/>
  <c r="F290" i="1" s="1"/>
  <c r="H290" i="1" s="1"/>
  <c r="BC290" i="1" a="1"/>
  <c r="BC290" i="1" s="1"/>
  <c r="AV290" i="1" a="1"/>
  <c r="AV290" i="1" s="1"/>
  <c r="AI290" i="1" a="1"/>
  <c r="AI290" i="1" s="1"/>
  <c r="AC290" i="1" a="1"/>
  <c r="AC290" i="1" s="1"/>
  <c r="R290" i="1" a="1"/>
  <c r="R290" i="1" s="1"/>
  <c r="V290" i="1" a="1"/>
  <c r="V290" i="1" s="1"/>
  <c r="AG290" i="1" a="1"/>
  <c r="AG290" i="1" s="1"/>
  <c r="AK290" i="1" a="1"/>
  <c r="AK290" i="1" s="1"/>
  <c r="Y290" i="1" a="1"/>
  <c r="Y290" i="1" s="1"/>
  <c r="T290" i="1" a="1"/>
  <c r="T290" i="1" s="1"/>
  <c r="N290" i="1" a="1"/>
  <c r="N290" i="1" s="1"/>
  <c r="I289" i="1"/>
  <c r="Q289" i="1" a="1"/>
  <c r="Q289" i="1" s="1"/>
  <c r="X289" i="1"/>
  <c r="AF289" i="1"/>
  <c r="B291" i="1"/>
  <c r="A290" i="1"/>
  <c r="AZ290" i="1" l="1"/>
  <c r="AY289" i="1"/>
  <c r="D291" i="1"/>
  <c r="E291" i="1"/>
  <c r="C291" i="1"/>
  <c r="AX290" i="1"/>
  <c r="AT290" i="1"/>
  <c r="L290" i="1"/>
  <c r="AE290" i="1"/>
  <c r="AB290" i="1" s="1"/>
  <c r="AO289" i="1"/>
  <c r="P290" i="1"/>
  <c r="M290" i="1" s="1"/>
  <c r="AA290" i="1"/>
  <c r="F291" i="1" a="1"/>
  <c r="F291" i="1" s="1"/>
  <c r="BB291" i="1" a="1"/>
  <c r="BB291" i="1" s="1"/>
  <c r="BD291" i="1" a="1"/>
  <c r="BD291" i="1" s="1"/>
  <c r="BF291" i="1" a="1"/>
  <c r="BF291" i="1" s="1"/>
  <c r="AV291" i="1" a="1"/>
  <c r="AV291" i="1" s="1"/>
  <c r="AR291" i="1" a="1"/>
  <c r="AR291" i="1" s="1"/>
  <c r="BC291" i="1" a="1"/>
  <c r="BC291" i="1" s="1"/>
  <c r="AS291" i="1" a="1"/>
  <c r="AS291" i="1" s="1"/>
  <c r="AT291" i="1" s="1"/>
  <c r="AH291" i="1" a="1"/>
  <c r="AH291" i="1" s="1"/>
  <c r="AJ291" i="1" a="1"/>
  <c r="AJ291" i="1" s="1"/>
  <c r="AL291" i="1" a="1"/>
  <c r="AL291" i="1" s="1"/>
  <c r="AC291" i="1" a="1"/>
  <c r="AC291" i="1" s="1"/>
  <c r="Y291" i="1" a="1"/>
  <c r="Y291" i="1" s="1"/>
  <c r="S291" i="1" a="1"/>
  <c r="S291" i="1" s="1"/>
  <c r="U291" i="1" a="1"/>
  <c r="U291" i="1" s="1"/>
  <c r="W291" i="1" a="1"/>
  <c r="W291" i="1" s="1"/>
  <c r="N291" i="1" a="1"/>
  <c r="N291" i="1" s="1"/>
  <c r="G291" i="1" a="1"/>
  <c r="G291" i="1" s="1"/>
  <c r="BA291" i="1" a="1"/>
  <c r="BA291" i="1" s="1"/>
  <c r="BE291" i="1" a="1"/>
  <c r="BE291" i="1" s="1"/>
  <c r="AW291" i="1" a="1"/>
  <c r="AW291" i="1" s="1"/>
  <c r="AX291" i="1" s="1"/>
  <c r="AG291" i="1" a="1"/>
  <c r="AG291" i="1" s="1"/>
  <c r="AK291" i="1" a="1"/>
  <c r="AK291" i="1" s="1"/>
  <c r="AD291" i="1" a="1"/>
  <c r="AD291" i="1" s="1"/>
  <c r="AE291" i="1" s="1"/>
  <c r="AB291" i="1" s="1"/>
  <c r="T291" i="1" a="1"/>
  <c r="T291" i="1" s="1"/>
  <c r="K291" i="1" a="1"/>
  <c r="K291" i="1" s="1"/>
  <c r="AI291" i="1" a="1"/>
  <c r="AI291" i="1" s="1"/>
  <c r="Z291" i="1" a="1"/>
  <c r="Z291" i="1" s="1"/>
  <c r="R291" i="1" a="1"/>
  <c r="R291" i="1" s="1"/>
  <c r="V291" i="1" a="1"/>
  <c r="V291" i="1" s="1"/>
  <c r="O291" i="1" a="1"/>
  <c r="O291" i="1" s="1"/>
  <c r="P291" i="1" s="1"/>
  <c r="M291" i="1" s="1"/>
  <c r="J291" i="1" a="1"/>
  <c r="J291" i="1" s="1"/>
  <c r="Q290" i="1" a="1"/>
  <c r="Q290" i="1" s="1"/>
  <c r="I290" i="1"/>
  <c r="X290" i="1"/>
  <c r="B292" i="1"/>
  <c r="A291" i="1"/>
  <c r="AZ291" i="1" l="1"/>
  <c r="AF290" i="1"/>
  <c r="AA291" i="1"/>
  <c r="D292" i="1"/>
  <c r="E292" i="1"/>
  <c r="C292" i="1"/>
  <c r="AZ292" i="1" s="1"/>
  <c r="AY290" i="1"/>
  <c r="L291" i="1"/>
  <c r="AO290" i="1"/>
  <c r="H291" i="1"/>
  <c r="AY291" i="1" s="1"/>
  <c r="G292" i="1" a="1"/>
  <c r="G292" i="1" s="1"/>
  <c r="BB292" i="1" a="1"/>
  <c r="BB292" i="1" s="1"/>
  <c r="BD292" i="1" a="1"/>
  <c r="BD292" i="1" s="1"/>
  <c r="BF292" i="1" a="1"/>
  <c r="BF292" i="1" s="1"/>
  <c r="AW292" i="1" a="1"/>
  <c r="AW292" i="1" s="1"/>
  <c r="AS292" i="1" a="1"/>
  <c r="AS292" i="1" s="1"/>
  <c r="F292" i="1" a="1"/>
  <c r="F292" i="1" s="1"/>
  <c r="H292" i="1" s="1"/>
  <c r="BA292" i="1" a="1"/>
  <c r="BA292" i="1" s="1"/>
  <c r="BE292" i="1" a="1"/>
  <c r="BE292" i="1" s="1"/>
  <c r="AV292" i="1" a="1"/>
  <c r="AV292" i="1" s="1"/>
  <c r="AH292" i="1" a="1"/>
  <c r="AH292" i="1" s="1"/>
  <c r="AJ292" i="1" a="1"/>
  <c r="AJ292" i="1" s="1"/>
  <c r="AL292" i="1" a="1"/>
  <c r="AL292" i="1" s="1"/>
  <c r="AD292" i="1" a="1"/>
  <c r="AD292" i="1" s="1"/>
  <c r="Z292" i="1" a="1"/>
  <c r="Z292" i="1" s="1"/>
  <c r="S292" i="1" a="1"/>
  <c r="S292" i="1" s="1"/>
  <c r="U292" i="1" a="1"/>
  <c r="U292" i="1" s="1"/>
  <c r="W292" i="1" a="1"/>
  <c r="W292" i="1" s="1"/>
  <c r="O292" i="1" a="1"/>
  <c r="O292" i="1" s="1"/>
  <c r="K292" i="1" a="1"/>
  <c r="K292" i="1" s="1"/>
  <c r="J292" i="1" a="1"/>
  <c r="J292" i="1" s="1"/>
  <c r="BC292" i="1" a="1"/>
  <c r="BC292" i="1" s="1"/>
  <c r="AR292" i="1" a="1"/>
  <c r="AR292" i="1" s="1"/>
  <c r="AI292" i="1" a="1"/>
  <c r="AI292" i="1" s="1"/>
  <c r="Y292" i="1" a="1"/>
  <c r="Y292" i="1" s="1"/>
  <c r="R292" i="1" a="1"/>
  <c r="R292" i="1" s="1"/>
  <c r="V292" i="1" a="1"/>
  <c r="V292" i="1" s="1"/>
  <c r="N292" i="1" a="1"/>
  <c r="N292" i="1" s="1"/>
  <c r="AG292" i="1" a="1"/>
  <c r="AG292" i="1" s="1"/>
  <c r="AK292" i="1" a="1"/>
  <c r="AK292" i="1" s="1"/>
  <c r="AC292" i="1" a="1"/>
  <c r="AC292" i="1" s="1"/>
  <c r="T292" i="1" a="1"/>
  <c r="T292" i="1" s="1"/>
  <c r="X291" i="1"/>
  <c r="AF291" i="1"/>
  <c r="I291" i="1"/>
  <c r="Q291" i="1" a="1"/>
  <c r="Q291" i="1" s="1"/>
  <c r="AO291" i="1" s="1"/>
  <c r="B293" i="1"/>
  <c r="A292" i="1"/>
  <c r="D293" i="1" l="1"/>
  <c r="E293" i="1"/>
  <c r="C293" i="1"/>
  <c r="AZ293" i="1" s="1"/>
  <c r="AX292" i="1"/>
  <c r="AT292" i="1"/>
  <c r="P292" i="1"/>
  <c r="M292" i="1" s="1"/>
  <c r="AA292" i="1"/>
  <c r="L292" i="1"/>
  <c r="AE292" i="1"/>
  <c r="AB292" i="1" s="1"/>
  <c r="F293" i="1" a="1"/>
  <c r="F293" i="1" s="1"/>
  <c r="BB293" i="1" a="1"/>
  <c r="BB293" i="1" s="1"/>
  <c r="BD293" i="1" a="1"/>
  <c r="BD293" i="1" s="1"/>
  <c r="BF293" i="1" a="1"/>
  <c r="BF293" i="1" s="1"/>
  <c r="AV293" i="1" a="1"/>
  <c r="AV293" i="1" s="1"/>
  <c r="AR293" i="1" a="1"/>
  <c r="AR293" i="1" s="1"/>
  <c r="G293" i="1" a="1"/>
  <c r="G293" i="1" s="1"/>
  <c r="BC293" i="1" a="1"/>
  <c r="BC293" i="1" s="1"/>
  <c r="AW293" i="1" a="1"/>
  <c r="AW293" i="1" s="1"/>
  <c r="AH293" i="1" a="1"/>
  <c r="AH293" i="1" s="1"/>
  <c r="AJ293" i="1" a="1"/>
  <c r="AJ293" i="1" s="1"/>
  <c r="AL293" i="1" a="1"/>
  <c r="AL293" i="1" s="1"/>
  <c r="AC293" i="1" a="1"/>
  <c r="AC293" i="1" s="1"/>
  <c r="Y293" i="1" a="1"/>
  <c r="Y293" i="1" s="1"/>
  <c r="S293" i="1" a="1"/>
  <c r="S293" i="1" s="1"/>
  <c r="U293" i="1" a="1"/>
  <c r="U293" i="1" s="1"/>
  <c r="W293" i="1" a="1"/>
  <c r="W293" i="1" s="1"/>
  <c r="N293" i="1" a="1"/>
  <c r="N293" i="1" s="1"/>
  <c r="BA293" i="1" a="1"/>
  <c r="BA293" i="1" s="1"/>
  <c r="BE293" i="1" a="1"/>
  <c r="BE293" i="1" s="1"/>
  <c r="AS293" i="1" a="1"/>
  <c r="AS293" i="1" s="1"/>
  <c r="AG293" i="1" a="1"/>
  <c r="AG293" i="1" s="1"/>
  <c r="AK293" i="1" a="1"/>
  <c r="AK293" i="1" s="1"/>
  <c r="Z293" i="1" a="1"/>
  <c r="Z293" i="1" s="1"/>
  <c r="T293" i="1" a="1"/>
  <c r="T293" i="1" s="1"/>
  <c r="O293" i="1" a="1"/>
  <c r="O293" i="1" s="1"/>
  <c r="P293" i="1" s="1"/>
  <c r="M293" i="1" s="1"/>
  <c r="J293" i="1" a="1"/>
  <c r="J293" i="1" s="1"/>
  <c r="AI293" i="1" a="1"/>
  <c r="AI293" i="1" s="1"/>
  <c r="AD293" i="1" a="1"/>
  <c r="AD293" i="1" s="1"/>
  <c r="AE293" i="1" s="1"/>
  <c r="AB293" i="1" s="1"/>
  <c r="R293" i="1" a="1"/>
  <c r="R293" i="1" s="1"/>
  <c r="V293" i="1" a="1"/>
  <c r="V293" i="1" s="1"/>
  <c r="K293" i="1" a="1"/>
  <c r="K293" i="1" s="1"/>
  <c r="Q292" i="1" a="1"/>
  <c r="Q292" i="1" s="1"/>
  <c r="I292" i="1"/>
  <c r="X292" i="1"/>
  <c r="AF292" i="1"/>
  <c r="B294" i="1"/>
  <c r="A293" i="1"/>
  <c r="AX293" i="1" l="1"/>
  <c r="AT293" i="1"/>
  <c r="D294" i="1"/>
  <c r="E294" i="1"/>
  <c r="C294" i="1"/>
  <c r="AZ294" i="1" s="1"/>
  <c r="L293" i="1"/>
  <c r="AY292" i="1"/>
  <c r="AA293" i="1"/>
  <c r="AO292" i="1"/>
  <c r="H293" i="1"/>
  <c r="AY293" i="1" s="1"/>
  <c r="G294" i="1" a="1"/>
  <c r="G294" i="1" s="1"/>
  <c r="BB294" i="1" a="1"/>
  <c r="BB294" i="1" s="1"/>
  <c r="BD294" i="1" a="1"/>
  <c r="BD294" i="1" s="1"/>
  <c r="BF294" i="1" a="1"/>
  <c r="BF294" i="1" s="1"/>
  <c r="AW294" i="1" a="1"/>
  <c r="AW294" i="1" s="1"/>
  <c r="AS294" i="1" a="1"/>
  <c r="AS294" i="1" s="1"/>
  <c r="BA294" i="1" a="1"/>
  <c r="BA294" i="1" s="1"/>
  <c r="BE294" i="1" a="1"/>
  <c r="BE294" i="1" s="1"/>
  <c r="AR294" i="1" a="1"/>
  <c r="AR294" i="1" s="1"/>
  <c r="AH294" i="1" a="1"/>
  <c r="AH294" i="1" s="1"/>
  <c r="AJ294" i="1" a="1"/>
  <c r="AJ294" i="1" s="1"/>
  <c r="AL294" i="1" a="1"/>
  <c r="AL294" i="1" s="1"/>
  <c r="AD294" i="1" a="1"/>
  <c r="AD294" i="1" s="1"/>
  <c r="Z294" i="1" a="1"/>
  <c r="Z294" i="1" s="1"/>
  <c r="S294" i="1" a="1"/>
  <c r="S294" i="1" s="1"/>
  <c r="U294" i="1" a="1"/>
  <c r="U294" i="1" s="1"/>
  <c r="W294" i="1" a="1"/>
  <c r="W294" i="1" s="1"/>
  <c r="O294" i="1" a="1"/>
  <c r="O294" i="1" s="1"/>
  <c r="K294" i="1" a="1"/>
  <c r="K294" i="1" s="1"/>
  <c r="J294" i="1" a="1"/>
  <c r="J294" i="1" s="1"/>
  <c r="F294" i="1" a="1"/>
  <c r="F294" i="1" s="1"/>
  <c r="H294" i="1" s="1"/>
  <c r="BC294" i="1" a="1"/>
  <c r="BC294" i="1" s="1"/>
  <c r="AV294" i="1" a="1"/>
  <c r="AV294" i="1" s="1"/>
  <c r="AI294" i="1" a="1"/>
  <c r="AI294" i="1" s="1"/>
  <c r="AC294" i="1" a="1"/>
  <c r="AC294" i="1" s="1"/>
  <c r="R294" i="1" a="1"/>
  <c r="R294" i="1" s="1"/>
  <c r="V294" i="1" a="1"/>
  <c r="V294" i="1" s="1"/>
  <c r="AG294" i="1" a="1"/>
  <c r="AG294" i="1" s="1"/>
  <c r="AK294" i="1" a="1"/>
  <c r="AK294" i="1" s="1"/>
  <c r="Y294" i="1" a="1"/>
  <c r="Y294" i="1" s="1"/>
  <c r="T294" i="1" a="1"/>
  <c r="T294" i="1" s="1"/>
  <c r="N294" i="1" a="1"/>
  <c r="N294" i="1" s="1"/>
  <c r="I293" i="1"/>
  <c r="Q293" i="1" a="1"/>
  <c r="Q293" i="1" s="1"/>
  <c r="X293" i="1"/>
  <c r="AF293" i="1"/>
  <c r="B295" i="1"/>
  <c r="A294" i="1"/>
  <c r="D295" i="1" l="1"/>
  <c r="E295" i="1"/>
  <c r="C295" i="1"/>
  <c r="AT294" i="1"/>
  <c r="AX294" i="1"/>
  <c r="L294" i="1"/>
  <c r="AE294" i="1"/>
  <c r="AB294" i="1" s="1"/>
  <c r="AO293" i="1"/>
  <c r="P294" i="1"/>
  <c r="M294" i="1" s="1"/>
  <c r="AA294" i="1"/>
  <c r="F295" i="1" a="1"/>
  <c r="F295" i="1" s="1"/>
  <c r="BB295" i="1" a="1"/>
  <c r="BB295" i="1" s="1"/>
  <c r="BD295" i="1" a="1"/>
  <c r="BD295" i="1" s="1"/>
  <c r="BF295" i="1" a="1"/>
  <c r="BF295" i="1" s="1"/>
  <c r="AV295" i="1" a="1"/>
  <c r="AV295" i="1" s="1"/>
  <c r="AR295" i="1" a="1"/>
  <c r="AR295" i="1" s="1"/>
  <c r="BC295" i="1" a="1"/>
  <c r="BC295" i="1" s="1"/>
  <c r="AS295" i="1" a="1"/>
  <c r="AS295" i="1" s="1"/>
  <c r="AT295" i="1" s="1"/>
  <c r="AH295" i="1" a="1"/>
  <c r="AH295" i="1" s="1"/>
  <c r="AJ295" i="1" a="1"/>
  <c r="AJ295" i="1" s="1"/>
  <c r="AL295" i="1" a="1"/>
  <c r="AL295" i="1" s="1"/>
  <c r="AC295" i="1" a="1"/>
  <c r="AC295" i="1" s="1"/>
  <c r="Y295" i="1" a="1"/>
  <c r="Y295" i="1" s="1"/>
  <c r="S295" i="1" a="1"/>
  <c r="S295" i="1" s="1"/>
  <c r="U295" i="1" a="1"/>
  <c r="U295" i="1" s="1"/>
  <c r="W295" i="1" a="1"/>
  <c r="W295" i="1" s="1"/>
  <c r="N295" i="1" a="1"/>
  <c r="N295" i="1" s="1"/>
  <c r="G295" i="1" a="1"/>
  <c r="G295" i="1" s="1"/>
  <c r="BA295" i="1" a="1"/>
  <c r="BA295" i="1" s="1"/>
  <c r="BE295" i="1" a="1"/>
  <c r="BE295" i="1" s="1"/>
  <c r="AW295" i="1" a="1"/>
  <c r="AW295" i="1" s="1"/>
  <c r="AX295" i="1" s="1"/>
  <c r="AG295" i="1" a="1"/>
  <c r="AG295" i="1" s="1"/>
  <c r="AK295" i="1" a="1"/>
  <c r="AK295" i="1" s="1"/>
  <c r="AD295" i="1" a="1"/>
  <c r="AD295" i="1" s="1"/>
  <c r="AE295" i="1" s="1"/>
  <c r="AB295" i="1" s="1"/>
  <c r="T295" i="1" a="1"/>
  <c r="T295" i="1" s="1"/>
  <c r="K295" i="1" a="1"/>
  <c r="K295" i="1" s="1"/>
  <c r="AI295" i="1" a="1"/>
  <c r="AI295" i="1" s="1"/>
  <c r="Z295" i="1" a="1"/>
  <c r="Z295" i="1" s="1"/>
  <c r="R295" i="1" a="1"/>
  <c r="R295" i="1" s="1"/>
  <c r="V295" i="1" a="1"/>
  <c r="V295" i="1" s="1"/>
  <c r="O295" i="1" a="1"/>
  <c r="O295" i="1" s="1"/>
  <c r="P295" i="1" s="1"/>
  <c r="M295" i="1" s="1"/>
  <c r="J295" i="1" a="1"/>
  <c r="J295" i="1" s="1"/>
  <c r="Q294" i="1" a="1"/>
  <c r="Q294" i="1" s="1"/>
  <c r="I294" i="1"/>
  <c r="X294" i="1"/>
  <c r="AF294" i="1"/>
  <c r="B296" i="1"/>
  <c r="A295" i="1"/>
  <c r="AZ295" i="1" l="1"/>
  <c r="AA295" i="1"/>
  <c r="AO294" i="1"/>
  <c r="D296" i="1"/>
  <c r="E296" i="1"/>
  <c r="C296" i="1"/>
  <c r="AZ296" i="1" s="1"/>
  <c r="AY294" i="1"/>
  <c r="L295" i="1"/>
  <c r="H295" i="1"/>
  <c r="AY295" i="1" s="1"/>
  <c r="G296" i="1" a="1"/>
  <c r="G296" i="1" s="1"/>
  <c r="BB296" i="1" a="1"/>
  <c r="BB296" i="1" s="1"/>
  <c r="BD296" i="1" a="1"/>
  <c r="BD296" i="1" s="1"/>
  <c r="BF296" i="1" a="1"/>
  <c r="BF296" i="1" s="1"/>
  <c r="AW296" i="1" a="1"/>
  <c r="AW296" i="1" s="1"/>
  <c r="AS296" i="1" a="1"/>
  <c r="AS296" i="1" s="1"/>
  <c r="F296" i="1" a="1"/>
  <c r="F296" i="1" s="1"/>
  <c r="H296" i="1" s="1"/>
  <c r="BA296" i="1" a="1"/>
  <c r="BA296" i="1" s="1"/>
  <c r="BE296" i="1" a="1"/>
  <c r="BE296" i="1" s="1"/>
  <c r="AV296" i="1" a="1"/>
  <c r="AV296" i="1" s="1"/>
  <c r="AH296" i="1" a="1"/>
  <c r="AH296" i="1" s="1"/>
  <c r="AJ296" i="1" a="1"/>
  <c r="AJ296" i="1" s="1"/>
  <c r="AL296" i="1" a="1"/>
  <c r="AL296" i="1" s="1"/>
  <c r="AD296" i="1" a="1"/>
  <c r="AD296" i="1" s="1"/>
  <c r="Z296" i="1" a="1"/>
  <c r="Z296" i="1" s="1"/>
  <c r="S296" i="1" a="1"/>
  <c r="S296" i="1" s="1"/>
  <c r="U296" i="1" a="1"/>
  <c r="U296" i="1" s="1"/>
  <c r="W296" i="1" a="1"/>
  <c r="W296" i="1" s="1"/>
  <c r="O296" i="1" a="1"/>
  <c r="O296" i="1" s="1"/>
  <c r="K296" i="1" a="1"/>
  <c r="K296" i="1" s="1"/>
  <c r="J296" i="1" a="1"/>
  <c r="J296" i="1" s="1"/>
  <c r="BC296" i="1" a="1"/>
  <c r="BC296" i="1" s="1"/>
  <c r="AI296" i="1" a="1"/>
  <c r="AI296" i="1" s="1"/>
  <c r="Y296" i="1" a="1"/>
  <c r="Y296" i="1" s="1"/>
  <c r="R296" i="1" a="1"/>
  <c r="R296" i="1" s="1"/>
  <c r="V296" i="1" a="1"/>
  <c r="V296" i="1" s="1"/>
  <c r="N296" i="1" a="1"/>
  <c r="N296" i="1" s="1"/>
  <c r="AR296" i="1" a="1"/>
  <c r="AR296" i="1" s="1"/>
  <c r="AG296" i="1" a="1"/>
  <c r="AG296" i="1" s="1"/>
  <c r="AK296" i="1" a="1"/>
  <c r="AK296" i="1" s="1"/>
  <c r="AC296" i="1" a="1"/>
  <c r="AC296" i="1" s="1"/>
  <c r="T296" i="1" a="1"/>
  <c r="T296" i="1" s="1"/>
  <c r="X295" i="1"/>
  <c r="AF295" i="1"/>
  <c r="I295" i="1"/>
  <c r="Q295" i="1" a="1"/>
  <c r="Q295" i="1" s="1"/>
  <c r="AO295" i="1" s="1"/>
  <c r="B297" i="1"/>
  <c r="A296" i="1"/>
  <c r="D297" i="1" l="1"/>
  <c r="E297" i="1"/>
  <c r="C297" i="1"/>
  <c r="AZ297" i="1" s="1"/>
  <c r="AX296" i="1"/>
  <c r="AT296" i="1"/>
  <c r="L296" i="1"/>
  <c r="AE296" i="1"/>
  <c r="AB296" i="1" s="1"/>
  <c r="P296" i="1"/>
  <c r="M296" i="1" s="1"/>
  <c r="AA296" i="1"/>
  <c r="F297" i="1" a="1"/>
  <c r="F297" i="1" s="1"/>
  <c r="BB297" i="1" a="1"/>
  <c r="BB297" i="1" s="1"/>
  <c r="BD297" i="1" a="1"/>
  <c r="BD297" i="1" s="1"/>
  <c r="BF297" i="1" a="1"/>
  <c r="BF297" i="1" s="1"/>
  <c r="AV297" i="1" a="1"/>
  <c r="AV297" i="1" s="1"/>
  <c r="AR297" i="1" a="1"/>
  <c r="AR297" i="1" s="1"/>
  <c r="G297" i="1" a="1"/>
  <c r="G297" i="1" s="1"/>
  <c r="BC297" i="1" a="1"/>
  <c r="BC297" i="1" s="1"/>
  <c r="AW297" i="1" a="1"/>
  <c r="AW297" i="1" s="1"/>
  <c r="AX297" i="1" s="1"/>
  <c r="AH297" i="1" a="1"/>
  <c r="AH297" i="1" s="1"/>
  <c r="AJ297" i="1" a="1"/>
  <c r="AJ297" i="1" s="1"/>
  <c r="AL297" i="1" a="1"/>
  <c r="AL297" i="1" s="1"/>
  <c r="AC297" i="1" a="1"/>
  <c r="AC297" i="1" s="1"/>
  <c r="Y297" i="1" a="1"/>
  <c r="Y297" i="1" s="1"/>
  <c r="S297" i="1" a="1"/>
  <c r="S297" i="1" s="1"/>
  <c r="U297" i="1" a="1"/>
  <c r="U297" i="1" s="1"/>
  <c r="W297" i="1" a="1"/>
  <c r="W297" i="1" s="1"/>
  <c r="N297" i="1" a="1"/>
  <c r="N297" i="1" s="1"/>
  <c r="BA297" i="1" a="1"/>
  <c r="BA297" i="1" s="1"/>
  <c r="BE297" i="1" a="1"/>
  <c r="BE297" i="1" s="1"/>
  <c r="AS297" i="1" a="1"/>
  <c r="AS297" i="1" s="1"/>
  <c r="AT297" i="1" s="1"/>
  <c r="AG297" i="1" a="1"/>
  <c r="AG297" i="1" s="1"/>
  <c r="AK297" i="1" a="1"/>
  <c r="AK297" i="1" s="1"/>
  <c r="Z297" i="1" a="1"/>
  <c r="Z297" i="1" s="1"/>
  <c r="AA297" i="1" s="1"/>
  <c r="T297" i="1" a="1"/>
  <c r="T297" i="1" s="1"/>
  <c r="O297" i="1" a="1"/>
  <c r="O297" i="1" s="1"/>
  <c r="P297" i="1" s="1"/>
  <c r="M297" i="1" s="1"/>
  <c r="J297" i="1" a="1"/>
  <c r="J297" i="1" s="1"/>
  <c r="AI297" i="1" a="1"/>
  <c r="AI297" i="1" s="1"/>
  <c r="AD297" i="1" a="1"/>
  <c r="AD297" i="1" s="1"/>
  <c r="AE297" i="1" s="1"/>
  <c r="AB297" i="1" s="1"/>
  <c r="R297" i="1" a="1"/>
  <c r="R297" i="1" s="1"/>
  <c r="V297" i="1" a="1"/>
  <c r="V297" i="1" s="1"/>
  <c r="K297" i="1" a="1"/>
  <c r="K297" i="1" s="1"/>
  <c r="Q296" i="1" a="1"/>
  <c r="Q296" i="1" s="1"/>
  <c r="I296" i="1"/>
  <c r="X296" i="1"/>
  <c r="AF296" i="1"/>
  <c r="B298" i="1"/>
  <c r="A297" i="1"/>
  <c r="D298" i="1" l="1"/>
  <c r="E298" i="1"/>
  <c r="C298" i="1"/>
  <c r="AZ298" i="1" s="1"/>
  <c r="AY296" i="1"/>
  <c r="L297" i="1"/>
  <c r="AO296" i="1"/>
  <c r="H297" i="1"/>
  <c r="AY297" i="1" s="1"/>
  <c r="G298" i="1" a="1"/>
  <c r="G298" i="1" s="1"/>
  <c r="BB298" i="1" a="1"/>
  <c r="BB298" i="1" s="1"/>
  <c r="BD298" i="1" a="1"/>
  <c r="BD298" i="1" s="1"/>
  <c r="BF298" i="1" a="1"/>
  <c r="BF298" i="1" s="1"/>
  <c r="AW298" i="1" a="1"/>
  <c r="AW298" i="1" s="1"/>
  <c r="AS298" i="1" a="1"/>
  <c r="AS298" i="1" s="1"/>
  <c r="BA298" i="1" a="1"/>
  <c r="BA298" i="1" s="1"/>
  <c r="BE298" i="1" a="1"/>
  <c r="BE298" i="1" s="1"/>
  <c r="AR298" i="1" a="1"/>
  <c r="AR298" i="1" s="1"/>
  <c r="AH298" i="1" a="1"/>
  <c r="AH298" i="1" s="1"/>
  <c r="AJ298" i="1" a="1"/>
  <c r="AJ298" i="1" s="1"/>
  <c r="AL298" i="1" a="1"/>
  <c r="AL298" i="1" s="1"/>
  <c r="AD298" i="1" a="1"/>
  <c r="AD298" i="1" s="1"/>
  <c r="Z298" i="1" a="1"/>
  <c r="Z298" i="1" s="1"/>
  <c r="S298" i="1" a="1"/>
  <c r="S298" i="1" s="1"/>
  <c r="U298" i="1" a="1"/>
  <c r="U298" i="1" s="1"/>
  <c r="W298" i="1" a="1"/>
  <c r="W298" i="1" s="1"/>
  <c r="O298" i="1" a="1"/>
  <c r="O298" i="1" s="1"/>
  <c r="K298" i="1" a="1"/>
  <c r="K298" i="1" s="1"/>
  <c r="J298" i="1" a="1"/>
  <c r="J298" i="1" s="1"/>
  <c r="F298" i="1" a="1"/>
  <c r="F298" i="1" s="1"/>
  <c r="H298" i="1" s="1"/>
  <c r="BC298" i="1" a="1"/>
  <c r="BC298" i="1" s="1"/>
  <c r="AV298" i="1" a="1"/>
  <c r="AV298" i="1" s="1"/>
  <c r="AI298" i="1" a="1"/>
  <c r="AI298" i="1" s="1"/>
  <c r="AC298" i="1" a="1"/>
  <c r="AC298" i="1" s="1"/>
  <c r="R298" i="1" a="1"/>
  <c r="R298" i="1" s="1"/>
  <c r="V298" i="1" a="1"/>
  <c r="V298" i="1" s="1"/>
  <c r="AG298" i="1" a="1"/>
  <c r="AG298" i="1" s="1"/>
  <c r="AK298" i="1" a="1"/>
  <c r="AK298" i="1" s="1"/>
  <c r="Y298" i="1" a="1"/>
  <c r="Y298" i="1" s="1"/>
  <c r="T298" i="1" a="1"/>
  <c r="T298" i="1" s="1"/>
  <c r="N298" i="1" a="1"/>
  <c r="N298" i="1" s="1"/>
  <c r="I297" i="1"/>
  <c r="Q297" i="1" a="1"/>
  <c r="Q297" i="1" s="1"/>
  <c r="X297" i="1"/>
  <c r="AF297" i="1"/>
  <c r="B299" i="1"/>
  <c r="A298" i="1"/>
  <c r="D299" i="1" l="1"/>
  <c r="E299" i="1"/>
  <c r="C299" i="1"/>
  <c r="AZ299" i="1" s="1"/>
  <c r="AT298" i="1"/>
  <c r="AX298" i="1"/>
  <c r="P298" i="1"/>
  <c r="M298" i="1" s="1"/>
  <c r="AO297" i="1"/>
  <c r="AA298" i="1"/>
  <c r="L298" i="1"/>
  <c r="AE298" i="1"/>
  <c r="AB298" i="1" s="1"/>
  <c r="F299" i="1" a="1"/>
  <c r="F299" i="1" s="1"/>
  <c r="BB299" i="1" a="1"/>
  <c r="BB299" i="1" s="1"/>
  <c r="BD299" i="1" a="1"/>
  <c r="BD299" i="1" s="1"/>
  <c r="BF299" i="1" a="1"/>
  <c r="BF299" i="1" s="1"/>
  <c r="AV299" i="1" a="1"/>
  <c r="AV299" i="1" s="1"/>
  <c r="AR299" i="1" a="1"/>
  <c r="AR299" i="1" s="1"/>
  <c r="BC299" i="1" a="1"/>
  <c r="BC299" i="1" s="1"/>
  <c r="AS299" i="1" a="1"/>
  <c r="AS299" i="1" s="1"/>
  <c r="AH299" i="1" a="1"/>
  <c r="AH299" i="1" s="1"/>
  <c r="AJ299" i="1" a="1"/>
  <c r="AJ299" i="1" s="1"/>
  <c r="AL299" i="1" a="1"/>
  <c r="AL299" i="1" s="1"/>
  <c r="AC299" i="1" a="1"/>
  <c r="AC299" i="1" s="1"/>
  <c r="Y299" i="1" a="1"/>
  <c r="Y299" i="1" s="1"/>
  <c r="S299" i="1" a="1"/>
  <c r="S299" i="1" s="1"/>
  <c r="U299" i="1" a="1"/>
  <c r="U299" i="1" s="1"/>
  <c r="W299" i="1" a="1"/>
  <c r="W299" i="1" s="1"/>
  <c r="N299" i="1" a="1"/>
  <c r="N299" i="1" s="1"/>
  <c r="G299" i="1" a="1"/>
  <c r="G299" i="1" s="1"/>
  <c r="BA299" i="1" a="1"/>
  <c r="BA299" i="1" s="1"/>
  <c r="BE299" i="1" a="1"/>
  <c r="BE299" i="1" s="1"/>
  <c r="AW299" i="1" a="1"/>
  <c r="AW299" i="1" s="1"/>
  <c r="AX299" i="1" s="1"/>
  <c r="AG299" i="1" a="1"/>
  <c r="AG299" i="1" s="1"/>
  <c r="AK299" i="1" a="1"/>
  <c r="AK299" i="1" s="1"/>
  <c r="AD299" i="1" a="1"/>
  <c r="AD299" i="1" s="1"/>
  <c r="AE299" i="1" s="1"/>
  <c r="AB299" i="1" s="1"/>
  <c r="T299" i="1" a="1"/>
  <c r="T299" i="1" s="1"/>
  <c r="K299" i="1" a="1"/>
  <c r="K299" i="1" s="1"/>
  <c r="AI299" i="1" a="1"/>
  <c r="AI299" i="1" s="1"/>
  <c r="Z299" i="1" a="1"/>
  <c r="Z299" i="1" s="1"/>
  <c r="AA299" i="1" s="1"/>
  <c r="R299" i="1" a="1"/>
  <c r="R299" i="1" s="1"/>
  <c r="V299" i="1" a="1"/>
  <c r="V299" i="1" s="1"/>
  <c r="O299" i="1" a="1"/>
  <c r="O299" i="1" s="1"/>
  <c r="P299" i="1" s="1"/>
  <c r="M299" i="1" s="1"/>
  <c r="J299" i="1" a="1"/>
  <c r="J299" i="1" s="1"/>
  <c r="Q298" i="1" a="1"/>
  <c r="Q298" i="1" s="1"/>
  <c r="I298" i="1"/>
  <c r="X298" i="1"/>
  <c r="AF298" i="1"/>
  <c r="B300" i="1"/>
  <c r="A299" i="1"/>
  <c r="AT299" i="1" l="1"/>
  <c r="D300" i="1"/>
  <c r="E300" i="1"/>
  <c r="C300" i="1"/>
  <c r="AZ300" i="1" s="1"/>
  <c r="AY298" i="1"/>
  <c r="L299" i="1"/>
  <c r="AO298" i="1"/>
  <c r="H299" i="1"/>
  <c r="G300" i="1" a="1"/>
  <c r="G300" i="1" s="1"/>
  <c r="BB300" i="1" a="1"/>
  <c r="BB300" i="1" s="1"/>
  <c r="BD300" i="1" a="1"/>
  <c r="BD300" i="1" s="1"/>
  <c r="BF300" i="1" a="1"/>
  <c r="BF300" i="1" s="1"/>
  <c r="AW300" i="1" a="1"/>
  <c r="AW300" i="1" s="1"/>
  <c r="AS300" i="1" a="1"/>
  <c r="AS300" i="1" s="1"/>
  <c r="F300" i="1" a="1"/>
  <c r="F300" i="1" s="1"/>
  <c r="H300" i="1" s="1"/>
  <c r="BA300" i="1" a="1"/>
  <c r="BA300" i="1" s="1"/>
  <c r="BE300" i="1" a="1"/>
  <c r="BE300" i="1" s="1"/>
  <c r="AV300" i="1" a="1"/>
  <c r="AV300" i="1" s="1"/>
  <c r="AH300" i="1" a="1"/>
  <c r="AH300" i="1" s="1"/>
  <c r="AJ300" i="1" a="1"/>
  <c r="AJ300" i="1" s="1"/>
  <c r="AL300" i="1" a="1"/>
  <c r="AL300" i="1" s="1"/>
  <c r="AD300" i="1" a="1"/>
  <c r="AD300" i="1" s="1"/>
  <c r="Z300" i="1" a="1"/>
  <c r="Z300" i="1" s="1"/>
  <c r="S300" i="1" a="1"/>
  <c r="S300" i="1" s="1"/>
  <c r="U300" i="1" a="1"/>
  <c r="U300" i="1" s="1"/>
  <c r="W300" i="1" a="1"/>
  <c r="W300" i="1" s="1"/>
  <c r="O300" i="1" a="1"/>
  <c r="O300" i="1" s="1"/>
  <c r="K300" i="1" a="1"/>
  <c r="K300" i="1" s="1"/>
  <c r="J300" i="1" a="1"/>
  <c r="J300" i="1" s="1"/>
  <c r="BC300" i="1" a="1"/>
  <c r="BC300" i="1" s="1"/>
  <c r="AR300" i="1" a="1"/>
  <c r="AR300" i="1" s="1"/>
  <c r="AI300" i="1" a="1"/>
  <c r="AI300" i="1" s="1"/>
  <c r="Y300" i="1" a="1"/>
  <c r="Y300" i="1" s="1"/>
  <c r="R300" i="1" a="1"/>
  <c r="R300" i="1" s="1"/>
  <c r="V300" i="1" a="1"/>
  <c r="V300" i="1" s="1"/>
  <c r="N300" i="1" a="1"/>
  <c r="N300" i="1" s="1"/>
  <c r="AG300" i="1" a="1"/>
  <c r="AG300" i="1" s="1"/>
  <c r="AK300" i="1" a="1"/>
  <c r="AK300" i="1" s="1"/>
  <c r="AC300" i="1" a="1"/>
  <c r="AC300" i="1" s="1"/>
  <c r="T300" i="1" a="1"/>
  <c r="T300" i="1" s="1"/>
  <c r="X299" i="1"/>
  <c r="AF299" i="1"/>
  <c r="I299" i="1"/>
  <c r="Q299" i="1" a="1"/>
  <c r="Q299" i="1" s="1"/>
  <c r="AO299" i="1" s="1"/>
  <c r="B301" i="1"/>
  <c r="A300" i="1"/>
  <c r="AY299" i="1" l="1"/>
  <c r="D301" i="1"/>
  <c r="E301" i="1"/>
  <c r="C301" i="1"/>
  <c r="AX300" i="1"/>
  <c r="AT300" i="1"/>
  <c r="P300" i="1"/>
  <c r="M300" i="1" s="1"/>
  <c r="AA300" i="1"/>
  <c r="X300" i="1" s="1"/>
  <c r="L300" i="1"/>
  <c r="AE300" i="1"/>
  <c r="AB300" i="1" s="1"/>
  <c r="F301" i="1" a="1"/>
  <c r="F301" i="1" s="1"/>
  <c r="BB301" i="1" a="1"/>
  <c r="BB301" i="1" s="1"/>
  <c r="BD301" i="1" a="1"/>
  <c r="BD301" i="1" s="1"/>
  <c r="BF301" i="1" a="1"/>
  <c r="BF301" i="1" s="1"/>
  <c r="AV301" i="1" a="1"/>
  <c r="AV301" i="1" s="1"/>
  <c r="AR301" i="1" a="1"/>
  <c r="AR301" i="1" s="1"/>
  <c r="G301" i="1" a="1"/>
  <c r="G301" i="1" s="1"/>
  <c r="BC301" i="1" a="1"/>
  <c r="BC301" i="1" s="1"/>
  <c r="AW301" i="1" a="1"/>
  <c r="AW301" i="1" s="1"/>
  <c r="AX301" i="1" s="1"/>
  <c r="AH301" i="1" a="1"/>
  <c r="AH301" i="1" s="1"/>
  <c r="AJ301" i="1" a="1"/>
  <c r="AJ301" i="1" s="1"/>
  <c r="AL301" i="1" a="1"/>
  <c r="AL301" i="1" s="1"/>
  <c r="AC301" i="1" a="1"/>
  <c r="AC301" i="1" s="1"/>
  <c r="Y301" i="1" a="1"/>
  <c r="Y301" i="1" s="1"/>
  <c r="S301" i="1" a="1"/>
  <c r="S301" i="1" s="1"/>
  <c r="U301" i="1" a="1"/>
  <c r="U301" i="1" s="1"/>
  <c r="W301" i="1" a="1"/>
  <c r="W301" i="1" s="1"/>
  <c r="N301" i="1" a="1"/>
  <c r="N301" i="1" s="1"/>
  <c r="BA301" i="1" a="1"/>
  <c r="BA301" i="1" s="1"/>
  <c r="BE301" i="1" a="1"/>
  <c r="BE301" i="1" s="1"/>
  <c r="AS301" i="1" a="1"/>
  <c r="AS301" i="1" s="1"/>
  <c r="AG301" i="1" a="1"/>
  <c r="AG301" i="1" s="1"/>
  <c r="AK301" i="1" a="1"/>
  <c r="AK301" i="1" s="1"/>
  <c r="Z301" i="1" a="1"/>
  <c r="Z301" i="1" s="1"/>
  <c r="AA301" i="1" s="1"/>
  <c r="T301" i="1" a="1"/>
  <c r="T301" i="1" s="1"/>
  <c r="O301" i="1" a="1"/>
  <c r="O301" i="1" s="1"/>
  <c r="P301" i="1" s="1"/>
  <c r="M301" i="1" s="1"/>
  <c r="J301" i="1" a="1"/>
  <c r="J301" i="1" s="1"/>
  <c r="AI301" i="1" a="1"/>
  <c r="AI301" i="1" s="1"/>
  <c r="AD301" i="1" a="1"/>
  <c r="AD301" i="1" s="1"/>
  <c r="AE301" i="1" s="1"/>
  <c r="AB301" i="1" s="1"/>
  <c r="R301" i="1" a="1"/>
  <c r="R301" i="1" s="1"/>
  <c r="V301" i="1" a="1"/>
  <c r="V301" i="1" s="1"/>
  <c r="K301" i="1" a="1"/>
  <c r="K301" i="1" s="1"/>
  <c r="Q300" i="1" a="1"/>
  <c r="Q300" i="1" s="1"/>
  <c r="I300" i="1"/>
  <c r="AF300" i="1"/>
  <c r="B302" i="1"/>
  <c r="A301" i="1"/>
  <c r="AZ301" i="1" l="1"/>
  <c r="AT301" i="1"/>
  <c r="AY300" i="1"/>
  <c r="D302" i="1"/>
  <c r="E302" i="1"/>
  <c r="C302" i="1"/>
  <c r="L301" i="1"/>
  <c r="I301" i="1" s="1"/>
  <c r="AO300" i="1"/>
  <c r="H301" i="1"/>
  <c r="G302" i="1" a="1"/>
  <c r="G302" i="1" s="1"/>
  <c r="BB302" i="1" a="1"/>
  <c r="BB302" i="1" s="1"/>
  <c r="BD302" i="1" a="1"/>
  <c r="BD302" i="1" s="1"/>
  <c r="BF302" i="1" a="1"/>
  <c r="BF302" i="1" s="1"/>
  <c r="AW302" i="1" a="1"/>
  <c r="AW302" i="1" s="1"/>
  <c r="AS302" i="1" a="1"/>
  <c r="AS302" i="1" s="1"/>
  <c r="BA302" i="1" a="1"/>
  <c r="BA302" i="1" s="1"/>
  <c r="BE302" i="1" a="1"/>
  <c r="BE302" i="1" s="1"/>
  <c r="AR302" i="1" a="1"/>
  <c r="AR302" i="1" s="1"/>
  <c r="AH302" i="1" a="1"/>
  <c r="AH302" i="1" s="1"/>
  <c r="AJ302" i="1" a="1"/>
  <c r="AJ302" i="1" s="1"/>
  <c r="AL302" i="1" a="1"/>
  <c r="AL302" i="1" s="1"/>
  <c r="AD302" i="1" a="1"/>
  <c r="AD302" i="1" s="1"/>
  <c r="Z302" i="1" a="1"/>
  <c r="Z302" i="1" s="1"/>
  <c r="S302" i="1" a="1"/>
  <c r="S302" i="1" s="1"/>
  <c r="U302" i="1" a="1"/>
  <c r="U302" i="1" s="1"/>
  <c r="W302" i="1" a="1"/>
  <c r="W302" i="1" s="1"/>
  <c r="O302" i="1" a="1"/>
  <c r="O302" i="1" s="1"/>
  <c r="K302" i="1" a="1"/>
  <c r="K302" i="1" s="1"/>
  <c r="J302" i="1" a="1"/>
  <c r="J302" i="1" s="1"/>
  <c r="F302" i="1" a="1"/>
  <c r="F302" i="1" s="1"/>
  <c r="H302" i="1" s="1"/>
  <c r="BC302" i="1" a="1"/>
  <c r="BC302" i="1" s="1"/>
  <c r="AV302" i="1" a="1"/>
  <c r="AV302" i="1" s="1"/>
  <c r="AI302" i="1" a="1"/>
  <c r="AI302" i="1" s="1"/>
  <c r="AC302" i="1" a="1"/>
  <c r="AC302" i="1" s="1"/>
  <c r="R302" i="1" a="1"/>
  <c r="R302" i="1" s="1"/>
  <c r="V302" i="1" a="1"/>
  <c r="V302" i="1" s="1"/>
  <c r="AG302" i="1" a="1"/>
  <c r="AG302" i="1" s="1"/>
  <c r="AK302" i="1" a="1"/>
  <c r="AK302" i="1" s="1"/>
  <c r="Y302" i="1" a="1"/>
  <c r="Y302" i="1" s="1"/>
  <c r="T302" i="1" a="1"/>
  <c r="T302" i="1" s="1"/>
  <c r="N302" i="1" a="1"/>
  <c r="N302" i="1" s="1"/>
  <c r="Q301" i="1" a="1"/>
  <c r="Q301" i="1" s="1"/>
  <c r="X301" i="1"/>
  <c r="AF301" i="1"/>
  <c r="B303" i="1"/>
  <c r="A302" i="1"/>
  <c r="AZ302" i="1" l="1"/>
  <c r="AZ303" i="1"/>
  <c r="AY301" i="1"/>
  <c r="D303" i="1"/>
  <c r="E303" i="1"/>
  <c r="C303" i="1"/>
  <c r="AT302" i="1"/>
  <c r="AX302" i="1"/>
  <c r="P302" i="1"/>
  <c r="M302" i="1" s="1"/>
  <c r="AA302" i="1"/>
  <c r="AO301" i="1"/>
  <c r="L302" i="1"/>
  <c r="AE302" i="1"/>
  <c r="AB302" i="1" s="1"/>
  <c r="F303" i="1" a="1"/>
  <c r="F303" i="1" s="1"/>
  <c r="BB303" i="1" a="1"/>
  <c r="BB303" i="1" s="1"/>
  <c r="BD303" i="1" a="1"/>
  <c r="BD303" i="1" s="1"/>
  <c r="BF303" i="1" a="1"/>
  <c r="BF303" i="1" s="1"/>
  <c r="AV303" i="1" a="1"/>
  <c r="AV303" i="1" s="1"/>
  <c r="AR303" i="1" a="1"/>
  <c r="AR303" i="1" s="1"/>
  <c r="BC303" i="1" a="1"/>
  <c r="BC303" i="1" s="1"/>
  <c r="AS303" i="1" a="1"/>
  <c r="AS303" i="1" s="1"/>
  <c r="AT303" i="1" s="1"/>
  <c r="AH303" i="1" a="1"/>
  <c r="AH303" i="1" s="1"/>
  <c r="AJ303" i="1" a="1"/>
  <c r="AJ303" i="1" s="1"/>
  <c r="AL303" i="1" a="1"/>
  <c r="AL303" i="1" s="1"/>
  <c r="AC303" i="1" a="1"/>
  <c r="AC303" i="1" s="1"/>
  <c r="Y303" i="1" a="1"/>
  <c r="Y303" i="1" s="1"/>
  <c r="S303" i="1" a="1"/>
  <c r="S303" i="1" s="1"/>
  <c r="U303" i="1" a="1"/>
  <c r="U303" i="1" s="1"/>
  <c r="W303" i="1" a="1"/>
  <c r="W303" i="1" s="1"/>
  <c r="N303" i="1" a="1"/>
  <c r="N303" i="1" s="1"/>
  <c r="G303" i="1" a="1"/>
  <c r="G303" i="1" s="1"/>
  <c r="BA303" i="1" a="1"/>
  <c r="BA303" i="1" s="1"/>
  <c r="BE303" i="1" a="1"/>
  <c r="BE303" i="1" s="1"/>
  <c r="AW303" i="1" a="1"/>
  <c r="AW303" i="1" s="1"/>
  <c r="AX303" i="1" s="1"/>
  <c r="AG303" i="1" a="1"/>
  <c r="AG303" i="1" s="1"/>
  <c r="AK303" i="1" a="1"/>
  <c r="AK303" i="1" s="1"/>
  <c r="AD303" i="1" a="1"/>
  <c r="AD303" i="1" s="1"/>
  <c r="AE303" i="1" s="1"/>
  <c r="AB303" i="1" s="1"/>
  <c r="T303" i="1" a="1"/>
  <c r="T303" i="1" s="1"/>
  <c r="K303" i="1" a="1"/>
  <c r="K303" i="1" s="1"/>
  <c r="AI303" i="1" a="1"/>
  <c r="AI303" i="1" s="1"/>
  <c r="Z303" i="1" a="1"/>
  <c r="Z303" i="1" s="1"/>
  <c r="R303" i="1" a="1"/>
  <c r="R303" i="1" s="1"/>
  <c r="V303" i="1" a="1"/>
  <c r="V303" i="1" s="1"/>
  <c r="O303" i="1" a="1"/>
  <c r="O303" i="1" s="1"/>
  <c r="P303" i="1" s="1"/>
  <c r="M303" i="1" s="1"/>
  <c r="J303" i="1" a="1"/>
  <c r="J303" i="1" s="1"/>
  <c r="Q302" i="1" a="1"/>
  <c r="Q302" i="1" s="1"/>
  <c r="I302" i="1"/>
  <c r="X302" i="1"/>
  <c r="AF302" i="1"/>
  <c r="B304" i="1"/>
  <c r="A303" i="1"/>
  <c r="AA303" i="1" l="1"/>
  <c r="D304" i="1"/>
  <c r="E304" i="1"/>
  <c r="C304" i="1"/>
  <c r="AZ304" i="1" s="1"/>
  <c r="AY302" i="1"/>
  <c r="AO302" i="1"/>
  <c r="H303" i="1"/>
  <c r="AY303" i="1" s="1"/>
  <c r="L303" i="1"/>
  <c r="G304" i="1" a="1"/>
  <c r="G304" i="1" s="1"/>
  <c r="BB304" i="1" a="1"/>
  <c r="BB304" i="1" s="1"/>
  <c r="BD304" i="1" a="1"/>
  <c r="BD304" i="1" s="1"/>
  <c r="BF304" i="1" a="1"/>
  <c r="BF304" i="1" s="1"/>
  <c r="AW304" i="1" a="1"/>
  <c r="AW304" i="1" s="1"/>
  <c r="AS304" i="1" a="1"/>
  <c r="AS304" i="1" s="1"/>
  <c r="F304" i="1" a="1"/>
  <c r="F304" i="1" s="1"/>
  <c r="H304" i="1" s="1"/>
  <c r="BA304" i="1" a="1"/>
  <c r="BA304" i="1" s="1"/>
  <c r="BE304" i="1" a="1"/>
  <c r="BE304" i="1" s="1"/>
  <c r="AV304" i="1" a="1"/>
  <c r="AV304" i="1" s="1"/>
  <c r="AH304" i="1" a="1"/>
  <c r="AH304" i="1" s="1"/>
  <c r="AJ304" i="1" a="1"/>
  <c r="AJ304" i="1" s="1"/>
  <c r="AL304" i="1" a="1"/>
  <c r="AL304" i="1" s="1"/>
  <c r="AD304" i="1" a="1"/>
  <c r="AD304" i="1" s="1"/>
  <c r="Z304" i="1" a="1"/>
  <c r="Z304" i="1" s="1"/>
  <c r="S304" i="1" a="1"/>
  <c r="S304" i="1" s="1"/>
  <c r="U304" i="1" a="1"/>
  <c r="U304" i="1" s="1"/>
  <c r="W304" i="1" a="1"/>
  <c r="W304" i="1" s="1"/>
  <c r="O304" i="1" a="1"/>
  <c r="O304" i="1" s="1"/>
  <c r="K304" i="1" a="1"/>
  <c r="K304" i="1" s="1"/>
  <c r="J304" i="1" a="1"/>
  <c r="J304" i="1" s="1"/>
  <c r="BC304" i="1" a="1"/>
  <c r="BC304" i="1" s="1"/>
  <c r="AI304" i="1" a="1"/>
  <c r="AI304" i="1" s="1"/>
  <c r="Y304" i="1" a="1"/>
  <c r="Y304" i="1" s="1"/>
  <c r="R304" i="1" a="1"/>
  <c r="R304" i="1" s="1"/>
  <c r="V304" i="1" a="1"/>
  <c r="V304" i="1" s="1"/>
  <c r="N304" i="1" a="1"/>
  <c r="N304" i="1" s="1"/>
  <c r="AR304" i="1" a="1"/>
  <c r="AR304" i="1" s="1"/>
  <c r="AG304" i="1" a="1"/>
  <c r="AG304" i="1" s="1"/>
  <c r="AK304" i="1" a="1"/>
  <c r="AK304" i="1" s="1"/>
  <c r="AC304" i="1" a="1"/>
  <c r="AC304" i="1" s="1"/>
  <c r="T304" i="1" a="1"/>
  <c r="T304" i="1" s="1"/>
  <c r="X303" i="1"/>
  <c r="AF303" i="1"/>
  <c r="I303" i="1"/>
  <c r="Q303" i="1" a="1"/>
  <c r="Q303" i="1" s="1"/>
  <c r="AO303" i="1" s="1"/>
  <c r="B305" i="1"/>
  <c r="A304" i="1"/>
  <c r="D305" i="1" l="1"/>
  <c r="E305" i="1"/>
  <c r="C305" i="1"/>
  <c r="AZ305" i="1" s="1"/>
  <c r="AX304" i="1"/>
  <c r="AT304" i="1"/>
  <c r="P304" i="1"/>
  <c r="M304" i="1" s="1"/>
  <c r="AA304" i="1"/>
  <c r="L304" i="1"/>
  <c r="AE304" i="1"/>
  <c r="AB304" i="1" s="1"/>
  <c r="F305" i="1" a="1"/>
  <c r="F305" i="1" s="1"/>
  <c r="BB305" i="1" a="1"/>
  <c r="BB305" i="1" s="1"/>
  <c r="BD305" i="1" a="1"/>
  <c r="BD305" i="1" s="1"/>
  <c r="BF305" i="1" a="1"/>
  <c r="BF305" i="1" s="1"/>
  <c r="AV305" i="1" a="1"/>
  <c r="AV305" i="1" s="1"/>
  <c r="AR305" i="1" a="1"/>
  <c r="AR305" i="1" s="1"/>
  <c r="G305" i="1" a="1"/>
  <c r="G305" i="1" s="1"/>
  <c r="BC305" i="1" a="1"/>
  <c r="BC305" i="1" s="1"/>
  <c r="AW305" i="1" a="1"/>
  <c r="AW305" i="1" s="1"/>
  <c r="AX305" i="1" s="1"/>
  <c r="AH305" i="1" a="1"/>
  <c r="AH305" i="1" s="1"/>
  <c r="AJ305" i="1" a="1"/>
  <c r="AJ305" i="1" s="1"/>
  <c r="AL305" i="1" a="1"/>
  <c r="AL305" i="1" s="1"/>
  <c r="AC305" i="1" a="1"/>
  <c r="AC305" i="1" s="1"/>
  <c r="Y305" i="1" a="1"/>
  <c r="Y305" i="1" s="1"/>
  <c r="S305" i="1" a="1"/>
  <c r="S305" i="1" s="1"/>
  <c r="U305" i="1" a="1"/>
  <c r="U305" i="1" s="1"/>
  <c r="W305" i="1" a="1"/>
  <c r="W305" i="1" s="1"/>
  <c r="N305" i="1" a="1"/>
  <c r="N305" i="1" s="1"/>
  <c r="BA305" i="1" a="1"/>
  <c r="BA305" i="1" s="1"/>
  <c r="BE305" i="1" a="1"/>
  <c r="BE305" i="1" s="1"/>
  <c r="AS305" i="1" a="1"/>
  <c r="AS305" i="1" s="1"/>
  <c r="AG305" i="1" a="1"/>
  <c r="AG305" i="1" s="1"/>
  <c r="AK305" i="1" a="1"/>
  <c r="AK305" i="1" s="1"/>
  <c r="Z305" i="1" a="1"/>
  <c r="Z305" i="1" s="1"/>
  <c r="AA305" i="1" s="1"/>
  <c r="T305" i="1" a="1"/>
  <c r="T305" i="1" s="1"/>
  <c r="O305" i="1" a="1"/>
  <c r="O305" i="1" s="1"/>
  <c r="P305" i="1" s="1"/>
  <c r="M305" i="1" s="1"/>
  <c r="J305" i="1" a="1"/>
  <c r="J305" i="1" s="1"/>
  <c r="AI305" i="1" a="1"/>
  <c r="AI305" i="1" s="1"/>
  <c r="AD305" i="1" a="1"/>
  <c r="AD305" i="1" s="1"/>
  <c r="AE305" i="1" s="1"/>
  <c r="AB305" i="1" s="1"/>
  <c r="R305" i="1" a="1"/>
  <c r="R305" i="1" s="1"/>
  <c r="V305" i="1" a="1"/>
  <c r="V305" i="1" s="1"/>
  <c r="K305" i="1" a="1"/>
  <c r="K305" i="1" s="1"/>
  <c r="Q304" i="1" a="1"/>
  <c r="Q304" i="1" s="1"/>
  <c r="I304" i="1"/>
  <c r="X304" i="1"/>
  <c r="AF304" i="1"/>
  <c r="B306" i="1"/>
  <c r="A305" i="1"/>
  <c r="AZ306" i="1" l="1"/>
  <c r="AT305" i="1"/>
  <c r="D306" i="1"/>
  <c r="E306" i="1"/>
  <c r="C306" i="1"/>
  <c r="AY304" i="1"/>
  <c r="AO304" i="1"/>
  <c r="L305" i="1"/>
  <c r="H305" i="1"/>
  <c r="G306" i="1" a="1"/>
  <c r="G306" i="1" s="1"/>
  <c r="BB306" i="1" a="1"/>
  <c r="BB306" i="1" s="1"/>
  <c r="BD306" i="1" a="1"/>
  <c r="BD306" i="1" s="1"/>
  <c r="BF306" i="1" a="1"/>
  <c r="BF306" i="1" s="1"/>
  <c r="AW306" i="1" a="1"/>
  <c r="AW306" i="1" s="1"/>
  <c r="AS306" i="1" a="1"/>
  <c r="AS306" i="1" s="1"/>
  <c r="BA306" i="1" a="1"/>
  <c r="BA306" i="1" s="1"/>
  <c r="BE306" i="1" a="1"/>
  <c r="BE306" i="1" s="1"/>
  <c r="AR306" i="1" a="1"/>
  <c r="AR306" i="1" s="1"/>
  <c r="AH306" i="1" a="1"/>
  <c r="AH306" i="1" s="1"/>
  <c r="AJ306" i="1" a="1"/>
  <c r="AJ306" i="1" s="1"/>
  <c r="AL306" i="1" a="1"/>
  <c r="AL306" i="1" s="1"/>
  <c r="AD306" i="1" a="1"/>
  <c r="AD306" i="1" s="1"/>
  <c r="Z306" i="1" a="1"/>
  <c r="Z306" i="1" s="1"/>
  <c r="S306" i="1" a="1"/>
  <c r="S306" i="1" s="1"/>
  <c r="U306" i="1" a="1"/>
  <c r="U306" i="1" s="1"/>
  <c r="W306" i="1" a="1"/>
  <c r="W306" i="1" s="1"/>
  <c r="O306" i="1" a="1"/>
  <c r="O306" i="1" s="1"/>
  <c r="K306" i="1" a="1"/>
  <c r="K306" i="1" s="1"/>
  <c r="J306" i="1" a="1"/>
  <c r="J306" i="1" s="1"/>
  <c r="F306" i="1" a="1"/>
  <c r="F306" i="1" s="1"/>
  <c r="H306" i="1" s="1"/>
  <c r="BC306" i="1" a="1"/>
  <c r="BC306" i="1" s="1"/>
  <c r="AV306" i="1" a="1"/>
  <c r="AV306" i="1" s="1"/>
  <c r="AI306" i="1" a="1"/>
  <c r="AI306" i="1" s="1"/>
  <c r="AC306" i="1" a="1"/>
  <c r="AC306" i="1" s="1"/>
  <c r="R306" i="1" a="1"/>
  <c r="R306" i="1" s="1"/>
  <c r="V306" i="1" a="1"/>
  <c r="V306" i="1" s="1"/>
  <c r="AG306" i="1" a="1"/>
  <c r="AG306" i="1" s="1"/>
  <c r="AK306" i="1" a="1"/>
  <c r="AK306" i="1" s="1"/>
  <c r="Y306" i="1" a="1"/>
  <c r="Y306" i="1" s="1"/>
  <c r="T306" i="1" a="1"/>
  <c r="T306" i="1" s="1"/>
  <c r="N306" i="1" a="1"/>
  <c r="N306" i="1" s="1"/>
  <c r="I305" i="1"/>
  <c r="Q305" i="1" a="1"/>
  <c r="Q305" i="1" s="1"/>
  <c r="X305" i="1"/>
  <c r="AF305" i="1"/>
  <c r="B307" i="1"/>
  <c r="A306" i="1"/>
  <c r="AY305" i="1" l="1"/>
  <c r="D307" i="1"/>
  <c r="E307" i="1"/>
  <c r="C307" i="1"/>
  <c r="AZ307" i="1" s="1"/>
  <c r="AT306" i="1"/>
  <c r="AX306" i="1"/>
  <c r="P306" i="1"/>
  <c r="M306" i="1" s="1"/>
  <c r="AA306" i="1"/>
  <c r="L306" i="1"/>
  <c r="AE306" i="1"/>
  <c r="AB306" i="1" s="1"/>
  <c r="AO305" i="1"/>
  <c r="F307" i="1" a="1"/>
  <c r="F307" i="1" s="1"/>
  <c r="BB307" i="1" a="1"/>
  <c r="BB307" i="1" s="1"/>
  <c r="BD307" i="1" a="1"/>
  <c r="BD307" i="1" s="1"/>
  <c r="BF307" i="1" a="1"/>
  <c r="BF307" i="1" s="1"/>
  <c r="AV307" i="1" a="1"/>
  <c r="AV307" i="1" s="1"/>
  <c r="AR307" i="1" a="1"/>
  <c r="AR307" i="1" s="1"/>
  <c r="BC307" i="1" a="1"/>
  <c r="BC307" i="1" s="1"/>
  <c r="AS307" i="1" a="1"/>
  <c r="AS307" i="1" s="1"/>
  <c r="AT307" i="1" s="1"/>
  <c r="AH307" i="1" a="1"/>
  <c r="AH307" i="1" s="1"/>
  <c r="AJ307" i="1" a="1"/>
  <c r="AJ307" i="1" s="1"/>
  <c r="AL307" i="1" a="1"/>
  <c r="AL307" i="1" s="1"/>
  <c r="AC307" i="1" a="1"/>
  <c r="AC307" i="1" s="1"/>
  <c r="Y307" i="1" a="1"/>
  <c r="Y307" i="1" s="1"/>
  <c r="S307" i="1" a="1"/>
  <c r="S307" i="1" s="1"/>
  <c r="U307" i="1" a="1"/>
  <c r="U307" i="1" s="1"/>
  <c r="W307" i="1" a="1"/>
  <c r="W307" i="1" s="1"/>
  <c r="N307" i="1" a="1"/>
  <c r="N307" i="1" s="1"/>
  <c r="G307" i="1" a="1"/>
  <c r="G307" i="1" s="1"/>
  <c r="BA307" i="1" a="1"/>
  <c r="BA307" i="1" s="1"/>
  <c r="BE307" i="1" a="1"/>
  <c r="BE307" i="1" s="1"/>
  <c r="AW307" i="1" a="1"/>
  <c r="AW307" i="1" s="1"/>
  <c r="AX307" i="1" s="1"/>
  <c r="AG307" i="1" a="1"/>
  <c r="AG307" i="1" s="1"/>
  <c r="AK307" i="1" a="1"/>
  <c r="AK307" i="1" s="1"/>
  <c r="AD307" i="1" a="1"/>
  <c r="AD307" i="1" s="1"/>
  <c r="AE307" i="1" s="1"/>
  <c r="AB307" i="1" s="1"/>
  <c r="T307" i="1" a="1"/>
  <c r="T307" i="1" s="1"/>
  <c r="K307" i="1" a="1"/>
  <c r="K307" i="1" s="1"/>
  <c r="AI307" i="1" a="1"/>
  <c r="AI307" i="1" s="1"/>
  <c r="Z307" i="1" a="1"/>
  <c r="Z307" i="1" s="1"/>
  <c r="R307" i="1" a="1"/>
  <c r="R307" i="1" s="1"/>
  <c r="V307" i="1" a="1"/>
  <c r="V307" i="1" s="1"/>
  <c r="O307" i="1" a="1"/>
  <c r="O307" i="1" s="1"/>
  <c r="P307" i="1" s="1"/>
  <c r="M307" i="1" s="1"/>
  <c r="J307" i="1" a="1"/>
  <c r="J307" i="1" s="1"/>
  <c r="Q306" i="1" a="1"/>
  <c r="Q306" i="1" s="1"/>
  <c r="I306" i="1"/>
  <c r="X306" i="1"/>
  <c r="AF306" i="1"/>
  <c r="B308" i="1"/>
  <c r="A307" i="1"/>
  <c r="AA307" i="1" l="1"/>
  <c r="AY306" i="1"/>
  <c r="D308" i="1"/>
  <c r="E308" i="1"/>
  <c r="C308" i="1"/>
  <c r="AZ308" i="1" s="1"/>
  <c r="AO306" i="1"/>
  <c r="H307" i="1"/>
  <c r="AY307" i="1" s="1"/>
  <c r="L307" i="1"/>
  <c r="G308" i="1" a="1"/>
  <c r="G308" i="1" s="1"/>
  <c r="BB308" i="1" a="1"/>
  <c r="BB308" i="1" s="1"/>
  <c r="BD308" i="1" a="1"/>
  <c r="BD308" i="1" s="1"/>
  <c r="BF308" i="1" a="1"/>
  <c r="BF308" i="1" s="1"/>
  <c r="AW308" i="1" a="1"/>
  <c r="AW308" i="1" s="1"/>
  <c r="AS308" i="1" a="1"/>
  <c r="AS308" i="1" s="1"/>
  <c r="F308" i="1" a="1"/>
  <c r="F308" i="1" s="1"/>
  <c r="H308" i="1" s="1"/>
  <c r="BA308" i="1" a="1"/>
  <c r="BA308" i="1" s="1"/>
  <c r="BE308" i="1" a="1"/>
  <c r="BE308" i="1" s="1"/>
  <c r="AV308" i="1" a="1"/>
  <c r="AV308" i="1" s="1"/>
  <c r="AH308" i="1" a="1"/>
  <c r="AH308" i="1" s="1"/>
  <c r="AJ308" i="1" a="1"/>
  <c r="AJ308" i="1" s="1"/>
  <c r="AL308" i="1" a="1"/>
  <c r="AL308" i="1" s="1"/>
  <c r="AD308" i="1" a="1"/>
  <c r="AD308" i="1" s="1"/>
  <c r="Z308" i="1" a="1"/>
  <c r="Z308" i="1" s="1"/>
  <c r="S308" i="1" a="1"/>
  <c r="S308" i="1" s="1"/>
  <c r="U308" i="1" a="1"/>
  <c r="U308" i="1" s="1"/>
  <c r="W308" i="1" a="1"/>
  <c r="W308" i="1" s="1"/>
  <c r="O308" i="1" a="1"/>
  <c r="O308" i="1" s="1"/>
  <c r="K308" i="1" a="1"/>
  <c r="K308" i="1" s="1"/>
  <c r="J308" i="1" a="1"/>
  <c r="J308" i="1" s="1"/>
  <c r="BC308" i="1" a="1"/>
  <c r="BC308" i="1" s="1"/>
  <c r="AR308" i="1" a="1"/>
  <c r="AR308" i="1" s="1"/>
  <c r="AI308" i="1" a="1"/>
  <c r="AI308" i="1" s="1"/>
  <c r="Y308" i="1" a="1"/>
  <c r="Y308" i="1" s="1"/>
  <c r="R308" i="1" a="1"/>
  <c r="R308" i="1" s="1"/>
  <c r="V308" i="1" a="1"/>
  <c r="V308" i="1" s="1"/>
  <c r="N308" i="1" a="1"/>
  <c r="N308" i="1" s="1"/>
  <c r="AG308" i="1" a="1"/>
  <c r="AG308" i="1" s="1"/>
  <c r="AK308" i="1" a="1"/>
  <c r="AK308" i="1" s="1"/>
  <c r="AC308" i="1" a="1"/>
  <c r="AC308" i="1" s="1"/>
  <c r="T308" i="1" a="1"/>
  <c r="T308" i="1" s="1"/>
  <c r="X307" i="1"/>
  <c r="AF307" i="1"/>
  <c r="I307" i="1"/>
  <c r="Q307" i="1" a="1"/>
  <c r="Q307" i="1" s="1"/>
  <c r="AO307" i="1" s="1"/>
  <c r="B309" i="1"/>
  <c r="A308" i="1"/>
  <c r="D309" i="1" l="1"/>
  <c r="E309" i="1"/>
  <c r="C309" i="1"/>
  <c r="AZ309" i="1" s="1"/>
  <c r="AT308" i="1"/>
  <c r="AX308" i="1"/>
  <c r="P308" i="1"/>
  <c r="M308" i="1" s="1"/>
  <c r="AA308" i="1"/>
  <c r="L308" i="1"/>
  <c r="AE308" i="1"/>
  <c r="AB308" i="1" s="1"/>
  <c r="F309" i="1" a="1"/>
  <c r="F309" i="1" s="1"/>
  <c r="BB309" i="1" a="1"/>
  <c r="BB309" i="1" s="1"/>
  <c r="BD309" i="1" a="1"/>
  <c r="BD309" i="1" s="1"/>
  <c r="BF309" i="1" a="1"/>
  <c r="BF309" i="1" s="1"/>
  <c r="AV309" i="1" a="1"/>
  <c r="AV309" i="1" s="1"/>
  <c r="AR309" i="1" a="1"/>
  <c r="AR309" i="1" s="1"/>
  <c r="G309" i="1" a="1"/>
  <c r="G309" i="1" s="1"/>
  <c r="BC309" i="1" a="1"/>
  <c r="BC309" i="1" s="1"/>
  <c r="AW309" i="1" a="1"/>
  <c r="AW309" i="1" s="1"/>
  <c r="AX309" i="1" s="1"/>
  <c r="AH309" i="1" a="1"/>
  <c r="AH309" i="1" s="1"/>
  <c r="AJ309" i="1" a="1"/>
  <c r="AJ309" i="1" s="1"/>
  <c r="AL309" i="1" a="1"/>
  <c r="AL309" i="1" s="1"/>
  <c r="AC309" i="1" a="1"/>
  <c r="AC309" i="1" s="1"/>
  <c r="Y309" i="1" a="1"/>
  <c r="Y309" i="1" s="1"/>
  <c r="S309" i="1" a="1"/>
  <c r="S309" i="1" s="1"/>
  <c r="U309" i="1" a="1"/>
  <c r="U309" i="1" s="1"/>
  <c r="W309" i="1" a="1"/>
  <c r="W309" i="1" s="1"/>
  <c r="N309" i="1" a="1"/>
  <c r="N309" i="1" s="1"/>
  <c r="BA309" i="1" a="1"/>
  <c r="BA309" i="1" s="1"/>
  <c r="BE309" i="1" a="1"/>
  <c r="BE309" i="1" s="1"/>
  <c r="AS309" i="1" a="1"/>
  <c r="AS309" i="1" s="1"/>
  <c r="AG309" i="1" a="1"/>
  <c r="AG309" i="1" s="1"/>
  <c r="AK309" i="1" a="1"/>
  <c r="AK309" i="1" s="1"/>
  <c r="Z309" i="1" a="1"/>
  <c r="Z309" i="1" s="1"/>
  <c r="AA309" i="1" s="1"/>
  <c r="T309" i="1" a="1"/>
  <c r="T309" i="1" s="1"/>
  <c r="O309" i="1" a="1"/>
  <c r="O309" i="1" s="1"/>
  <c r="P309" i="1" s="1"/>
  <c r="M309" i="1" s="1"/>
  <c r="J309" i="1" a="1"/>
  <c r="J309" i="1" s="1"/>
  <c r="AI309" i="1" a="1"/>
  <c r="AI309" i="1" s="1"/>
  <c r="AD309" i="1" a="1"/>
  <c r="AD309" i="1" s="1"/>
  <c r="AE309" i="1" s="1"/>
  <c r="AB309" i="1" s="1"/>
  <c r="R309" i="1" a="1"/>
  <c r="R309" i="1" s="1"/>
  <c r="V309" i="1" a="1"/>
  <c r="V309" i="1" s="1"/>
  <c r="K309" i="1" a="1"/>
  <c r="K309" i="1" s="1"/>
  <c r="Q308" i="1" a="1"/>
  <c r="Q308" i="1" s="1"/>
  <c r="I308" i="1"/>
  <c r="X308" i="1"/>
  <c r="AF308" i="1"/>
  <c r="B310" i="1"/>
  <c r="A309" i="1"/>
  <c r="AT309" i="1" l="1"/>
  <c r="D310" i="1"/>
  <c r="E310" i="1"/>
  <c r="C310" i="1"/>
  <c r="AY308" i="1"/>
  <c r="L309" i="1"/>
  <c r="AO308" i="1"/>
  <c r="H309" i="1"/>
  <c r="G310" i="1" a="1"/>
  <c r="G310" i="1" s="1"/>
  <c r="BB310" i="1" a="1"/>
  <c r="BB310" i="1" s="1"/>
  <c r="BD310" i="1" a="1"/>
  <c r="BD310" i="1" s="1"/>
  <c r="BF310" i="1" a="1"/>
  <c r="BF310" i="1" s="1"/>
  <c r="AW310" i="1" a="1"/>
  <c r="AW310" i="1" s="1"/>
  <c r="AS310" i="1" a="1"/>
  <c r="AS310" i="1" s="1"/>
  <c r="BA310" i="1" a="1"/>
  <c r="BA310" i="1" s="1"/>
  <c r="BE310" i="1" a="1"/>
  <c r="BE310" i="1" s="1"/>
  <c r="AR310" i="1" a="1"/>
  <c r="AR310" i="1" s="1"/>
  <c r="AH310" i="1" a="1"/>
  <c r="AH310" i="1" s="1"/>
  <c r="AJ310" i="1" a="1"/>
  <c r="AJ310" i="1" s="1"/>
  <c r="AL310" i="1" a="1"/>
  <c r="AL310" i="1" s="1"/>
  <c r="AD310" i="1" a="1"/>
  <c r="AD310" i="1" s="1"/>
  <c r="Z310" i="1" a="1"/>
  <c r="Z310" i="1" s="1"/>
  <c r="S310" i="1" a="1"/>
  <c r="S310" i="1" s="1"/>
  <c r="U310" i="1" a="1"/>
  <c r="U310" i="1" s="1"/>
  <c r="W310" i="1" a="1"/>
  <c r="W310" i="1" s="1"/>
  <c r="O310" i="1" a="1"/>
  <c r="O310" i="1" s="1"/>
  <c r="K310" i="1" a="1"/>
  <c r="K310" i="1" s="1"/>
  <c r="J310" i="1" a="1"/>
  <c r="J310" i="1" s="1"/>
  <c r="F310" i="1" a="1"/>
  <c r="F310" i="1" s="1"/>
  <c r="H310" i="1" s="1"/>
  <c r="BC310" i="1" a="1"/>
  <c r="BC310" i="1" s="1"/>
  <c r="AV310" i="1" a="1"/>
  <c r="AV310" i="1" s="1"/>
  <c r="AI310" i="1" a="1"/>
  <c r="AI310" i="1" s="1"/>
  <c r="AC310" i="1" a="1"/>
  <c r="AC310" i="1" s="1"/>
  <c r="R310" i="1" a="1"/>
  <c r="R310" i="1" s="1"/>
  <c r="V310" i="1" a="1"/>
  <c r="V310" i="1" s="1"/>
  <c r="AG310" i="1" a="1"/>
  <c r="AG310" i="1" s="1"/>
  <c r="AK310" i="1" a="1"/>
  <c r="AK310" i="1" s="1"/>
  <c r="Y310" i="1" a="1"/>
  <c r="Y310" i="1" s="1"/>
  <c r="T310" i="1" a="1"/>
  <c r="T310" i="1" s="1"/>
  <c r="N310" i="1" a="1"/>
  <c r="N310" i="1" s="1"/>
  <c r="I309" i="1"/>
  <c r="Q309" i="1" a="1"/>
  <c r="Q309" i="1" s="1"/>
  <c r="X309" i="1"/>
  <c r="AF309" i="1"/>
  <c r="B311" i="1"/>
  <c r="A310" i="1"/>
  <c r="AZ310" i="1" l="1"/>
  <c r="AY309" i="1"/>
  <c r="D311" i="1"/>
  <c r="E311" i="1"/>
  <c r="C311" i="1"/>
  <c r="AZ311" i="1" s="1"/>
  <c r="AT310" i="1"/>
  <c r="AX310" i="1"/>
  <c r="AO309" i="1"/>
  <c r="P310" i="1"/>
  <c r="M310" i="1" s="1"/>
  <c r="AA310" i="1"/>
  <c r="L310" i="1"/>
  <c r="AE310" i="1"/>
  <c r="AB310" i="1" s="1"/>
  <c r="F311" i="1" a="1"/>
  <c r="F311" i="1" s="1"/>
  <c r="BB311" i="1" a="1"/>
  <c r="BB311" i="1" s="1"/>
  <c r="BD311" i="1" a="1"/>
  <c r="BD311" i="1" s="1"/>
  <c r="BF311" i="1" a="1"/>
  <c r="BF311" i="1" s="1"/>
  <c r="AV311" i="1" a="1"/>
  <c r="AV311" i="1" s="1"/>
  <c r="AR311" i="1" a="1"/>
  <c r="AR311" i="1" s="1"/>
  <c r="BC311" i="1" a="1"/>
  <c r="BC311" i="1" s="1"/>
  <c r="AS311" i="1" a="1"/>
  <c r="AS311" i="1" s="1"/>
  <c r="AT311" i="1" s="1"/>
  <c r="AH311" i="1" a="1"/>
  <c r="AH311" i="1" s="1"/>
  <c r="AJ311" i="1" a="1"/>
  <c r="AJ311" i="1" s="1"/>
  <c r="AL311" i="1" a="1"/>
  <c r="AL311" i="1" s="1"/>
  <c r="AC311" i="1" a="1"/>
  <c r="AC311" i="1" s="1"/>
  <c r="Y311" i="1" a="1"/>
  <c r="Y311" i="1" s="1"/>
  <c r="S311" i="1" a="1"/>
  <c r="S311" i="1" s="1"/>
  <c r="U311" i="1" a="1"/>
  <c r="U311" i="1" s="1"/>
  <c r="W311" i="1" a="1"/>
  <c r="W311" i="1" s="1"/>
  <c r="N311" i="1" a="1"/>
  <c r="N311" i="1" s="1"/>
  <c r="G311" i="1" a="1"/>
  <c r="G311" i="1" s="1"/>
  <c r="BA311" i="1" a="1"/>
  <c r="BA311" i="1" s="1"/>
  <c r="BE311" i="1" a="1"/>
  <c r="BE311" i="1" s="1"/>
  <c r="AW311" i="1" a="1"/>
  <c r="AW311" i="1" s="1"/>
  <c r="AX311" i="1" s="1"/>
  <c r="AG311" i="1" a="1"/>
  <c r="AG311" i="1" s="1"/>
  <c r="AK311" i="1" a="1"/>
  <c r="AK311" i="1" s="1"/>
  <c r="AD311" i="1" a="1"/>
  <c r="AD311" i="1" s="1"/>
  <c r="AE311" i="1" s="1"/>
  <c r="AB311" i="1" s="1"/>
  <c r="T311" i="1" a="1"/>
  <c r="T311" i="1" s="1"/>
  <c r="K311" i="1" a="1"/>
  <c r="K311" i="1" s="1"/>
  <c r="AI311" i="1" a="1"/>
  <c r="AI311" i="1" s="1"/>
  <c r="Z311" i="1" a="1"/>
  <c r="Z311" i="1" s="1"/>
  <c r="R311" i="1" a="1"/>
  <c r="R311" i="1" s="1"/>
  <c r="V311" i="1" a="1"/>
  <c r="V311" i="1" s="1"/>
  <c r="O311" i="1" a="1"/>
  <c r="O311" i="1" s="1"/>
  <c r="P311" i="1" s="1"/>
  <c r="M311" i="1" s="1"/>
  <c r="J311" i="1" a="1"/>
  <c r="J311" i="1" s="1"/>
  <c r="Q310" i="1" a="1"/>
  <c r="Q310" i="1" s="1"/>
  <c r="I310" i="1"/>
  <c r="X310" i="1"/>
  <c r="AF310" i="1"/>
  <c r="B312" i="1"/>
  <c r="A311" i="1"/>
  <c r="D312" i="1" l="1"/>
  <c r="E312" i="1"/>
  <c r="C312" i="1"/>
  <c r="AZ312" i="1" s="1"/>
  <c r="AO310" i="1"/>
  <c r="AY310" i="1"/>
  <c r="AA311" i="1"/>
  <c r="X311" i="1" s="1"/>
  <c r="H311" i="1"/>
  <c r="AY311" i="1" s="1"/>
  <c r="L311" i="1"/>
  <c r="I311" i="1" s="1"/>
  <c r="G312" i="1" a="1"/>
  <c r="G312" i="1" s="1"/>
  <c r="BB312" i="1" a="1"/>
  <c r="BB312" i="1" s="1"/>
  <c r="BD312" i="1" a="1"/>
  <c r="BD312" i="1" s="1"/>
  <c r="BF312" i="1" a="1"/>
  <c r="BF312" i="1" s="1"/>
  <c r="AW312" i="1" a="1"/>
  <c r="AW312" i="1" s="1"/>
  <c r="AS312" i="1" a="1"/>
  <c r="AS312" i="1" s="1"/>
  <c r="F312" i="1" a="1"/>
  <c r="F312" i="1" s="1"/>
  <c r="H312" i="1" s="1"/>
  <c r="BA312" i="1" a="1"/>
  <c r="BA312" i="1" s="1"/>
  <c r="BE312" i="1" a="1"/>
  <c r="BE312" i="1" s="1"/>
  <c r="AV312" i="1" a="1"/>
  <c r="AV312" i="1" s="1"/>
  <c r="AH312" i="1" a="1"/>
  <c r="AH312" i="1" s="1"/>
  <c r="AJ312" i="1" a="1"/>
  <c r="AJ312" i="1" s="1"/>
  <c r="AL312" i="1" a="1"/>
  <c r="AL312" i="1" s="1"/>
  <c r="AD312" i="1" a="1"/>
  <c r="AD312" i="1" s="1"/>
  <c r="Z312" i="1" a="1"/>
  <c r="Z312" i="1" s="1"/>
  <c r="S312" i="1" a="1"/>
  <c r="S312" i="1" s="1"/>
  <c r="U312" i="1" a="1"/>
  <c r="U312" i="1" s="1"/>
  <c r="W312" i="1" a="1"/>
  <c r="W312" i="1" s="1"/>
  <c r="O312" i="1" a="1"/>
  <c r="O312" i="1" s="1"/>
  <c r="K312" i="1" a="1"/>
  <c r="K312" i="1" s="1"/>
  <c r="J312" i="1" a="1"/>
  <c r="J312" i="1" s="1"/>
  <c r="BC312" i="1" a="1"/>
  <c r="BC312" i="1" s="1"/>
  <c r="AI312" i="1" a="1"/>
  <c r="AI312" i="1" s="1"/>
  <c r="Y312" i="1" a="1"/>
  <c r="Y312" i="1" s="1"/>
  <c r="R312" i="1" a="1"/>
  <c r="R312" i="1" s="1"/>
  <c r="V312" i="1" a="1"/>
  <c r="V312" i="1" s="1"/>
  <c r="N312" i="1" a="1"/>
  <c r="N312" i="1" s="1"/>
  <c r="AR312" i="1" a="1"/>
  <c r="AR312" i="1" s="1"/>
  <c r="AG312" i="1" a="1"/>
  <c r="AG312" i="1" s="1"/>
  <c r="AK312" i="1" a="1"/>
  <c r="AK312" i="1" s="1"/>
  <c r="AC312" i="1" a="1"/>
  <c r="AC312" i="1" s="1"/>
  <c r="T312" i="1" a="1"/>
  <c r="T312" i="1" s="1"/>
  <c r="AF311" i="1"/>
  <c r="Q311" i="1" a="1"/>
  <c r="Q311" i="1" s="1"/>
  <c r="B313" i="1"/>
  <c r="A312" i="1"/>
  <c r="AO311" i="1" l="1"/>
  <c r="D313" i="1"/>
  <c r="E313" i="1"/>
  <c r="C313" i="1"/>
  <c r="AZ313" i="1" s="1"/>
  <c r="AT312" i="1"/>
  <c r="AX312" i="1"/>
  <c r="L312" i="1"/>
  <c r="AE312" i="1"/>
  <c r="AB312" i="1" s="1"/>
  <c r="P312" i="1"/>
  <c r="M312" i="1" s="1"/>
  <c r="AA312" i="1"/>
  <c r="F313" i="1" a="1"/>
  <c r="F313" i="1" s="1"/>
  <c r="BB313" i="1" a="1"/>
  <c r="BB313" i="1" s="1"/>
  <c r="BD313" i="1" a="1"/>
  <c r="BD313" i="1" s="1"/>
  <c r="BF313" i="1" a="1"/>
  <c r="BF313" i="1" s="1"/>
  <c r="AV313" i="1" a="1"/>
  <c r="AV313" i="1" s="1"/>
  <c r="AR313" i="1" a="1"/>
  <c r="AR313" i="1" s="1"/>
  <c r="G313" i="1" a="1"/>
  <c r="G313" i="1" s="1"/>
  <c r="BC313" i="1" a="1"/>
  <c r="BC313" i="1" s="1"/>
  <c r="AW313" i="1" a="1"/>
  <c r="AW313" i="1" s="1"/>
  <c r="AX313" i="1" s="1"/>
  <c r="AH313" i="1" a="1"/>
  <c r="AH313" i="1" s="1"/>
  <c r="AJ313" i="1" a="1"/>
  <c r="AJ313" i="1" s="1"/>
  <c r="AL313" i="1" a="1"/>
  <c r="AL313" i="1" s="1"/>
  <c r="AC313" i="1" a="1"/>
  <c r="AC313" i="1" s="1"/>
  <c r="Y313" i="1" a="1"/>
  <c r="Y313" i="1" s="1"/>
  <c r="S313" i="1" a="1"/>
  <c r="S313" i="1" s="1"/>
  <c r="U313" i="1" a="1"/>
  <c r="U313" i="1" s="1"/>
  <c r="W313" i="1" a="1"/>
  <c r="W313" i="1" s="1"/>
  <c r="N313" i="1" a="1"/>
  <c r="N313" i="1" s="1"/>
  <c r="BA313" i="1" a="1"/>
  <c r="BA313" i="1" s="1"/>
  <c r="BE313" i="1" a="1"/>
  <c r="BE313" i="1" s="1"/>
  <c r="AS313" i="1" a="1"/>
  <c r="AS313" i="1" s="1"/>
  <c r="AT313" i="1" s="1"/>
  <c r="AG313" i="1" a="1"/>
  <c r="AG313" i="1" s="1"/>
  <c r="AK313" i="1" a="1"/>
  <c r="AK313" i="1" s="1"/>
  <c r="Z313" i="1" a="1"/>
  <c r="Z313" i="1" s="1"/>
  <c r="AA313" i="1" s="1"/>
  <c r="T313" i="1" a="1"/>
  <c r="T313" i="1" s="1"/>
  <c r="O313" i="1" a="1"/>
  <c r="O313" i="1" s="1"/>
  <c r="P313" i="1" s="1"/>
  <c r="M313" i="1" s="1"/>
  <c r="J313" i="1" a="1"/>
  <c r="J313" i="1" s="1"/>
  <c r="AI313" i="1" a="1"/>
  <c r="AI313" i="1" s="1"/>
  <c r="AD313" i="1" a="1"/>
  <c r="AD313" i="1" s="1"/>
  <c r="AE313" i="1" s="1"/>
  <c r="AB313" i="1" s="1"/>
  <c r="R313" i="1" a="1"/>
  <c r="R313" i="1" s="1"/>
  <c r="V313" i="1" a="1"/>
  <c r="V313" i="1" s="1"/>
  <c r="K313" i="1" a="1"/>
  <c r="K313" i="1" s="1"/>
  <c r="Q312" i="1" a="1"/>
  <c r="Q312" i="1" s="1"/>
  <c r="I312" i="1"/>
  <c r="X312" i="1"/>
  <c r="AF312" i="1"/>
  <c r="B314" i="1"/>
  <c r="A313" i="1"/>
  <c r="D314" i="1" l="1"/>
  <c r="E314" i="1"/>
  <c r="C314" i="1"/>
  <c r="L313" i="1"/>
  <c r="AY312" i="1"/>
  <c r="AO312" i="1"/>
  <c r="H313" i="1"/>
  <c r="AY313" i="1" s="1"/>
  <c r="G314" i="1" a="1"/>
  <c r="G314" i="1" s="1"/>
  <c r="BB314" i="1" a="1"/>
  <c r="BB314" i="1" s="1"/>
  <c r="BD314" i="1" a="1"/>
  <c r="BD314" i="1" s="1"/>
  <c r="BF314" i="1" a="1"/>
  <c r="BF314" i="1" s="1"/>
  <c r="AW314" i="1" a="1"/>
  <c r="AW314" i="1" s="1"/>
  <c r="AS314" i="1" a="1"/>
  <c r="AS314" i="1" s="1"/>
  <c r="BA314" i="1" a="1"/>
  <c r="BA314" i="1" s="1"/>
  <c r="BE314" i="1" a="1"/>
  <c r="BE314" i="1" s="1"/>
  <c r="AR314" i="1" a="1"/>
  <c r="AR314" i="1" s="1"/>
  <c r="AH314" i="1" a="1"/>
  <c r="AH314" i="1" s="1"/>
  <c r="AJ314" i="1" a="1"/>
  <c r="AJ314" i="1" s="1"/>
  <c r="AL314" i="1" a="1"/>
  <c r="AL314" i="1" s="1"/>
  <c r="AD314" i="1" a="1"/>
  <c r="AD314" i="1" s="1"/>
  <c r="Z314" i="1" a="1"/>
  <c r="Z314" i="1" s="1"/>
  <c r="S314" i="1" a="1"/>
  <c r="S314" i="1" s="1"/>
  <c r="U314" i="1" a="1"/>
  <c r="U314" i="1" s="1"/>
  <c r="W314" i="1" a="1"/>
  <c r="W314" i="1" s="1"/>
  <c r="O314" i="1" a="1"/>
  <c r="O314" i="1" s="1"/>
  <c r="K314" i="1" a="1"/>
  <c r="K314" i="1" s="1"/>
  <c r="J314" i="1" a="1"/>
  <c r="J314" i="1" s="1"/>
  <c r="F314" i="1" a="1"/>
  <c r="F314" i="1" s="1"/>
  <c r="H314" i="1" s="1"/>
  <c r="BC314" i="1" a="1"/>
  <c r="BC314" i="1" s="1"/>
  <c r="AV314" i="1" a="1"/>
  <c r="AV314" i="1" s="1"/>
  <c r="AI314" i="1" a="1"/>
  <c r="AI314" i="1" s="1"/>
  <c r="AC314" i="1" a="1"/>
  <c r="AC314" i="1" s="1"/>
  <c r="R314" i="1" a="1"/>
  <c r="R314" i="1" s="1"/>
  <c r="V314" i="1" a="1"/>
  <c r="V314" i="1" s="1"/>
  <c r="AG314" i="1" a="1"/>
  <c r="AG314" i="1" s="1"/>
  <c r="AK314" i="1" a="1"/>
  <c r="AK314" i="1" s="1"/>
  <c r="Y314" i="1" a="1"/>
  <c r="Y314" i="1" s="1"/>
  <c r="T314" i="1" a="1"/>
  <c r="T314" i="1" s="1"/>
  <c r="N314" i="1" a="1"/>
  <c r="N314" i="1" s="1"/>
  <c r="I313" i="1"/>
  <c r="Q313" i="1" a="1"/>
  <c r="Q313" i="1" s="1"/>
  <c r="X313" i="1"/>
  <c r="AF313" i="1"/>
  <c r="B315" i="1"/>
  <c r="A314" i="1"/>
  <c r="D315" i="1" l="1"/>
  <c r="E315" i="1"/>
  <c r="C315" i="1"/>
  <c r="AX314" i="1"/>
  <c r="AT314" i="1"/>
  <c r="L314" i="1"/>
  <c r="AE314" i="1"/>
  <c r="AB314" i="1" s="1"/>
  <c r="AO313" i="1"/>
  <c r="P314" i="1"/>
  <c r="M314" i="1" s="1"/>
  <c r="AA314" i="1"/>
  <c r="F315" i="1" a="1"/>
  <c r="F315" i="1" s="1"/>
  <c r="BB315" i="1" a="1"/>
  <c r="BB315" i="1" s="1"/>
  <c r="BD315" i="1" a="1"/>
  <c r="BD315" i="1" s="1"/>
  <c r="BF315" i="1" a="1"/>
  <c r="BF315" i="1" s="1"/>
  <c r="AV315" i="1" a="1"/>
  <c r="AV315" i="1" s="1"/>
  <c r="AR315" i="1" a="1"/>
  <c r="AR315" i="1" s="1"/>
  <c r="BC315" i="1" a="1"/>
  <c r="BC315" i="1" s="1"/>
  <c r="AS315" i="1" a="1"/>
  <c r="AS315" i="1" s="1"/>
  <c r="AT315" i="1" s="1"/>
  <c r="AH315" i="1" a="1"/>
  <c r="AH315" i="1" s="1"/>
  <c r="AJ315" i="1" a="1"/>
  <c r="AJ315" i="1" s="1"/>
  <c r="AL315" i="1" a="1"/>
  <c r="AL315" i="1" s="1"/>
  <c r="AC315" i="1" a="1"/>
  <c r="AC315" i="1" s="1"/>
  <c r="Y315" i="1" a="1"/>
  <c r="Y315" i="1" s="1"/>
  <c r="S315" i="1" a="1"/>
  <c r="S315" i="1" s="1"/>
  <c r="U315" i="1" a="1"/>
  <c r="U315" i="1" s="1"/>
  <c r="W315" i="1" a="1"/>
  <c r="W315" i="1" s="1"/>
  <c r="N315" i="1" a="1"/>
  <c r="N315" i="1" s="1"/>
  <c r="G315" i="1" a="1"/>
  <c r="G315" i="1" s="1"/>
  <c r="BA315" i="1" a="1"/>
  <c r="BA315" i="1" s="1"/>
  <c r="BE315" i="1" a="1"/>
  <c r="BE315" i="1" s="1"/>
  <c r="AW315" i="1" a="1"/>
  <c r="AW315" i="1" s="1"/>
  <c r="AX315" i="1" s="1"/>
  <c r="AG315" i="1" a="1"/>
  <c r="AG315" i="1" s="1"/>
  <c r="AK315" i="1" a="1"/>
  <c r="AK315" i="1" s="1"/>
  <c r="AD315" i="1" a="1"/>
  <c r="AD315" i="1" s="1"/>
  <c r="AE315" i="1" s="1"/>
  <c r="AB315" i="1" s="1"/>
  <c r="T315" i="1" a="1"/>
  <c r="T315" i="1" s="1"/>
  <c r="K315" i="1" a="1"/>
  <c r="K315" i="1" s="1"/>
  <c r="AI315" i="1" a="1"/>
  <c r="AI315" i="1" s="1"/>
  <c r="Z315" i="1" a="1"/>
  <c r="Z315" i="1" s="1"/>
  <c r="R315" i="1" a="1"/>
  <c r="R315" i="1" s="1"/>
  <c r="V315" i="1" a="1"/>
  <c r="V315" i="1" s="1"/>
  <c r="O315" i="1" a="1"/>
  <c r="O315" i="1" s="1"/>
  <c r="P315" i="1" s="1"/>
  <c r="M315" i="1" s="1"/>
  <c r="J315" i="1" a="1"/>
  <c r="J315" i="1" s="1"/>
  <c r="Q314" i="1" a="1"/>
  <c r="Q314" i="1" s="1"/>
  <c r="I314" i="1"/>
  <c r="X314" i="1"/>
  <c r="AF314" i="1"/>
  <c r="B316" i="1"/>
  <c r="A315" i="1"/>
  <c r="AA315" i="1" l="1"/>
  <c r="D316" i="1"/>
  <c r="E316" i="1"/>
  <c r="C316" i="1"/>
  <c r="AO314" i="1"/>
  <c r="AY314" i="1"/>
  <c r="L315" i="1"/>
  <c r="H315" i="1"/>
  <c r="AY315" i="1" s="1"/>
  <c r="AZ315" i="1" s="1"/>
  <c r="G316" i="1" a="1"/>
  <c r="G316" i="1" s="1"/>
  <c r="BB316" i="1" a="1"/>
  <c r="BB316" i="1" s="1"/>
  <c r="BD316" i="1" a="1"/>
  <c r="BD316" i="1" s="1"/>
  <c r="BF316" i="1" a="1"/>
  <c r="BF316" i="1" s="1"/>
  <c r="AW316" i="1" a="1"/>
  <c r="AW316" i="1" s="1"/>
  <c r="AS316" i="1" a="1"/>
  <c r="AS316" i="1" s="1"/>
  <c r="F316" i="1" a="1"/>
  <c r="F316" i="1" s="1"/>
  <c r="H316" i="1" s="1"/>
  <c r="BA316" i="1" a="1"/>
  <c r="BA316" i="1" s="1"/>
  <c r="BE316" i="1" a="1"/>
  <c r="BE316" i="1" s="1"/>
  <c r="AV316" i="1" a="1"/>
  <c r="AV316" i="1" s="1"/>
  <c r="AH316" i="1" a="1"/>
  <c r="AH316" i="1" s="1"/>
  <c r="AJ316" i="1" a="1"/>
  <c r="AJ316" i="1" s="1"/>
  <c r="AL316" i="1" a="1"/>
  <c r="AL316" i="1" s="1"/>
  <c r="AD316" i="1" a="1"/>
  <c r="AD316" i="1" s="1"/>
  <c r="Z316" i="1" a="1"/>
  <c r="Z316" i="1" s="1"/>
  <c r="S316" i="1" a="1"/>
  <c r="S316" i="1" s="1"/>
  <c r="U316" i="1" a="1"/>
  <c r="U316" i="1" s="1"/>
  <c r="W316" i="1" a="1"/>
  <c r="W316" i="1" s="1"/>
  <c r="O316" i="1" a="1"/>
  <c r="O316" i="1" s="1"/>
  <c r="K316" i="1" a="1"/>
  <c r="K316" i="1" s="1"/>
  <c r="J316" i="1" a="1"/>
  <c r="J316" i="1" s="1"/>
  <c r="BC316" i="1" a="1"/>
  <c r="BC316" i="1" s="1"/>
  <c r="AR316" i="1" a="1"/>
  <c r="AR316" i="1" s="1"/>
  <c r="AI316" i="1" a="1"/>
  <c r="AI316" i="1" s="1"/>
  <c r="Y316" i="1" a="1"/>
  <c r="Y316" i="1" s="1"/>
  <c r="R316" i="1" a="1"/>
  <c r="R316" i="1" s="1"/>
  <c r="V316" i="1" a="1"/>
  <c r="V316" i="1" s="1"/>
  <c r="N316" i="1" a="1"/>
  <c r="N316" i="1" s="1"/>
  <c r="AG316" i="1" a="1"/>
  <c r="AG316" i="1" s="1"/>
  <c r="AK316" i="1" a="1"/>
  <c r="AK316" i="1" s="1"/>
  <c r="AC316" i="1" a="1"/>
  <c r="AC316" i="1" s="1"/>
  <c r="T316" i="1" a="1"/>
  <c r="T316" i="1" s="1"/>
  <c r="X315" i="1"/>
  <c r="AF315" i="1"/>
  <c r="I315" i="1"/>
  <c r="Q315" i="1" a="1"/>
  <c r="Q315" i="1" s="1"/>
  <c r="AO315" i="1" s="1"/>
  <c r="B317" i="1"/>
  <c r="A316" i="1"/>
  <c r="AZ316" i="1" l="1"/>
  <c r="D317" i="1"/>
  <c r="E317" i="1"/>
  <c r="C317" i="1"/>
  <c r="AZ317" i="1" s="1"/>
  <c r="L316" i="1"/>
  <c r="AX316" i="1"/>
  <c r="AT316" i="1"/>
  <c r="AE316" i="1"/>
  <c r="AB316" i="1" s="1"/>
  <c r="P316" i="1"/>
  <c r="M316" i="1" s="1"/>
  <c r="AA316" i="1"/>
  <c r="F317" i="1" a="1"/>
  <c r="F317" i="1" s="1"/>
  <c r="BB317" i="1" a="1"/>
  <c r="BB317" i="1" s="1"/>
  <c r="BD317" i="1" a="1"/>
  <c r="BD317" i="1" s="1"/>
  <c r="BF317" i="1" a="1"/>
  <c r="BF317" i="1" s="1"/>
  <c r="AV317" i="1" a="1"/>
  <c r="AV317" i="1" s="1"/>
  <c r="AR317" i="1" a="1"/>
  <c r="AR317" i="1" s="1"/>
  <c r="G317" i="1" a="1"/>
  <c r="G317" i="1" s="1"/>
  <c r="BC317" i="1" a="1"/>
  <c r="BC317" i="1" s="1"/>
  <c r="AW317" i="1" a="1"/>
  <c r="AW317" i="1" s="1"/>
  <c r="AX317" i="1" s="1"/>
  <c r="AH317" i="1" a="1"/>
  <c r="AH317" i="1" s="1"/>
  <c r="AJ317" i="1" a="1"/>
  <c r="AJ317" i="1" s="1"/>
  <c r="AL317" i="1" a="1"/>
  <c r="AL317" i="1" s="1"/>
  <c r="AC317" i="1" a="1"/>
  <c r="AC317" i="1" s="1"/>
  <c r="Y317" i="1" a="1"/>
  <c r="Y317" i="1" s="1"/>
  <c r="S317" i="1" a="1"/>
  <c r="S317" i="1" s="1"/>
  <c r="U317" i="1" a="1"/>
  <c r="U317" i="1" s="1"/>
  <c r="W317" i="1" a="1"/>
  <c r="W317" i="1" s="1"/>
  <c r="N317" i="1" a="1"/>
  <c r="N317" i="1" s="1"/>
  <c r="BA317" i="1" a="1"/>
  <c r="BA317" i="1" s="1"/>
  <c r="BE317" i="1" a="1"/>
  <c r="BE317" i="1" s="1"/>
  <c r="AG317" i="1" a="1"/>
  <c r="AG317" i="1" s="1"/>
  <c r="AK317" i="1" a="1"/>
  <c r="AK317" i="1" s="1"/>
  <c r="Z317" i="1" a="1"/>
  <c r="Z317" i="1" s="1"/>
  <c r="T317" i="1" a="1"/>
  <c r="T317" i="1" s="1"/>
  <c r="O317" i="1" a="1"/>
  <c r="O317" i="1" s="1"/>
  <c r="J317" i="1" a="1"/>
  <c r="J317" i="1" s="1"/>
  <c r="AS317" i="1" a="1"/>
  <c r="AS317" i="1" s="1"/>
  <c r="AT317" i="1" s="1"/>
  <c r="AI317" i="1" a="1"/>
  <c r="AI317" i="1" s="1"/>
  <c r="AD317" i="1" a="1"/>
  <c r="AD317" i="1" s="1"/>
  <c r="AE317" i="1" s="1"/>
  <c r="AB317" i="1" s="1"/>
  <c r="R317" i="1" a="1"/>
  <c r="R317" i="1" s="1"/>
  <c r="V317" i="1" a="1"/>
  <c r="V317" i="1" s="1"/>
  <c r="K317" i="1" a="1"/>
  <c r="K317" i="1" s="1"/>
  <c r="L317" i="1" s="1"/>
  <c r="Q316" i="1" a="1"/>
  <c r="Q316" i="1" s="1"/>
  <c r="I316" i="1"/>
  <c r="X316" i="1"/>
  <c r="AF316" i="1"/>
  <c r="B318" i="1"/>
  <c r="A317" i="1"/>
  <c r="D318" i="1" l="1"/>
  <c r="E318" i="1"/>
  <c r="C318" i="1"/>
  <c r="AZ318" i="1" s="1"/>
  <c r="AY316" i="1"/>
  <c r="P317" i="1"/>
  <c r="M317" i="1" s="1"/>
  <c r="AA317" i="1"/>
  <c r="AO316" i="1"/>
  <c r="H317" i="1"/>
  <c r="AY317" i="1" s="1"/>
  <c r="G318" i="1" a="1"/>
  <c r="G318" i="1" s="1"/>
  <c r="BB318" i="1" a="1"/>
  <c r="BB318" i="1" s="1"/>
  <c r="BD318" i="1" a="1"/>
  <c r="BD318" i="1" s="1"/>
  <c r="BF318" i="1" a="1"/>
  <c r="BF318" i="1" s="1"/>
  <c r="AW318" i="1" a="1"/>
  <c r="AW318" i="1" s="1"/>
  <c r="AS318" i="1" a="1"/>
  <c r="AS318" i="1" s="1"/>
  <c r="BA318" i="1" a="1"/>
  <c r="BA318" i="1" s="1"/>
  <c r="BE318" i="1" a="1"/>
  <c r="BE318" i="1" s="1"/>
  <c r="AR318" i="1" a="1"/>
  <c r="AR318" i="1" s="1"/>
  <c r="AH318" i="1" a="1"/>
  <c r="AH318" i="1" s="1"/>
  <c r="AJ318" i="1" a="1"/>
  <c r="AJ318" i="1" s="1"/>
  <c r="AL318" i="1" a="1"/>
  <c r="AL318" i="1" s="1"/>
  <c r="AD318" i="1" a="1"/>
  <c r="AD318" i="1" s="1"/>
  <c r="Z318" i="1" a="1"/>
  <c r="Z318" i="1" s="1"/>
  <c r="S318" i="1" a="1"/>
  <c r="S318" i="1" s="1"/>
  <c r="U318" i="1" a="1"/>
  <c r="U318" i="1" s="1"/>
  <c r="W318" i="1" a="1"/>
  <c r="W318" i="1" s="1"/>
  <c r="O318" i="1" a="1"/>
  <c r="O318" i="1" s="1"/>
  <c r="K318" i="1" a="1"/>
  <c r="K318" i="1" s="1"/>
  <c r="J318" i="1" a="1"/>
  <c r="J318" i="1" s="1"/>
  <c r="F318" i="1" a="1"/>
  <c r="F318" i="1" s="1"/>
  <c r="H318" i="1" s="1"/>
  <c r="BC318" i="1" a="1"/>
  <c r="BC318" i="1" s="1"/>
  <c r="AV318" i="1" a="1"/>
  <c r="AV318" i="1" s="1"/>
  <c r="AI318" i="1" a="1"/>
  <c r="AI318" i="1" s="1"/>
  <c r="AC318" i="1" a="1"/>
  <c r="AC318" i="1" s="1"/>
  <c r="R318" i="1" a="1"/>
  <c r="R318" i="1" s="1"/>
  <c r="V318" i="1" a="1"/>
  <c r="V318" i="1" s="1"/>
  <c r="AG318" i="1" a="1"/>
  <c r="AG318" i="1" s="1"/>
  <c r="AK318" i="1" a="1"/>
  <c r="AK318" i="1" s="1"/>
  <c r="Y318" i="1" a="1"/>
  <c r="Y318" i="1" s="1"/>
  <c r="T318" i="1" a="1"/>
  <c r="T318" i="1" s="1"/>
  <c r="N318" i="1" a="1"/>
  <c r="N318" i="1" s="1"/>
  <c r="I317" i="1"/>
  <c r="Q317" i="1" a="1"/>
  <c r="Q317" i="1" s="1"/>
  <c r="X317" i="1"/>
  <c r="AF317" i="1"/>
  <c r="B319" i="1"/>
  <c r="A318" i="1"/>
  <c r="D319" i="1" l="1"/>
  <c r="E319" i="1"/>
  <c r="C319" i="1"/>
  <c r="AZ319" i="1" s="1"/>
  <c r="AT318" i="1"/>
  <c r="L318" i="1"/>
  <c r="AX318" i="1"/>
  <c r="AO317" i="1"/>
  <c r="P318" i="1"/>
  <c r="M318" i="1" s="1"/>
  <c r="AA318" i="1"/>
  <c r="AE318" i="1"/>
  <c r="AB318" i="1" s="1"/>
  <c r="F319" i="1" a="1"/>
  <c r="F319" i="1" s="1"/>
  <c r="BB319" i="1" a="1"/>
  <c r="BB319" i="1" s="1"/>
  <c r="BD319" i="1" a="1"/>
  <c r="BD319" i="1" s="1"/>
  <c r="BF319" i="1" a="1"/>
  <c r="BF319" i="1" s="1"/>
  <c r="AV319" i="1" a="1"/>
  <c r="AV319" i="1" s="1"/>
  <c r="AR319" i="1" a="1"/>
  <c r="AR319" i="1" s="1"/>
  <c r="BC319" i="1" a="1"/>
  <c r="BC319" i="1" s="1"/>
  <c r="AS319" i="1" a="1"/>
  <c r="AS319" i="1" s="1"/>
  <c r="AT319" i="1" s="1"/>
  <c r="AH319" i="1" a="1"/>
  <c r="AH319" i="1" s="1"/>
  <c r="AJ319" i="1" a="1"/>
  <c r="AJ319" i="1" s="1"/>
  <c r="AL319" i="1" a="1"/>
  <c r="AL319" i="1" s="1"/>
  <c r="AC319" i="1" a="1"/>
  <c r="AC319" i="1" s="1"/>
  <c r="Y319" i="1" a="1"/>
  <c r="Y319" i="1" s="1"/>
  <c r="S319" i="1" a="1"/>
  <c r="S319" i="1" s="1"/>
  <c r="U319" i="1" a="1"/>
  <c r="U319" i="1" s="1"/>
  <c r="W319" i="1" a="1"/>
  <c r="W319" i="1" s="1"/>
  <c r="N319" i="1" a="1"/>
  <c r="N319" i="1" s="1"/>
  <c r="G319" i="1" a="1"/>
  <c r="G319" i="1" s="1"/>
  <c r="BA319" i="1" a="1"/>
  <c r="BA319" i="1" s="1"/>
  <c r="BE319" i="1" a="1"/>
  <c r="BE319" i="1" s="1"/>
  <c r="AW319" i="1" a="1"/>
  <c r="AW319" i="1" s="1"/>
  <c r="AX319" i="1" s="1"/>
  <c r="AG319" i="1" a="1"/>
  <c r="AG319" i="1" s="1"/>
  <c r="AK319" i="1" a="1"/>
  <c r="AK319" i="1" s="1"/>
  <c r="AD319" i="1" a="1"/>
  <c r="AD319" i="1" s="1"/>
  <c r="AE319" i="1" s="1"/>
  <c r="AB319" i="1" s="1"/>
  <c r="T319" i="1" a="1"/>
  <c r="T319" i="1" s="1"/>
  <c r="K319" i="1" a="1"/>
  <c r="K319" i="1" s="1"/>
  <c r="AI319" i="1" a="1"/>
  <c r="AI319" i="1" s="1"/>
  <c r="Z319" i="1" a="1"/>
  <c r="Z319" i="1" s="1"/>
  <c r="R319" i="1" a="1"/>
  <c r="R319" i="1" s="1"/>
  <c r="V319" i="1" a="1"/>
  <c r="V319" i="1" s="1"/>
  <c r="O319" i="1" a="1"/>
  <c r="O319" i="1" s="1"/>
  <c r="P319" i="1" s="1"/>
  <c r="M319" i="1" s="1"/>
  <c r="J319" i="1" a="1"/>
  <c r="J319" i="1" s="1"/>
  <c r="Q318" i="1" a="1"/>
  <c r="Q318" i="1" s="1"/>
  <c r="I318" i="1"/>
  <c r="X318" i="1"/>
  <c r="AF318" i="1"/>
  <c r="B320" i="1"/>
  <c r="A319" i="1"/>
  <c r="D320" i="1" l="1"/>
  <c r="E320" i="1"/>
  <c r="C320" i="1"/>
  <c r="AA319" i="1"/>
  <c r="AY318" i="1"/>
  <c r="L319" i="1"/>
  <c r="AO318" i="1"/>
  <c r="H319" i="1"/>
  <c r="AY319" i="1" s="1"/>
  <c r="G320" i="1" a="1"/>
  <c r="G320" i="1" s="1"/>
  <c r="BB320" i="1" a="1"/>
  <c r="BB320" i="1" s="1"/>
  <c r="BD320" i="1" a="1"/>
  <c r="BD320" i="1" s="1"/>
  <c r="BF320" i="1" a="1"/>
  <c r="BF320" i="1" s="1"/>
  <c r="AW320" i="1" a="1"/>
  <c r="AW320" i="1" s="1"/>
  <c r="AS320" i="1" a="1"/>
  <c r="AS320" i="1" s="1"/>
  <c r="F320" i="1" a="1"/>
  <c r="F320" i="1" s="1"/>
  <c r="H320" i="1" s="1"/>
  <c r="BA320" i="1" a="1"/>
  <c r="BA320" i="1" s="1"/>
  <c r="BE320" i="1" a="1"/>
  <c r="BE320" i="1" s="1"/>
  <c r="AV320" i="1" a="1"/>
  <c r="AV320" i="1" s="1"/>
  <c r="AH320" i="1" a="1"/>
  <c r="AH320" i="1" s="1"/>
  <c r="AJ320" i="1" a="1"/>
  <c r="AJ320" i="1" s="1"/>
  <c r="AL320" i="1" a="1"/>
  <c r="AL320" i="1" s="1"/>
  <c r="AD320" i="1" a="1"/>
  <c r="AD320" i="1" s="1"/>
  <c r="Z320" i="1" a="1"/>
  <c r="Z320" i="1" s="1"/>
  <c r="S320" i="1" a="1"/>
  <c r="S320" i="1" s="1"/>
  <c r="U320" i="1" a="1"/>
  <c r="U320" i="1" s="1"/>
  <c r="W320" i="1" a="1"/>
  <c r="W320" i="1" s="1"/>
  <c r="O320" i="1" a="1"/>
  <c r="O320" i="1" s="1"/>
  <c r="K320" i="1" a="1"/>
  <c r="K320" i="1" s="1"/>
  <c r="J320" i="1" a="1"/>
  <c r="J320" i="1" s="1"/>
  <c r="BC320" i="1" a="1"/>
  <c r="BC320" i="1" s="1"/>
  <c r="AI320" i="1" a="1"/>
  <c r="AI320" i="1" s="1"/>
  <c r="Y320" i="1" a="1"/>
  <c r="Y320" i="1" s="1"/>
  <c r="R320" i="1" a="1"/>
  <c r="R320" i="1" s="1"/>
  <c r="V320" i="1" a="1"/>
  <c r="V320" i="1" s="1"/>
  <c r="N320" i="1" a="1"/>
  <c r="N320" i="1" s="1"/>
  <c r="AR320" i="1" a="1"/>
  <c r="AR320" i="1" s="1"/>
  <c r="AG320" i="1" a="1"/>
  <c r="AG320" i="1" s="1"/>
  <c r="AK320" i="1" a="1"/>
  <c r="AK320" i="1" s="1"/>
  <c r="AC320" i="1" a="1"/>
  <c r="AC320" i="1" s="1"/>
  <c r="T320" i="1" a="1"/>
  <c r="T320" i="1" s="1"/>
  <c r="X319" i="1"/>
  <c r="AF319" i="1"/>
  <c r="I319" i="1"/>
  <c r="Q319" i="1" a="1"/>
  <c r="Q319" i="1" s="1"/>
  <c r="AO319" i="1" s="1"/>
  <c r="B321" i="1"/>
  <c r="A320" i="1"/>
  <c r="AZ320" i="1" l="1"/>
  <c r="D321" i="1"/>
  <c r="E321" i="1"/>
  <c r="C321" i="1"/>
  <c r="AZ321" i="1" s="1"/>
  <c r="AX320" i="1"/>
  <c r="AT320" i="1"/>
  <c r="L320" i="1"/>
  <c r="P320" i="1"/>
  <c r="M320" i="1" s="1"/>
  <c r="AA320" i="1"/>
  <c r="AE320" i="1"/>
  <c r="AB320" i="1" s="1"/>
  <c r="F321" i="1" a="1"/>
  <c r="F321" i="1" s="1"/>
  <c r="BB321" i="1" a="1"/>
  <c r="BB321" i="1" s="1"/>
  <c r="BD321" i="1" a="1"/>
  <c r="BD321" i="1" s="1"/>
  <c r="BF321" i="1" a="1"/>
  <c r="BF321" i="1" s="1"/>
  <c r="AV321" i="1" a="1"/>
  <c r="AV321" i="1" s="1"/>
  <c r="AR321" i="1" a="1"/>
  <c r="AR321" i="1" s="1"/>
  <c r="G321" i="1" a="1"/>
  <c r="G321" i="1" s="1"/>
  <c r="BC321" i="1" a="1"/>
  <c r="BC321" i="1" s="1"/>
  <c r="AW321" i="1" a="1"/>
  <c r="AW321" i="1" s="1"/>
  <c r="AX321" i="1" s="1"/>
  <c r="AH321" i="1" a="1"/>
  <c r="AH321" i="1" s="1"/>
  <c r="AJ321" i="1" a="1"/>
  <c r="AJ321" i="1" s="1"/>
  <c r="AL321" i="1" a="1"/>
  <c r="AL321" i="1" s="1"/>
  <c r="AC321" i="1" a="1"/>
  <c r="AC321" i="1" s="1"/>
  <c r="Y321" i="1" a="1"/>
  <c r="Y321" i="1" s="1"/>
  <c r="S321" i="1" a="1"/>
  <c r="S321" i="1" s="1"/>
  <c r="U321" i="1" a="1"/>
  <c r="U321" i="1" s="1"/>
  <c r="W321" i="1" a="1"/>
  <c r="W321" i="1" s="1"/>
  <c r="N321" i="1" a="1"/>
  <c r="N321" i="1" s="1"/>
  <c r="BA321" i="1" a="1"/>
  <c r="BA321" i="1" s="1"/>
  <c r="BE321" i="1" a="1"/>
  <c r="BE321" i="1" s="1"/>
  <c r="AS321" i="1" a="1"/>
  <c r="AS321" i="1" s="1"/>
  <c r="AG321" i="1" a="1"/>
  <c r="AG321" i="1" s="1"/>
  <c r="AK321" i="1" a="1"/>
  <c r="AK321" i="1" s="1"/>
  <c r="Z321" i="1" a="1"/>
  <c r="Z321" i="1" s="1"/>
  <c r="AA321" i="1" s="1"/>
  <c r="T321" i="1" a="1"/>
  <c r="T321" i="1" s="1"/>
  <c r="O321" i="1" a="1"/>
  <c r="O321" i="1" s="1"/>
  <c r="P321" i="1" s="1"/>
  <c r="M321" i="1" s="1"/>
  <c r="J321" i="1" a="1"/>
  <c r="J321" i="1" s="1"/>
  <c r="AI321" i="1" a="1"/>
  <c r="AI321" i="1" s="1"/>
  <c r="AD321" i="1" a="1"/>
  <c r="AD321" i="1" s="1"/>
  <c r="AE321" i="1" s="1"/>
  <c r="AB321" i="1" s="1"/>
  <c r="R321" i="1" a="1"/>
  <c r="R321" i="1" s="1"/>
  <c r="V321" i="1" a="1"/>
  <c r="V321" i="1" s="1"/>
  <c r="K321" i="1" a="1"/>
  <c r="K321" i="1" s="1"/>
  <c r="Q320" i="1" a="1"/>
  <c r="Q320" i="1" s="1"/>
  <c r="I320" i="1"/>
  <c r="X320" i="1"/>
  <c r="AF320" i="1"/>
  <c r="B322" i="1"/>
  <c r="A321" i="1"/>
  <c r="AT321" i="1" l="1"/>
  <c r="D322" i="1"/>
  <c r="E322" i="1"/>
  <c r="C322" i="1"/>
  <c r="AY320" i="1"/>
  <c r="L321" i="1"/>
  <c r="AO320" i="1"/>
  <c r="H321" i="1"/>
  <c r="G322" i="1" a="1"/>
  <c r="G322" i="1" s="1"/>
  <c r="BB322" i="1" a="1"/>
  <c r="BB322" i="1" s="1"/>
  <c r="BD322" i="1" a="1"/>
  <c r="BD322" i="1" s="1"/>
  <c r="BF322" i="1" a="1"/>
  <c r="BF322" i="1" s="1"/>
  <c r="AW322" i="1" a="1"/>
  <c r="AW322" i="1" s="1"/>
  <c r="AS322" i="1" a="1"/>
  <c r="AS322" i="1" s="1"/>
  <c r="BA322" i="1" a="1"/>
  <c r="BA322" i="1" s="1"/>
  <c r="BE322" i="1" a="1"/>
  <c r="BE322" i="1" s="1"/>
  <c r="AR322" i="1" a="1"/>
  <c r="AR322" i="1" s="1"/>
  <c r="AH322" i="1" a="1"/>
  <c r="AH322" i="1" s="1"/>
  <c r="AJ322" i="1" a="1"/>
  <c r="AJ322" i="1" s="1"/>
  <c r="AL322" i="1" a="1"/>
  <c r="AL322" i="1" s="1"/>
  <c r="AD322" i="1" a="1"/>
  <c r="AD322" i="1" s="1"/>
  <c r="Z322" i="1" a="1"/>
  <c r="Z322" i="1" s="1"/>
  <c r="S322" i="1" a="1"/>
  <c r="S322" i="1" s="1"/>
  <c r="U322" i="1" a="1"/>
  <c r="U322" i="1" s="1"/>
  <c r="W322" i="1" a="1"/>
  <c r="W322" i="1" s="1"/>
  <c r="O322" i="1" a="1"/>
  <c r="O322" i="1" s="1"/>
  <c r="K322" i="1" a="1"/>
  <c r="K322" i="1" s="1"/>
  <c r="J322" i="1" a="1"/>
  <c r="J322" i="1" s="1"/>
  <c r="F322" i="1" a="1"/>
  <c r="F322" i="1" s="1"/>
  <c r="H322" i="1" s="1"/>
  <c r="BC322" i="1" a="1"/>
  <c r="BC322" i="1" s="1"/>
  <c r="AV322" i="1" a="1"/>
  <c r="AV322" i="1" s="1"/>
  <c r="AI322" i="1" a="1"/>
  <c r="AI322" i="1" s="1"/>
  <c r="AC322" i="1" a="1"/>
  <c r="AC322" i="1" s="1"/>
  <c r="R322" i="1" a="1"/>
  <c r="R322" i="1" s="1"/>
  <c r="V322" i="1" a="1"/>
  <c r="V322" i="1" s="1"/>
  <c r="AG322" i="1" a="1"/>
  <c r="AG322" i="1" s="1"/>
  <c r="AK322" i="1" a="1"/>
  <c r="AK322" i="1" s="1"/>
  <c r="Y322" i="1" a="1"/>
  <c r="Y322" i="1" s="1"/>
  <c r="T322" i="1" a="1"/>
  <c r="T322" i="1" s="1"/>
  <c r="N322" i="1" a="1"/>
  <c r="N322" i="1" s="1"/>
  <c r="I321" i="1"/>
  <c r="Q321" i="1" a="1"/>
  <c r="Q321" i="1" s="1"/>
  <c r="X321" i="1"/>
  <c r="AF321" i="1"/>
  <c r="B323" i="1"/>
  <c r="A322" i="1"/>
  <c r="AZ322" i="1" l="1"/>
  <c r="AY321" i="1"/>
  <c r="D323" i="1"/>
  <c r="E323" i="1"/>
  <c r="C323" i="1"/>
  <c r="AZ323" i="1" s="1"/>
  <c r="AT322" i="1"/>
  <c r="AX322" i="1"/>
  <c r="P322" i="1"/>
  <c r="M322" i="1" s="1"/>
  <c r="AA322" i="1"/>
  <c r="AO321" i="1"/>
  <c r="L322" i="1"/>
  <c r="AE322" i="1"/>
  <c r="AB322" i="1" s="1"/>
  <c r="F323" i="1" a="1"/>
  <c r="F323" i="1" s="1"/>
  <c r="BB323" i="1" a="1"/>
  <c r="BB323" i="1" s="1"/>
  <c r="BD323" i="1" a="1"/>
  <c r="BD323" i="1" s="1"/>
  <c r="BF323" i="1" a="1"/>
  <c r="BF323" i="1" s="1"/>
  <c r="AV323" i="1" a="1"/>
  <c r="AV323" i="1" s="1"/>
  <c r="AR323" i="1" a="1"/>
  <c r="AR323" i="1" s="1"/>
  <c r="BC323" i="1" a="1"/>
  <c r="BC323" i="1" s="1"/>
  <c r="AS323" i="1" a="1"/>
  <c r="AS323" i="1" s="1"/>
  <c r="AT323" i="1" s="1"/>
  <c r="AH323" i="1" a="1"/>
  <c r="AH323" i="1" s="1"/>
  <c r="AJ323" i="1" a="1"/>
  <c r="AJ323" i="1" s="1"/>
  <c r="AL323" i="1" a="1"/>
  <c r="AL323" i="1" s="1"/>
  <c r="AC323" i="1" a="1"/>
  <c r="AC323" i="1" s="1"/>
  <c r="Y323" i="1" a="1"/>
  <c r="Y323" i="1" s="1"/>
  <c r="S323" i="1" a="1"/>
  <c r="S323" i="1" s="1"/>
  <c r="U323" i="1" a="1"/>
  <c r="U323" i="1" s="1"/>
  <c r="W323" i="1" a="1"/>
  <c r="W323" i="1" s="1"/>
  <c r="N323" i="1" a="1"/>
  <c r="N323" i="1" s="1"/>
  <c r="G323" i="1" a="1"/>
  <c r="G323" i="1" s="1"/>
  <c r="BA323" i="1" a="1"/>
  <c r="BA323" i="1" s="1"/>
  <c r="BE323" i="1" a="1"/>
  <c r="BE323" i="1" s="1"/>
  <c r="AW323" i="1" a="1"/>
  <c r="AW323" i="1" s="1"/>
  <c r="AX323" i="1" s="1"/>
  <c r="AG323" i="1" a="1"/>
  <c r="AG323" i="1" s="1"/>
  <c r="AK323" i="1" a="1"/>
  <c r="AK323" i="1" s="1"/>
  <c r="AD323" i="1" a="1"/>
  <c r="AD323" i="1" s="1"/>
  <c r="AE323" i="1" s="1"/>
  <c r="AB323" i="1" s="1"/>
  <c r="T323" i="1" a="1"/>
  <c r="T323" i="1" s="1"/>
  <c r="K323" i="1" a="1"/>
  <c r="K323" i="1" s="1"/>
  <c r="AI323" i="1" a="1"/>
  <c r="AI323" i="1" s="1"/>
  <c r="Z323" i="1" a="1"/>
  <c r="Z323" i="1" s="1"/>
  <c r="R323" i="1" a="1"/>
  <c r="R323" i="1" s="1"/>
  <c r="V323" i="1" a="1"/>
  <c r="V323" i="1" s="1"/>
  <c r="O323" i="1" a="1"/>
  <c r="O323" i="1" s="1"/>
  <c r="P323" i="1" s="1"/>
  <c r="M323" i="1" s="1"/>
  <c r="J323" i="1" a="1"/>
  <c r="J323" i="1" s="1"/>
  <c r="Q322" i="1" a="1"/>
  <c r="Q322" i="1" s="1"/>
  <c r="I322" i="1"/>
  <c r="X322" i="1"/>
  <c r="AF322" i="1"/>
  <c r="B324" i="1"/>
  <c r="A323" i="1"/>
  <c r="AA323" i="1" l="1"/>
  <c r="D324" i="1"/>
  <c r="E324" i="1"/>
  <c r="C324" i="1"/>
  <c r="AZ324" i="1" s="1"/>
  <c r="AO322" i="1"/>
  <c r="AY322" i="1"/>
  <c r="H323" i="1"/>
  <c r="AY323" i="1" s="1"/>
  <c r="L323" i="1"/>
  <c r="G324" i="1" a="1"/>
  <c r="G324" i="1" s="1"/>
  <c r="BB324" i="1" a="1"/>
  <c r="BB324" i="1" s="1"/>
  <c r="BD324" i="1" a="1"/>
  <c r="BD324" i="1" s="1"/>
  <c r="BF324" i="1" a="1"/>
  <c r="BF324" i="1" s="1"/>
  <c r="AW324" i="1" a="1"/>
  <c r="AW324" i="1" s="1"/>
  <c r="AS324" i="1" a="1"/>
  <c r="AS324" i="1" s="1"/>
  <c r="F324" i="1" a="1"/>
  <c r="F324" i="1" s="1"/>
  <c r="H324" i="1" s="1"/>
  <c r="BA324" i="1" a="1"/>
  <c r="BA324" i="1" s="1"/>
  <c r="BE324" i="1" a="1"/>
  <c r="BE324" i="1" s="1"/>
  <c r="AV324" i="1" a="1"/>
  <c r="AV324" i="1" s="1"/>
  <c r="AH324" i="1" a="1"/>
  <c r="AH324" i="1" s="1"/>
  <c r="AJ324" i="1" a="1"/>
  <c r="AJ324" i="1" s="1"/>
  <c r="AL324" i="1" a="1"/>
  <c r="AL324" i="1" s="1"/>
  <c r="AD324" i="1" a="1"/>
  <c r="AD324" i="1" s="1"/>
  <c r="Z324" i="1" a="1"/>
  <c r="Z324" i="1" s="1"/>
  <c r="S324" i="1" a="1"/>
  <c r="S324" i="1" s="1"/>
  <c r="U324" i="1" a="1"/>
  <c r="U324" i="1" s="1"/>
  <c r="W324" i="1" a="1"/>
  <c r="W324" i="1" s="1"/>
  <c r="O324" i="1" a="1"/>
  <c r="O324" i="1" s="1"/>
  <c r="K324" i="1" a="1"/>
  <c r="K324" i="1" s="1"/>
  <c r="J324" i="1" a="1"/>
  <c r="J324" i="1" s="1"/>
  <c r="BC324" i="1" a="1"/>
  <c r="BC324" i="1" s="1"/>
  <c r="AR324" i="1" a="1"/>
  <c r="AR324" i="1" s="1"/>
  <c r="AI324" i="1" a="1"/>
  <c r="AI324" i="1" s="1"/>
  <c r="Y324" i="1" a="1"/>
  <c r="Y324" i="1" s="1"/>
  <c r="R324" i="1" a="1"/>
  <c r="R324" i="1" s="1"/>
  <c r="V324" i="1" a="1"/>
  <c r="V324" i="1" s="1"/>
  <c r="N324" i="1" a="1"/>
  <c r="N324" i="1" s="1"/>
  <c r="AG324" i="1" a="1"/>
  <c r="AG324" i="1" s="1"/>
  <c r="AK324" i="1" a="1"/>
  <c r="AK324" i="1" s="1"/>
  <c r="AC324" i="1" a="1"/>
  <c r="AC324" i="1" s="1"/>
  <c r="T324" i="1" a="1"/>
  <c r="T324" i="1" s="1"/>
  <c r="X323" i="1"/>
  <c r="AF323" i="1"/>
  <c r="I323" i="1"/>
  <c r="Q323" i="1" a="1"/>
  <c r="Q323" i="1" s="1"/>
  <c r="AO323" i="1" s="1"/>
  <c r="B325" i="1"/>
  <c r="A324" i="1"/>
  <c r="D325" i="1" l="1"/>
  <c r="E325" i="1"/>
  <c r="C325" i="1"/>
  <c r="AX324" i="1"/>
  <c r="AT324" i="1"/>
  <c r="L324" i="1"/>
  <c r="AE324" i="1"/>
  <c r="AB324" i="1" s="1"/>
  <c r="P324" i="1"/>
  <c r="M324" i="1" s="1"/>
  <c r="AA324" i="1"/>
  <c r="F325" i="1" a="1"/>
  <c r="F325" i="1" s="1"/>
  <c r="BB325" i="1" a="1"/>
  <c r="BB325" i="1" s="1"/>
  <c r="BD325" i="1" a="1"/>
  <c r="BD325" i="1" s="1"/>
  <c r="BF325" i="1" a="1"/>
  <c r="BF325" i="1" s="1"/>
  <c r="AV325" i="1" a="1"/>
  <c r="AV325" i="1" s="1"/>
  <c r="AR325" i="1" a="1"/>
  <c r="AR325" i="1" s="1"/>
  <c r="G325" i="1" a="1"/>
  <c r="G325" i="1" s="1"/>
  <c r="BC325" i="1" a="1"/>
  <c r="BC325" i="1" s="1"/>
  <c r="AW325" i="1" a="1"/>
  <c r="AW325" i="1" s="1"/>
  <c r="AX325" i="1" s="1"/>
  <c r="AH325" i="1" a="1"/>
  <c r="AH325" i="1" s="1"/>
  <c r="AJ325" i="1" a="1"/>
  <c r="AJ325" i="1" s="1"/>
  <c r="AL325" i="1" a="1"/>
  <c r="AL325" i="1" s="1"/>
  <c r="AC325" i="1" a="1"/>
  <c r="AC325" i="1" s="1"/>
  <c r="Y325" i="1" a="1"/>
  <c r="Y325" i="1" s="1"/>
  <c r="S325" i="1" a="1"/>
  <c r="S325" i="1" s="1"/>
  <c r="U325" i="1" a="1"/>
  <c r="U325" i="1" s="1"/>
  <c r="W325" i="1" a="1"/>
  <c r="W325" i="1" s="1"/>
  <c r="N325" i="1" a="1"/>
  <c r="N325" i="1" s="1"/>
  <c r="BA325" i="1" a="1"/>
  <c r="BA325" i="1" s="1"/>
  <c r="BE325" i="1" a="1"/>
  <c r="BE325" i="1" s="1"/>
  <c r="AG325" i="1" a="1"/>
  <c r="AG325" i="1" s="1"/>
  <c r="AK325" i="1" a="1"/>
  <c r="AK325" i="1" s="1"/>
  <c r="Z325" i="1" a="1"/>
  <c r="Z325" i="1" s="1"/>
  <c r="T325" i="1" a="1"/>
  <c r="T325" i="1" s="1"/>
  <c r="O325" i="1" a="1"/>
  <c r="O325" i="1" s="1"/>
  <c r="J325" i="1" a="1"/>
  <c r="J325" i="1" s="1"/>
  <c r="AS325" i="1" a="1"/>
  <c r="AS325" i="1" s="1"/>
  <c r="AT325" i="1" s="1"/>
  <c r="AI325" i="1" a="1"/>
  <c r="AI325" i="1" s="1"/>
  <c r="AD325" i="1" a="1"/>
  <c r="AD325" i="1" s="1"/>
  <c r="AE325" i="1" s="1"/>
  <c r="AB325" i="1" s="1"/>
  <c r="R325" i="1" a="1"/>
  <c r="R325" i="1" s="1"/>
  <c r="V325" i="1" a="1"/>
  <c r="V325" i="1" s="1"/>
  <c r="K325" i="1" a="1"/>
  <c r="K325" i="1" s="1"/>
  <c r="Q324" i="1" a="1"/>
  <c r="Q324" i="1" s="1"/>
  <c r="I324" i="1"/>
  <c r="X324" i="1"/>
  <c r="AF324" i="1"/>
  <c r="B326" i="1"/>
  <c r="A325" i="1"/>
  <c r="AZ325" i="1" l="1"/>
  <c r="L325" i="1"/>
  <c r="P325" i="1"/>
  <c r="M325" i="1" s="1"/>
  <c r="AA325" i="1"/>
  <c r="AY324" i="1"/>
  <c r="D326" i="1"/>
  <c r="E326" i="1"/>
  <c r="C326" i="1"/>
  <c r="AO324" i="1"/>
  <c r="H325" i="1"/>
  <c r="AY325" i="1" s="1"/>
  <c r="G326" i="1" a="1"/>
  <c r="G326" i="1" s="1"/>
  <c r="BB326" i="1" a="1"/>
  <c r="BB326" i="1" s="1"/>
  <c r="BD326" i="1" a="1"/>
  <c r="BD326" i="1" s="1"/>
  <c r="BF326" i="1" a="1"/>
  <c r="BF326" i="1" s="1"/>
  <c r="AW326" i="1" a="1"/>
  <c r="AW326" i="1" s="1"/>
  <c r="AS326" i="1" a="1"/>
  <c r="AS326" i="1" s="1"/>
  <c r="BA326" i="1" a="1"/>
  <c r="BA326" i="1" s="1"/>
  <c r="BE326" i="1" a="1"/>
  <c r="BE326" i="1" s="1"/>
  <c r="AR326" i="1" a="1"/>
  <c r="AR326" i="1" s="1"/>
  <c r="AH326" i="1" a="1"/>
  <c r="AH326" i="1" s="1"/>
  <c r="AJ326" i="1" a="1"/>
  <c r="AJ326" i="1" s="1"/>
  <c r="AL326" i="1" a="1"/>
  <c r="AL326" i="1" s="1"/>
  <c r="AD326" i="1" a="1"/>
  <c r="AD326" i="1" s="1"/>
  <c r="Z326" i="1" a="1"/>
  <c r="Z326" i="1" s="1"/>
  <c r="S326" i="1" a="1"/>
  <c r="S326" i="1" s="1"/>
  <c r="U326" i="1" a="1"/>
  <c r="U326" i="1" s="1"/>
  <c r="W326" i="1" a="1"/>
  <c r="W326" i="1" s="1"/>
  <c r="O326" i="1" a="1"/>
  <c r="O326" i="1" s="1"/>
  <c r="K326" i="1" a="1"/>
  <c r="K326" i="1" s="1"/>
  <c r="J326" i="1" a="1"/>
  <c r="J326" i="1" s="1"/>
  <c r="F326" i="1" a="1"/>
  <c r="F326" i="1" s="1"/>
  <c r="H326" i="1" s="1"/>
  <c r="BC326" i="1" a="1"/>
  <c r="BC326" i="1" s="1"/>
  <c r="AV326" i="1" a="1"/>
  <c r="AV326" i="1" s="1"/>
  <c r="AI326" i="1" a="1"/>
  <c r="AI326" i="1" s="1"/>
  <c r="AC326" i="1" a="1"/>
  <c r="AC326" i="1" s="1"/>
  <c r="R326" i="1" a="1"/>
  <c r="R326" i="1" s="1"/>
  <c r="V326" i="1" a="1"/>
  <c r="V326" i="1" s="1"/>
  <c r="AG326" i="1" a="1"/>
  <c r="AG326" i="1" s="1"/>
  <c r="AK326" i="1" a="1"/>
  <c r="AK326" i="1" s="1"/>
  <c r="Y326" i="1" a="1"/>
  <c r="Y326" i="1" s="1"/>
  <c r="T326" i="1" a="1"/>
  <c r="T326" i="1" s="1"/>
  <c r="N326" i="1" a="1"/>
  <c r="N326" i="1" s="1"/>
  <c r="I325" i="1"/>
  <c r="Q325" i="1" a="1"/>
  <c r="Q325" i="1" s="1"/>
  <c r="X325" i="1"/>
  <c r="AF325" i="1"/>
  <c r="B327" i="1"/>
  <c r="A326" i="1"/>
  <c r="AZ326" i="1" l="1"/>
  <c r="D327" i="1"/>
  <c r="E327" i="1"/>
  <c r="C327" i="1"/>
  <c r="AZ327" i="1" s="1"/>
  <c r="AX326" i="1"/>
  <c r="AT326" i="1"/>
  <c r="AO325" i="1"/>
  <c r="L326" i="1"/>
  <c r="AE326" i="1"/>
  <c r="AB326" i="1" s="1"/>
  <c r="P326" i="1"/>
  <c r="M326" i="1" s="1"/>
  <c r="AA326" i="1"/>
  <c r="F327" i="1" a="1"/>
  <c r="F327" i="1" s="1"/>
  <c r="BB327" i="1" a="1"/>
  <c r="BB327" i="1" s="1"/>
  <c r="BD327" i="1" a="1"/>
  <c r="BD327" i="1" s="1"/>
  <c r="BF327" i="1" a="1"/>
  <c r="BF327" i="1" s="1"/>
  <c r="AV327" i="1" a="1"/>
  <c r="AV327" i="1" s="1"/>
  <c r="AR327" i="1" a="1"/>
  <c r="AR327" i="1" s="1"/>
  <c r="BC327" i="1" a="1"/>
  <c r="BC327" i="1" s="1"/>
  <c r="AS327" i="1" a="1"/>
  <c r="AS327" i="1" s="1"/>
  <c r="AT327" i="1" s="1"/>
  <c r="AH327" i="1" a="1"/>
  <c r="AH327" i="1" s="1"/>
  <c r="AJ327" i="1" a="1"/>
  <c r="AJ327" i="1" s="1"/>
  <c r="AL327" i="1" a="1"/>
  <c r="AL327" i="1" s="1"/>
  <c r="AC327" i="1" a="1"/>
  <c r="AC327" i="1" s="1"/>
  <c r="Y327" i="1" a="1"/>
  <c r="Y327" i="1" s="1"/>
  <c r="S327" i="1" a="1"/>
  <c r="S327" i="1" s="1"/>
  <c r="U327" i="1" a="1"/>
  <c r="U327" i="1" s="1"/>
  <c r="W327" i="1" a="1"/>
  <c r="W327" i="1" s="1"/>
  <c r="N327" i="1" a="1"/>
  <c r="N327" i="1" s="1"/>
  <c r="G327" i="1" a="1"/>
  <c r="G327" i="1" s="1"/>
  <c r="BA327" i="1" a="1"/>
  <c r="BA327" i="1" s="1"/>
  <c r="BE327" i="1" a="1"/>
  <c r="BE327" i="1" s="1"/>
  <c r="AW327" i="1" a="1"/>
  <c r="AW327" i="1" s="1"/>
  <c r="AX327" i="1" s="1"/>
  <c r="AG327" i="1" a="1"/>
  <c r="AG327" i="1" s="1"/>
  <c r="AK327" i="1" a="1"/>
  <c r="AK327" i="1" s="1"/>
  <c r="AD327" i="1" a="1"/>
  <c r="AD327" i="1" s="1"/>
  <c r="AE327" i="1" s="1"/>
  <c r="AB327" i="1" s="1"/>
  <c r="T327" i="1" a="1"/>
  <c r="T327" i="1" s="1"/>
  <c r="K327" i="1" a="1"/>
  <c r="K327" i="1" s="1"/>
  <c r="AI327" i="1" a="1"/>
  <c r="AI327" i="1" s="1"/>
  <c r="Z327" i="1" a="1"/>
  <c r="Z327" i="1" s="1"/>
  <c r="R327" i="1" a="1"/>
  <c r="R327" i="1" s="1"/>
  <c r="V327" i="1" a="1"/>
  <c r="V327" i="1" s="1"/>
  <c r="O327" i="1" a="1"/>
  <c r="O327" i="1" s="1"/>
  <c r="P327" i="1" s="1"/>
  <c r="M327" i="1" s="1"/>
  <c r="J327" i="1" a="1"/>
  <c r="J327" i="1" s="1"/>
  <c r="Q326" i="1" a="1"/>
  <c r="Q326" i="1" s="1"/>
  <c r="I326" i="1"/>
  <c r="X326" i="1"/>
  <c r="AF326" i="1"/>
  <c r="B328" i="1"/>
  <c r="A327" i="1"/>
  <c r="AA327" i="1" l="1"/>
  <c r="D328" i="1"/>
  <c r="E328" i="1"/>
  <c r="C328" i="1"/>
  <c r="AZ328" i="1" s="1"/>
  <c r="AY326" i="1"/>
  <c r="AO326" i="1"/>
  <c r="H327" i="1"/>
  <c r="AY327" i="1" s="1"/>
  <c r="L327" i="1"/>
  <c r="G328" i="1" a="1"/>
  <c r="G328" i="1" s="1"/>
  <c r="BB328" i="1" a="1"/>
  <c r="BB328" i="1" s="1"/>
  <c r="BD328" i="1" a="1"/>
  <c r="BD328" i="1" s="1"/>
  <c r="BF328" i="1" a="1"/>
  <c r="BF328" i="1" s="1"/>
  <c r="AW328" i="1" a="1"/>
  <c r="AW328" i="1" s="1"/>
  <c r="AS328" i="1" a="1"/>
  <c r="AS328" i="1" s="1"/>
  <c r="F328" i="1" a="1"/>
  <c r="F328" i="1" s="1"/>
  <c r="H328" i="1" s="1"/>
  <c r="BA328" i="1" a="1"/>
  <c r="BA328" i="1" s="1"/>
  <c r="BE328" i="1" a="1"/>
  <c r="BE328" i="1" s="1"/>
  <c r="AV328" i="1" a="1"/>
  <c r="AV328" i="1" s="1"/>
  <c r="AH328" i="1" a="1"/>
  <c r="AH328" i="1" s="1"/>
  <c r="AJ328" i="1" a="1"/>
  <c r="AJ328" i="1" s="1"/>
  <c r="AL328" i="1" a="1"/>
  <c r="AL328" i="1" s="1"/>
  <c r="AD328" i="1" a="1"/>
  <c r="AD328" i="1" s="1"/>
  <c r="Z328" i="1" a="1"/>
  <c r="Z328" i="1" s="1"/>
  <c r="S328" i="1" a="1"/>
  <c r="S328" i="1" s="1"/>
  <c r="U328" i="1" a="1"/>
  <c r="U328" i="1" s="1"/>
  <c r="W328" i="1" a="1"/>
  <c r="W328" i="1" s="1"/>
  <c r="O328" i="1" a="1"/>
  <c r="O328" i="1" s="1"/>
  <c r="K328" i="1" a="1"/>
  <c r="K328" i="1" s="1"/>
  <c r="J328" i="1" a="1"/>
  <c r="J328" i="1" s="1"/>
  <c r="BC328" i="1" a="1"/>
  <c r="BC328" i="1" s="1"/>
  <c r="AI328" i="1" a="1"/>
  <c r="AI328" i="1" s="1"/>
  <c r="Y328" i="1" a="1"/>
  <c r="Y328" i="1" s="1"/>
  <c r="R328" i="1" a="1"/>
  <c r="R328" i="1" s="1"/>
  <c r="V328" i="1" a="1"/>
  <c r="V328" i="1" s="1"/>
  <c r="N328" i="1" a="1"/>
  <c r="N328" i="1" s="1"/>
  <c r="AR328" i="1" a="1"/>
  <c r="AR328" i="1" s="1"/>
  <c r="AG328" i="1" a="1"/>
  <c r="AG328" i="1" s="1"/>
  <c r="AK328" i="1" a="1"/>
  <c r="AK328" i="1" s="1"/>
  <c r="AC328" i="1" a="1"/>
  <c r="AC328" i="1" s="1"/>
  <c r="T328" i="1" a="1"/>
  <c r="T328" i="1" s="1"/>
  <c r="X327" i="1"/>
  <c r="AF327" i="1"/>
  <c r="I327" i="1"/>
  <c r="Q327" i="1" a="1"/>
  <c r="Q327" i="1" s="1"/>
  <c r="AO327" i="1" s="1"/>
  <c r="B329" i="1"/>
  <c r="A328" i="1"/>
  <c r="D329" i="1" l="1"/>
  <c r="E329" i="1"/>
  <c r="C329" i="1"/>
  <c r="AZ329" i="1" s="1"/>
  <c r="AT328" i="1"/>
  <c r="AX328" i="1"/>
  <c r="P328" i="1"/>
  <c r="M328" i="1" s="1"/>
  <c r="AA328" i="1"/>
  <c r="L328" i="1"/>
  <c r="AE328" i="1"/>
  <c r="AB328" i="1" s="1"/>
  <c r="F329" i="1" a="1"/>
  <c r="F329" i="1" s="1"/>
  <c r="BB329" i="1" a="1"/>
  <c r="BB329" i="1" s="1"/>
  <c r="BD329" i="1" a="1"/>
  <c r="BD329" i="1" s="1"/>
  <c r="BF329" i="1" a="1"/>
  <c r="BF329" i="1" s="1"/>
  <c r="AV329" i="1" a="1"/>
  <c r="AV329" i="1" s="1"/>
  <c r="AR329" i="1" a="1"/>
  <c r="AR329" i="1" s="1"/>
  <c r="G329" i="1" a="1"/>
  <c r="G329" i="1" s="1"/>
  <c r="BC329" i="1" a="1"/>
  <c r="BC329" i="1" s="1"/>
  <c r="AW329" i="1" a="1"/>
  <c r="AW329" i="1" s="1"/>
  <c r="AH329" i="1" a="1"/>
  <c r="AH329" i="1" s="1"/>
  <c r="AJ329" i="1" a="1"/>
  <c r="AJ329" i="1" s="1"/>
  <c r="AL329" i="1" a="1"/>
  <c r="AL329" i="1" s="1"/>
  <c r="AC329" i="1" a="1"/>
  <c r="AC329" i="1" s="1"/>
  <c r="Y329" i="1" a="1"/>
  <c r="Y329" i="1" s="1"/>
  <c r="S329" i="1" a="1"/>
  <c r="S329" i="1" s="1"/>
  <c r="U329" i="1" a="1"/>
  <c r="U329" i="1" s="1"/>
  <c r="W329" i="1" a="1"/>
  <c r="W329" i="1" s="1"/>
  <c r="N329" i="1" a="1"/>
  <c r="N329" i="1" s="1"/>
  <c r="BA329" i="1" a="1"/>
  <c r="BA329" i="1" s="1"/>
  <c r="BE329" i="1" a="1"/>
  <c r="BE329" i="1" s="1"/>
  <c r="AS329" i="1" a="1"/>
  <c r="AS329" i="1" s="1"/>
  <c r="AG329" i="1" a="1"/>
  <c r="AG329" i="1" s="1"/>
  <c r="AK329" i="1" a="1"/>
  <c r="AK329" i="1" s="1"/>
  <c r="Z329" i="1" a="1"/>
  <c r="Z329" i="1" s="1"/>
  <c r="AA329" i="1" s="1"/>
  <c r="T329" i="1" a="1"/>
  <c r="T329" i="1" s="1"/>
  <c r="O329" i="1" a="1"/>
  <c r="O329" i="1" s="1"/>
  <c r="P329" i="1" s="1"/>
  <c r="M329" i="1" s="1"/>
  <c r="J329" i="1" a="1"/>
  <c r="J329" i="1" s="1"/>
  <c r="AI329" i="1" a="1"/>
  <c r="AI329" i="1" s="1"/>
  <c r="AD329" i="1" a="1"/>
  <c r="AD329" i="1" s="1"/>
  <c r="AE329" i="1" s="1"/>
  <c r="AB329" i="1" s="1"/>
  <c r="R329" i="1" a="1"/>
  <c r="R329" i="1" s="1"/>
  <c r="V329" i="1" a="1"/>
  <c r="V329" i="1" s="1"/>
  <c r="K329" i="1" a="1"/>
  <c r="K329" i="1" s="1"/>
  <c r="Q328" i="1" a="1"/>
  <c r="Q328" i="1" s="1"/>
  <c r="I328" i="1"/>
  <c r="X328" i="1"/>
  <c r="AF328" i="1"/>
  <c r="B330" i="1"/>
  <c r="A329" i="1"/>
  <c r="AX329" i="1" l="1"/>
  <c r="AT329" i="1"/>
  <c r="D330" i="1"/>
  <c r="E330" i="1"/>
  <c r="C330" i="1"/>
  <c r="AZ330" i="1" s="1"/>
  <c r="L329" i="1"/>
  <c r="AY328" i="1"/>
  <c r="AO328" i="1"/>
  <c r="H329" i="1"/>
  <c r="G330" i="1" a="1"/>
  <c r="G330" i="1" s="1"/>
  <c r="BB330" i="1" a="1"/>
  <c r="BB330" i="1" s="1"/>
  <c r="BD330" i="1" a="1"/>
  <c r="BD330" i="1" s="1"/>
  <c r="BF330" i="1" a="1"/>
  <c r="BF330" i="1" s="1"/>
  <c r="AW330" i="1" a="1"/>
  <c r="AW330" i="1" s="1"/>
  <c r="AS330" i="1" a="1"/>
  <c r="AS330" i="1" s="1"/>
  <c r="BA330" i="1" a="1"/>
  <c r="BA330" i="1" s="1"/>
  <c r="BE330" i="1" a="1"/>
  <c r="BE330" i="1" s="1"/>
  <c r="AR330" i="1" a="1"/>
  <c r="AR330" i="1" s="1"/>
  <c r="AH330" i="1" a="1"/>
  <c r="AH330" i="1" s="1"/>
  <c r="AJ330" i="1" a="1"/>
  <c r="AJ330" i="1" s="1"/>
  <c r="AL330" i="1" a="1"/>
  <c r="AL330" i="1" s="1"/>
  <c r="AD330" i="1" a="1"/>
  <c r="AD330" i="1" s="1"/>
  <c r="Z330" i="1" a="1"/>
  <c r="Z330" i="1" s="1"/>
  <c r="S330" i="1" a="1"/>
  <c r="S330" i="1" s="1"/>
  <c r="U330" i="1" a="1"/>
  <c r="U330" i="1" s="1"/>
  <c r="W330" i="1" a="1"/>
  <c r="W330" i="1" s="1"/>
  <c r="O330" i="1" a="1"/>
  <c r="O330" i="1" s="1"/>
  <c r="K330" i="1" a="1"/>
  <c r="K330" i="1" s="1"/>
  <c r="J330" i="1" a="1"/>
  <c r="J330" i="1" s="1"/>
  <c r="F330" i="1" a="1"/>
  <c r="F330" i="1" s="1"/>
  <c r="H330" i="1" s="1"/>
  <c r="BC330" i="1" a="1"/>
  <c r="BC330" i="1" s="1"/>
  <c r="AV330" i="1" a="1"/>
  <c r="AV330" i="1" s="1"/>
  <c r="AI330" i="1" a="1"/>
  <c r="AI330" i="1" s="1"/>
  <c r="AC330" i="1" a="1"/>
  <c r="AC330" i="1" s="1"/>
  <c r="R330" i="1" a="1"/>
  <c r="R330" i="1" s="1"/>
  <c r="V330" i="1" a="1"/>
  <c r="V330" i="1" s="1"/>
  <c r="AG330" i="1" a="1"/>
  <c r="AG330" i="1" s="1"/>
  <c r="AK330" i="1" a="1"/>
  <c r="AK330" i="1" s="1"/>
  <c r="Y330" i="1" a="1"/>
  <c r="Y330" i="1" s="1"/>
  <c r="T330" i="1" a="1"/>
  <c r="T330" i="1" s="1"/>
  <c r="N330" i="1" a="1"/>
  <c r="N330" i="1" s="1"/>
  <c r="I329" i="1"/>
  <c r="Q329" i="1" a="1"/>
  <c r="Q329" i="1" s="1"/>
  <c r="X329" i="1"/>
  <c r="AF329" i="1"/>
  <c r="B331" i="1"/>
  <c r="A330" i="1"/>
  <c r="AY329" i="1" l="1"/>
  <c r="D331" i="1"/>
  <c r="E331" i="1"/>
  <c r="C331" i="1"/>
  <c r="AZ331" i="1" s="1"/>
  <c r="AT330" i="1"/>
  <c r="AX330" i="1"/>
  <c r="AO329" i="1"/>
  <c r="P330" i="1"/>
  <c r="M330" i="1" s="1"/>
  <c r="AA330" i="1"/>
  <c r="L330" i="1"/>
  <c r="AE330" i="1"/>
  <c r="AB330" i="1" s="1"/>
  <c r="F331" i="1" a="1"/>
  <c r="F331" i="1" s="1"/>
  <c r="BB331" i="1" a="1"/>
  <c r="BB331" i="1" s="1"/>
  <c r="BD331" i="1" a="1"/>
  <c r="BD331" i="1" s="1"/>
  <c r="BF331" i="1" a="1"/>
  <c r="BF331" i="1" s="1"/>
  <c r="AV331" i="1" a="1"/>
  <c r="AV331" i="1" s="1"/>
  <c r="AR331" i="1" a="1"/>
  <c r="AR331" i="1" s="1"/>
  <c r="BC331" i="1" a="1"/>
  <c r="BC331" i="1" s="1"/>
  <c r="AS331" i="1" a="1"/>
  <c r="AS331" i="1" s="1"/>
  <c r="AT331" i="1" s="1"/>
  <c r="AH331" i="1" a="1"/>
  <c r="AH331" i="1" s="1"/>
  <c r="AJ331" i="1" a="1"/>
  <c r="AJ331" i="1" s="1"/>
  <c r="AL331" i="1" a="1"/>
  <c r="AL331" i="1" s="1"/>
  <c r="AC331" i="1" a="1"/>
  <c r="AC331" i="1" s="1"/>
  <c r="Y331" i="1" a="1"/>
  <c r="Y331" i="1" s="1"/>
  <c r="S331" i="1" a="1"/>
  <c r="S331" i="1" s="1"/>
  <c r="U331" i="1" a="1"/>
  <c r="U331" i="1" s="1"/>
  <c r="W331" i="1" a="1"/>
  <c r="W331" i="1" s="1"/>
  <c r="N331" i="1" a="1"/>
  <c r="N331" i="1" s="1"/>
  <c r="G331" i="1" a="1"/>
  <c r="G331" i="1" s="1"/>
  <c r="BA331" i="1" a="1"/>
  <c r="BA331" i="1" s="1"/>
  <c r="BE331" i="1" a="1"/>
  <c r="BE331" i="1" s="1"/>
  <c r="AW331" i="1" a="1"/>
  <c r="AW331" i="1" s="1"/>
  <c r="AX331" i="1" s="1"/>
  <c r="AG331" i="1" a="1"/>
  <c r="AG331" i="1" s="1"/>
  <c r="AK331" i="1" a="1"/>
  <c r="AK331" i="1" s="1"/>
  <c r="AD331" i="1" a="1"/>
  <c r="AD331" i="1" s="1"/>
  <c r="AE331" i="1" s="1"/>
  <c r="AB331" i="1" s="1"/>
  <c r="T331" i="1" a="1"/>
  <c r="T331" i="1" s="1"/>
  <c r="K331" i="1" a="1"/>
  <c r="K331" i="1" s="1"/>
  <c r="AI331" i="1" a="1"/>
  <c r="AI331" i="1" s="1"/>
  <c r="Z331" i="1" a="1"/>
  <c r="Z331" i="1" s="1"/>
  <c r="R331" i="1" a="1"/>
  <c r="R331" i="1" s="1"/>
  <c r="V331" i="1" a="1"/>
  <c r="V331" i="1" s="1"/>
  <c r="O331" i="1" a="1"/>
  <c r="O331" i="1" s="1"/>
  <c r="P331" i="1" s="1"/>
  <c r="M331" i="1" s="1"/>
  <c r="J331" i="1" a="1"/>
  <c r="J331" i="1" s="1"/>
  <c r="Q330" i="1" a="1"/>
  <c r="Q330" i="1" s="1"/>
  <c r="I330" i="1"/>
  <c r="X330" i="1"/>
  <c r="AF330" i="1"/>
  <c r="A331" i="1"/>
  <c r="B332" i="1"/>
  <c r="AA331" i="1" l="1"/>
  <c r="D332" i="1"/>
  <c r="E332" i="1"/>
  <c r="C332" i="1"/>
  <c r="AZ332" i="1" s="1"/>
  <c r="AY330" i="1"/>
  <c r="AO330" i="1"/>
  <c r="H331" i="1"/>
  <c r="AY331" i="1" s="1"/>
  <c r="L331" i="1"/>
  <c r="G332" i="1" a="1"/>
  <c r="G332" i="1" s="1"/>
  <c r="BB332" i="1" a="1"/>
  <c r="BB332" i="1" s="1"/>
  <c r="BD332" i="1" a="1"/>
  <c r="BD332" i="1" s="1"/>
  <c r="BF332" i="1" a="1"/>
  <c r="BF332" i="1" s="1"/>
  <c r="AW332" i="1" a="1"/>
  <c r="AW332" i="1" s="1"/>
  <c r="AS332" i="1" a="1"/>
  <c r="AS332" i="1" s="1"/>
  <c r="F332" i="1" a="1"/>
  <c r="F332" i="1" s="1"/>
  <c r="H332" i="1" s="1"/>
  <c r="BA332" i="1" a="1"/>
  <c r="BA332" i="1" s="1"/>
  <c r="BE332" i="1" a="1"/>
  <c r="BE332" i="1" s="1"/>
  <c r="AV332" i="1" a="1"/>
  <c r="AV332" i="1" s="1"/>
  <c r="AH332" i="1" a="1"/>
  <c r="AH332" i="1" s="1"/>
  <c r="AJ332" i="1" a="1"/>
  <c r="AJ332" i="1" s="1"/>
  <c r="AL332" i="1" a="1"/>
  <c r="AL332" i="1" s="1"/>
  <c r="AD332" i="1" a="1"/>
  <c r="AD332" i="1" s="1"/>
  <c r="Z332" i="1" a="1"/>
  <c r="Z332" i="1" s="1"/>
  <c r="S332" i="1" a="1"/>
  <c r="S332" i="1" s="1"/>
  <c r="U332" i="1" a="1"/>
  <c r="U332" i="1" s="1"/>
  <c r="W332" i="1" a="1"/>
  <c r="W332" i="1" s="1"/>
  <c r="O332" i="1" a="1"/>
  <c r="O332" i="1" s="1"/>
  <c r="K332" i="1" a="1"/>
  <c r="K332" i="1" s="1"/>
  <c r="J332" i="1" a="1"/>
  <c r="J332" i="1" s="1"/>
  <c r="BC332" i="1" a="1"/>
  <c r="BC332" i="1" s="1"/>
  <c r="AR332" i="1" a="1"/>
  <c r="AR332" i="1" s="1"/>
  <c r="AI332" i="1" a="1"/>
  <c r="AI332" i="1" s="1"/>
  <c r="Y332" i="1" a="1"/>
  <c r="Y332" i="1" s="1"/>
  <c r="R332" i="1" a="1"/>
  <c r="R332" i="1" s="1"/>
  <c r="V332" i="1" a="1"/>
  <c r="V332" i="1" s="1"/>
  <c r="N332" i="1" a="1"/>
  <c r="N332" i="1" s="1"/>
  <c r="AG332" i="1" a="1"/>
  <c r="AG332" i="1" s="1"/>
  <c r="AK332" i="1" a="1"/>
  <c r="AK332" i="1" s="1"/>
  <c r="AC332" i="1" a="1"/>
  <c r="AC332" i="1" s="1"/>
  <c r="T332" i="1" a="1"/>
  <c r="T332" i="1" s="1"/>
  <c r="X331" i="1"/>
  <c r="AF331" i="1"/>
  <c r="I331" i="1"/>
  <c r="Q331" i="1" a="1"/>
  <c r="Q331" i="1" s="1"/>
  <c r="AO331" i="1" s="1"/>
  <c r="A332" i="1"/>
  <c r="B333" i="1"/>
  <c r="D333" i="1" l="1"/>
  <c r="E333" i="1"/>
  <c r="C333" i="1"/>
  <c r="AZ333" i="1" s="1"/>
  <c r="AT332" i="1"/>
  <c r="AX332" i="1"/>
  <c r="P332" i="1"/>
  <c r="M332" i="1" s="1"/>
  <c r="AA332" i="1"/>
  <c r="L332" i="1"/>
  <c r="AE332" i="1"/>
  <c r="AB332" i="1" s="1"/>
  <c r="F333" i="1" a="1"/>
  <c r="F333" i="1" s="1"/>
  <c r="BB333" i="1" a="1"/>
  <c r="BB333" i="1" s="1"/>
  <c r="BD333" i="1" a="1"/>
  <c r="BD333" i="1" s="1"/>
  <c r="BF333" i="1" a="1"/>
  <c r="BF333" i="1" s="1"/>
  <c r="AV333" i="1" a="1"/>
  <c r="AV333" i="1" s="1"/>
  <c r="AR333" i="1" a="1"/>
  <c r="AR333" i="1" s="1"/>
  <c r="G333" i="1" a="1"/>
  <c r="G333" i="1" s="1"/>
  <c r="BC333" i="1" a="1"/>
  <c r="BC333" i="1" s="1"/>
  <c r="AW333" i="1" a="1"/>
  <c r="AW333" i="1" s="1"/>
  <c r="AH333" i="1" a="1"/>
  <c r="AH333" i="1" s="1"/>
  <c r="AJ333" i="1" a="1"/>
  <c r="AJ333" i="1" s="1"/>
  <c r="AL333" i="1" a="1"/>
  <c r="AL333" i="1" s="1"/>
  <c r="AC333" i="1" a="1"/>
  <c r="AC333" i="1" s="1"/>
  <c r="Y333" i="1" a="1"/>
  <c r="Y333" i="1" s="1"/>
  <c r="S333" i="1" a="1"/>
  <c r="S333" i="1" s="1"/>
  <c r="U333" i="1" a="1"/>
  <c r="U333" i="1" s="1"/>
  <c r="W333" i="1" a="1"/>
  <c r="W333" i="1" s="1"/>
  <c r="N333" i="1" a="1"/>
  <c r="N333" i="1" s="1"/>
  <c r="BA333" i="1" a="1"/>
  <c r="BA333" i="1" s="1"/>
  <c r="BE333" i="1" a="1"/>
  <c r="BE333" i="1" s="1"/>
  <c r="AG333" i="1" a="1"/>
  <c r="AG333" i="1" s="1"/>
  <c r="AK333" i="1" a="1"/>
  <c r="AK333" i="1" s="1"/>
  <c r="Z333" i="1" a="1"/>
  <c r="Z333" i="1" s="1"/>
  <c r="T333" i="1" a="1"/>
  <c r="T333" i="1" s="1"/>
  <c r="O333" i="1" a="1"/>
  <c r="O333" i="1" s="1"/>
  <c r="J333" i="1" a="1"/>
  <c r="J333" i="1" s="1"/>
  <c r="AS333" i="1" a="1"/>
  <c r="AS333" i="1" s="1"/>
  <c r="AI333" i="1" a="1"/>
  <c r="AI333" i="1" s="1"/>
  <c r="AD333" i="1" a="1"/>
  <c r="AD333" i="1" s="1"/>
  <c r="AE333" i="1" s="1"/>
  <c r="AB333" i="1" s="1"/>
  <c r="R333" i="1" a="1"/>
  <c r="R333" i="1" s="1"/>
  <c r="V333" i="1" a="1"/>
  <c r="V333" i="1" s="1"/>
  <c r="K333" i="1" a="1"/>
  <c r="K333" i="1" s="1"/>
  <c r="L333" i="1" s="1"/>
  <c r="Q332" i="1" a="1"/>
  <c r="Q332" i="1" s="1"/>
  <c r="I332" i="1"/>
  <c r="X332" i="1"/>
  <c r="AF332" i="1"/>
  <c r="A333" i="1"/>
  <c r="B334" i="1"/>
  <c r="AT333" i="1" l="1"/>
  <c r="AX333" i="1"/>
  <c r="D334" i="1"/>
  <c r="E334" i="1"/>
  <c r="C334" i="1"/>
  <c r="P333" i="1"/>
  <c r="M333" i="1" s="1"/>
  <c r="AA333" i="1"/>
  <c r="AY332" i="1"/>
  <c r="AO332" i="1"/>
  <c r="H333" i="1"/>
  <c r="G334" i="1" a="1"/>
  <c r="G334" i="1" s="1"/>
  <c r="BB334" i="1" a="1"/>
  <c r="BB334" i="1" s="1"/>
  <c r="BD334" i="1" a="1"/>
  <c r="BD334" i="1" s="1"/>
  <c r="BF334" i="1" a="1"/>
  <c r="BF334" i="1" s="1"/>
  <c r="AW334" i="1" a="1"/>
  <c r="AW334" i="1" s="1"/>
  <c r="AS334" i="1" a="1"/>
  <c r="AS334" i="1" s="1"/>
  <c r="BA334" i="1" a="1"/>
  <c r="BA334" i="1" s="1"/>
  <c r="BE334" i="1" a="1"/>
  <c r="BE334" i="1" s="1"/>
  <c r="AR334" i="1" a="1"/>
  <c r="AR334" i="1" s="1"/>
  <c r="AH334" i="1" a="1"/>
  <c r="AH334" i="1" s="1"/>
  <c r="AJ334" i="1" a="1"/>
  <c r="AJ334" i="1" s="1"/>
  <c r="AL334" i="1" a="1"/>
  <c r="AL334" i="1" s="1"/>
  <c r="AD334" i="1" a="1"/>
  <c r="AD334" i="1" s="1"/>
  <c r="Z334" i="1" a="1"/>
  <c r="Z334" i="1" s="1"/>
  <c r="S334" i="1" a="1"/>
  <c r="S334" i="1" s="1"/>
  <c r="U334" i="1" a="1"/>
  <c r="U334" i="1" s="1"/>
  <c r="W334" i="1" a="1"/>
  <c r="W334" i="1" s="1"/>
  <c r="O334" i="1" a="1"/>
  <c r="O334" i="1" s="1"/>
  <c r="K334" i="1" a="1"/>
  <c r="K334" i="1" s="1"/>
  <c r="J334" i="1" a="1"/>
  <c r="J334" i="1" s="1"/>
  <c r="F334" i="1" a="1"/>
  <c r="F334" i="1" s="1"/>
  <c r="H334" i="1" s="1"/>
  <c r="BC334" i="1" a="1"/>
  <c r="BC334" i="1" s="1"/>
  <c r="AV334" i="1" a="1"/>
  <c r="AV334" i="1" s="1"/>
  <c r="AI334" i="1" a="1"/>
  <c r="AI334" i="1" s="1"/>
  <c r="AC334" i="1" a="1"/>
  <c r="AC334" i="1" s="1"/>
  <c r="R334" i="1" a="1"/>
  <c r="R334" i="1" s="1"/>
  <c r="V334" i="1" a="1"/>
  <c r="V334" i="1" s="1"/>
  <c r="AG334" i="1" a="1"/>
  <c r="AG334" i="1" s="1"/>
  <c r="AK334" i="1" a="1"/>
  <c r="AK334" i="1" s="1"/>
  <c r="Y334" i="1" a="1"/>
  <c r="Y334" i="1" s="1"/>
  <c r="T334" i="1" a="1"/>
  <c r="T334" i="1" s="1"/>
  <c r="N334" i="1" a="1"/>
  <c r="N334" i="1" s="1"/>
  <c r="I333" i="1"/>
  <c r="Q333" i="1" a="1"/>
  <c r="Q333" i="1" s="1"/>
  <c r="X333" i="1"/>
  <c r="AF333" i="1"/>
  <c r="A334" i="1"/>
  <c r="B335" i="1"/>
  <c r="AZ334" i="1" l="1"/>
  <c r="AY333" i="1"/>
  <c r="D335" i="1"/>
  <c r="E335" i="1"/>
  <c r="C335" i="1"/>
  <c r="AX334" i="1"/>
  <c r="AT334" i="1"/>
  <c r="L334" i="1"/>
  <c r="AO333" i="1"/>
  <c r="P334" i="1"/>
  <c r="M334" i="1" s="1"/>
  <c r="AA334" i="1"/>
  <c r="AE334" i="1"/>
  <c r="AB334" i="1" s="1"/>
  <c r="F335" i="1" a="1"/>
  <c r="F335" i="1" s="1"/>
  <c r="BB335" i="1" a="1"/>
  <c r="BB335" i="1" s="1"/>
  <c r="BD335" i="1" a="1"/>
  <c r="BD335" i="1" s="1"/>
  <c r="BF335" i="1" a="1"/>
  <c r="BF335" i="1" s="1"/>
  <c r="AV335" i="1" a="1"/>
  <c r="AV335" i="1" s="1"/>
  <c r="AR335" i="1" a="1"/>
  <c r="AR335" i="1" s="1"/>
  <c r="BC335" i="1" a="1"/>
  <c r="BC335" i="1" s="1"/>
  <c r="AS335" i="1" a="1"/>
  <c r="AS335" i="1" s="1"/>
  <c r="AT335" i="1" s="1"/>
  <c r="AH335" i="1" a="1"/>
  <c r="AH335" i="1" s="1"/>
  <c r="AJ335" i="1" a="1"/>
  <c r="AJ335" i="1" s="1"/>
  <c r="AL335" i="1" a="1"/>
  <c r="AL335" i="1" s="1"/>
  <c r="AC335" i="1" a="1"/>
  <c r="AC335" i="1" s="1"/>
  <c r="Y335" i="1" a="1"/>
  <c r="Y335" i="1" s="1"/>
  <c r="S335" i="1" a="1"/>
  <c r="S335" i="1" s="1"/>
  <c r="U335" i="1" a="1"/>
  <c r="U335" i="1" s="1"/>
  <c r="W335" i="1" a="1"/>
  <c r="W335" i="1" s="1"/>
  <c r="N335" i="1" a="1"/>
  <c r="N335" i="1" s="1"/>
  <c r="G335" i="1" a="1"/>
  <c r="G335" i="1" s="1"/>
  <c r="BA335" i="1" a="1"/>
  <c r="BA335" i="1" s="1"/>
  <c r="BE335" i="1" a="1"/>
  <c r="BE335" i="1" s="1"/>
  <c r="AW335" i="1" a="1"/>
  <c r="AW335" i="1" s="1"/>
  <c r="AX335" i="1" s="1"/>
  <c r="AG335" i="1" a="1"/>
  <c r="AG335" i="1" s="1"/>
  <c r="AK335" i="1" a="1"/>
  <c r="AK335" i="1" s="1"/>
  <c r="AD335" i="1" a="1"/>
  <c r="AD335" i="1" s="1"/>
  <c r="AE335" i="1" s="1"/>
  <c r="AB335" i="1" s="1"/>
  <c r="T335" i="1" a="1"/>
  <c r="T335" i="1" s="1"/>
  <c r="K335" i="1" a="1"/>
  <c r="K335" i="1" s="1"/>
  <c r="AI335" i="1" a="1"/>
  <c r="AI335" i="1" s="1"/>
  <c r="Z335" i="1" a="1"/>
  <c r="Z335" i="1" s="1"/>
  <c r="R335" i="1" a="1"/>
  <c r="R335" i="1" s="1"/>
  <c r="V335" i="1" a="1"/>
  <c r="V335" i="1" s="1"/>
  <c r="O335" i="1" a="1"/>
  <c r="O335" i="1" s="1"/>
  <c r="P335" i="1" s="1"/>
  <c r="M335" i="1" s="1"/>
  <c r="J335" i="1" a="1"/>
  <c r="J335" i="1" s="1"/>
  <c r="Q334" i="1" a="1"/>
  <c r="Q334" i="1" s="1"/>
  <c r="I334" i="1"/>
  <c r="X334" i="1"/>
  <c r="AF334" i="1"/>
  <c r="A335" i="1"/>
  <c r="B336" i="1"/>
  <c r="AZ335" i="1" l="1"/>
  <c r="AA335" i="1"/>
  <c r="D336" i="1"/>
  <c r="E336" i="1"/>
  <c r="C336" i="1"/>
  <c r="AZ336" i="1" s="1"/>
  <c r="AO334" i="1"/>
  <c r="AY334" i="1"/>
  <c r="L335" i="1"/>
  <c r="H335" i="1"/>
  <c r="AY335" i="1" s="1"/>
  <c r="G336" i="1" a="1"/>
  <c r="G336" i="1" s="1"/>
  <c r="BB336" i="1" a="1"/>
  <c r="BB336" i="1" s="1"/>
  <c r="BD336" i="1" a="1"/>
  <c r="BD336" i="1" s="1"/>
  <c r="BF336" i="1" a="1"/>
  <c r="BF336" i="1" s="1"/>
  <c r="AW336" i="1" a="1"/>
  <c r="AW336" i="1" s="1"/>
  <c r="AS336" i="1" a="1"/>
  <c r="AS336" i="1" s="1"/>
  <c r="F336" i="1" a="1"/>
  <c r="F336" i="1" s="1"/>
  <c r="H336" i="1" s="1"/>
  <c r="BA336" i="1" a="1"/>
  <c r="BA336" i="1" s="1"/>
  <c r="BE336" i="1" a="1"/>
  <c r="BE336" i="1" s="1"/>
  <c r="AV336" i="1" a="1"/>
  <c r="AV336" i="1" s="1"/>
  <c r="AH336" i="1" a="1"/>
  <c r="AH336" i="1" s="1"/>
  <c r="AJ336" i="1" a="1"/>
  <c r="AJ336" i="1" s="1"/>
  <c r="AL336" i="1" a="1"/>
  <c r="AL336" i="1" s="1"/>
  <c r="AD336" i="1" a="1"/>
  <c r="AD336" i="1" s="1"/>
  <c r="Z336" i="1" a="1"/>
  <c r="Z336" i="1" s="1"/>
  <c r="S336" i="1" a="1"/>
  <c r="S336" i="1" s="1"/>
  <c r="U336" i="1" a="1"/>
  <c r="U336" i="1" s="1"/>
  <c r="W336" i="1" a="1"/>
  <c r="W336" i="1" s="1"/>
  <c r="O336" i="1" a="1"/>
  <c r="O336" i="1" s="1"/>
  <c r="K336" i="1" a="1"/>
  <c r="K336" i="1" s="1"/>
  <c r="J336" i="1" a="1"/>
  <c r="J336" i="1" s="1"/>
  <c r="BC336" i="1" a="1"/>
  <c r="BC336" i="1" s="1"/>
  <c r="AI336" i="1" a="1"/>
  <c r="AI336" i="1" s="1"/>
  <c r="Y336" i="1" a="1"/>
  <c r="Y336" i="1" s="1"/>
  <c r="R336" i="1" a="1"/>
  <c r="R336" i="1" s="1"/>
  <c r="V336" i="1" a="1"/>
  <c r="V336" i="1" s="1"/>
  <c r="N336" i="1" a="1"/>
  <c r="N336" i="1" s="1"/>
  <c r="AR336" i="1" a="1"/>
  <c r="AR336" i="1" s="1"/>
  <c r="AG336" i="1" a="1"/>
  <c r="AG336" i="1" s="1"/>
  <c r="AK336" i="1" a="1"/>
  <c r="AK336" i="1" s="1"/>
  <c r="AC336" i="1" a="1"/>
  <c r="AC336" i="1" s="1"/>
  <c r="T336" i="1" a="1"/>
  <c r="T336" i="1" s="1"/>
  <c r="X335" i="1"/>
  <c r="AF335" i="1"/>
  <c r="I335" i="1"/>
  <c r="Q335" i="1" a="1"/>
  <c r="Q335" i="1" s="1"/>
  <c r="AO335" i="1" s="1"/>
  <c r="A336" i="1"/>
  <c r="B337" i="1"/>
  <c r="D337" i="1" l="1"/>
  <c r="E337" i="1"/>
  <c r="C337" i="1"/>
  <c r="AZ337" i="1" s="1"/>
  <c r="AX336" i="1"/>
  <c r="AT336" i="1"/>
  <c r="L336" i="1"/>
  <c r="AE336" i="1"/>
  <c r="AB336" i="1" s="1"/>
  <c r="P336" i="1"/>
  <c r="M336" i="1" s="1"/>
  <c r="AA336" i="1"/>
  <c r="F337" i="1" a="1"/>
  <c r="F337" i="1" s="1"/>
  <c r="BB337" i="1" a="1"/>
  <c r="BB337" i="1" s="1"/>
  <c r="BD337" i="1" a="1"/>
  <c r="BD337" i="1" s="1"/>
  <c r="BF337" i="1" a="1"/>
  <c r="BF337" i="1" s="1"/>
  <c r="AV337" i="1" a="1"/>
  <c r="AV337" i="1" s="1"/>
  <c r="AR337" i="1" a="1"/>
  <c r="AR337" i="1" s="1"/>
  <c r="G337" i="1" a="1"/>
  <c r="G337" i="1" s="1"/>
  <c r="BC337" i="1" a="1"/>
  <c r="BC337" i="1" s="1"/>
  <c r="AW337" i="1" a="1"/>
  <c r="AW337" i="1" s="1"/>
  <c r="AX337" i="1" s="1"/>
  <c r="AH337" i="1" a="1"/>
  <c r="AH337" i="1" s="1"/>
  <c r="AJ337" i="1" a="1"/>
  <c r="AJ337" i="1" s="1"/>
  <c r="AL337" i="1" a="1"/>
  <c r="AL337" i="1" s="1"/>
  <c r="AC337" i="1" a="1"/>
  <c r="AC337" i="1" s="1"/>
  <c r="Y337" i="1" a="1"/>
  <c r="Y337" i="1" s="1"/>
  <c r="S337" i="1" a="1"/>
  <c r="S337" i="1" s="1"/>
  <c r="U337" i="1" a="1"/>
  <c r="U337" i="1" s="1"/>
  <c r="W337" i="1" a="1"/>
  <c r="W337" i="1" s="1"/>
  <c r="N337" i="1" a="1"/>
  <c r="N337" i="1" s="1"/>
  <c r="BA337" i="1" a="1"/>
  <c r="BA337" i="1" s="1"/>
  <c r="BE337" i="1" a="1"/>
  <c r="BE337" i="1" s="1"/>
  <c r="AS337" i="1" a="1"/>
  <c r="AS337" i="1" s="1"/>
  <c r="AT337" i="1" s="1"/>
  <c r="AG337" i="1" a="1"/>
  <c r="AG337" i="1" s="1"/>
  <c r="AK337" i="1" a="1"/>
  <c r="AK337" i="1" s="1"/>
  <c r="Z337" i="1" a="1"/>
  <c r="Z337" i="1" s="1"/>
  <c r="AA337" i="1" s="1"/>
  <c r="T337" i="1" a="1"/>
  <c r="T337" i="1" s="1"/>
  <c r="O337" i="1" a="1"/>
  <c r="O337" i="1" s="1"/>
  <c r="P337" i="1" s="1"/>
  <c r="M337" i="1" s="1"/>
  <c r="J337" i="1" a="1"/>
  <c r="J337" i="1" s="1"/>
  <c r="AI337" i="1" a="1"/>
  <c r="AI337" i="1" s="1"/>
  <c r="AD337" i="1" a="1"/>
  <c r="AD337" i="1" s="1"/>
  <c r="AE337" i="1" s="1"/>
  <c r="AB337" i="1" s="1"/>
  <c r="R337" i="1" a="1"/>
  <c r="R337" i="1" s="1"/>
  <c r="V337" i="1" a="1"/>
  <c r="V337" i="1" s="1"/>
  <c r="K337" i="1" a="1"/>
  <c r="K337" i="1" s="1"/>
  <c r="Q336" i="1" a="1"/>
  <c r="Q336" i="1" s="1"/>
  <c r="I336" i="1"/>
  <c r="X336" i="1"/>
  <c r="AF336" i="1"/>
  <c r="A337" i="1"/>
  <c r="B338" i="1"/>
  <c r="AY336" i="1" l="1"/>
  <c r="D338" i="1"/>
  <c r="E338" i="1"/>
  <c r="C338" i="1"/>
  <c r="AO336" i="1"/>
  <c r="H337" i="1"/>
  <c r="AY337" i="1" s="1"/>
  <c r="L337" i="1"/>
  <c r="G338" i="1" a="1"/>
  <c r="G338" i="1" s="1"/>
  <c r="BB338" i="1" a="1"/>
  <c r="BB338" i="1" s="1"/>
  <c r="BD338" i="1" a="1"/>
  <c r="BD338" i="1" s="1"/>
  <c r="BF338" i="1" a="1"/>
  <c r="BF338" i="1" s="1"/>
  <c r="AW338" i="1" a="1"/>
  <c r="AW338" i="1" s="1"/>
  <c r="AS338" i="1" a="1"/>
  <c r="AS338" i="1" s="1"/>
  <c r="BA338" i="1" a="1"/>
  <c r="BA338" i="1" s="1"/>
  <c r="BE338" i="1" a="1"/>
  <c r="BE338" i="1" s="1"/>
  <c r="AR338" i="1" a="1"/>
  <c r="AR338" i="1" s="1"/>
  <c r="AH338" i="1" a="1"/>
  <c r="AH338" i="1" s="1"/>
  <c r="AJ338" i="1" a="1"/>
  <c r="AJ338" i="1" s="1"/>
  <c r="AL338" i="1" a="1"/>
  <c r="AL338" i="1" s="1"/>
  <c r="AD338" i="1" a="1"/>
  <c r="AD338" i="1" s="1"/>
  <c r="Z338" i="1" a="1"/>
  <c r="Z338" i="1" s="1"/>
  <c r="S338" i="1" a="1"/>
  <c r="S338" i="1" s="1"/>
  <c r="U338" i="1" a="1"/>
  <c r="U338" i="1" s="1"/>
  <c r="W338" i="1" a="1"/>
  <c r="W338" i="1" s="1"/>
  <c r="O338" i="1" a="1"/>
  <c r="O338" i="1" s="1"/>
  <c r="K338" i="1" a="1"/>
  <c r="K338" i="1" s="1"/>
  <c r="J338" i="1" a="1"/>
  <c r="J338" i="1" s="1"/>
  <c r="F338" i="1" a="1"/>
  <c r="F338" i="1" s="1"/>
  <c r="H338" i="1" s="1"/>
  <c r="BC338" i="1" a="1"/>
  <c r="BC338" i="1" s="1"/>
  <c r="AV338" i="1" a="1"/>
  <c r="AV338" i="1" s="1"/>
  <c r="AI338" i="1" a="1"/>
  <c r="AI338" i="1" s="1"/>
  <c r="AC338" i="1" a="1"/>
  <c r="AC338" i="1" s="1"/>
  <c r="R338" i="1" a="1"/>
  <c r="R338" i="1" s="1"/>
  <c r="V338" i="1" a="1"/>
  <c r="V338" i="1" s="1"/>
  <c r="AG338" i="1" a="1"/>
  <c r="AG338" i="1" s="1"/>
  <c r="AK338" i="1" a="1"/>
  <c r="AK338" i="1" s="1"/>
  <c r="Y338" i="1" a="1"/>
  <c r="Y338" i="1" s="1"/>
  <c r="T338" i="1" a="1"/>
  <c r="T338" i="1" s="1"/>
  <c r="N338" i="1" a="1"/>
  <c r="N338" i="1" s="1"/>
  <c r="I337" i="1"/>
  <c r="Q337" i="1" a="1"/>
  <c r="Q337" i="1" s="1"/>
  <c r="X337" i="1"/>
  <c r="AF337" i="1"/>
  <c r="A338" i="1"/>
  <c r="B339" i="1"/>
  <c r="AZ338" i="1" l="1"/>
  <c r="D339" i="1"/>
  <c r="E339" i="1"/>
  <c r="C339" i="1"/>
  <c r="AZ339" i="1" s="1"/>
  <c r="AT338" i="1"/>
  <c r="AX338" i="1"/>
  <c r="L338" i="1"/>
  <c r="AO337" i="1"/>
  <c r="P338" i="1"/>
  <c r="M338" i="1" s="1"/>
  <c r="AA338" i="1"/>
  <c r="AE338" i="1"/>
  <c r="AB338" i="1" s="1"/>
  <c r="F339" i="1" a="1"/>
  <c r="F339" i="1" s="1"/>
  <c r="BB339" i="1" a="1"/>
  <c r="BB339" i="1" s="1"/>
  <c r="BD339" i="1" a="1"/>
  <c r="BD339" i="1" s="1"/>
  <c r="BF339" i="1" a="1"/>
  <c r="BF339" i="1" s="1"/>
  <c r="AV339" i="1" a="1"/>
  <c r="AV339" i="1" s="1"/>
  <c r="AR339" i="1" a="1"/>
  <c r="AR339" i="1" s="1"/>
  <c r="BC339" i="1" a="1"/>
  <c r="BC339" i="1" s="1"/>
  <c r="AS339" i="1" a="1"/>
  <c r="AS339" i="1" s="1"/>
  <c r="AT339" i="1" s="1"/>
  <c r="AH339" i="1" a="1"/>
  <c r="AH339" i="1" s="1"/>
  <c r="AJ339" i="1" a="1"/>
  <c r="AJ339" i="1" s="1"/>
  <c r="AL339" i="1" a="1"/>
  <c r="AL339" i="1" s="1"/>
  <c r="AC339" i="1" a="1"/>
  <c r="AC339" i="1" s="1"/>
  <c r="Y339" i="1" a="1"/>
  <c r="Y339" i="1" s="1"/>
  <c r="S339" i="1" a="1"/>
  <c r="S339" i="1" s="1"/>
  <c r="U339" i="1" a="1"/>
  <c r="U339" i="1" s="1"/>
  <c r="W339" i="1" a="1"/>
  <c r="W339" i="1" s="1"/>
  <c r="N339" i="1" a="1"/>
  <c r="N339" i="1" s="1"/>
  <c r="G339" i="1" a="1"/>
  <c r="G339" i="1" s="1"/>
  <c r="BA339" i="1" a="1"/>
  <c r="BA339" i="1" s="1"/>
  <c r="BE339" i="1" a="1"/>
  <c r="BE339" i="1" s="1"/>
  <c r="AW339" i="1" a="1"/>
  <c r="AW339" i="1" s="1"/>
  <c r="AX339" i="1" s="1"/>
  <c r="AG339" i="1" a="1"/>
  <c r="AG339" i="1" s="1"/>
  <c r="AK339" i="1" a="1"/>
  <c r="AK339" i="1" s="1"/>
  <c r="AD339" i="1" a="1"/>
  <c r="AD339" i="1" s="1"/>
  <c r="AE339" i="1" s="1"/>
  <c r="AB339" i="1" s="1"/>
  <c r="T339" i="1" a="1"/>
  <c r="T339" i="1" s="1"/>
  <c r="K339" i="1" a="1"/>
  <c r="K339" i="1" s="1"/>
  <c r="AI339" i="1" a="1"/>
  <c r="AI339" i="1" s="1"/>
  <c r="Z339" i="1" a="1"/>
  <c r="Z339" i="1" s="1"/>
  <c r="R339" i="1" a="1"/>
  <c r="R339" i="1" s="1"/>
  <c r="V339" i="1" a="1"/>
  <c r="V339" i="1" s="1"/>
  <c r="O339" i="1" a="1"/>
  <c r="O339" i="1" s="1"/>
  <c r="P339" i="1" s="1"/>
  <c r="M339" i="1" s="1"/>
  <c r="J339" i="1" a="1"/>
  <c r="J339" i="1" s="1"/>
  <c r="Q338" i="1" a="1"/>
  <c r="Q338" i="1" s="1"/>
  <c r="I338" i="1"/>
  <c r="X338" i="1"/>
  <c r="AF338" i="1"/>
  <c r="A339" i="1"/>
  <c r="B340" i="1"/>
  <c r="D340" i="1" l="1"/>
  <c r="E340" i="1"/>
  <c r="C340" i="1"/>
  <c r="AY338" i="1"/>
  <c r="AA339" i="1"/>
  <c r="L339" i="1"/>
  <c r="AO338" i="1"/>
  <c r="H339" i="1"/>
  <c r="AY339" i="1" s="1"/>
  <c r="G340" i="1" a="1"/>
  <c r="G340" i="1" s="1"/>
  <c r="BB340" i="1" a="1"/>
  <c r="BB340" i="1" s="1"/>
  <c r="BD340" i="1" a="1"/>
  <c r="BD340" i="1" s="1"/>
  <c r="BF340" i="1" a="1"/>
  <c r="BF340" i="1" s="1"/>
  <c r="AW340" i="1" a="1"/>
  <c r="AW340" i="1" s="1"/>
  <c r="AS340" i="1" a="1"/>
  <c r="AS340" i="1" s="1"/>
  <c r="F340" i="1" a="1"/>
  <c r="F340" i="1" s="1"/>
  <c r="H340" i="1" s="1"/>
  <c r="BA340" i="1" a="1"/>
  <c r="BA340" i="1" s="1"/>
  <c r="BE340" i="1" a="1"/>
  <c r="BE340" i="1" s="1"/>
  <c r="AV340" i="1" a="1"/>
  <c r="AV340" i="1" s="1"/>
  <c r="AH340" i="1" a="1"/>
  <c r="AH340" i="1" s="1"/>
  <c r="AJ340" i="1" a="1"/>
  <c r="AJ340" i="1" s="1"/>
  <c r="AL340" i="1" a="1"/>
  <c r="AL340" i="1" s="1"/>
  <c r="AD340" i="1" a="1"/>
  <c r="AD340" i="1" s="1"/>
  <c r="Z340" i="1" a="1"/>
  <c r="Z340" i="1" s="1"/>
  <c r="S340" i="1" a="1"/>
  <c r="S340" i="1" s="1"/>
  <c r="U340" i="1" a="1"/>
  <c r="U340" i="1" s="1"/>
  <c r="W340" i="1" a="1"/>
  <c r="W340" i="1" s="1"/>
  <c r="O340" i="1" a="1"/>
  <c r="O340" i="1" s="1"/>
  <c r="K340" i="1" a="1"/>
  <c r="K340" i="1" s="1"/>
  <c r="J340" i="1" a="1"/>
  <c r="J340" i="1" s="1"/>
  <c r="BC340" i="1" a="1"/>
  <c r="BC340" i="1" s="1"/>
  <c r="AR340" i="1" a="1"/>
  <c r="AR340" i="1" s="1"/>
  <c r="AI340" i="1" a="1"/>
  <c r="AI340" i="1" s="1"/>
  <c r="Y340" i="1" a="1"/>
  <c r="Y340" i="1" s="1"/>
  <c r="R340" i="1" a="1"/>
  <c r="R340" i="1" s="1"/>
  <c r="V340" i="1" a="1"/>
  <c r="V340" i="1" s="1"/>
  <c r="N340" i="1" a="1"/>
  <c r="N340" i="1" s="1"/>
  <c r="AG340" i="1" a="1"/>
  <c r="AG340" i="1" s="1"/>
  <c r="AK340" i="1" a="1"/>
  <c r="AK340" i="1" s="1"/>
  <c r="AC340" i="1" a="1"/>
  <c r="AC340" i="1" s="1"/>
  <c r="T340" i="1" a="1"/>
  <c r="T340" i="1" s="1"/>
  <c r="X339" i="1"/>
  <c r="AF339" i="1"/>
  <c r="I339" i="1"/>
  <c r="Q339" i="1" a="1"/>
  <c r="Q339" i="1" s="1"/>
  <c r="AO339" i="1" s="1"/>
  <c r="A340" i="1"/>
  <c r="B341" i="1"/>
  <c r="AZ340" i="1" l="1"/>
  <c r="D341" i="1"/>
  <c r="E341" i="1"/>
  <c r="C341" i="1"/>
  <c r="AX340" i="1"/>
  <c r="AT340" i="1"/>
  <c r="P340" i="1"/>
  <c r="M340" i="1" s="1"/>
  <c r="AA340" i="1"/>
  <c r="L340" i="1"/>
  <c r="AE340" i="1"/>
  <c r="AB340" i="1" s="1"/>
  <c r="F341" i="1" a="1"/>
  <c r="F341" i="1" s="1"/>
  <c r="BB341" i="1" a="1"/>
  <c r="BB341" i="1" s="1"/>
  <c r="BD341" i="1" a="1"/>
  <c r="BD341" i="1" s="1"/>
  <c r="BF341" i="1" a="1"/>
  <c r="BF341" i="1" s="1"/>
  <c r="AV341" i="1" a="1"/>
  <c r="AV341" i="1" s="1"/>
  <c r="AR341" i="1" a="1"/>
  <c r="AR341" i="1" s="1"/>
  <c r="G341" i="1" a="1"/>
  <c r="G341" i="1" s="1"/>
  <c r="BC341" i="1" a="1"/>
  <c r="BC341" i="1" s="1"/>
  <c r="AW341" i="1" a="1"/>
  <c r="AW341" i="1" s="1"/>
  <c r="AX341" i="1" s="1"/>
  <c r="AH341" i="1" a="1"/>
  <c r="AH341" i="1" s="1"/>
  <c r="AJ341" i="1" a="1"/>
  <c r="AJ341" i="1" s="1"/>
  <c r="AL341" i="1" a="1"/>
  <c r="AL341" i="1" s="1"/>
  <c r="AC341" i="1" a="1"/>
  <c r="AC341" i="1" s="1"/>
  <c r="Y341" i="1" a="1"/>
  <c r="Y341" i="1" s="1"/>
  <c r="S341" i="1" a="1"/>
  <c r="S341" i="1" s="1"/>
  <c r="U341" i="1" a="1"/>
  <c r="U341" i="1" s="1"/>
  <c r="W341" i="1" a="1"/>
  <c r="W341" i="1" s="1"/>
  <c r="N341" i="1" a="1"/>
  <c r="N341" i="1" s="1"/>
  <c r="BA341" i="1" a="1"/>
  <c r="BA341" i="1" s="1"/>
  <c r="BE341" i="1" a="1"/>
  <c r="BE341" i="1" s="1"/>
  <c r="AG341" i="1" a="1"/>
  <c r="AG341" i="1" s="1"/>
  <c r="AK341" i="1" a="1"/>
  <c r="AK341" i="1" s="1"/>
  <c r="Z341" i="1" a="1"/>
  <c r="Z341" i="1" s="1"/>
  <c r="T341" i="1" a="1"/>
  <c r="T341" i="1" s="1"/>
  <c r="O341" i="1" a="1"/>
  <c r="O341" i="1" s="1"/>
  <c r="J341" i="1" a="1"/>
  <c r="J341" i="1" s="1"/>
  <c r="AS341" i="1" a="1"/>
  <c r="AS341" i="1" s="1"/>
  <c r="AI341" i="1" a="1"/>
  <c r="AI341" i="1" s="1"/>
  <c r="AD341" i="1" a="1"/>
  <c r="AD341" i="1" s="1"/>
  <c r="AE341" i="1" s="1"/>
  <c r="AB341" i="1" s="1"/>
  <c r="R341" i="1" a="1"/>
  <c r="R341" i="1" s="1"/>
  <c r="V341" i="1" a="1"/>
  <c r="V341" i="1" s="1"/>
  <c r="K341" i="1" a="1"/>
  <c r="K341" i="1" s="1"/>
  <c r="Q340" i="1" a="1"/>
  <c r="Q340" i="1" s="1"/>
  <c r="I340" i="1"/>
  <c r="X340" i="1"/>
  <c r="AF340" i="1"/>
  <c r="A341" i="1"/>
  <c r="B342" i="1"/>
  <c r="AZ341" i="1" l="1"/>
  <c r="D342" i="1"/>
  <c r="E342" i="1"/>
  <c r="C342" i="1"/>
  <c r="AZ342" i="1" s="1"/>
  <c r="AY340" i="1"/>
  <c r="AT341" i="1"/>
  <c r="AA341" i="1"/>
  <c r="L341" i="1"/>
  <c r="AO340" i="1"/>
  <c r="P341" i="1"/>
  <c r="M341" i="1" s="1"/>
  <c r="H341" i="1"/>
  <c r="G342" i="1" a="1"/>
  <c r="G342" i="1" s="1"/>
  <c r="BB342" i="1" a="1"/>
  <c r="BB342" i="1" s="1"/>
  <c r="BD342" i="1" a="1"/>
  <c r="BD342" i="1" s="1"/>
  <c r="BF342" i="1" a="1"/>
  <c r="BF342" i="1" s="1"/>
  <c r="AW342" i="1" a="1"/>
  <c r="AW342" i="1" s="1"/>
  <c r="AS342" i="1" a="1"/>
  <c r="AS342" i="1" s="1"/>
  <c r="BA342" i="1" a="1"/>
  <c r="BA342" i="1" s="1"/>
  <c r="BE342" i="1" a="1"/>
  <c r="BE342" i="1" s="1"/>
  <c r="AR342" i="1" a="1"/>
  <c r="AR342" i="1" s="1"/>
  <c r="AH342" i="1" a="1"/>
  <c r="AH342" i="1" s="1"/>
  <c r="AJ342" i="1" a="1"/>
  <c r="AJ342" i="1" s="1"/>
  <c r="AL342" i="1" a="1"/>
  <c r="AL342" i="1" s="1"/>
  <c r="AD342" i="1" a="1"/>
  <c r="AD342" i="1" s="1"/>
  <c r="Z342" i="1" a="1"/>
  <c r="Z342" i="1" s="1"/>
  <c r="S342" i="1" a="1"/>
  <c r="S342" i="1" s="1"/>
  <c r="U342" i="1" a="1"/>
  <c r="U342" i="1" s="1"/>
  <c r="W342" i="1" a="1"/>
  <c r="W342" i="1" s="1"/>
  <c r="O342" i="1" a="1"/>
  <c r="O342" i="1" s="1"/>
  <c r="K342" i="1" a="1"/>
  <c r="K342" i="1" s="1"/>
  <c r="J342" i="1" a="1"/>
  <c r="J342" i="1" s="1"/>
  <c r="F342" i="1" a="1"/>
  <c r="F342" i="1" s="1"/>
  <c r="H342" i="1" s="1"/>
  <c r="BC342" i="1" a="1"/>
  <c r="BC342" i="1" s="1"/>
  <c r="AV342" i="1" a="1"/>
  <c r="AV342" i="1" s="1"/>
  <c r="AI342" i="1" a="1"/>
  <c r="AI342" i="1" s="1"/>
  <c r="AC342" i="1" a="1"/>
  <c r="AC342" i="1" s="1"/>
  <c r="R342" i="1" a="1"/>
  <c r="R342" i="1" s="1"/>
  <c r="V342" i="1" a="1"/>
  <c r="V342" i="1" s="1"/>
  <c r="AG342" i="1" a="1"/>
  <c r="AG342" i="1" s="1"/>
  <c r="AK342" i="1" a="1"/>
  <c r="AK342" i="1" s="1"/>
  <c r="Y342" i="1" a="1"/>
  <c r="Y342" i="1" s="1"/>
  <c r="T342" i="1" a="1"/>
  <c r="T342" i="1" s="1"/>
  <c r="N342" i="1" a="1"/>
  <c r="N342" i="1" s="1"/>
  <c r="I341" i="1"/>
  <c r="Q341" i="1" a="1"/>
  <c r="Q341" i="1" s="1"/>
  <c r="X341" i="1"/>
  <c r="AF341" i="1"/>
  <c r="A342" i="1"/>
  <c r="B343" i="1"/>
  <c r="AY341" i="1" l="1"/>
  <c r="D343" i="1"/>
  <c r="E343" i="1"/>
  <c r="C343" i="1"/>
  <c r="AZ343" i="1" s="1"/>
  <c r="L342" i="1"/>
  <c r="AX342" i="1"/>
  <c r="AT342" i="1"/>
  <c r="AE342" i="1"/>
  <c r="AB342" i="1" s="1"/>
  <c r="AO341" i="1"/>
  <c r="P342" i="1"/>
  <c r="M342" i="1" s="1"/>
  <c r="AA342" i="1"/>
  <c r="F343" i="1" a="1"/>
  <c r="F343" i="1" s="1"/>
  <c r="BB343" i="1" a="1"/>
  <c r="BB343" i="1" s="1"/>
  <c r="BD343" i="1" a="1"/>
  <c r="BD343" i="1" s="1"/>
  <c r="BF343" i="1" a="1"/>
  <c r="BF343" i="1" s="1"/>
  <c r="AV343" i="1" a="1"/>
  <c r="AV343" i="1" s="1"/>
  <c r="AR343" i="1" a="1"/>
  <c r="AR343" i="1" s="1"/>
  <c r="BC343" i="1" a="1"/>
  <c r="BC343" i="1" s="1"/>
  <c r="AS343" i="1" a="1"/>
  <c r="AS343" i="1" s="1"/>
  <c r="AT343" i="1" s="1"/>
  <c r="AH343" i="1" a="1"/>
  <c r="AH343" i="1" s="1"/>
  <c r="AJ343" i="1" a="1"/>
  <c r="AJ343" i="1" s="1"/>
  <c r="AL343" i="1" a="1"/>
  <c r="AL343" i="1" s="1"/>
  <c r="AC343" i="1" a="1"/>
  <c r="AC343" i="1" s="1"/>
  <c r="Y343" i="1" a="1"/>
  <c r="Y343" i="1" s="1"/>
  <c r="S343" i="1" a="1"/>
  <c r="S343" i="1" s="1"/>
  <c r="U343" i="1" a="1"/>
  <c r="U343" i="1" s="1"/>
  <c r="W343" i="1" a="1"/>
  <c r="W343" i="1" s="1"/>
  <c r="N343" i="1" a="1"/>
  <c r="N343" i="1" s="1"/>
  <c r="G343" i="1" a="1"/>
  <c r="G343" i="1" s="1"/>
  <c r="BA343" i="1" a="1"/>
  <c r="BA343" i="1" s="1"/>
  <c r="BE343" i="1" a="1"/>
  <c r="BE343" i="1" s="1"/>
  <c r="AW343" i="1" a="1"/>
  <c r="AW343" i="1" s="1"/>
  <c r="AX343" i="1" s="1"/>
  <c r="AG343" i="1" a="1"/>
  <c r="AG343" i="1" s="1"/>
  <c r="AK343" i="1" a="1"/>
  <c r="AK343" i="1" s="1"/>
  <c r="AD343" i="1" a="1"/>
  <c r="AD343" i="1" s="1"/>
  <c r="T343" i="1" a="1"/>
  <c r="T343" i="1" s="1"/>
  <c r="K343" i="1" a="1"/>
  <c r="K343" i="1" s="1"/>
  <c r="AI343" i="1" a="1"/>
  <c r="AI343" i="1" s="1"/>
  <c r="Z343" i="1" a="1"/>
  <c r="Z343" i="1" s="1"/>
  <c r="R343" i="1" a="1"/>
  <c r="R343" i="1" s="1"/>
  <c r="V343" i="1" a="1"/>
  <c r="V343" i="1" s="1"/>
  <c r="O343" i="1" a="1"/>
  <c r="O343" i="1" s="1"/>
  <c r="P343" i="1" s="1"/>
  <c r="M343" i="1" s="1"/>
  <c r="J343" i="1" a="1"/>
  <c r="J343" i="1" s="1"/>
  <c r="Q342" i="1" a="1"/>
  <c r="Q342" i="1" s="1"/>
  <c r="I342" i="1"/>
  <c r="X342" i="1"/>
  <c r="AF342" i="1"/>
  <c r="A343" i="1"/>
  <c r="B344" i="1"/>
  <c r="AA343" i="1" l="1"/>
  <c r="D344" i="1"/>
  <c r="E344" i="1"/>
  <c r="C344" i="1"/>
  <c r="AZ344" i="1" s="1"/>
  <c r="AE343" i="1"/>
  <c r="AB343" i="1" s="1"/>
  <c r="AY342" i="1"/>
  <c r="L343" i="1"/>
  <c r="AO342" i="1"/>
  <c r="H343" i="1"/>
  <c r="AY343" i="1" s="1"/>
  <c r="G344" i="1" a="1"/>
  <c r="G344" i="1" s="1"/>
  <c r="BB344" i="1" a="1"/>
  <c r="BB344" i="1" s="1"/>
  <c r="BD344" i="1" a="1"/>
  <c r="BD344" i="1" s="1"/>
  <c r="BF344" i="1" a="1"/>
  <c r="BF344" i="1" s="1"/>
  <c r="AW344" i="1" a="1"/>
  <c r="AW344" i="1" s="1"/>
  <c r="AS344" i="1" a="1"/>
  <c r="AS344" i="1" s="1"/>
  <c r="F344" i="1" a="1"/>
  <c r="F344" i="1" s="1"/>
  <c r="H344" i="1" s="1"/>
  <c r="BA344" i="1" a="1"/>
  <c r="BA344" i="1" s="1"/>
  <c r="BE344" i="1" a="1"/>
  <c r="BE344" i="1" s="1"/>
  <c r="AV344" i="1" a="1"/>
  <c r="AV344" i="1" s="1"/>
  <c r="AH344" i="1" a="1"/>
  <c r="AH344" i="1" s="1"/>
  <c r="AJ344" i="1" a="1"/>
  <c r="AJ344" i="1" s="1"/>
  <c r="AL344" i="1" a="1"/>
  <c r="AL344" i="1" s="1"/>
  <c r="AD344" i="1" a="1"/>
  <c r="AD344" i="1" s="1"/>
  <c r="Z344" i="1" a="1"/>
  <c r="Z344" i="1" s="1"/>
  <c r="S344" i="1" a="1"/>
  <c r="S344" i="1" s="1"/>
  <c r="U344" i="1" a="1"/>
  <c r="U344" i="1" s="1"/>
  <c r="W344" i="1" a="1"/>
  <c r="W344" i="1" s="1"/>
  <c r="O344" i="1" a="1"/>
  <c r="O344" i="1" s="1"/>
  <c r="K344" i="1" a="1"/>
  <c r="K344" i="1" s="1"/>
  <c r="J344" i="1" a="1"/>
  <c r="J344" i="1" s="1"/>
  <c r="BC344" i="1" a="1"/>
  <c r="BC344" i="1" s="1"/>
  <c r="AI344" i="1" a="1"/>
  <c r="AI344" i="1" s="1"/>
  <c r="Y344" i="1" a="1"/>
  <c r="Y344" i="1" s="1"/>
  <c r="R344" i="1" a="1"/>
  <c r="R344" i="1" s="1"/>
  <c r="V344" i="1" a="1"/>
  <c r="V344" i="1" s="1"/>
  <c r="N344" i="1" a="1"/>
  <c r="N344" i="1" s="1"/>
  <c r="AR344" i="1" a="1"/>
  <c r="AR344" i="1" s="1"/>
  <c r="AG344" i="1" a="1"/>
  <c r="AG344" i="1" s="1"/>
  <c r="AK344" i="1" a="1"/>
  <c r="AK344" i="1" s="1"/>
  <c r="AC344" i="1" a="1"/>
  <c r="AC344" i="1" s="1"/>
  <c r="T344" i="1" a="1"/>
  <c r="T344" i="1" s="1"/>
  <c r="X343" i="1"/>
  <c r="AF343" i="1"/>
  <c r="I343" i="1"/>
  <c r="Q343" i="1" a="1"/>
  <c r="Q343" i="1" s="1"/>
  <c r="AO343" i="1" s="1"/>
  <c r="A344" i="1"/>
  <c r="B345" i="1"/>
  <c r="D345" i="1" l="1"/>
  <c r="E345" i="1"/>
  <c r="C345" i="1"/>
  <c r="AX344" i="1"/>
  <c r="AT344" i="1"/>
  <c r="P344" i="1"/>
  <c r="M344" i="1" s="1"/>
  <c r="AA344" i="1"/>
  <c r="L344" i="1"/>
  <c r="AE344" i="1"/>
  <c r="AB344" i="1" s="1"/>
  <c r="F345" i="1" a="1"/>
  <c r="F345" i="1" s="1"/>
  <c r="BB345" i="1" a="1"/>
  <c r="BB345" i="1" s="1"/>
  <c r="BD345" i="1" a="1"/>
  <c r="BD345" i="1" s="1"/>
  <c r="BF345" i="1" a="1"/>
  <c r="BF345" i="1" s="1"/>
  <c r="AV345" i="1" a="1"/>
  <c r="AV345" i="1" s="1"/>
  <c r="AR345" i="1" a="1"/>
  <c r="AR345" i="1" s="1"/>
  <c r="G345" i="1" a="1"/>
  <c r="G345" i="1" s="1"/>
  <c r="BC345" i="1" a="1"/>
  <c r="BC345" i="1" s="1"/>
  <c r="AW345" i="1" a="1"/>
  <c r="AW345" i="1" s="1"/>
  <c r="AX345" i="1" s="1"/>
  <c r="AH345" i="1" a="1"/>
  <c r="AH345" i="1" s="1"/>
  <c r="AJ345" i="1" a="1"/>
  <c r="AJ345" i="1" s="1"/>
  <c r="AL345" i="1" a="1"/>
  <c r="AL345" i="1" s="1"/>
  <c r="AC345" i="1" a="1"/>
  <c r="AC345" i="1" s="1"/>
  <c r="Y345" i="1" a="1"/>
  <c r="Y345" i="1" s="1"/>
  <c r="S345" i="1" a="1"/>
  <c r="S345" i="1" s="1"/>
  <c r="U345" i="1" a="1"/>
  <c r="U345" i="1" s="1"/>
  <c r="W345" i="1" a="1"/>
  <c r="W345" i="1" s="1"/>
  <c r="N345" i="1" a="1"/>
  <c r="N345" i="1" s="1"/>
  <c r="BA345" i="1" a="1"/>
  <c r="BA345" i="1" s="1"/>
  <c r="BE345" i="1" a="1"/>
  <c r="BE345" i="1" s="1"/>
  <c r="AS345" i="1" a="1"/>
  <c r="AS345" i="1" s="1"/>
  <c r="AT345" i="1" s="1"/>
  <c r="AG345" i="1" a="1"/>
  <c r="AG345" i="1" s="1"/>
  <c r="AK345" i="1" a="1"/>
  <c r="AK345" i="1" s="1"/>
  <c r="Z345" i="1" a="1"/>
  <c r="Z345" i="1" s="1"/>
  <c r="AA345" i="1" s="1"/>
  <c r="T345" i="1" a="1"/>
  <c r="T345" i="1" s="1"/>
  <c r="O345" i="1" a="1"/>
  <c r="O345" i="1" s="1"/>
  <c r="P345" i="1" s="1"/>
  <c r="M345" i="1" s="1"/>
  <c r="J345" i="1" a="1"/>
  <c r="J345" i="1" s="1"/>
  <c r="AI345" i="1" a="1"/>
  <c r="AI345" i="1" s="1"/>
  <c r="AD345" i="1" a="1"/>
  <c r="AD345" i="1" s="1"/>
  <c r="AE345" i="1" s="1"/>
  <c r="AB345" i="1" s="1"/>
  <c r="R345" i="1" a="1"/>
  <c r="R345" i="1" s="1"/>
  <c r="V345" i="1" a="1"/>
  <c r="V345" i="1" s="1"/>
  <c r="K345" i="1" a="1"/>
  <c r="K345" i="1" s="1"/>
  <c r="Q344" i="1" a="1"/>
  <c r="Q344" i="1" s="1"/>
  <c r="I344" i="1"/>
  <c r="X344" i="1"/>
  <c r="AF344" i="1"/>
  <c r="A345" i="1"/>
  <c r="B346" i="1"/>
  <c r="D346" i="1" l="1"/>
  <c r="E346" i="1"/>
  <c r="C346" i="1"/>
  <c r="AY344" i="1"/>
  <c r="L345" i="1"/>
  <c r="AO344" i="1"/>
  <c r="H345" i="1"/>
  <c r="AY345" i="1" s="1"/>
  <c r="G346" i="1" a="1"/>
  <c r="G346" i="1" s="1"/>
  <c r="BB346" i="1" a="1"/>
  <c r="BB346" i="1" s="1"/>
  <c r="BD346" i="1" a="1"/>
  <c r="BD346" i="1" s="1"/>
  <c r="BF346" i="1" a="1"/>
  <c r="BF346" i="1" s="1"/>
  <c r="AW346" i="1" a="1"/>
  <c r="AW346" i="1" s="1"/>
  <c r="AS346" i="1" a="1"/>
  <c r="AS346" i="1" s="1"/>
  <c r="BA346" i="1" a="1"/>
  <c r="BA346" i="1" s="1"/>
  <c r="BE346" i="1" a="1"/>
  <c r="BE346" i="1" s="1"/>
  <c r="AR346" i="1" a="1"/>
  <c r="AR346" i="1" s="1"/>
  <c r="AH346" i="1" a="1"/>
  <c r="AH346" i="1" s="1"/>
  <c r="AJ346" i="1" a="1"/>
  <c r="AJ346" i="1" s="1"/>
  <c r="AL346" i="1" a="1"/>
  <c r="AL346" i="1" s="1"/>
  <c r="AD346" i="1" a="1"/>
  <c r="AD346" i="1" s="1"/>
  <c r="Z346" i="1" a="1"/>
  <c r="Z346" i="1" s="1"/>
  <c r="S346" i="1" a="1"/>
  <c r="S346" i="1" s="1"/>
  <c r="U346" i="1" a="1"/>
  <c r="U346" i="1" s="1"/>
  <c r="W346" i="1" a="1"/>
  <c r="W346" i="1" s="1"/>
  <c r="O346" i="1" a="1"/>
  <c r="O346" i="1" s="1"/>
  <c r="K346" i="1" a="1"/>
  <c r="K346" i="1" s="1"/>
  <c r="J346" i="1" a="1"/>
  <c r="J346" i="1" s="1"/>
  <c r="F346" i="1" a="1"/>
  <c r="F346" i="1" s="1"/>
  <c r="H346" i="1" s="1"/>
  <c r="BC346" i="1" a="1"/>
  <c r="BC346" i="1" s="1"/>
  <c r="AV346" i="1" a="1"/>
  <c r="AV346" i="1" s="1"/>
  <c r="AI346" i="1" a="1"/>
  <c r="AI346" i="1" s="1"/>
  <c r="AC346" i="1" a="1"/>
  <c r="AC346" i="1" s="1"/>
  <c r="R346" i="1" a="1"/>
  <c r="R346" i="1" s="1"/>
  <c r="V346" i="1" a="1"/>
  <c r="V346" i="1" s="1"/>
  <c r="AG346" i="1" a="1"/>
  <c r="AG346" i="1" s="1"/>
  <c r="AK346" i="1" a="1"/>
  <c r="AK346" i="1" s="1"/>
  <c r="Y346" i="1" a="1"/>
  <c r="Y346" i="1" s="1"/>
  <c r="T346" i="1" a="1"/>
  <c r="T346" i="1" s="1"/>
  <c r="N346" i="1" a="1"/>
  <c r="N346" i="1" s="1"/>
  <c r="I345" i="1"/>
  <c r="Q345" i="1" a="1"/>
  <c r="Q345" i="1" s="1"/>
  <c r="X345" i="1"/>
  <c r="AF345" i="1"/>
  <c r="A346" i="1"/>
  <c r="B347" i="1"/>
  <c r="D347" i="1" l="1"/>
  <c r="E347" i="1"/>
  <c r="C347" i="1"/>
  <c r="AZ347" i="1" s="1"/>
  <c r="AT346" i="1"/>
  <c r="L346" i="1"/>
  <c r="AX346" i="1"/>
  <c r="AO345" i="1"/>
  <c r="P346" i="1"/>
  <c r="M346" i="1" s="1"/>
  <c r="AA346" i="1"/>
  <c r="AE346" i="1"/>
  <c r="AB346" i="1" s="1"/>
  <c r="F347" i="1" a="1"/>
  <c r="F347" i="1" s="1"/>
  <c r="BB347" i="1" a="1"/>
  <c r="BB347" i="1" s="1"/>
  <c r="BD347" i="1" a="1"/>
  <c r="BD347" i="1" s="1"/>
  <c r="BF347" i="1" a="1"/>
  <c r="BF347" i="1" s="1"/>
  <c r="AV347" i="1" a="1"/>
  <c r="AV347" i="1" s="1"/>
  <c r="AR347" i="1" a="1"/>
  <c r="AR347" i="1" s="1"/>
  <c r="BC347" i="1" a="1"/>
  <c r="BC347" i="1" s="1"/>
  <c r="AS347" i="1" a="1"/>
  <c r="AS347" i="1" s="1"/>
  <c r="AT347" i="1" s="1"/>
  <c r="AH347" i="1" a="1"/>
  <c r="AH347" i="1" s="1"/>
  <c r="AJ347" i="1" a="1"/>
  <c r="AJ347" i="1" s="1"/>
  <c r="AL347" i="1" a="1"/>
  <c r="AL347" i="1" s="1"/>
  <c r="AC347" i="1" a="1"/>
  <c r="AC347" i="1" s="1"/>
  <c r="Y347" i="1" a="1"/>
  <c r="Y347" i="1" s="1"/>
  <c r="S347" i="1" a="1"/>
  <c r="S347" i="1" s="1"/>
  <c r="U347" i="1" a="1"/>
  <c r="U347" i="1" s="1"/>
  <c r="W347" i="1" a="1"/>
  <c r="W347" i="1" s="1"/>
  <c r="N347" i="1" a="1"/>
  <c r="N347" i="1" s="1"/>
  <c r="G347" i="1" a="1"/>
  <c r="G347" i="1" s="1"/>
  <c r="BA347" i="1" a="1"/>
  <c r="BA347" i="1" s="1"/>
  <c r="BE347" i="1" a="1"/>
  <c r="BE347" i="1" s="1"/>
  <c r="AW347" i="1" a="1"/>
  <c r="AW347" i="1" s="1"/>
  <c r="AX347" i="1" s="1"/>
  <c r="AG347" i="1" a="1"/>
  <c r="AG347" i="1" s="1"/>
  <c r="AK347" i="1" a="1"/>
  <c r="AK347" i="1" s="1"/>
  <c r="AD347" i="1" a="1"/>
  <c r="AD347" i="1" s="1"/>
  <c r="AE347" i="1" s="1"/>
  <c r="AB347" i="1" s="1"/>
  <c r="T347" i="1" a="1"/>
  <c r="T347" i="1" s="1"/>
  <c r="K347" i="1" a="1"/>
  <c r="K347" i="1" s="1"/>
  <c r="AI347" i="1" a="1"/>
  <c r="AI347" i="1" s="1"/>
  <c r="Z347" i="1" a="1"/>
  <c r="Z347" i="1" s="1"/>
  <c r="R347" i="1" a="1"/>
  <c r="R347" i="1" s="1"/>
  <c r="V347" i="1" a="1"/>
  <c r="V347" i="1" s="1"/>
  <c r="O347" i="1" a="1"/>
  <c r="O347" i="1" s="1"/>
  <c r="P347" i="1" s="1"/>
  <c r="M347" i="1" s="1"/>
  <c r="J347" i="1" a="1"/>
  <c r="J347" i="1" s="1"/>
  <c r="Q346" i="1" a="1"/>
  <c r="Q346" i="1" s="1"/>
  <c r="I346" i="1"/>
  <c r="X346" i="1"/>
  <c r="AF346" i="1"/>
  <c r="A347" i="1"/>
  <c r="B348" i="1"/>
  <c r="AA347" i="1" l="1"/>
  <c r="D348" i="1"/>
  <c r="E348" i="1"/>
  <c r="C348" i="1"/>
  <c r="AZ348" i="1" s="1"/>
  <c r="AY346" i="1"/>
  <c r="AO346" i="1"/>
  <c r="L347" i="1"/>
  <c r="H347" i="1"/>
  <c r="AY347" i="1" s="1"/>
  <c r="G348" i="1" a="1"/>
  <c r="G348" i="1" s="1"/>
  <c r="BB348" i="1" a="1"/>
  <c r="BB348" i="1" s="1"/>
  <c r="BD348" i="1" a="1"/>
  <c r="BD348" i="1" s="1"/>
  <c r="BF348" i="1" a="1"/>
  <c r="BF348" i="1" s="1"/>
  <c r="AW348" i="1" a="1"/>
  <c r="AW348" i="1" s="1"/>
  <c r="AS348" i="1" a="1"/>
  <c r="AS348" i="1" s="1"/>
  <c r="F348" i="1" a="1"/>
  <c r="F348" i="1" s="1"/>
  <c r="H348" i="1" s="1"/>
  <c r="BA348" i="1" a="1"/>
  <c r="BA348" i="1" s="1"/>
  <c r="BE348" i="1" a="1"/>
  <c r="BE348" i="1" s="1"/>
  <c r="AV348" i="1" a="1"/>
  <c r="AV348" i="1" s="1"/>
  <c r="AH348" i="1" a="1"/>
  <c r="AH348" i="1" s="1"/>
  <c r="AJ348" i="1" a="1"/>
  <c r="AJ348" i="1" s="1"/>
  <c r="AL348" i="1" a="1"/>
  <c r="AL348" i="1" s="1"/>
  <c r="AD348" i="1" a="1"/>
  <c r="AD348" i="1" s="1"/>
  <c r="Z348" i="1" a="1"/>
  <c r="Z348" i="1" s="1"/>
  <c r="S348" i="1" a="1"/>
  <c r="S348" i="1" s="1"/>
  <c r="U348" i="1" a="1"/>
  <c r="U348" i="1" s="1"/>
  <c r="W348" i="1" a="1"/>
  <c r="W348" i="1" s="1"/>
  <c r="O348" i="1" a="1"/>
  <c r="O348" i="1" s="1"/>
  <c r="K348" i="1" a="1"/>
  <c r="K348" i="1" s="1"/>
  <c r="J348" i="1" a="1"/>
  <c r="J348" i="1" s="1"/>
  <c r="BC348" i="1" a="1"/>
  <c r="BC348" i="1" s="1"/>
  <c r="AR348" i="1" a="1"/>
  <c r="AR348" i="1" s="1"/>
  <c r="AI348" i="1" a="1"/>
  <c r="AI348" i="1" s="1"/>
  <c r="Y348" i="1" a="1"/>
  <c r="Y348" i="1" s="1"/>
  <c r="R348" i="1" a="1"/>
  <c r="R348" i="1" s="1"/>
  <c r="V348" i="1" a="1"/>
  <c r="V348" i="1" s="1"/>
  <c r="N348" i="1" a="1"/>
  <c r="N348" i="1" s="1"/>
  <c r="AG348" i="1" a="1"/>
  <c r="AG348" i="1" s="1"/>
  <c r="AK348" i="1" a="1"/>
  <c r="AK348" i="1" s="1"/>
  <c r="AC348" i="1" a="1"/>
  <c r="AC348" i="1" s="1"/>
  <c r="T348" i="1" a="1"/>
  <c r="T348" i="1" s="1"/>
  <c r="X347" i="1"/>
  <c r="AF347" i="1"/>
  <c r="I347" i="1"/>
  <c r="Q347" i="1" a="1"/>
  <c r="Q347" i="1" s="1"/>
  <c r="AO347" i="1" s="1"/>
  <c r="A348" i="1"/>
  <c r="B349" i="1"/>
  <c r="AZ346" i="1" l="1"/>
  <c r="D349" i="1"/>
  <c r="E349" i="1"/>
  <c r="C349" i="1"/>
  <c r="AZ349" i="1" s="1"/>
  <c r="AX348" i="1"/>
  <c r="AT348" i="1"/>
  <c r="L348" i="1"/>
  <c r="AE348" i="1"/>
  <c r="AB348" i="1" s="1"/>
  <c r="P348" i="1"/>
  <c r="M348" i="1" s="1"/>
  <c r="AA348" i="1"/>
  <c r="F349" i="1" a="1"/>
  <c r="F349" i="1" s="1"/>
  <c r="BB349" i="1" a="1"/>
  <c r="BB349" i="1" s="1"/>
  <c r="BD349" i="1" a="1"/>
  <c r="BD349" i="1" s="1"/>
  <c r="BF349" i="1" a="1"/>
  <c r="BF349" i="1" s="1"/>
  <c r="AV349" i="1" a="1"/>
  <c r="AV349" i="1" s="1"/>
  <c r="AR349" i="1" a="1"/>
  <c r="AR349" i="1" s="1"/>
  <c r="G349" i="1" a="1"/>
  <c r="G349" i="1" s="1"/>
  <c r="BC349" i="1" a="1"/>
  <c r="BC349" i="1" s="1"/>
  <c r="AW349" i="1" a="1"/>
  <c r="AW349" i="1" s="1"/>
  <c r="AX349" i="1" s="1"/>
  <c r="AH349" i="1" a="1"/>
  <c r="AH349" i="1" s="1"/>
  <c r="AJ349" i="1" a="1"/>
  <c r="AJ349" i="1" s="1"/>
  <c r="AL349" i="1" a="1"/>
  <c r="AL349" i="1" s="1"/>
  <c r="AC349" i="1" a="1"/>
  <c r="AC349" i="1" s="1"/>
  <c r="Y349" i="1" a="1"/>
  <c r="Y349" i="1" s="1"/>
  <c r="S349" i="1" a="1"/>
  <c r="S349" i="1" s="1"/>
  <c r="U349" i="1" a="1"/>
  <c r="U349" i="1" s="1"/>
  <c r="W349" i="1" a="1"/>
  <c r="W349" i="1" s="1"/>
  <c r="N349" i="1" a="1"/>
  <c r="N349" i="1" s="1"/>
  <c r="BA349" i="1" a="1"/>
  <c r="BA349" i="1" s="1"/>
  <c r="BE349" i="1" a="1"/>
  <c r="BE349" i="1" s="1"/>
  <c r="AG349" i="1" a="1"/>
  <c r="AG349" i="1" s="1"/>
  <c r="AK349" i="1" a="1"/>
  <c r="AK349" i="1" s="1"/>
  <c r="Z349" i="1" a="1"/>
  <c r="Z349" i="1" s="1"/>
  <c r="T349" i="1" a="1"/>
  <c r="T349" i="1" s="1"/>
  <c r="O349" i="1" a="1"/>
  <c r="O349" i="1" s="1"/>
  <c r="J349" i="1" a="1"/>
  <c r="J349" i="1" s="1"/>
  <c r="AS349" i="1" a="1"/>
  <c r="AS349" i="1" s="1"/>
  <c r="AT349" i="1" s="1"/>
  <c r="AI349" i="1" a="1"/>
  <c r="AI349" i="1" s="1"/>
  <c r="AD349" i="1" a="1"/>
  <c r="AD349" i="1" s="1"/>
  <c r="AE349" i="1" s="1"/>
  <c r="AB349" i="1" s="1"/>
  <c r="R349" i="1" a="1"/>
  <c r="R349" i="1" s="1"/>
  <c r="V349" i="1" a="1"/>
  <c r="V349" i="1" s="1"/>
  <c r="K349" i="1" a="1"/>
  <c r="K349" i="1" s="1"/>
  <c r="L349" i="1" s="1"/>
  <c r="Q348" i="1" a="1"/>
  <c r="Q348" i="1" s="1"/>
  <c r="I348" i="1"/>
  <c r="X348" i="1"/>
  <c r="AF348" i="1"/>
  <c r="A349" i="1"/>
  <c r="B350" i="1"/>
  <c r="D350" i="1" l="1"/>
  <c r="E350" i="1"/>
  <c r="C350" i="1"/>
  <c r="AZ350" i="1" s="1"/>
  <c r="AY348" i="1"/>
  <c r="AO348" i="1"/>
  <c r="P349" i="1"/>
  <c r="M349" i="1" s="1"/>
  <c r="AA349" i="1"/>
  <c r="H349" i="1"/>
  <c r="AY349" i="1" s="1"/>
  <c r="G350" i="1" a="1"/>
  <c r="G350" i="1" s="1"/>
  <c r="BB350" i="1" a="1"/>
  <c r="BB350" i="1" s="1"/>
  <c r="BD350" i="1" a="1"/>
  <c r="BD350" i="1" s="1"/>
  <c r="BF350" i="1" a="1"/>
  <c r="BF350" i="1" s="1"/>
  <c r="AW350" i="1" a="1"/>
  <c r="AW350" i="1" s="1"/>
  <c r="AS350" i="1" a="1"/>
  <c r="AS350" i="1" s="1"/>
  <c r="BA350" i="1" a="1"/>
  <c r="BA350" i="1" s="1"/>
  <c r="BE350" i="1" a="1"/>
  <c r="BE350" i="1" s="1"/>
  <c r="AR350" i="1" a="1"/>
  <c r="AR350" i="1" s="1"/>
  <c r="AH350" i="1" a="1"/>
  <c r="AH350" i="1" s="1"/>
  <c r="AJ350" i="1" a="1"/>
  <c r="AJ350" i="1" s="1"/>
  <c r="AL350" i="1" a="1"/>
  <c r="AL350" i="1" s="1"/>
  <c r="AD350" i="1" a="1"/>
  <c r="AD350" i="1" s="1"/>
  <c r="Z350" i="1" a="1"/>
  <c r="Z350" i="1" s="1"/>
  <c r="S350" i="1" a="1"/>
  <c r="S350" i="1" s="1"/>
  <c r="U350" i="1" a="1"/>
  <c r="U350" i="1" s="1"/>
  <c r="W350" i="1" a="1"/>
  <c r="W350" i="1" s="1"/>
  <c r="O350" i="1" a="1"/>
  <c r="O350" i="1" s="1"/>
  <c r="K350" i="1" a="1"/>
  <c r="K350" i="1" s="1"/>
  <c r="J350" i="1" a="1"/>
  <c r="J350" i="1" s="1"/>
  <c r="F350" i="1" a="1"/>
  <c r="F350" i="1" s="1"/>
  <c r="H350" i="1" s="1"/>
  <c r="BC350" i="1" a="1"/>
  <c r="BC350" i="1" s="1"/>
  <c r="AV350" i="1" a="1"/>
  <c r="AV350" i="1" s="1"/>
  <c r="AI350" i="1" a="1"/>
  <c r="AI350" i="1" s="1"/>
  <c r="AC350" i="1" a="1"/>
  <c r="AC350" i="1" s="1"/>
  <c r="R350" i="1" a="1"/>
  <c r="R350" i="1" s="1"/>
  <c r="V350" i="1" a="1"/>
  <c r="V350" i="1" s="1"/>
  <c r="AG350" i="1" a="1"/>
  <c r="AG350" i="1" s="1"/>
  <c r="AK350" i="1" a="1"/>
  <c r="AK350" i="1" s="1"/>
  <c r="Y350" i="1" a="1"/>
  <c r="Y350" i="1" s="1"/>
  <c r="T350" i="1" a="1"/>
  <c r="T350" i="1" s="1"/>
  <c r="N350" i="1" a="1"/>
  <c r="N350" i="1" s="1"/>
  <c r="I349" i="1"/>
  <c r="Q349" i="1" a="1"/>
  <c r="Q349" i="1" s="1"/>
  <c r="X349" i="1"/>
  <c r="AF349" i="1"/>
  <c r="A350" i="1"/>
  <c r="B351" i="1"/>
  <c r="D351" i="1" l="1"/>
  <c r="E351" i="1"/>
  <c r="C351" i="1"/>
  <c r="AZ351" i="1" s="1"/>
  <c r="AT350" i="1"/>
  <c r="AX350" i="1"/>
  <c r="L350" i="1"/>
  <c r="AE350" i="1"/>
  <c r="AB350" i="1" s="1"/>
  <c r="AO349" i="1"/>
  <c r="P350" i="1"/>
  <c r="M350" i="1" s="1"/>
  <c r="AA350" i="1"/>
  <c r="F351" i="1" a="1"/>
  <c r="F351" i="1" s="1"/>
  <c r="BB351" i="1" a="1"/>
  <c r="BB351" i="1" s="1"/>
  <c r="BD351" i="1" a="1"/>
  <c r="BD351" i="1" s="1"/>
  <c r="BF351" i="1" a="1"/>
  <c r="BF351" i="1" s="1"/>
  <c r="AV351" i="1" a="1"/>
  <c r="AV351" i="1" s="1"/>
  <c r="AR351" i="1" a="1"/>
  <c r="AR351" i="1" s="1"/>
  <c r="BC351" i="1" a="1"/>
  <c r="BC351" i="1" s="1"/>
  <c r="AS351" i="1" a="1"/>
  <c r="AS351" i="1" s="1"/>
  <c r="AT351" i="1" s="1"/>
  <c r="AH351" i="1" a="1"/>
  <c r="AH351" i="1" s="1"/>
  <c r="AJ351" i="1" a="1"/>
  <c r="AJ351" i="1" s="1"/>
  <c r="AL351" i="1" a="1"/>
  <c r="AL351" i="1" s="1"/>
  <c r="AC351" i="1" a="1"/>
  <c r="AC351" i="1" s="1"/>
  <c r="Y351" i="1" a="1"/>
  <c r="Y351" i="1" s="1"/>
  <c r="S351" i="1" a="1"/>
  <c r="S351" i="1" s="1"/>
  <c r="U351" i="1" a="1"/>
  <c r="U351" i="1" s="1"/>
  <c r="W351" i="1" a="1"/>
  <c r="W351" i="1" s="1"/>
  <c r="N351" i="1" a="1"/>
  <c r="N351" i="1" s="1"/>
  <c r="G351" i="1" a="1"/>
  <c r="G351" i="1" s="1"/>
  <c r="BA351" i="1" a="1"/>
  <c r="BA351" i="1" s="1"/>
  <c r="BE351" i="1" a="1"/>
  <c r="BE351" i="1" s="1"/>
  <c r="AW351" i="1" a="1"/>
  <c r="AW351" i="1" s="1"/>
  <c r="AX351" i="1" s="1"/>
  <c r="AG351" i="1" a="1"/>
  <c r="AG351" i="1" s="1"/>
  <c r="AK351" i="1" a="1"/>
  <c r="AK351" i="1" s="1"/>
  <c r="AD351" i="1" a="1"/>
  <c r="AD351" i="1" s="1"/>
  <c r="AE351" i="1" s="1"/>
  <c r="AB351" i="1" s="1"/>
  <c r="T351" i="1" a="1"/>
  <c r="T351" i="1" s="1"/>
  <c r="K351" i="1" a="1"/>
  <c r="K351" i="1" s="1"/>
  <c r="AI351" i="1" a="1"/>
  <c r="AI351" i="1" s="1"/>
  <c r="Z351" i="1" a="1"/>
  <c r="Z351" i="1" s="1"/>
  <c r="R351" i="1" a="1"/>
  <c r="R351" i="1" s="1"/>
  <c r="V351" i="1" a="1"/>
  <c r="V351" i="1" s="1"/>
  <c r="O351" i="1" a="1"/>
  <c r="O351" i="1" s="1"/>
  <c r="P351" i="1" s="1"/>
  <c r="M351" i="1" s="1"/>
  <c r="J351" i="1" a="1"/>
  <c r="J351" i="1" s="1"/>
  <c r="Q350" i="1" a="1"/>
  <c r="Q350" i="1" s="1"/>
  <c r="I350" i="1"/>
  <c r="X350" i="1"/>
  <c r="AF350" i="1"/>
  <c r="A351" i="1"/>
  <c r="B352" i="1"/>
  <c r="AA351" i="1" l="1"/>
  <c r="D352" i="1"/>
  <c r="E352" i="1"/>
  <c r="C352" i="1"/>
  <c r="AY350" i="1"/>
  <c r="L351" i="1"/>
  <c r="AO350" i="1"/>
  <c r="H351" i="1"/>
  <c r="AY351" i="1" s="1"/>
  <c r="G352" i="1" a="1"/>
  <c r="G352" i="1" s="1"/>
  <c r="BB352" i="1" a="1"/>
  <c r="BB352" i="1" s="1"/>
  <c r="BD352" i="1" a="1"/>
  <c r="BD352" i="1" s="1"/>
  <c r="BF352" i="1" a="1"/>
  <c r="BF352" i="1" s="1"/>
  <c r="AW352" i="1" a="1"/>
  <c r="AW352" i="1" s="1"/>
  <c r="AS352" i="1" a="1"/>
  <c r="AS352" i="1" s="1"/>
  <c r="F352" i="1" a="1"/>
  <c r="F352" i="1" s="1"/>
  <c r="H352" i="1" s="1"/>
  <c r="BA352" i="1" a="1"/>
  <c r="BA352" i="1" s="1"/>
  <c r="BE352" i="1" a="1"/>
  <c r="BE352" i="1" s="1"/>
  <c r="AV352" i="1" a="1"/>
  <c r="AV352" i="1" s="1"/>
  <c r="AH352" i="1" a="1"/>
  <c r="AH352" i="1" s="1"/>
  <c r="AJ352" i="1" a="1"/>
  <c r="AJ352" i="1" s="1"/>
  <c r="AL352" i="1" a="1"/>
  <c r="AL352" i="1" s="1"/>
  <c r="AD352" i="1" a="1"/>
  <c r="AD352" i="1" s="1"/>
  <c r="Z352" i="1" a="1"/>
  <c r="Z352" i="1" s="1"/>
  <c r="S352" i="1" a="1"/>
  <c r="S352" i="1" s="1"/>
  <c r="U352" i="1" a="1"/>
  <c r="U352" i="1" s="1"/>
  <c r="W352" i="1" a="1"/>
  <c r="W352" i="1" s="1"/>
  <c r="O352" i="1" a="1"/>
  <c r="O352" i="1" s="1"/>
  <c r="K352" i="1" a="1"/>
  <c r="K352" i="1" s="1"/>
  <c r="J352" i="1" a="1"/>
  <c r="J352" i="1" s="1"/>
  <c r="BC352" i="1" a="1"/>
  <c r="BC352" i="1" s="1"/>
  <c r="AI352" i="1" a="1"/>
  <c r="AI352" i="1" s="1"/>
  <c r="Y352" i="1" a="1"/>
  <c r="Y352" i="1" s="1"/>
  <c r="R352" i="1" a="1"/>
  <c r="R352" i="1" s="1"/>
  <c r="V352" i="1" a="1"/>
  <c r="V352" i="1" s="1"/>
  <c r="N352" i="1" a="1"/>
  <c r="N352" i="1" s="1"/>
  <c r="AR352" i="1" a="1"/>
  <c r="AR352" i="1" s="1"/>
  <c r="AG352" i="1" a="1"/>
  <c r="AG352" i="1" s="1"/>
  <c r="AK352" i="1" a="1"/>
  <c r="AK352" i="1" s="1"/>
  <c r="AC352" i="1" a="1"/>
  <c r="AC352" i="1" s="1"/>
  <c r="T352" i="1" a="1"/>
  <c r="T352" i="1" s="1"/>
  <c r="X351" i="1"/>
  <c r="AF351" i="1"/>
  <c r="I351" i="1"/>
  <c r="Q351" i="1" a="1"/>
  <c r="Q351" i="1" s="1"/>
  <c r="AO351" i="1" s="1"/>
  <c r="A352" i="1"/>
  <c r="B353" i="1"/>
  <c r="AZ352" i="1" l="1"/>
  <c r="D353" i="1"/>
  <c r="E353" i="1"/>
  <c r="C353" i="1"/>
  <c r="AZ353" i="1" s="1"/>
  <c r="AX352" i="1"/>
  <c r="AT352" i="1"/>
  <c r="AA352" i="1"/>
  <c r="P352" i="1"/>
  <c r="M352" i="1" s="1"/>
  <c r="L352" i="1"/>
  <c r="AE352" i="1"/>
  <c r="AB352" i="1" s="1"/>
  <c r="F353" i="1" a="1"/>
  <c r="F353" i="1" s="1"/>
  <c r="BB353" i="1" a="1"/>
  <c r="BB353" i="1" s="1"/>
  <c r="BD353" i="1" a="1"/>
  <c r="BD353" i="1" s="1"/>
  <c r="BF353" i="1" a="1"/>
  <c r="BF353" i="1" s="1"/>
  <c r="AV353" i="1" a="1"/>
  <c r="AV353" i="1" s="1"/>
  <c r="AR353" i="1" a="1"/>
  <c r="AR353" i="1" s="1"/>
  <c r="G353" i="1" a="1"/>
  <c r="G353" i="1" s="1"/>
  <c r="BC353" i="1" a="1"/>
  <c r="BC353" i="1" s="1"/>
  <c r="AW353" i="1" a="1"/>
  <c r="AW353" i="1" s="1"/>
  <c r="AH353" i="1" a="1"/>
  <c r="AH353" i="1" s="1"/>
  <c r="AJ353" i="1" a="1"/>
  <c r="AJ353" i="1" s="1"/>
  <c r="AL353" i="1" a="1"/>
  <c r="AL353" i="1" s="1"/>
  <c r="AC353" i="1" a="1"/>
  <c r="AC353" i="1" s="1"/>
  <c r="Y353" i="1" a="1"/>
  <c r="Y353" i="1" s="1"/>
  <c r="S353" i="1" a="1"/>
  <c r="S353" i="1" s="1"/>
  <c r="U353" i="1" a="1"/>
  <c r="U353" i="1" s="1"/>
  <c r="W353" i="1" a="1"/>
  <c r="W353" i="1" s="1"/>
  <c r="N353" i="1" a="1"/>
  <c r="N353" i="1" s="1"/>
  <c r="BA353" i="1" a="1"/>
  <c r="BA353" i="1" s="1"/>
  <c r="BE353" i="1" a="1"/>
  <c r="BE353" i="1" s="1"/>
  <c r="AS353" i="1" a="1"/>
  <c r="AS353" i="1" s="1"/>
  <c r="AT353" i="1" s="1"/>
  <c r="AG353" i="1" a="1"/>
  <c r="AG353" i="1" s="1"/>
  <c r="AK353" i="1" a="1"/>
  <c r="AK353" i="1" s="1"/>
  <c r="Z353" i="1" a="1"/>
  <c r="Z353" i="1" s="1"/>
  <c r="AA353" i="1" s="1"/>
  <c r="T353" i="1" a="1"/>
  <c r="T353" i="1" s="1"/>
  <c r="O353" i="1" a="1"/>
  <c r="O353" i="1" s="1"/>
  <c r="P353" i="1" s="1"/>
  <c r="M353" i="1" s="1"/>
  <c r="J353" i="1" a="1"/>
  <c r="J353" i="1" s="1"/>
  <c r="AI353" i="1" a="1"/>
  <c r="AI353" i="1" s="1"/>
  <c r="AD353" i="1" a="1"/>
  <c r="AD353" i="1" s="1"/>
  <c r="AE353" i="1" s="1"/>
  <c r="AB353" i="1" s="1"/>
  <c r="R353" i="1" a="1"/>
  <c r="R353" i="1" s="1"/>
  <c r="V353" i="1" a="1"/>
  <c r="V353" i="1" s="1"/>
  <c r="K353" i="1" a="1"/>
  <c r="K353" i="1" s="1"/>
  <c r="Q352" i="1" a="1"/>
  <c r="Q352" i="1" s="1"/>
  <c r="I352" i="1"/>
  <c r="X352" i="1"/>
  <c r="AF352" i="1"/>
  <c r="A353" i="1"/>
  <c r="B354" i="1"/>
  <c r="AX353" i="1" l="1"/>
  <c r="D354" i="1"/>
  <c r="E354" i="1"/>
  <c r="C354" i="1"/>
  <c r="AO352" i="1"/>
  <c r="AY352" i="1"/>
  <c r="H353" i="1"/>
  <c r="AY353" i="1" s="1"/>
  <c r="L353" i="1"/>
  <c r="G354" i="1" a="1"/>
  <c r="G354" i="1" s="1"/>
  <c r="BB354" i="1" a="1"/>
  <c r="BB354" i="1" s="1"/>
  <c r="BD354" i="1" a="1"/>
  <c r="BD354" i="1" s="1"/>
  <c r="BF354" i="1" a="1"/>
  <c r="BF354" i="1" s="1"/>
  <c r="AW354" i="1" a="1"/>
  <c r="AW354" i="1" s="1"/>
  <c r="AS354" i="1" a="1"/>
  <c r="AS354" i="1" s="1"/>
  <c r="BA354" i="1" a="1"/>
  <c r="BA354" i="1" s="1"/>
  <c r="BE354" i="1" a="1"/>
  <c r="BE354" i="1" s="1"/>
  <c r="AR354" i="1" a="1"/>
  <c r="AR354" i="1" s="1"/>
  <c r="AH354" i="1" a="1"/>
  <c r="AH354" i="1" s="1"/>
  <c r="AJ354" i="1" a="1"/>
  <c r="AJ354" i="1" s="1"/>
  <c r="AL354" i="1" a="1"/>
  <c r="AL354" i="1" s="1"/>
  <c r="AD354" i="1" a="1"/>
  <c r="AD354" i="1" s="1"/>
  <c r="Z354" i="1" a="1"/>
  <c r="Z354" i="1" s="1"/>
  <c r="S354" i="1" a="1"/>
  <c r="S354" i="1" s="1"/>
  <c r="U354" i="1" a="1"/>
  <c r="U354" i="1" s="1"/>
  <c r="W354" i="1" a="1"/>
  <c r="W354" i="1" s="1"/>
  <c r="O354" i="1" a="1"/>
  <c r="O354" i="1" s="1"/>
  <c r="K354" i="1" a="1"/>
  <c r="K354" i="1" s="1"/>
  <c r="J354" i="1" a="1"/>
  <c r="J354" i="1" s="1"/>
  <c r="F354" i="1" a="1"/>
  <c r="F354" i="1" s="1"/>
  <c r="H354" i="1" s="1"/>
  <c r="BC354" i="1" a="1"/>
  <c r="BC354" i="1" s="1"/>
  <c r="AV354" i="1" a="1"/>
  <c r="AV354" i="1" s="1"/>
  <c r="AI354" i="1" a="1"/>
  <c r="AI354" i="1" s="1"/>
  <c r="AC354" i="1" a="1"/>
  <c r="AC354" i="1" s="1"/>
  <c r="R354" i="1" a="1"/>
  <c r="R354" i="1" s="1"/>
  <c r="V354" i="1" a="1"/>
  <c r="V354" i="1" s="1"/>
  <c r="AG354" i="1" a="1"/>
  <c r="AG354" i="1" s="1"/>
  <c r="AK354" i="1" a="1"/>
  <c r="AK354" i="1" s="1"/>
  <c r="Y354" i="1" a="1"/>
  <c r="Y354" i="1" s="1"/>
  <c r="T354" i="1" a="1"/>
  <c r="T354" i="1" s="1"/>
  <c r="N354" i="1" a="1"/>
  <c r="N354" i="1" s="1"/>
  <c r="I353" i="1"/>
  <c r="Q353" i="1" a="1"/>
  <c r="Q353" i="1" s="1"/>
  <c r="X353" i="1"/>
  <c r="AF353" i="1"/>
  <c r="A354" i="1"/>
  <c r="B355" i="1"/>
  <c r="AZ354" i="1" l="1"/>
  <c r="D355" i="1"/>
  <c r="E355" i="1"/>
  <c r="C355" i="1"/>
  <c r="AX354" i="1"/>
  <c r="AT354" i="1"/>
  <c r="AO353" i="1"/>
  <c r="P354" i="1"/>
  <c r="M354" i="1" s="1"/>
  <c r="AA354" i="1"/>
  <c r="L354" i="1"/>
  <c r="AE354" i="1"/>
  <c r="AB354" i="1" s="1"/>
  <c r="F355" i="1" a="1"/>
  <c r="F355" i="1" s="1"/>
  <c r="BB355" i="1" a="1"/>
  <c r="BB355" i="1" s="1"/>
  <c r="BD355" i="1" a="1"/>
  <c r="BD355" i="1" s="1"/>
  <c r="BF355" i="1" a="1"/>
  <c r="BF355" i="1" s="1"/>
  <c r="AV355" i="1" a="1"/>
  <c r="AV355" i="1" s="1"/>
  <c r="AR355" i="1" a="1"/>
  <c r="AR355" i="1" s="1"/>
  <c r="BC355" i="1" a="1"/>
  <c r="BC355" i="1" s="1"/>
  <c r="AS355" i="1" a="1"/>
  <c r="AS355" i="1" s="1"/>
  <c r="AT355" i="1" s="1"/>
  <c r="AH355" i="1" a="1"/>
  <c r="AH355" i="1" s="1"/>
  <c r="AJ355" i="1" a="1"/>
  <c r="AJ355" i="1" s="1"/>
  <c r="AL355" i="1" a="1"/>
  <c r="AL355" i="1" s="1"/>
  <c r="AC355" i="1" a="1"/>
  <c r="AC355" i="1" s="1"/>
  <c r="Y355" i="1" a="1"/>
  <c r="Y355" i="1" s="1"/>
  <c r="S355" i="1" a="1"/>
  <c r="S355" i="1" s="1"/>
  <c r="U355" i="1" a="1"/>
  <c r="U355" i="1" s="1"/>
  <c r="W355" i="1" a="1"/>
  <c r="W355" i="1" s="1"/>
  <c r="N355" i="1" a="1"/>
  <c r="N355" i="1" s="1"/>
  <c r="G355" i="1" a="1"/>
  <c r="G355" i="1" s="1"/>
  <c r="BA355" i="1" a="1"/>
  <c r="BA355" i="1" s="1"/>
  <c r="BE355" i="1" a="1"/>
  <c r="BE355" i="1" s="1"/>
  <c r="AW355" i="1" a="1"/>
  <c r="AW355" i="1" s="1"/>
  <c r="AX355" i="1" s="1"/>
  <c r="AG355" i="1" a="1"/>
  <c r="AG355" i="1" s="1"/>
  <c r="AK355" i="1" a="1"/>
  <c r="AK355" i="1" s="1"/>
  <c r="AD355" i="1" a="1"/>
  <c r="AD355" i="1" s="1"/>
  <c r="AE355" i="1" s="1"/>
  <c r="AB355" i="1" s="1"/>
  <c r="T355" i="1" a="1"/>
  <c r="T355" i="1" s="1"/>
  <c r="K355" i="1" a="1"/>
  <c r="K355" i="1" s="1"/>
  <c r="AI355" i="1" a="1"/>
  <c r="AI355" i="1" s="1"/>
  <c r="Z355" i="1" a="1"/>
  <c r="Z355" i="1" s="1"/>
  <c r="R355" i="1" a="1"/>
  <c r="R355" i="1" s="1"/>
  <c r="V355" i="1" a="1"/>
  <c r="V355" i="1" s="1"/>
  <c r="O355" i="1" a="1"/>
  <c r="O355" i="1" s="1"/>
  <c r="P355" i="1" s="1"/>
  <c r="M355" i="1" s="1"/>
  <c r="J355" i="1" a="1"/>
  <c r="J355" i="1" s="1"/>
  <c r="Q354" i="1" a="1"/>
  <c r="Q354" i="1" s="1"/>
  <c r="I354" i="1"/>
  <c r="X354" i="1"/>
  <c r="AF354" i="1"/>
  <c r="B356" i="1"/>
  <c r="A355" i="1"/>
  <c r="AZ355" i="1" l="1"/>
  <c r="D356" i="1"/>
  <c r="E356" i="1"/>
  <c r="C356" i="1"/>
  <c r="AZ356" i="1" s="1"/>
  <c r="AO354" i="1"/>
  <c r="AY354" i="1"/>
  <c r="AA355" i="1"/>
  <c r="X355" i="1" s="1"/>
  <c r="H355" i="1"/>
  <c r="AY355" i="1" s="1"/>
  <c r="L355" i="1"/>
  <c r="I355" i="1" s="1"/>
  <c r="G356" i="1" a="1"/>
  <c r="G356" i="1" s="1"/>
  <c r="BB356" i="1" a="1"/>
  <c r="BB356" i="1" s="1"/>
  <c r="BD356" i="1" a="1"/>
  <c r="BD356" i="1" s="1"/>
  <c r="BF356" i="1" a="1"/>
  <c r="BF356" i="1" s="1"/>
  <c r="AW356" i="1" a="1"/>
  <c r="AW356" i="1" s="1"/>
  <c r="AS356" i="1" a="1"/>
  <c r="AS356" i="1" s="1"/>
  <c r="F356" i="1" a="1"/>
  <c r="F356" i="1" s="1"/>
  <c r="H356" i="1" s="1"/>
  <c r="BA356" i="1" a="1"/>
  <c r="BA356" i="1" s="1"/>
  <c r="BE356" i="1" a="1"/>
  <c r="BE356" i="1" s="1"/>
  <c r="AV356" i="1" a="1"/>
  <c r="AV356" i="1" s="1"/>
  <c r="AH356" i="1" a="1"/>
  <c r="AH356" i="1" s="1"/>
  <c r="AJ356" i="1" a="1"/>
  <c r="AJ356" i="1" s="1"/>
  <c r="AL356" i="1" a="1"/>
  <c r="AL356" i="1" s="1"/>
  <c r="AD356" i="1" a="1"/>
  <c r="AD356" i="1" s="1"/>
  <c r="Z356" i="1" a="1"/>
  <c r="Z356" i="1" s="1"/>
  <c r="S356" i="1" a="1"/>
  <c r="S356" i="1" s="1"/>
  <c r="U356" i="1" a="1"/>
  <c r="U356" i="1" s="1"/>
  <c r="W356" i="1" a="1"/>
  <c r="W356" i="1" s="1"/>
  <c r="O356" i="1" a="1"/>
  <c r="O356" i="1" s="1"/>
  <c r="K356" i="1" a="1"/>
  <c r="K356" i="1" s="1"/>
  <c r="J356" i="1" a="1"/>
  <c r="J356" i="1" s="1"/>
  <c r="BC356" i="1" a="1"/>
  <c r="BC356" i="1" s="1"/>
  <c r="AR356" i="1" a="1"/>
  <c r="AR356" i="1" s="1"/>
  <c r="AI356" i="1" a="1"/>
  <c r="AI356" i="1" s="1"/>
  <c r="Y356" i="1" a="1"/>
  <c r="Y356" i="1" s="1"/>
  <c r="R356" i="1" a="1"/>
  <c r="R356" i="1" s="1"/>
  <c r="V356" i="1" a="1"/>
  <c r="V356" i="1" s="1"/>
  <c r="N356" i="1" a="1"/>
  <c r="N356" i="1" s="1"/>
  <c r="AG356" i="1" a="1"/>
  <c r="AG356" i="1" s="1"/>
  <c r="AK356" i="1" a="1"/>
  <c r="AK356" i="1" s="1"/>
  <c r="AC356" i="1" a="1"/>
  <c r="AC356" i="1" s="1"/>
  <c r="T356" i="1" a="1"/>
  <c r="T356" i="1" s="1"/>
  <c r="AF355" i="1"/>
  <c r="Q355" i="1" a="1"/>
  <c r="Q355" i="1" s="1"/>
  <c r="AO355" i="1" s="1"/>
  <c r="A356" i="1"/>
  <c r="B357" i="1"/>
  <c r="D357" i="1" l="1"/>
  <c r="E357" i="1"/>
  <c r="C357" i="1"/>
  <c r="AZ357" i="1" s="1"/>
  <c r="AT356" i="1"/>
  <c r="AX356" i="1"/>
  <c r="P356" i="1"/>
  <c r="M356" i="1" s="1"/>
  <c r="L356" i="1"/>
  <c r="AE356" i="1"/>
  <c r="AB356" i="1" s="1"/>
  <c r="AA356" i="1"/>
  <c r="F357" i="1" a="1"/>
  <c r="F357" i="1" s="1"/>
  <c r="BB357" i="1" a="1"/>
  <c r="BB357" i="1" s="1"/>
  <c r="BD357" i="1" a="1"/>
  <c r="BD357" i="1" s="1"/>
  <c r="BF357" i="1" a="1"/>
  <c r="BF357" i="1" s="1"/>
  <c r="AV357" i="1" a="1"/>
  <c r="AV357" i="1" s="1"/>
  <c r="AR357" i="1" a="1"/>
  <c r="AR357" i="1" s="1"/>
  <c r="G357" i="1" a="1"/>
  <c r="G357" i="1" s="1"/>
  <c r="BC357" i="1" a="1"/>
  <c r="BC357" i="1" s="1"/>
  <c r="AW357" i="1" a="1"/>
  <c r="AW357" i="1" s="1"/>
  <c r="AX357" i="1" s="1"/>
  <c r="AH357" i="1" a="1"/>
  <c r="AH357" i="1" s="1"/>
  <c r="AJ357" i="1" a="1"/>
  <c r="AJ357" i="1" s="1"/>
  <c r="AL357" i="1" a="1"/>
  <c r="AL357" i="1" s="1"/>
  <c r="AC357" i="1" a="1"/>
  <c r="AC357" i="1" s="1"/>
  <c r="Y357" i="1" a="1"/>
  <c r="Y357" i="1" s="1"/>
  <c r="S357" i="1" a="1"/>
  <c r="S357" i="1" s="1"/>
  <c r="U357" i="1" a="1"/>
  <c r="U357" i="1" s="1"/>
  <c r="W357" i="1" a="1"/>
  <c r="W357" i="1" s="1"/>
  <c r="N357" i="1" a="1"/>
  <c r="N357" i="1" s="1"/>
  <c r="BA357" i="1" a="1"/>
  <c r="BA357" i="1" s="1"/>
  <c r="BE357" i="1" a="1"/>
  <c r="BE357" i="1" s="1"/>
  <c r="AG357" i="1" a="1"/>
  <c r="AG357" i="1" s="1"/>
  <c r="AK357" i="1" a="1"/>
  <c r="AK357" i="1" s="1"/>
  <c r="Z357" i="1" a="1"/>
  <c r="Z357" i="1" s="1"/>
  <c r="T357" i="1" a="1"/>
  <c r="T357" i="1" s="1"/>
  <c r="O357" i="1" a="1"/>
  <c r="O357" i="1" s="1"/>
  <c r="J357" i="1" a="1"/>
  <c r="J357" i="1" s="1"/>
  <c r="AS357" i="1" a="1"/>
  <c r="AS357" i="1" s="1"/>
  <c r="AI357" i="1" a="1"/>
  <c r="AI357" i="1" s="1"/>
  <c r="AD357" i="1" a="1"/>
  <c r="AD357" i="1" s="1"/>
  <c r="AE357" i="1" s="1"/>
  <c r="AB357" i="1" s="1"/>
  <c r="R357" i="1" a="1"/>
  <c r="R357" i="1" s="1"/>
  <c r="V357" i="1" a="1"/>
  <c r="V357" i="1" s="1"/>
  <c r="K357" i="1" a="1"/>
  <c r="K357" i="1" s="1"/>
  <c r="Q356" i="1" a="1"/>
  <c r="Q356" i="1" s="1"/>
  <c r="I356" i="1"/>
  <c r="X356" i="1"/>
  <c r="AF356" i="1"/>
  <c r="A357" i="1"/>
  <c r="B358" i="1"/>
  <c r="AT357" i="1" l="1"/>
  <c r="L357" i="1"/>
  <c r="D358" i="1"/>
  <c r="E358" i="1"/>
  <c r="C358" i="1"/>
  <c r="AZ358" i="1" s="1"/>
  <c r="AY356" i="1"/>
  <c r="AO356" i="1"/>
  <c r="P357" i="1"/>
  <c r="M357" i="1" s="1"/>
  <c r="AA357" i="1"/>
  <c r="H357" i="1"/>
  <c r="G358" i="1" a="1"/>
  <c r="G358" i="1" s="1"/>
  <c r="BB358" i="1" a="1"/>
  <c r="BB358" i="1" s="1"/>
  <c r="BD358" i="1" a="1"/>
  <c r="BD358" i="1" s="1"/>
  <c r="BF358" i="1" a="1"/>
  <c r="BF358" i="1" s="1"/>
  <c r="AW358" i="1" a="1"/>
  <c r="AW358" i="1" s="1"/>
  <c r="AS358" i="1" a="1"/>
  <c r="AS358" i="1" s="1"/>
  <c r="BA358" i="1" a="1"/>
  <c r="BA358" i="1" s="1"/>
  <c r="BE358" i="1" a="1"/>
  <c r="BE358" i="1" s="1"/>
  <c r="AR358" i="1" a="1"/>
  <c r="AR358" i="1" s="1"/>
  <c r="AH358" i="1" a="1"/>
  <c r="AH358" i="1" s="1"/>
  <c r="AJ358" i="1" a="1"/>
  <c r="AJ358" i="1" s="1"/>
  <c r="AL358" i="1" a="1"/>
  <c r="AL358" i="1" s="1"/>
  <c r="AD358" i="1" a="1"/>
  <c r="AD358" i="1" s="1"/>
  <c r="Z358" i="1" a="1"/>
  <c r="Z358" i="1" s="1"/>
  <c r="S358" i="1" a="1"/>
  <c r="S358" i="1" s="1"/>
  <c r="U358" i="1" a="1"/>
  <c r="U358" i="1" s="1"/>
  <c r="W358" i="1" a="1"/>
  <c r="W358" i="1" s="1"/>
  <c r="O358" i="1" a="1"/>
  <c r="O358" i="1" s="1"/>
  <c r="K358" i="1" a="1"/>
  <c r="K358" i="1" s="1"/>
  <c r="J358" i="1" a="1"/>
  <c r="J358" i="1" s="1"/>
  <c r="F358" i="1" a="1"/>
  <c r="F358" i="1" s="1"/>
  <c r="H358" i="1" s="1"/>
  <c r="BC358" i="1" a="1"/>
  <c r="BC358" i="1" s="1"/>
  <c r="AV358" i="1" a="1"/>
  <c r="AV358" i="1" s="1"/>
  <c r="AI358" i="1" a="1"/>
  <c r="AI358" i="1" s="1"/>
  <c r="AC358" i="1" a="1"/>
  <c r="AC358" i="1" s="1"/>
  <c r="R358" i="1" a="1"/>
  <c r="R358" i="1" s="1"/>
  <c r="V358" i="1" a="1"/>
  <c r="V358" i="1" s="1"/>
  <c r="AG358" i="1" a="1"/>
  <c r="AG358" i="1" s="1"/>
  <c r="AK358" i="1" a="1"/>
  <c r="AK358" i="1" s="1"/>
  <c r="Y358" i="1" a="1"/>
  <c r="Y358" i="1" s="1"/>
  <c r="T358" i="1" a="1"/>
  <c r="T358" i="1" s="1"/>
  <c r="N358" i="1" a="1"/>
  <c r="N358" i="1" s="1"/>
  <c r="I357" i="1"/>
  <c r="Q357" i="1" a="1"/>
  <c r="Q357" i="1" s="1"/>
  <c r="X357" i="1"/>
  <c r="AF357" i="1"/>
  <c r="A358" i="1"/>
  <c r="B359" i="1"/>
  <c r="AY357" i="1" l="1"/>
  <c r="D359" i="1"/>
  <c r="E359" i="1"/>
  <c r="C359" i="1"/>
  <c r="AZ359" i="1" s="1"/>
  <c r="AT358" i="1"/>
  <c r="AX358" i="1"/>
  <c r="P358" i="1"/>
  <c r="M358" i="1" s="1"/>
  <c r="AA358" i="1"/>
  <c r="AO357" i="1"/>
  <c r="L358" i="1"/>
  <c r="AE358" i="1"/>
  <c r="AB358" i="1" s="1"/>
  <c r="F359" i="1" a="1"/>
  <c r="F359" i="1" s="1"/>
  <c r="BB359" i="1" a="1"/>
  <c r="BB359" i="1" s="1"/>
  <c r="BD359" i="1" a="1"/>
  <c r="BD359" i="1" s="1"/>
  <c r="BF359" i="1" a="1"/>
  <c r="BF359" i="1" s="1"/>
  <c r="AV359" i="1" a="1"/>
  <c r="AV359" i="1" s="1"/>
  <c r="AR359" i="1" a="1"/>
  <c r="AR359" i="1" s="1"/>
  <c r="BC359" i="1" a="1"/>
  <c r="BC359" i="1" s="1"/>
  <c r="AS359" i="1" a="1"/>
  <c r="AS359" i="1" s="1"/>
  <c r="AT359" i="1" s="1"/>
  <c r="AH359" i="1" a="1"/>
  <c r="AH359" i="1" s="1"/>
  <c r="AJ359" i="1" a="1"/>
  <c r="AJ359" i="1" s="1"/>
  <c r="AL359" i="1" a="1"/>
  <c r="AL359" i="1" s="1"/>
  <c r="AC359" i="1" a="1"/>
  <c r="AC359" i="1" s="1"/>
  <c r="Y359" i="1" a="1"/>
  <c r="Y359" i="1" s="1"/>
  <c r="S359" i="1" a="1"/>
  <c r="S359" i="1" s="1"/>
  <c r="U359" i="1" a="1"/>
  <c r="U359" i="1" s="1"/>
  <c r="W359" i="1" a="1"/>
  <c r="W359" i="1" s="1"/>
  <c r="N359" i="1" a="1"/>
  <c r="N359" i="1" s="1"/>
  <c r="G359" i="1" a="1"/>
  <c r="G359" i="1" s="1"/>
  <c r="BA359" i="1" a="1"/>
  <c r="BA359" i="1" s="1"/>
  <c r="BE359" i="1" a="1"/>
  <c r="BE359" i="1" s="1"/>
  <c r="AW359" i="1" a="1"/>
  <c r="AW359" i="1" s="1"/>
  <c r="AX359" i="1" s="1"/>
  <c r="AG359" i="1" a="1"/>
  <c r="AG359" i="1" s="1"/>
  <c r="AK359" i="1" a="1"/>
  <c r="AK359" i="1" s="1"/>
  <c r="AD359" i="1" a="1"/>
  <c r="AD359" i="1" s="1"/>
  <c r="AE359" i="1" s="1"/>
  <c r="AB359" i="1" s="1"/>
  <c r="T359" i="1" a="1"/>
  <c r="T359" i="1" s="1"/>
  <c r="K359" i="1" a="1"/>
  <c r="K359" i="1" s="1"/>
  <c r="AI359" i="1" a="1"/>
  <c r="AI359" i="1" s="1"/>
  <c r="Z359" i="1" a="1"/>
  <c r="Z359" i="1" s="1"/>
  <c r="R359" i="1" a="1"/>
  <c r="R359" i="1" s="1"/>
  <c r="V359" i="1" a="1"/>
  <c r="V359" i="1" s="1"/>
  <c r="O359" i="1" a="1"/>
  <c r="O359" i="1" s="1"/>
  <c r="P359" i="1" s="1"/>
  <c r="M359" i="1" s="1"/>
  <c r="J359" i="1" a="1"/>
  <c r="J359" i="1" s="1"/>
  <c r="Q358" i="1" a="1"/>
  <c r="Q358" i="1" s="1"/>
  <c r="I358" i="1"/>
  <c r="X358" i="1"/>
  <c r="AF358" i="1"/>
  <c r="A359" i="1"/>
  <c r="B360" i="1"/>
  <c r="AA359" i="1" l="1"/>
  <c r="D360" i="1"/>
  <c r="E360" i="1"/>
  <c r="C360" i="1"/>
  <c r="AY358" i="1"/>
  <c r="AO358" i="1"/>
  <c r="H359" i="1"/>
  <c r="AY359" i="1" s="1"/>
  <c r="L359" i="1"/>
  <c r="I359" i="1" s="1"/>
  <c r="G360" i="1" a="1"/>
  <c r="G360" i="1" s="1"/>
  <c r="BB360" i="1" a="1"/>
  <c r="BB360" i="1" s="1"/>
  <c r="BD360" i="1" a="1"/>
  <c r="BD360" i="1" s="1"/>
  <c r="BF360" i="1" a="1"/>
  <c r="BF360" i="1" s="1"/>
  <c r="AW360" i="1" a="1"/>
  <c r="AW360" i="1" s="1"/>
  <c r="AS360" i="1" a="1"/>
  <c r="AS360" i="1" s="1"/>
  <c r="F360" i="1" a="1"/>
  <c r="F360" i="1" s="1"/>
  <c r="H360" i="1" s="1"/>
  <c r="BA360" i="1" a="1"/>
  <c r="BA360" i="1" s="1"/>
  <c r="BE360" i="1" a="1"/>
  <c r="BE360" i="1" s="1"/>
  <c r="AV360" i="1" a="1"/>
  <c r="AV360" i="1" s="1"/>
  <c r="AH360" i="1" a="1"/>
  <c r="AH360" i="1" s="1"/>
  <c r="AJ360" i="1" a="1"/>
  <c r="AJ360" i="1" s="1"/>
  <c r="AL360" i="1" a="1"/>
  <c r="AL360" i="1" s="1"/>
  <c r="AD360" i="1" a="1"/>
  <c r="AD360" i="1" s="1"/>
  <c r="Z360" i="1" a="1"/>
  <c r="Z360" i="1" s="1"/>
  <c r="S360" i="1" a="1"/>
  <c r="S360" i="1" s="1"/>
  <c r="U360" i="1" a="1"/>
  <c r="U360" i="1" s="1"/>
  <c r="W360" i="1" a="1"/>
  <c r="W360" i="1" s="1"/>
  <c r="O360" i="1" a="1"/>
  <c r="O360" i="1" s="1"/>
  <c r="K360" i="1" a="1"/>
  <c r="K360" i="1" s="1"/>
  <c r="J360" i="1" a="1"/>
  <c r="J360" i="1" s="1"/>
  <c r="BC360" i="1" a="1"/>
  <c r="BC360" i="1" s="1"/>
  <c r="AI360" i="1" a="1"/>
  <c r="AI360" i="1" s="1"/>
  <c r="Y360" i="1" a="1"/>
  <c r="Y360" i="1" s="1"/>
  <c r="R360" i="1" a="1"/>
  <c r="R360" i="1" s="1"/>
  <c r="V360" i="1" a="1"/>
  <c r="V360" i="1" s="1"/>
  <c r="N360" i="1" a="1"/>
  <c r="N360" i="1" s="1"/>
  <c r="AR360" i="1" a="1"/>
  <c r="AR360" i="1" s="1"/>
  <c r="AG360" i="1" a="1"/>
  <c r="AG360" i="1" s="1"/>
  <c r="AK360" i="1" a="1"/>
  <c r="AK360" i="1" s="1"/>
  <c r="AC360" i="1" a="1"/>
  <c r="AC360" i="1" s="1"/>
  <c r="T360" i="1" a="1"/>
  <c r="T360" i="1" s="1"/>
  <c r="X359" i="1"/>
  <c r="AF359" i="1"/>
  <c r="Q359" i="1" a="1"/>
  <c r="Q359" i="1" s="1"/>
  <c r="A360" i="1"/>
  <c r="B361" i="1"/>
  <c r="AZ360" i="1" l="1"/>
  <c r="AO359" i="1"/>
  <c r="D361" i="1"/>
  <c r="E361" i="1"/>
  <c r="C361" i="1"/>
  <c r="L360" i="1"/>
  <c r="AT360" i="1"/>
  <c r="AX360" i="1"/>
  <c r="P360" i="1"/>
  <c r="M360" i="1" s="1"/>
  <c r="AA360" i="1"/>
  <c r="AE360" i="1"/>
  <c r="AB360" i="1" s="1"/>
  <c r="F361" i="1" a="1"/>
  <c r="F361" i="1" s="1"/>
  <c r="BB361" i="1" a="1"/>
  <c r="BB361" i="1" s="1"/>
  <c r="BD361" i="1" a="1"/>
  <c r="BD361" i="1" s="1"/>
  <c r="BF361" i="1" a="1"/>
  <c r="BF361" i="1" s="1"/>
  <c r="AV361" i="1" a="1"/>
  <c r="AV361" i="1" s="1"/>
  <c r="AR361" i="1" a="1"/>
  <c r="AR361" i="1" s="1"/>
  <c r="G361" i="1" a="1"/>
  <c r="G361" i="1" s="1"/>
  <c r="BC361" i="1" a="1"/>
  <c r="BC361" i="1" s="1"/>
  <c r="AW361" i="1" a="1"/>
  <c r="AW361" i="1" s="1"/>
  <c r="AH361" i="1" a="1"/>
  <c r="AH361" i="1" s="1"/>
  <c r="AJ361" i="1" a="1"/>
  <c r="AJ361" i="1" s="1"/>
  <c r="AL361" i="1" a="1"/>
  <c r="AL361" i="1" s="1"/>
  <c r="AC361" i="1" a="1"/>
  <c r="AC361" i="1" s="1"/>
  <c r="Y361" i="1" a="1"/>
  <c r="Y361" i="1" s="1"/>
  <c r="S361" i="1" a="1"/>
  <c r="S361" i="1" s="1"/>
  <c r="U361" i="1" a="1"/>
  <c r="U361" i="1" s="1"/>
  <c r="W361" i="1" a="1"/>
  <c r="W361" i="1" s="1"/>
  <c r="N361" i="1" a="1"/>
  <c r="N361" i="1" s="1"/>
  <c r="BA361" i="1" a="1"/>
  <c r="BA361" i="1" s="1"/>
  <c r="BE361" i="1" a="1"/>
  <c r="BE361" i="1" s="1"/>
  <c r="AS361" i="1" a="1"/>
  <c r="AS361" i="1" s="1"/>
  <c r="AG361" i="1" a="1"/>
  <c r="AG361" i="1" s="1"/>
  <c r="AK361" i="1" a="1"/>
  <c r="AK361" i="1" s="1"/>
  <c r="Z361" i="1" a="1"/>
  <c r="Z361" i="1" s="1"/>
  <c r="T361" i="1" a="1"/>
  <c r="T361" i="1" s="1"/>
  <c r="O361" i="1" a="1"/>
  <c r="O361" i="1" s="1"/>
  <c r="P361" i="1" s="1"/>
  <c r="M361" i="1" s="1"/>
  <c r="J361" i="1" a="1"/>
  <c r="J361" i="1" s="1"/>
  <c r="AI361" i="1" a="1"/>
  <c r="AI361" i="1" s="1"/>
  <c r="AD361" i="1" a="1"/>
  <c r="AD361" i="1" s="1"/>
  <c r="AE361" i="1" s="1"/>
  <c r="AB361" i="1" s="1"/>
  <c r="R361" i="1" a="1"/>
  <c r="R361" i="1" s="1"/>
  <c r="V361" i="1" a="1"/>
  <c r="V361" i="1" s="1"/>
  <c r="K361" i="1" a="1"/>
  <c r="K361" i="1" s="1"/>
  <c r="Q360" i="1" a="1"/>
  <c r="Q360" i="1" s="1"/>
  <c r="I360" i="1"/>
  <c r="X360" i="1"/>
  <c r="AF360" i="1"/>
  <c r="A361" i="1"/>
  <c r="B362" i="1"/>
  <c r="AA361" i="1" l="1"/>
  <c r="AZ361" i="1"/>
  <c r="AZ362" i="1"/>
  <c r="AX361" i="1"/>
  <c r="D362" i="1"/>
  <c r="E362" i="1"/>
  <c r="C362" i="1"/>
  <c r="AT361" i="1"/>
  <c r="L361" i="1"/>
  <c r="AY360" i="1"/>
  <c r="AO360" i="1"/>
  <c r="H361" i="1"/>
  <c r="AY361" i="1" s="1"/>
  <c r="G362" i="1" a="1"/>
  <c r="G362" i="1" s="1"/>
  <c r="BB362" i="1" a="1"/>
  <c r="BB362" i="1" s="1"/>
  <c r="BD362" i="1" a="1"/>
  <c r="BD362" i="1" s="1"/>
  <c r="BF362" i="1" a="1"/>
  <c r="BF362" i="1" s="1"/>
  <c r="AW362" i="1" a="1"/>
  <c r="AW362" i="1" s="1"/>
  <c r="AS362" i="1" a="1"/>
  <c r="AS362" i="1" s="1"/>
  <c r="BA362" i="1" a="1"/>
  <c r="BA362" i="1" s="1"/>
  <c r="BE362" i="1" a="1"/>
  <c r="BE362" i="1" s="1"/>
  <c r="AR362" i="1" a="1"/>
  <c r="AR362" i="1" s="1"/>
  <c r="AH362" i="1" a="1"/>
  <c r="AH362" i="1" s="1"/>
  <c r="AJ362" i="1" a="1"/>
  <c r="AJ362" i="1" s="1"/>
  <c r="AL362" i="1" a="1"/>
  <c r="AL362" i="1" s="1"/>
  <c r="AD362" i="1" a="1"/>
  <c r="AD362" i="1" s="1"/>
  <c r="Z362" i="1" a="1"/>
  <c r="Z362" i="1" s="1"/>
  <c r="S362" i="1" a="1"/>
  <c r="S362" i="1" s="1"/>
  <c r="U362" i="1" a="1"/>
  <c r="U362" i="1" s="1"/>
  <c r="W362" i="1" a="1"/>
  <c r="W362" i="1" s="1"/>
  <c r="O362" i="1" a="1"/>
  <c r="O362" i="1" s="1"/>
  <c r="K362" i="1" a="1"/>
  <c r="K362" i="1" s="1"/>
  <c r="J362" i="1" a="1"/>
  <c r="J362" i="1" s="1"/>
  <c r="F362" i="1" a="1"/>
  <c r="F362" i="1" s="1"/>
  <c r="H362" i="1" s="1"/>
  <c r="BC362" i="1" a="1"/>
  <c r="BC362" i="1" s="1"/>
  <c r="AV362" i="1" a="1"/>
  <c r="AV362" i="1" s="1"/>
  <c r="AI362" i="1" a="1"/>
  <c r="AI362" i="1" s="1"/>
  <c r="AC362" i="1" a="1"/>
  <c r="AC362" i="1" s="1"/>
  <c r="R362" i="1" a="1"/>
  <c r="R362" i="1" s="1"/>
  <c r="V362" i="1" a="1"/>
  <c r="V362" i="1" s="1"/>
  <c r="AG362" i="1" a="1"/>
  <c r="AG362" i="1" s="1"/>
  <c r="AK362" i="1" a="1"/>
  <c r="AK362" i="1" s="1"/>
  <c r="Y362" i="1" a="1"/>
  <c r="Y362" i="1" s="1"/>
  <c r="T362" i="1" a="1"/>
  <c r="T362" i="1" s="1"/>
  <c r="N362" i="1" a="1"/>
  <c r="N362" i="1" s="1"/>
  <c r="I361" i="1"/>
  <c r="Q361" i="1" a="1"/>
  <c r="Q361" i="1" s="1"/>
  <c r="X361" i="1"/>
  <c r="AF361" i="1"/>
  <c r="A362" i="1"/>
  <c r="B363" i="1"/>
  <c r="D363" i="1" l="1"/>
  <c r="E363" i="1"/>
  <c r="C363" i="1"/>
  <c r="AZ363" i="1" s="1"/>
  <c r="AX362" i="1"/>
  <c r="AT362" i="1"/>
  <c r="AO361" i="1"/>
  <c r="P362" i="1"/>
  <c r="M362" i="1" s="1"/>
  <c r="AA362" i="1"/>
  <c r="L362" i="1"/>
  <c r="I362" i="1" s="1"/>
  <c r="AE362" i="1"/>
  <c r="AB362" i="1" s="1"/>
  <c r="F363" i="1" a="1"/>
  <c r="F363" i="1" s="1"/>
  <c r="BB363" i="1" a="1"/>
  <c r="BB363" i="1" s="1"/>
  <c r="BD363" i="1" a="1"/>
  <c r="BD363" i="1" s="1"/>
  <c r="BF363" i="1" a="1"/>
  <c r="BF363" i="1" s="1"/>
  <c r="AV363" i="1" a="1"/>
  <c r="AV363" i="1" s="1"/>
  <c r="AR363" i="1" a="1"/>
  <c r="AR363" i="1" s="1"/>
  <c r="BC363" i="1" a="1"/>
  <c r="BC363" i="1" s="1"/>
  <c r="AS363" i="1" a="1"/>
  <c r="AS363" i="1" s="1"/>
  <c r="AH363" i="1" a="1"/>
  <c r="AH363" i="1" s="1"/>
  <c r="AJ363" i="1" a="1"/>
  <c r="AJ363" i="1" s="1"/>
  <c r="AL363" i="1" a="1"/>
  <c r="AL363" i="1" s="1"/>
  <c r="AC363" i="1" a="1"/>
  <c r="AC363" i="1" s="1"/>
  <c r="Y363" i="1" a="1"/>
  <c r="Y363" i="1" s="1"/>
  <c r="S363" i="1" a="1"/>
  <c r="S363" i="1" s="1"/>
  <c r="U363" i="1" a="1"/>
  <c r="U363" i="1" s="1"/>
  <c r="W363" i="1" a="1"/>
  <c r="W363" i="1" s="1"/>
  <c r="N363" i="1" a="1"/>
  <c r="N363" i="1" s="1"/>
  <c r="G363" i="1" a="1"/>
  <c r="G363" i="1" s="1"/>
  <c r="BA363" i="1" a="1"/>
  <c r="BA363" i="1" s="1"/>
  <c r="BE363" i="1" a="1"/>
  <c r="BE363" i="1" s="1"/>
  <c r="AW363" i="1" a="1"/>
  <c r="AW363" i="1" s="1"/>
  <c r="AX363" i="1" s="1"/>
  <c r="AG363" i="1" a="1"/>
  <c r="AG363" i="1" s="1"/>
  <c r="AK363" i="1" a="1"/>
  <c r="AK363" i="1" s="1"/>
  <c r="AD363" i="1" a="1"/>
  <c r="AD363" i="1" s="1"/>
  <c r="AE363" i="1" s="1"/>
  <c r="AB363" i="1" s="1"/>
  <c r="T363" i="1" a="1"/>
  <c r="T363" i="1" s="1"/>
  <c r="K363" i="1" a="1"/>
  <c r="K363" i="1" s="1"/>
  <c r="AI363" i="1" a="1"/>
  <c r="AI363" i="1" s="1"/>
  <c r="Z363" i="1" a="1"/>
  <c r="Z363" i="1" s="1"/>
  <c r="R363" i="1" a="1"/>
  <c r="R363" i="1" s="1"/>
  <c r="V363" i="1" a="1"/>
  <c r="V363" i="1" s="1"/>
  <c r="O363" i="1" a="1"/>
  <c r="O363" i="1" s="1"/>
  <c r="P363" i="1" s="1"/>
  <c r="M363" i="1" s="1"/>
  <c r="J363" i="1" a="1"/>
  <c r="J363" i="1" s="1"/>
  <c r="Q362" i="1" a="1"/>
  <c r="Q362" i="1" s="1"/>
  <c r="X362" i="1"/>
  <c r="AF362" i="1"/>
  <c r="A363" i="1"/>
  <c r="B364" i="1"/>
  <c r="AT363" i="1" l="1"/>
  <c r="AY362" i="1"/>
  <c r="D364" i="1"/>
  <c r="E364" i="1"/>
  <c r="C364" i="1"/>
  <c r="AZ364" i="1" s="1"/>
  <c r="AO362" i="1"/>
  <c r="H363" i="1"/>
  <c r="AY363" i="1" s="1"/>
  <c r="AA363" i="1"/>
  <c r="L363" i="1"/>
  <c r="G364" i="1" a="1"/>
  <c r="G364" i="1" s="1"/>
  <c r="BB364" i="1" a="1"/>
  <c r="BB364" i="1" s="1"/>
  <c r="BD364" i="1" a="1"/>
  <c r="BD364" i="1" s="1"/>
  <c r="BF364" i="1" a="1"/>
  <c r="BF364" i="1" s="1"/>
  <c r="AW364" i="1" a="1"/>
  <c r="AW364" i="1" s="1"/>
  <c r="AS364" i="1" a="1"/>
  <c r="AS364" i="1" s="1"/>
  <c r="F364" i="1" a="1"/>
  <c r="F364" i="1" s="1"/>
  <c r="H364" i="1" s="1"/>
  <c r="BA364" i="1" a="1"/>
  <c r="BA364" i="1" s="1"/>
  <c r="BE364" i="1" a="1"/>
  <c r="BE364" i="1" s="1"/>
  <c r="AV364" i="1" a="1"/>
  <c r="AV364" i="1" s="1"/>
  <c r="AH364" i="1" a="1"/>
  <c r="AH364" i="1" s="1"/>
  <c r="AJ364" i="1" a="1"/>
  <c r="AJ364" i="1" s="1"/>
  <c r="AL364" i="1" a="1"/>
  <c r="AL364" i="1" s="1"/>
  <c r="AD364" i="1" a="1"/>
  <c r="AD364" i="1" s="1"/>
  <c r="Z364" i="1" a="1"/>
  <c r="Z364" i="1" s="1"/>
  <c r="S364" i="1" a="1"/>
  <c r="S364" i="1" s="1"/>
  <c r="U364" i="1" a="1"/>
  <c r="U364" i="1" s="1"/>
  <c r="W364" i="1" a="1"/>
  <c r="W364" i="1" s="1"/>
  <c r="O364" i="1" a="1"/>
  <c r="O364" i="1" s="1"/>
  <c r="K364" i="1" a="1"/>
  <c r="K364" i="1" s="1"/>
  <c r="J364" i="1" a="1"/>
  <c r="J364" i="1" s="1"/>
  <c r="BC364" i="1" a="1"/>
  <c r="BC364" i="1" s="1"/>
  <c r="AR364" i="1" a="1"/>
  <c r="AR364" i="1" s="1"/>
  <c r="AI364" i="1" a="1"/>
  <c r="AI364" i="1" s="1"/>
  <c r="Y364" i="1" a="1"/>
  <c r="Y364" i="1" s="1"/>
  <c r="R364" i="1" a="1"/>
  <c r="R364" i="1" s="1"/>
  <c r="V364" i="1" a="1"/>
  <c r="V364" i="1" s="1"/>
  <c r="N364" i="1" a="1"/>
  <c r="N364" i="1" s="1"/>
  <c r="AG364" i="1" a="1"/>
  <c r="AG364" i="1" s="1"/>
  <c r="AK364" i="1" a="1"/>
  <c r="AK364" i="1" s="1"/>
  <c r="AC364" i="1" a="1"/>
  <c r="AC364" i="1" s="1"/>
  <c r="T364" i="1" a="1"/>
  <c r="T364" i="1" s="1"/>
  <c r="X363" i="1"/>
  <c r="AF363" i="1"/>
  <c r="I363" i="1"/>
  <c r="Q363" i="1" a="1"/>
  <c r="Q363" i="1" s="1"/>
  <c r="AO363" i="1" s="1"/>
  <c r="A364" i="1"/>
  <c r="B365" i="1"/>
  <c r="D365" i="1" l="1"/>
  <c r="E365" i="1"/>
  <c r="C365" i="1"/>
  <c r="AX364" i="1"/>
  <c r="L364" i="1"/>
  <c r="AT364" i="1"/>
  <c r="AY364" i="1" s="1"/>
  <c r="AE364" i="1"/>
  <c r="AB364" i="1" s="1"/>
  <c r="P364" i="1"/>
  <c r="M364" i="1" s="1"/>
  <c r="AA364" i="1"/>
  <c r="F365" i="1" a="1"/>
  <c r="F365" i="1" s="1"/>
  <c r="BB365" i="1" a="1"/>
  <c r="BB365" i="1" s="1"/>
  <c r="BD365" i="1" a="1"/>
  <c r="BD365" i="1" s="1"/>
  <c r="BF365" i="1" a="1"/>
  <c r="BF365" i="1" s="1"/>
  <c r="AV365" i="1" a="1"/>
  <c r="AV365" i="1" s="1"/>
  <c r="AR365" i="1" a="1"/>
  <c r="AR365" i="1" s="1"/>
  <c r="G365" i="1" a="1"/>
  <c r="G365" i="1" s="1"/>
  <c r="BC365" i="1" a="1"/>
  <c r="BC365" i="1" s="1"/>
  <c r="AW365" i="1" a="1"/>
  <c r="AW365" i="1" s="1"/>
  <c r="AX365" i="1" s="1"/>
  <c r="AH365" i="1" a="1"/>
  <c r="AH365" i="1" s="1"/>
  <c r="AJ365" i="1" a="1"/>
  <c r="AJ365" i="1" s="1"/>
  <c r="AL365" i="1" a="1"/>
  <c r="AL365" i="1" s="1"/>
  <c r="AC365" i="1" a="1"/>
  <c r="AC365" i="1" s="1"/>
  <c r="Y365" i="1" a="1"/>
  <c r="Y365" i="1" s="1"/>
  <c r="S365" i="1" a="1"/>
  <c r="S365" i="1" s="1"/>
  <c r="U365" i="1" a="1"/>
  <c r="U365" i="1" s="1"/>
  <c r="W365" i="1" a="1"/>
  <c r="W365" i="1" s="1"/>
  <c r="N365" i="1" a="1"/>
  <c r="N365" i="1" s="1"/>
  <c r="BA365" i="1" a="1"/>
  <c r="BA365" i="1" s="1"/>
  <c r="BE365" i="1" a="1"/>
  <c r="BE365" i="1" s="1"/>
  <c r="AG365" i="1" a="1"/>
  <c r="AG365" i="1" s="1"/>
  <c r="AK365" i="1" a="1"/>
  <c r="AK365" i="1" s="1"/>
  <c r="Z365" i="1" a="1"/>
  <c r="Z365" i="1" s="1"/>
  <c r="T365" i="1" a="1"/>
  <c r="T365" i="1" s="1"/>
  <c r="O365" i="1" a="1"/>
  <c r="O365" i="1" s="1"/>
  <c r="J365" i="1" a="1"/>
  <c r="J365" i="1" s="1"/>
  <c r="AS365" i="1" a="1"/>
  <c r="AS365" i="1" s="1"/>
  <c r="AT365" i="1" s="1"/>
  <c r="AI365" i="1" a="1"/>
  <c r="AI365" i="1" s="1"/>
  <c r="AD365" i="1" a="1"/>
  <c r="AD365" i="1" s="1"/>
  <c r="AE365" i="1" s="1"/>
  <c r="AB365" i="1" s="1"/>
  <c r="R365" i="1" a="1"/>
  <c r="R365" i="1" s="1"/>
  <c r="V365" i="1" a="1"/>
  <c r="V365" i="1" s="1"/>
  <c r="K365" i="1" a="1"/>
  <c r="K365" i="1" s="1"/>
  <c r="Q364" i="1" a="1"/>
  <c r="Q364" i="1" s="1"/>
  <c r="I364" i="1"/>
  <c r="X364" i="1"/>
  <c r="AF364" i="1"/>
  <c r="A365" i="1"/>
  <c r="B366" i="1"/>
  <c r="AZ365" i="1" l="1"/>
  <c r="L365" i="1"/>
  <c r="D366" i="1"/>
  <c r="E366" i="1"/>
  <c r="C366" i="1"/>
  <c r="AZ366" i="1" s="1"/>
  <c r="AO364" i="1"/>
  <c r="P365" i="1"/>
  <c r="M365" i="1" s="1"/>
  <c r="AA365" i="1"/>
  <c r="H365" i="1"/>
  <c r="AY365" i="1" s="1"/>
  <c r="G366" i="1" a="1"/>
  <c r="G366" i="1" s="1"/>
  <c r="BB366" i="1" a="1"/>
  <c r="BB366" i="1" s="1"/>
  <c r="BD366" i="1" a="1"/>
  <c r="BD366" i="1" s="1"/>
  <c r="BF366" i="1" a="1"/>
  <c r="BF366" i="1" s="1"/>
  <c r="AW366" i="1" a="1"/>
  <c r="AW366" i="1" s="1"/>
  <c r="AS366" i="1" a="1"/>
  <c r="AS366" i="1" s="1"/>
  <c r="BA366" i="1" a="1"/>
  <c r="BA366" i="1" s="1"/>
  <c r="BE366" i="1" a="1"/>
  <c r="BE366" i="1" s="1"/>
  <c r="AR366" i="1" a="1"/>
  <c r="AR366" i="1" s="1"/>
  <c r="AH366" i="1" a="1"/>
  <c r="AH366" i="1" s="1"/>
  <c r="AJ366" i="1" a="1"/>
  <c r="AJ366" i="1" s="1"/>
  <c r="AL366" i="1" a="1"/>
  <c r="AL366" i="1" s="1"/>
  <c r="AD366" i="1" a="1"/>
  <c r="AD366" i="1" s="1"/>
  <c r="Z366" i="1" a="1"/>
  <c r="Z366" i="1" s="1"/>
  <c r="S366" i="1" a="1"/>
  <c r="S366" i="1" s="1"/>
  <c r="U366" i="1" a="1"/>
  <c r="U366" i="1" s="1"/>
  <c r="W366" i="1" a="1"/>
  <c r="W366" i="1" s="1"/>
  <c r="O366" i="1" a="1"/>
  <c r="O366" i="1" s="1"/>
  <c r="K366" i="1" a="1"/>
  <c r="K366" i="1" s="1"/>
  <c r="J366" i="1" a="1"/>
  <c r="J366" i="1" s="1"/>
  <c r="F366" i="1" a="1"/>
  <c r="F366" i="1" s="1"/>
  <c r="H366" i="1" s="1"/>
  <c r="BC366" i="1" a="1"/>
  <c r="BC366" i="1" s="1"/>
  <c r="AV366" i="1" a="1"/>
  <c r="AV366" i="1" s="1"/>
  <c r="AI366" i="1" a="1"/>
  <c r="AI366" i="1" s="1"/>
  <c r="AC366" i="1" a="1"/>
  <c r="AC366" i="1" s="1"/>
  <c r="R366" i="1" a="1"/>
  <c r="R366" i="1" s="1"/>
  <c r="V366" i="1" a="1"/>
  <c r="V366" i="1" s="1"/>
  <c r="AG366" i="1" a="1"/>
  <c r="AG366" i="1" s="1"/>
  <c r="AK366" i="1" a="1"/>
  <c r="AK366" i="1" s="1"/>
  <c r="Y366" i="1" a="1"/>
  <c r="Y366" i="1" s="1"/>
  <c r="T366" i="1" a="1"/>
  <c r="T366" i="1" s="1"/>
  <c r="N366" i="1" a="1"/>
  <c r="N366" i="1" s="1"/>
  <c r="I365" i="1"/>
  <c r="Q365" i="1" a="1"/>
  <c r="Q365" i="1" s="1"/>
  <c r="X365" i="1"/>
  <c r="AF365" i="1"/>
  <c r="A366" i="1"/>
  <c r="B367" i="1"/>
  <c r="D367" i="1" l="1"/>
  <c r="E367" i="1"/>
  <c r="C367" i="1"/>
  <c r="L366" i="1"/>
  <c r="AX366" i="1"/>
  <c r="AT366" i="1"/>
  <c r="P366" i="1"/>
  <c r="M366" i="1" s="1"/>
  <c r="AA366" i="1"/>
  <c r="AO365" i="1"/>
  <c r="AE366" i="1"/>
  <c r="AB366" i="1" s="1"/>
  <c r="F367" i="1" a="1"/>
  <c r="F367" i="1" s="1"/>
  <c r="BB367" i="1" a="1"/>
  <c r="BB367" i="1" s="1"/>
  <c r="BD367" i="1" a="1"/>
  <c r="BD367" i="1" s="1"/>
  <c r="BF367" i="1" a="1"/>
  <c r="BF367" i="1" s="1"/>
  <c r="AV367" i="1" a="1"/>
  <c r="AV367" i="1" s="1"/>
  <c r="AR367" i="1" a="1"/>
  <c r="AR367" i="1" s="1"/>
  <c r="BC367" i="1" a="1"/>
  <c r="BC367" i="1" s="1"/>
  <c r="AS367" i="1" a="1"/>
  <c r="AS367" i="1" s="1"/>
  <c r="AT367" i="1" s="1"/>
  <c r="AH367" i="1" a="1"/>
  <c r="AH367" i="1" s="1"/>
  <c r="AJ367" i="1" a="1"/>
  <c r="AJ367" i="1" s="1"/>
  <c r="AL367" i="1" a="1"/>
  <c r="AL367" i="1" s="1"/>
  <c r="AC367" i="1" a="1"/>
  <c r="AC367" i="1" s="1"/>
  <c r="Y367" i="1" a="1"/>
  <c r="Y367" i="1" s="1"/>
  <c r="S367" i="1" a="1"/>
  <c r="S367" i="1" s="1"/>
  <c r="U367" i="1" a="1"/>
  <c r="U367" i="1" s="1"/>
  <c r="W367" i="1" a="1"/>
  <c r="W367" i="1" s="1"/>
  <c r="N367" i="1" a="1"/>
  <c r="N367" i="1" s="1"/>
  <c r="G367" i="1" a="1"/>
  <c r="G367" i="1" s="1"/>
  <c r="BA367" i="1" a="1"/>
  <c r="BA367" i="1" s="1"/>
  <c r="BE367" i="1" a="1"/>
  <c r="BE367" i="1" s="1"/>
  <c r="AW367" i="1" a="1"/>
  <c r="AW367" i="1" s="1"/>
  <c r="AX367" i="1" s="1"/>
  <c r="AG367" i="1" a="1"/>
  <c r="AG367" i="1" s="1"/>
  <c r="AK367" i="1" a="1"/>
  <c r="AK367" i="1" s="1"/>
  <c r="AD367" i="1" a="1"/>
  <c r="AD367" i="1" s="1"/>
  <c r="AE367" i="1" s="1"/>
  <c r="AB367" i="1" s="1"/>
  <c r="T367" i="1" a="1"/>
  <c r="T367" i="1" s="1"/>
  <c r="K367" i="1" a="1"/>
  <c r="K367" i="1" s="1"/>
  <c r="AI367" i="1" a="1"/>
  <c r="AI367" i="1" s="1"/>
  <c r="Z367" i="1" a="1"/>
  <c r="Z367" i="1" s="1"/>
  <c r="R367" i="1" a="1"/>
  <c r="R367" i="1" s="1"/>
  <c r="V367" i="1" a="1"/>
  <c r="V367" i="1" s="1"/>
  <c r="O367" i="1" a="1"/>
  <c r="O367" i="1" s="1"/>
  <c r="P367" i="1" s="1"/>
  <c r="M367" i="1" s="1"/>
  <c r="J367" i="1" a="1"/>
  <c r="J367" i="1" s="1"/>
  <c r="Q366" i="1" a="1"/>
  <c r="Q366" i="1" s="1"/>
  <c r="I366" i="1"/>
  <c r="X366" i="1"/>
  <c r="AF366" i="1"/>
  <c r="A367" i="1"/>
  <c r="B368" i="1"/>
  <c r="AZ367" i="1" l="1"/>
  <c r="D368" i="1"/>
  <c r="E368" i="1"/>
  <c r="C368" i="1"/>
  <c r="AA367" i="1"/>
  <c r="AY366" i="1"/>
  <c r="AO366" i="1"/>
  <c r="L367" i="1"/>
  <c r="H367" i="1"/>
  <c r="AY367" i="1" s="1"/>
  <c r="G368" i="1" a="1"/>
  <c r="G368" i="1" s="1"/>
  <c r="BB368" i="1" a="1"/>
  <c r="BB368" i="1" s="1"/>
  <c r="BD368" i="1" a="1"/>
  <c r="BD368" i="1" s="1"/>
  <c r="BF368" i="1" a="1"/>
  <c r="BF368" i="1" s="1"/>
  <c r="AW368" i="1" a="1"/>
  <c r="AW368" i="1" s="1"/>
  <c r="AS368" i="1" a="1"/>
  <c r="AS368" i="1" s="1"/>
  <c r="F368" i="1" a="1"/>
  <c r="F368" i="1" s="1"/>
  <c r="H368" i="1" s="1"/>
  <c r="BA368" i="1" a="1"/>
  <c r="BA368" i="1" s="1"/>
  <c r="BE368" i="1" a="1"/>
  <c r="BE368" i="1" s="1"/>
  <c r="AV368" i="1" a="1"/>
  <c r="AV368" i="1" s="1"/>
  <c r="AH368" i="1" a="1"/>
  <c r="AH368" i="1" s="1"/>
  <c r="AJ368" i="1" a="1"/>
  <c r="AJ368" i="1" s="1"/>
  <c r="AL368" i="1" a="1"/>
  <c r="AL368" i="1" s="1"/>
  <c r="AD368" i="1" a="1"/>
  <c r="AD368" i="1" s="1"/>
  <c r="Z368" i="1" a="1"/>
  <c r="Z368" i="1" s="1"/>
  <c r="S368" i="1" a="1"/>
  <c r="S368" i="1" s="1"/>
  <c r="U368" i="1" a="1"/>
  <c r="U368" i="1" s="1"/>
  <c r="W368" i="1" a="1"/>
  <c r="W368" i="1" s="1"/>
  <c r="O368" i="1" a="1"/>
  <c r="O368" i="1" s="1"/>
  <c r="K368" i="1" a="1"/>
  <c r="K368" i="1" s="1"/>
  <c r="J368" i="1" a="1"/>
  <c r="J368" i="1" s="1"/>
  <c r="BC368" i="1" a="1"/>
  <c r="BC368" i="1" s="1"/>
  <c r="AI368" i="1" a="1"/>
  <c r="AI368" i="1" s="1"/>
  <c r="Y368" i="1" a="1"/>
  <c r="Y368" i="1" s="1"/>
  <c r="R368" i="1" a="1"/>
  <c r="R368" i="1" s="1"/>
  <c r="V368" i="1" a="1"/>
  <c r="V368" i="1" s="1"/>
  <c r="N368" i="1" a="1"/>
  <c r="N368" i="1" s="1"/>
  <c r="AR368" i="1" a="1"/>
  <c r="AR368" i="1" s="1"/>
  <c r="AG368" i="1" a="1"/>
  <c r="AG368" i="1" s="1"/>
  <c r="AK368" i="1" a="1"/>
  <c r="AK368" i="1" s="1"/>
  <c r="AC368" i="1" a="1"/>
  <c r="AC368" i="1" s="1"/>
  <c r="T368" i="1" a="1"/>
  <c r="T368" i="1" s="1"/>
  <c r="X367" i="1"/>
  <c r="AF367" i="1"/>
  <c r="I367" i="1"/>
  <c r="Q367" i="1" a="1"/>
  <c r="Q367" i="1" s="1"/>
  <c r="AO367" i="1" s="1"/>
  <c r="B369" i="1"/>
  <c r="A368" i="1"/>
  <c r="AZ368" i="1" l="1"/>
  <c r="D369" i="1"/>
  <c r="E369" i="1"/>
  <c r="C369" i="1"/>
  <c r="AZ369" i="1" s="1"/>
  <c r="AT368" i="1"/>
  <c r="AX368" i="1"/>
  <c r="L368" i="1"/>
  <c r="AE368" i="1"/>
  <c r="AB368" i="1" s="1"/>
  <c r="P368" i="1"/>
  <c r="M368" i="1" s="1"/>
  <c r="AA368" i="1"/>
  <c r="F369" i="1" a="1"/>
  <c r="F369" i="1" s="1"/>
  <c r="BB369" i="1" a="1"/>
  <c r="BB369" i="1" s="1"/>
  <c r="BD369" i="1" a="1"/>
  <c r="BD369" i="1" s="1"/>
  <c r="BF369" i="1" a="1"/>
  <c r="BF369" i="1" s="1"/>
  <c r="AV369" i="1" a="1"/>
  <c r="AV369" i="1" s="1"/>
  <c r="AR369" i="1" a="1"/>
  <c r="AR369" i="1" s="1"/>
  <c r="G369" i="1" a="1"/>
  <c r="G369" i="1" s="1"/>
  <c r="BC369" i="1" a="1"/>
  <c r="BC369" i="1" s="1"/>
  <c r="AW369" i="1" a="1"/>
  <c r="AW369" i="1" s="1"/>
  <c r="AX369" i="1" s="1"/>
  <c r="AH369" i="1" a="1"/>
  <c r="AH369" i="1" s="1"/>
  <c r="AJ369" i="1" a="1"/>
  <c r="AJ369" i="1" s="1"/>
  <c r="AL369" i="1" a="1"/>
  <c r="AL369" i="1" s="1"/>
  <c r="AC369" i="1" a="1"/>
  <c r="AC369" i="1" s="1"/>
  <c r="Y369" i="1" a="1"/>
  <c r="Y369" i="1" s="1"/>
  <c r="S369" i="1" a="1"/>
  <c r="S369" i="1" s="1"/>
  <c r="U369" i="1" a="1"/>
  <c r="U369" i="1" s="1"/>
  <c r="W369" i="1" a="1"/>
  <c r="W369" i="1" s="1"/>
  <c r="N369" i="1" a="1"/>
  <c r="N369" i="1" s="1"/>
  <c r="BA369" i="1" a="1"/>
  <c r="BA369" i="1" s="1"/>
  <c r="BE369" i="1" a="1"/>
  <c r="BE369" i="1" s="1"/>
  <c r="AS369" i="1" a="1"/>
  <c r="AS369" i="1" s="1"/>
  <c r="AG369" i="1" a="1"/>
  <c r="AG369" i="1" s="1"/>
  <c r="AK369" i="1" a="1"/>
  <c r="AK369" i="1" s="1"/>
  <c r="Z369" i="1" a="1"/>
  <c r="Z369" i="1" s="1"/>
  <c r="AA369" i="1" s="1"/>
  <c r="T369" i="1" a="1"/>
  <c r="T369" i="1" s="1"/>
  <c r="O369" i="1" a="1"/>
  <c r="O369" i="1" s="1"/>
  <c r="J369" i="1" a="1"/>
  <c r="J369" i="1" s="1"/>
  <c r="AI369" i="1" a="1"/>
  <c r="AI369" i="1" s="1"/>
  <c r="AD369" i="1" a="1"/>
  <c r="AD369" i="1" s="1"/>
  <c r="AE369" i="1" s="1"/>
  <c r="AB369" i="1" s="1"/>
  <c r="R369" i="1" a="1"/>
  <c r="R369" i="1" s="1"/>
  <c r="V369" i="1" a="1"/>
  <c r="V369" i="1" s="1"/>
  <c r="K369" i="1" a="1"/>
  <c r="K369" i="1" s="1"/>
  <c r="Q368" i="1" a="1"/>
  <c r="Q368" i="1" s="1"/>
  <c r="I368" i="1"/>
  <c r="X368" i="1"/>
  <c r="AF368" i="1"/>
  <c r="B370" i="1"/>
  <c r="A369" i="1"/>
  <c r="D370" i="1" l="1"/>
  <c r="E370" i="1"/>
  <c r="C370" i="1"/>
  <c r="AZ370" i="1" s="1"/>
  <c r="P369" i="1"/>
  <c r="M369" i="1" s="1"/>
  <c r="AT369" i="1"/>
  <c r="AY368" i="1"/>
  <c r="L369" i="1"/>
  <c r="AO368" i="1"/>
  <c r="H369" i="1"/>
  <c r="AY369" i="1" s="1"/>
  <c r="G370" i="1" a="1"/>
  <c r="G370" i="1" s="1"/>
  <c r="BB370" i="1" a="1"/>
  <c r="BB370" i="1" s="1"/>
  <c r="BD370" i="1" a="1"/>
  <c r="BD370" i="1" s="1"/>
  <c r="BF370" i="1" a="1"/>
  <c r="BF370" i="1" s="1"/>
  <c r="AW370" i="1" a="1"/>
  <c r="AW370" i="1" s="1"/>
  <c r="AS370" i="1" a="1"/>
  <c r="AS370" i="1" s="1"/>
  <c r="BA370" i="1" a="1"/>
  <c r="BA370" i="1" s="1"/>
  <c r="BE370" i="1" a="1"/>
  <c r="BE370" i="1" s="1"/>
  <c r="AR370" i="1" a="1"/>
  <c r="AR370" i="1" s="1"/>
  <c r="AH370" i="1" a="1"/>
  <c r="AH370" i="1" s="1"/>
  <c r="AJ370" i="1" a="1"/>
  <c r="AJ370" i="1" s="1"/>
  <c r="AL370" i="1" a="1"/>
  <c r="AL370" i="1" s="1"/>
  <c r="AD370" i="1" a="1"/>
  <c r="AD370" i="1" s="1"/>
  <c r="Z370" i="1" a="1"/>
  <c r="Z370" i="1" s="1"/>
  <c r="S370" i="1" a="1"/>
  <c r="S370" i="1" s="1"/>
  <c r="U370" i="1" a="1"/>
  <c r="U370" i="1" s="1"/>
  <c r="W370" i="1" a="1"/>
  <c r="W370" i="1" s="1"/>
  <c r="O370" i="1" a="1"/>
  <c r="O370" i="1" s="1"/>
  <c r="K370" i="1" a="1"/>
  <c r="K370" i="1" s="1"/>
  <c r="J370" i="1" a="1"/>
  <c r="J370" i="1" s="1"/>
  <c r="F370" i="1" a="1"/>
  <c r="F370" i="1" s="1"/>
  <c r="H370" i="1" s="1"/>
  <c r="BC370" i="1" a="1"/>
  <c r="BC370" i="1" s="1"/>
  <c r="AV370" i="1" a="1"/>
  <c r="AV370" i="1" s="1"/>
  <c r="AI370" i="1" a="1"/>
  <c r="AI370" i="1" s="1"/>
  <c r="AC370" i="1" a="1"/>
  <c r="AC370" i="1" s="1"/>
  <c r="R370" i="1" a="1"/>
  <c r="R370" i="1" s="1"/>
  <c r="V370" i="1" a="1"/>
  <c r="V370" i="1" s="1"/>
  <c r="AG370" i="1" a="1"/>
  <c r="AG370" i="1" s="1"/>
  <c r="AK370" i="1" a="1"/>
  <c r="AK370" i="1" s="1"/>
  <c r="Y370" i="1" a="1"/>
  <c r="Y370" i="1" s="1"/>
  <c r="T370" i="1" a="1"/>
  <c r="T370" i="1" s="1"/>
  <c r="N370" i="1" a="1"/>
  <c r="N370" i="1" s="1"/>
  <c r="I369" i="1"/>
  <c r="Q369" i="1" a="1"/>
  <c r="Q369" i="1" s="1"/>
  <c r="X369" i="1"/>
  <c r="AF369" i="1"/>
  <c r="B371" i="1"/>
  <c r="A370" i="1"/>
  <c r="D371" i="1" l="1"/>
  <c r="E371" i="1"/>
  <c r="C371" i="1"/>
  <c r="AZ371" i="1" s="1"/>
  <c r="L370" i="1"/>
  <c r="AX370" i="1"/>
  <c r="AT370" i="1"/>
  <c r="AO369" i="1"/>
  <c r="P370" i="1"/>
  <c r="M370" i="1" s="1"/>
  <c r="AA370" i="1"/>
  <c r="AE370" i="1"/>
  <c r="AB370" i="1" s="1"/>
  <c r="F371" i="1" a="1"/>
  <c r="F371" i="1" s="1"/>
  <c r="BB371" i="1" a="1"/>
  <c r="BB371" i="1" s="1"/>
  <c r="BD371" i="1" a="1"/>
  <c r="BD371" i="1" s="1"/>
  <c r="BF371" i="1" a="1"/>
  <c r="BF371" i="1" s="1"/>
  <c r="AV371" i="1" a="1"/>
  <c r="AV371" i="1" s="1"/>
  <c r="AR371" i="1" a="1"/>
  <c r="AR371" i="1" s="1"/>
  <c r="BC371" i="1" a="1"/>
  <c r="BC371" i="1" s="1"/>
  <c r="AS371" i="1" a="1"/>
  <c r="AS371" i="1" s="1"/>
  <c r="AT371" i="1" s="1"/>
  <c r="AH371" i="1" a="1"/>
  <c r="AH371" i="1" s="1"/>
  <c r="AJ371" i="1" a="1"/>
  <c r="AJ371" i="1" s="1"/>
  <c r="AL371" i="1" a="1"/>
  <c r="AL371" i="1" s="1"/>
  <c r="AC371" i="1" a="1"/>
  <c r="AC371" i="1" s="1"/>
  <c r="Y371" i="1" a="1"/>
  <c r="Y371" i="1" s="1"/>
  <c r="S371" i="1" a="1"/>
  <c r="S371" i="1" s="1"/>
  <c r="U371" i="1" a="1"/>
  <c r="U371" i="1" s="1"/>
  <c r="W371" i="1" a="1"/>
  <c r="W371" i="1" s="1"/>
  <c r="N371" i="1" a="1"/>
  <c r="N371" i="1" s="1"/>
  <c r="G371" i="1" a="1"/>
  <c r="G371" i="1" s="1"/>
  <c r="BA371" i="1" a="1"/>
  <c r="BA371" i="1" s="1"/>
  <c r="BE371" i="1" a="1"/>
  <c r="BE371" i="1" s="1"/>
  <c r="AW371" i="1" a="1"/>
  <c r="AW371" i="1" s="1"/>
  <c r="AX371" i="1" s="1"/>
  <c r="AG371" i="1" a="1"/>
  <c r="AG371" i="1" s="1"/>
  <c r="AK371" i="1" a="1"/>
  <c r="AK371" i="1" s="1"/>
  <c r="AD371" i="1" a="1"/>
  <c r="AD371" i="1" s="1"/>
  <c r="AE371" i="1" s="1"/>
  <c r="AB371" i="1" s="1"/>
  <c r="T371" i="1" a="1"/>
  <c r="T371" i="1" s="1"/>
  <c r="K371" i="1" a="1"/>
  <c r="K371" i="1" s="1"/>
  <c r="AI371" i="1" a="1"/>
  <c r="AI371" i="1" s="1"/>
  <c r="Z371" i="1" a="1"/>
  <c r="Z371" i="1" s="1"/>
  <c r="R371" i="1" a="1"/>
  <c r="R371" i="1" s="1"/>
  <c r="V371" i="1" a="1"/>
  <c r="V371" i="1" s="1"/>
  <c r="O371" i="1" a="1"/>
  <c r="O371" i="1" s="1"/>
  <c r="P371" i="1" s="1"/>
  <c r="M371" i="1" s="1"/>
  <c r="J371" i="1" a="1"/>
  <c r="J371" i="1" s="1"/>
  <c r="Q370" i="1" a="1"/>
  <c r="Q370" i="1" s="1"/>
  <c r="I370" i="1"/>
  <c r="X370" i="1"/>
  <c r="AF370" i="1"/>
  <c r="B372" i="1"/>
  <c r="A371" i="1"/>
  <c r="AA371" i="1" l="1"/>
  <c r="D372" i="1"/>
  <c r="E372" i="1"/>
  <c r="C372" i="1"/>
  <c r="AZ372" i="1" s="1"/>
  <c r="AY370" i="1"/>
  <c r="L371" i="1"/>
  <c r="AO370" i="1"/>
  <c r="H371" i="1"/>
  <c r="AY371" i="1" s="1"/>
  <c r="G372" i="1" a="1"/>
  <c r="G372" i="1" s="1"/>
  <c r="BB372" i="1" a="1"/>
  <c r="BB372" i="1" s="1"/>
  <c r="BD372" i="1" a="1"/>
  <c r="BD372" i="1" s="1"/>
  <c r="BF372" i="1" a="1"/>
  <c r="BF372" i="1" s="1"/>
  <c r="AW372" i="1" a="1"/>
  <c r="AW372" i="1" s="1"/>
  <c r="AS372" i="1" a="1"/>
  <c r="AS372" i="1" s="1"/>
  <c r="F372" i="1" a="1"/>
  <c r="F372" i="1" s="1"/>
  <c r="H372" i="1" s="1"/>
  <c r="BA372" i="1" a="1"/>
  <c r="BA372" i="1" s="1"/>
  <c r="BE372" i="1" a="1"/>
  <c r="BE372" i="1" s="1"/>
  <c r="AV372" i="1" a="1"/>
  <c r="AV372" i="1" s="1"/>
  <c r="AH372" i="1" a="1"/>
  <c r="AH372" i="1" s="1"/>
  <c r="AJ372" i="1" a="1"/>
  <c r="AJ372" i="1" s="1"/>
  <c r="AL372" i="1" a="1"/>
  <c r="AL372" i="1" s="1"/>
  <c r="AD372" i="1" a="1"/>
  <c r="AD372" i="1" s="1"/>
  <c r="Z372" i="1" a="1"/>
  <c r="Z372" i="1" s="1"/>
  <c r="S372" i="1" a="1"/>
  <c r="S372" i="1" s="1"/>
  <c r="U372" i="1" a="1"/>
  <c r="U372" i="1" s="1"/>
  <c r="W372" i="1" a="1"/>
  <c r="W372" i="1" s="1"/>
  <c r="O372" i="1" a="1"/>
  <c r="O372" i="1" s="1"/>
  <c r="K372" i="1" a="1"/>
  <c r="K372" i="1" s="1"/>
  <c r="J372" i="1" a="1"/>
  <c r="J372" i="1" s="1"/>
  <c r="BC372" i="1" a="1"/>
  <c r="BC372" i="1" s="1"/>
  <c r="AR372" i="1" a="1"/>
  <c r="AR372" i="1" s="1"/>
  <c r="AI372" i="1" a="1"/>
  <c r="AI372" i="1" s="1"/>
  <c r="Y372" i="1" a="1"/>
  <c r="Y372" i="1" s="1"/>
  <c r="R372" i="1" a="1"/>
  <c r="R372" i="1" s="1"/>
  <c r="V372" i="1" a="1"/>
  <c r="V372" i="1" s="1"/>
  <c r="N372" i="1" a="1"/>
  <c r="N372" i="1" s="1"/>
  <c r="AG372" i="1" a="1"/>
  <c r="AG372" i="1" s="1"/>
  <c r="AK372" i="1" a="1"/>
  <c r="AK372" i="1" s="1"/>
  <c r="AC372" i="1" a="1"/>
  <c r="AC372" i="1" s="1"/>
  <c r="T372" i="1" a="1"/>
  <c r="T372" i="1" s="1"/>
  <c r="X371" i="1"/>
  <c r="AF371" i="1"/>
  <c r="I371" i="1"/>
  <c r="Q371" i="1" a="1"/>
  <c r="Q371" i="1" s="1"/>
  <c r="AO371" i="1" s="1"/>
  <c r="B373" i="1"/>
  <c r="A372" i="1"/>
  <c r="AZ373" i="1" l="1"/>
  <c r="D373" i="1"/>
  <c r="E373" i="1"/>
  <c r="C373" i="1"/>
  <c r="AT372" i="1"/>
  <c r="AX372" i="1"/>
  <c r="L372" i="1"/>
  <c r="I372" i="1" s="1"/>
  <c r="AE372" i="1"/>
  <c r="AB372" i="1" s="1"/>
  <c r="P372" i="1"/>
  <c r="M372" i="1" s="1"/>
  <c r="AA372" i="1"/>
  <c r="F373" i="1" a="1"/>
  <c r="F373" i="1" s="1"/>
  <c r="BB373" i="1" a="1"/>
  <c r="BB373" i="1" s="1"/>
  <c r="BD373" i="1" a="1"/>
  <c r="BD373" i="1" s="1"/>
  <c r="BF373" i="1" a="1"/>
  <c r="BF373" i="1" s="1"/>
  <c r="AV373" i="1" a="1"/>
  <c r="AV373" i="1" s="1"/>
  <c r="AR373" i="1" a="1"/>
  <c r="AR373" i="1" s="1"/>
  <c r="G373" i="1" a="1"/>
  <c r="G373" i="1" s="1"/>
  <c r="BC373" i="1" a="1"/>
  <c r="BC373" i="1" s="1"/>
  <c r="AW373" i="1" a="1"/>
  <c r="AW373" i="1" s="1"/>
  <c r="AX373" i="1" s="1"/>
  <c r="AH373" i="1" a="1"/>
  <c r="AH373" i="1" s="1"/>
  <c r="AJ373" i="1" a="1"/>
  <c r="AJ373" i="1" s="1"/>
  <c r="AL373" i="1" a="1"/>
  <c r="AL373" i="1" s="1"/>
  <c r="AC373" i="1" a="1"/>
  <c r="AC373" i="1" s="1"/>
  <c r="Y373" i="1" a="1"/>
  <c r="Y373" i="1" s="1"/>
  <c r="S373" i="1" a="1"/>
  <c r="S373" i="1" s="1"/>
  <c r="U373" i="1" a="1"/>
  <c r="U373" i="1" s="1"/>
  <c r="W373" i="1" a="1"/>
  <c r="W373" i="1" s="1"/>
  <c r="N373" i="1" a="1"/>
  <c r="N373" i="1" s="1"/>
  <c r="BA373" i="1" a="1"/>
  <c r="BA373" i="1" s="1"/>
  <c r="BE373" i="1" a="1"/>
  <c r="BE373" i="1" s="1"/>
  <c r="AG373" i="1" a="1"/>
  <c r="AG373" i="1" s="1"/>
  <c r="AK373" i="1" a="1"/>
  <c r="AK373" i="1" s="1"/>
  <c r="Z373" i="1" a="1"/>
  <c r="Z373" i="1" s="1"/>
  <c r="T373" i="1" a="1"/>
  <c r="T373" i="1" s="1"/>
  <c r="O373" i="1" a="1"/>
  <c r="O373" i="1" s="1"/>
  <c r="J373" i="1" a="1"/>
  <c r="J373" i="1" s="1"/>
  <c r="AS373" i="1" a="1"/>
  <c r="AS373" i="1" s="1"/>
  <c r="AT373" i="1" s="1"/>
  <c r="AI373" i="1" a="1"/>
  <c r="AI373" i="1" s="1"/>
  <c r="AD373" i="1" a="1"/>
  <c r="AD373" i="1" s="1"/>
  <c r="AE373" i="1" s="1"/>
  <c r="AB373" i="1" s="1"/>
  <c r="R373" i="1" a="1"/>
  <c r="R373" i="1" s="1"/>
  <c r="V373" i="1" a="1"/>
  <c r="V373" i="1" s="1"/>
  <c r="K373" i="1" a="1"/>
  <c r="K373" i="1" s="1"/>
  <c r="L373" i="1" s="1"/>
  <c r="Q372" i="1" a="1"/>
  <c r="Q372" i="1" s="1"/>
  <c r="X372" i="1"/>
  <c r="AF372" i="1"/>
  <c r="B374" i="1"/>
  <c r="A373" i="1"/>
  <c r="D374" i="1" l="1"/>
  <c r="E374" i="1"/>
  <c r="C374" i="1"/>
  <c r="AZ374" i="1" s="1"/>
  <c r="AA373" i="1"/>
  <c r="AY372" i="1"/>
  <c r="P373" i="1"/>
  <c r="M373" i="1" s="1"/>
  <c r="AO372" i="1"/>
  <c r="H373" i="1"/>
  <c r="AY373" i="1" s="1"/>
  <c r="G374" i="1" a="1"/>
  <c r="G374" i="1" s="1"/>
  <c r="BB374" i="1" a="1"/>
  <c r="BB374" i="1" s="1"/>
  <c r="BD374" i="1" a="1"/>
  <c r="BD374" i="1" s="1"/>
  <c r="BF374" i="1" a="1"/>
  <c r="BF374" i="1" s="1"/>
  <c r="AW374" i="1" a="1"/>
  <c r="AW374" i="1" s="1"/>
  <c r="AS374" i="1" a="1"/>
  <c r="AS374" i="1" s="1"/>
  <c r="BA374" i="1" a="1"/>
  <c r="BA374" i="1" s="1"/>
  <c r="BE374" i="1" a="1"/>
  <c r="BE374" i="1" s="1"/>
  <c r="AR374" i="1" a="1"/>
  <c r="AR374" i="1" s="1"/>
  <c r="AH374" i="1" a="1"/>
  <c r="AH374" i="1" s="1"/>
  <c r="AJ374" i="1" a="1"/>
  <c r="AJ374" i="1" s="1"/>
  <c r="AL374" i="1" a="1"/>
  <c r="AL374" i="1" s="1"/>
  <c r="AD374" i="1" a="1"/>
  <c r="AD374" i="1" s="1"/>
  <c r="Z374" i="1" a="1"/>
  <c r="Z374" i="1" s="1"/>
  <c r="S374" i="1" a="1"/>
  <c r="S374" i="1" s="1"/>
  <c r="U374" i="1" a="1"/>
  <c r="U374" i="1" s="1"/>
  <c r="W374" i="1" a="1"/>
  <c r="W374" i="1" s="1"/>
  <c r="O374" i="1" a="1"/>
  <c r="O374" i="1" s="1"/>
  <c r="K374" i="1" a="1"/>
  <c r="K374" i="1" s="1"/>
  <c r="J374" i="1" a="1"/>
  <c r="J374" i="1" s="1"/>
  <c r="F374" i="1" a="1"/>
  <c r="F374" i="1" s="1"/>
  <c r="H374" i="1" s="1"/>
  <c r="BC374" i="1" a="1"/>
  <c r="BC374" i="1" s="1"/>
  <c r="AV374" i="1" a="1"/>
  <c r="AV374" i="1" s="1"/>
  <c r="AI374" i="1" a="1"/>
  <c r="AI374" i="1" s="1"/>
  <c r="AC374" i="1" a="1"/>
  <c r="AC374" i="1" s="1"/>
  <c r="R374" i="1" a="1"/>
  <c r="R374" i="1" s="1"/>
  <c r="V374" i="1" a="1"/>
  <c r="V374" i="1" s="1"/>
  <c r="AG374" i="1" a="1"/>
  <c r="AG374" i="1" s="1"/>
  <c r="AK374" i="1" a="1"/>
  <c r="AK374" i="1" s="1"/>
  <c r="Y374" i="1" a="1"/>
  <c r="Y374" i="1" s="1"/>
  <c r="T374" i="1" a="1"/>
  <c r="T374" i="1" s="1"/>
  <c r="N374" i="1" a="1"/>
  <c r="N374" i="1" s="1"/>
  <c r="I373" i="1"/>
  <c r="Q373" i="1" a="1"/>
  <c r="Q373" i="1" s="1"/>
  <c r="X373" i="1"/>
  <c r="AF373" i="1"/>
  <c r="B375" i="1"/>
  <c r="A374" i="1"/>
  <c r="D375" i="1" l="1"/>
  <c r="E375" i="1"/>
  <c r="C375" i="1"/>
  <c r="AZ375" i="1" s="1"/>
  <c r="AX374" i="1"/>
  <c r="AT374" i="1"/>
  <c r="AO373" i="1"/>
  <c r="P374" i="1"/>
  <c r="M374" i="1" s="1"/>
  <c r="AA374" i="1"/>
  <c r="X374" i="1" s="1"/>
  <c r="L374" i="1"/>
  <c r="AE374" i="1"/>
  <c r="AB374" i="1" s="1"/>
  <c r="F375" i="1" a="1"/>
  <c r="F375" i="1" s="1"/>
  <c r="BB375" i="1" a="1"/>
  <c r="BB375" i="1" s="1"/>
  <c r="BD375" i="1" a="1"/>
  <c r="BD375" i="1" s="1"/>
  <c r="BF375" i="1" a="1"/>
  <c r="BF375" i="1" s="1"/>
  <c r="AV375" i="1" a="1"/>
  <c r="AV375" i="1" s="1"/>
  <c r="AR375" i="1" a="1"/>
  <c r="AR375" i="1" s="1"/>
  <c r="BC375" i="1" a="1"/>
  <c r="BC375" i="1" s="1"/>
  <c r="AS375" i="1" a="1"/>
  <c r="AS375" i="1" s="1"/>
  <c r="AH375" i="1" a="1"/>
  <c r="AH375" i="1" s="1"/>
  <c r="AJ375" i="1" a="1"/>
  <c r="AJ375" i="1" s="1"/>
  <c r="AL375" i="1" a="1"/>
  <c r="AL375" i="1" s="1"/>
  <c r="AC375" i="1" a="1"/>
  <c r="AC375" i="1" s="1"/>
  <c r="Y375" i="1" a="1"/>
  <c r="Y375" i="1" s="1"/>
  <c r="S375" i="1" a="1"/>
  <c r="S375" i="1" s="1"/>
  <c r="U375" i="1" a="1"/>
  <c r="U375" i="1" s="1"/>
  <c r="W375" i="1" a="1"/>
  <c r="W375" i="1" s="1"/>
  <c r="N375" i="1" a="1"/>
  <c r="N375" i="1" s="1"/>
  <c r="G375" i="1" a="1"/>
  <c r="G375" i="1" s="1"/>
  <c r="BA375" i="1" a="1"/>
  <c r="BA375" i="1" s="1"/>
  <c r="BE375" i="1" a="1"/>
  <c r="BE375" i="1" s="1"/>
  <c r="AW375" i="1" a="1"/>
  <c r="AW375" i="1" s="1"/>
  <c r="AX375" i="1" s="1"/>
  <c r="AG375" i="1" a="1"/>
  <c r="AG375" i="1" s="1"/>
  <c r="AK375" i="1" a="1"/>
  <c r="AK375" i="1" s="1"/>
  <c r="AD375" i="1" a="1"/>
  <c r="AD375" i="1" s="1"/>
  <c r="AE375" i="1" s="1"/>
  <c r="AB375" i="1" s="1"/>
  <c r="T375" i="1" a="1"/>
  <c r="T375" i="1" s="1"/>
  <c r="K375" i="1" a="1"/>
  <c r="K375" i="1" s="1"/>
  <c r="AI375" i="1" a="1"/>
  <c r="AI375" i="1" s="1"/>
  <c r="Z375" i="1" a="1"/>
  <c r="Z375" i="1" s="1"/>
  <c r="R375" i="1" a="1"/>
  <c r="R375" i="1" s="1"/>
  <c r="V375" i="1" a="1"/>
  <c r="V375" i="1" s="1"/>
  <c r="O375" i="1" a="1"/>
  <c r="O375" i="1" s="1"/>
  <c r="P375" i="1" s="1"/>
  <c r="M375" i="1" s="1"/>
  <c r="J375" i="1" a="1"/>
  <c r="J375" i="1" s="1"/>
  <c r="Q374" i="1" a="1"/>
  <c r="Q374" i="1" s="1"/>
  <c r="I374" i="1"/>
  <c r="AF374" i="1"/>
  <c r="B376" i="1"/>
  <c r="A375" i="1"/>
  <c r="AA375" i="1" l="1"/>
  <c r="D376" i="1"/>
  <c r="E376" i="1"/>
  <c r="C376" i="1"/>
  <c r="AY374" i="1"/>
  <c r="AT375" i="1"/>
  <c r="AO374" i="1"/>
  <c r="H375" i="1"/>
  <c r="AY375" i="1" s="1"/>
  <c r="L375" i="1"/>
  <c r="G376" i="1" a="1"/>
  <c r="G376" i="1" s="1"/>
  <c r="BB376" i="1" a="1"/>
  <c r="BB376" i="1" s="1"/>
  <c r="BD376" i="1" a="1"/>
  <c r="BD376" i="1" s="1"/>
  <c r="BF376" i="1" a="1"/>
  <c r="BF376" i="1" s="1"/>
  <c r="AW376" i="1" a="1"/>
  <c r="AW376" i="1" s="1"/>
  <c r="AS376" i="1" a="1"/>
  <c r="AS376" i="1" s="1"/>
  <c r="F376" i="1" a="1"/>
  <c r="F376" i="1" s="1"/>
  <c r="H376" i="1" s="1"/>
  <c r="BA376" i="1" a="1"/>
  <c r="BA376" i="1" s="1"/>
  <c r="BE376" i="1" a="1"/>
  <c r="BE376" i="1" s="1"/>
  <c r="AV376" i="1" a="1"/>
  <c r="AV376" i="1" s="1"/>
  <c r="AH376" i="1" a="1"/>
  <c r="AH376" i="1" s="1"/>
  <c r="AJ376" i="1" a="1"/>
  <c r="AJ376" i="1" s="1"/>
  <c r="AL376" i="1" a="1"/>
  <c r="AL376" i="1" s="1"/>
  <c r="AD376" i="1" a="1"/>
  <c r="AD376" i="1" s="1"/>
  <c r="Z376" i="1" a="1"/>
  <c r="Z376" i="1" s="1"/>
  <c r="S376" i="1" a="1"/>
  <c r="S376" i="1" s="1"/>
  <c r="U376" i="1" a="1"/>
  <c r="U376" i="1" s="1"/>
  <c r="W376" i="1" a="1"/>
  <c r="W376" i="1" s="1"/>
  <c r="O376" i="1" a="1"/>
  <c r="O376" i="1" s="1"/>
  <c r="K376" i="1" a="1"/>
  <c r="K376" i="1" s="1"/>
  <c r="J376" i="1" a="1"/>
  <c r="J376" i="1" s="1"/>
  <c r="BC376" i="1" a="1"/>
  <c r="BC376" i="1" s="1"/>
  <c r="AI376" i="1" a="1"/>
  <c r="AI376" i="1" s="1"/>
  <c r="Y376" i="1" a="1"/>
  <c r="Y376" i="1" s="1"/>
  <c r="R376" i="1" a="1"/>
  <c r="R376" i="1" s="1"/>
  <c r="V376" i="1" a="1"/>
  <c r="V376" i="1" s="1"/>
  <c r="N376" i="1" a="1"/>
  <c r="N376" i="1" s="1"/>
  <c r="AR376" i="1" a="1"/>
  <c r="AR376" i="1" s="1"/>
  <c r="AG376" i="1" a="1"/>
  <c r="AG376" i="1" s="1"/>
  <c r="AK376" i="1" a="1"/>
  <c r="AK376" i="1" s="1"/>
  <c r="AC376" i="1" a="1"/>
  <c r="AC376" i="1" s="1"/>
  <c r="T376" i="1" a="1"/>
  <c r="T376" i="1" s="1"/>
  <c r="X375" i="1"/>
  <c r="AF375" i="1"/>
  <c r="I375" i="1"/>
  <c r="Q375" i="1" a="1"/>
  <c r="Q375" i="1" s="1"/>
  <c r="AO375" i="1" s="1"/>
  <c r="A376" i="1"/>
  <c r="L376" i="1" l="1"/>
  <c r="I376" i="1" s="1"/>
  <c r="AT376" i="1"/>
  <c r="AX376" i="1"/>
  <c r="AE376" i="1"/>
  <c r="AB376" i="1" s="1"/>
  <c r="P376" i="1"/>
  <c r="M376" i="1" s="1"/>
  <c r="AA376" i="1"/>
  <c r="X376" i="1" s="1"/>
  <c r="Q376" i="1" l="1" a="1"/>
  <c r="Q376" i="1" s="1"/>
  <c r="AY376" i="1"/>
  <c r="AF376" i="1"/>
  <c r="AO376" i="1" l="1"/>
  <c r="AZ381" i="1"/>
  <c r="AY380" i="1"/>
  <c r="AY379" i="1"/>
  <c r="AO380" i="1"/>
  <c r="AO379" i="1"/>
  <c r="AP381" i="1" l="1"/>
</calcChain>
</file>

<file path=xl/connections.xml><?xml version="1.0" encoding="utf-8"?>
<connections xmlns="http://schemas.openxmlformats.org/spreadsheetml/2006/main">
  <connection id="1" name="3919" type="6" refreshedVersion="6" background="1" saveData="1">
    <textPr prompt="0" codePage="65001" firstRow="44" sourceFile="C:\Users\kkoplitz\AppData\Local\Temp\SplashBI\4174.csv" tab="0" qualifier="none" delimiter="~">
      <textFields count="13">
        <textField type="DMY"/>
        <textField type="text"/>
        <textField type="text"/>
        <textField type="text"/>
        <textField type="text"/>
        <textField type="text"/>
        <textField type="text"/>
        <textField/>
        <textField type="text"/>
        <textField/>
        <textField/>
        <textField/>
        <textField type="text"/>
      </textFields>
    </textPr>
  </connection>
  <connection id="2" name="3919_main" type="6" refreshedVersion="6" background="1" saveData="1">
    <textPr prompt="0" codePage="65001" firstRow="44" sourceFile="C:\Users\kkoplitz\AppData\Local\Temp\SplashBI\4174_main.csv" tab="0" delimiter="~">
      <textFields count="13"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</textFields>
    </textPr>
  </connection>
  <connection id="3" name="3920" type="6" refreshedVersion="6" background="1" saveData="1">
    <textPr prompt="0" codePage="65001" firstRow="37" sourceFile="C:\Users\kkoplitz\AppData\Local\Temp\SplashBI\4173.csv" tab="0" qualifier="none" delimiter="~">
      <textFields count="6">
        <textField type="DMY"/>
        <textField type="text"/>
        <textField type="text"/>
        <textField/>
        <textField type="text"/>
        <textField/>
      </textFields>
    </textPr>
  </connection>
  <connection id="4" name="3920_main" type="6" refreshedVersion="6" background="1" saveData="1">
    <textPr prompt="0" codePage="65001" firstRow="37" sourceFile="C:\Users\kkoplitz\AppData\Local\Temp\SplashBI\4173_main.csv" tab="0" delimiter="~">
      <textFields count="6">
        <textField type="skip"/>
        <textField type="skip"/>
        <textField type="skip"/>
        <textField type="skip"/>
        <textField type="skip"/>
        <textField type="skip"/>
      </textFields>
    </textPr>
  </connection>
</connections>
</file>

<file path=xl/sharedStrings.xml><?xml version="1.0" encoding="utf-8"?>
<sst xmlns="http://schemas.openxmlformats.org/spreadsheetml/2006/main" count="9662" uniqueCount="722">
  <si>
    <t>Period Start</t>
  </si>
  <si>
    <t>Period End</t>
  </si>
  <si>
    <t>Month</t>
  </si>
  <si>
    <t>Months</t>
  </si>
  <si>
    <t>001-C</t>
  </si>
  <si>
    <t>Ammonia Nitrogen, AA</t>
  </si>
  <si>
    <t>Ammonia Check</t>
  </si>
  <si>
    <t>NO3+NO2 as N - Cd Red.</t>
  </si>
  <si>
    <t>NO5 Check</t>
  </si>
  <si>
    <t>00610</t>
  </si>
  <si>
    <t>00630</t>
  </si>
  <si>
    <t>Limits</t>
  </si>
  <si>
    <t>PQL</t>
  </si>
  <si>
    <t>Location Code</t>
  </si>
  <si>
    <t>1002B</t>
  </si>
  <si>
    <t>1004B</t>
  </si>
  <si>
    <t>6I</t>
  </si>
  <si>
    <t>2B</t>
  </si>
  <si>
    <t>4B</t>
  </si>
  <si>
    <t>2I</t>
  </si>
  <si>
    <t>4I</t>
  </si>
  <si>
    <t>Day</t>
  </si>
  <si>
    <t>Date</t>
  </si>
  <si>
    <t>ML</t>
  </si>
  <si>
    <t>Result</t>
  </si>
  <si>
    <t>computing result</t>
  </si>
  <si>
    <t>Flow weighted</t>
  </si>
  <si>
    <t>Count</t>
  </si>
  <si>
    <t>Sheet Name</t>
  </si>
  <si>
    <t>Start Cell</t>
  </si>
  <si>
    <t>End Cell</t>
  </si>
  <si>
    <t>BusinessArea Name</t>
  </si>
  <si>
    <t>ReportGroup Name</t>
  </si>
  <si>
    <t>Report Name</t>
  </si>
  <si>
    <t>Parameters</t>
  </si>
  <si>
    <t>Rows</t>
  </si>
  <si>
    <t>Status</t>
  </si>
  <si>
    <t>StartTime</t>
  </si>
  <si>
    <t>EndTime</t>
  </si>
  <si>
    <t>Json ParameterString</t>
  </si>
  <si>
    <t>User Id</t>
  </si>
  <si>
    <t>BusinessArea Id</t>
  </si>
  <si>
    <t>ReportGroup Id</t>
  </si>
  <si>
    <t>Report Id</t>
  </si>
  <si>
    <t>Headers</t>
  </si>
  <si>
    <t>Sheet Name Ref</t>
  </si>
  <si>
    <t>Pivot Sheet Name Ref</t>
  </si>
  <si>
    <t>Splash SessionID</t>
  </si>
  <si>
    <t>Process Id</t>
  </si>
  <si>
    <t>Pivot Sheet Name</t>
  </si>
  <si>
    <t>Old ProcessId</t>
  </si>
  <si>
    <t>ColumnsCount</t>
  </si>
  <si>
    <t>Download Time</t>
  </si>
  <si>
    <t>Error Message</t>
  </si>
  <si>
    <t>MandatoryParameters</t>
  </si>
  <si>
    <t>IsModifyReport</t>
  </si>
  <si>
    <t>UserGroup ID</t>
  </si>
  <si>
    <t>Modify Report JSON</t>
  </si>
  <si>
    <t>A1</t>
  </si>
  <si>
    <t>MWRD</t>
  </si>
  <si>
    <t xml:space="preserve">MWRD Regulatory </t>
  </si>
  <si>
    <t>DMR 001C TIN &amp; TP</t>
  </si>
  <si>
    <t>(P)DMR 001C TIN &amp; TP</t>
  </si>
  <si>
    <t/>
  </si>
  <si>
    <t>D0T&amp;T Totals</t>
  </si>
  <si>
    <t>Sample Date</t>
  </si>
  <si>
    <t>Loccode</t>
  </si>
  <si>
    <t>Loccode Desc</t>
  </si>
  <si>
    <t>Acode</t>
  </si>
  <si>
    <t>Anlname</t>
  </si>
  <si>
    <t>Acquired Type</t>
  </si>
  <si>
    <t>Uom</t>
  </si>
  <si>
    <t>Qualify</t>
  </si>
  <si>
    <t>Mdl</t>
  </si>
  <si>
    <t>Ml Factor</t>
  </si>
  <si>
    <t>Sampno</t>
  </si>
  <si>
    <t>N. Final Effluent Alt Platform</t>
  </si>
  <si>
    <t>NH3A</t>
  </si>
  <si>
    <t>FC24</t>
  </si>
  <si>
    <t>mg/L</t>
  </si>
  <si>
    <t>Scratched</t>
  </si>
  <si>
    <t>AE34456</t>
  </si>
  <si>
    <t>AE34530</t>
  </si>
  <si>
    <t>AE34643</t>
  </si>
  <si>
    <t>AE35086</t>
  </si>
  <si>
    <t>AE35195</t>
  </si>
  <si>
    <t>AE35355</t>
  </si>
  <si>
    <t>AE35766</t>
  </si>
  <si>
    <t>AE35929</t>
  </si>
  <si>
    <t>AE35998</t>
  </si>
  <si>
    <t>AE36456</t>
  </si>
  <si>
    <t>AE36583</t>
  </si>
  <si>
    <t>AE36716</t>
  </si>
  <si>
    <t>AE37105</t>
  </si>
  <si>
    <t>AE37258</t>
  </si>
  <si>
    <t>AE37369</t>
  </si>
  <si>
    <t>AE37827</t>
  </si>
  <si>
    <t>AE37950</t>
  </si>
  <si>
    <t>AE38081</t>
  </si>
  <si>
    <t>AE38535</t>
  </si>
  <si>
    <t>AE38693</t>
  </si>
  <si>
    <t>AE38812</t>
  </si>
  <si>
    <t>AE39236</t>
  </si>
  <si>
    <t>AE39374</t>
  </si>
  <si>
    <t>AE39468</t>
  </si>
  <si>
    <t>AE39921</t>
  </si>
  <si>
    <t>AE40048</t>
  </si>
  <si>
    <t>AE40166</t>
  </si>
  <si>
    <t>AE40615</t>
  </si>
  <si>
    <t>AE40828</t>
  </si>
  <si>
    <t>AE40916</t>
  </si>
  <si>
    <t>AE41348</t>
  </si>
  <si>
    <t>AE41464</t>
  </si>
  <si>
    <t>AE41578</t>
  </si>
  <si>
    <t>AE42076</t>
  </si>
  <si>
    <t>AE42185</t>
  </si>
  <si>
    <t>AE42255</t>
  </si>
  <si>
    <t>AE42588</t>
  </si>
  <si>
    <t>AE42742</t>
  </si>
  <si>
    <t>AE42845</t>
  </si>
  <si>
    <t>AE43241</t>
  </si>
  <si>
    <t>AE43413</t>
  </si>
  <si>
    <t>AE43541</t>
  </si>
  <si>
    <t>AE43992</t>
  </si>
  <si>
    <t>AE44178</t>
  </si>
  <si>
    <t>AE44287</t>
  </si>
  <si>
    <t>AE44809</t>
  </si>
  <si>
    <t>AE44935</t>
  </si>
  <si>
    <t>AE45032</t>
  </si>
  <si>
    <t>AE45390</t>
  </si>
  <si>
    <t>AE45455</t>
  </si>
  <si>
    <t>AE45532</t>
  </si>
  <si>
    <t>AE45902</t>
  </si>
  <si>
    <t>AE45961</t>
  </si>
  <si>
    <t>AE46055</t>
  </si>
  <si>
    <t>AE46321</t>
  </si>
  <si>
    <t>AE46523</t>
  </si>
  <si>
    <t>AE46670</t>
  </si>
  <si>
    <t>AE46795</t>
  </si>
  <si>
    <t>AE47251</t>
  </si>
  <si>
    <t>AE47412</t>
  </si>
  <si>
    <t>AE47523</t>
  </si>
  <si>
    <t>AE48066</t>
  </si>
  <si>
    <t>AE48200</t>
  </si>
  <si>
    <t>AE48291</t>
  </si>
  <si>
    <t>AE48894</t>
  </si>
  <si>
    <t>AE49021</t>
  </si>
  <si>
    <t>AE49186</t>
  </si>
  <si>
    <t>AE49654</t>
  </si>
  <si>
    <t>AE49778</t>
  </si>
  <si>
    <t>AE49895</t>
  </si>
  <si>
    <t>AE50374</t>
  </si>
  <si>
    <t>AE50503</t>
  </si>
  <si>
    <t>AE50687</t>
  </si>
  <si>
    <t>AE51162</t>
  </si>
  <si>
    <t>AE51252</t>
  </si>
  <si>
    <t>AE51399</t>
  </si>
  <si>
    <t>AE51830</t>
  </si>
  <si>
    <t>AE51924</t>
  </si>
  <si>
    <t>AE52081</t>
  </si>
  <si>
    <t>AE52353</t>
  </si>
  <si>
    <t>AE52459</t>
  </si>
  <si>
    <t>AE52630</t>
  </si>
  <si>
    <t>AE53171</t>
  </si>
  <si>
    <t>AE53257</t>
  </si>
  <si>
    <t>AE53417</t>
  </si>
  <si>
    <t>AE53829</t>
  </si>
  <si>
    <t>AE53921</t>
  </si>
  <si>
    <t>AE54062</t>
  </si>
  <si>
    <t>AE54560</t>
  </si>
  <si>
    <t>AE54711</t>
  </si>
  <si>
    <t>AE54844</t>
  </si>
  <si>
    <t>AE55282</t>
  </si>
  <si>
    <t>AE55389</t>
  </si>
  <si>
    <t>AE55566</t>
  </si>
  <si>
    <t>AE56397</t>
  </si>
  <si>
    <t>AE56505</t>
  </si>
  <si>
    <t>AE56637</t>
  </si>
  <si>
    <t>AE57177</t>
  </si>
  <si>
    <t>AE57263</t>
  </si>
  <si>
    <t>AE57387</t>
  </si>
  <si>
    <t>AE57890</t>
  </si>
  <si>
    <t>AE58002</t>
  </si>
  <si>
    <t>AE58108</t>
  </si>
  <si>
    <t>AE58229</t>
  </si>
  <si>
    <t>AE58738</t>
  </si>
  <si>
    <t>AE58814</t>
  </si>
  <si>
    <t>AE58888</t>
  </si>
  <si>
    <t>AE59488</t>
  </si>
  <si>
    <t>AE59558</t>
  </si>
  <si>
    <t>AE59629</t>
  </si>
  <si>
    <t>AE60197</t>
  </si>
  <si>
    <t>AE60264</t>
  </si>
  <si>
    <t>AE60322</t>
  </si>
  <si>
    <t>AE60873</t>
  </si>
  <si>
    <t>AE60962</t>
  </si>
  <si>
    <t>AE61034</t>
  </si>
  <si>
    <t>AE61509</t>
  </si>
  <si>
    <t>AE61585</t>
  </si>
  <si>
    <t>AE61762</t>
  </si>
  <si>
    <t>AE62279</t>
  </si>
  <si>
    <t>AE62346</t>
  </si>
  <si>
    <t>AE62507</t>
  </si>
  <si>
    <t>AE62923</t>
  </si>
  <si>
    <t>AE62998</t>
  </si>
  <si>
    <t>AE63184</t>
  </si>
  <si>
    <t>AE63689</t>
  </si>
  <si>
    <t>AE63770</t>
  </si>
  <si>
    <t>AE63962</t>
  </si>
  <si>
    <t>NO5</t>
  </si>
  <si>
    <t>AE64433</t>
  </si>
  <si>
    <t>AE64493</t>
  </si>
  <si>
    <t>S Final Effluent Alt Platform</t>
  </si>
  <si>
    <t>AE34458</t>
  </si>
  <si>
    <t>AE34532</t>
  </si>
  <si>
    <t>AE34645</t>
  </si>
  <si>
    <t>AE35088</t>
  </si>
  <si>
    <t>AE35197</t>
  </si>
  <si>
    <t>AE35357</t>
  </si>
  <si>
    <t>AE35768</t>
  </si>
  <si>
    <t>AE35931</t>
  </si>
  <si>
    <t>AE36000</t>
  </si>
  <si>
    <t>AE36458</t>
  </si>
  <si>
    <t>AE36585</t>
  </si>
  <si>
    <t>AE36718</t>
  </si>
  <si>
    <t>AE37107</t>
  </si>
  <si>
    <t>AE37260</t>
  </si>
  <si>
    <t>AE37371</t>
  </si>
  <si>
    <t>AE37829</t>
  </si>
  <si>
    <t>AE37952</t>
  </si>
  <si>
    <t>AE38083</t>
  </si>
  <si>
    <t>AE38537</t>
  </si>
  <si>
    <t>AE38695</t>
  </si>
  <si>
    <t>AE38814</t>
  </si>
  <si>
    <t>AE39238</t>
  </si>
  <si>
    <t>AE39376</t>
  </si>
  <si>
    <t>AE39470</t>
  </si>
  <si>
    <t>AE39923</t>
  </si>
  <si>
    <t>AE40050</t>
  </si>
  <si>
    <t>AE40168</t>
  </si>
  <si>
    <t>AE40617</t>
  </si>
  <si>
    <t>AE40830</t>
  </si>
  <si>
    <t>AE40918</t>
  </si>
  <si>
    <t>AE41350</t>
  </si>
  <si>
    <t>AE41466</t>
  </si>
  <si>
    <t>AE41580</t>
  </si>
  <si>
    <t>AE42078</t>
  </si>
  <si>
    <t>AE42187</t>
  </si>
  <si>
    <t>AE42257</t>
  </si>
  <si>
    <t>AE42590</t>
  </si>
  <si>
    <t>AE42744</t>
  </si>
  <si>
    <t>AE42847</t>
  </si>
  <si>
    <t>AE43243</t>
  </si>
  <si>
    <t>AE43415</t>
  </si>
  <si>
    <t>AE43543</t>
  </si>
  <si>
    <t>AE43994</t>
  </si>
  <si>
    <t>AE44180</t>
  </si>
  <si>
    <t>AE44289</t>
  </si>
  <si>
    <t>AE44811</t>
  </si>
  <si>
    <t>AE44937</t>
  </si>
  <si>
    <t>AE45034</t>
  </si>
  <si>
    <t>AE45392</t>
  </si>
  <si>
    <t>AE45457</t>
  </si>
  <si>
    <t>AE45534</t>
  </si>
  <si>
    <t>AE45904</t>
  </si>
  <si>
    <t>AE45963</t>
  </si>
  <si>
    <t>AE46057</t>
  </si>
  <si>
    <t>AE46322</t>
  </si>
  <si>
    <t>AE46525</t>
  </si>
  <si>
    <t>AE46672</t>
  </si>
  <si>
    <t>AE46797</t>
  </si>
  <si>
    <t>AE47253</t>
  </si>
  <si>
    <t>AE47414</t>
  </si>
  <si>
    <t>AE47525</t>
  </si>
  <si>
    <t>AE48068</t>
  </si>
  <si>
    <t>AE48202</t>
  </si>
  <si>
    <t>AE48293</t>
  </si>
  <si>
    <t>AE48896</t>
  </si>
  <si>
    <t>AE49023</t>
  </si>
  <si>
    <t>AE49188</t>
  </si>
  <si>
    <t>AE49656</t>
  </si>
  <si>
    <t>AE49780</t>
  </si>
  <si>
    <t>AE49897</t>
  </si>
  <si>
    <t>AE50376</t>
  </si>
  <si>
    <t>AE50505</t>
  </si>
  <si>
    <t>AE50689</t>
  </si>
  <si>
    <t>AE51164</t>
  </si>
  <si>
    <t>AE51254</t>
  </si>
  <si>
    <t>AE51401</t>
  </si>
  <si>
    <t>AE51832</t>
  </si>
  <si>
    <t>AE51926</t>
  </si>
  <si>
    <t>AE52083</t>
  </si>
  <si>
    <t>AE52355</t>
  </si>
  <si>
    <t>AE52461</t>
  </si>
  <si>
    <t>AE52632</t>
  </si>
  <si>
    <t>AE53173</t>
  </si>
  <si>
    <t>AE53259</t>
  </si>
  <si>
    <t>AE53419</t>
  </si>
  <si>
    <t>AE53831</t>
  </si>
  <si>
    <t>AE53923</t>
  </si>
  <si>
    <t>AE54064</t>
  </si>
  <si>
    <t>AE54562</t>
  </si>
  <si>
    <t>AE54713</t>
  </si>
  <si>
    <t>AE54846</t>
  </si>
  <si>
    <t>AE55284</t>
  </si>
  <si>
    <t>AE55391</t>
  </si>
  <si>
    <t>AE55568</t>
  </si>
  <si>
    <t>AE56399</t>
  </si>
  <si>
    <t>AE56507</t>
  </si>
  <si>
    <t>AE56639</t>
  </si>
  <si>
    <t>AE57179</t>
  </si>
  <si>
    <t>AE57265</t>
  </si>
  <si>
    <t>AE57389</t>
  </si>
  <si>
    <t>AE57892</t>
  </si>
  <si>
    <t>AE58004</t>
  </si>
  <si>
    <t>AE58110</t>
  </si>
  <si>
    <t>AE58231</t>
  </si>
  <si>
    <t>AE58740</t>
  </si>
  <si>
    <t>AE58816</t>
  </si>
  <si>
    <t>AE58890</t>
  </si>
  <si>
    <t>AE59490</t>
  </si>
  <si>
    <t>AE59560</t>
  </si>
  <si>
    <t>AE59631</t>
  </si>
  <si>
    <t>AE60199</t>
  </si>
  <si>
    <t>AE60266</t>
  </si>
  <si>
    <t>AE60324</t>
  </si>
  <si>
    <t>AE60875</t>
  </si>
  <si>
    <t>AE60964</t>
  </si>
  <si>
    <t>AE61036</t>
  </si>
  <si>
    <t>AE61511</t>
  </si>
  <si>
    <t>AE61587</t>
  </si>
  <si>
    <t>AE61764</t>
  </si>
  <si>
    <t>AE62281</t>
  </si>
  <si>
    <t>AE62348</t>
  </si>
  <si>
    <t>AE62509</t>
  </si>
  <si>
    <t>AE62925</t>
  </si>
  <si>
    <t>AE63000</t>
  </si>
  <si>
    <t>AE63186</t>
  </si>
  <si>
    <t>AE63691</t>
  </si>
  <si>
    <t>AE63772</t>
  </si>
  <si>
    <t>AE63964</t>
  </si>
  <si>
    <t>AE64435</t>
  </si>
  <si>
    <t>AE64495</t>
  </si>
  <si>
    <t>North Final Effluent Platform</t>
  </si>
  <si>
    <t>PW</t>
  </si>
  <si>
    <t>Phosphorus, Tot.</t>
  </si>
  <si>
    <t>AE34325</t>
  </si>
  <si>
    <t>AE34759</t>
  </si>
  <si>
    <t>AE34957</t>
  </si>
  <si>
    <t>AE35439</t>
  </si>
  <si>
    <t>AE35675</t>
  </si>
  <si>
    <t>AE36086</t>
  </si>
  <si>
    <t>AE36335</t>
  </si>
  <si>
    <t>AE36826</t>
  </si>
  <si>
    <t>AE37072</t>
  </si>
  <si>
    <t>AE37525</t>
  </si>
  <si>
    <t>AE37716</t>
  </si>
  <si>
    <t>AE38171</t>
  </si>
  <si>
    <t>AE38420</t>
  </si>
  <si>
    <t>AE38939</t>
  </si>
  <si>
    <t>AE39148</t>
  </si>
  <si>
    <t>AE39575</t>
  </si>
  <si>
    <t>AE39816</t>
  </si>
  <si>
    <t>AE40268</t>
  </si>
  <si>
    <t>AE40494</t>
  </si>
  <si>
    <t>AE41047</t>
  </si>
  <si>
    <t>AE41258</t>
  </si>
  <si>
    <t>AE41709</t>
  </si>
  <si>
    <t>AE41966</t>
  </si>
  <si>
    <t>AE42298</t>
  </si>
  <si>
    <t>AE42493</t>
  </si>
  <si>
    <t>AE42958</t>
  </si>
  <si>
    <t>AE43160</t>
  </si>
  <si>
    <t>AE43651</t>
  </si>
  <si>
    <t>AE43893</t>
  </si>
  <si>
    <t>AE44409</t>
  </si>
  <si>
    <t>AE44665</t>
  </si>
  <si>
    <t>AE45132</t>
  </si>
  <si>
    <t>AE45319</t>
  </si>
  <si>
    <t>AE45603</t>
  </si>
  <si>
    <t>AE45808</t>
  </si>
  <si>
    <t>AE46139</t>
  </si>
  <si>
    <t>AE46404</t>
  </si>
  <si>
    <t>AE46926</t>
  </si>
  <si>
    <t>AE47138</t>
  </si>
  <si>
    <t>AE47704</t>
  </si>
  <si>
    <t>AE47937</t>
  </si>
  <si>
    <t>AE48467</t>
  </si>
  <si>
    <t>AE48761</t>
  </si>
  <si>
    <t>AE49276</t>
  </si>
  <si>
    <t>AE49495</t>
  </si>
  <si>
    <t>AE50012</t>
  </si>
  <si>
    <t>AE50248</t>
  </si>
  <si>
    <t>AE50794</t>
  </si>
  <si>
    <t>AE51005</t>
  </si>
  <si>
    <t>AE51503</t>
  </si>
  <si>
    <t>AE51717</t>
  </si>
  <si>
    <t>AE52200</t>
  </si>
  <si>
    <t>AE52281</t>
  </si>
  <si>
    <t>AE52773</t>
  </si>
  <si>
    <t>AE52885</t>
  </si>
  <si>
    <t>AE53020</t>
  </si>
  <si>
    <t>AE53099</t>
  </si>
  <si>
    <t>AE53546</t>
  </si>
  <si>
    <t>AE53628</t>
  </si>
  <si>
    <t>AE53712</t>
  </si>
  <si>
    <t>AE53772</t>
  </si>
  <si>
    <t>AE54198</t>
  </si>
  <si>
    <t>AE54317</t>
  </si>
  <si>
    <t>AE54419</t>
  </si>
  <si>
    <t>AE54491</t>
  </si>
  <si>
    <t>AE54955</t>
  </si>
  <si>
    <t>AE55107</t>
  </si>
  <si>
    <t>AE55152</t>
  </si>
  <si>
    <t>AE55211</t>
  </si>
  <si>
    <t>AE55687</t>
  </si>
  <si>
    <t>AE55850</t>
  </si>
  <si>
    <t>AE55920</t>
  </si>
  <si>
    <t>AE55985</t>
  </si>
  <si>
    <t>AE56044</t>
  </si>
  <si>
    <t>AE56133</t>
  </si>
  <si>
    <t>AE56276</t>
  </si>
  <si>
    <t>AE56712</t>
  </si>
  <si>
    <t>AE56782</t>
  </si>
  <si>
    <t>AE56901</t>
  </si>
  <si>
    <t>AE57057</t>
  </si>
  <si>
    <t>AE57478</t>
  </si>
  <si>
    <t>AE57549</t>
  </si>
  <si>
    <t>AE57652</t>
  </si>
  <si>
    <t>AE57758</t>
  </si>
  <si>
    <t>AE58173</t>
  </si>
  <si>
    <t>AE58321</t>
  </si>
  <si>
    <t>AE58424</t>
  </si>
  <si>
    <t>AE58534</t>
  </si>
  <si>
    <t>AE58663</t>
  </si>
  <si>
    <t>AE59009</t>
  </si>
  <si>
    <t>AE59165</t>
  </si>
  <si>
    <t>AE59283</t>
  </si>
  <si>
    <t>AE59393</t>
  </si>
  <si>
    <t>AE59732</t>
  </si>
  <si>
    <t>AE59889</t>
  </si>
  <si>
    <t>AE60007</t>
  </si>
  <si>
    <t>AE60104</t>
  </si>
  <si>
    <t>AE60424</t>
  </si>
  <si>
    <t>AE60772</t>
  </si>
  <si>
    <t>AE61093</t>
  </si>
  <si>
    <t>AE61408</t>
  </si>
  <si>
    <t>AE61659</t>
  </si>
  <si>
    <t>AE62031</t>
  </si>
  <si>
    <t>AE62418</t>
  </si>
  <si>
    <t>AE62714</t>
  </si>
  <si>
    <t>AE63072</t>
  </si>
  <si>
    <t>South Final Effluent Platform</t>
  </si>
  <si>
    <t>AE34326</t>
  </si>
  <si>
    <t>AE34760</t>
  </si>
  <si>
    <t>AE34958</t>
  </si>
  <si>
    <t>AE35440</t>
  </si>
  <si>
    <t>AE35676</t>
  </si>
  <si>
    <t>AE36087</t>
  </si>
  <si>
    <t>AE36336</t>
  </si>
  <si>
    <t>AE36827</t>
  </si>
  <si>
    <t>AE37073</t>
  </si>
  <si>
    <t>AE37526</t>
  </si>
  <si>
    <t>AE37717</t>
  </si>
  <si>
    <t>AE38172</t>
  </si>
  <si>
    <t>AE38421</t>
  </si>
  <si>
    <t>AE38940</t>
  </si>
  <si>
    <t>AE39149</t>
  </si>
  <si>
    <t>AE39576</t>
  </si>
  <si>
    <t>AE39817</t>
  </si>
  <si>
    <t>AE40269</t>
  </si>
  <si>
    <t>AE40495</t>
  </si>
  <si>
    <t>AE41048</t>
  </si>
  <si>
    <t>AE41259</t>
  </si>
  <si>
    <t>AE41710</t>
  </si>
  <si>
    <t>AE41967</t>
  </si>
  <si>
    <t>AE42299</t>
  </si>
  <si>
    <t>AE42494</t>
  </si>
  <si>
    <t>AE42959</t>
  </si>
  <si>
    <t>AE43161</t>
  </si>
  <si>
    <t>AE43652</t>
  </si>
  <si>
    <t>AE43894</t>
  </si>
  <si>
    <t>AE44410</t>
  </si>
  <si>
    <t>AE44666</t>
  </si>
  <si>
    <t>AE45133</t>
  </si>
  <si>
    <t>AE45320</t>
  </si>
  <si>
    <t>AE45604</t>
  </si>
  <si>
    <t>AE45809</t>
  </si>
  <si>
    <t>AE46140</t>
  </si>
  <si>
    <t>AE46405</t>
  </si>
  <si>
    <t>AE46927</t>
  </si>
  <si>
    <t>AE47139</t>
  </si>
  <si>
    <t>AE47705</t>
  </si>
  <si>
    <t>AE47938</t>
  </si>
  <si>
    <t>AE48468</t>
  </si>
  <si>
    <t>AE48762</t>
  </si>
  <si>
    <t>AE49277</t>
  </si>
  <si>
    <t>AE49496</t>
  </si>
  <si>
    <t>AE50013</t>
  </si>
  <si>
    <t>AE50249</t>
  </si>
  <si>
    <t>AE50795</t>
  </si>
  <si>
    <t>AE51006</t>
  </si>
  <si>
    <t>AE51504</t>
  </si>
  <si>
    <t>AE51718</t>
  </si>
  <si>
    <t>AE52201</t>
  </si>
  <si>
    <t>AE52282</t>
  </si>
  <si>
    <t>AE52774</t>
  </si>
  <si>
    <t>AE52886</t>
  </si>
  <si>
    <t>AE53021</t>
  </si>
  <si>
    <t>AE53100</t>
  </si>
  <si>
    <t>AE53547</t>
  </si>
  <si>
    <t>AE53629</t>
  </si>
  <si>
    <t>AE53713</t>
  </si>
  <si>
    <t>AE53773</t>
  </si>
  <si>
    <t>AE54199</t>
  </si>
  <si>
    <t>AE54318</t>
  </si>
  <si>
    <t>AE54420</t>
  </si>
  <si>
    <t>AE54492</t>
  </si>
  <si>
    <t>AE54956</t>
  </si>
  <si>
    <t>AE55108</t>
  </si>
  <si>
    <t>AE55153</t>
  </si>
  <si>
    <t>AE55212</t>
  </si>
  <si>
    <t>AE55688</t>
  </si>
  <si>
    <t>AE55851</t>
  </si>
  <si>
    <t>AE55921</t>
  </si>
  <si>
    <t>AE55986</t>
  </si>
  <si>
    <t>AE56045</t>
  </si>
  <si>
    <t>AE56134</t>
  </si>
  <si>
    <t>AE56277</t>
  </si>
  <si>
    <t>AE56713</t>
  </si>
  <si>
    <t>AE56783</t>
  </si>
  <si>
    <t>AE56902</t>
  </si>
  <si>
    <t>AE57058</t>
  </si>
  <si>
    <t>AE57479</t>
  </si>
  <si>
    <t>AE57550</t>
  </si>
  <si>
    <t>AE57653</t>
  </si>
  <si>
    <t>AE57759</t>
  </si>
  <si>
    <t>AE58174</t>
  </si>
  <si>
    <t>AE58322</t>
  </si>
  <si>
    <t>AE58425</t>
  </si>
  <si>
    <t>AE58535</t>
  </si>
  <si>
    <t>AE58664</t>
  </si>
  <si>
    <t>AE59010</t>
  </si>
  <si>
    <t>AE59166</t>
  </si>
  <si>
    <t>AE59284</t>
  </si>
  <si>
    <t>AE59394</t>
  </si>
  <si>
    <t>AE59733</t>
  </si>
  <si>
    <t>AE59890</t>
  </si>
  <si>
    <t>AE60008</t>
  </si>
  <si>
    <t>AE60105</t>
  </si>
  <si>
    <t>AE60425</t>
  </si>
  <si>
    <t>AE60773</t>
  </si>
  <si>
    <t>AE61094</t>
  </si>
  <si>
    <t>AE61409</t>
  </si>
  <si>
    <t>AE61660</t>
  </si>
  <si>
    <t>AE62032</t>
  </si>
  <si>
    <t>AE62419</t>
  </si>
  <si>
    <t>AE62715</t>
  </si>
  <si>
    <t>AE63073</t>
  </si>
  <si>
    <t>6</t>
  </si>
  <si>
    <t>Combined Final Effluent</t>
  </si>
  <si>
    <t>NP</t>
  </si>
  <si>
    <t>AE35480</t>
  </si>
  <si>
    <t>AE35730</t>
  </si>
  <si>
    <t>AE35962</t>
  </si>
  <si>
    <t>AE37512</t>
  </si>
  <si>
    <t>AE37761</t>
  </si>
  <si>
    <t>AE37698</t>
  </si>
  <si>
    <t>AE37983</t>
  </si>
  <si>
    <t>AE46957</t>
  </si>
  <si>
    <t>AE47121</t>
  </si>
  <si>
    <t>AE47171</t>
  </si>
  <si>
    <t>AE47461</t>
  </si>
  <si>
    <t>AE57937</t>
  </si>
  <si>
    <t>AE58098</t>
  </si>
  <si>
    <t>AE58262</t>
  </si>
  <si>
    <t>Y</t>
  </si>
  <si>
    <t>null</t>
  </si>
  <si>
    <t>User Name</t>
  </si>
  <si>
    <t>Submission Date</t>
  </si>
  <si>
    <t>kleach</t>
  </si>
  <si>
    <t>PW Check</t>
  </si>
  <si>
    <t>flow</t>
  </si>
  <si>
    <t>Average</t>
  </si>
  <si>
    <t>Tag</t>
  </si>
  <si>
    <t>FI-F350</t>
  </si>
  <si>
    <t>FI-F4</t>
  </si>
  <si>
    <t>North</t>
  </si>
  <si>
    <t>South</t>
  </si>
  <si>
    <t>Total</t>
  </si>
  <si>
    <t>DMR Flows-Effluent</t>
  </si>
  <si>
    <t>(P)DMR Flows-Effluent</t>
  </si>
  <si>
    <t>DF Totals</t>
  </si>
  <si>
    <t>Trunc Date</t>
  </si>
  <si>
    <t>Value Text</t>
  </si>
  <si>
    <t>Unitofmeasure</t>
  </si>
  <si>
    <t>Isexcluded</t>
  </si>
  <si>
    <t>N. OUTFALL WEIR (001)</t>
  </si>
  <si>
    <t>MGD</t>
  </si>
  <si>
    <t>S. FINAL EFFLUENT FLUME</t>
  </si>
  <si>
    <t>The file is not existed in the server</t>
  </si>
  <si>
    <t>TIN</t>
  </si>
  <si>
    <t>ML Comparison</t>
  </si>
  <si>
    <t>Pivot</t>
  </si>
  <si>
    <t>0.15</t>
  </si>
  <si>
    <t>0.06</t>
  </si>
  <si>
    <t>0.12</t>
  </si>
  <si>
    <t>0.18</t>
  </si>
  <si>
    <t>0.03</t>
  </si>
  <si>
    <t>=</t>
  </si>
  <si>
    <t>Annual Median</t>
  </si>
  <si>
    <t>** inclusive</t>
  </si>
  <si>
    <t>95th Percentile**</t>
  </si>
  <si>
    <t>Min Count</t>
  </si>
  <si>
    <t>Notes</t>
  </si>
  <si>
    <t>AE64658</t>
  </si>
  <si>
    <t>AE65050</t>
  </si>
  <si>
    <t>AE65123</t>
  </si>
  <si>
    <t>AE65208</t>
  </si>
  <si>
    <t>AE65312</t>
  </si>
  <si>
    <t>AE65586</t>
  </si>
  <si>
    <t>AE65983</t>
  </si>
  <si>
    <t>AE66087</t>
  </si>
  <si>
    <t>AE66378</t>
  </si>
  <si>
    <t>AE66741</t>
  </si>
  <si>
    <t>AE66840</t>
  </si>
  <si>
    <t>AE67112</t>
  </si>
  <si>
    <t>AE67512</t>
  </si>
  <si>
    <t>AE67659</t>
  </si>
  <si>
    <t>AE67896</t>
  </si>
  <si>
    <t>AE64660</t>
  </si>
  <si>
    <t>AE65052</t>
  </si>
  <si>
    <t>AE65125</t>
  </si>
  <si>
    <t>AE65210</t>
  </si>
  <si>
    <t>AE65314</t>
  </si>
  <si>
    <t>AE65588</t>
  </si>
  <si>
    <t>AE65985</t>
  </si>
  <si>
    <t>AE66089</t>
  </si>
  <si>
    <t>AE66380</t>
  </si>
  <si>
    <t>AE66743</t>
  </si>
  <si>
    <t>AE66842</t>
  </si>
  <si>
    <t>AE67114</t>
  </si>
  <si>
    <t>AE67514</t>
  </si>
  <si>
    <t>AE67661</t>
  </si>
  <si>
    <t>AE67898</t>
  </si>
  <si>
    <t>AE63491</t>
  </si>
  <si>
    <t>AE63837</t>
  </si>
  <si>
    <t>AE64241</t>
  </si>
  <si>
    <t>AE64547</t>
  </si>
  <si>
    <t>AE64915</t>
  </si>
  <si>
    <t>AE65468</t>
  </si>
  <si>
    <t>AE65820</t>
  </si>
  <si>
    <t>AE66237</t>
  </si>
  <si>
    <t>AE66594</t>
  </si>
  <si>
    <t>AE66961</t>
  </si>
  <si>
    <t>AE67359</t>
  </si>
  <si>
    <t>AE67778</t>
  </si>
  <si>
    <t>AE63492</t>
  </si>
  <si>
    <t>AE63838</t>
  </si>
  <si>
    <t>AE64242</t>
  </si>
  <si>
    <t>AE64548</t>
  </si>
  <si>
    <t>AE64916</t>
  </si>
  <si>
    <t>AE65469</t>
  </si>
  <si>
    <t>AE65821</t>
  </si>
  <si>
    <t>AE66238</t>
  </si>
  <si>
    <t>AE66595</t>
  </si>
  <si>
    <t>AE66962</t>
  </si>
  <si>
    <t>AE67360</t>
  </si>
  <si>
    <t>AE67779</t>
  </si>
  <si>
    <t>AE65472</t>
  </si>
  <si>
    <t>AE65764</t>
  </si>
  <si>
    <t>AE66026</t>
  </si>
  <si>
    <t>[{"dataType":"TEXT","displayType":"DD","dateRange":null,"endDateRange":null,"parameterName":"Tag","parameterValue":"\"FI-F4\",\"FI-F350\"","startDateRange":null,"dateFormat":null,"originalDataType":"TEXT"},{"dataType":"NUMBER","displayType":"DD","dateRange":null,"endDateRange":null,"parameterName":"Isexcluded","parameterValue":null,"startDateRange":null,"dateFormat":null,"originalDataType":"NUMBER"},{"dataType":"DATE","displayType":"DR","dateRange":"Custom","endDateRange":"2019-08-31","parameterName":"Trunc Date","parameterValue":null,"startDateRange":"2018-09-01","dateFormat":null,"originalDataType":null}]</t>
  </si>
  <si>
    <t>Tag=="FI-F4","FI-F350"^^Isexcluded==^^Trunc Date==Custom,2018-09-01,2019-08-31^^</t>
  </si>
  <si>
    <t>4173_1</t>
  </si>
  <si>
    <t xml:space="preserve">Tag="FI-F4","FI-F350"
Isexcluded=
Trunc Date=Custom,2018-09-01,2019-08-31
</t>
  </si>
  <si>
    <t>AE68266</t>
  </si>
  <si>
    <t>AE68372</t>
  </si>
  <si>
    <t>AE68680</t>
  </si>
  <si>
    <t>AE69033</t>
  </si>
  <si>
    <t>AE69517</t>
  </si>
  <si>
    <t>AE69617</t>
  </si>
  <si>
    <t>AE69770</t>
  </si>
  <si>
    <t>AE70218</t>
  </si>
  <si>
    <t>AE70310</t>
  </si>
  <si>
    <t>AE70459</t>
  </si>
  <si>
    <t>AE70972</t>
  </si>
  <si>
    <t>AE71033</t>
  </si>
  <si>
    <t>AE68268</t>
  </si>
  <si>
    <t>AE68374</t>
  </si>
  <si>
    <t>AE68682</t>
  </si>
  <si>
    <t>AE69035</t>
  </si>
  <si>
    <t>AE69519</t>
  </si>
  <si>
    <t>AE69619</t>
  </si>
  <si>
    <t>AE69772</t>
  </si>
  <si>
    <t>AE70220</t>
  </si>
  <si>
    <t>AE70312</t>
  </si>
  <si>
    <t>AE70461</t>
  </si>
  <si>
    <t>AE70974</t>
  </si>
  <si>
    <t>AE71035</t>
  </si>
  <si>
    <t>AE68126</t>
  </si>
  <si>
    <t>AE68542</t>
  </si>
  <si>
    <t>AE68895</t>
  </si>
  <si>
    <t>AE69257</t>
  </si>
  <si>
    <t>AE69698</t>
  </si>
  <si>
    <t>AE69995</t>
  </si>
  <si>
    <t>AE70386</t>
  </si>
  <si>
    <t>AE70730</t>
  </si>
  <si>
    <t>AE71096</t>
  </si>
  <si>
    <t>AE68127</t>
  </si>
  <si>
    <t>AE68543</t>
  </si>
  <si>
    <t>AE68896</t>
  </si>
  <si>
    <t>AE69258</t>
  </si>
  <si>
    <t>AE69699</t>
  </si>
  <si>
    <t>AE69996</t>
  </si>
  <si>
    <t>AE70387</t>
  </si>
  <si>
    <t>AE70731</t>
  </si>
  <si>
    <t>AE71097</t>
  </si>
  <si>
    <t>[{"dataType":"DATE","displayType":"DR","dateRange":"Custom","endDateRange":"2019-08-31","parameterName":"Sample Date","parameterValue":null,"startDateRange":"2018-09-01","dateFormat":"yyyy-MM-dd","originalDataType":null},{"dataType":"TEXT","displayType":"DD","dateRange":null,"endDateRange":null,"parameterName":"Loccode","parameterValue":"\"6I\",\"2B\",\"4B\",\"6\",\"1002B\",\"1004B\",\"2I\",\"4I\"","startDateRange":null,"dateFormat":null,"originalDataType":"TEXT"},{"dataType":"TEXT","displayType":"DD","dateRange":null,"endDateRange":null,"parameterName":"Acode","parameterValue":"\"NH3A\",\"NO5\",\"PW\"","startDateRange":null,"dateFormat":null,"originalDataType":"TEXT"},{"dataType":"TEXT","displayType":"DD","dateRange":null,"endDateRange":null,"parameterName":"Anlname","parameterValue":"\"Ammonia Nitrogen, AA\",\"NO3+NO2 as N - Cd Red.\",\"Phosphorus, Tot.\"","startDateRange":null,"dateFormat":null,"originalDataType":"TEXT"},{"dataType":"TEXT","displayType":"DD","dateRange":null,"endDateRange":null,"parameterName":"Acquired Type","parameterValue":null,"startDateRange":null,"dateFormat":null,"originalDataType":"TEXT"}]</t>
  </si>
  <si>
    <t>Sample Date==Custom,2018-09-01,2019-08-31^^Loccode=="6I","2B","4B","6","1002B","1004B","2I","4I"^^Acode=="NH3A","NO5","PW"^^Anlname=="Ammonia Nitrogen, AA","NO3+NO2 as N - Cd Red.","Phosphorus, Tot."^^Acquired Type==^^</t>
  </si>
  <si>
    <t>4174_1</t>
  </si>
  <si>
    <t xml:space="preserve">Sample Date=Custom,2018-09-01,2019-08-31
Loccode="6I","2B","4B","6","1002B","1004B","2I","4I"
Acode="NH3A","NO5","PW"
Anlname="Ammonia Nitrogen, AA","NO3+NO2 as N - Cd Red.","Phosphorus, Tot."
Acquired Type=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</si>
</sst>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0.0"/>
    <numFmt numFmtId="166" formatCode="mm\/dd\/yyyy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  <font>
      <b/>
      <sz val="15"/>
      <color rgb="FFFFFFFF"/>
      <name val="Calibri"/>
      <family val="2"/>
      <scheme val="minor"/>
    </font>
    <font>
      <sz val="9"/>
      <color rgb="FF000000"/>
      <name val="Arial"/>
      <family val="2"/>
    </font>
    <font>
      <sz val="9"/>
      <color rgb="FF000000"/>
      <name val="NONE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315593"/>
        <bgColor indexed="64"/>
      </patternFill>
    </fill>
    <fill>
      <patternFill patternType="solid">
        <fgColor rgb="FF97C3EA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NumberFormat="1" applyFont="1" applyBorder="1"/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164" fontId="0" fillId="0" borderId="0" xfId="0" applyNumberFormat="1" applyFont="1" applyBorder="1" applyAlignment="1">
      <alignment horizontal="left"/>
    </xf>
    <xf numFmtId="0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0" fillId="0" borderId="0" xfId="0" applyBorder="1"/>
    <xf numFmtId="49" fontId="0" fillId="0" borderId="0" xfId="0" applyNumberFormat="1"/>
    <xf numFmtId="0" fontId="0" fillId="0" borderId="0" xfId="0" applyAlignment="1">
      <alignment horizontal="left"/>
    </xf>
    <xf numFmtId="49" fontId="6" fillId="0" borderId="5" xfId="0" applyNumberFormat="1" applyFont="1" applyBorder="1" applyAlignment="1">
      <alignment horizontal="left"/>
    </xf>
    <xf numFmtId="0" fontId="6" fillId="0" borderId="5" xfId="0" applyNumberFormat="1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5" xfId="0" applyNumberFormat="1" applyFont="1" applyBorder="1" applyAlignment="1">
      <alignment horizontal="right"/>
    </xf>
    <xf numFmtId="49" fontId="6" fillId="0" borderId="6" xfId="0" applyNumberFormat="1" applyFont="1" applyBorder="1" applyAlignment="1">
      <alignment horizontal="left"/>
    </xf>
    <xf numFmtId="0" fontId="0" fillId="5" borderId="0" xfId="0" applyFill="1"/>
    <xf numFmtId="164" fontId="8" fillId="6" borderId="1" xfId="0" applyNumberFormat="1" applyFont="1" applyFill="1" applyBorder="1" applyAlignment="1">
      <alignment horizontal="left" vertical="center"/>
    </xf>
    <xf numFmtId="49" fontId="8" fillId="6" borderId="2" xfId="0" applyNumberFormat="1" applyFont="1" applyFill="1" applyBorder="1" applyAlignment="1">
      <alignment horizontal="left" vertical="center"/>
    </xf>
    <xf numFmtId="0" fontId="8" fillId="6" borderId="2" xfId="0" applyNumberFormat="1" applyFont="1" applyFill="1" applyBorder="1" applyAlignment="1">
      <alignment horizontal="left" vertical="center"/>
    </xf>
    <xf numFmtId="49" fontId="8" fillId="6" borderId="3" xfId="0" applyNumberFormat="1" applyFont="1" applyFill="1" applyBorder="1" applyAlignment="1">
      <alignment horizontal="left" vertical="center"/>
    </xf>
    <xf numFmtId="0" fontId="9" fillId="6" borderId="2" xfId="0" applyNumberFormat="1" applyFont="1" applyFill="1" applyBorder="1" applyAlignment="1">
      <alignment horizontal="left" vertical="center"/>
    </xf>
    <xf numFmtId="49" fontId="9" fillId="6" borderId="2" xfId="0" applyNumberFormat="1" applyFont="1" applyFill="1" applyBorder="1" applyAlignment="1">
      <alignment horizontal="left" vertical="center"/>
    </xf>
    <xf numFmtId="22" fontId="0" fillId="0" borderId="0" xfId="0" applyNumberFormat="1"/>
    <xf numFmtId="0" fontId="1" fillId="0" borderId="0" xfId="0" applyFont="1" applyFill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22" fontId="0" fillId="0" borderId="0" xfId="0" applyNumberFormat="1" applyFill="1" applyAlignment="1">
      <alignment vertical="top"/>
    </xf>
    <xf numFmtId="164" fontId="2" fillId="0" borderId="0" xfId="0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166" fontId="6" fillId="0" borderId="4" xfId="0" applyNumberFormat="1" applyFont="1" applyBorder="1" applyAlignment="1">
      <alignment horizontal="left"/>
    </xf>
    <xf numFmtId="0" fontId="6" fillId="0" borderId="6" xfId="0" applyNumberFormat="1" applyFont="1" applyBorder="1" applyAlignment="1">
      <alignment horizontal="right"/>
    </xf>
    <xf numFmtId="0" fontId="0" fillId="0" borderId="0" xfId="0" applyFill="1" applyAlignment="1">
      <alignment horizontal="left"/>
    </xf>
    <xf numFmtId="166" fontId="8" fillId="6" borderId="1" xfId="0" applyNumberFormat="1" applyFont="1" applyFill="1" applyBorder="1" applyAlignment="1">
      <alignment horizontal="left" vertical="center"/>
    </xf>
    <xf numFmtId="49" fontId="3" fillId="4" borderId="0" xfId="0" applyNumberFormat="1" applyFont="1" applyFill="1" applyBorder="1" applyAlignment="1">
      <alignment vertical="center" wrapText="1"/>
    </xf>
    <xf numFmtId="49" fontId="10" fillId="0" borderId="0" xfId="0" applyNumberFormat="1" applyFont="1" applyFill="1" applyBorder="1" applyAlignment="1">
      <alignment horizontal="left" vertical="center"/>
    </xf>
    <xf numFmtId="49" fontId="1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Border="1" applyAlignment="1">
      <alignment horizontal="right"/>
    </xf>
    <xf numFmtId="49" fontId="1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vertical="center" wrapText="1"/>
    </xf>
    <xf numFmtId="0" fontId="0" fillId="0" borderId="10" xfId="0" applyNumberFormat="1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/>
    </xf>
    <xf numFmtId="165" fontId="0" fillId="7" borderId="0" xfId="0" applyNumberFormat="1" applyFill="1" applyBorder="1" applyAlignment="1">
      <alignment horizontal="center"/>
    </xf>
    <xf numFmtId="2" fontId="0" fillId="7" borderId="0" xfId="0" applyNumberFormat="1" applyFill="1" applyBorder="1" applyAlignment="1">
      <alignment horizontal="center"/>
    </xf>
    <xf numFmtId="165" fontId="0" fillId="0" borderId="0" xfId="0" applyNumberFormat="1" applyBorder="1"/>
    <xf numFmtId="2" fontId="0" fillId="0" borderId="0" xfId="0" applyNumberFormat="1" applyFill="1" applyBorder="1"/>
    <xf numFmtId="0" fontId="0" fillId="0" borderId="0" xfId="0" applyFill="1" applyBorder="1"/>
    <xf numFmtId="0" fontId="0" fillId="0" borderId="10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3" xfId="0" applyNumberFormat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 wrapText="1"/>
    </xf>
    <xf numFmtId="49" fontId="5" fillId="0" borderId="13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49" fontId="3" fillId="4" borderId="10" xfId="0" applyNumberFormat="1" applyFont="1" applyFill="1" applyBorder="1" applyAlignment="1">
      <alignment vertical="center" wrapText="1"/>
    </xf>
    <xf numFmtId="0" fontId="5" fillId="0" borderId="12" xfId="0" applyFont="1" applyFill="1" applyBorder="1" applyAlignment="1">
      <alignment horizontal="left" vertical="center"/>
    </xf>
    <xf numFmtId="164" fontId="0" fillId="0" borderId="8" xfId="0" applyNumberFormat="1" applyFont="1" applyBorder="1" applyAlignment="1">
      <alignment horizontal="left"/>
    </xf>
    <xf numFmtId="0" fontId="0" fillId="0" borderId="8" xfId="0" applyBorder="1"/>
    <xf numFmtId="0" fontId="0" fillId="0" borderId="8" xfId="0" applyFill="1" applyBorder="1"/>
    <xf numFmtId="164" fontId="0" fillId="0" borderId="13" xfId="0" applyNumberFormat="1" applyFont="1" applyBorder="1" applyAlignment="1">
      <alignment horizontal="left"/>
    </xf>
    <xf numFmtId="0" fontId="5" fillId="0" borderId="14" xfId="0" applyFont="1" applyFill="1" applyBorder="1" applyAlignment="1">
      <alignment horizontal="center" vertical="center"/>
    </xf>
    <xf numFmtId="165" fontId="0" fillId="0" borderId="11" xfId="0" applyNumberFormat="1" applyBorder="1" applyAlignment="1">
      <alignment horizontal="center"/>
    </xf>
    <xf numFmtId="0" fontId="0" fillId="0" borderId="11" xfId="0" applyFill="1" applyBorder="1"/>
    <xf numFmtId="0" fontId="0" fillId="0" borderId="14" xfId="0" applyFill="1" applyBorder="1"/>
    <xf numFmtId="2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7" xfId="0" applyFill="1" applyBorder="1"/>
    <xf numFmtId="0" fontId="0" fillId="0" borderId="7" xfId="0" applyBorder="1"/>
    <xf numFmtId="0" fontId="0" fillId="0" borderId="9" xfId="0" applyFill="1" applyBorder="1"/>
    <xf numFmtId="165" fontId="0" fillId="2" borderId="8" xfId="0" applyNumberFormat="1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16" xfId="0" applyFill="1" applyBorder="1" applyAlignment="1">
      <alignment horizontal="right"/>
    </xf>
    <xf numFmtId="0" fontId="0" fillId="2" borderId="18" xfId="0" applyFill="1" applyBorder="1" applyAlignment="1">
      <alignment horizontal="right"/>
    </xf>
    <xf numFmtId="1" fontId="0" fillId="2" borderId="15" xfId="0" applyNumberFormat="1" applyFill="1" applyBorder="1"/>
    <xf numFmtId="0" fontId="3" fillId="4" borderId="8" xfId="0" applyFont="1" applyFill="1" applyBorder="1" applyAlignment="1">
      <alignment vertical="center" wrapText="1"/>
    </xf>
    <xf numFmtId="0" fontId="5" fillId="0" borderId="13" xfId="0" applyFont="1" applyFill="1" applyBorder="1" applyAlignment="1">
      <alignment horizontal="left" vertical="center"/>
    </xf>
    <xf numFmtId="164" fontId="0" fillId="0" borderId="0" xfId="0" applyNumberFormat="1" applyBorder="1"/>
    <xf numFmtId="14" fontId="0" fillId="0" borderId="0" xfId="0" applyNumberFormat="1" applyFill="1" applyBorder="1" applyAlignment="1">
      <alignment horizontal="center"/>
    </xf>
    <xf numFmtId="0" fontId="13" fillId="5" borderId="8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center"/>
    </xf>
    <xf numFmtId="1" fontId="0" fillId="0" borderId="0" xfId="0" applyNumberFormat="1" applyFont="1" applyBorder="1" applyAlignment="1">
      <alignment horizontal="left"/>
    </xf>
    <xf numFmtId="14" fontId="2" fillId="0" borderId="0" xfId="0" applyNumberFormat="1" applyFont="1" applyFill="1" applyBorder="1" applyAlignment="1">
      <alignment horizontal="right"/>
    </xf>
    <xf numFmtId="14" fontId="2" fillId="3" borderId="0" xfId="0" applyNumberFormat="1" applyFont="1" applyFill="1" applyBorder="1" applyAlignment="1">
      <alignment horizontal="right"/>
    </xf>
    <xf numFmtId="14" fontId="2" fillId="0" borderId="4" xfId="0" applyNumberFormat="1" applyFont="1" applyFill="1" applyBorder="1" applyAlignment="1">
      <alignment horizontal="right"/>
    </xf>
    <xf numFmtId="165" fontId="0" fillId="2" borderId="17" xfId="0" applyNumberFormat="1" applyFill="1" applyBorder="1" applyAlignment="1">
      <alignment horizontal="right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49" fontId="3" fillId="4" borderId="0" xfId="0" applyNumberFormat="1" applyFont="1" applyFill="1" applyBorder="1" applyAlignment="1">
      <alignment horizontal="center" vertical="center" wrapText="1"/>
    </xf>
    <xf numFmtId="49" fontId="3" fillId="4" borderId="11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8" fillId="6" borderId="3" xfId="0" applyNumberFormat="1" applyFont="1" applyFill="1" applyBorder="1" applyAlignment="1">
      <alignment horizontal="left" vertical="center"/>
    </xf>
    <xf numFmtId="0" fontId="0" fillId="0" borderId="0" xfId="0" applyFill="1" applyAlignment="1"/>
    <xf numFmtId="0" fontId="1" fillId="0" borderId="10" xfId="0" applyNumberFormat="1" applyFont="1" applyBorder="1" applyAlignment="1">
      <alignment horizontal="right"/>
    </xf>
    <xf numFmtId="49" fontId="5" fillId="0" borderId="12" xfId="0" applyNumberFormat="1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1" fillId="0" borderId="10" xfId="0" applyNumberFormat="1" applyFont="1" applyBorder="1"/>
    <xf numFmtId="49" fontId="3" fillId="4" borderId="10" xfId="0" applyNumberFormat="1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vertical="center" wrapText="1"/>
    </xf>
    <xf numFmtId="49" fontId="3" fillId="4" borderId="11" xfId="0" applyNumberFormat="1" applyFont="1" applyFill="1" applyBorder="1" applyAlignment="1">
      <alignment vertical="center" wrapText="1"/>
    </xf>
    <xf numFmtId="0" fontId="10" fillId="0" borderId="10" xfId="0" applyNumberFormat="1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/>
    </xf>
    <xf numFmtId="0" fontId="11" fillId="0" borderId="10" xfId="0" applyNumberFormat="1" applyFont="1" applyFill="1" applyBorder="1" applyAlignment="1">
      <alignment horizontal="left" vertical="center"/>
    </xf>
    <xf numFmtId="49" fontId="1" fillId="0" borderId="10" xfId="0" applyNumberFormat="1" applyFont="1" applyFill="1" applyBorder="1" applyAlignment="1">
      <alignment horizontal="left"/>
    </xf>
    <xf numFmtId="0" fontId="5" fillId="0" borderId="1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 vertical="center" wrapText="1"/>
    </xf>
    <xf numFmtId="49" fontId="3" fillId="4" borderId="0" xfId="0" applyNumberFormat="1" applyFont="1" applyFill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center" vertical="center" wrapText="1"/>
    </xf>
    <xf numFmtId="49" fontId="3" fillId="4" borderId="11" xfId="0" applyNumberFormat="1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left" vertical="center"/>
    </xf>
    <xf numFmtId="0" fontId="13" fillId="5" borderId="8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13" fillId="5" borderId="12" xfId="0" applyFont="1" applyFill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0" fillId="5" borderId="0" xfId="0" applyFill="1"/>
  </cellXfs>
  <cellStyles count="1">
    <cellStyle name="Normal" xfId="0" builtinId="0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57150</xdr:colOff>
          <xdr:row>0</xdr:row>
          <xdr:rowOff>57150</xdr:rowOff>
        </xdr:from>
        <xdr:to>
          <xdr:col>7</xdr:col>
          <xdr:colOff>1200150</xdr:colOff>
          <xdr:row>0</xdr:row>
          <xdr:rowOff>257175</xdr:rowOff>
        </xdr:to>
        <xdr:sp macro="" textlink="">
          <xdr:nvSpPr>
            <xdr:cNvPr id="2049" name="CmdBtnParameters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View Parameters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57150</xdr:colOff>
          <xdr:row>0</xdr:row>
          <xdr:rowOff>57150</xdr:rowOff>
        </xdr:from>
        <xdr:to>
          <xdr:col>7</xdr:col>
          <xdr:colOff>1200150</xdr:colOff>
          <xdr:row>0</xdr:row>
          <xdr:rowOff>257175</xdr:rowOff>
        </xdr:to>
        <xdr:sp macro="" textlink="">
          <xdr:nvSpPr>
            <xdr:cNvPr id="3073" name="CmdBtnParameters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View Parameters</a:t>
              </a:r>
            </a:p>
          </xdr:txBody>
        </xdr:sp>
        <xdr:clientData fPrintsWithSheet="0"/>
      </xdr:twoCellAnchor>
    </mc:Choice>
    <mc:Fallback/>
  </mc:AlternateContent>
</xdr:wsDr>
</file>

<file path=xl/queryTables/queryTable1.xml><?xml version="1.0" encoding="utf-8"?>
<queryTable xmlns="http://schemas.openxmlformats.org/spreadsheetml/2006/main" name="drilldown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4174_1" fillFormulas="1" adjustColumnWidth="0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drilldown" connectionId="4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4173_1" fillFormulas="1" adjustColumnWidth="0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queryTable" Target="../queryTables/queryTable2.xml"/><Relationship Id="rId4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656"/>
  <sheetViews>
    <sheetView tabSelected="1" zoomScale="70" zoomScaleNormal="70" workbookViewId="0">
      <pane xSplit="5" ySplit="11" topLeftCell="J15" activePane="bottomRight" state="frozen"/>
      <selection pane="topRight" activeCell="D1" sqref="D1"/>
      <selection pane="bottomLeft" activeCell="A12" sqref="A12"/>
      <selection pane="bottomRight" activeCell="C1" sqref="C1:E1048576"/>
    </sheetView>
  </sheetViews>
  <sheetFormatPr defaultRowHeight="15"/>
  <cols>
    <col min="1" max="1" width="13.7109375" style="8" bestFit="1" customWidth="1"/>
    <col min="2" max="2" width="12.85546875" style="8" bestFit="1" customWidth="1"/>
    <col min="3" max="5" width="12.85546875" style="8" hidden="1" customWidth="1"/>
    <col min="6" max="8" width="12.85546875" style="8" customWidth="1"/>
    <col min="9" max="9" width="7.28515625" style="8" customWidth="1"/>
    <col min="10" max="10" width="9.140625" style="8"/>
    <col min="11" max="11" width="11.42578125" style="8" bestFit="1" customWidth="1"/>
    <col min="12" max="15" width="9.140625" style="8"/>
    <col min="16" max="16" width="11.42578125" style="8" bestFit="1" customWidth="1"/>
    <col min="17" max="17" width="10" style="8" bestFit="1" customWidth="1"/>
    <col min="18" max="23" width="0" style="8" hidden="1" customWidth="1"/>
    <col min="24" max="32" width="9.140625" style="8"/>
    <col min="33" max="38" width="0" style="8" hidden="1" customWidth="1"/>
    <col min="39" max="39" width="10.28515625" style="8" bestFit="1" customWidth="1"/>
    <col min="40" max="40" width="9.140625" style="8"/>
    <col min="41" max="41" width="7.28515625" style="8" bestFit="1" customWidth="1"/>
    <col min="42" max="42" width="10.5703125" style="8" bestFit="1" customWidth="1"/>
    <col min="43" max="51" width="9.140625" style="8"/>
    <col min="52" max="52" width="10" style="8" bestFit="1" customWidth="1"/>
    <col min="53" max="58" width="0" style="8" hidden="1" customWidth="1"/>
    <col min="59" max="59" width="12.85546875" style="8" bestFit="1" customWidth="1"/>
    <col min="60" max="16384" width="9.140625" style="8"/>
  </cols>
  <sheetData>
    <row r="1" spans="1:58">
      <c r="A1" s="8" t="s">
        <v>0</v>
      </c>
      <c r="B1" s="96">
        <f>EDATE(B3,B4)</f>
        <v>43344</v>
      </c>
      <c r="C1" s="28"/>
      <c r="D1" s="28"/>
      <c r="E1" s="28"/>
      <c r="F1" s="28"/>
      <c r="G1" s="28"/>
      <c r="H1" s="28"/>
    </row>
    <row r="2" spans="1:58">
      <c r="A2" s="8" t="s">
        <v>1</v>
      </c>
      <c r="B2" s="96">
        <f>EOMONTH(B3,0)</f>
        <v>43708</v>
      </c>
      <c r="C2" s="28"/>
      <c r="D2" s="28"/>
      <c r="E2" s="28"/>
      <c r="F2" s="28"/>
      <c r="G2" s="28"/>
      <c r="H2" s="28"/>
    </row>
    <row r="3" spans="1:58">
      <c r="A3" s="8" t="s">
        <v>2</v>
      </c>
      <c r="B3" s="97">
        <v>43678</v>
      </c>
      <c r="C3" s="28"/>
      <c r="D3" s="28"/>
      <c r="E3" s="28"/>
      <c r="F3" s="28"/>
      <c r="G3" s="28"/>
      <c r="H3" s="28"/>
    </row>
    <row r="4" spans="1:58">
      <c r="A4" s="8" t="s">
        <v>3</v>
      </c>
      <c r="B4" s="29">
        <v>-11</v>
      </c>
      <c r="C4" s="29"/>
      <c r="D4" s="29"/>
      <c r="E4" s="29"/>
      <c r="F4" s="29"/>
      <c r="G4" s="29"/>
      <c r="H4" s="29"/>
    </row>
    <row r="5" spans="1:58" ht="15.75" thickBot="1">
      <c r="B5" s="29"/>
      <c r="C5" s="29"/>
      <c r="D5" s="29"/>
      <c r="E5" s="29"/>
      <c r="F5" s="29"/>
      <c r="G5" s="29"/>
      <c r="H5" s="29"/>
    </row>
    <row r="6" spans="1:58">
      <c r="A6" s="65" t="s">
        <v>4</v>
      </c>
      <c r="B6" s="87"/>
      <c r="C6" s="87"/>
      <c r="D6" s="87"/>
      <c r="E6" s="87"/>
      <c r="F6" s="65"/>
      <c r="G6" s="87" t="s">
        <v>582</v>
      </c>
      <c r="H6" s="113"/>
      <c r="I6" s="121" t="s">
        <v>5</v>
      </c>
      <c r="J6" s="122"/>
      <c r="K6" s="122"/>
      <c r="L6" s="122"/>
      <c r="M6" s="122"/>
      <c r="N6" s="122"/>
      <c r="O6" s="122"/>
      <c r="P6" s="122"/>
      <c r="Q6" s="123"/>
      <c r="R6" s="122" t="s">
        <v>6</v>
      </c>
      <c r="S6" s="122"/>
      <c r="T6" s="122"/>
      <c r="U6" s="122"/>
      <c r="V6" s="122"/>
      <c r="W6" s="122"/>
      <c r="X6" s="121" t="s">
        <v>7</v>
      </c>
      <c r="Y6" s="122"/>
      <c r="Z6" s="122"/>
      <c r="AA6" s="122"/>
      <c r="AB6" s="122"/>
      <c r="AC6" s="122"/>
      <c r="AD6" s="122"/>
      <c r="AE6" s="122"/>
      <c r="AF6" s="123"/>
      <c r="AG6" s="122" t="s">
        <v>8</v>
      </c>
      <c r="AH6" s="122"/>
      <c r="AI6" s="122"/>
      <c r="AJ6" s="122"/>
      <c r="AK6" s="122"/>
      <c r="AL6" s="122"/>
      <c r="AM6" s="121" t="s">
        <v>601</v>
      </c>
      <c r="AN6" s="122"/>
      <c r="AO6" s="122"/>
      <c r="AP6" s="123"/>
      <c r="AQ6" s="121" t="s">
        <v>345</v>
      </c>
      <c r="AR6" s="122"/>
      <c r="AS6" s="122"/>
      <c r="AT6" s="122"/>
      <c r="AU6" s="122"/>
      <c r="AV6" s="122"/>
      <c r="AW6" s="122"/>
      <c r="AX6" s="122"/>
      <c r="AY6" s="122"/>
      <c r="AZ6" s="123"/>
      <c r="BA6" s="125" t="s">
        <v>581</v>
      </c>
      <c r="BB6" s="125"/>
      <c r="BC6" s="125"/>
      <c r="BD6" s="125"/>
      <c r="BE6" s="125"/>
      <c r="BF6" s="125"/>
    </row>
    <row r="7" spans="1:58">
      <c r="A7" s="66"/>
      <c r="B7" s="34"/>
      <c r="C7" s="34"/>
      <c r="D7" s="34"/>
      <c r="E7" s="34"/>
      <c r="F7" s="66"/>
      <c r="G7" s="34"/>
      <c r="H7" s="114"/>
      <c r="I7" s="127" t="s">
        <v>9</v>
      </c>
      <c r="J7" s="126"/>
      <c r="K7" s="126"/>
      <c r="L7" s="126"/>
      <c r="M7" s="126"/>
      <c r="N7" s="126"/>
      <c r="O7" s="126"/>
      <c r="P7" s="126"/>
      <c r="Q7" s="128"/>
      <c r="R7" s="126"/>
      <c r="S7" s="126"/>
      <c r="T7" s="126"/>
      <c r="U7" s="126"/>
      <c r="V7" s="126"/>
      <c r="W7" s="126"/>
      <c r="X7" s="127" t="s">
        <v>10</v>
      </c>
      <c r="Y7" s="126"/>
      <c r="Z7" s="126"/>
      <c r="AA7" s="126"/>
      <c r="AB7" s="126"/>
      <c r="AC7" s="126"/>
      <c r="AD7" s="126"/>
      <c r="AE7" s="126"/>
      <c r="AF7" s="128"/>
      <c r="AG7" s="126"/>
      <c r="AH7" s="126"/>
      <c r="AI7" s="126"/>
      <c r="AJ7" s="126"/>
      <c r="AK7" s="126"/>
      <c r="AL7" s="126"/>
      <c r="AM7" s="111"/>
      <c r="AN7" s="102"/>
      <c r="AO7" s="102"/>
      <c r="AP7" s="103"/>
      <c r="AQ7" s="127"/>
      <c r="AR7" s="126"/>
      <c r="AS7" s="126"/>
      <c r="AT7" s="126"/>
      <c r="AU7" s="126"/>
      <c r="AV7" s="126"/>
      <c r="AW7" s="126"/>
      <c r="AX7" s="126"/>
      <c r="AY7" s="126"/>
      <c r="AZ7" s="128"/>
      <c r="BA7" s="126"/>
      <c r="BB7" s="126"/>
      <c r="BC7" s="126"/>
      <c r="BD7" s="126"/>
      <c r="BE7" s="126"/>
      <c r="BF7" s="126"/>
    </row>
    <row r="8" spans="1:58">
      <c r="A8" s="138" t="s">
        <v>11</v>
      </c>
      <c r="B8" s="139"/>
      <c r="C8" s="52"/>
      <c r="D8" s="52"/>
      <c r="E8" s="41"/>
      <c r="F8" s="115" t="s">
        <v>583</v>
      </c>
      <c r="G8" s="35" t="s">
        <v>584</v>
      </c>
      <c r="H8" s="116"/>
      <c r="I8" s="110"/>
      <c r="J8" s="1"/>
      <c r="K8" s="100"/>
      <c r="L8" s="100"/>
      <c r="M8" s="100"/>
      <c r="N8" s="100"/>
      <c r="O8" s="100"/>
      <c r="P8" s="100"/>
      <c r="Q8" s="43"/>
      <c r="R8" s="42"/>
      <c r="S8" s="42"/>
      <c r="T8" s="42"/>
      <c r="U8" s="42"/>
      <c r="V8" s="42"/>
      <c r="W8" s="42"/>
      <c r="X8" s="110"/>
      <c r="Y8" s="1"/>
      <c r="Z8" s="100"/>
      <c r="AA8" s="100"/>
      <c r="AB8" s="100"/>
      <c r="AC8" s="100"/>
      <c r="AD8" s="100"/>
      <c r="AE8" s="100"/>
      <c r="AF8" s="43"/>
      <c r="AG8" s="42"/>
      <c r="AH8" s="42"/>
      <c r="AI8" s="42"/>
      <c r="AJ8" s="42"/>
      <c r="AK8" s="42"/>
      <c r="AL8" s="42"/>
      <c r="AM8" s="104"/>
      <c r="AN8" s="100"/>
      <c r="AO8" s="100"/>
      <c r="AP8" s="43"/>
      <c r="AQ8" s="110"/>
      <c r="AR8" s="1"/>
      <c r="AS8" s="100"/>
      <c r="AT8" s="100"/>
      <c r="AU8" s="100"/>
      <c r="AV8" s="100"/>
      <c r="AW8" s="100"/>
      <c r="AX8" s="100"/>
      <c r="AY8" s="100"/>
      <c r="AZ8" s="43"/>
      <c r="BA8" s="2"/>
      <c r="BB8" s="2"/>
      <c r="BC8" s="2"/>
      <c r="BD8" s="2"/>
      <c r="BE8" s="2"/>
      <c r="BF8" s="2"/>
    </row>
    <row r="9" spans="1:58">
      <c r="A9" s="138" t="s">
        <v>12</v>
      </c>
      <c r="B9" s="139"/>
      <c r="C9" s="52"/>
      <c r="D9" s="52"/>
      <c r="E9" s="41"/>
      <c r="F9" s="117"/>
      <c r="G9" s="36"/>
      <c r="H9" s="116"/>
      <c r="I9" s="107"/>
      <c r="J9" s="37"/>
      <c r="K9" s="100"/>
      <c r="L9" s="100"/>
      <c r="M9" s="100"/>
      <c r="N9" s="100"/>
      <c r="O9" s="100"/>
      <c r="P9" s="100"/>
      <c r="Q9" s="43"/>
      <c r="R9" s="42"/>
      <c r="S9" s="42"/>
      <c r="T9" s="42"/>
      <c r="U9" s="42"/>
      <c r="V9" s="42"/>
      <c r="W9" s="42"/>
      <c r="X9" s="110"/>
      <c r="Y9" s="1"/>
      <c r="Z9" s="100"/>
      <c r="AA9" s="100"/>
      <c r="AB9" s="100"/>
      <c r="AC9" s="100"/>
      <c r="AD9" s="100"/>
      <c r="AE9" s="100"/>
      <c r="AF9" s="43"/>
      <c r="AG9" s="42"/>
      <c r="AH9" s="42"/>
      <c r="AI9" s="42"/>
      <c r="AJ9" s="42"/>
      <c r="AK9" s="42"/>
      <c r="AL9" s="42"/>
      <c r="AM9" s="104"/>
      <c r="AN9" s="100"/>
      <c r="AO9" s="100"/>
      <c r="AP9" s="43"/>
      <c r="AQ9" s="110"/>
      <c r="AR9" s="1"/>
      <c r="AS9" s="100"/>
      <c r="AT9" s="100"/>
      <c r="AU9" s="100"/>
      <c r="AV9" s="100"/>
      <c r="AW9" s="100"/>
      <c r="AX9" s="100"/>
      <c r="AY9" s="100"/>
      <c r="AZ9" s="43"/>
      <c r="BA9" s="2"/>
      <c r="BB9" s="2"/>
      <c r="BC9" s="2"/>
      <c r="BD9" s="2"/>
      <c r="BE9" s="2"/>
      <c r="BF9" s="2"/>
    </row>
    <row r="10" spans="1:58">
      <c r="A10" s="130" t="s">
        <v>13</v>
      </c>
      <c r="B10" s="120"/>
      <c r="C10" s="51"/>
      <c r="D10" s="51"/>
      <c r="E10" s="42"/>
      <c r="F10" s="118" t="s">
        <v>585</v>
      </c>
      <c r="G10" s="38" t="s">
        <v>586</v>
      </c>
      <c r="H10" s="44"/>
      <c r="I10" s="129" t="s">
        <v>14</v>
      </c>
      <c r="J10" s="124"/>
      <c r="K10" s="124"/>
      <c r="L10" s="101"/>
      <c r="M10" s="124" t="s">
        <v>15</v>
      </c>
      <c r="N10" s="124"/>
      <c r="O10" s="124"/>
      <c r="P10" s="101"/>
      <c r="Q10" s="44"/>
      <c r="R10" s="42" t="s">
        <v>16</v>
      </c>
      <c r="S10" s="42" t="s">
        <v>17</v>
      </c>
      <c r="T10" s="40" t="s">
        <v>18</v>
      </c>
      <c r="U10" s="42">
        <v>6</v>
      </c>
      <c r="V10" s="42" t="s">
        <v>19</v>
      </c>
      <c r="W10" s="42" t="s">
        <v>20</v>
      </c>
      <c r="X10" s="129" t="s">
        <v>14</v>
      </c>
      <c r="Y10" s="124"/>
      <c r="Z10" s="124"/>
      <c r="AA10" s="101"/>
      <c r="AB10" s="124" t="s">
        <v>15</v>
      </c>
      <c r="AC10" s="124"/>
      <c r="AD10" s="124"/>
      <c r="AE10" s="101"/>
      <c r="AF10" s="44"/>
      <c r="AG10" s="42" t="s">
        <v>16</v>
      </c>
      <c r="AH10" s="42" t="s">
        <v>17</v>
      </c>
      <c r="AI10" s="40" t="s">
        <v>18</v>
      </c>
      <c r="AJ10" s="42">
        <v>6</v>
      </c>
      <c r="AK10" s="42" t="s">
        <v>19</v>
      </c>
      <c r="AL10" s="42" t="s">
        <v>20</v>
      </c>
      <c r="AM10" s="130">
        <v>6</v>
      </c>
      <c r="AN10" s="120"/>
      <c r="AO10" s="120"/>
      <c r="AP10" s="43"/>
      <c r="AQ10" s="129" t="s">
        <v>17</v>
      </c>
      <c r="AR10" s="124"/>
      <c r="AS10" s="124"/>
      <c r="AT10" s="101"/>
      <c r="AU10" s="124" t="s">
        <v>18</v>
      </c>
      <c r="AV10" s="124"/>
      <c r="AW10" s="124"/>
      <c r="AX10" s="101"/>
      <c r="AY10" s="39"/>
      <c r="AZ10" s="44"/>
      <c r="BA10" s="2" t="s">
        <v>16</v>
      </c>
      <c r="BB10" s="2" t="s">
        <v>14</v>
      </c>
      <c r="BC10" s="40" t="s">
        <v>15</v>
      </c>
      <c r="BD10" s="2">
        <v>6</v>
      </c>
      <c r="BE10" s="2" t="s">
        <v>19</v>
      </c>
      <c r="BF10" s="2" t="s">
        <v>20</v>
      </c>
    </row>
    <row r="11" spans="1:58" ht="45.75" thickBot="1">
      <c r="A11" s="67" t="s">
        <v>21</v>
      </c>
      <c r="B11" s="88" t="s">
        <v>22</v>
      </c>
      <c r="C11" s="88"/>
      <c r="D11" s="88"/>
      <c r="E11" s="88"/>
      <c r="F11" s="67" t="s">
        <v>587</v>
      </c>
      <c r="G11" s="88" t="s">
        <v>588</v>
      </c>
      <c r="H11" s="119" t="s">
        <v>589</v>
      </c>
      <c r="I11" s="108" t="s">
        <v>602</v>
      </c>
      <c r="J11" s="62" t="s">
        <v>23</v>
      </c>
      <c r="K11" s="63" t="s">
        <v>24</v>
      </c>
      <c r="L11" s="63" t="s">
        <v>25</v>
      </c>
      <c r="M11" s="64" t="s">
        <v>602</v>
      </c>
      <c r="N11" s="62" t="s">
        <v>23</v>
      </c>
      <c r="O11" s="63" t="s">
        <v>24</v>
      </c>
      <c r="P11" s="63" t="s">
        <v>25</v>
      </c>
      <c r="Q11" s="109" t="s">
        <v>26</v>
      </c>
      <c r="R11" s="133" t="s">
        <v>24</v>
      </c>
      <c r="S11" s="133"/>
      <c r="T11" s="133"/>
      <c r="U11" s="133"/>
      <c r="V11" s="133"/>
      <c r="W11" s="133"/>
      <c r="X11" s="108" t="s">
        <v>602</v>
      </c>
      <c r="Y11" s="62" t="s">
        <v>23</v>
      </c>
      <c r="Z11" s="63" t="s">
        <v>24</v>
      </c>
      <c r="AA11" s="63" t="s">
        <v>25</v>
      </c>
      <c r="AB11" s="64" t="s">
        <v>602</v>
      </c>
      <c r="AC11" s="62" t="s">
        <v>23</v>
      </c>
      <c r="AD11" s="63" t="s">
        <v>24</v>
      </c>
      <c r="AE11" s="63" t="s">
        <v>25</v>
      </c>
      <c r="AF11" s="109" t="s">
        <v>26</v>
      </c>
      <c r="AG11" s="133" t="s">
        <v>24</v>
      </c>
      <c r="AH11" s="133"/>
      <c r="AI11" s="133"/>
      <c r="AJ11" s="133"/>
      <c r="AK11" s="133"/>
      <c r="AL11" s="133"/>
      <c r="AM11" s="108" t="s">
        <v>602</v>
      </c>
      <c r="AN11" s="62" t="s">
        <v>23</v>
      </c>
      <c r="AO11" s="63" t="s">
        <v>24</v>
      </c>
      <c r="AP11" s="112" t="s">
        <v>27</v>
      </c>
      <c r="AQ11" s="108" t="s">
        <v>602</v>
      </c>
      <c r="AR11" s="62" t="s">
        <v>23</v>
      </c>
      <c r="AS11" s="63" t="s">
        <v>24</v>
      </c>
      <c r="AT11" s="63" t="s">
        <v>25</v>
      </c>
      <c r="AU11" s="64" t="s">
        <v>602</v>
      </c>
      <c r="AV11" s="62" t="s">
        <v>23</v>
      </c>
      <c r="AW11" s="63" t="s">
        <v>24</v>
      </c>
      <c r="AX11" s="63" t="s">
        <v>25</v>
      </c>
      <c r="AY11" s="63" t="s">
        <v>26</v>
      </c>
      <c r="AZ11" s="72" t="s">
        <v>27</v>
      </c>
      <c r="BA11" s="120" t="s">
        <v>24</v>
      </c>
      <c r="BB11" s="120"/>
      <c r="BC11" s="120"/>
      <c r="BD11" s="120"/>
      <c r="BE11" s="120"/>
      <c r="BF11" s="120"/>
    </row>
    <row r="12" spans="1:58">
      <c r="A12" s="3" t="str">
        <f>TEXT(B12,"ddd")</f>
        <v>Sat</v>
      </c>
      <c r="B12" s="96">
        <f>B1</f>
        <v>43344</v>
      </c>
      <c r="C12" s="96">
        <f>EOMONTH(B12,0)</f>
        <v>43373</v>
      </c>
      <c r="D12" s="96">
        <f>EOMONTH(B12,-1)+1</f>
        <v>43344</v>
      </c>
      <c r="E12" s="95">
        <f>DAY(EOMONTH(B12,0))</f>
        <v>30</v>
      </c>
      <c r="F12" s="7">
        <f t="array" ref="F12">_xlfn.IFNA(INDEX('DMR Flows-Effluent'!$A$3:$F$9999,MATCH(($F$10&amp;$B12),('DMR Flows-Effluent'!$B$3:$B$9999&amp;'DMR Flows-Effluent'!$A$3:$A$9999),0),MATCH($F$8,'DMR Flows-Effluent'!$A$2:$F$2,0)),"")</f>
        <v>48.995699999999999</v>
      </c>
      <c r="G12" s="7">
        <f t="array" ref="G12">_xlfn.IFNA(INDEX('DMR Flows-Effluent'!$A$3:$F$9999,MATCH(($G$10&amp;$B12),('DMR Flows-Effluent'!$B$3:$B$9999&amp;'DMR Flows-Effluent'!$A$3:$A$9999),0),MATCH($F$8,'DMR Flows-Effluent'!$A$2:$F$2,0)),"")</f>
        <v>64.921400000000006</v>
      </c>
      <c r="H12" s="7">
        <f>SUM(F12:G12)</f>
        <v>113.9171</v>
      </c>
      <c r="I12" s="45" t="str">
        <f>IFERROR(IF(L12&lt;VALUE(J12),"&lt;",""),"")</f>
        <v/>
      </c>
      <c r="J12" s="6" t="str">
        <f t="array" ref="J12">_xlfn.IFNA((INDEX('DMR 001C TIN &amp; TP'!$A$3:$M$10005,MATCH(('Reg 85'!$I$6:$Q$6&amp;'Reg 85'!$I$10:$K$10&amp;'Reg 85'!$B12),('DMR 001C TIN &amp; TP'!$E$3:$E$10005&amp;'DMR 001C TIN &amp; TP'!$B$3:$B$10005&amp;'DMR 001C TIN &amp; TP'!$A$3:$A$10005),0),MATCH('Reg 85'!$J$11,'DMR 001C TIN &amp; TP'!$A$2:$M$2,0))),"")</f>
        <v/>
      </c>
      <c r="K12" s="6" t="str">
        <f t="array" ref="K12">_xlfn.IFNA((INDEX('DMR 001C TIN &amp; TP'!$A$3:$M$10005,MATCH(('Reg 85'!$I$6:$Q$6&amp;'Reg 85'!$I$10:$K$10&amp;'Reg 85'!$B12),('DMR 001C TIN &amp; TP'!$E$3:$E$10005&amp;'DMR 001C TIN &amp; TP'!$B$3:$B$10005&amp;'DMR 001C TIN &amp; TP'!$A$3:$A$10005),0),MATCH('Reg 85'!$K$11,'DMR 001C TIN &amp; TP'!$A$2:$M$2,0))),"")</f>
        <v/>
      </c>
      <c r="L12" s="53" t="str">
        <f>IFERROR(IF(VALUE(K12)&lt;VALUE(J12),0,VALUE(K12)),"")</f>
        <v/>
      </c>
      <c r="M12" s="5" t="str">
        <f>IFERROR(IF(P12&lt;VALUE(N12),"&lt;",""),"")</f>
        <v/>
      </c>
      <c r="N12" s="6" t="str">
        <f t="array" ref="N12">_xlfn.IFNA((INDEX('DMR 001C TIN &amp; TP'!$A$3:$M$10005,MATCH(('Reg 85'!$I$6:$Q$6&amp;'Reg 85'!$M$10&amp;'Reg 85'!$B12),('DMR 001C TIN &amp; TP'!$E$3:$E$10005&amp;'DMR 001C TIN &amp; TP'!$B$3:$B$10005&amp;'DMR 001C TIN &amp; TP'!$A$3:$A$10005),0),MATCH('Reg 85'!$N$11,'DMR 001C TIN &amp; TP'!$A$2:$M$2,0))),"")</f>
        <v/>
      </c>
      <c r="O12" s="6" t="str">
        <f t="array" ref="O12">_xlfn.IFNA((INDEX('DMR 001C TIN &amp; TP'!$A$3:$M$10005,MATCH(('Reg 85'!$I$6:$Q$6&amp;'Reg 85'!$M$10&amp;'Reg 85'!$B12),('DMR 001C TIN &amp; TP'!$E$3:$E$10005&amp;'DMR 001C TIN &amp; TP'!$B$3:$B$10005&amp;'DMR 001C TIN &amp; TP'!$A$3:$A$10005),0),MATCH('Reg 85'!$O$11,'DMR 001C TIN &amp; TP'!$A$2:$M$2,0))),"")</f>
        <v/>
      </c>
      <c r="P12" s="53" t="str">
        <f>IFERROR(IF(VALUE(O12)&lt;VALUE(N12),0,VALUE(O12)),"")</f>
        <v/>
      </c>
      <c r="Q12" s="73" t="str">
        <f t="array" ref="Q12">IFERROR(((L12*$F12)+(P12*$G12))/($H12),"")</f>
        <v/>
      </c>
      <c r="R12" s="6" t="str">
        <f t="array" ref="R12">_xlfn.IFNA((INDEX('DMR 001C TIN &amp; TP'!$A$3:$M$10005,MATCH(('Reg 85'!$I$6:$Q$6&amp;'Reg 85'!R$10&amp;'Reg 85'!$B12),('DMR 001C TIN &amp; TP'!$E$3:$E$10005&amp;'DMR 001C TIN &amp; TP'!$B$3:$B$10005&amp;'DMR 001C TIN &amp; TP'!$A$3:$A$10005),0),MATCH('Reg 85'!$O$11,'DMR 001C TIN &amp; TP'!$A$2:$M$2,0))),"")</f>
        <v/>
      </c>
      <c r="S12" s="6" t="str">
        <f t="array" ref="S12">_xlfn.IFNA((INDEX('DMR 001C TIN &amp; TP'!$A$3:$M$10005,MATCH(('Reg 85'!$I$6:$Q$6&amp;'Reg 85'!S$10&amp;'Reg 85'!$B12),('DMR 001C TIN &amp; TP'!$E$3:$E$10005&amp;'DMR 001C TIN &amp; TP'!$B$3:$B$10005&amp;'DMR 001C TIN &amp; TP'!$A$3:$A$10005),0),MATCH('Reg 85'!$O$11,'DMR 001C TIN &amp; TP'!$A$2:$M$2,0))),"")</f>
        <v/>
      </c>
      <c r="T12" s="6" t="str">
        <f t="array" ref="T12">_xlfn.IFNA((INDEX('DMR 001C TIN &amp; TP'!$A$3:$M$10005,MATCH(('Reg 85'!$I$6:$Q$6&amp;'Reg 85'!T$10&amp;'Reg 85'!$B12),('DMR 001C TIN &amp; TP'!$E$3:$E$10005&amp;'DMR 001C TIN &amp; TP'!$B$3:$B$10005&amp;'DMR 001C TIN &amp; TP'!$A$3:$A$10005),0),MATCH('Reg 85'!$O$11,'DMR 001C TIN &amp; TP'!$A$2:$M$2,0))),"")</f>
        <v/>
      </c>
      <c r="U12" s="6" t="str">
        <f t="array" ref="U12">_xlfn.IFNA((INDEX('DMR 001C TIN &amp; TP'!$A$3:$M$10005,MATCH(('Reg 85'!$I$6:$Q$6&amp;'Reg 85'!U$10&amp;'Reg 85'!$B12),('DMR 001C TIN &amp; TP'!$E$3:$E$10005&amp;'DMR 001C TIN &amp; TP'!$B$3:$B$10005&amp;'DMR 001C TIN &amp; TP'!$A$3:$A$10005),0),MATCH('Reg 85'!$O$11,'DMR 001C TIN &amp; TP'!$A$2:$M$2,0))),"")</f>
        <v/>
      </c>
      <c r="V12" s="6" t="str">
        <f t="array" ref="V12">_xlfn.IFNA((INDEX('DMR 001C TIN &amp; TP'!$A$3:$M$10005,MATCH(('Reg 85'!$I$6:$Q$6&amp;'Reg 85'!V$10&amp;'Reg 85'!$B12),('DMR 001C TIN &amp; TP'!$E$3:$E$10005&amp;'DMR 001C TIN &amp; TP'!$B$3:$B$10005&amp;'DMR 001C TIN &amp; TP'!$A$3:$A$10005),0),MATCH('Reg 85'!$O$11,'DMR 001C TIN &amp; TP'!$A$2:$M$2,0))),"")</f>
        <v/>
      </c>
      <c r="W12" s="6" t="str">
        <f t="array" ref="W12">_xlfn.IFNA((INDEX('DMR 001C TIN &amp; TP'!$A$3:$M$10005,MATCH(('Reg 85'!$I$6:$Q$6&amp;'Reg 85'!W$10&amp;'Reg 85'!$B12),('DMR 001C TIN &amp; TP'!$E$3:$E$10005&amp;'DMR 001C TIN &amp; TP'!$B$3:$B$10005&amp;'DMR 001C TIN &amp; TP'!$A$3:$A$10005),0),MATCH('Reg 85'!$O$11,'DMR 001C TIN &amp; TP'!$A$2:$M$2,0))),"")</f>
        <v/>
      </c>
      <c r="X12" s="5" t="str">
        <f>IFERROR(IF(AA12&lt;VALUE(Y12),"&lt;",""),"")</f>
        <v/>
      </c>
      <c r="Y12" s="6" t="str">
        <f t="array" ref="Y12">_xlfn.IFNA((INDEX('DMR 001C TIN &amp; TP'!$A$3:$M$10005,MATCH(('Reg 85'!$X$6&amp;'Reg 85'!$X$10&amp;'Reg 85'!$B12),('DMR 001C TIN &amp; TP'!$E$3:$E$10005&amp;'DMR 001C TIN &amp; TP'!$B$3:$B$10005&amp;'DMR 001C TIN &amp; TP'!$A$3:$A$10005),0),MATCH('Reg 85'!$Y$11,'DMR 001C TIN &amp; TP'!$A$2:$M$2,0))),"")</f>
        <v/>
      </c>
      <c r="Z12" s="6" t="str">
        <f t="array" ref="Z12">_xlfn.IFNA((INDEX('DMR 001C TIN &amp; TP'!$A$3:$M$10005,MATCH(('Reg 85'!$X$6&amp;'Reg 85'!$X$10&amp;'Reg 85'!$B12),('DMR 001C TIN &amp; TP'!$E$3:$E$10005&amp;'DMR 001C TIN &amp; TP'!$B$3:$B$10005&amp;'DMR 001C TIN &amp; TP'!$A$3:$A$10005),0),MATCH('Reg 85'!$Z$11,'DMR 001C TIN &amp; TP'!$A$2:$M$2,0))),"")</f>
        <v/>
      </c>
      <c r="AA12" s="53" t="str">
        <f>IFERROR(IF(VALUE(Z12)&lt;VALUE(Y12),0,VALUE(Z12)),"")</f>
        <v/>
      </c>
      <c r="AB12" s="5" t="str">
        <f>IFERROR(IF(AE12&lt;VALUE(AC12),"&lt;",""),"")</f>
        <v/>
      </c>
      <c r="AC12" s="6" t="str">
        <f t="array" ref="AC12">_xlfn.IFNA((INDEX('DMR 001C TIN &amp; TP'!$A$3:$M$10005,MATCH(('Reg 85'!$X$6&amp;'Reg 85'!$AB$10&amp;'Reg 85'!$B12),('DMR 001C TIN &amp; TP'!$E$3:$E$10005&amp;'DMR 001C TIN &amp; TP'!$B$3:$B$10005&amp;'DMR 001C TIN &amp; TP'!$A$3:$A$10005),0),MATCH('Reg 85'!$AC$11,'DMR 001C TIN &amp; TP'!$A$2:$M$2,0))),"")</f>
        <v/>
      </c>
      <c r="AD12" s="6" t="str">
        <f t="array" ref="AD12">_xlfn.IFNA((INDEX('DMR 001C TIN &amp; TP'!$A$3:$M$10005,MATCH(('Reg 85'!$X$6&amp;'Reg 85'!$AB$10&amp;'Reg 85'!$B12),('DMR 001C TIN &amp; TP'!$E$3:$E$10005&amp;'DMR 001C TIN &amp; TP'!$B$3:$B$10005&amp;'DMR 001C TIN &amp; TP'!$A$3:$A$10005),0),MATCH('Reg 85'!$AD$11,'DMR 001C TIN &amp; TP'!$A$2:$M$2,0))),"")</f>
        <v/>
      </c>
      <c r="AE12" s="53" t="str">
        <f>IFERROR(IF(VALUE(AD12)&lt;VALUE(AC12),0,VALUE(AD12)),"")</f>
        <v/>
      </c>
      <c r="AF12" s="7" t="str">
        <f>IFERROR(((AA12*$F12)+(AE12*$G12))/($H12),"")</f>
        <v/>
      </c>
      <c r="AG12" s="6" t="str">
        <f t="array" ref="AG12">_xlfn.IFNA((INDEX('DMR 001C TIN &amp; TP'!$A$3:$M$10005,MATCH(('Reg 85'!$X$6&amp;'Reg 85'!AG$10&amp;'Reg 85'!$B12),('DMR 001C TIN &amp; TP'!$E$3:$E$10005&amp;'DMR 001C TIN &amp; TP'!$B$3:$B$10005&amp;'DMR 001C TIN &amp; TP'!$A$3:$A$10005),0),MATCH('Reg 85'!$AG$11,'DMR 001C TIN &amp; TP'!$A$2:$M$2,0))),"")</f>
        <v/>
      </c>
      <c r="AH12" s="6" t="str">
        <f t="array" ref="AH12">_xlfn.IFNA((INDEX('DMR 001C TIN &amp; TP'!$A$3:$M$10005,MATCH(('Reg 85'!$X$6&amp;'Reg 85'!AH$10&amp;'Reg 85'!$B12),('DMR 001C TIN &amp; TP'!$E$3:$E$10005&amp;'DMR 001C TIN &amp; TP'!$B$3:$B$10005&amp;'DMR 001C TIN &amp; TP'!$A$3:$A$10005),0),MATCH('Reg 85'!$AG$11,'DMR 001C TIN &amp; TP'!$A$2:$M$2,0))),"")</f>
        <v/>
      </c>
      <c r="AI12" s="6" t="str">
        <f t="array" ref="AI12">_xlfn.IFNA((INDEX('DMR 001C TIN &amp; TP'!$A$3:$M$10005,MATCH(('Reg 85'!$X$6&amp;'Reg 85'!AI$10&amp;'Reg 85'!$B12),('DMR 001C TIN &amp; TP'!$E$3:$E$10005&amp;'DMR 001C TIN &amp; TP'!$B$3:$B$10005&amp;'DMR 001C TIN &amp; TP'!$A$3:$A$10005),0),MATCH('Reg 85'!$AG$11,'DMR 001C TIN &amp; TP'!$A$2:$M$2,0))),"")</f>
        <v/>
      </c>
      <c r="AJ12" s="6" t="str">
        <f t="array" ref="AJ12">_xlfn.IFNA((INDEX('DMR 001C TIN &amp; TP'!$A$3:$M$10005,MATCH(('Reg 85'!$X$6&amp;'Reg 85'!AJ$10&amp;'Reg 85'!$B12),('DMR 001C TIN &amp; TP'!$E$3:$E$10005&amp;'DMR 001C TIN &amp; TP'!$B$3:$B$10005&amp;'DMR 001C TIN &amp; TP'!$A$3:$A$10005),0),MATCH('Reg 85'!$AG$11,'DMR 001C TIN &amp; TP'!$A$2:$M$2,0))),"")</f>
        <v/>
      </c>
      <c r="AK12" s="6" t="str">
        <f t="array" ref="AK12">_xlfn.IFNA((INDEX('DMR 001C TIN &amp; TP'!$A$3:$M$10005,MATCH(('Reg 85'!$X$6&amp;'Reg 85'!AK$10&amp;'Reg 85'!$B12),('DMR 001C TIN &amp; TP'!$E$3:$E$10005&amp;'DMR 001C TIN &amp; TP'!$B$3:$B$10005&amp;'DMR 001C TIN &amp; TP'!$A$3:$A$10005),0),MATCH('Reg 85'!$AG$11,'DMR 001C TIN &amp; TP'!$A$2:$M$2,0))),"")</f>
        <v/>
      </c>
      <c r="AL12" s="6" t="str">
        <f t="array" ref="AL12">_xlfn.IFNA((INDEX('DMR 001C TIN &amp; TP'!$A$3:$M$10005,MATCH(('Reg 85'!$X$6&amp;'Reg 85'!AL$10&amp;'Reg 85'!$B12),('DMR 001C TIN &amp; TP'!$E$3:$E$10005&amp;'DMR 001C TIN &amp; TP'!$B$3:$B$10005&amp;'DMR 001C TIN &amp; TP'!$A$3:$A$10005),0),MATCH('Reg 85'!$AG$11,'DMR 001C TIN &amp; TP'!$A$2:$M$2,0))),"")</f>
        <v/>
      </c>
      <c r="AM12" s="76"/>
      <c r="AN12" s="6"/>
      <c r="AO12" s="54" t="str">
        <f t="shared" ref="AO12:AO75" si="0">IFERROR(Q12+AF12,"")</f>
        <v/>
      </c>
      <c r="AP12" s="77" t="str">
        <f>IF(COUNT(IF((#REF!&lt;=C12)*(#REF!&gt;=D12)*(B12=EOMONTH(B12,0)),#REF!,""))=0,"",COUNT(IF((#REF!&lt;=C12)*(#REF!&gt;=D12)*(B12=EOMONTH(B12,0)),#REF!,"")))</f>
        <v/>
      </c>
      <c r="AQ12" s="45" t="str">
        <f>IFERROR(IF(VALUE(AT12)&lt;VALUE(AR12),"&lt;",""),"")</f>
        <v/>
      </c>
      <c r="AR12" s="6" t="str">
        <f t="array" ref="AR12">_xlfn.IFNA((INDEX('DMR 001C TIN &amp; TP'!$A$3:$M$10005,MATCH(('Reg 85'!$AQ$6&amp;'Reg 85'!$AQ$10&amp;'Reg 85'!$B12),('DMR 001C TIN &amp; TP'!$E$3:$E$10005&amp;'DMR 001C TIN &amp; TP'!$B$3:$B$10005&amp;'DMR 001C TIN &amp; TP'!$A$3:$A$10005),0),MATCH('Reg 85'!$AR$11,'DMR 001C TIN &amp; TP'!$A$2:$M$2,0))),"")</f>
        <v/>
      </c>
      <c r="AS12" s="6" t="str">
        <f t="array" ref="AS12">_xlfn.IFNA((INDEX('DMR 001C TIN &amp; TP'!$A$3:$M$10005,MATCH(('Reg 85'!$AQ$6&amp;'Reg 85'!$AQ$10&amp;'Reg 85'!$B12),('DMR 001C TIN &amp; TP'!$E$3:$E$10005&amp;'DMR 001C TIN &amp; TP'!$B$3:$B$10005&amp;'DMR 001C TIN &amp; TP'!$A$3:$A$10005),0),MATCH('Reg 85'!$AS$11,'DMR 001C TIN &amp; TP'!$A$2:$M$2,0))),"")</f>
        <v/>
      </c>
      <c r="AT12" s="53" t="str">
        <f>IFERROR(IF(VALUE(AS12)&lt;VALUE(AR12),0,VALUE(AS12)),"")</f>
        <v/>
      </c>
      <c r="AV12" s="6" t="str">
        <f t="array" ref="AV12">_xlfn.IFNA((INDEX('DMR 001C TIN &amp; TP'!$A$3:$M$10005,MATCH(('Reg 85'!$AQ$6&amp;'Reg 85'!$AU$10&amp;'Reg 85'!$B12),('DMR 001C TIN &amp; TP'!$E$3:$E$10005&amp;'DMR 001C TIN &amp; TP'!$B$3:$B$10005&amp;'DMR 001C TIN &amp; TP'!$A$3:$A$10005),0),MATCH('Reg 85'!$AV$11,'DMR 001C TIN &amp; TP'!$A$2:$M$2,0))),"")</f>
        <v/>
      </c>
      <c r="AW12" s="6" t="str">
        <f t="array" ref="AW12">_xlfn.IFNA((INDEX('DMR 001C TIN &amp; TP'!$A$3:$M$10005,MATCH(('Reg 85'!$AQ$6&amp;'Reg 85'!$AU$10&amp;'Reg 85'!$B12),('DMR 001C TIN &amp; TP'!$E$3:$E$10005&amp;'DMR 001C TIN &amp; TP'!$B$3:$B$10005&amp;'DMR 001C TIN &amp; TP'!$A$3:$A$10005),0),MATCH('Reg 85'!$AW$11,'DMR 001C TIN &amp; TP'!$A$2:$M$2,0))),"")</f>
        <v/>
      </c>
      <c r="AX12" s="53" t="str">
        <f>IFERROR(IF(VALUE(AW12)&lt;VALUE(AV12),0,VALUE(AW12)),"")</f>
        <v/>
      </c>
      <c r="AY12" s="55" t="str">
        <f>IFERROR(((AT12*$F12)+(AX12*$G12))/($H12),"")</f>
        <v/>
      </c>
      <c r="AZ12" s="77" t="str">
        <f t="shared" ref="AZ12" si="1">IF(COUNT(IF((#REF!&lt;=C12)*(#REF!&gt;=D12)*(B12=EOMONTH(B12,0)),#REF!,""))=0,"",COUNT(IF((#REF!&lt;=C12)*(#REF!&gt;=D12)*(B12=EOMONTH(B12,0)),#REF!,"")))</f>
        <v/>
      </c>
      <c r="BA12" s="6" t="str">
        <f t="array" ref="BA12">_xlfn.IFNA((INDEX('DMR 001C TIN &amp; TP'!$A$3:$M$10005,MATCH(('Reg 85'!$AQ$6&amp;'Reg 85'!BA$10&amp;'Reg 85'!$B12),('DMR 001C TIN &amp; TP'!$E$3:$E$10005&amp;'DMR 001C TIN &amp; TP'!$B$3:$B$10005&amp;'DMR 001C TIN &amp; TP'!$A$3:$A$10005),0),MATCH('Reg 85'!$AG$11,'DMR 001C TIN &amp; TP'!$A$2:$M$2,0))),"")</f>
        <v/>
      </c>
      <c r="BB12" s="6" t="str">
        <f t="array" ref="BB12">_xlfn.IFNA((INDEX('DMR 001C TIN &amp; TP'!$A$3:$M$10005,MATCH(('Reg 85'!$AQ$6&amp;'Reg 85'!BB$10&amp;'Reg 85'!$B12),('DMR 001C TIN &amp; TP'!$E$3:$E$10005&amp;'DMR 001C TIN &amp; TP'!$B$3:$B$10005&amp;'DMR 001C TIN &amp; TP'!$A$3:$A$10005),0),MATCH('Reg 85'!$AG$11,'DMR 001C TIN &amp; TP'!$A$2:$M$2,0))),"")</f>
        <v/>
      </c>
      <c r="BC12" s="6" t="str">
        <f t="array" ref="BC12">_xlfn.IFNA((INDEX('DMR 001C TIN &amp; TP'!$A$3:$M$10005,MATCH(('Reg 85'!$AQ$6&amp;'Reg 85'!BC$10&amp;'Reg 85'!$B12),('DMR 001C TIN &amp; TP'!$E$3:$E$10005&amp;'DMR 001C TIN &amp; TP'!$B$3:$B$10005&amp;'DMR 001C TIN &amp; TP'!$A$3:$A$10005),0),MATCH('Reg 85'!$AG$11,'DMR 001C TIN &amp; TP'!$A$2:$M$2,0))),"")</f>
        <v/>
      </c>
      <c r="BD12" s="6" t="str">
        <f t="array" ref="BD12">_xlfn.IFNA((INDEX('DMR 001C TIN &amp; TP'!$A$3:$M$10005,MATCH(('Reg 85'!$AQ$6&amp;'Reg 85'!BD$10&amp;'Reg 85'!$B12),('DMR 001C TIN &amp; TP'!$E$3:$E$10005&amp;'DMR 001C TIN &amp; TP'!$B$3:$B$10005&amp;'DMR 001C TIN &amp; TP'!$A$3:$A$10005),0),MATCH('Reg 85'!$AG$11,'DMR 001C TIN &amp; TP'!$A$2:$M$2,0))),"")</f>
        <v/>
      </c>
      <c r="BE12" s="6" t="str">
        <f t="array" ref="BE12">_xlfn.IFNA((INDEX('DMR 001C TIN &amp; TP'!$A$3:$M$10005,MATCH(('Reg 85'!$AQ$6&amp;'Reg 85'!BE$10&amp;'Reg 85'!$B12),('DMR 001C TIN &amp; TP'!$E$3:$E$10005&amp;'DMR 001C TIN &amp; TP'!$B$3:$B$10005&amp;'DMR 001C TIN &amp; TP'!$A$3:$A$10005),0),MATCH('Reg 85'!$AG$11,'DMR 001C TIN &amp; TP'!$A$2:$M$2,0))),"")</f>
        <v/>
      </c>
      <c r="BF12" s="6" t="str">
        <f t="array" ref="BF12">_xlfn.IFNA((INDEX('DMR 001C TIN &amp; TP'!$A$3:$M$10005,MATCH(('Reg 85'!$AQ$6&amp;'Reg 85'!BF$10&amp;'Reg 85'!$B12),('DMR 001C TIN &amp; TP'!$E$3:$E$10005&amp;'DMR 001C TIN &amp; TP'!$B$3:$B$10005&amp;'DMR 001C TIN &amp; TP'!$A$3:$A$10005),0),MATCH('Reg 85'!$AG$11,'DMR 001C TIN &amp; TP'!$A$2:$M$2,0))),"")</f>
        <v/>
      </c>
    </row>
    <row r="13" spans="1:58">
      <c r="A13" s="3" t="str">
        <f t="shared" ref="A13:A76" si="2">TEXT(B13,"ddd")</f>
        <v>Sun</v>
      </c>
      <c r="B13" s="96">
        <f>B12+1</f>
        <v>43345</v>
      </c>
      <c r="C13" s="96">
        <f t="shared" ref="C13:C76" si="3">EOMONTH(B13,0)</f>
        <v>43373</v>
      </c>
      <c r="D13" s="96">
        <f t="shared" ref="D13:D76" si="4">EOMONTH(B13,-1)+1</f>
        <v>43344</v>
      </c>
      <c r="E13" s="95">
        <f t="shared" ref="E13:E76" si="5">DAY(EOMONTH(B13,0))</f>
        <v>30</v>
      </c>
      <c r="F13" s="7">
        <f t="array" ref="F13">_xlfn.IFNA(INDEX('DMR Flows-Effluent'!$A$3:$F$9999,MATCH(($F$10&amp;$B13),('DMR Flows-Effluent'!$B$3:$B$9999&amp;'DMR Flows-Effluent'!$A$3:$A$9999),0),MATCH($F$8,'DMR Flows-Effluent'!$A$2:$F$2,0)),"")</f>
        <v>48.726399999999998</v>
      </c>
      <c r="G13" s="7">
        <f t="array" ref="G13">_xlfn.IFNA(INDEX('DMR Flows-Effluent'!$A$3:$F$9999,MATCH(($G$10&amp;$B13),('DMR Flows-Effluent'!$B$3:$B$9999&amp;'DMR Flows-Effluent'!$A$3:$A$9999),0),MATCH($F$8,'DMR Flows-Effluent'!$A$2:$F$2,0)),"")</f>
        <v>62.2851</v>
      </c>
      <c r="H13" s="7">
        <f t="shared" ref="H13:H76" si="6">SUM(F13:G13)</f>
        <v>111.0115</v>
      </c>
      <c r="I13" s="45" t="str">
        <f t="shared" ref="I13:I76" si="7">IFERROR(IF(L13&lt;VALUE(J13),"&lt;",""),"")</f>
        <v/>
      </c>
      <c r="J13" s="6" t="str">
        <f t="array" ref="J13">_xlfn.IFNA((INDEX('DMR 001C TIN &amp; TP'!$A$3:$M$10005,MATCH(('Reg 85'!$I$6:$Q$6&amp;'Reg 85'!$I$10:$K$10&amp;'Reg 85'!$B13),('DMR 001C TIN &amp; TP'!$E$3:$E$10005&amp;'DMR 001C TIN &amp; TP'!$B$3:$B$10005&amp;'DMR 001C TIN &amp; TP'!$A$3:$A$10005),0),MATCH('Reg 85'!$J$11,'DMR 001C TIN &amp; TP'!$A$2:$M$2,0))),"")</f>
        <v/>
      </c>
      <c r="K13" s="6" t="str">
        <f t="array" ref="K13">_xlfn.IFNA((INDEX('DMR 001C TIN &amp; TP'!$A$3:$M$10005,MATCH(('Reg 85'!$I$6:$Q$6&amp;'Reg 85'!$I$10:$K$10&amp;'Reg 85'!$B13),('DMR 001C TIN &amp; TP'!$E$3:$E$10005&amp;'DMR 001C TIN &amp; TP'!$B$3:$B$10005&amp;'DMR 001C TIN &amp; TP'!$A$3:$A$10005),0),MATCH('Reg 85'!$K$11,'DMR 001C TIN &amp; TP'!$A$2:$M$2,0))),"")</f>
        <v/>
      </c>
      <c r="L13" s="53" t="str">
        <f>IFERROR(IF(VALUE(K13)&lt;VALUE(J13),0,VALUE(K13)),"")</f>
        <v/>
      </c>
      <c r="M13" s="5" t="str">
        <f t="shared" ref="M13:M76" si="8">IFERROR(IF(P13&lt;VALUE(N13),"&lt;",""),"")</f>
        <v/>
      </c>
      <c r="N13" s="6" t="str">
        <f t="array" ref="N13">_xlfn.IFNA((INDEX('DMR 001C TIN &amp; TP'!$A$3:$M$10005,MATCH(('Reg 85'!$I$6:$Q$6&amp;'Reg 85'!$M$10&amp;'Reg 85'!$B13),('DMR 001C TIN &amp; TP'!$E$3:$E$10005&amp;'DMR 001C TIN &amp; TP'!$B$3:$B$10005&amp;'DMR 001C TIN &amp; TP'!$A$3:$A$10005),0),MATCH('Reg 85'!$N$11,'DMR 001C TIN &amp; TP'!$A$2:$M$2,0))),"")</f>
        <v/>
      </c>
      <c r="O13" s="6" t="str">
        <f t="array" ref="O13">_xlfn.IFNA((INDEX('DMR 001C TIN &amp; TP'!$A$3:$M$10005,MATCH(('Reg 85'!$I$6:$Q$6&amp;'Reg 85'!$M$10&amp;'Reg 85'!$B13),('DMR 001C TIN &amp; TP'!$E$3:$E$10005&amp;'DMR 001C TIN &amp; TP'!$B$3:$B$10005&amp;'DMR 001C TIN &amp; TP'!$A$3:$A$10005),0),MATCH('Reg 85'!$O$11,'DMR 001C TIN &amp; TP'!$A$2:$M$2,0))),"")</f>
        <v/>
      </c>
      <c r="P13" s="53" t="str">
        <f t="shared" ref="P13:P76" si="9">IFERROR(IF(VALUE(O13)&lt;VALUE(N13),0,VALUE(O13)),"")</f>
        <v/>
      </c>
      <c r="Q13" s="73" t="str">
        <f t="array" ref="Q13">IFERROR(((L13*$F13)+(P13*$G13))/($H13),"")</f>
        <v/>
      </c>
      <c r="R13" s="6" t="str">
        <f t="array" ref="R13">_xlfn.IFNA((INDEX('DMR 001C TIN &amp; TP'!$A$3:$M$10005,MATCH(('Reg 85'!$I$6:$Q$6&amp;'Reg 85'!R$10&amp;'Reg 85'!$B13),('DMR 001C TIN &amp; TP'!$E$3:$E$10005&amp;'DMR 001C TIN &amp; TP'!$B$3:$B$10005&amp;'DMR 001C TIN &amp; TP'!$A$3:$A$10005),0),MATCH('Reg 85'!$O$11,'DMR 001C TIN &amp; TP'!$A$2:$M$2,0))),"")</f>
        <v/>
      </c>
      <c r="S13" s="6" t="str">
        <f t="array" ref="S13">_xlfn.IFNA((INDEX('DMR 001C TIN &amp; TP'!$A$3:$M$10005,MATCH(('Reg 85'!$I$6:$Q$6&amp;'Reg 85'!S$10&amp;'Reg 85'!$B13),('DMR 001C TIN &amp; TP'!$E$3:$E$10005&amp;'DMR 001C TIN &amp; TP'!$B$3:$B$10005&amp;'DMR 001C TIN &amp; TP'!$A$3:$A$10005),0),MATCH('Reg 85'!$O$11,'DMR 001C TIN &amp; TP'!$A$2:$M$2,0))),"")</f>
        <v/>
      </c>
      <c r="T13" s="6" t="str">
        <f t="array" ref="T13">_xlfn.IFNA((INDEX('DMR 001C TIN &amp; TP'!$A$3:$M$10005,MATCH(('Reg 85'!$I$6:$Q$6&amp;'Reg 85'!T$10&amp;'Reg 85'!$B13),('DMR 001C TIN &amp; TP'!$E$3:$E$10005&amp;'DMR 001C TIN &amp; TP'!$B$3:$B$10005&amp;'DMR 001C TIN &amp; TP'!$A$3:$A$10005),0),MATCH('Reg 85'!$O$11,'DMR 001C TIN &amp; TP'!$A$2:$M$2,0))),"")</f>
        <v/>
      </c>
      <c r="U13" s="6" t="str">
        <f t="array" ref="U13">_xlfn.IFNA((INDEX('DMR 001C TIN &amp; TP'!$A$3:$M$10005,MATCH(('Reg 85'!$I$6:$Q$6&amp;'Reg 85'!U$10&amp;'Reg 85'!$B13),('DMR 001C TIN &amp; TP'!$E$3:$E$10005&amp;'DMR 001C TIN &amp; TP'!$B$3:$B$10005&amp;'DMR 001C TIN &amp; TP'!$A$3:$A$10005),0),MATCH('Reg 85'!$O$11,'DMR 001C TIN &amp; TP'!$A$2:$M$2,0))),"")</f>
        <v/>
      </c>
      <c r="V13" s="6" t="str">
        <f t="array" ref="V13">_xlfn.IFNA((INDEX('DMR 001C TIN &amp; TP'!$A$3:$M$10005,MATCH(('Reg 85'!$I$6:$Q$6&amp;'Reg 85'!V$10&amp;'Reg 85'!$B13),('DMR 001C TIN &amp; TP'!$E$3:$E$10005&amp;'DMR 001C TIN &amp; TP'!$B$3:$B$10005&amp;'DMR 001C TIN &amp; TP'!$A$3:$A$10005),0),MATCH('Reg 85'!$O$11,'DMR 001C TIN &amp; TP'!$A$2:$M$2,0))),"")</f>
        <v/>
      </c>
      <c r="W13" s="6" t="str">
        <f t="array" ref="W13">_xlfn.IFNA((INDEX('DMR 001C TIN &amp; TP'!$A$3:$M$10005,MATCH(('Reg 85'!$I$6:$Q$6&amp;'Reg 85'!W$10&amp;'Reg 85'!$B13),('DMR 001C TIN &amp; TP'!$E$3:$E$10005&amp;'DMR 001C TIN &amp; TP'!$B$3:$B$10005&amp;'DMR 001C TIN &amp; TP'!$A$3:$A$10005),0),MATCH('Reg 85'!$O$11,'DMR 001C TIN &amp; TP'!$A$2:$M$2,0))),"")</f>
        <v/>
      </c>
      <c r="X13" s="5" t="str">
        <f t="shared" ref="X13:X76" si="10">IFERROR(IF(AA13&lt;VALUE(Y13),"&lt;",""),"")</f>
        <v/>
      </c>
      <c r="Y13" s="6" t="str">
        <f t="array" ref="Y13">_xlfn.IFNA((INDEX('DMR 001C TIN &amp; TP'!$A$3:$M$10005,MATCH(('Reg 85'!$X$6&amp;'Reg 85'!$X$10&amp;'Reg 85'!$B13),('DMR 001C TIN &amp; TP'!$E$3:$E$10005&amp;'DMR 001C TIN &amp; TP'!$B$3:$B$10005&amp;'DMR 001C TIN &amp; TP'!$A$3:$A$10005),0),MATCH('Reg 85'!$Y$11,'DMR 001C TIN &amp; TP'!$A$2:$M$2,0))),"")</f>
        <v/>
      </c>
      <c r="Z13" s="6" t="str">
        <f t="array" ref="Z13">_xlfn.IFNA((INDEX('DMR 001C TIN &amp; TP'!$A$3:$M$10005,MATCH(('Reg 85'!$X$6&amp;'Reg 85'!$X$10&amp;'Reg 85'!$B13),('DMR 001C TIN &amp; TP'!$E$3:$E$10005&amp;'DMR 001C TIN &amp; TP'!$B$3:$B$10005&amp;'DMR 001C TIN &amp; TP'!$A$3:$A$10005),0),MATCH('Reg 85'!$Z$11,'DMR 001C TIN &amp; TP'!$A$2:$M$2,0))),"")</f>
        <v/>
      </c>
      <c r="AA13" s="53" t="str">
        <f t="shared" ref="AA13:AA76" si="11">IFERROR(IF(VALUE(Z13)&lt;VALUE(Y13),0,VALUE(Z13)),"")</f>
        <v/>
      </c>
      <c r="AB13" s="5" t="str">
        <f t="shared" ref="AB13:AB76" si="12">IFERROR(IF(AE13&lt;VALUE(AC13),"&lt;",""),"")</f>
        <v/>
      </c>
      <c r="AC13" s="6" t="str">
        <f t="array" ref="AC13">_xlfn.IFNA((INDEX('DMR 001C TIN &amp; TP'!$A$3:$M$10005,MATCH(('Reg 85'!$X$6&amp;'Reg 85'!$AB$10&amp;'Reg 85'!$B13),('DMR 001C TIN &amp; TP'!$E$3:$E$10005&amp;'DMR 001C TIN &amp; TP'!$B$3:$B$10005&amp;'DMR 001C TIN &amp; TP'!$A$3:$A$10005),0),MATCH('Reg 85'!$AC$11,'DMR 001C TIN &amp; TP'!$A$2:$M$2,0))),"")</f>
        <v/>
      </c>
      <c r="AD13" s="6" t="str">
        <f t="array" ref="AD13">_xlfn.IFNA((INDEX('DMR 001C TIN &amp; TP'!$A$3:$M$10005,MATCH(('Reg 85'!$X$6&amp;'Reg 85'!$AB$10&amp;'Reg 85'!$B13),('DMR 001C TIN &amp; TP'!$E$3:$E$10005&amp;'DMR 001C TIN &amp; TP'!$B$3:$B$10005&amp;'DMR 001C TIN &amp; TP'!$A$3:$A$10005),0),MATCH('Reg 85'!$AD$11,'DMR 001C TIN &amp; TP'!$A$2:$M$2,0))),"")</f>
        <v/>
      </c>
      <c r="AE13" s="53" t="str">
        <f t="shared" ref="AE13:AE76" si="13">IFERROR(IF(VALUE(AD13)&lt;VALUE(AC13),0,VALUE(AD13)),"")</f>
        <v/>
      </c>
      <c r="AF13" s="7" t="str">
        <f t="shared" ref="AF13:AF76" si="14">IFERROR(((AA13*$F13)+(AE13*$G13))/($H13),"")</f>
        <v/>
      </c>
      <c r="AG13" s="6" t="str">
        <f t="array" ref="AG13">_xlfn.IFNA((INDEX('DMR 001C TIN &amp; TP'!$A$3:$M$10005,MATCH(('Reg 85'!$X$6&amp;'Reg 85'!AG$10&amp;'Reg 85'!$B13),('DMR 001C TIN &amp; TP'!$E$3:$E$10005&amp;'DMR 001C TIN &amp; TP'!$B$3:$B$10005&amp;'DMR 001C TIN &amp; TP'!$A$3:$A$10005),0),MATCH('Reg 85'!$AG$11,'DMR 001C TIN &amp; TP'!$A$2:$M$2,0))),"")</f>
        <v/>
      </c>
      <c r="AH13" s="6" t="str">
        <f t="array" ref="AH13">_xlfn.IFNA((INDEX('DMR 001C TIN &amp; TP'!$A$3:$M$10005,MATCH(('Reg 85'!$X$6&amp;'Reg 85'!AH$10&amp;'Reg 85'!$B13),('DMR 001C TIN &amp; TP'!$E$3:$E$10005&amp;'DMR 001C TIN &amp; TP'!$B$3:$B$10005&amp;'DMR 001C TIN &amp; TP'!$A$3:$A$10005),0),MATCH('Reg 85'!$AG$11,'DMR 001C TIN &amp; TP'!$A$2:$M$2,0))),"")</f>
        <v/>
      </c>
      <c r="AI13" s="6" t="str">
        <f t="array" ref="AI13">_xlfn.IFNA((INDEX('DMR 001C TIN &amp; TP'!$A$3:$M$10005,MATCH(('Reg 85'!$X$6&amp;'Reg 85'!AI$10&amp;'Reg 85'!$B13),('DMR 001C TIN &amp; TP'!$E$3:$E$10005&amp;'DMR 001C TIN &amp; TP'!$B$3:$B$10005&amp;'DMR 001C TIN &amp; TP'!$A$3:$A$10005),0),MATCH('Reg 85'!$AG$11,'DMR 001C TIN &amp; TP'!$A$2:$M$2,0))),"")</f>
        <v/>
      </c>
      <c r="AJ13" s="6" t="str">
        <f t="array" ref="AJ13">_xlfn.IFNA((INDEX('DMR 001C TIN &amp; TP'!$A$3:$M$10005,MATCH(('Reg 85'!$X$6&amp;'Reg 85'!AJ$10&amp;'Reg 85'!$B13),('DMR 001C TIN &amp; TP'!$E$3:$E$10005&amp;'DMR 001C TIN &amp; TP'!$B$3:$B$10005&amp;'DMR 001C TIN &amp; TP'!$A$3:$A$10005),0),MATCH('Reg 85'!$AG$11,'DMR 001C TIN &amp; TP'!$A$2:$M$2,0))),"")</f>
        <v/>
      </c>
      <c r="AK13" s="6" t="str">
        <f t="array" ref="AK13">_xlfn.IFNA((INDEX('DMR 001C TIN &amp; TP'!$A$3:$M$10005,MATCH(('Reg 85'!$X$6&amp;'Reg 85'!AK$10&amp;'Reg 85'!$B13),('DMR 001C TIN &amp; TP'!$E$3:$E$10005&amp;'DMR 001C TIN &amp; TP'!$B$3:$B$10005&amp;'DMR 001C TIN &amp; TP'!$A$3:$A$10005),0),MATCH('Reg 85'!$AG$11,'DMR 001C TIN &amp; TP'!$A$2:$M$2,0))),"")</f>
        <v/>
      </c>
      <c r="AL13" s="6" t="str">
        <f t="array" ref="AL13">_xlfn.IFNA((INDEX('DMR 001C TIN &amp; TP'!$A$3:$M$10005,MATCH(('Reg 85'!$X$6&amp;'Reg 85'!AL$10&amp;'Reg 85'!$B13),('DMR 001C TIN &amp; TP'!$E$3:$E$10005&amp;'DMR 001C TIN &amp; TP'!$B$3:$B$10005&amp;'DMR 001C TIN &amp; TP'!$A$3:$A$10005),0),MATCH('Reg 85'!$AG$11,'DMR 001C TIN &amp; TP'!$A$2:$M$2,0))),"")</f>
        <v/>
      </c>
      <c r="AM13" s="76"/>
      <c r="AN13" s="6"/>
      <c r="AO13" s="54" t="str">
        <f t="shared" si="0"/>
        <v/>
      </c>
      <c r="AP13" s="77" t="str">
        <f>IF(COUNT(IF((#REF!&lt;=C13)*(#REF!&gt;=D13)*(B13=EOMONTH(B13,0)),#REF!,""))=0,"",COUNT(IF((#REF!&lt;=C13)*(#REF!&gt;=D13)*(B13=EOMONTH(B13,0)),#REF!,"")))</f>
        <v/>
      </c>
      <c r="AQ13" s="47"/>
      <c r="AR13" s="6" t="str">
        <f t="array" ref="AR13">_xlfn.IFNA((INDEX('DMR 001C TIN &amp; TP'!$A$3:$M$10005,MATCH(('Reg 85'!$AQ$6&amp;'Reg 85'!$AQ$10&amp;'Reg 85'!$B13),('DMR 001C TIN &amp; TP'!$E$3:$E$10005&amp;'DMR 001C TIN &amp; TP'!$B$3:$B$10005&amp;'DMR 001C TIN &amp; TP'!$A$3:$A$10005),0),MATCH('Reg 85'!$AR$11,'DMR 001C TIN &amp; TP'!$A$2:$M$2,0))),"")</f>
        <v>0.03</v>
      </c>
      <c r="AS13" s="6">
        <f t="array" ref="AS13">_xlfn.IFNA((INDEX('DMR 001C TIN &amp; TP'!$A$3:$M$10005,MATCH(('Reg 85'!$AQ$6&amp;'Reg 85'!$AQ$10&amp;'Reg 85'!$B13),('DMR 001C TIN &amp; TP'!$E$3:$E$10005&amp;'DMR 001C TIN &amp; TP'!$B$3:$B$10005&amp;'DMR 001C TIN &amp; TP'!$A$3:$A$10005),0),MATCH('Reg 85'!$AS$11,'DMR 001C TIN &amp; TP'!$A$2:$M$2,0))),"")</f>
        <v>0.55000000000000004</v>
      </c>
      <c r="AT13" s="53">
        <f t="shared" ref="AT13:AT76" si="15">IFERROR(IF(VALUE(AS13)&lt;VALUE(AR13),0,VALUE(AS13)),"")</f>
        <v>0.55000000000000004</v>
      </c>
      <c r="AV13" s="6" t="str">
        <f t="array" ref="AV13">_xlfn.IFNA((INDEX('DMR 001C TIN &amp; TP'!$A$3:$M$10005,MATCH(('Reg 85'!$AQ$6&amp;'Reg 85'!$AU$10&amp;'Reg 85'!$B13),('DMR 001C TIN &amp; TP'!$E$3:$E$10005&amp;'DMR 001C TIN &amp; TP'!$B$3:$B$10005&amp;'DMR 001C TIN &amp; TP'!$A$3:$A$10005),0),MATCH('Reg 85'!$AV$11,'DMR 001C TIN &amp; TP'!$A$2:$M$2,0))),"")</f>
        <v>0.03</v>
      </c>
      <c r="AW13" s="6">
        <f t="array" ref="AW13">_xlfn.IFNA((INDEX('DMR 001C TIN &amp; TP'!$A$3:$M$10005,MATCH(('Reg 85'!$AQ$6&amp;'Reg 85'!$AU$10&amp;'Reg 85'!$B13),('DMR 001C TIN &amp; TP'!$E$3:$E$10005&amp;'DMR 001C TIN &amp; TP'!$B$3:$B$10005&amp;'DMR 001C TIN &amp; TP'!$A$3:$A$10005),0),MATCH('Reg 85'!$AW$11,'DMR 001C TIN &amp; TP'!$A$2:$M$2,0))),"")</f>
        <v>3.6</v>
      </c>
      <c r="AX13" s="53">
        <f t="shared" ref="AX13:AX76" si="16">IFERROR(IF(VALUE(AW13)&lt;VALUE(AV13),0,VALUE(AW13)),"")</f>
        <v>3.6</v>
      </c>
      <c r="AY13" s="55">
        <f t="shared" ref="AY13:AY76" si="17">IFERROR(((AT13*$F13)+(AX13*$G13))/($H13),"")</f>
        <v>2.261260139715255</v>
      </c>
      <c r="AZ13" s="77" t="str">
        <f t="shared" ref="AZ13" si="18">IF(COUNT(IF((#REF!&lt;=C13)*(#REF!&gt;=D13)*(B13=EOMONTH(B13,0)),#REF!,""))=0,"",COUNT(IF((#REF!&lt;=C13)*(#REF!&gt;=D13)*(B13=EOMONTH(B13,0)),#REF!,"")))</f>
        <v/>
      </c>
      <c r="BA13" s="6" t="str">
        <f t="array" ref="BA13">_xlfn.IFNA((INDEX('DMR 001C TIN &amp; TP'!$A$3:$M$10005,MATCH(('Reg 85'!$AQ$6&amp;'Reg 85'!BA$10&amp;'Reg 85'!$B13),('DMR 001C TIN &amp; TP'!$E$3:$E$10005&amp;'DMR 001C TIN &amp; TP'!$B$3:$B$10005&amp;'DMR 001C TIN &amp; TP'!$A$3:$A$10005),0),MATCH('Reg 85'!$AG$11,'DMR 001C TIN &amp; TP'!$A$2:$M$2,0))),"")</f>
        <v/>
      </c>
      <c r="BB13" s="6" t="str">
        <f t="array" ref="BB13">_xlfn.IFNA((INDEX('DMR 001C TIN &amp; TP'!$A$3:$M$10005,MATCH(('Reg 85'!$AQ$6&amp;'Reg 85'!BB$10&amp;'Reg 85'!$B13),('DMR 001C TIN &amp; TP'!$E$3:$E$10005&amp;'DMR 001C TIN &amp; TP'!$B$3:$B$10005&amp;'DMR 001C TIN &amp; TP'!$A$3:$A$10005),0),MATCH('Reg 85'!$AG$11,'DMR 001C TIN &amp; TP'!$A$2:$M$2,0))),"")</f>
        <v/>
      </c>
      <c r="BC13" s="6" t="str">
        <f t="array" ref="BC13">_xlfn.IFNA((INDEX('DMR 001C TIN &amp; TP'!$A$3:$M$10005,MATCH(('Reg 85'!$AQ$6&amp;'Reg 85'!BC$10&amp;'Reg 85'!$B13),('DMR 001C TIN &amp; TP'!$E$3:$E$10005&amp;'DMR 001C TIN &amp; TP'!$B$3:$B$10005&amp;'DMR 001C TIN &amp; TP'!$A$3:$A$10005),0),MATCH('Reg 85'!$AG$11,'DMR 001C TIN &amp; TP'!$A$2:$M$2,0))),"")</f>
        <v/>
      </c>
      <c r="BD13" s="6" t="str">
        <f t="array" ref="BD13">_xlfn.IFNA((INDEX('DMR 001C TIN &amp; TP'!$A$3:$M$10005,MATCH(('Reg 85'!$AQ$6&amp;'Reg 85'!BD$10&amp;'Reg 85'!$B13),('DMR 001C TIN &amp; TP'!$E$3:$E$10005&amp;'DMR 001C TIN &amp; TP'!$B$3:$B$10005&amp;'DMR 001C TIN &amp; TP'!$A$3:$A$10005),0),MATCH('Reg 85'!$AG$11,'DMR 001C TIN &amp; TP'!$A$2:$M$2,0))),"")</f>
        <v/>
      </c>
      <c r="BE13" s="6" t="str">
        <f t="array" ref="BE13">_xlfn.IFNA((INDEX('DMR 001C TIN &amp; TP'!$A$3:$M$10005,MATCH(('Reg 85'!$AQ$6&amp;'Reg 85'!BE$10&amp;'Reg 85'!$B13),('DMR 001C TIN &amp; TP'!$E$3:$E$10005&amp;'DMR 001C TIN &amp; TP'!$B$3:$B$10005&amp;'DMR 001C TIN &amp; TP'!$A$3:$A$10005),0),MATCH('Reg 85'!$AG$11,'DMR 001C TIN &amp; TP'!$A$2:$M$2,0))),"")</f>
        <v/>
      </c>
      <c r="BF13" s="6" t="str">
        <f t="array" ref="BF13">_xlfn.IFNA((INDEX('DMR 001C TIN &amp; TP'!$A$3:$M$10005,MATCH(('Reg 85'!$AQ$6&amp;'Reg 85'!BF$10&amp;'Reg 85'!$B13),('DMR 001C TIN &amp; TP'!$E$3:$E$10005&amp;'DMR 001C TIN &amp; TP'!$B$3:$B$10005&amp;'DMR 001C TIN &amp; TP'!$A$3:$A$10005),0),MATCH('Reg 85'!$AG$11,'DMR 001C TIN &amp; TP'!$A$2:$M$2,0))),"")</f>
        <v/>
      </c>
    </row>
    <row r="14" spans="1:58">
      <c r="A14" s="3" t="str">
        <f t="shared" si="2"/>
        <v>Mon</v>
      </c>
      <c r="B14" s="96">
        <f t="shared" ref="B14:B77" si="19">B13+1</f>
        <v>43346</v>
      </c>
      <c r="C14" s="96">
        <f t="shared" si="3"/>
        <v>43373</v>
      </c>
      <c r="D14" s="96">
        <f t="shared" si="4"/>
        <v>43344</v>
      </c>
      <c r="E14" s="95">
        <f>DAY(EOMONTH(B14,0))</f>
        <v>30</v>
      </c>
      <c r="F14" s="7">
        <f t="array" ref="F14">_xlfn.IFNA(INDEX('DMR Flows-Effluent'!$A$3:$F$9999,MATCH(($F$10&amp;$B14),('DMR Flows-Effluent'!$B$3:$B$9999&amp;'DMR Flows-Effluent'!$A$3:$A$9999),0),MATCH($F$8,'DMR Flows-Effluent'!$A$2:$F$2,0)),"")</f>
        <v>51.500300000000003</v>
      </c>
      <c r="G14" s="7">
        <f t="array" ref="G14">_xlfn.IFNA(INDEX('DMR Flows-Effluent'!$A$3:$F$9999,MATCH(($G$10&amp;$B14),('DMR Flows-Effluent'!$B$3:$B$9999&amp;'DMR Flows-Effluent'!$A$3:$A$9999),0),MATCH($F$8,'DMR Flows-Effluent'!$A$2:$F$2,0)),"")</f>
        <v>60.124099999999999</v>
      </c>
      <c r="H14" s="7">
        <f t="shared" si="6"/>
        <v>111.62440000000001</v>
      </c>
      <c r="I14" s="45" t="str">
        <f t="shared" si="7"/>
        <v/>
      </c>
      <c r="J14" s="6" t="str">
        <f t="array" ref="J14">_xlfn.IFNA((INDEX('DMR 001C TIN &amp; TP'!$A$3:$M$10005,MATCH(('Reg 85'!$I$6:$Q$6&amp;'Reg 85'!$I$10:$K$10&amp;'Reg 85'!$B14),('DMR 001C TIN &amp; TP'!$E$3:$E$10005&amp;'DMR 001C TIN &amp; TP'!$B$3:$B$10005&amp;'DMR 001C TIN &amp; TP'!$A$3:$A$10005),0),MATCH('Reg 85'!$J$11,'DMR 001C TIN &amp; TP'!$A$2:$M$2,0))),"")</f>
        <v>0.15</v>
      </c>
      <c r="K14" s="6">
        <f t="array" ref="K14">_xlfn.IFNA((INDEX('DMR 001C TIN &amp; TP'!$A$3:$M$10005,MATCH(('Reg 85'!$I$6:$Q$6&amp;'Reg 85'!$I$10:$K$10&amp;'Reg 85'!$B14),('DMR 001C TIN &amp; TP'!$E$3:$E$10005&amp;'DMR 001C TIN &amp; TP'!$B$3:$B$10005&amp;'DMR 001C TIN &amp; TP'!$A$3:$A$10005),0),MATCH('Reg 85'!$K$11,'DMR 001C TIN &amp; TP'!$A$2:$M$2,0))),"")</f>
        <v>1.18</v>
      </c>
      <c r="L14" s="53">
        <f>IFERROR(IF(VALUE(K14)&lt;VALUE(J14),0,VALUE(K14)),"")</f>
        <v>1.18</v>
      </c>
      <c r="M14" s="5" t="str">
        <f t="shared" si="8"/>
        <v/>
      </c>
      <c r="N14" s="6" t="str">
        <f t="array" ref="N14">_xlfn.IFNA((INDEX('DMR 001C TIN &amp; TP'!$A$3:$M$10005,MATCH(('Reg 85'!$I$6:$Q$6&amp;'Reg 85'!$M$10&amp;'Reg 85'!$B14),('DMR 001C TIN &amp; TP'!$E$3:$E$10005&amp;'DMR 001C TIN &amp; TP'!$B$3:$B$10005&amp;'DMR 001C TIN &amp; TP'!$A$3:$A$10005),0),MATCH('Reg 85'!$N$11,'DMR 001C TIN &amp; TP'!$A$2:$M$2,0))),"")</f>
        <v>0.15</v>
      </c>
      <c r="O14" s="6">
        <f t="array" ref="O14">_xlfn.IFNA((INDEX('DMR 001C TIN &amp; TP'!$A$3:$M$10005,MATCH(('Reg 85'!$I$6:$Q$6&amp;'Reg 85'!$M$10&amp;'Reg 85'!$B14),('DMR 001C TIN &amp; TP'!$E$3:$E$10005&amp;'DMR 001C TIN &amp; TP'!$B$3:$B$10005&amp;'DMR 001C TIN &amp; TP'!$A$3:$A$10005),0),MATCH('Reg 85'!$O$11,'DMR 001C TIN &amp; TP'!$A$2:$M$2,0))),"")</f>
        <v>0.2</v>
      </c>
      <c r="P14" s="53">
        <f t="shared" si="9"/>
        <v>0.2</v>
      </c>
      <c r="Q14" s="73">
        <f t="array" ref="Q14">IFERROR(((L14*$F14)+(P14*$G14))/($H14),"")</f>
        <v>0.65214392193821424</v>
      </c>
      <c r="R14" s="6" t="str">
        <f t="array" ref="R14">_xlfn.IFNA((INDEX('DMR 001C TIN &amp; TP'!$A$3:$M$10005,MATCH(('Reg 85'!$I$6:$Q$6&amp;'Reg 85'!R$10&amp;'Reg 85'!$B14),('DMR 001C TIN &amp; TP'!$E$3:$E$10005&amp;'DMR 001C TIN &amp; TP'!$B$3:$B$10005&amp;'DMR 001C TIN &amp; TP'!$A$3:$A$10005),0),MATCH('Reg 85'!$O$11,'DMR 001C TIN &amp; TP'!$A$2:$M$2,0))),"")</f>
        <v/>
      </c>
      <c r="S14" s="6" t="str">
        <f t="array" ref="S14">_xlfn.IFNA((INDEX('DMR 001C TIN &amp; TP'!$A$3:$M$10005,MATCH(('Reg 85'!$I$6:$Q$6&amp;'Reg 85'!S$10&amp;'Reg 85'!$B14),('DMR 001C TIN &amp; TP'!$E$3:$E$10005&amp;'DMR 001C TIN &amp; TP'!$B$3:$B$10005&amp;'DMR 001C TIN &amp; TP'!$A$3:$A$10005),0),MATCH('Reg 85'!$O$11,'DMR 001C TIN &amp; TP'!$A$2:$M$2,0))),"")</f>
        <v/>
      </c>
      <c r="T14" s="6" t="str">
        <f t="array" ref="T14">_xlfn.IFNA((INDEX('DMR 001C TIN &amp; TP'!$A$3:$M$10005,MATCH(('Reg 85'!$I$6:$Q$6&amp;'Reg 85'!T$10&amp;'Reg 85'!$B14),('DMR 001C TIN &amp; TP'!$E$3:$E$10005&amp;'DMR 001C TIN &amp; TP'!$B$3:$B$10005&amp;'DMR 001C TIN &amp; TP'!$A$3:$A$10005),0),MATCH('Reg 85'!$O$11,'DMR 001C TIN &amp; TP'!$A$2:$M$2,0))),"")</f>
        <v/>
      </c>
      <c r="U14" s="6" t="str">
        <f t="array" ref="U14">_xlfn.IFNA((INDEX('DMR 001C TIN &amp; TP'!$A$3:$M$10005,MATCH(('Reg 85'!$I$6:$Q$6&amp;'Reg 85'!U$10&amp;'Reg 85'!$B14),('DMR 001C TIN &amp; TP'!$E$3:$E$10005&amp;'DMR 001C TIN &amp; TP'!$B$3:$B$10005&amp;'DMR 001C TIN &amp; TP'!$A$3:$A$10005),0),MATCH('Reg 85'!$O$11,'DMR 001C TIN &amp; TP'!$A$2:$M$2,0))),"")</f>
        <v/>
      </c>
      <c r="V14" s="6" t="str">
        <f t="array" ref="V14">_xlfn.IFNA((INDEX('DMR 001C TIN &amp; TP'!$A$3:$M$10005,MATCH(('Reg 85'!$I$6:$Q$6&amp;'Reg 85'!V$10&amp;'Reg 85'!$B14),('DMR 001C TIN &amp; TP'!$E$3:$E$10005&amp;'DMR 001C TIN &amp; TP'!$B$3:$B$10005&amp;'DMR 001C TIN &amp; TP'!$A$3:$A$10005),0),MATCH('Reg 85'!$O$11,'DMR 001C TIN &amp; TP'!$A$2:$M$2,0))),"")</f>
        <v/>
      </c>
      <c r="W14" s="6" t="str">
        <f t="array" ref="W14">_xlfn.IFNA((INDEX('DMR 001C TIN &amp; TP'!$A$3:$M$10005,MATCH(('Reg 85'!$I$6:$Q$6&amp;'Reg 85'!W$10&amp;'Reg 85'!$B14),('DMR 001C TIN &amp; TP'!$E$3:$E$10005&amp;'DMR 001C TIN &amp; TP'!$B$3:$B$10005&amp;'DMR 001C TIN &amp; TP'!$A$3:$A$10005),0),MATCH('Reg 85'!$O$11,'DMR 001C TIN &amp; TP'!$A$2:$M$2,0))),"")</f>
        <v/>
      </c>
      <c r="X14" s="5" t="str">
        <f t="shared" si="10"/>
        <v/>
      </c>
      <c r="Y14" s="6" t="str">
        <f t="array" ref="Y14">_xlfn.IFNA((INDEX('DMR 001C TIN &amp; TP'!$A$3:$M$10005,MATCH(('Reg 85'!$X$6&amp;'Reg 85'!$X$10&amp;'Reg 85'!$B14),('DMR 001C TIN &amp; TP'!$E$3:$E$10005&amp;'DMR 001C TIN &amp; TP'!$B$3:$B$10005&amp;'DMR 001C TIN &amp; TP'!$A$3:$A$10005),0),MATCH('Reg 85'!$Y$11,'DMR 001C TIN &amp; TP'!$A$2:$M$2,0))),"")</f>
        <v>0.06</v>
      </c>
      <c r="Z14" s="6">
        <f t="array" ref="Z14">_xlfn.IFNA((INDEX('DMR 001C TIN &amp; TP'!$A$3:$M$10005,MATCH(('Reg 85'!$X$6&amp;'Reg 85'!$X$10&amp;'Reg 85'!$B14),('DMR 001C TIN &amp; TP'!$E$3:$E$10005&amp;'DMR 001C TIN &amp; TP'!$B$3:$B$10005&amp;'DMR 001C TIN &amp; TP'!$A$3:$A$10005),0),MATCH('Reg 85'!$Z$11,'DMR 001C TIN &amp; TP'!$A$2:$M$2,0))),"")</f>
        <v>5.57</v>
      </c>
      <c r="AA14" s="53">
        <f t="shared" si="11"/>
        <v>5.57</v>
      </c>
      <c r="AB14" s="5" t="str">
        <f t="shared" si="12"/>
        <v/>
      </c>
      <c r="AC14" s="6" t="str">
        <f t="array" ref="AC14">_xlfn.IFNA((INDEX('DMR 001C TIN &amp; TP'!$A$3:$M$10005,MATCH(('Reg 85'!$X$6&amp;'Reg 85'!$AB$10&amp;'Reg 85'!$B14),('DMR 001C TIN &amp; TP'!$E$3:$E$10005&amp;'DMR 001C TIN &amp; TP'!$B$3:$B$10005&amp;'DMR 001C TIN &amp; TP'!$A$3:$A$10005),0),MATCH('Reg 85'!$AC$11,'DMR 001C TIN &amp; TP'!$A$2:$M$2,0))),"")</f>
        <v>0.06</v>
      </c>
      <c r="AD14" s="6">
        <f t="array" ref="AD14">_xlfn.IFNA((INDEX('DMR 001C TIN &amp; TP'!$A$3:$M$10005,MATCH(('Reg 85'!$X$6&amp;'Reg 85'!$AB$10&amp;'Reg 85'!$B14),('DMR 001C TIN &amp; TP'!$E$3:$E$10005&amp;'DMR 001C TIN &amp; TP'!$B$3:$B$10005&amp;'DMR 001C TIN &amp; TP'!$A$3:$A$10005),0),MATCH('Reg 85'!$AD$11,'DMR 001C TIN &amp; TP'!$A$2:$M$2,0))),"")</f>
        <v>6.12</v>
      </c>
      <c r="AE14" s="53">
        <f t="shared" si="13"/>
        <v>6.12</v>
      </c>
      <c r="AF14" s="7">
        <f t="shared" si="14"/>
        <v>5.8662457580958991</v>
      </c>
      <c r="AG14" s="6" t="str">
        <f t="array" ref="AG14">_xlfn.IFNA((INDEX('DMR 001C TIN &amp; TP'!$A$3:$M$10005,MATCH(('Reg 85'!$X$6&amp;'Reg 85'!AG$10&amp;'Reg 85'!$B14),('DMR 001C TIN &amp; TP'!$E$3:$E$10005&amp;'DMR 001C TIN &amp; TP'!$B$3:$B$10005&amp;'DMR 001C TIN &amp; TP'!$A$3:$A$10005),0),MATCH('Reg 85'!$AG$11,'DMR 001C TIN &amp; TP'!$A$2:$M$2,0))),"")</f>
        <v/>
      </c>
      <c r="AH14" s="6" t="str">
        <f t="array" ref="AH14">_xlfn.IFNA((INDEX('DMR 001C TIN &amp; TP'!$A$3:$M$10005,MATCH(('Reg 85'!$X$6&amp;'Reg 85'!AH$10&amp;'Reg 85'!$B14),('DMR 001C TIN &amp; TP'!$E$3:$E$10005&amp;'DMR 001C TIN &amp; TP'!$B$3:$B$10005&amp;'DMR 001C TIN &amp; TP'!$A$3:$A$10005),0),MATCH('Reg 85'!$AG$11,'DMR 001C TIN &amp; TP'!$A$2:$M$2,0))),"")</f>
        <v/>
      </c>
      <c r="AI14" s="6" t="str">
        <f t="array" ref="AI14">_xlfn.IFNA((INDEX('DMR 001C TIN &amp; TP'!$A$3:$M$10005,MATCH(('Reg 85'!$X$6&amp;'Reg 85'!AI$10&amp;'Reg 85'!$B14),('DMR 001C TIN &amp; TP'!$E$3:$E$10005&amp;'DMR 001C TIN &amp; TP'!$B$3:$B$10005&amp;'DMR 001C TIN &amp; TP'!$A$3:$A$10005),0),MATCH('Reg 85'!$AG$11,'DMR 001C TIN &amp; TP'!$A$2:$M$2,0))),"")</f>
        <v/>
      </c>
      <c r="AJ14" s="6" t="str">
        <f t="array" ref="AJ14">_xlfn.IFNA((INDEX('DMR 001C TIN &amp; TP'!$A$3:$M$10005,MATCH(('Reg 85'!$X$6&amp;'Reg 85'!AJ$10&amp;'Reg 85'!$B14),('DMR 001C TIN &amp; TP'!$E$3:$E$10005&amp;'DMR 001C TIN &amp; TP'!$B$3:$B$10005&amp;'DMR 001C TIN &amp; TP'!$A$3:$A$10005),0),MATCH('Reg 85'!$AG$11,'DMR 001C TIN &amp; TP'!$A$2:$M$2,0))),"")</f>
        <v/>
      </c>
      <c r="AK14" s="6" t="str">
        <f t="array" ref="AK14">_xlfn.IFNA((INDEX('DMR 001C TIN &amp; TP'!$A$3:$M$10005,MATCH(('Reg 85'!$X$6&amp;'Reg 85'!AK$10&amp;'Reg 85'!$B14),('DMR 001C TIN &amp; TP'!$E$3:$E$10005&amp;'DMR 001C TIN &amp; TP'!$B$3:$B$10005&amp;'DMR 001C TIN &amp; TP'!$A$3:$A$10005),0),MATCH('Reg 85'!$AG$11,'DMR 001C TIN &amp; TP'!$A$2:$M$2,0))),"")</f>
        <v/>
      </c>
      <c r="AL14" s="6" t="str">
        <f t="array" ref="AL14">_xlfn.IFNA((INDEX('DMR 001C TIN &amp; TP'!$A$3:$M$10005,MATCH(('Reg 85'!$X$6&amp;'Reg 85'!AL$10&amp;'Reg 85'!$B14),('DMR 001C TIN &amp; TP'!$E$3:$E$10005&amp;'DMR 001C TIN &amp; TP'!$B$3:$B$10005&amp;'DMR 001C TIN &amp; TP'!$A$3:$A$10005),0),MATCH('Reg 85'!$AG$11,'DMR 001C TIN &amp; TP'!$A$2:$M$2,0))),"")</f>
        <v/>
      </c>
      <c r="AM14" s="76"/>
      <c r="AN14" s="6"/>
      <c r="AO14" s="54">
        <f t="shared" si="0"/>
        <v>6.5183896800341135</v>
      </c>
      <c r="AP14" s="77" t="str">
        <f>IF(COUNT(IF((#REF!&lt;=C14)*(#REF!&gt;=D14)*(B14=EOMONTH(B14,0)),#REF!,""))=0,"",COUNT(IF((#REF!&lt;=C14)*(#REF!&gt;=D14)*(B14=EOMONTH(B14,0)),#REF!,"")))</f>
        <v/>
      </c>
      <c r="AQ14" s="47"/>
      <c r="AR14" s="6" t="str">
        <f t="array" ref="AR14">_xlfn.IFNA((INDEX('DMR 001C TIN &amp; TP'!$A$3:$M$10005,MATCH(('Reg 85'!$AQ$6&amp;'Reg 85'!$AQ$10&amp;'Reg 85'!$B14),('DMR 001C TIN &amp; TP'!$E$3:$E$10005&amp;'DMR 001C TIN &amp; TP'!$B$3:$B$10005&amp;'DMR 001C TIN &amp; TP'!$A$3:$A$10005),0),MATCH('Reg 85'!$AR$11,'DMR 001C TIN &amp; TP'!$A$2:$M$2,0))),"")</f>
        <v/>
      </c>
      <c r="AS14" s="6" t="str">
        <f t="array" ref="AS14">_xlfn.IFNA((INDEX('DMR 001C TIN &amp; TP'!$A$3:$M$10005,MATCH(('Reg 85'!$AQ$6&amp;'Reg 85'!$AQ$10&amp;'Reg 85'!$B14),('DMR 001C TIN &amp; TP'!$E$3:$E$10005&amp;'DMR 001C TIN &amp; TP'!$B$3:$B$10005&amp;'DMR 001C TIN &amp; TP'!$A$3:$A$10005),0),MATCH('Reg 85'!$AS$11,'DMR 001C TIN &amp; TP'!$A$2:$M$2,0))),"")</f>
        <v/>
      </c>
      <c r="AT14" s="53" t="str">
        <f t="shared" si="15"/>
        <v/>
      </c>
      <c r="AV14" s="6" t="str">
        <f t="array" ref="AV14">_xlfn.IFNA((INDEX('DMR 001C TIN &amp; TP'!$A$3:$M$10005,MATCH(('Reg 85'!$AQ$6&amp;'Reg 85'!$AU$10&amp;'Reg 85'!$B14),('DMR 001C TIN &amp; TP'!$E$3:$E$10005&amp;'DMR 001C TIN &amp; TP'!$B$3:$B$10005&amp;'DMR 001C TIN &amp; TP'!$A$3:$A$10005),0),MATCH('Reg 85'!$AV$11,'DMR 001C TIN &amp; TP'!$A$2:$M$2,0))),"")</f>
        <v/>
      </c>
      <c r="AW14" s="6" t="str">
        <f t="array" ref="AW14">_xlfn.IFNA((INDEX('DMR 001C TIN &amp; TP'!$A$3:$M$10005,MATCH(('Reg 85'!$AQ$6&amp;'Reg 85'!$AU$10&amp;'Reg 85'!$B14),('DMR 001C TIN &amp; TP'!$E$3:$E$10005&amp;'DMR 001C TIN &amp; TP'!$B$3:$B$10005&amp;'DMR 001C TIN &amp; TP'!$A$3:$A$10005),0),MATCH('Reg 85'!$AW$11,'DMR 001C TIN &amp; TP'!$A$2:$M$2,0))),"")</f>
        <v/>
      </c>
      <c r="AX14" s="53" t="str">
        <f t="shared" si="16"/>
        <v/>
      </c>
      <c r="AY14" s="55" t="str">
        <f t="shared" si="17"/>
        <v/>
      </c>
      <c r="AZ14" s="77" t="str">
        <f t="shared" ref="AZ14" si="20">IF(COUNT(IF((#REF!&lt;=C14)*(#REF!&gt;=D14)*(B14=EOMONTH(B14,0)),#REF!,""))=0,"",COUNT(IF((#REF!&lt;=C14)*(#REF!&gt;=D14)*(B14=EOMONTH(B14,0)),#REF!,"")))</f>
        <v/>
      </c>
      <c r="BA14" s="6" t="str">
        <f t="array" ref="BA14">_xlfn.IFNA((INDEX('DMR 001C TIN &amp; TP'!$A$3:$M$10005,MATCH(('Reg 85'!$AQ$6&amp;'Reg 85'!BA$10&amp;'Reg 85'!$B14),('DMR 001C TIN &amp; TP'!$E$3:$E$10005&amp;'DMR 001C TIN &amp; TP'!$B$3:$B$10005&amp;'DMR 001C TIN &amp; TP'!$A$3:$A$10005),0),MATCH('Reg 85'!$AG$11,'DMR 001C TIN &amp; TP'!$A$2:$M$2,0))),"")</f>
        <v/>
      </c>
      <c r="BB14" s="6" t="str">
        <f t="array" ref="BB14">_xlfn.IFNA((INDEX('DMR 001C TIN &amp; TP'!$A$3:$M$10005,MATCH(('Reg 85'!$AQ$6&amp;'Reg 85'!BB$10&amp;'Reg 85'!$B14),('DMR 001C TIN &amp; TP'!$E$3:$E$10005&amp;'DMR 001C TIN &amp; TP'!$B$3:$B$10005&amp;'DMR 001C TIN &amp; TP'!$A$3:$A$10005),0),MATCH('Reg 85'!$AG$11,'DMR 001C TIN &amp; TP'!$A$2:$M$2,0))),"")</f>
        <v/>
      </c>
      <c r="BC14" s="6" t="str">
        <f t="array" ref="BC14">_xlfn.IFNA((INDEX('DMR 001C TIN &amp; TP'!$A$3:$M$10005,MATCH(('Reg 85'!$AQ$6&amp;'Reg 85'!BC$10&amp;'Reg 85'!$B14),('DMR 001C TIN &amp; TP'!$E$3:$E$10005&amp;'DMR 001C TIN &amp; TP'!$B$3:$B$10005&amp;'DMR 001C TIN &amp; TP'!$A$3:$A$10005),0),MATCH('Reg 85'!$AG$11,'DMR 001C TIN &amp; TP'!$A$2:$M$2,0))),"")</f>
        <v/>
      </c>
      <c r="BD14" s="6" t="str">
        <f t="array" ref="BD14">_xlfn.IFNA((INDEX('DMR 001C TIN &amp; TP'!$A$3:$M$10005,MATCH(('Reg 85'!$AQ$6&amp;'Reg 85'!BD$10&amp;'Reg 85'!$B14),('DMR 001C TIN &amp; TP'!$E$3:$E$10005&amp;'DMR 001C TIN &amp; TP'!$B$3:$B$10005&amp;'DMR 001C TIN &amp; TP'!$A$3:$A$10005),0),MATCH('Reg 85'!$AG$11,'DMR 001C TIN &amp; TP'!$A$2:$M$2,0))),"")</f>
        <v/>
      </c>
      <c r="BE14" s="6" t="str">
        <f t="array" ref="BE14">_xlfn.IFNA((INDEX('DMR 001C TIN &amp; TP'!$A$3:$M$10005,MATCH(('Reg 85'!$AQ$6&amp;'Reg 85'!BE$10&amp;'Reg 85'!$B14),('DMR 001C TIN &amp; TP'!$E$3:$E$10005&amp;'DMR 001C TIN &amp; TP'!$B$3:$B$10005&amp;'DMR 001C TIN &amp; TP'!$A$3:$A$10005),0),MATCH('Reg 85'!$AG$11,'DMR 001C TIN &amp; TP'!$A$2:$M$2,0))),"")</f>
        <v/>
      </c>
      <c r="BF14" s="6" t="str">
        <f t="array" ref="BF14">_xlfn.IFNA((INDEX('DMR 001C TIN &amp; TP'!$A$3:$M$10005,MATCH(('Reg 85'!$AQ$6&amp;'Reg 85'!BF$10&amp;'Reg 85'!$B14),('DMR 001C TIN &amp; TP'!$E$3:$E$10005&amp;'DMR 001C TIN &amp; TP'!$B$3:$B$10005&amp;'DMR 001C TIN &amp; TP'!$A$3:$A$10005),0),MATCH('Reg 85'!$AG$11,'DMR 001C TIN &amp; TP'!$A$2:$M$2,0))),"")</f>
        <v/>
      </c>
    </row>
    <row r="15" spans="1:58">
      <c r="A15" s="3" t="str">
        <f t="shared" si="2"/>
        <v>Tue</v>
      </c>
      <c r="B15" s="96">
        <f t="shared" si="19"/>
        <v>43347</v>
      </c>
      <c r="C15" s="96">
        <f t="shared" si="3"/>
        <v>43373</v>
      </c>
      <c r="D15" s="96">
        <f t="shared" si="4"/>
        <v>43344</v>
      </c>
      <c r="E15" s="95">
        <f t="shared" si="5"/>
        <v>30</v>
      </c>
      <c r="F15" s="7">
        <f t="array" ref="F15">_xlfn.IFNA(INDEX('DMR Flows-Effluent'!$A$3:$F$9999,MATCH(($F$10&amp;$B15),('DMR Flows-Effluent'!$B$3:$B$9999&amp;'DMR Flows-Effluent'!$A$3:$A$9999),0),MATCH($F$8,'DMR Flows-Effluent'!$A$2:$F$2,0)),"")</f>
        <v>45.305100000000003</v>
      </c>
      <c r="G15" s="7">
        <f t="array" ref="G15">_xlfn.IFNA(INDEX('DMR Flows-Effluent'!$A$3:$F$9999,MATCH(($G$10&amp;$B15),('DMR Flows-Effluent'!$B$3:$B$9999&amp;'DMR Flows-Effluent'!$A$3:$A$9999),0),MATCH($F$8,'DMR Flows-Effluent'!$A$2:$F$2,0)),"")</f>
        <v>68.316699999999997</v>
      </c>
      <c r="H15" s="7">
        <f t="shared" si="6"/>
        <v>113.62180000000001</v>
      </c>
      <c r="I15" s="45" t="str">
        <f t="shared" si="7"/>
        <v/>
      </c>
      <c r="J15" s="6" t="str">
        <f t="array" ref="J15">_xlfn.IFNA((INDEX('DMR 001C TIN &amp; TP'!$A$3:$M$10005,MATCH(('Reg 85'!$I$6:$Q$6&amp;'Reg 85'!$I$10:$K$10&amp;'Reg 85'!$B15),('DMR 001C TIN &amp; TP'!$E$3:$E$10005&amp;'DMR 001C TIN &amp; TP'!$B$3:$B$10005&amp;'DMR 001C TIN &amp; TP'!$A$3:$A$10005),0),MATCH('Reg 85'!$J$11,'DMR 001C TIN &amp; TP'!$A$2:$M$2,0))),"")</f>
        <v>0.15</v>
      </c>
      <c r="K15" s="6">
        <f t="array" ref="K15">_xlfn.IFNA((INDEX('DMR 001C TIN &amp; TP'!$A$3:$M$10005,MATCH(('Reg 85'!$I$6:$Q$6&amp;'Reg 85'!$I$10:$K$10&amp;'Reg 85'!$B15),('DMR 001C TIN &amp; TP'!$E$3:$E$10005&amp;'DMR 001C TIN &amp; TP'!$B$3:$B$10005&amp;'DMR 001C TIN &amp; TP'!$A$3:$A$10005),0),MATCH('Reg 85'!$K$11,'DMR 001C TIN &amp; TP'!$A$2:$M$2,0))),"")</f>
        <v>0.25</v>
      </c>
      <c r="L15" s="53">
        <f t="shared" ref="L15:L78" si="21">IFERROR(IF(VALUE(K15)&lt;VALUE(J15),0,VALUE(K15)),"")</f>
        <v>0.25</v>
      </c>
      <c r="M15" s="5" t="str">
        <f t="shared" si="8"/>
        <v/>
      </c>
      <c r="N15" s="6" t="str">
        <f t="array" ref="N15">_xlfn.IFNA((INDEX('DMR 001C TIN &amp; TP'!$A$3:$M$10005,MATCH(('Reg 85'!$I$6:$Q$6&amp;'Reg 85'!$M$10&amp;'Reg 85'!$B15),('DMR 001C TIN &amp; TP'!$E$3:$E$10005&amp;'DMR 001C TIN &amp; TP'!$B$3:$B$10005&amp;'DMR 001C TIN &amp; TP'!$A$3:$A$10005),0),MATCH('Reg 85'!$N$11,'DMR 001C TIN &amp; TP'!$A$2:$M$2,0))),"")</f>
        <v>0.15</v>
      </c>
      <c r="O15" s="6">
        <f t="array" ref="O15">_xlfn.IFNA((INDEX('DMR 001C TIN &amp; TP'!$A$3:$M$10005,MATCH(('Reg 85'!$I$6:$Q$6&amp;'Reg 85'!$M$10&amp;'Reg 85'!$B15),('DMR 001C TIN &amp; TP'!$E$3:$E$10005&amp;'DMR 001C TIN &amp; TP'!$B$3:$B$10005&amp;'DMR 001C TIN &amp; TP'!$A$3:$A$10005),0),MATCH('Reg 85'!$O$11,'DMR 001C TIN &amp; TP'!$A$2:$M$2,0))),"")</f>
        <v>0.34</v>
      </c>
      <c r="P15" s="53">
        <f t="shared" si="9"/>
        <v>0.34</v>
      </c>
      <c r="Q15" s="73">
        <f t="array" ref="Q15">IFERROR(((L15*$F15)+(P15*$G15))/($H15),"")</f>
        <v>0.30411376161968917</v>
      </c>
      <c r="R15" s="6" t="str">
        <f t="array" ref="R15">_xlfn.IFNA((INDEX('DMR 001C TIN &amp; TP'!$A$3:$M$10005,MATCH(('Reg 85'!$I$6:$Q$6&amp;'Reg 85'!R$10&amp;'Reg 85'!$B15),('DMR 001C TIN &amp; TP'!$E$3:$E$10005&amp;'DMR 001C TIN &amp; TP'!$B$3:$B$10005&amp;'DMR 001C TIN &amp; TP'!$A$3:$A$10005),0),MATCH('Reg 85'!$O$11,'DMR 001C TIN &amp; TP'!$A$2:$M$2,0))),"")</f>
        <v/>
      </c>
      <c r="S15" s="6" t="str">
        <f t="array" ref="S15">_xlfn.IFNA((INDEX('DMR 001C TIN &amp; TP'!$A$3:$M$10005,MATCH(('Reg 85'!$I$6:$Q$6&amp;'Reg 85'!S$10&amp;'Reg 85'!$B15),('DMR 001C TIN &amp; TP'!$E$3:$E$10005&amp;'DMR 001C TIN &amp; TP'!$B$3:$B$10005&amp;'DMR 001C TIN &amp; TP'!$A$3:$A$10005),0),MATCH('Reg 85'!$O$11,'DMR 001C TIN &amp; TP'!$A$2:$M$2,0))),"")</f>
        <v/>
      </c>
      <c r="T15" s="6" t="str">
        <f t="array" ref="T15">_xlfn.IFNA((INDEX('DMR 001C TIN &amp; TP'!$A$3:$M$10005,MATCH(('Reg 85'!$I$6:$Q$6&amp;'Reg 85'!T$10&amp;'Reg 85'!$B15),('DMR 001C TIN &amp; TP'!$E$3:$E$10005&amp;'DMR 001C TIN &amp; TP'!$B$3:$B$10005&amp;'DMR 001C TIN &amp; TP'!$A$3:$A$10005),0),MATCH('Reg 85'!$O$11,'DMR 001C TIN &amp; TP'!$A$2:$M$2,0))),"")</f>
        <v/>
      </c>
      <c r="U15" s="6" t="str">
        <f t="array" ref="U15">_xlfn.IFNA((INDEX('DMR 001C TIN &amp; TP'!$A$3:$M$10005,MATCH(('Reg 85'!$I$6:$Q$6&amp;'Reg 85'!U$10&amp;'Reg 85'!$B15),('DMR 001C TIN &amp; TP'!$E$3:$E$10005&amp;'DMR 001C TIN &amp; TP'!$B$3:$B$10005&amp;'DMR 001C TIN &amp; TP'!$A$3:$A$10005),0),MATCH('Reg 85'!$O$11,'DMR 001C TIN &amp; TP'!$A$2:$M$2,0))),"")</f>
        <v/>
      </c>
      <c r="V15" s="6" t="str">
        <f t="array" ref="V15">_xlfn.IFNA((INDEX('DMR 001C TIN &amp; TP'!$A$3:$M$10005,MATCH(('Reg 85'!$I$6:$Q$6&amp;'Reg 85'!V$10&amp;'Reg 85'!$B15),('DMR 001C TIN &amp; TP'!$E$3:$E$10005&amp;'DMR 001C TIN &amp; TP'!$B$3:$B$10005&amp;'DMR 001C TIN &amp; TP'!$A$3:$A$10005),0),MATCH('Reg 85'!$O$11,'DMR 001C TIN &amp; TP'!$A$2:$M$2,0))),"")</f>
        <v/>
      </c>
      <c r="W15" s="6" t="str">
        <f t="array" ref="W15">_xlfn.IFNA((INDEX('DMR 001C TIN &amp; TP'!$A$3:$M$10005,MATCH(('Reg 85'!$I$6:$Q$6&amp;'Reg 85'!W$10&amp;'Reg 85'!$B15),('DMR 001C TIN &amp; TP'!$E$3:$E$10005&amp;'DMR 001C TIN &amp; TP'!$B$3:$B$10005&amp;'DMR 001C TIN &amp; TP'!$A$3:$A$10005),0),MATCH('Reg 85'!$O$11,'DMR 001C TIN &amp; TP'!$A$2:$M$2,0))),"")</f>
        <v/>
      </c>
      <c r="X15" s="5" t="str">
        <f t="shared" si="10"/>
        <v/>
      </c>
      <c r="Y15" s="6" t="str">
        <f t="array" ref="Y15">_xlfn.IFNA((INDEX('DMR 001C TIN &amp; TP'!$A$3:$M$10005,MATCH(('Reg 85'!$X$6&amp;'Reg 85'!$X$10&amp;'Reg 85'!$B15),('DMR 001C TIN &amp; TP'!$E$3:$E$10005&amp;'DMR 001C TIN &amp; TP'!$B$3:$B$10005&amp;'DMR 001C TIN &amp; TP'!$A$3:$A$10005),0),MATCH('Reg 85'!$Y$11,'DMR 001C TIN &amp; TP'!$A$2:$M$2,0))),"")</f>
        <v>0.18</v>
      </c>
      <c r="Z15" s="6">
        <f t="array" ref="Z15">_xlfn.IFNA((INDEX('DMR 001C TIN &amp; TP'!$A$3:$M$10005,MATCH(('Reg 85'!$X$6&amp;'Reg 85'!$X$10&amp;'Reg 85'!$B15),('DMR 001C TIN &amp; TP'!$E$3:$E$10005&amp;'DMR 001C TIN &amp; TP'!$B$3:$B$10005&amp;'DMR 001C TIN &amp; TP'!$A$3:$A$10005),0),MATCH('Reg 85'!$Z$11,'DMR 001C TIN &amp; TP'!$A$2:$M$2,0))),"")</f>
        <v>4.59</v>
      </c>
      <c r="AA15" s="53">
        <f t="shared" si="11"/>
        <v>4.59</v>
      </c>
      <c r="AB15" s="5" t="str">
        <f t="shared" si="12"/>
        <v/>
      </c>
      <c r="AC15" s="6" t="str">
        <f t="array" ref="AC15">_xlfn.IFNA((INDEX('DMR 001C TIN &amp; TP'!$A$3:$M$10005,MATCH(('Reg 85'!$X$6&amp;'Reg 85'!$AB$10&amp;'Reg 85'!$B15),('DMR 001C TIN &amp; TP'!$E$3:$E$10005&amp;'DMR 001C TIN &amp; TP'!$B$3:$B$10005&amp;'DMR 001C TIN &amp; TP'!$A$3:$A$10005),0),MATCH('Reg 85'!$AC$11,'DMR 001C TIN &amp; TP'!$A$2:$M$2,0))),"")</f>
        <v>0.06</v>
      </c>
      <c r="AD15" s="6">
        <f t="array" ref="AD15">_xlfn.IFNA((INDEX('DMR 001C TIN &amp; TP'!$A$3:$M$10005,MATCH(('Reg 85'!$X$6&amp;'Reg 85'!$AB$10&amp;'Reg 85'!$B15),('DMR 001C TIN &amp; TP'!$E$3:$E$10005&amp;'DMR 001C TIN &amp; TP'!$B$3:$B$10005&amp;'DMR 001C TIN &amp; TP'!$A$3:$A$10005),0),MATCH('Reg 85'!$AD$11,'DMR 001C TIN &amp; TP'!$A$2:$M$2,0))),"")</f>
        <v>5.18</v>
      </c>
      <c r="AE15" s="53">
        <f t="shared" si="13"/>
        <v>5.18</v>
      </c>
      <c r="AF15" s="7">
        <f t="shared" si="14"/>
        <v>4.9447457706179625</v>
      </c>
      <c r="AG15" s="6" t="str">
        <f t="array" ref="AG15">_xlfn.IFNA((INDEX('DMR 001C TIN &amp; TP'!$A$3:$M$10005,MATCH(('Reg 85'!$X$6&amp;'Reg 85'!AG$10&amp;'Reg 85'!$B15),('DMR 001C TIN &amp; TP'!$E$3:$E$10005&amp;'DMR 001C TIN &amp; TP'!$B$3:$B$10005&amp;'DMR 001C TIN &amp; TP'!$A$3:$A$10005),0),MATCH('Reg 85'!$AG$11,'DMR 001C TIN &amp; TP'!$A$2:$M$2,0))),"")</f>
        <v/>
      </c>
      <c r="AH15" s="6" t="str">
        <f t="array" ref="AH15">_xlfn.IFNA((INDEX('DMR 001C TIN &amp; TP'!$A$3:$M$10005,MATCH(('Reg 85'!$X$6&amp;'Reg 85'!AH$10&amp;'Reg 85'!$B15),('DMR 001C TIN &amp; TP'!$E$3:$E$10005&amp;'DMR 001C TIN &amp; TP'!$B$3:$B$10005&amp;'DMR 001C TIN &amp; TP'!$A$3:$A$10005),0),MATCH('Reg 85'!$AG$11,'DMR 001C TIN &amp; TP'!$A$2:$M$2,0))),"")</f>
        <v/>
      </c>
      <c r="AI15" s="6" t="str">
        <f t="array" ref="AI15">_xlfn.IFNA((INDEX('DMR 001C TIN &amp; TP'!$A$3:$M$10005,MATCH(('Reg 85'!$X$6&amp;'Reg 85'!AI$10&amp;'Reg 85'!$B15),('DMR 001C TIN &amp; TP'!$E$3:$E$10005&amp;'DMR 001C TIN &amp; TP'!$B$3:$B$10005&amp;'DMR 001C TIN &amp; TP'!$A$3:$A$10005),0),MATCH('Reg 85'!$AG$11,'DMR 001C TIN &amp; TP'!$A$2:$M$2,0))),"")</f>
        <v/>
      </c>
      <c r="AJ15" s="6" t="str">
        <f t="array" ref="AJ15">_xlfn.IFNA((INDEX('DMR 001C TIN &amp; TP'!$A$3:$M$10005,MATCH(('Reg 85'!$X$6&amp;'Reg 85'!AJ$10&amp;'Reg 85'!$B15),('DMR 001C TIN &amp; TP'!$E$3:$E$10005&amp;'DMR 001C TIN &amp; TP'!$B$3:$B$10005&amp;'DMR 001C TIN &amp; TP'!$A$3:$A$10005),0),MATCH('Reg 85'!$AG$11,'DMR 001C TIN &amp; TP'!$A$2:$M$2,0))),"")</f>
        <v/>
      </c>
      <c r="AK15" s="6" t="str">
        <f t="array" ref="AK15">_xlfn.IFNA((INDEX('DMR 001C TIN &amp; TP'!$A$3:$M$10005,MATCH(('Reg 85'!$X$6&amp;'Reg 85'!AK$10&amp;'Reg 85'!$B15),('DMR 001C TIN &amp; TP'!$E$3:$E$10005&amp;'DMR 001C TIN &amp; TP'!$B$3:$B$10005&amp;'DMR 001C TIN &amp; TP'!$A$3:$A$10005),0),MATCH('Reg 85'!$AG$11,'DMR 001C TIN &amp; TP'!$A$2:$M$2,0))),"")</f>
        <v/>
      </c>
      <c r="AL15" s="6" t="str">
        <f t="array" ref="AL15">_xlfn.IFNA((INDEX('DMR 001C TIN &amp; TP'!$A$3:$M$10005,MATCH(('Reg 85'!$X$6&amp;'Reg 85'!AL$10&amp;'Reg 85'!$B15),('DMR 001C TIN &amp; TP'!$E$3:$E$10005&amp;'DMR 001C TIN &amp; TP'!$B$3:$B$10005&amp;'DMR 001C TIN &amp; TP'!$A$3:$A$10005),0),MATCH('Reg 85'!$AG$11,'DMR 001C TIN &amp; TP'!$A$2:$M$2,0))),"")</f>
        <v/>
      </c>
      <c r="AM15" s="76"/>
      <c r="AN15" s="6"/>
      <c r="AO15" s="54">
        <f t="shared" si="0"/>
        <v>5.2488595322376517</v>
      </c>
      <c r="AP15" s="77" t="str">
        <f>IF(COUNT(IF((#REF!&lt;=C15)*(#REF!&gt;=D15)*(B15=EOMONTH(B15,0)),#REF!,""))=0,"",COUNT(IF((#REF!&lt;=C15)*(#REF!&gt;=D15)*(B15=EOMONTH(B15,0)),#REF!,"")))</f>
        <v/>
      </c>
      <c r="AQ15" s="47"/>
      <c r="AR15" s="6" t="str">
        <f t="array" ref="AR15">_xlfn.IFNA((INDEX('DMR 001C TIN &amp; TP'!$A$3:$M$10005,MATCH(('Reg 85'!$AQ$6&amp;'Reg 85'!$AQ$10&amp;'Reg 85'!$B15),('DMR 001C TIN &amp; TP'!$E$3:$E$10005&amp;'DMR 001C TIN &amp; TP'!$B$3:$B$10005&amp;'DMR 001C TIN &amp; TP'!$A$3:$A$10005),0),MATCH('Reg 85'!$AR$11,'DMR 001C TIN &amp; TP'!$A$2:$M$2,0))),"")</f>
        <v/>
      </c>
      <c r="AS15" s="6" t="str">
        <f t="array" ref="AS15">_xlfn.IFNA((INDEX('DMR 001C TIN &amp; TP'!$A$3:$M$10005,MATCH(('Reg 85'!$AQ$6&amp;'Reg 85'!$AQ$10&amp;'Reg 85'!$B15),('DMR 001C TIN &amp; TP'!$E$3:$E$10005&amp;'DMR 001C TIN &amp; TP'!$B$3:$B$10005&amp;'DMR 001C TIN &amp; TP'!$A$3:$A$10005),0),MATCH('Reg 85'!$AS$11,'DMR 001C TIN &amp; TP'!$A$2:$M$2,0))),"")</f>
        <v/>
      </c>
      <c r="AT15" s="53" t="str">
        <f t="shared" si="15"/>
        <v/>
      </c>
      <c r="AV15" s="6" t="str">
        <f t="array" ref="AV15">_xlfn.IFNA((INDEX('DMR 001C TIN &amp; TP'!$A$3:$M$10005,MATCH(('Reg 85'!$AQ$6&amp;'Reg 85'!$AU$10&amp;'Reg 85'!$B15),('DMR 001C TIN &amp; TP'!$E$3:$E$10005&amp;'DMR 001C TIN &amp; TP'!$B$3:$B$10005&amp;'DMR 001C TIN &amp; TP'!$A$3:$A$10005),0),MATCH('Reg 85'!$AV$11,'DMR 001C TIN &amp; TP'!$A$2:$M$2,0))),"")</f>
        <v/>
      </c>
      <c r="AW15" s="6" t="str">
        <f t="array" ref="AW15">_xlfn.IFNA((INDEX('DMR 001C TIN &amp; TP'!$A$3:$M$10005,MATCH(('Reg 85'!$AQ$6&amp;'Reg 85'!$AU$10&amp;'Reg 85'!$B15),('DMR 001C TIN &amp; TP'!$E$3:$E$10005&amp;'DMR 001C TIN &amp; TP'!$B$3:$B$10005&amp;'DMR 001C TIN &amp; TP'!$A$3:$A$10005),0),MATCH('Reg 85'!$AW$11,'DMR 001C TIN &amp; TP'!$A$2:$M$2,0))),"")</f>
        <v/>
      </c>
      <c r="AX15" s="53" t="str">
        <f t="shared" si="16"/>
        <v/>
      </c>
      <c r="AY15" s="55" t="str">
        <f t="shared" si="17"/>
        <v/>
      </c>
      <c r="AZ15" s="77" t="str">
        <f t="shared" ref="AZ15" si="22">IF(COUNT(IF((#REF!&lt;=C15)*(#REF!&gt;=D15)*(B15=EOMONTH(B15,0)),#REF!,""))=0,"",COUNT(IF((#REF!&lt;=C15)*(#REF!&gt;=D15)*(B15=EOMONTH(B15,0)),#REF!,"")))</f>
        <v/>
      </c>
      <c r="BA15" s="6" t="str">
        <f t="array" ref="BA15">_xlfn.IFNA((INDEX('DMR 001C TIN &amp; TP'!$A$3:$M$10005,MATCH(('Reg 85'!$AQ$6&amp;'Reg 85'!BA$10&amp;'Reg 85'!$B15),('DMR 001C TIN &amp; TP'!$E$3:$E$10005&amp;'DMR 001C TIN &amp; TP'!$B$3:$B$10005&amp;'DMR 001C TIN &amp; TP'!$A$3:$A$10005),0),MATCH('Reg 85'!$AG$11,'DMR 001C TIN &amp; TP'!$A$2:$M$2,0))),"")</f>
        <v/>
      </c>
      <c r="BB15" s="6" t="str">
        <f t="array" ref="BB15">_xlfn.IFNA((INDEX('DMR 001C TIN &amp; TP'!$A$3:$M$10005,MATCH(('Reg 85'!$AQ$6&amp;'Reg 85'!BB$10&amp;'Reg 85'!$B15),('DMR 001C TIN &amp; TP'!$E$3:$E$10005&amp;'DMR 001C TIN &amp; TP'!$B$3:$B$10005&amp;'DMR 001C TIN &amp; TP'!$A$3:$A$10005),0),MATCH('Reg 85'!$AG$11,'DMR 001C TIN &amp; TP'!$A$2:$M$2,0))),"")</f>
        <v/>
      </c>
      <c r="BC15" s="6" t="str">
        <f t="array" ref="BC15">_xlfn.IFNA((INDEX('DMR 001C TIN &amp; TP'!$A$3:$M$10005,MATCH(('Reg 85'!$AQ$6&amp;'Reg 85'!BC$10&amp;'Reg 85'!$B15),('DMR 001C TIN &amp; TP'!$E$3:$E$10005&amp;'DMR 001C TIN &amp; TP'!$B$3:$B$10005&amp;'DMR 001C TIN &amp; TP'!$A$3:$A$10005),0),MATCH('Reg 85'!$AG$11,'DMR 001C TIN &amp; TP'!$A$2:$M$2,0))),"")</f>
        <v/>
      </c>
      <c r="BD15" s="6" t="str">
        <f t="array" ref="BD15">_xlfn.IFNA((INDEX('DMR 001C TIN &amp; TP'!$A$3:$M$10005,MATCH(('Reg 85'!$AQ$6&amp;'Reg 85'!BD$10&amp;'Reg 85'!$B15),('DMR 001C TIN &amp; TP'!$E$3:$E$10005&amp;'DMR 001C TIN &amp; TP'!$B$3:$B$10005&amp;'DMR 001C TIN &amp; TP'!$A$3:$A$10005),0),MATCH('Reg 85'!$AG$11,'DMR 001C TIN &amp; TP'!$A$2:$M$2,0))),"")</f>
        <v/>
      </c>
      <c r="BE15" s="6" t="str">
        <f t="array" ref="BE15">_xlfn.IFNA((INDEX('DMR 001C TIN &amp; TP'!$A$3:$M$10005,MATCH(('Reg 85'!$AQ$6&amp;'Reg 85'!BE$10&amp;'Reg 85'!$B15),('DMR 001C TIN &amp; TP'!$E$3:$E$10005&amp;'DMR 001C TIN &amp; TP'!$B$3:$B$10005&amp;'DMR 001C TIN &amp; TP'!$A$3:$A$10005),0),MATCH('Reg 85'!$AG$11,'DMR 001C TIN &amp; TP'!$A$2:$M$2,0))),"")</f>
        <v/>
      </c>
      <c r="BF15" s="6" t="str">
        <f t="array" ref="BF15">_xlfn.IFNA((INDEX('DMR 001C TIN &amp; TP'!$A$3:$M$10005,MATCH(('Reg 85'!$AQ$6&amp;'Reg 85'!BF$10&amp;'Reg 85'!$B15),('DMR 001C TIN &amp; TP'!$E$3:$E$10005&amp;'DMR 001C TIN &amp; TP'!$B$3:$B$10005&amp;'DMR 001C TIN &amp; TP'!$A$3:$A$10005),0),MATCH('Reg 85'!$AG$11,'DMR 001C TIN &amp; TP'!$A$2:$M$2,0))),"")</f>
        <v/>
      </c>
    </row>
    <row r="16" spans="1:58">
      <c r="A16" s="3" t="str">
        <f t="shared" si="2"/>
        <v>Wed</v>
      </c>
      <c r="B16" s="96">
        <f t="shared" si="19"/>
        <v>43348</v>
      </c>
      <c r="C16" s="96">
        <f t="shared" si="3"/>
        <v>43373</v>
      </c>
      <c r="D16" s="96">
        <f t="shared" si="4"/>
        <v>43344</v>
      </c>
      <c r="E16" s="95">
        <f t="shared" si="5"/>
        <v>30</v>
      </c>
      <c r="F16" s="7">
        <f t="array" ref="F16">_xlfn.IFNA(INDEX('DMR Flows-Effluent'!$A$3:$F$9999,MATCH(($F$10&amp;$B16),('DMR Flows-Effluent'!$B$3:$B$9999&amp;'DMR Flows-Effluent'!$A$3:$A$9999),0),MATCH($F$8,'DMR Flows-Effluent'!$A$2:$F$2,0)),"")</f>
        <v>60.033000000000001</v>
      </c>
      <c r="G16" s="7">
        <f t="array" ref="G16">_xlfn.IFNA(INDEX('DMR Flows-Effluent'!$A$3:$F$9999,MATCH(($G$10&amp;$B16),('DMR Flows-Effluent'!$B$3:$B$9999&amp;'DMR Flows-Effluent'!$A$3:$A$9999),0),MATCH($F$8,'DMR Flows-Effluent'!$A$2:$F$2,0)),"")</f>
        <v>76.200199999999995</v>
      </c>
      <c r="H16" s="7">
        <f t="shared" si="6"/>
        <v>136.23320000000001</v>
      </c>
      <c r="I16" s="45" t="str">
        <f t="shared" si="7"/>
        <v/>
      </c>
      <c r="J16" s="6" t="str">
        <f t="array" ref="J16">_xlfn.IFNA((INDEX('DMR 001C TIN &amp; TP'!$A$3:$M$10005,MATCH(('Reg 85'!$I$6:$Q$6&amp;'Reg 85'!$I$10:$K$10&amp;'Reg 85'!$B16),('DMR 001C TIN &amp; TP'!$E$3:$E$10005&amp;'DMR 001C TIN &amp; TP'!$B$3:$B$10005&amp;'DMR 001C TIN &amp; TP'!$A$3:$A$10005),0),MATCH('Reg 85'!$J$11,'DMR 001C TIN &amp; TP'!$A$2:$M$2,0))),"")</f>
        <v>0.15</v>
      </c>
      <c r="K16" s="6">
        <f t="array" ref="K16">_xlfn.IFNA((INDEX('DMR 001C TIN &amp; TP'!$A$3:$M$10005,MATCH(('Reg 85'!$I$6:$Q$6&amp;'Reg 85'!$I$10:$K$10&amp;'Reg 85'!$B16),('DMR 001C TIN &amp; TP'!$E$3:$E$10005&amp;'DMR 001C TIN &amp; TP'!$B$3:$B$10005&amp;'DMR 001C TIN &amp; TP'!$A$3:$A$10005),0),MATCH('Reg 85'!$K$11,'DMR 001C TIN &amp; TP'!$A$2:$M$2,0))),"")</f>
        <v>0.62</v>
      </c>
      <c r="L16" s="53">
        <f t="shared" si="21"/>
        <v>0.62</v>
      </c>
      <c r="M16" s="5" t="str">
        <f>IFERROR(IF(P16&lt;VALUE(N16),"&lt;",""),"")</f>
        <v/>
      </c>
      <c r="N16" s="6" t="str">
        <f t="array" ref="N16">_xlfn.IFNA((INDEX('DMR 001C TIN &amp; TP'!$A$3:$M$10005,MATCH(('Reg 85'!$I$6:$Q$6&amp;'Reg 85'!$M$10&amp;'Reg 85'!$B16),('DMR 001C TIN &amp; TP'!$E$3:$E$10005&amp;'DMR 001C TIN &amp; TP'!$B$3:$B$10005&amp;'DMR 001C TIN &amp; TP'!$A$3:$A$10005),0),MATCH('Reg 85'!$N$11,'DMR 001C TIN &amp; TP'!$A$2:$M$2,0))),"")</f>
        <v>0.15</v>
      </c>
      <c r="O16" s="6">
        <f t="array" ref="O16">_xlfn.IFNA((INDEX('DMR 001C TIN &amp; TP'!$A$3:$M$10005,MATCH(('Reg 85'!$I$6:$Q$6&amp;'Reg 85'!$M$10&amp;'Reg 85'!$B16),('DMR 001C TIN &amp; TP'!$E$3:$E$10005&amp;'DMR 001C TIN &amp; TP'!$B$3:$B$10005&amp;'DMR 001C TIN &amp; TP'!$A$3:$A$10005),0),MATCH('Reg 85'!$O$11,'DMR 001C TIN &amp; TP'!$A$2:$M$2,0))),"")</f>
        <v>0.38</v>
      </c>
      <c r="P16" s="53">
        <f t="shared" si="9"/>
        <v>0.38</v>
      </c>
      <c r="Q16" s="73">
        <f t="array" ref="Q16">IFERROR(((L16*$F16)+(P16*$G16))/($H16),"")</f>
        <v>0.48575924224051109</v>
      </c>
      <c r="R16" s="6" t="str">
        <f t="array" ref="R16">_xlfn.IFNA((INDEX('DMR 001C TIN &amp; TP'!$A$3:$M$10005,MATCH(('Reg 85'!$I$6:$Q$6&amp;'Reg 85'!R$10&amp;'Reg 85'!$B16),('DMR 001C TIN &amp; TP'!$E$3:$E$10005&amp;'DMR 001C TIN &amp; TP'!$B$3:$B$10005&amp;'DMR 001C TIN &amp; TP'!$A$3:$A$10005),0),MATCH('Reg 85'!$O$11,'DMR 001C TIN &amp; TP'!$A$2:$M$2,0))),"")</f>
        <v/>
      </c>
      <c r="S16" s="6" t="str">
        <f t="array" ref="S16">_xlfn.IFNA((INDEX('DMR 001C TIN &amp; TP'!$A$3:$M$10005,MATCH(('Reg 85'!$I$6:$Q$6&amp;'Reg 85'!S$10&amp;'Reg 85'!$B16),('DMR 001C TIN &amp; TP'!$E$3:$E$10005&amp;'DMR 001C TIN &amp; TP'!$B$3:$B$10005&amp;'DMR 001C TIN &amp; TP'!$A$3:$A$10005),0),MATCH('Reg 85'!$O$11,'DMR 001C TIN &amp; TP'!$A$2:$M$2,0))),"")</f>
        <v/>
      </c>
      <c r="T16" s="6" t="str">
        <f t="array" ref="T16">_xlfn.IFNA((INDEX('DMR 001C TIN &amp; TP'!$A$3:$M$10005,MATCH(('Reg 85'!$I$6:$Q$6&amp;'Reg 85'!T$10&amp;'Reg 85'!$B16),('DMR 001C TIN &amp; TP'!$E$3:$E$10005&amp;'DMR 001C TIN &amp; TP'!$B$3:$B$10005&amp;'DMR 001C TIN &amp; TP'!$A$3:$A$10005),0),MATCH('Reg 85'!$O$11,'DMR 001C TIN &amp; TP'!$A$2:$M$2,0))),"")</f>
        <v/>
      </c>
      <c r="U16" s="6" t="str">
        <f t="array" ref="U16">_xlfn.IFNA((INDEX('DMR 001C TIN &amp; TP'!$A$3:$M$10005,MATCH(('Reg 85'!$I$6:$Q$6&amp;'Reg 85'!U$10&amp;'Reg 85'!$B16),('DMR 001C TIN &amp; TP'!$E$3:$E$10005&amp;'DMR 001C TIN &amp; TP'!$B$3:$B$10005&amp;'DMR 001C TIN &amp; TP'!$A$3:$A$10005),0),MATCH('Reg 85'!$O$11,'DMR 001C TIN &amp; TP'!$A$2:$M$2,0))),"")</f>
        <v/>
      </c>
      <c r="V16" s="6" t="str">
        <f t="array" ref="V16">_xlfn.IFNA((INDEX('DMR 001C TIN &amp; TP'!$A$3:$M$10005,MATCH(('Reg 85'!$I$6:$Q$6&amp;'Reg 85'!V$10&amp;'Reg 85'!$B16),('DMR 001C TIN &amp; TP'!$E$3:$E$10005&amp;'DMR 001C TIN &amp; TP'!$B$3:$B$10005&amp;'DMR 001C TIN &amp; TP'!$A$3:$A$10005),0),MATCH('Reg 85'!$O$11,'DMR 001C TIN &amp; TP'!$A$2:$M$2,0))),"")</f>
        <v/>
      </c>
      <c r="W16" s="6" t="str">
        <f t="array" ref="W16">_xlfn.IFNA((INDEX('DMR 001C TIN &amp; TP'!$A$3:$M$10005,MATCH(('Reg 85'!$I$6:$Q$6&amp;'Reg 85'!W$10&amp;'Reg 85'!$B16),('DMR 001C TIN &amp; TP'!$E$3:$E$10005&amp;'DMR 001C TIN &amp; TP'!$B$3:$B$10005&amp;'DMR 001C TIN &amp; TP'!$A$3:$A$10005),0),MATCH('Reg 85'!$O$11,'DMR 001C TIN &amp; TP'!$A$2:$M$2,0))),"")</f>
        <v/>
      </c>
      <c r="X16" s="5" t="str">
        <f t="shared" si="10"/>
        <v/>
      </c>
      <c r="Y16" s="6" t="str">
        <f t="array" ref="Y16">_xlfn.IFNA((INDEX('DMR 001C TIN &amp; TP'!$A$3:$M$10005,MATCH(('Reg 85'!$X$6&amp;'Reg 85'!$X$10&amp;'Reg 85'!$B16),('DMR 001C TIN &amp; TP'!$E$3:$E$10005&amp;'DMR 001C TIN &amp; TP'!$B$3:$B$10005&amp;'DMR 001C TIN &amp; TP'!$A$3:$A$10005),0),MATCH('Reg 85'!$Y$11,'DMR 001C TIN &amp; TP'!$A$2:$M$2,0))),"")</f>
        <v>0.18</v>
      </c>
      <c r="Z16" s="6">
        <f t="array" ref="Z16">_xlfn.IFNA((INDEX('DMR 001C TIN &amp; TP'!$A$3:$M$10005,MATCH(('Reg 85'!$X$6&amp;'Reg 85'!$X$10&amp;'Reg 85'!$B16),('DMR 001C TIN &amp; TP'!$E$3:$E$10005&amp;'DMR 001C TIN &amp; TP'!$B$3:$B$10005&amp;'DMR 001C TIN &amp; TP'!$A$3:$A$10005),0),MATCH('Reg 85'!$Z$11,'DMR 001C TIN &amp; TP'!$A$2:$M$2,0))),"")</f>
        <v>4.4400000000000004</v>
      </c>
      <c r="AA16" s="53">
        <f t="shared" si="11"/>
        <v>4.4400000000000004</v>
      </c>
      <c r="AB16" s="5" t="str">
        <f t="shared" si="12"/>
        <v/>
      </c>
      <c r="AC16" s="6" t="str">
        <f t="array" ref="AC16">_xlfn.IFNA((INDEX('DMR 001C TIN &amp; TP'!$A$3:$M$10005,MATCH(('Reg 85'!$X$6&amp;'Reg 85'!$AB$10&amp;'Reg 85'!$B16),('DMR 001C TIN &amp; TP'!$E$3:$E$10005&amp;'DMR 001C TIN &amp; TP'!$B$3:$B$10005&amp;'DMR 001C TIN &amp; TP'!$A$3:$A$10005),0),MATCH('Reg 85'!$AC$11,'DMR 001C TIN &amp; TP'!$A$2:$M$2,0))),"")</f>
        <v>0.06</v>
      </c>
      <c r="AD16" s="6">
        <f t="array" ref="AD16">_xlfn.IFNA((INDEX('DMR 001C TIN &amp; TP'!$A$3:$M$10005,MATCH(('Reg 85'!$X$6&amp;'Reg 85'!$AB$10&amp;'Reg 85'!$B16),('DMR 001C TIN &amp; TP'!$E$3:$E$10005&amp;'DMR 001C TIN &amp; TP'!$B$3:$B$10005&amp;'DMR 001C TIN &amp; TP'!$A$3:$A$10005),0),MATCH('Reg 85'!$AD$11,'DMR 001C TIN &amp; TP'!$A$2:$M$2,0))),"")</f>
        <v>5.01</v>
      </c>
      <c r="AE16" s="53">
        <f t="shared" si="13"/>
        <v>5.01</v>
      </c>
      <c r="AF16" s="7">
        <f t="shared" si="14"/>
        <v>4.7588217996787856</v>
      </c>
      <c r="AG16" s="6" t="str">
        <f t="array" ref="AG16">_xlfn.IFNA((INDEX('DMR 001C TIN &amp; TP'!$A$3:$M$10005,MATCH(('Reg 85'!$X$6&amp;'Reg 85'!AG$10&amp;'Reg 85'!$B16),('DMR 001C TIN &amp; TP'!$E$3:$E$10005&amp;'DMR 001C TIN &amp; TP'!$B$3:$B$10005&amp;'DMR 001C TIN &amp; TP'!$A$3:$A$10005),0),MATCH('Reg 85'!$AG$11,'DMR 001C TIN &amp; TP'!$A$2:$M$2,0))),"")</f>
        <v/>
      </c>
      <c r="AH16" s="6" t="str">
        <f t="array" ref="AH16">_xlfn.IFNA((INDEX('DMR 001C TIN &amp; TP'!$A$3:$M$10005,MATCH(('Reg 85'!$X$6&amp;'Reg 85'!AH$10&amp;'Reg 85'!$B16),('DMR 001C TIN &amp; TP'!$E$3:$E$10005&amp;'DMR 001C TIN &amp; TP'!$B$3:$B$10005&amp;'DMR 001C TIN &amp; TP'!$A$3:$A$10005),0),MATCH('Reg 85'!$AG$11,'DMR 001C TIN &amp; TP'!$A$2:$M$2,0))),"")</f>
        <v/>
      </c>
      <c r="AI16" s="6" t="str">
        <f t="array" ref="AI16">_xlfn.IFNA((INDEX('DMR 001C TIN &amp; TP'!$A$3:$M$10005,MATCH(('Reg 85'!$X$6&amp;'Reg 85'!AI$10&amp;'Reg 85'!$B16),('DMR 001C TIN &amp; TP'!$E$3:$E$10005&amp;'DMR 001C TIN &amp; TP'!$B$3:$B$10005&amp;'DMR 001C TIN &amp; TP'!$A$3:$A$10005),0),MATCH('Reg 85'!$AG$11,'DMR 001C TIN &amp; TP'!$A$2:$M$2,0))),"")</f>
        <v/>
      </c>
      <c r="AJ16" s="6" t="str">
        <f t="array" ref="AJ16">_xlfn.IFNA((INDEX('DMR 001C TIN &amp; TP'!$A$3:$M$10005,MATCH(('Reg 85'!$X$6&amp;'Reg 85'!AJ$10&amp;'Reg 85'!$B16),('DMR 001C TIN &amp; TP'!$E$3:$E$10005&amp;'DMR 001C TIN &amp; TP'!$B$3:$B$10005&amp;'DMR 001C TIN &amp; TP'!$A$3:$A$10005),0),MATCH('Reg 85'!$AG$11,'DMR 001C TIN &amp; TP'!$A$2:$M$2,0))),"")</f>
        <v/>
      </c>
      <c r="AK16" s="6" t="str">
        <f t="array" ref="AK16">_xlfn.IFNA((INDEX('DMR 001C TIN &amp; TP'!$A$3:$M$10005,MATCH(('Reg 85'!$X$6&amp;'Reg 85'!AK$10&amp;'Reg 85'!$B16),('DMR 001C TIN &amp; TP'!$E$3:$E$10005&amp;'DMR 001C TIN &amp; TP'!$B$3:$B$10005&amp;'DMR 001C TIN &amp; TP'!$A$3:$A$10005),0),MATCH('Reg 85'!$AG$11,'DMR 001C TIN &amp; TP'!$A$2:$M$2,0))),"")</f>
        <v/>
      </c>
      <c r="AL16" s="6" t="str">
        <f t="array" ref="AL16">_xlfn.IFNA((INDEX('DMR 001C TIN &amp; TP'!$A$3:$M$10005,MATCH(('Reg 85'!$X$6&amp;'Reg 85'!AL$10&amp;'Reg 85'!$B16),('DMR 001C TIN &amp; TP'!$E$3:$E$10005&amp;'DMR 001C TIN &amp; TP'!$B$3:$B$10005&amp;'DMR 001C TIN &amp; TP'!$A$3:$A$10005),0),MATCH('Reg 85'!$AG$11,'DMR 001C TIN &amp; TP'!$A$2:$M$2,0))),"")</f>
        <v/>
      </c>
      <c r="AM16" s="76"/>
      <c r="AN16" s="6"/>
      <c r="AO16" s="54">
        <f t="shared" si="0"/>
        <v>5.2445810419192966</v>
      </c>
      <c r="AP16" s="77" t="str">
        <f>IF(COUNT(IF((#REF!&lt;=C16)*(#REF!&gt;=D16)*(B16=EOMONTH(B16,0)),#REF!,""))=0,"",COUNT(IF((#REF!&lt;=C16)*(#REF!&gt;=D16)*(B16=EOMONTH(B16,0)),#REF!,"")))</f>
        <v/>
      </c>
      <c r="AQ16" s="47"/>
      <c r="AR16" s="6" t="str">
        <f t="array" ref="AR16">_xlfn.IFNA((INDEX('DMR 001C TIN &amp; TP'!$A$3:$M$10005,MATCH(('Reg 85'!$AQ$6&amp;'Reg 85'!$AQ$10&amp;'Reg 85'!$B16),('DMR 001C TIN &amp; TP'!$E$3:$E$10005&amp;'DMR 001C TIN &amp; TP'!$B$3:$B$10005&amp;'DMR 001C TIN &amp; TP'!$A$3:$A$10005),0),MATCH('Reg 85'!$AR$11,'DMR 001C TIN &amp; TP'!$A$2:$M$2,0))),"")</f>
        <v/>
      </c>
      <c r="AS16" s="6" t="str">
        <f t="array" ref="AS16">_xlfn.IFNA((INDEX('DMR 001C TIN &amp; TP'!$A$3:$M$10005,MATCH(('Reg 85'!$AQ$6&amp;'Reg 85'!$AQ$10&amp;'Reg 85'!$B16),('DMR 001C TIN &amp; TP'!$E$3:$E$10005&amp;'DMR 001C TIN &amp; TP'!$B$3:$B$10005&amp;'DMR 001C TIN &amp; TP'!$A$3:$A$10005),0),MATCH('Reg 85'!$AS$11,'DMR 001C TIN &amp; TP'!$A$2:$M$2,0))),"")</f>
        <v/>
      </c>
      <c r="AT16" s="53" t="str">
        <f t="shared" si="15"/>
        <v/>
      </c>
      <c r="AV16" s="6" t="str">
        <f t="array" ref="AV16">_xlfn.IFNA((INDEX('DMR 001C TIN &amp; TP'!$A$3:$M$10005,MATCH(('Reg 85'!$AQ$6&amp;'Reg 85'!$AU$10&amp;'Reg 85'!$B16),('DMR 001C TIN &amp; TP'!$E$3:$E$10005&amp;'DMR 001C TIN &amp; TP'!$B$3:$B$10005&amp;'DMR 001C TIN &amp; TP'!$A$3:$A$10005),0),MATCH('Reg 85'!$AV$11,'DMR 001C TIN &amp; TP'!$A$2:$M$2,0))),"")</f>
        <v/>
      </c>
      <c r="AW16" s="6" t="str">
        <f t="array" ref="AW16">_xlfn.IFNA((INDEX('DMR 001C TIN &amp; TP'!$A$3:$M$10005,MATCH(('Reg 85'!$AQ$6&amp;'Reg 85'!$AU$10&amp;'Reg 85'!$B16),('DMR 001C TIN &amp; TP'!$E$3:$E$10005&amp;'DMR 001C TIN &amp; TP'!$B$3:$B$10005&amp;'DMR 001C TIN &amp; TP'!$A$3:$A$10005),0),MATCH('Reg 85'!$AW$11,'DMR 001C TIN &amp; TP'!$A$2:$M$2,0))),"")</f>
        <v/>
      </c>
      <c r="AX16" s="53" t="str">
        <f t="shared" si="16"/>
        <v/>
      </c>
      <c r="AY16" s="55" t="str">
        <f t="shared" si="17"/>
        <v/>
      </c>
      <c r="AZ16" s="77" t="str">
        <f t="shared" ref="AZ16" si="23">IF(COUNT(IF((#REF!&lt;=C16)*(#REF!&gt;=D16)*(B16=EOMONTH(B16,0)),#REF!,""))=0,"",COUNT(IF((#REF!&lt;=C16)*(#REF!&gt;=D16)*(B16=EOMONTH(B16,0)),#REF!,"")))</f>
        <v/>
      </c>
      <c r="BA16" s="6" t="str">
        <f t="array" ref="BA16">_xlfn.IFNA((INDEX('DMR 001C TIN &amp; TP'!$A$3:$M$10005,MATCH(('Reg 85'!$AQ$6&amp;'Reg 85'!BA$10&amp;'Reg 85'!$B16),('DMR 001C TIN &amp; TP'!$E$3:$E$10005&amp;'DMR 001C TIN &amp; TP'!$B$3:$B$10005&amp;'DMR 001C TIN &amp; TP'!$A$3:$A$10005),0),MATCH('Reg 85'!$AG$11,'DMR 001C TIN &amp; TP'!$A$2:$M$2,0))),"")</f>
        <v/>
      </c>
      <c r="BB16" s="6" t="str">
        <f t="array" ref="BB16">_xlfn.IFNA((INDEX('DMR 001C TIN &amp; TP'!$A$3:$M$10005,MATCH(('Reg 85'!$AQ$6&amp;'Reg 85'!BB$10&amp;'Reg 85'!$B16),('DMR 001C TIN &amp; TP'!$E$3:$E$10005&amp;'DMR 001C TIN &amp; TP'!$B$3:$B$10005&amp;'DMR 001C TIN &amp; TP'!$A$3:$A$10005),0),MATCH('Reg 85'!$AG$11,'DMR 001C TIN &amp; TP'!$A$2:$M$2,0))),"")</f>
        <v/>
      </c>
      <c r="BC16" s="6" t="str">
        <f t="array" ref="BC16">_xlfn.IFNA((INDEX('DMR 001C TIN &amp; TP'!$A$3:$M$10005,MATCH(('Reg 85'!$AQ$6&amp;'Reg 85'!BC$10&amp;'Reg 85'!$B16),('DMR 001C TIN &amp; TP'!$E$3:$E$10005&amp;'DMR 001C TIN &amp; TP'!$B$3:$B$10005&amp;'DMR 001C TIN &amp; TP'!$A$3:$A$10005),0),MATCH('Reg 85'!$AG$11,'DMR 001C TIN &amp; TP'!$A$2:$M$2,0))),"")</f>
        <v/>
      </c>
      <c r="BD16" s="6" t="str">
        <f t="array" ref="BD16">_xlfn.IFNA((INDEX('DMR 001C TIN &amp; TP'!$A$3:$M$10005,MATCH(('Reg 85'!$AQ$6&amp;'Reg 85'!BD$10&amp;'Reg 85'!$B16),('DMR 001C TIN &amp; TP'!$E$3:$E$10005&amp;'DMR 001C TIN &amp; TP'!$B$3:$B$10005&amp;'DMR 001C TIN &amp; TP'!$A$3:$A$10005),0),MATCH('Reg 85'!$AG$11,'DMR 001C TIN &amp; TP'!$A$2:$M$2,0))),"")</f>
        <v/>
      </c>
      <c r="BE16" s="6" t="str">
        <f t="array" ref="BE16">_xlfn.IFNA((INDEX('DMR 001C TIN &amp; TP'!$A$3:$M$10005,MATCH(('Reg 85'!$AQ$6&amp;'Reg 85'!BE$10&amp;'Reg 85'!$B16),('DMR 001C TIN &amp; TP'!$E$3:$E$10005&amp;'DMR 001C TIN &amp; TP'!$B$3:$B$10005&amp;'DMR 001C TIN &amp; TP'!$A$3:$A$10005),0),MATCH('Reg 85'!$AG$11,'DMR 001C TIN &amp; TP'!$A$2:$M$2,0))),"")</f>
        <v/>
      </c>
      <c r="BF16" s="6" t="str">
        <f t="array" ref="BF16">_xlfn.IFNA((INDEX('DMR 001C TIN &amp; TP'!$A$3:$M$10005,MATCH(('Reg 85'!$AQ$6&amp;'Reg 85'!BF$10&amp;'Reg 85'!$B16),('DMR 001C TIN &amp; TP'!$E$3:$E$10005&amp;'DMR 001C TIN &amp; TP'!$B$3:$B$10005&amp;'DMR 001C TIN &amp; TP'!$A$3:$A$10005),0),MATCH('Reg 85'!$AG$11,'DMR 001C TIN &amp; TP'!$A$2:$M$2,0))),"")</f>
        <v/>
      </c>
    </row>
    <row r="17" spans="1:58">
      <c r="A17" s="3" t="str">
        <f t="shared" si="2"/>
        <v>Thu</v>
      </c>
      <c r="B17" s="96">
        <f t="shared" si="19"/>
        <v>43349</v>
      </c>
      <c r="C17" s="96">
        <f t="shared" si="3"/>
        <v>43373</v>
      </c>
      <c r="D17" s="96">
        <f t="shared" si="4"/>
        <v>43344</v>
      </c>
      <c r="E17" s="95">
        <f t="shared" si="5"/>
        <v>30</v>
      </c>
      <c r="F17" s="7">
        <f t="array" ref="F17">_xlfn.IFNA(INDEX('DMR Flows-Effluent'!$A$3:$F$9999,MATCH(($F$10&amp;$B17),('DMR Flows-Effluent'!$B$3:$B$9999&amp;'DMR Flows-Effluent'!$A$3:$A$9999),0),MATCH($F$8,'DMR Flows-Effluent'!$A$2:$F$2,0)),"")</f>
        <v>52.708599999999997</v>
      </c>
      <c r="G17" s="7">
        <f t="array" ref="G17">_xlfn.IFNA(INDEX('DMR Flows-Effluent'!$A$3:$F$9999,MATCH(($G$10&amp;$B17),('DMR Flows-Effluent'!$B$3:$B$9999&amp;'DMR Flows-Effluent'!$A$3:$A$9999),0),MATCH($F$8,'DMR Flows-Effluent'!$A$2:$F$2,0)),"")</f>
        <v>75.450699999999998</v>
      </c>
      <c r="H17" s="7">
        <f t="shared" si="6"/>
        <v>128.1593</v>
      </c>
      <c r="I17" s="45" t="str">
        <f t="shared" si="7"/>
        <v/>
      </c>
      <c r="J17" s="6" t="str">
        <f t="array" ref="J17">_xlfn.IFNA((INDEX('DMR 001C TIN &amp; TP'!$A$3:$M$10005,MATCH(('Reg 85'!$I$6:$Q$6&amp;'Reg 85'!$I$10:$K$10&amp;'Reg 85'!$B17),('DMR 001C TIN &amp; TP'!$E$3:$E$10005&amp;'DMR 001C TIN &amp; TP'!$B$3:$B$10005&amp;'DMR 001C TIN &amp; TP'!$A$3:$A$10005),0),MATCH('Reg 85'!$J$11,'DMR 001C TIN &amp; TP'!$A$2:$M$2,0))),"")</f>
        <v/>
      </c>
      <c r="K17" s="6" t="str">
        <f t="array" ref="K17">_xlfn.IFNA((INDEX('DMR 001C TIN &amp; TP'!$A$3:$M$10005,MATCH(('Reg 85'!$I$6:$Q$6&amp;'Reg 85'!$I$10:$K$10&amp;'Reg 85'!$B17),('DMR 001C TIN &amp; TP'!$E$3:$E$10005&amp;'DMR 001C TIN &amp; TP'!$B$3:$B$10005&amp;'DMR 001C TIN &amp; TP'!$A$3:$A$10005),0),MATCH('Reg 85'!$K$11,'DMR 001C TIN &amp; TP'!$A$2:$M$2,0))),"")</f>
        <v/>
      </c>
      <c r="L17" s="53" t="str">
        <f t="shared" si="21"/>
        <v/>
      </c>
      <c r="M17" s="5" t="str">
        <f t="shared" si="8"/>
        <v/>
      </c>
      <c r="N17" s="6" t="str">
        <f t="array" ref="N17">_xlfn.IFNA((INDEX('DMR 001C TIN &amp; TP'!$A$3:$M$10005,MATCH(('Reg 85'!$I$6:$Q$6&amp;'Reg 85'!$M$10&amp;'Reg 85'!$B17),('DMR 001C TIN &amp; TP'!$E$3:$E$10005&amp;'DMR 001C TIN &amp; TP'!$B$3:$B$10005&amp;'DMR 001C TIN &amp; TP'!$A$3:$A$10005),0),MATCH('Reg 85'!$N$11,'DMR 001C TIN &amp; TP'!$A$2:$M$2,0))),"")</f>
        <v/>
      </c>
      <c r="O17" s="6" t="str">
        <f t="array" ref="O17">_xlfn.IFNA((INDEX('DMR 001C TIN &amp; TP'!$A$3:$M$10005,MATCH(('Reg 85'!$I$6:$Q$6&amp;'Reg 85'!$M$10&amp;'Reg 85'!$B17),('DMR 001C TIN &amp; TP'!$E$3:$E$10005&amp;'DMR 001C TIN &amp; TP'!$B$3:$B$10005&amp;'DMR 001C TIN &amp; TP'!$A$3:$A$10005),0),MATCH('Reg 85'!$O$11,'DMR 001C TIN &amp; TP'!$A$2:$M$2,0))),"")</f>
        <v/>
      </c>
      <c r="P17" s="53" t="str">
        <f t="shared" si="9"/>
        <v/>
      </c>
      <c r="Q17" s="73" t="str">
        <f t="array" ref="Q17">IFERROR(((L17*$F17)+(P17*$G17))/($H17),"")</f>
        <v/>
      </c>
      <c r="R17" s="6" t="str">
        <f t="array" ref="R17">_xlfn.IFNA((INDEX('DMR 001C TIN &amp; TP'!$A$3:$M$10005,MATCH(('Reg 85'!$I$6:$Q$6&amp;'Reg 85'!R$10&amp;'Reg 85'!$B17),('DMR 001C TIN &amp; TP'!$E$3:$E$10005&amp;'DMR 001C TIN &amp; TP'!$B$3:$B$10005&amp;'DMR 001C TIN &amp; TP'!$A$3:$A$10005),0),MATCH('Reg 85'!$O$11,'DMR 001C TIN &amp; TP'!$A$2:$M$2,0))),"")</f>
        <v/>
      </c>
      <c r="S17" s="6" t="str">
        <f t="array" ref="S17">_xlfn.IFNA((INDEX('DMR 001C TIN &amp; TP'!$A$3:$M$10005,MATCH(('Reg 85'!$I$6:$Q$6&amp;'Reg 85'!S$10&amp;'Reg 85'!$B17),('DMR 001C TIN &amp; TP'!$E$3:$E$10005&amp;'DMR 001C TIN &amp; TP'!$B$3:$B$10005&amp;'DMR 001C TIN &amp; TP'!$A$3:$A$10005),0),MATCH('Reg 85'!$O$11,'DMR 001C TIN &amp; TP'!$A$2:$M$2,0))),"")</f>
        <v/>
      </c>
      <c r="T17" s="6" t="str">
        <f t="array" ref="T17">_xlfn.IFNA((INDEX('DMR 001C TIN &amp; TP'!$A$3:$M$10005,MATCH(('Reg 85'!$I$6:$Q$6&amp;'Reg 85'!T$10&amp;'Reg 85'!$B17),('DMR 001C TIN &amp; TP'!$E$3:$E$10005&amp;'DMR 001C TIN &amp; TP'!$B$3:$B$10005&amp;'DMR 001C TIN &amp; TP'!$A$3:$A$10005),0),MATCH('Reg 85'!$O$11,'DMR 001C TIN &amp; TP'!$A$2:$M$2,0))),"")</f>
        <v/>
      </c>
      <c r="U17" s="6" t="str">
        <f t="array" ref="U17">_xlfn.IFNA((INDEX('DMR 001C TIN &amp; TP'!$A$3:$M$10005,MATCH(('Reg 85'!$I$6:$Q$6&amp;'Reg 85'!U$10&amp;'Reg 85'!$B17),('DMR 001C TIN &amp; TP'!$E$3:$E$10005&amp;'DMR 001C TIN &amp; TP'!$B$3:$B$10005&amp;'DMR 001C TIN &amp; TP'!$A$3:$A$10005),0),MATCH('Reg 85'!$O$11,'DMR 001C TIN &amp; TP'!$A$2:$M$2,0))),"")</f>
        <v/>
      </c>
      <c r="V17" s="6" t="str">
        <f t="array" ref="V17">_xlfn.IFNA((INDEX('DMR 001C TIN &amp; TP'!$A$3:$M$10005,MATCH(('Reg 85'!$I$6:$Q$6&amp;'Reg 85'!V$10&amp;'Reg 85'!$B17),('DMR 001C TIN &amp; TP'!$E$3:$E$10005&amp;'DMR 001C TIN &amp; TP'!$B$3:$B$10005&amp;'DMR 001C TIN &amp; TP'!$A$3:$A$10005),0),MATCH('Reg 85'!$O$11,'DMR 001C TIN &amp; TP'!$A$2:$M$2,0))),"")</f>
        <v/>
      </c>
      <c r="W17" s="6" t="str">
        <f t="array" ref="W17">_xlfn.IFNA((INDEX('DMR 001C TIN &amp; TP'!$A$3:$M$10005,MATCH(('Reg 85'!$I$6:$Q$6&amp;'Reg 85'!W$10&amp;'Reg 85'!$B17),('DMR 001C TIN &amp; TP'!$E$3:$E$10005&amp;'DMR 001C TIN &amp; TP'!$B$3:$B$10005&amp;'DMR 001C TIN &amp; TP'!$A$3:$A$10005),0),MATCH('Reg 85'!$O$11,'DMR 001C TIN &amp; TP'!$A$2:$M$2,0))),"")</f>
        <v/>
      </c>
      <c r="X17" s="5" t="str">
        <f t="shared" si="10"/>
        <v/>
      </c>
      <c r="Y17" s="6" t="str">
        <f t="array" ref="Y17">_xlfn.IFNA((INDEX('DMR 001C TIN &amp; TP'!$A$3:$M$10005,MATCH(('Reg 85'!$X$6&amp;'Reg 85'!$X$10&amp;'Reg 85'!$B17),('DMR 001C TIN &amp; TP'!$E$3:$E$10005&amp;'DMR 001C TIN &amp; TP'!$B$3:$B$10005&amp;'DMR 001C TIN &amp; TP'!$A$3:$A$10005),0),MATCH('Reg 85'!$Y$11,'DMR 001C TIN &amp; TP'!$A$2:$M$2,0))),"")</f>
        <v/>
      </c>
      <c r="Z17" s="6" t="str">
        <f t="array" ref="Z17">_xlfn.IFNA((INDEX('DMR 001C TIN &amp; TP'!$A$3:$M$10005,MATCH(('Reg 85'!$X$6&amp;'Reg 85'!$X$10&amp;'Reg 85'!$B17),('DMR 001C TIN &amp; TP'!$E$3:$E$10005&amp;'DMR 001C TIN &amp; TP'!$B$3:$B$10005&amp;'DMR 001C TIN &amp; TP'!$A$3:$A$10005),0),MATCH('Reg 85'!$Z$11,'DMR 001C TIN &amp; TP'!$A$2:$M$2,0))),"")</f>
        <v/>
      </c>
      <c r="AA17" s="53" t="str">
        <f t="shared" si="11"/>
        <v/>
      </c>
      <c r="AB17" s="5" t="str">
        <f t="shared" si="12"/>
        <v/>
      </c>
      <c r="AC17" s="6" t="str">
        <f t="array" ref="AC17">_xlfn.IFNA((INDEX('DMR 001C TIN &amp; TP'!$A$3:$M$10005,MATCH(('Reg 85'!$X$6&amp;'Reg 85'!$AB$10&amp;'Reg 85'!$B17),('DMR 001C TIN &amp; TP'!$E$3:$E$10005&amp;'DMR 001C TIN &amp; TP'!$B$3:$B$10005&amp;'DMR 001C TIN &amp; TP'!$A$3:$A$10005),0),MATCH('Reg 85'!$AC$11,'DMR 001C TIN &amp; TP'!$A$2:$M$2,0))),"")</f>
        <v/>
      </c>
      <c r="AD17" s="6" t="str">
        <f t="array" ref="AD17">_xlfn.IFNA((INDEX('DMR 001C TIN &amp; TP'!$A$3:$M$10005,MATCH(('Reg 85'!$X$6&amp;'Reg 85'!$AB$10&amp;'Reg 85'!$B17),('DMR 001C TIN &amp; TP'!$E$3:$E$10005&amp;'DMR 001C TIN &amp; TP'!$B$3:$B$10005&amp;'DMR 001C TIN &amp; TP'!$A$3:$A$10005),0),MATCH('Reg 85'!$AD$11,'DMR 001C TIN &amp; TP'!$A$2:$M$2,0))),"")</f>
        <v/>
      </c>
      <c r="AE17" s="53" t="str">
        <f t="shared" si="13"/>
        <v/>
      </c>
      <c r="AF17" s="7" t="str">
        <f t="shared" si="14"/>
        <v/>
      </c>
      <c r="AG17" s="6" t="str">
        <f t="array" ref="AG17">_xlfn.IFNA((INDEX('DMR 001C TIN &amp; TP'!$A$3:$M$10005,MATCH(('Reg 85'!$X$6&amp;'Reg 85'!AG$10&amp;'Reg 85'!$B17),('DMR 001C TIN &amp; TP'!$E$3:$E$10005&amp;'DMR 001C TIN &amp; TP'!$B$3:$B$10005&amp;'DMR 001C TIN &amp; TP'!$A$3:$A$10005),0),MATCH('Reg 85'!$AG$11,'DMR 001C TIN &amp; TP'!$A$2:$M$2,0))),"")</f>
        <v/>
      </c>
      <c r="AH17" s="6" t="str">
        <f t="array" ref="AH17">_xlfn.IFNA((INDEX('DMR 001C TIN &amp; TP'!$A$3:$M$10005,MATCH(('Reg 85'!$X$6&amp;'Reg 85'!AH$10&amp;'Reg 85'!$B17),('DMR 001C TIN &amp; TP'!$E$3:$E$10005&amp;'DMR 001C TIN &amp; TP'!$B$3:$B$10005&amp;'DMR 001C TIN &amp; TP'!$A$3:$A$10005),0),MATCH('Reg 85'!$AG$11,'DMR 001C TIN &amp; TP'!$A$2:$M$2,0))),"")</f>
        <v/>
      </c>
      <c r="AI17" s="6" t="str">
        <f t="array" ref="AI17">_xlfn.IFNA((INDEX('DMR 001C TIN &amp; TP'!$A$3:$M$10005,MATCH(('Reg 85'!$X$6&amp;'Reg 85'!AI$10&amp;'Reg 85'!$B17),('DMR 001C TIN &amp; TP'!$E$3:$E$10005&amp;'DMR 001C TIN &amp; TP'!$B$3:$B$10005&amp;'DMR 001C TIN &amp; TP'!$A$3:$A$10005),0),MATCH('Reg 85'!$AG$11,'DMR 001C TIN &amp; TP'!$A$2:$M$2,0))),"")</f>
        <v/>
      </c>
      <c r="AJ17" s="6" t="str">
        <f t="array" ref="AJ17">_xlfn.IFNA((INDEX('DMR 001C TIN &amp; TP'!$A$3:$M$10005,MATCH(('Reg 85'!$X$6&amp;'Reg 85'!AJ$10&amp;'Reg 85'!$B17),('DMR 001C TIN &amp; TP'!$E$3:$E$10005&amp;'DMR 001C TIN &amp; TP'!$B$3:$B$10005&amp;'DMR 001C TIN &amp; TP'!$A$3:$A$10005),0),MATCH('Reg 85'!$AG$11,'DMR 001C TIN &amp; TP'!$A$2:$M$2,0))),"")</f>
        <v/>
      </c>
      <c r="AK17" s="6" t="str">
        <f t="array" ref="AK17">_xlfn.IFNA((INDEX('DMR 001C TIN &amp; TP'!$A$3:$M$10005,MATCH(('Reg 85'!$X$6&amp;'Reg 85'!AK$10&amp;'Reg 85'!$B17),('DMR 001C TIN &amp; TP'!$E$3:$E$10005&amp;'DMR 001C TIN &amp; TP'!$B$3:$B$10005&amp;'DMR 001C TIN &amp; TP'!$A$3:$A$10005),0),MATCH('Reg 85'!$AG$11,'DMR 001C TIN &amp; TP'!$A$2:$M$2,0))),"")</f>
        <v/>
      </c>
      <c r="AL17" s="6" t="str">
        <f t="array" ref="AL17">_xlfn.IFNA((INDEX('DMR 001C TIN &amp; TP'!$A$3:$M$10005,MATCH(('Reg 85'!$X$6&amp;'Reg 85'!AL$10&amp;'Reg 85'!$B17),('DMR 001C TIN &amp; TP'!$E$3:$E$10005&amp;'DMR 001C TIN &amp; TP'!$B$3:$B$10005&amp;'DMR 001C TIN &amp; TP'!$A$3:$A$10005),0),MATCH('Reg 85'!$AG$11,'DMR 001C TIN &amp; TP'!$A$2:$M$2,0))),"")</f>
        <v/>
      </c>
      <c r="AM17" s="76"/>
      <c r="AN17" s="6"/>
      <c r="AO17" s="54" t="str">
        <f t="shared" si="0"/>
        <v/>
      </c>
      <c r="AP17" s="77" t="str">
        <f>IF(COUNT(IF((#REF!&lt;=C17)*(#REF!&gt;=D17)*(B17=EOMONTH(B17,0)),#REF!,""))=0,"",COUNT(IF((#REF!&lt;=C17)*(#REF!&gt;=D17)*(B17=EOMONTH(B17,0)),#REF!,"")))</f>
        <v/>
      </c>
      <c r="AQ17" s="47"/>
      <c r="AR17" s="6" t="str">
        <f t="array" ref="AR17">_xlfn.IFNA((INDEX('DMR 001C TIN &amp; TP'!$A$3:$M$10005,MATCH(('Reg 85'!$AQ$6&amp;'Reg 85'!$AQ$10&amp;'Reg 85'!$B17),('DMR 001C TIN &amp; TP'!$E$3:$E$10005&amp;'DMR 001C TIN &amp; TP'!$B$3:$B$10005&amp;'DMR 001C TIN &amp; TP'!$A$3:$A$10005),0),MATCH('Reg 85'!$AR$11,'DMR 001C TIN &amp; TP'!$A$2:$M$2,0))),"")</f>
        <v>0.03</v>
      </c>
      <c r="AS17" s="6">
        <f t="array" ref="AS17">_xlfn.IFNA((INDEX('DMR 001C TIN &amp; TP'!$A$3:$M$10005,MATCH(('Reg 85'!$AQ$6&amp;'Reg 85'!$AQ$10&amp;'Reg 85'!$B17),('DMR 001C TIN &amp; TP'!$E$3:$E$10005&amp;'DMR 001C TIN &amp; TP'!$B$3:$B$10005&amp;'DMR 001C TIN &amp; TP'!$A$3:$A$10005),0),MATCH('Reg 85'!$AS$11,'DMR 001C TIN &amp; TP'!$A$2:$M$2,0))),"")</f>
        <v>0.44</v>
      </c>
      <c r="AT17" s="53">
        <f t="shared" si="15"/>
        <v>0.44</v>
      </c>
      <c r="AV17" s="6" t="str">
        <f t="array" ref="AV17">_xlfn.IFNA((INDEX('DMR 001C TIN &amp; TP'!$A$3:$M$10005,MATCH(('Reg 85'!$AQ$6&amp;'Reg 85'!$AU$10&amp;'Reg 85'!$B17),('DMR 001C TIN &amp; TP'!$E$3:$E$10005&amp;'DMR 001C TIN &amp; TP'!$B$3:$B$10005&amp;'DMR 001C TIN &amp; TP'!$A$3:$A$10005),0),MATCH('Reg 85'!$AV$11,'DMR 001C TIN &amp; TP'!$A$2:$M$2,0))),"")</f>
        <v>0.03</v>
      </c>
      <c r="AW17" s="6">
        <f t="array" ref="AW17">_xlfn.IFNA((INDEX('DMR 001C TIN &amp; TP'!$A$3:$M$10005,MATCH(('Reg 85'!$AQ$6&amp;'Reg 85'!$AU$10&amp;'Reg 85'!$B17),('DMR 001C TIN &amp; TP'!$E$3:$E$10005&amp;'DMR 001C TIN &amp; TP'!$B$3:$B$10005&amp;'DMR 001C TIN &amp; TP'!$A$3:$A$10005),0),MATCH('Reg 85'!$AW$11,'DMR 001C TIN &amp; TP'!$A$2:$M$2,0))),"")</f>
        <v>1.23</v>
      </c>
      <c r="AX17" s="53">
        <f t="shared" si="16"/>
        <v>1.23</v>
      </c>
      <c r="AY17" s="55">
        <f t="shared" si="17"/>
        <v>0.90509346571025273</v>
      </c>
      <c r="AZ17" s="77" t="str">
        <f t="shared" ref="AZ17" si="24">IF(COUNT(IF((#REF!&lt;=C17)*(#REF!&gt;=D17)*(B17=EOMONTH(B17,0)),#REF!,""))=0,"",COUNT(IF((#REF!&lt;=C17)*(#REF!&gt;=D17)*(B17=EOMONTH(B17,0)),#REF!,"")))</f>
        <v/>
      </c>
      <c r="BA17" s="6" t="str">
        <f t="array" ref="BA17">_xlfn.IFNA((INDEX('DMR 001C TIN &amp; TP'!$A$3:$M$10005,MATCH(('Reg 85'!$AQ$6&amp;'Reg 85'!BA$10&amp;'Reg 85'!$B17),('DMR 001C TIN &amp; TP'!$E$3:$E$10005&amp;'DMR 001C TIN &amp; TP'!$B$3:$B$10005&amp;'DMR 001C TIN &amp; TP'!$A$3:$A$10005),0),MATCH('Reg 85'!$AG$11,'DMR 001C TIN &amp; TP'!$A$2:$M$2,0))),"")</f>
        <v/>
      </c>
      <c r="BB17" s="6" t="str">
        <f t="array" ref="BB17">_xlfn.IFNA((INDEX('DMR 001C TIN &amp; TP'!$A$3:$M$10005,MATCH(('Reg 85'!$AQ$6&amp;'Reg 85'!BB$10&amp;'Reg 85'!$B17),('DMR 001C TIN &amp; TP'!$E$3:$E$10005&amp;'DMR 001C TIN &amp; TP'!$B$3:$B$10005&amp;'DMR 001C TIN &amp; TP'!$A$3:$A$10005),0),MATCH('Reg 85'!$AG$11,'DMR 001C TIN &amp; TP'!$A$2:$M$2,0))),"")</f>
        <v/>
      </c>
      <c r="BC17" s="6" t="str">
        <f t="array" ref="BC17">_xlfn.IFNA((INDEX('DMR 001C TIN &amp; TP'!$A$3:$M$10005,MATCH(('Reg 85'!$AQ$6&amp;'Reg 85'!BC$10&amp;'Reg 85'!$B17),('DMR 001C TIN &amp; TP'!$E$3:$E$10005&amp;'DMR 001C TIN &amp; TP'!$B$3:$B$10005&amp;'DMR 001C TIN &amp; TP'!$A$3:$A$10005),0),MATCH('Reg 85'!$AG$11,'DMR 001C TIN &amp; TP'!$A$2:$M$2,0))),"")</f>
        <v/>
      </c>
      <c r="BD17" s="6" t="str">
        <f t="array" ref="BD17">_xlfn.IFNA((INDEX('DMR 001C TIN &amp; TP'!$A$3:$M$10005,MATCH(('Reg 85'!$AQ$6&amp;'Reg 85'!BD$10&amp;'Reg 85'!$B17),('DMR 001C TIN &amp; TP'!$E$3:$E$10005&amp;'DMR 001C TIN &amp; TP'!$B$3:$B$10005&amp;'DMR 001C TIN &amp; TP'!$A$3:$A$10005),0),MATCH('Reg 85'!$AG$11,'DMR 001C TIN &amp; TP'!$A$2:$M$2,0))),"")</f>
        <v/>
      </c>
      <c r="BE17" s="6" t="str">
        <f t="array" ref="BE17">_xlfn.IFNA((INDEX('DMR 001C TIN &amp; TP'!$A$3:$M$10005,MATCH(('Reg 85'!$AQ$6&amp;'Reg 85'!BE$10&amp;'Reg 85'!$B17),('DMR 001C TIN &amp; TP'!$E$3:$E$10005&amp;'DMR 001C TIN &amp; TP'!$B$3:$B$10005&amp;'DMR 001C TIN &amp; TP'!$A$3:$A$10005),0),MATCH('Reg 85'!$AG$11,'DMR 001C TIN &amp; TP'!$A$2:$M$2,0))),"")</f>
        <v/>
      </c>
      <c r="BF17" s="6" t="str">
        <f t="array" ref="BF17">_xlfn.IFNA((INDEX('DMR 001C TIN &amp; TP'!$A$3:$M$10005,MATCH(('Reg 85'!$AQ$6&amp;'Reg 85'!BF$10&amp;'Reg 85'!$B17),('DMR 001C TIN &amp; TP'!$E$3:$E$10005&amp;'DMR 001C TIN &amp; TP'!$B$3:$B$10005&amp;'DMR 001C TIN &amp; TP'!$A$3:$A$10005),0),MATCH('Reg 85'!$AG$11,'DMR 001C TIN &amp; TP'!$A$2:$M$2,0))),"")</f>
        <v/>
      </c>
    </row>
    <row r="18" spans="1:58">
      <c r="A18" s="3" t="str">
        <f t="shared" si="2"/>
        <v>Fri</v>
      </c>
      <c r="B18" s="96">
        <f t="shared" si="19"/>
        <v>43350</v>
      </c>
      <c r="C18" s="96">
        <f t="shared" si="3"/>
        <v>43373</v>
      </c>
      <c r="D18" s="96">
        <f t="shared" si="4"/>
        <v>43344</v>
      </c>
      <c r="E18" s="95">
        <f t="shared" si="5"/>
        <v>30</v>
      </c>
      <c r="F18" s="7">
        <f t="array" ref="F18">_xlfn.IFNA(INDEX('DMR Flows-Effluent'!$A$3:$F$9999,MATCH(($F$10&amp;$B18),('DMR Flows-Effluent'!$B$3:$B$9999&amp;'DMR Flows-Effluent'!$A$3:$A$9999),0),MATCH($F$8,'DMR Flows-Effluent'!$A$2:$F$2,0)),"")</f>
        <v>55.737200000000001</v>
      </c>
      <c r="G18" s="7">
        <f t="array" ref="G18">_xlfn.IFNA(INDEX('DMR Flows-Effluent'!$A$3:$F$9999,MATCH(($G$10&amp;$B18),('DMR Flows-Effluent'!$B$3:$B$9999&amp;'DMR Flows-Effluent'!$A$3:$A$9999),0),MATCH($F$8,'DMR Flows-Effluent'!$A$2:$F$2,0)),"")</f>
        <v>68.965199999999996</v>
      </c>
      <c r="H18" s="7">
        <f t="shared" si="6"/>
        <v>124.7024</v>
      </c>
      <c r="I18" s="45" t="str">
        <f t="shared" si="7"/>
        <v/>
      </c>
      <c r="J18" s="6" t="str">
        <f t="array" ref="J18">_xlfn.IFNA((INDEX('DMR 001C TIN &amp; TP'!$A$3:$M$10005,MATCH(('Reg 85'!$I$6:$Q$6&amp;'Reg 85'!$I$10:$K$10&amp;'Reg 85'!$B18),('DMR 001C TIN &amp; TP'!$E$3:$E$10005&amp;'DMR 001C TIN &amp; TP'!$B$3:$B$10005&amp;'DMR 001C TIN &amp; TP'!$A$3:$A$10005),0),MATCH('Reg 85'!$J$11,'DMR 001C TIN &amp; TP'!$A$2:$M$2,0))),"")</f>
        <v/>
      </c>
      <c r="K18" s="6" t="str">
        <f t="array" ref="K18">_xlfn.IFNA((INDEX('DMR 001C TIN &amp; TP'!$A$3:$M$10005,MATCH(('Reg 85'!$I$6:$Q$6&amp;'Reg 85'!$I$10:$K$10&amp;'Reg 85'!$B18),('DMR 001C TIN &amp; TP'!$E$3:$E$10005&amp;'DMR 001C TIN &amp; TP'!$B$3:$B$10005&amp;'DMR 001C TIN &amp; TP'!$A$3:$A$10005),0),MATCH('Reg 85'!$K$11,'DMR 001C TIN &amp; TP'!$A$2:$M$2,0))),"")</f>
        <v/>
      </c>
      <c r="L18" s="53" t="str">
        <f t="shared" si="21"/>
        <v/>
      </c>
      <c r="M18" s="5" t="str">
        <f t="shared" si="8"/>
        <v/>
      </c>
      <c r="N18" s="6" t="str">
        <f t="array" ref="N18">_xlfn.IFNA((INDEX('DMR 001C TIN &amp; TP'!$A$3:$M$10005,MATCH(('Reg 85'!$I$6:$Q$6&amp;'Reg 85'!$M$10&amp;'Reg 85'!$B18),('DMR 001C TIN &amp; TP'!$E$3:$E$10005&amp;'DMR 001C TIN &amp; TP'!$B$3:$B$10005&amp;'DMR 001C TIN &amp; TP'!$A$3:$A$10005),0),MATCH('Reg 85'!$N$11,'DMR 001C TIN &amp; TP'!$A$2:$M$2,0))),"")</f>
        <v/>
      </c>
      <c r="O18" s="6" t="str">
        <f t="array" ref="O18">_xlfn.IFNA((INDEX('DMR 001C TIN &amp; TP'!$A$3:$M$10005,MATCH(('Reg 85'!$I$6:$Q$6&amp;'Reg 85'!$M$10&amp;'Reg 85'!$B18),('DMR 001C TIN &amp; TP'!$E$3:$E$10005&amp;'DMR 001C TIN &amp; TP'!$B$3:$B$10005&amp;'DMR 001C TIN &amp; TP'!$A$3:$A$10005),0),MATCH('Reg 85'!$O$11,'DMR 001C TIN &amp; TP'!$A$2:$M$2,0))),"")</f>
        <v/>
      </c>
      <c r="P18" s="53" t="str">
        <f t="shared" si="9"/>
        <v/>
      </c>
      <c r="Q18" s="73" t="str">
        <f t="array" ref="Q18">IFERROR(((L18*$F18)+(P18*$G18))/($H18),"")</f>
        <v/>
      </c>
      <c r="R18" s="6" t="str">
        <f t="array" ref="R18">_xlfn.IFNA((INDEX('DMR 001C TIN &amp; TP'!$A$3:$M$10005,MATCH(('Reg 85'!$I$6:$Q$6&amp;'Reg 85'!R$10&amp;'Reg 85'!$B18),('DMR 001C TIN &amp; TP'!$E$3:$E$10005&amp;'DMR 001C TIN &amp; TP'!$B$3:$B$10005&amp;'DMR 001C TIN &amp; TP'!$A$3:$A$10005),0),MATCH('Reg 85'!$O$11,'DMR 001C TIN &amp; TP'!$A$2:$M$2,0))),"")</f>
        <v/>
      </c>
      <c r="S18" s="6" t="str">
        <f t="array" ref="S18">_xlfn.IFNA((INDEX('DMR 001C TIN &amp; TP'!$A$3:$M$10005,MATCH(('Reg 85'!$I$6:$Q$6&amp;'Reg 85'!S$10&amp;'Reg 85'!$B18),('DMR 001C TIN &amp; TP'!$E$3:$E$10005&amp;'DMR 001C TIN &amp; TP'!$B$3:$B$10005&amp;'DMR 001C TIN &amp; TP'!$A$3:$A$10005),0),MATCH('Reg 85'!$O$11,'DMR 001C TIN &amp; TP'!$A$2:$M$2,0))),"")</f>
        <v/>
      </c>
      <c r="T18" s="6" t="str">
        <f t="array" ref="T18">_xlfn.IFNA((INDEX('DMR 001C TIN &amp; TP'!$A$3:$M$10005,MATCH(('Reg 85'!$I$6:$Q$6&amp;'Reg 85'!T$10&amp;'Reg 85'!$B18),('DMR 001C TIN &amp; TP'!$E$3:$E$10005&amp;'DMR 001C TIN &amp; TP'!$B$3:$B$10005&amp;'DMR 001C TIN &amp; TP'!$A$3:$A$10005),0),MATCH('Reg 85'!$O$11,'DMR 001C TIN &amp; TP'!$A$2:$M$2,0))),"")</f>
        <v/>
      </c>
      <c r="U18" s="6" t="str">
        <f t="array" ref="U18">_xlfn.IFNA((INDEX('DMR 001C TIN &amp; TP'!$A$3:$M$10005,MATCH(('Reg 85'!$I$6:$Q$6&amp;'Reg 85'!U$10&amp;'Reg 85'!$B18),('DMR 001C TIN &amp; TP'!$E$3:$E$10005&amp;'DMR 001C TIN &amp; TP'!$B$3:$B$10005&amp;'DMR 001C TIN &amp; TP'!$A$3:$A$10005),0),MATCH('Reg 85'!$O$11,'DMR 001C TIN &amp; TP'!$A$2:$M$2,0))),"")</f>
        <v/>
      </c>
      <c r="V18" s="6" t="str">
        <f t="array" ref="V18">_xlfn.IFNA((INDEX('DMR 001C TIN &amp; TP'!$A$3:$M$10005,MATCH(('Reg 85'!$I$6:$Q$6&amp;'Reg 85'!V$10&amp;'Reg 85'!$B18),('DMR 001C TIN &amp; TP'!$E$3:$E$10005&amp;'DMR 001C TIN &amp; TP'!$B$3:$B$10005&amp;'DMR 001C TIN &amp; TP'!$A$3:$A$10005),0),MATCH('Reg 85'!$O$11,'DMR 001C TIN &amp; TP'!$A$2:$M$2,0))),"")</f>
        <v/>
      </c>
      <c r="W18" s="6" t="str">
        <f t="array" ref="W18">_xlfn.IFNA((INDEX('DMR 001C TIN &amp; TP'!$A$3:$M$10005,MATCH(('Reg 85'!$I$6:$Q$6&amp;'Reg 85'!W$10&amp;'Reg 85'!$B18),('DMR 001C TIN &amp; TP'!$E$3:$E$10005&amp;'DMR 001C TIN &amp; TP'!$B$3:$B$10005&amp;'DMR 001C TIN &amp; TP'!$A$3:$A$10005),0),MATCH('Reg 85'!$O$11,'DMR 001C TIN &amp; TP'!$A$2:$M$2,0))),"")</f>
        <v/>
      </c>
      <c r="X18" s="5" t="str">
        <f t="shared" si="10"/>
        <v/>
      </c>
      <c r="Y18" s="6" t="str">
        <f t="array" ref="Y18">_xlfn.IFNA((INDEX('DMR 001C TIN &amp; TP'!$A$3:$M$10005,MATCH(('Reg 85'!$X$6&amp;'Reg 85'!$X$10&amp;'Reg 85'!$B18),('DMR 001C TIN &amp; TP'!$E$3:$E$10005&amp;'DMR 001C TIN &amp; TP'!$B$3:$B$10005&amp;'DMR 001C TIN &amp; TP'!$A$3:$A$10005),0),MATCH('Reg 85'!$Y$11,'DMR 001C TIN &amp; TP'!$A$2:$M$2,0))),"")</f>
        <v/>
      </c>
      <c r="Z18" s="6" t="str">
        <f t="array" ref="Z18">_xlfn.IFNA((INDEX('DMR 001C TIN &amp; TP'!$A$3:$M$10005,MATCH(('Reg 85'!$X$6&amp;'Reg 85'!$X$10&amp;'Reg 85'!$B18),('DMR 001C TIN &amp; TP'!$E$3:$E$10005&amp;'DMR 001C TIN &amp; TP'!$B$3:$B$10005&amp;'DMR 001C TIN &amp; TP'!$A$3:$A$10005),0),MATCH('Reg 85'!$Z$11,'DMR 001C TIN &amp; TP'!$A$2:$M$2,0))),"")</f>
        <v/>
      </c>
      <c r="AA18" s="53" t="str">
        <f t="shared" si="11"/>
        <v/>
      </c>
      <c r="AB18" s="5" t="str">
        <f t="shared" si="12"/>
        <v/>
      </c>
      <c r="AC18" s="6" t="str">
        <f t="array" ref="AC18">_xlfn.IFNA((INDEX('DMR 001C TIN &amp; TP'!$A$3:$M$10005,MATCH(('Reg 85'!$X$6&amp;'Reg 85'!$AB$10&amp;'Reg 85'!$B18),('DMR 001C TIN &amp; TP'!$E$3:$E$10005&amp;'DMR 001C TIN &amp; TP'!$B$3:$B$10005&amp;'DMR 001C TIN &amp; TP'!$A$3:$A$10005),0),MATCH('Reg 85'!$AC$11,'DMR 001C TIN &amp; TP'!$A$2:$M$2,0))),"")</f>
        <v/>
      </c>
      <c r="AD18" s="6" t="str">
        <f t="array" ref="AD18">_xlfn.IFNA((INDEX('DMR 001C TIN &amp; TP'!$A$3:$M$10005,MATCH(('Reg 85'!$X$6&amp;'Reg 85'!$AB$10&amp;'Reg 85'!$B18),('DMR 001C TIN &amp; TP'!$E$3:$E$10005&amp;'DMR 001C TIN &amp; TP'!$B$3:$B$10005&amp;'DMR 001C TIN &amp; TP'!$A$3:$A$10005),0),MATCH('Reg 85'!$AD$11,'DMR 001C TIN &amp; TP'!$A$2:$M$2,0))),"")</f>
        <v/>
      </c>
      <c r="AE18" s="53" t="str">
        <f t="shared" si="13"/>
        <v/>
      </c>
      <c r="AF18" s="7" t="str">
        <f t="shared" si="14"/>
        <v/>
      </c>
      <c r="AG18" s="6" t="str">
        <f t="array" ref="AG18">_xlfn.IFNA((INDEX('DMR 001C TIN &amp; TP'!$A$3:$M$10005,MATCH(('Reg 85'!$X$6&amp;'Reg 85'!AG$10&amp;'Reg 85'!$B18),('DMR 001C TIN &amp; TP'!$E$3:$E$10005&amp;'DMR 001C TIN &amp; TP'!$B$3:$B$10005&amp;'DMR 001C TIN &amp; TP'!$A$3:$A$10005),0),MATCH('Reg 85'!$AG$11,'DMR 001C TIN &amp; TP'!$A$2:$M$2,0))),"")</f>
        <v/>
      </c>
      <c r="AH18" s="6" t="str">
        <f t="array" ref="AH18">_xlfn.IFNA((INDEX('DMR 001C TIN &amp; TP'!$A$3:$M$10005,MATCH(('Reg 85'!$X$6&amp;'Reg 85'!AH$10&amp;'Reg 85'!$B18),('DMR 001C TIN &amp; TP'!$E$3:$E$10005&amp;'DMR 001C TIN &amp; TP'!$B$3:$B$10005&amp;'DMR 001C TIN &amp; TP'!$A$3:$A$10005),0),MATCH('Reg 85'!$AG$11,'DMR 001C TIN &amp; TP'!$A$2:$M$2,0))),"")</f>
        <v/>
      </c>
      <c r="AI18" s="6" t="str">
        <f t="array" ref="AI18">_xlfn.IFNA((INDEX('DMR 001C TIN &amp; TP'!$A$3:$M$10005,MATCH(('Reg 85'!$X$6&amp;'Reg 85'!AI$10&amp;'Reg 85'!$B18),('DMR 001C TIN &amp; TP'!$E$3:$E$10005&amp;'DMR 001C TIN &amp; TP'!$B$3:$B$10005&amp;'DMR 001C TIN &amp; TP'!$A$3:$A$10005),0),MATCH('Reg 85'!$AG$11,'DMR 001C TIN &amp; TP'!$A$2:$M$2,0))),"")</f>
        <v/>
      </c>
      <c r="AJ18" s="6" t="str">
        <f t="array" ref="AJ18">_xlfn.IFNA((INDEX('DMR 001C TIN &amp; TP'!$A$3:$M$10005,MATCH(('Reg 85'!$X$6&amp;'Reg 85'!AJ$10&amp;'Reg 85'!$B18),('DMR 001C TIN &amp; TP'!$E$3:$E$10005&amp;'DMR 001C TIN &amp; TP'!$B$3:$B$10005&amp;'DMR 001C TIN &amp; TP'!$A$3:$A$10005),0),MATCH('Reg 85'!$AG$11,'DMR 001C TIN &amp; TP'!$A$2:$M$2,0))),"")</f>
        <v/>
      </c>
      <c r="AK18" s="6" t="str">
        <f t="array" ref="AK18">_xlfn.IFNA((INDEX('DMR 001C TIN &amp; TP'!$A$3:$M$10005,MATCH(('Reg 85'!$X$6&amp;'Reg 85'!AK$10&amp;'Reg 85'!$B18),('DMR 001C TIN &amp; TP'!$E$3:$E$10005&amp;'DMR 001C TIN &amp; TP'!$B$3:$B$10005&amp;'DMR 001C TIN &amp; TP'!$A$3:$A$10005),0),MATCH('Reg 85'!$AG$11,'DMR 001C TIN &amp; TP'!$A$2:$M$2,0))),"")</f>
        <v/>
      </c>
      <c r="AL18" s="6" t="str">
        <f t="array" ref="AL18">_xlfn.IFNA((INDEX('DMR 001C TIN &amp; TP'!$A$3:$M$10005,MATCH(('Reg 85'!$X$6&amp;'Reg 85'!AL$10&amp;'Reg 85'!$B18),('DMR 001C TIN &amp; TP'!$E$3:$E$10005&amp;'DMR 001C TIN &amp; TP'!$B$3:$B$10005&amp;'DMR 001C TIN &amp; TP'!$A$3:$A$10005),0),MATCH('Reg 85'!$AG$11,'DMR 001C TIN &amp; TP'!$A$2:$M$2,0))),"")</f>
        <v/>
      </c>
      <c r="AM18" s="76"/>
      <c r="AN18" s="6"/>
      <c r="AO18" s="54" t="str">
        <f t="shared" si="0"/>
        <v/>
      </c>
      <c r="AP18" s="77" t="str">
        <f>IF(COUNT(IF((#REF!&lt;=C18)*(#REF!&gt;=D18)*(B18=EOMONTH(B18,0)),#REF!,""))=0,"",COUNT(IF((#REF!&lt;=C18)*(#REF!&gt;=D18)*(B18=EOMONTH(B18,0)),#REF!,"")))</f>
        <v/>
      </c>
      <c r="AQ18" s="47"/>
      <c r="AR18" s="6" t="str">
        <f t="array" ref="AR18">_xlfn.IFNA((INDEX('DMR 001C TIN &amp; TP'!$A$3:$M$10005,MATCH(('Reg 85'!$AQ$6&amp;'Reg 85'!$AQ$10&amp;'Reg 85'!$B18),('DMR 001C TIN &amp; TP'!$E$3:$E$10005&amp;'DMR 001C TIN &amp; TP'!$B$3:$B$10005&amp;'DMR 001C TIN &amp; TP'!$A$3:$A$10005),0),MATCH('Reg 85'!$AR$11,'DMR 001C TIN &amp; TP'!$A$2:$M$2,0))),"")</f>
        <v/>
      </c>
      <c r="AS18" s="6" t="str">
        <f t="array" ref="AS18">_xlfn.IFNA((INDEX('DMR 001C TIN &amp; TP'!$A$3:$M$10005,MATCH(('Reg 85'!$AQ$6&amp;'Reg 85'!$AQ$10&amp;'Reg 85'!$B18),('DMR 001C TIN &amp; TP'!$E$3:$E$10005&amp;'DMR 001C TIN &amp; TP'!$B$3:$B$10005&amp;'DMR 001C TIN &amp; TP'!$A$3:$A$10005),0),MATCH('Reg 85'!$AS$11,'DMR 001C TIN &amp; TP'!$A$2:$M$2,0))),"")</f>
        <v/>
      </c>
      <c r="AT18" s="53" t="str">
        <f t="shared" si="15"/>
        <v/>
      </c>
      <c r="AV18" s="6" t="str">
        <f t="array" ref="AV18">_xlfn.IFNA((INDEX('DMR 001C TIN &amp; TP'!$A$3:$M$10005,MATCH(('Reg 85'!$AQ$6&amp;'Reg 85'!$AU$10&amp;'Reg 85'!$B18),('DMR 001C TIN &amp; TP'!$E$3:$E$10005&amp;'DMR 001C TIN &amp; TP'!$B$3:$B$10005&amp;'DMR 001C TIN &amp; TP'!$A$3:$A$10005),0),MATCH('Reg 85'!$AV$11,'DMR 001C TIN &amp; TP'!$A$2:$M$2,0))),"")</f>
        <v/>
      </c>
      <c r="AW18" s="6" t="str">
        <f t="array" ref="AW18">_xlfn.IFNA((INDEX('DMR 001C TIN &amp; TP'!$A$3:$M$10005,MATCH(('Reg 85'!$AQ$6&amp;'Reg 85'!$AU$10&amp;'Reg 85'!$B18),('DMR 001C TIN &amp; TP'!$E$3:$E$10005&amp;'DMR 001C TIN &amp; TP'!$B$3:$B$10005&amp;'DMR 001C TIN &amp; TP'!$A$3:$A$10005),0),MATCH('Reg 85'!$AW$11,'DMR 001C TIN &amp; TP'!$A$2:$M$2,0))),"")</f>
        <v/>
      </c>
      <c r="AX18" s="53" t="str">
        <f t="shared" si="16"/>
        <v/>
      </c>
      <c r="AY18" s="55" t="str">
        <f t="shared" si="17"/>
        <v/>
      </c>
      <c r="AZ18" s="77" t="str">
        <f t="shared" ref="AZ18" si="25">IF(COUNT(IF((#REF!&lt;=C18)*(#REF!&gt;=D18)*(B18=EOMONTH(B18,0)),#REF!,""))=0,"",COUNT(IF((#REF!&lt;=C18)*(#REF!&gt;=D18)*(B18=EOMONTH(B18,0)),#REF!,"")))</f>
        <v/>
      </c>
      <c r="BA18" s="6" t="str">
        <f t="array" ref="BA18">_xlfn.IFNA((INDEX('DMR 001C TIN &amp; TP'!$A$3:$M$10005,MATCH(('Reg 85'!$AQ$6&amp;'Reg 85'!BA$10&amp;'Reg 85'!$B18),('DMR 001C TIN &amp; TP'!$E$3:$E$10005&amp;'DMR 001C TIN &amp; TP'!$B$3:$B$10005&amp;'DMR 001C TIN &amp; TP'!$A$3:$A$10005),0),MATCH('Reg 85'!$AG$11,'DMR 001C TIN &amp; TP'!$A$2:$M$2,0))),"")</f>
        <v/>
      </c>
      <c r="BB18" s="6" t="str">
        <f t="array" ref="BB18">_xlfn.IFNA((INDEX('DMR 001C TIN &amp; TP'!$A$3:$M$10005,MATCH(('Reg 85'!$AQ$6&amp;'Reg 85'!BB$10&amp;'Reg 85'!$B18),('DMR 001C TIN &amp; TP'!$E$3:$E$10005&amp;'DMR 001C TIN &amp; TP'!$B$3:$B$10005&amp;'DMR 001C TIN &amp; TP'!$A$3:$A$10005),0),MATCH('Reg 85'!$AG$11,'DMR 001C TIN &amp; TP'!$A$2:$M$2,0))),"")</f>
        <v/>
      </c>
      <c r="BC18" s="6" t="str">
        <f t="array" ref="BC18">_xlfn.IFNA((INDEX('DMR 001C TIN &amp; TP'!$A$3:$M$10005,MATCH(('Reg 85'!$AQ$6&amp;'Reg 85'!BC$10&amp;'Reg 85'!$B18),('DMR 001C TIN &amp; TP'!$E$3:$E$10005&amp;'DMR 001C TIN &amp; TP'!$B$3:$B$10005&amp;'DMR 001C TIN &amp; TP'!$A$3:$A$10005),0),MATCH('Reg 85'!$AG$11,'DMR 001C TIN &amp; TP'!$A$2:$M$2,0))),"")</f>
        <v/>
      </c>
      <c r="BD18" s="6" t="str">
        <f t="array" ref="BD18">_xlfn.IFNA((INDEX('DMR 001C TIN &amp; TP'!$A$3:$M$10005,MATCH(('Reg 85'!$AQ$6&amp;'Reg 85'!BD$10&amp;'Reg 85'!$B18),('DMR 001C TIN &amp; TP'!$E$3:$E$10005&amp;'DMR 001C TIN &amp; TP'!$B$3:$B$10005&amp;'DMR 001C TIN &amp; TP'!$A$3:$A$10005),0),MATCH('Reg 85'!$AG$11,'DMR 001C TIN &amp; TP'!$A$2:$M$2,0))),"")</f>
        <v/>
      </c>
      <c r="BE18" s="6" t="str">
        <f t="array" ref="BE18">_xlfn.IFNA((INDEX('DMR 001C TIN &amp; TP'!$A$3:$M$10005,MATCH(('Reg 85'!$AQ$6&amp;'Reg 85'!BE$10&amp;'Reg 85'!$B18),('DMR 001C TIN &amp; TP'!$E$3:$E$10005&amp;'DMR 001C TIN &amp; TP'!$B$3:$B$10005&amp;'DMR 001C TIN &amp; TP'!$A$3:$A$10005),0),MATCH('Reg 85'!$AG$11,'DMR 001C TIN &amp; TP'!$A$2:$M$2,0))),"")</f>
        <v/>
      </c>
      <c r="BF18" s="6" t="str">
        <f t="array" ref="BF18">_xlfn.IFNA((INDEX('DMR 001C TIN &amp; TP'!$A$3:$M$10005,MATCH(('Reg 85'!$AQ$6&amp;'Reg 85'!BF$10&amp;'Reg 85'!$B18),('DMR 001C TIN &amp; TP'!$E$3:$E$10005&amp;'DMR 001C TIN &amp; TP'!$B$3:$B$10005&amp;'DMR 001C TIN &amp; TP'!$A$3:$A$10005),0),MATCH('Reg 85'!$AG$11,'DMR 001C TIN &amp; TP'!$A$2:$M$2,0))),"")</f>
        <v/>
      </c>
    </row>
    <row r="19" spans="1:58">
      <c r="A19" s="3" t="str">
        <f t="shared" si="2"/>
        <v>Sat</v>
      </c>
      <c r="B19" s="96">
        <f t="shared" si="19"/>
        <v>43351</v>
      </c>
      <c r="C19" s="96">
        <f t="shared" si="3"/>
        <v>43373</v>
      </c>
      <c r="D19" s="96">
        <f t="shared" si="4"/>
        <v>43344</v>
      </c>
      <c r="E19" s="95">
        <f t="shared" si="5"/>
        <v>30</v>
      </c>
      <c r="F19" s="7">
        <f t="array" ref="F19">_xlfn.IFNA(INDEX('DMR Flows-Effluent'!$A$3:$F$9999,MATCH(($F$10&amp;$B19),('DMR Flows-Effluent'!$B$3:$B$9999&amp;'DMR Flows-Effluent'!$A$3:$A$9999),0),MATCH($F$8,'DMR Flows-Effluent'!$A$2:$F$2,0)),"")</f>
        <v>53.907299999999999</v>
      </c>
      <c r="G19" s="7">
        <f t="array" ref="G19">_xlfn.IFNA(INDEX('DMR Flows-Effluent'!$A$3:$F$9999,MATCH(($G$10&amp;$B19),('DMR Flows-Effluent'!$B$3:$B$9999&amp;'DMR Flows-Effluent'!$A$3:$A$9999),0),MATCH($F$8,'DMR Flows-Effluent'!$A$2:$F$2,0)),"")</f>
        <v>68.147199999999998</v>
      </c>
      <c r="H19" s="7">
        <f t="shared" si="6"/>
        <v>122.05449999999999</v>
      </c>
      <c r="I19" s="45" t="str">
        <f t="shared" si="7"/>
        <v/>
      </c>
      <c r="J19" s="6" t="str">
        <f t="array" ref="J19">_xlfn.IFNA((INDEX('DMR 001C TIN &amp; TP'!$A$3:$M$10005,MATCH(('Reg 85'!$I$6:$Q$6&amp;'Reg 85'!$I$10:$K$10&amp;'Reg 85'!$B19),('DMR 001C TIN &amp; TP'!$E$3:$E$10005&amp;'DMR 001C TIN &amp; TP'!$B$3:$B$10005&amp;'DMR 001C TIN &amp; TP'!$A$3:$A$10005),0),MATCH('Reg 85'!$J$11,'DMR 001C TIN &amp; TP'!$A$2:$M$2,0))),"")</f>
        <v/>
      </c>
      <c r="K19" s="6" t="str">
        <f t="array" ref="K19">_xlfn.IFNA((INDEX('DMR 001C TIN &amp; TP'!$A$3:$M$10005,MATCH(('Reg 85'!$I$6:$Q$6&amp;'Reg 85'!$I$10:$K$10&amp;'Reg 85'!$B19),('DMR 001C TIN &amp; TP'!$E$3:$E$10005&amp;'DMR 001C TIN &amp; TP'!$B$3:$B$10005&amp;'DMR 001C TIN &amp; TP'!$A$3:$A$10005),0),MATCH('Reg 85'!$K$11,'DMR 001C TIN &amp; TP'!$A$2:$M$2,0))),"")</f>
        <v/>
      </c>
      <c r="L19" s="53" t="str">
        <f t="shared" si="21"/>
        <v/>
      </c>
      <c r="M19" s="5" t="str">
        <f t="shared" si="8"/>
        <v/>
      </c>
      <c r="N19" s="6" t="str">
        <f t="array" ref="N19">_xlfn.IFNA((INDEX('DMR 001C TIN &amp; TP'!$A$3:$M$10005,MATCH(('Reg 85'!$I$6:$Q$6&amp;'Reg 85'!$M$10&amp;'Reg 85'!$B19),('DMR 001C TIN &amp; TP'!$E$3:$E$10005&amp;'DMR 001C TIN &amp; TP'!$B$3:$B$10005&amp;'DMR 001C TIN &amp; TP'!$A$3:$A$10005),0),MATCH('Reg 85'!$N$11,'DMR 001C TIN &amp; TP'!$A$2:$M$2,0))),"")</f>
        <v/>
      </c>
      <c r="O19" s="6" t="str">
        <f t="array" ref="O19">_xlfn.IFNA((INDEX('DMR 001C TIN &amp; TP'!$A$3:$M$10005,MATCH(('Reg 85'!$I$6:$Q$6&amp;'Reg 85'!$M$10&amp;'Reg 85'!$B19),('DMR 001C TIN &amp; TP'!$E$3:$E$10005&amp;'DMR 001C TIN &amp; TP'!$B$3:$B$10005&amp;'DMR 001C TIN &amp; TP'!$A$3:$A$10005),0),MATCH('Reg 85'!$O$11,'DMR 001C TIN &amp; TP'!$A$2:$M$2,0))),"")</f>
        <v/>
      </c>
      <c r="P19" s="53" t="str">
        <f t="shared" si="9"/>
        <v/>
      </c>
      <c r="Q19" s="73" t="str">
        <f t="array" ref="Q19">IFERROR(((L19*$F19)+(P19*$G19))/($H19),"")</f>
        <v/>
      </c>
      <c r="R19" s="6" t="str">
        <f t="array" ref="R19">_xlfn.IFNA((INDEX('DMR 001C TIN &amp; TP'!$A$3:$M$10005,MATCH(('Reg 85'!$I$6:$Q$6&amp;'Reg 85'!R$10&amp;'Reg 85'!$B19),('DMR 001C TIN &amp; TP'!$E$3:$E$10005&amp;'DMR 001C TIN &amp; TP'!$B$3:$B$10005&amp;'DMR 001C TIN &amp; TP'!$A$3:$A$10005),0),MATCH('Reg 85'!$O$11,'DMR 001C TIN &amp; TP'!$A$2:$M$2,0))),"")</f>
        <v/>
      </c>
      <c r="S19" s="6" t="str">
        <f t="array" ref="S19">_xlfn.IFNA((INDEX('DMR 001C TIN &amp; TP'!$A$3:$M$10005,MATCH(('Reg 85'!$I$6:$Q$6&amp;'Reg 85'!S$10&amp;'Reg 85'!$B19),('DMR 001C TIN &amp; TP'!$E$3:$E$10005&amp;'DMR 001C TIN &amp; TP'!$B$3:$B$10005&amp;'DMR 001C TIN &amp; TP'!$A$3:$A$10005),0),MATCH('Reg 85'!$O$11,'DMR 001C TIN &amp; TP'!$A$2:$M$2,0))),"")</f>
        <v/>
      </c>
      <c r="T19" s="6" t="str">
        <f t="array" ref="T19">_xlfn.IFNA((INDEX('DMR 001C TIN &amp; TP'!$A$3:$M$10005,MATCH(('Reg 85'!$I$6:$Q$6&amp;'Reg 85'!T$10&amp;'Reg 85'!$B19),('DMR 001C TIN &amp; TP'!$E$3:$E$10005&amp;'DMR 001C TIN &amp; TP'!$B$3:$B$10005&amp;'DMR 001C TIN &amp; TP'!$A$3:$A$10005),0),MATCH('Reg 85'!$O$11,'DMR 001C TIN &amp; TP'!$A$2:$M$2,0))),"")</f>
        <v/>
      </c>
      <c r="U19" s="6" t="str">
        <f t="array" ref="U19">_xlfn.IFNA((INDEX('DMR 001C TIN &amp; TP'!$A$3:$M$10005,MATCH(('Reg 85'!$I$6:$Q$6&amp;'Reg 85'!U$10&amp;'Reg 85'!$B19),('DMR 001C TIN &amp; TP'!$E$3:$E$10005&amp;'DMR 001C TIN &amp; TP'!$B$3:$B$10005&amp;'DMR 001C TIN &amp; TP'!$A$3:$A$10005),0),MATCH('Reg 85'!$O$11,'DMR 001C TIN &amp; TP'!$A$2:$M$2,0))),"")</f>
        <v/>
      </c>
      <c r="V19" s="6" t="str">
        <f t="array" ref="V19">_xlfn.IFNA((INDEX('DMR 001C TIN &amp; TP'!$A$3:$M$10005,MATCH(('Reg 85'!$I$6:$Q$6&amp;'Reg 85'!V$10&amp;'Reg 85'!$B19),('DMR 001C TIN &amp; TP'!$E$3:$E$10005&amp;'DMR 001C TIN &amp; TP'!$B$3:$B$10005&amp;'DMR 001C TIN &amp; TP'!$A$3:$A$10005),0),MATCH('Reg 85'!$O$11,'DMR 001C TIN &amp; TP'!$A$2:$M$2,0))),"")</f>
        <v/>
      </c>
      <c r="W19" s="6" t="str">
        <f t="array" ref="W19">_xlfn.IFNA((INDEX('DMR 001C TIN &amp; TP'!$A$3:$M$10005,MATCH(('Reg 85'!$I$6:$Q$6&amp;'Reg 85'!W$10&amp;'Reg 85'!$B19),('DMR 001C TIN &amp; TP'!$E$3:$E$10005&amp;'DMR 001C TIN &amp; TP'!$B$3:$B$10005&amp;'DMR 001C TIN &amp; TP'!$A$3:$A$10005),0),MATCH('Reg 85'!$O$11,'DMR 001C TIN &amp; TP'!$A$2:$M$2,0))),"")</f>
        <v/>
      </c>
      <c r="X19" s="5" t="str">
        <f t="shared" si="10"/>
        <v/>
      </c>
      <c r="Y19" s="6" t="str">
        <f t="array" ref="Y19">_xlfn.IFNA((INDEX('DMR 001C TIN &amp; TP'!$A$3:$M$10005,MATCH(('Reg 85'!$X$6&amp;'Reg 85'!$X$10&amp;'Reg 85'!$B19),('DMR 001C TIN &amp; TP'!$E$3:$E$10005&amp;'DMR 001C TIN &amp; TP'!$B$3:$B$10005&amp;'DMR 001C TIN &amp; TP'!$A$3:$A$10005),0),MATCH('Reg 85'!$Y$11,'DMR 001C TIN &amp; TP'!$A$2:$M$2,0))),"")</f>
        <v/>
      </c>
      <c r="Z19" s="6" t="str">
        <f t="array" ref="Z19">_xlfn.IFNA((INDEX('DMR 001C TIN &amp; TP'!$A$3:$M$10005,MATCH(('Reg 85'!$X$6&amp;'Reg 85'!$X$10&amp;'Reg 85'!$B19),('DMR 001C TIN &amp; TP'!$E$3:$E$10005&amp;'DMR 001C TIN &amp; TP'!$B$3:$B$10005&amp;'DMR 001C TIN &amp; TP'!$A$3:$A$10005),0),MATCH('Reg 85'!$Z$11,'DMR 001C TIN &amp; TP'!$A$2:$M$2,0))),"")</f>
        <v/>
      </c>
      <c r="AA19" s="53" t="str">
        <f t="shared" si="11"/>
        <v/>
      </c>
      <c r="AB19" s="5" t="str">
        <f t="shared" si="12"/>
        <v/>
      </c>
      <c r="AC19" s="6" t="str">
        <f t="array" ref="AC19">_xlfn.IFNA((INDEX('DMR 001C TIN &amp; TP'!$A$3:$M$10005,MATCH(('Reg 85'!$X$6&amp;'Reg 85'!$AB$10&amp;'Reg 85'!$B19),('DMR 001C TIN &amp; TP'!$E$3:$E$10005&amp;'DMR 001C TIN &amp; TP'!$B$3:$B$10005&amp;'DMR 001C TIN &amp; TP'!$A$3:$A$10005),0),MATCH('Reg 85'!$AC$11,'DMR 001C TIN &amp; TP'!$A$2:$M$2,0))),"")</f>
        <v/>
      </c>
      <c r="AD19" s="6" t="str">
        <f t="array" ref="AD19">_xlfn.IFNA((INDEX('DMR 001C TIN &amp; TP'!$A$3:$M$10005,MATCH(('Reg 85'!$X$6&amp;'Reg 85'!$AB$10&amp;'Reg 85'!$B19),('DMR 001C TIN &amp; TP'!$E$3:$E$10005&amp;'DMR 001C TIN &amp; TP'!$B$3:$B$10005&amp;'DMR 001C TIN &amp; TP'!$A$3:$A$10005),0),MATCH('Reg 85'!$AD$11,'DMR 001C TIN &amp; TP'!$A$2:$M$2,0))),"")</f>
        <v/>
      </c>
      <c r="AE19" s="53" t="str">
        <f t="shared" si="13"/>
        <v/>
      </c>
      <c r="AF19" s="7" t="str">
        <f t="shared" si="14"/>
        <v/>
      </c>
      <c r="AG19" s="6" t="str">
        <f t="array" ref="AG19">_xlfn.IFNA((INDEX('DMR 001C TIN &amp; TP'!$A$3:$M$10005,MATCH(('Reg 85'!$X$6&amp;'Reg 85'!AG$10&amp;'Reg 85'!$B19),('DMR 001C TIN &amp; TP'!$E$3:$E$10005&amp;'DMR 001C TIN &amp; TP'!$B$3:$B$10005&amp;'DMR 001C TIN &amp; TP'!$A$3:$A$10005),0),MATCH('Reg 85'!$AG$11,'DMR 001C TIN &amp; TP'!$A$2:$M$2,0))),"")</f>
        <v/>
      </c>
      <c r="AH19" s="6" t="str">
        <f t="array" ref="AH19">_xlfn.IFNA((INDEX('DMR 001C TIN &amp; TP'!$A$3:$M$10005,MATCH(('Reg 85'!$X$6&amp;'Reg 85'!AH$10&amp;'Reg 85'!$B19),('DMR 001C TIN &amp; TP'!$E$3:$E$10005&amp;'DMR 001C TIN &amp; TP'!$B$3:$B$10005&amp;'DMR 001C TIN &amp; TP'!$A$3:$A$10005),0),MATCH('Reg 85'!$AG$11,'DMR 001C TIN &amp; TP'!$A$2:$M$2,0))),"")</f>
        <v/>
      </c>
      <c r="AI19" s="6" t="str">
        <f t="array" ref="AI19">_xlfn.IFNA((INDEX('DMR 001C TIN &amp; TP'!$A$3:$M$10005,MATCH(('Reg 85'!$X$6&amp;'Reg 85'!AI$10&amp;'Reg 85'!$B19),('DMR 001C TIN &amp; TP'!$E$3:$E$10005&amp;'DMR 001C TIN &amp; TP'!$B$3:$B$10005&amp;'DMR 001C TIN &amp; TP'!$A$3:$A$10005),0),MATCH('Reg 85'!$AG$11,'DMR 001C TIN &amp; TP'!$A$2:$M$2,0))),"")</f>
        <v/>
      </c>
      <c r="AJ19" s="6" t="str">
        <f t="array" ref="AJ19">_xlfn.IFNA((INDEX('DMR 001C TIN &amp; TP'!$A$3:$M$10005,MATCH(('Reg 85'!$X$6&amp;'Reg 85'!AJ$10&amp;'Reg 85'!$B19),('DMR 001C TIN &amp; TP'!$E$3:$E$10005&amp;'DMR 001C TIN &amp; TP'!$B$3:$B$10005&amp;'DMR 001C TIN &amp; TP'!$A$3:$A$10005),0),MATCH('Reg 85'!$AG$11,'DMR 001C TIN &amp; TP'!$A$2:$M$2,0))),"")</f>
        <v/>
      </c>
      <c r="AK19" s="6" t="str">
        <f t="array" ref="AK19">_xlfn.IFNA((INDEX('DMR 001C TIN &amp; TP'!$A$3:$M$10005,MATCH(('Reg 85'!$X$6&amp;'Reg 85'!AK$10&amp;'Reg 85'!$B19),('DMR 001C TIN &amp; TP'!$E$3:$E$10005&amp;'DMR 001C TIN &amp; TP'!$B$3:$B$10005&amp;'DMR 001C TIN &amp; TP'!$A$3:$A$10005),0),MATCH('Reg 85'!$AG$11,'DMR 001C TIN &amp; TP'!$A$2:$M$2,0))),"")</f>
        <v/>
      </c>
      <c r="AL19" s="6" t="str">
        <f t="array" ref="AL19">_xlfn.IFNA((INDEX('DMR 001C TIN &amp; TP'!$A$3:$M$10005,MATCH(('Reg 85'!$X$6&amp;'Reg 85'!AL$10&amp;'Reg 85'!$B19),('DMR 001C TIN &amp; TP'!$E$3:$E$10005&amp;'DMR 001C TIN &amp; TP'!$B$3:$B$10005&amp;'DMR 001C TIN &amp; TP'!$A$3:$A$10005),0),MATCH('Reg 85'!$AG$11,'DMR 001C TIN &amp; TP'!$A$2:$M$2,0))),"")</f>
        <v/>
      </c>
      <c r="AM19" s="76"/>
      <c r="AN19" s="6"/>
      <c r="AO19" s="54" t="str">
        <f t="shared" si="0"/>
        <v/>
      </c>
      <c r="AP19" s="77" t="str">
        <f>IF(COUNT(IF((#REF!&lt;=C19)*(#REF!&gt;=D19)*(B19=EOMONTH(B19,0)),#REF!,""))=0,"",COUNT(IF((#REF!&lt;=C19)*(#REF!&gt;=D19)*(B19=EOMONTH(B19,0)),#REF!,"")))</f>
        <v/>
      </c>
      <c r="AQ19" s="47"/>
      <c r="AR19" s="6" t="str">
        <f t="array" ref="AR19">_xlfn.IFNA((INDEX('DMR 001C TIN &amp; TP'!$A$3:$M$10005,MATCH(('Reg 85'!$AQ$6&amp;'Reg 85'!$AQ$10&amp;'Reg 85'!$B19),('DMR 001C TIN &amp; TP'!$E$3:$E$10005&amp;'DMR 001C TIN &amp; TP'!$B$3:$B$10005&amp;'DMR 001C TIN &amp; TP'!$A$3:$A$10005),0),MATCH('Reg 85'!$AR$11,'DMR 001C TIN &amp; TP'!$A$2:$M$2,0))),"")</f>
        <v/>
      </c>
      <c r="AS19" s="6" t="str">
        <f t="array" ref="AS19">_xlfn.IFNA((INDEX('DMR 001C TIN &amp; TP'!$A$3:$M$10005,MATCH(('Reg 85'!$AQ$6&amp;'Reg 85'!$AQ$10&amp;'Reg 85'!$B19),('DMR 001C TIN &amp; TP'!$E$3:$E$10005&amp;'DMR 001C TIN &amp; TP'!$B$3:$B$10005&amp;'DMR 001C TIN &amp; TP'!$A$3:$A$10005),0),MATCH('Reg 85'!$AS$11,'DMR 001C TIN &amp; TP'!$A$2:$M$2,0))),"")</f>
        <v/>
      </c>
      <c r="AT19" s="53" t="str">
        <f t="shared" si="15"/>
        <v/>
      </c>
      <c r="AV19" s="6" t="str">
        <f t="array" ref="AV19">_xlfn.IFNA((INDEX('DMR 001C TIN &amp; TP'!$A$3:$M$10005,MATCH(('Reg 85'!$AQ$6&amp;'Reg 85'!$AU$10&amp;'Reg 85'!$B19),('DMR 001C TIN &amp; TP'!$E$3:$E$10005&amp;'DMR 001C TIN &amp; TP'!$B$3:$B$10005&amp;'DMR 001C TIN &amp; TP'!$A$3:$A$10005),0),MATCH('Reg 85'!$AV$11,'DMR 001C TIN &amp; TP'!$A$2:$M$2,0))),"")</f>
        <v/>
      </c>
      <c r="AW19" s="6" t="str">
        <f t="array" ref="AW19">_xlfn.IFNA((INDEX('DMR 001C TIN &amp; TP'!$A$3:$M$10005,MATCH(('Reg 85'!$AQ$6&amp;'Reg 85'!$AU$10&amp;'Reg 85'!$B19),('DMR 001C TIN &amp; TP'!$E$3:$E$10005&amp;'DMR 001C TIN &amp; TP'!$B$3:$B$10005&amp;'DMR 001C TIN &amp; TP'!$A$3:$A$10005),0),MATCH('Reg 85'!$AW$11,'DMR 001C TIN &amp; TP'!$A$2:$M$2,0))),"")</f>
        <v/>
      </c>
      <c r="AX19" s="53" t="str">
        <f t="shared" si="16"/>
        <v/>
      </c>
      <c r="AY19" s="55" t="str">
        <f t="shared" si="17"/>
        <v/>
      </c>
      <c r="AZ19" s="77" t="str">
        <f t="shared" ref="AZ19" si="26">IF(COUNT(IF((#REF!&lt;=C19)*(#REF!&gt;=D19)*(B19=EOMONTH(B19,0)),#REF!,""))=0,"",COUNT(IF((#REF!&lt;=C19)*(#REF!&gt;=D19)*(B19=EOMONTH(B19,0)),#REF!,"")))</f>
        <v/>
      </c>
      <c r="BA19" s="6" t="str">
        <f t="array" ref="BA19">_xlfn.IFNA((INDEX('DMR 001C TIN &amp; TP'!$A$3:$M$10005,MATCH(('Reg 85'!$AQ$6&amp;'Reg 85'!BA$10&amp;'Reg 85'!$B19),('DMR 001C TIN &amp; TP'!$E$3:$E$10005&amp;'DMR 001C TIN &amp; TP'!$B$3:$B$10005&amp;'DMR 001C TIN &amp; TP'!$A$3:$A$10005),0),MATCH('Reg 85'!$AG$11,'DMR 001C TIN &amp; TP'!$A$2:$M$2,0))),"")</f>
        <v/>
      </c>
      <c r="BB19" s="6" t="str">
        <f t="array" ref="BB19">_xlfn.IFNA((INDEX('DMR 001C TIN &amp; TP'!$A$3:$M$10005,MATCH(('Reg 85'!$AQ$6&amp;'Reg 85'!BB$10&amp;'Reg 85'!$B19),('DMR 001C TIN &amp; TP'!$E$3:$E$10005&amp;'DMR 001C TIN &amp; TP'!$B$3:$B$10005&amp;'DMR 001C TIN &amp; TP'!$A$3:$A$10005),0),MATCH('Reg 85'!$AG$11,'DMR 001C TIN &amp; TP'!$A$2:$M$2,0))),"")</f>
        <v/>
      </c>
      <c r="BC19" s="6" t="str">
        <f t="array" ref="BC19">_xlfn.IFNA((INDEX('DMR 001C TIN &amp; TP'!$A$3:$M$10005,MATCH(('Reg 85'!$AQ$6&amp;'Reg 85'!BC$10&amp;'Reg 85'!$B19),('DMR 001C TIN &amp; TP'!$E$3:$E$10005&amp;'DMR 001C TIN &amp; TP'!$B$3:$B$10005&amp;'DMR 001C TIN &amp; TP'!$A$3:$A$10005),0),MATCH('Reg 85'!$AG$11,'DMR 001C TIN &amp; TP'!$A$2:$M$2,0))),"")</f>
        <v/>
      </c>
      <c r="BD19" s="6" t="str">
        <f t="array" ref="BD19">_xlfn.IFNA((INDEX('DMR 001C TIN &amp; TP'!$A$3:$M$10005,MATCH(('Reg 85'!$AQ$6&amp;'Reg 85'!BD$10&amp;'Reg 85'!$B19),('DMR 001C TIN &amp; TP'!$E$3:$E$10005&amp;'DMR 001C TIN &amp; TP'!$B$3:$B$10005&amp;'DMR 001C TIN &amp; TP'!$A$3:$A$10005),0),MATCH('Reg 85'!$AG$11,'DMR 001C TIN &amp; TP'!$A$2:$M$2,0))),"")</f>
        <v/>
      </c>
      <c r="BE19" s="6" t="str">
        <f t="array" ref="BE19">_xlfn.IFNA((INDEX('DMR 001C TIN &amp; TP'!$A$3:$M$10005,MATCH(('Reg 85'!$AQ$6&amp;'Reg 85'!BE$10&amp;'Reg 85'!$B19),('DMR 001C TIN &amp; TP'!$E$3:$E$10005&amp;'DMR 001C TIN &amp; TP'!$B$3:$B$10005&amp;'DMR 001C TIN &amp; TP'!$A$3:$A$10005),0),MATCH('Reg 85'!$AG$11,'DMR 001C TIN &amp; TP'!$A$2:$M$2,0))),"")</f>
        <v/>
      </c>
      <c r="BF19" s="6" t="str">
        <f t="array" ref="BF19">_xlfn.IFNA((INDEX('DMR 001C TIN &amp; TP'!$A$3:$M$10005,MATCH(('Reg 85'!$AQ$6&amp;'Reg 85'!BF$10&amp;'Reg 85'!$B19),('DMR 001C TIN &amp; TP'!$E$3:$E$10005&amp;'DMR 001C TIN &amp; TP'!$B$3:$B$10005&amp;'DMR 001C TIN &amp; TP'!$A$3:$A$10005),0),MATCH('Reg 85'!$AG$11,'DMR 001C TIN &amp; TP'!$A$2:$M$2,0))),"")</f>
        <v/>
      </c>
    </row>
    <row r="20" spans="1:58">
      <c r="A20" s="3" t="str">
        <f t="shared" si="2"/>
        <v>Sun</v>
      </c>
      <c r="B20" s="96">
        <f t="shared" si="19"/>
        <v>43352</v>
      </c>
      <c r="C20" s="96">
        <f t="shared" si="3"/>
        <v>43373</v>
      </c>
      <c r="D20" s="96">
        <f t="shared" si="4"/>
        <v>43344</v>
      </c>
      <c r="E20" s="95">
        <f t="shared" si="5"/>
        <v>30</v>
      </c>
      <c r="F20" s="7">
        <f t="array" ref="F20">_xlfn.IFNA(INDEX('DMR Flows-Effluent'!$A$3:$F$9999,MATCH(($F$10&amp;$B20),('DMR Flows-Effluent'!$B$3:$B$9999&amp;'DMR Flows-Effluent'!$A$3:$A$9999),0),MATCH($F$8,'DMR Flows-Effluent'!$A$2:$F$2,0)),"")</f>
        <v>56.174300000000002</v>
      </c>
      <c r="G20" s="7">
        <f t="array" ref="G20">_xlfn.IFNA(INDEX('DMR Flows-Effluent'!$A$3:$F$9999,MATCH(($G$10&amp;$B20),('DMR Flows-Effluent'!$B$3:$B$9999&amp;'DMR Flows-Effluent'!$A$3:$A$9999),0),MATCH($F$8,'DMR Flows-Effluent'!$A$2:$F$2,0)),"")</f>
        <v>71.0351</v>
      </c>
      <c r="H20" s="7">
        <f t="shared" si="6"/>
        <v>127.2094</v>
      </c>
      <c r="I20" s="45" t="str">
        <f t="shared" si="7"/>
        <v/>
      </c>
      <c r="J20" s="6" t="str">
        <f t="array" ref="J20">_xlfn.IFNA((INDEX('DMR 001C TIN &amp; TP'!$A$3:$M$10005,MATCH(('Reg 85'!$I$6:$Q$6&amp;'Reg 85'!$I$10:$K$10&amp;'Reg 85'!$B20),('DMR 001C TIN &amp; TP'!$E$3:$E$10005&amp;'DMR 001C TIN &amp; TP'!$B$3:$B$10005&amp;'DMR 001C TIN &amp; TP'!$A$3:$A$10005),0),MATCH('Reg 85'!$J$11,'DMR 001C TIN &amp; TP'!$A$2:$M$2,0))),"")</f>
        <v/>
      </c>
      <c r="K20" s="6" t="str">
        <f t="array" ref="K20">_xlfn.IFNA((INDEX('DMR 001C TIN &amp; TP'!$A$3:$M$10005,MATCH(('Reg 85'!$I$6:$Q$6&amp;'Reg 85'!$I$10:$K$10&amp;'Reg 85'!$B20),('DMR 001C TIN &amp; TP'!$E$3:$E$10005&amp;'DMR 001C TIN &amp; TP'!$B$3:$B$10005&amp;'DMR 001C TIN &amp; TP'!$A$3:$A$10005),0),MATCH('Reg 85'!$K$11,'DMR 001C TIN &amp; TP'!$A$2:$M$2,0))),"")</f>
        <v/>
      </c>
      <c r="L20" s="53" t="str">
        <f t="shared" si="21"/>
        <v/>
      </c>
      <c r="M20" s="5" t="str">
        <f t="shared" si="8"/>
        <v/>
      </c>
      <c r="N20" s="6" t="str">
        <f t="array" ref="N20">_xlfn.IFNA((INDEX('DMR 001C TIN &amp; TP'!$A$3:$M$10005,MATCH(('Reg 85'!$I$6:$Q$6&amp;'Reg 85'!$M$10&amp;'Reg 85'!$B20),('DMR 001C TIN &amp; TP'!$E$3:$E$10005&amp;'DMR 001C TIN &amp; TP'!$B$3:$B$10005&amp;'DMR 001C TIN &amp; TP'!$A$3:$A$10005),0),MATCH('Reg 85'!$N$11,'DMR 001C TIN &amp; TP'!$A$2:$M$2,0))),"")</f>
        <v/>
      </c>
      <c r="O20" s="6" t="str">
        <f t="array" ref="O20">_xlfn.IFNA((INDEX('DMR 001C TIN &amp; TP'!$A$3:$M$10005,MATCH(('Reg 85'!$I$6:$Q$6&amp;'Reg 85'!$M$10&amp;'Reg 85'!$B20),('DMR 001C TIN &amp; TP'!$E$3:$E$10005&amp;'DMR 001C TIN &amp; TP'!$B$3:$B$10005&amp;'DMR 001C TIN &amp; TP'!$A$3:$A$10005),0),MATCH('Reg 85'!$O$11,'DMR 001C TIN &amp; TP'!$A$2:$M$2,0))),"")</f>
        <v/>
      </c>
      <c r="P20" s="53" t="str">
        <f t="shared" si="9"/>
        <v/>
      </c>
      <c r="Q20" s="73" t="str">
        <f t="array" ref="Q20">IFERROR(((L20*$F20)+(P20*$G20))/($H20),"")</f>
        <v/>
      </c>
      <c r="R20" s="6" t="str">
        <f t="array" ref="R20">_xlfn.IFNA((INDEX('DMR 001C TIN &amp; TP'!$A$3:$M$10005,MATCH(('Reg 85'!$I$6:$Q$6&amp;'Reg 85'!R$10&amp;'Reg 85'!$B20),('DMR 001C TIN &amp; TP'!$E$3:$E$10005&amp;'DMR 001C TIN &amp; TP'!$B$3:$B$10005&amp;'DMR 001C TIN &amp; TP'!$A$3:$A$10005),0),MATCH('Reg 85'!$O$11,'DMR 001C TIN &amp; TP'!$A$2:$M$2,0))),"")</f>
        <v/>
      </c>
      <c r="S20" s="6" t="str">
        <f t="array" ref="S20">_xlfn.IFNA((INDEX('DMR 001C TIN &amp; TP'!$A$3:$M$10005,MATCH(('Reg 85'!$I$6:$Q$6&amp;'Reg 85'!S$10&amp;'Reg 85'!$B20),('DMR 001C TIN &amp; TP'!$E$3:$E$10005&amp;'DMR 001C TIN &amp; TP'!$B$3:$B$10005&amp;'DMR 001C TIN &amp; TP'!$A$3:$A$10005),0),MATCH('Reg 85'!$O$11,'DMR 001C TIN &amp; TP'!$A$2:$M$2,0))),"")</f>
        <v/>
      </c>
      <c r="T20" s="6" t="str">
        <f t="array" ref="T20">_xlfn.IFNA((INDEX('DMR 001C TIN &amp; TP'!$A$3:$M$10005,MATCH(('Reg 85'!$I$6:$Q$6&amp;'Reg 85'!T$10&amp;'Reg 85'!$B20),('DMR 001C TIN &amp; TP'!$E$3:$E$10005&amp;'DMR 001C TIN &amp; TP'!$B$3:$B$10005&amp;'DMR 001C TIN &amp; TP'!$A$3:$A$10005),0),MATCH('Reg 85'!$O$11,'DMR 001C TIN &amp; TP'!$A$2:$M$2,0))),"")</f>
        <v/>
      </c>
      <c r="U20" s="6" t="str">
        <f t="array" ref="U20">_xlfn.IFNA((INDEX('DMR 001C TIN &amp; TP'!$A$3:$M$10005,MATCH(('Reg 85'!$I$6:$Q$6&amp;'Reg 85'!U$10&amp;'Reg 85'!$B20),('DMR 001C TIN &amp; TP'!$E$3:$E$10005&amp;'DMR 001C TIN &amp; TP'!$B$3:$B$10005&amp;'DMR 001C TIN &amp; TP'!$A$3:$A$10005),0),MATCH('Reg 85'!$O$11,'DMR 001C TIN &amp; TP'!$A$2:$M$2,0))),"")</f>
        <v/>
      </c>
      <c r="V20" s="6" t="str">
        <f t="array" ref="V20">_xlfn.IFNA((INDEX('DMR 001C TIN &amp; TP'!$A$3:$M$10005,MATCH(('Reg 85'!$I$6:$Q$6&amp;'Reg 85'!V$10&amp;'Reg 85'!$B20),('DMR 001C TIN &amp; TP'!$E$3:$E$10005&amp;'DMR 001C TIN &amp; TP'!$B$3:$B$10005&amp;'DMR 001C TIN &amp; TP'!$A$3:$A$10005),0),MATCH('Reg 85'!$O$11,'DMR 001C TIN &amp; TP'!$A$2:$M$2,0))),"")</f>
        <v/>
      </c>
      <c r="W20" s="6" t="str">
        <f t="array" ref="W20">_xlfn.IFNA((INDEX('DMR 001C TIN &amp; TP'!$A$3:$M$10005,MATCH(('Reg 85'!$I$6:$Q$6&amp;'Reg 85'!W$10&amp;'Reg 85'!$B20),('DMR 001C TIN &amp; TP'!$E$3:$E$10005&amp;'DMR 001C TIN &amp; TP'!$B$3:$B$10005&amp;'DMR 001C TIN &amp; TP'!$A$3:$A$10005),0),MATCH('Reg 85'!$O$11,'DMR 001C TIN &amp; TP'!$A$2:$M$2,0))),"")</f>
        <v/>
      </c>
      <c r="X20" s="5" t="str">
        <f t="shared" si="10"/>
        <v/>
      </c>
      <c r="Y20" s="6" t="str">
        <f t="array" ref="Y20">_xlfn.IFNA((INDEX('DMR 001C TIN &amp; TP'!$A$3:$M$10005,MATCH(('Reg 85'!$X$6&amp;'Reg 85'!$X$10&amp;'Reg 85'!$B20),('DMR 001C TIN &amp; TP'!$E$3:$E$10005&amp;'DMR 001C TIN &amp; TP'!$B$3:$B$10005&amp;'DMR 001C TIN &amp; TP'!$A$3:$A$10005),0),MATCH('Reg 85'!$Y$11,'DMR 001C TIN &amp; TP'!$A$2:$M$2,0))),"")</f>
        <v/>
      </c>
      <c r="Z20" s="6" t="str">
        <f t="array" ref="Z20">_xlfn.IFNA((INDEX('DMR 001C TIN &amp; TP'!$A$3:$M$10005,MATCH(('Reg 85'!$X$6&amp;'Reg 85'!$X$10&amp;'Reg 85'!$B20),('DMR 001C TIN &amp; TP'!$E$3:$E$10005&amp;'DMR 001C TIN &amp; TP'!$B$3:$B$10005&amp;'DMR 001C TIN &amp; TP'!$A$3:$A$10005),0),MATCH('Reg 85'!$Z$11,'DMR 001C TIN &amp; TP'!$A$2:$M$2,0))),"")</f>
        <v/>
      </c>
      <c r="AA20" s="53" t="str">
        <f t="shared" si="11"/>
        <v/>
      </c>
      <c r="AB20" s="5" t="str">
        <f t="shared" si="12"/>
        <v/>
      </c>
      <c r="AC20" s="6" t="str">
        <f t="array" ref="AC20">_xlfn.IFNA((INDEX('DMR 001C TIN &amp; TP'!$A$3:$M$10005,MATCH(('Reg 85'!$X$6&amp;'Reg 85'!$AB$10&amp;'Reg 85'!$B20),('DMR 001C TIN &amp; TP'!$E$3:$E$10005&amp;'DMR 001C TIN &amp; TP'!$B$3:$B$10005&amp;'DMR 001C TIN &amp; TP'!$A$3:$A$10005),0),MATCH('Reg 85'!$AC$11,'DMR 001C TIN &amp; TP'!$A$2:$M$2,0))),"")</f>
        <v/>
      </c>
      <c r="AD20" s="6" t="str">
        <f t="array" ref="AD20">_xlfn.IFNA((INDEX('DMR 001C TIN &amp; TP'!$A$3:$M$10005,MATCH(('Reg 85'!$X$6&amp;'Reg 85'!$AB$10&amp;'Reg 85'!$B20),('DMR 001C TIN &amp; TP'!$E$3:$E$10005&amp;'DMR 001C TIN &amp; TP'!$B$3:$B$10005&amp;'DMR 001C TIN &amp; TP'!$A$3:$A$10005),0),MATCH('Reg 85'!$AD$11,'DMR 001C TIN &amp; TP'!$A$2:$M$2,0))),"")</f>
        <v/>
      </c>
      <c r="AE20" s="53" t="str">
        <f t="shared" si="13"/>
        <v/>
      </c>
      <c r="AF20" s="7" t="str">
        <f t="shared" si="14"/>
        <v/>
      </c>
      <c r="AG20" s="6" t="str">
        <f t="array" ref="AG20">_xlfn.IFNA((INDEX('DMR 001C TIN &amp; TP'!$A$3:$M$10005,MATCH(('Reg 85'!$X$6&amp;'Reg 85'!AG$10&amp;'Reg 85'!$B20),('DMR 001C TIN &amp; TP'!$E$3:$E$10005&amp;'DMR 001C TIN &amp; TP'!$B$3:$B$10005&amp;'DMR 001C TIN &amp; TP'!$A$3:$A$10005),0),MATCH('Reg 85'!$AG$11,'DMR 001C TIN &amp; TP'!$A$2:$M$2,0))),"")</f>
        <v/>
      </c>
      <c r="AH20" s="6" t="str">
        <f t="array" ref="AH20">_xlfn.IFNA((INDEX('DMR 001C TIN &amp; TP'!$A$3:$M$10005,MATCH(('Reg 85'!$X$6&amp;'Reg 85'!AH$10&amp;'Reg 85'!$B20),('DMR 001C TIN &amp; TP'!$E$3:$E$10005&amp;'DMR 001C TIN &amp; TP'!$B$3:$B$10005&amp;'DMR 001C TIN &amp; TP'!$A$3:$A$10005),0),MATCH('Reg 85'!$AG$11,'DMR 001C TIN &amp; TP'!$A$2:$M$2,0))),"")</f>
        <v/>
      </c>
      <c r="AI20" s="6" t="str">
        <f t="array" ref="AI20">_xlfn.IFNA((INDEX('DMR 001C TIN &amp; TP'!$A$3:$M$10005,MATCH(('Reg 85'!$X$6&amp;'Reg 85'!AI$10&amp;'Reg 85'!$B20),('DMR 001C TIN &amp; TP'!$E$3:$E$10005&amp;'DMR 001C TIN &amp; TP'!$B$3:$B$10005&amp;'DMR 001C TIN &amp; TP'!$A$3:$A$10005),0),MATCH('Reg 85'!$AG$11,'DMR 001C TIN &amp; TP'!$A$2:$M$2,0))),"")</f>
        <v/>
      </c>
      <c r="AJ20" s="6" t="str">
        <f t="array" ref="AJ20">_xlfn.IFNA((INDEX('DMR 001C TIN &amp; TP'!$A$3:$M$10005,MATCH(('Reg 85'!$X$6&amp;'Reg 85'!AJ$10&amp;'Reg 85'!$B20),('DMR 001C TIN &amp; TP'!$E$3:$E$10005&amp;'DMR 001C TIN &amp; TP'!$B$3:$B$10005&amp;'DMR 001C TIN &amp; TP'!$A$3:$A$10005),0),MATCH('Reg 85'!$AG$11,'DMR 001C TIN &amp; TP'!$A$2:$M$2,0))),"")</f>
        <v/>
      </c>
      <c r="AK20" s="6" t="str">
        <f t="array" ref="AK20">_xlfn.IFNA((INDEX('DMR 001C TIN &amp; TP'!$A$3:$M$10005,MATCH(('Reg 85'!$X$6&amp;'Reg 85'!AK$10&amp;'Reg 85'!$B20),('DMR 001C TIN &amp; TP'!$E$3:$E$10005&amp;'DMR 001C TIN &amp; TP'!$B$3:$B$10005&amp;'DMR 001C TIN &amp; TP'!$A$3:$A$10005),0),MATCH('Reg 85'!$AG$11,'DMR 001C TIN &amp; TP'!$A$2:$M$2,0))),"")</f>
        <v/>
      </c>
      <c r="AL20" s="6" t="str">
        <f t="array" ref="AL20">_xlfn.IFNA((INDEX('DMR 001C TIN &amp; TP'!$A$3:$M$10005,MATCH(('Reg 85'!$X$6&amp;'Reg 85'!AL$10&amp;'Reg 85'!$B20),('DMR 001C TIN &amp; TP'!$E$3:$E$10005&amp;'DMR 001C TIN &amp; TP'!$B$3:$B$10005&amp;'DMR 001C TIN &amp; TP'!$A$3:$A$10005),0),MATCH('Reg 85'!$AG$11,'DMR 001C TIN &amp; TP'!$A$2:$M$2,0))),"")</f>
        <v/>
      </c>
      <c r="AM20" s="76"/>
      <c r="AN20" s="6"/>
      <c r="AO20" s="54" t="str">
        <f t="shared" si="0"/>
        <v/>
      </c>
      <c r="AP20" s="77" t="str">
        <f>IF(COUNT(IF((#REF!&lt;=C20)*(#REF!&gt;=D20)*(B20=EOMONTH(B20,0)),#REF!,""))=0,"",COUNT(IF((#REF!&lt;=C20)*(#REF!&gt;=D20)*(B20=EOMONTH(B20,0)),#REF!,"")))</f>
        <v/>
      </c>
      <c r="AQ20" s="47"/>
      <c r="AR20" s="6" t="str">
        <f t="array" ref="AR20">_xlfn.IFNA((INDEX('DMR 001C TIN &amp; TP'!$A$3:$M$10005,MATCH(('Reg 85'!$AQ$6&amp;'Reg 85'!$AQ$10&amp;'Reg 85'!$B20),('DMR 001C TIN &amp; TP'!$E$3:$E$10005&amp;'DMR 001C TIN &amp; TP'!$B$3:$B$10005&amp;'DMR 001C TIN &amp; TP'!$A$3:$A$10005),0),MATCH('Reg 85'!$AR$11,'DMR 001C TIN &amp; TP'!$A$2:$M$2,0))),"")</f>
        <v>0.03</v>
      </c>
      <c r="AS20" s="6">
        <f t="array" ref="AS20">_xlfn.IFNA((INDEX('DMR 001C TIN &amp; TP'!$A$3:$M$10005,MATCH(('Reg 85'!$AQ$6&amp;'Reg 85'!$AQ$10&amp;'Reg 85'!$B20),('DMR 001C TIN &amp; TP'!$E$3:$E$10005&amp;'DMR 001C TIN &amp; TP'!$B$3:$B$10005&amp;'DMR 001C TIN &amp; TP'!$A$3:$A$10005),0),MATCH('Reg 85'!$AS$11,'DMR 001C TIN &amp; TP'!$A$2:$M$2,0))),"")</f>
        <v>0.41</v>
      </c>
      <c r="AT20" s="53">
        <f t="shared" si="15"/>
        <v>0.41</v>
      </c>
      <c r="AV20" s="6" t="str">
        <f t="array" ref="AV20">_xlfn.IFNA((INDEX('DMR 001C TIN &amp; TP'!$A$3:$M$10005,MATCH(('Reg 85'!$AQ$6&amp;'Reg 85'!$AU$10&amp;'Reg 85'!$B20),('DMR 001C TIN &amp; TP'!$E$3:$E$10005&amp;'DMR 001C TIN &amp; TP'!$B$3:$B$10005&amp;'DMR 001C TIN &amp; TP'!$A$3:$A$10005),0),MATCH('Reg 85'!$AV$11,'DMR 001C TIN &amp; TP'!$A$2:$M$2,0))),"")</f>
        <v>0.06</v>
      </c>
      <c r="AW20" s="6">
        <f t="array" ref="AW20">_xlfn.IFNA((INDEX('DMR 001C TIN &amp; TP'!$A$3:$M$10005,MATCH(('Reg 85'!$AQ$6&amp;'Reg 85'!$AU$10&amp;'Reg 85'!$B20),('DMR 001C TIN &amp; TP'!$E$3:$E$10005&amp;'DMR 001C TIN &amp; TP'!$B$3:$B$10005&amp;'DMR 001C TIN &amp; TP'!$A$3:$A$10005),0),MATCH('Reg 85'!$AW$11,'DMR 001C TIN &amp; TP'!$A$2:$M$2,0))),"")</f>
        <v>3.47</v>
      </c>
      <c r="AX20" s="53">
        <f t="shared" si="16"/>
        <v>3.47</v>
      </c>
      <c r="AY20" s="55">
        <f t="shared" si="17"/>
        <v>2.1187369801288267</v>
      </c>
      <c r="AZ20" s="77" t="str">
        <f t="shared" ref="AZ20" si="27">IF(COUNT(IF((#REF!&lt;=C20)*(#REF!&gt;=D20)*(B20=EOMONTH(B20,0)),#REF!,""))=0,"",COUNT(IF((#REF!&lt;=C20)*(#REF!&gt;=D20)*(B20=EOMONTH(B20,0)),#REF!,"")))</f>
        <v/>
      </c>
      <c r="BA20" s="6" t="str">
        <f t="array" ref="BA20">_xlfn.IFNA((INDEX('DMR 001C TIN &amp; TP'!$A$3:$M$10005,MATCH(('Reg 85'!$AQ$6&amp;'Reg 85'!BA$10&amp;'Reg 85'!$B20),('DMR 001C TIN &amp; TP'!$E$3:$E$10005&amp;'DMR 001C TIN &amp; TP'!$B$3:$B$10005&amp;'DMR 001C TIN &amp; TP'!$A$3:$A$10005),0),MATCH('Reg 85'!$AG$11,'DMR 001C TIN &amp; TP'!$A$2:$M$2,0))),"")</f>
        <v/>
      </c>
      <c r="BB20" s="6" t="str">
        <f t="array" ref="BB20">_xlfn.IFNA((INDEX('DMR 001C TIN &amp; TP'!$A$3:$M$10005,MATCH(('Reg 85'!$AQ$6&amp;'Reg 85'!BB$10&amp;'Reg 85'!$B20),('DMR 001C TIN &amp; TP'!$E$3:$E$10005&amp;'DMR 001C TIN &amp; TP'!$B$3:$B$10005&amp;'DMR 001C TIN &amp; TP'!$A$3:$A$10005),0),MATCH('Reg 85'!$AG$11,'DMR 001C TIN &amp; TP'!$A$2:$M$2,0))),"")</f>
        <v/>
      </c>
      <c r="BC20" s="6" t="str">
        <f t="array" ref="BC20">_xlfn.IFNA((INDEX('DMR 001C TIN &amp; TP'!$A$3:$M$10005,MATCH(('Reg 85'!$AQ$6&amp;'Reg 85'!BC$10&amp;'Reg 85'!$B20),('DMR 001C TIN &amp; TP'!$E$3:$E$10005&amp;'DMR 001C TIN &amp; TP'!$B$3:$B$10005&amp;'DMR 001C TIN &amp; TP'!$A$3:$A$10005),0),MATCH('Reg 85'!$AG$11,'DMR 001C TIN &amp; TP'!$A$2:$M$2,0))),"")</f>
        <v/>
      </c>
      <c r="BD20" s="6" t="str">
        <f t="array" ref="BD20">_xlfn.IFNA((INDEX('DMR 001C TIN &amp; TP'!$A$3:$M$10005,MATCH(('Reg 85'!$AQ$6&amp;'Reg 85'!BD$10&amp;'Reg 85'!$B20),('DMR 001C TIN &amp; TP'!$E$3:$E$10005&amp;'DMR 001C TIN &amp; TP'!$B$3:$B$10005&amp;'DMR 001C TIN &amp; TP'!$A$3:$A$10005),0),MATCH('Reg 85'!$AG$11,'DMR 001C TIN &amp; TP'!$A$2:$M$2,0))),"")</f>
        <v/>
      </c>
      <c r="BE20" s="6" t="str">
        <f t="array" ref="BE20">_xlfn.IFNA((INDEX('DMR 001C TIN &amp; TP'!$A$3:$M$10005,MATCH(('Reg 85'!$AQ$6&amp;'Reg 85'!BE$10&amp;'Reg 85'!$B20),('DMR 001C TIN &amp; TP'!$E$3:$E$10005&amp;'DMR 001C TIN &amp; TP'!$B$3:$B$10005&amp;'DMR 001C TIN &amp; TP'!$A$3:$A$10005),0),MATCH('Reg 85'!$AG$11,'DMR 001C TIN &amp; TP'!$A$2:$M$2,0))),"")</f>
        <v/>
      </c>
      <c r="BF20" s="6" t="str">
        <f t="array" ref="BF20">_xlfn.IFNA((INDEX('DMR 001C TIN &amp; TP'!$A$3:$M$10005,MATCH(('Reg 85'!$AQ$6&amp;'Reg 85'!BF$10&amp;'Reg 85'!$B20),('DMR 001C TIN &amp; TP'!$E$3:$E$10005&amp;'DMR 001C TIN &amp; TP'!$B$3:$B$10005&amp;'DMR 001C TIN &amp; TP'!$A$3:$A$10005),0),MATCH('Reg 85'!$AG$11,'DMR 001C TIN &amp; TP'!$A$2:$M$2,0))),"")</f>
        <v/>
      </c>
    </row>
    <row r="21" spans="1:58">
      <c r="A21" s="3" t="str">
        <f t="shared" si="2"/>
        <v>Mon</v>
      </c>
      <c r="B21" s="96">
        <f t="shared" si="19"/>
        <v>43353</v>
      </c>
      <c r="C21" s="96">
        <f t="shared" si="3"/>
        <v>43373</v>
      </c>
      <c r="D21" s="96">
        <f t="shared" si="4"/>
        <v>43344</v>
      </c>
      <c r="E21" s="95">
        <f t="shared" si="5"/>
        <v>30</v>
      </c>
      <c r="F21" s="7">
        <f t="array" ref="F21">_xlfn.IFNA(INDEX('DMR Flows-Effluent'!$A$3:$F$9999,MATCH(($F$10&amp;$B21),('DMR Flows-Effluent'!$B$3:$B$9999&amp;'DMR Flows-Effluent'!$A$3:$A$9999),0),MATCH($F$8,'DMR Flows-Effluent'!$A$2:$F$2,0)),"")</f>
        <v>52.4133</v>
      </c>
      <c r="G21" s="7">
        <f t="array" ref="G21">_xlfn.IFNA(INDEX('DMR Flows-Effluent'!$A$3:$F$9999,MATCH(($G$10&amp;$B21),('DMR Flows-Effluent'!$B$3:$B$9999&amp;'DMR Flows-Effluent'!$A$3:$A$9999),0),MATCH($F$8,'DMR Flows-Effluent'!$A$2:$F$2,0)),"")</f>
        <v>70.4375</v>
      </c>
      <c r="H21" s="7">
        <f t="shared" si="6"/>
        <v>122.85079999999999</v>
      </c>
      <c r="I21" s="45" t="str">
        <f t="shared" si="7"/>
        <v/>
      </c>
      <c r="J21" s="6" t="str">
        <f t="array" ref="J21">_xlfn.IFNA((INDEX('DMR 001C TIN &amp; TP'!$A$3:$M$10005,MATCH(('Reg 85'!$I$6:$Q$6&amp;'Reg 85'!$I$10:$K$10&amp;'Reg 85'!$B21),('DMR 001C TIN &amp; TP'!$E$3:$E$10005&amp;'DMR 001C TIN &amp; TP'!$B$3:$B$10005&amp;'DMR 001C TIN &amp; TP'!$A$3:$A$10005),0),MATCH('Reg 85'!$J$11,'DMR 001C TIN &amp; TP'!$A$2:$M$2,0))),"")</f>
        <v>0.15</v>
      </c>
      <c r="K21" s="6">
        <f t="array" ref="K21">_xlfn.IFNA((INDEX('DMR 001C TIN &amp; TP'!$A$3:$M$10005,MATCH(('Reg 85'!$I$6:$Q$6&amp;'Reg 85'!$I$10:$K$10&amp;'Reg 85'!$B21),('DMR 001C TIN &amp; TP'!$E$3:$E$10005&amp;'DMR 001C TIN &amp; TP'!$B$3:$B$10005&amp;'DMR 001C TIN &amp; TP'!$A$3:$A$10005),0),MATCH('Reg 85'!$K$11,'DMR 001C TIN &amp; TP'!$A$2:$M$2,0))),"")</f>
        <v>0.27</v>
      </c>
      <c r="L21" s="53">
        <f t="shared" si="21"/>
        <v>0.27</v>
      </c>
      <c r="M21" s="5" t="str">
        <f t="shared" si="8"/>
        <v>&lt;</v>
      </c>
      <c r="N21" s="6" t="str">
        <f t="array" ref="N21">_xlfn.IFNA((INDEX('DMR 001C TIN &amp; TP'!$A$3:$M$10005,MATCH(('Reg 85'!$I$6:$Q$6&amp;'Reg 85'!$M$10&amp;'Reg 85'!$B21),('DMR 001C TIN &amp; TP'!$E$3:$E$10005&amp;'DMR 001C TIN &amp; TP'!$B$3:$B$10005&amp;'DMR 001C TIN &amp; TP'!$A$3:$A$10005),0),MATCH('Reg 85'!$N$11,'DMR 001C TIN &amp; TP'!$A$2:$M$2,0))),"")</f>
        <v>0.15</v>
      </c>
      <c r="O21" s="6">
        <f t="array" ref="O21">_xlfn.IFNA((INDEX('DMR 001C TIN &amp; TP'!$A$3:$M$10005,MATCH(('Reg 85'!$I$6:$Q$6&amp;'Reg 85'!$M$10&amp;'Reg 85'!$B21),('DMR 001C TIN &amp; TP'!$E$3:$E$10005&amp;'DMR 001C TIN &amp; TP'!$B$3:$B$10005&amp;'DMR 001C TIN &amp; TP'!$A$3:$A$10005),0),MATCH('Reg 85'!$O$11,'DMR 001C TIN &amp; TP'!$A$2:$M$2,0))),"")</f>
        <v>0.13</v>
      </c>
      <c r="P21" s="53">
        <f t="shared" si="9"/>
        <v>0</v>
      </c>
      <c r="Q21" s="73">
        <f t="array" ref="Q21">IFERROR(((L21*$F21)+(P21*$G21))/($H21),"")</f>
        <v>0.11519331579444336</v>
      </c>
      <c r="R21" s="6" t="str">
        <f t="array" ref="R21">_xlfn.IFNA((INDEX('DMR 001C TIN &amp; TP'!$A$3:$M$10005,MATCH(('Reg 85'!$I$6:$Q$6&amp;'Reg 85'!R$10&amp;'Reg 85'!$B21),('DMR 001C TIN &amp; TP'!$E$3:$E$10005&amp;'DMR 001C TIN &amp; TP'!$B$3:$B$10005&amp;'DMR 001C TIN &amp; TP'!$A$3:$A$10005),0),MATCH('Reg 85'!$O$11,'DMR 001C TIN &amp; TP'!$A$2:$M$2,0))),"")</f>
        <v/>
      </c>
      <c r="S21" s="6" t="str">
        <f t="array" ref="S21">_xlfn.IFNA((INDEX('DMR 001C TIN &amp; TP'!$A$3:$M$10005,MATCH(('Reg 85'!$I$6:$Q$6&amp;'Reg 85'!S$10&amp;'Reg 85'!$B21),('DMR 001C TIN &amp; TP'!$E$3:$E$10005&amp;'DMR 001C TIN &amp; TP'!$B$3:$B$10005&amp;'DMR 001C TIN &amp; TP'!$A$3:$A$10005),0),MATCH('Reg 85'!$O$11,'DMR 001C TIN &amp; TP'!$A$2:$M$2,0))),"")</f>
        <v/>
      </c>
      <c r="T21" s="6" t="str">
        <f t="array" ref="T21">_xlfn.IFNA((INDEX('DMR 001C TIN &amp; TP'!$A$3:$M$10005,MATCH(('Reg 85'!$I$6:$Q$6&amp;'Reg 85'!T$10&amp;'Reg 85'!$B21),('DMR 001C TIN &amp; TP'!$E$3:$E$10005&amp;'DMR 001C TIN &amp; TP'!$B$3:$B$10005&amp;'DMR 001C TIN &amp; TP'!$A$3:$A$10005),0),MATCH('Reg 85'!$O$11,'DMR 001C TIN &amp; TP'!$A$2:$M$2,0))),"")</f>
        <v/>
      </c>
      <c r="U21" s="6" t="str">
        <f t="array" ref="U21">_xlfn.IFNA((INDEX('DMR 001C TIN &amp; TP'!$A$3:$M$10005,MATCH(('Reg 85'!$I$6:$Q$6&amp;'Reg 85'!U$10&amp;'Reg 85'!$B21),('DMR 001C TIN &amp; TP'!$E$3:$E$10005&amp;'DMR 001C TIN &amp; TP'!$B$3:$B$10005&amp;'DMR 001C TIN &amp; TP'!$A$3:$A$10005),0),MATCH('Reg 85'!$O$11,'DMR 001C TIN &amp; TP'!$A$2:$M$2,0))),"")</f>
        <v/>
      </c>
      <c r="V21" s="6" t="str">
        <f t="array" ref="V21">_xlfn.IFNA((INDEX('DMR 001C TIN &amp; TP'!$A$3:$M$10005,MATCH(('Reg 85'!$I$6:$Q$6&amp;'Reg 85'!V$10&amp;'Reg 85'!$B21),('DMR 001C TIN &amp; TP'!$E$3:$E$10005&amp;'DMR 001C TIN &amp; TP'!$B$3:$B$10005&amp;'DMR 001C TIN &amp; TP'!$A$3:$A$10005),0),MATCH('Reg 85'!$O$11,'DMR 001C TIN &amp; TP'!$A$2:$M$2,0))),"")</f>
        <v/>
      </c>
      <c r="W21" s="6" t="str">
        <f t="array" ref="W21">_xlfn.IFNA((INDEX('DMR 001C TIN &amp; TP'!$A$3:$M$10005,MATCH(('Reg 85'!$I$6:$Q$6&amp;'Reg 85'!W$10&amp;'Reg 85'!$B21),('DMR 001C TIN &amp; TP'!$E$3:$E$10005&amp;'DMR 001C TIN &amp; TP'!$B$3:$B$10005&amp;'DMR 001C TIN &amp; TP'!$A$3:$A$10005),0),MATCH('Reg 85'!$O$11,'DMR 001C TIN &amp; TP'!$A$2:$M$2,0))),"")</f>
        <v/>
      </c>
      <c r="X21" s="5" t="str">
        <f t="shared" si="10"/>
        <v/>
      </c>
      <c r="Y21" s="6" t="str">
        <f t="array" ref="Y21">_xlfn.IFNA((INDEX('DMR 001C TIN &amp; TP'!$A$3:$M$10005,MATCH(('Reg 85'!$X$6&amp;'Reg 85'!$X$10&amp;'Reg 85'!$B21),('DMR 001C TIN &amp; TP'!$E$3:$E$10005&amp;'DMR 001C TIN &amp; TP'!$B$3:$B$10005&amp;'DMR 001C TIN &amp; TP'!$A$3:$A$10005),0),MATCH('Reg 85'!$Y$11,'DMR 001C TIN &amp; TP'!$A$2:$M$2,0))),"")</f>
        <v>0.06</v>
      </c>
      <c r="Z21" s="6">
        <f t="array" ref="Z21">_xlfn.IFNA((INDEX('DMR 001C TIN &amp; TP'!$A$3:$M$10005,MATCH(('Reg 85'!$X$6&amp;'Reg 85'!$X$10&amp;'Reg 85'!$B21),('DMR 001C TIN &amp; TP'!$E$3:$E$10005&amp;'DMR 001C TIN &amp; TP'!$B$3:$B$10005&amp;'DMR 001C TIN &amp; TP'!$A$3:$A$10005),0),MATCH('Reg 85'!$Z$11,'DMR 001C TIN &amp; TP'!$A$2:$M$2,0))),"")</f>
        <v>5.13</v>
      </c>
      <c r="AA21" s="53">
        <f t="shared" si="11"/>
        <v>5.13</v>
      </c>
      <c r="AB21" s="5" t="str">
        <f t="shared" si="12"/>
        <v/>
      </c>
      <c r="AC21" s="6" t="str">
        <f t="array" ref="AC21">_xlfn.IFNA((INDEX('DMR 001C TIN &amp; TP'!$A$3:$M$10005,MATCH(('Reg 85'!$X$6&amp;'Reg 85'!$AB$10&amp;'Reg 85'!$B21),('DMR 001C TIN &amp; TP'!$E$3:$E$10005&amp;'DMR 001C TIN &amp; TP'!$B$3:$B$10005&amp;'DMR 001C TIN &amp; TP'!$A$3:$A$10005),0),MATCH('Reg 85'!$AC$11,'DMR 001C TIN &amp; TP'!$A$2:$M$2,0))),"")</f>
        <v>0.06</v>
      </c>
      <c r="AD21" s="6">
        <f t="array" ref="AD21">_xlfn.IFNA((INDEX('DMR 001C TIN &amp; TP'!$A$3:$M$10005,MATCH(('Reg 85'!$X$6&amp;'Reg 85'!$AB$10&amp;'Reg 85'!$B21),('DMR 001C TIN &amp; TP'!$E$3:$E$10005&amp;'DMR 001C TIN &amp; TP'!$B$3:$B$10005&amp;'DMR 001C TIN &amp; TP'!$A$3:$A$10005),0),MATCH('Reg 85'!$AD$11,'DMR 001C TIN &amp; TP'!$A$2:$M$2,0))),"")</f>
        <v>5.22</v>
      </c>
      <c r="AE21" s="53">
        <f t="shared" si="13"/>
        <v>5.22</v>
      </c>
      <c r="AF21" s="7">
        <f t="shared" si="14"/>
        <v>5.1816022280685194</v>
      </c>
      <c r="AG21" s="6" t="str">
        <f t="array" ref="AG21">_xlfn.IFNA((INDEX('DMR 001C TIN &amp; TP'!$A$3:$M$10005,MATCH(('Reg 85'!$X$6&amp;'Reg 85'!AG$10&amp;'Reg 85'!$B21),('DMR 001C TIN &amp; TP'!$E$3:$E$10005&amp;'DMR 001C TIN &amp; TP'!$B$3:$B$10005&amp;'DMR 001C TIN &amp; TP'!$A$3:$A$10005),0),MATCH('Reg 85'!$AG$11,'DMR 001C TIN &amp; TP'!$A$2:$M$2,0))),"")</f>
        <v/>
      </c>
      <c r="AH21" s="6" t="str">
        <f t="array" ref="AH21">_xlfn.IFNA((INDEX('DMR 001C TIN &amp; TP'!$A$3:$M$10005,MATCH(('Reg 85'!$X$6&amp;'Reg 85'!AH$10&amp;'Reg 85'!$B21),('DMR 001C TIN &amp; TP'!$E$3:$E$10005&amp;'DMR 001C TIN &amp; TP'!$B$3:$B$10005&amp;'DMR 001C TIN &amp; TP'!$A$3:$A$10005),0),MATCH('Reg 85'!$AG$11,'DMR 001C TIN &amp; TP'!$A$2:$M$2,0))),"")</f>
        <v/>
      </c>
      <c r="AI21" s="6" t="str">
        <f t="array" ref="AI21">_xlfn.IFNA((INDEX('DMR 001C TIN &amp; TP'!$A$3:$M$10005,MATCH(('Reg 85'!$X$6&amp;'Reg 85'!AI$10&amp;'Reg 85'!$B21),('DMR 001C TIN &amp; TP'!$E$3:$E$10005&amp;'DMR 001C TIN &amp; TP'!$B$3:$B$10005&amp;'DMR 001C TIN &amp; TP'!$A$3:$A$10005),0),MATCH('Reg 85'!$AG$11,'DMR 001C TIN &amp; TP'!$A$2:$M$2,0))),"")</f>
        <v/>
      </c>
      <c r="AJ21" s="6" t="str">
        <f t="array" ref="AJ21">_xlfn.IFNA((INDEX('DMR 001C TIN &amp; TP'!$A$3:$M$10005,MATCH(('Reg 85'!$X$6&amp;'Reg 85'!AJ$10&amp;'Reg 85'!$B21),('DMR 001C TIN &amp; TP'!$E$3:$E$10005&amp;'DMR 001C TIN &amp; TP'!$B$3:$B$10005&amp;'DMR 001C TIN &amp; TP'!$A$3:$A$10005),0),MATCH('Reg 85'!$AG$11,'DMR 001C TIN &amp; TP'!$A$2:$M$2,0))),"")</f>
        <v/>
      </c>
      <c r="AK21" s="6" t="str">
        <f t="array" ref="AK21">_xlfn.IFNA((INDEX('DMR 001C TIN &amp; TP'!$A$3:$M$10005,MATCH(('Reg 85'!$X$6&amp;'Reg 85'!AK$10&amp;'Reg 85'!$B21),('DMR 001C TIN &amp; TP'!$E$3:$E$10005&amp;'DMR 001C TIN &amp; TP'!$B$3:$B$10005&amp;'DMR 001C TIN &amp; TP'!$A$3:$A$10005),0),MATCH('Reg 85'!$AG$11,'DMR 001C TIN &amp; TP'!$A$2:$M$2,0))),"")</f>
        <v/>
      </c>
      <c r="AL21" s="6" t="str">
        <f t="array" ref="AL21">_xlfn.IFNA((INDEX('DMR 001C TIN &amp; TP'!$A$3:$M$10005,MATCH(('Reg 85'!$X$6&amp;'Reg 85'!AL$10&amp;'Reg 85'!$B21),('DMR 001C TIN &amp; TP'!$E$3:$E$10005&amp;'DMR 001C TIN &amp; TP'!$B$3:$B$10005&amp;'DMR 001C TIN &amp; TP'!$A$3:$A$10005),0),MATCH('Reg 85'!$AG$11,'DMR 001C TIN &amp; TP'!$A$2:$M$2,0))),"")</f>
        <v/>
      </c>
      <c r="AM21" s="76"/>
      <c r="AN21" s="6"/>
      <c r="AO21" s="54">
        <f t="shared" si="0"/>
        <v>5.296795543862963</v>
      </c>
      <c r="AP21" s="77" t="str">
        <f>IF(COUNT(IF((#REF!&lt;=C21)*(#REF!&gt;=D21)*(B21=EOMONTH(B21,0)),#REF!,""))=0,"",COUNT(IF((#REF!&lt;=C21)*(#REF!&gt;=D21)*(B21=EOMONTH(B21,0)),#REF!,"")))</f>
        <v/>
      </c>
      <c r="AQ21" s="47"/>
      <c r="AR21" s="6" t="str">
        <f t="array" ref="AR21">_xlfn.IFNA((INDEX('DMR 001C TIN &amp; TP'!$A$3:$M$10005,MATCH(('Reg 85'!$AQ$6&amp;'Reg 85'!$AQ$10&amp;'Reg 85'!$B21),('DMR 001C TIN &amp; TP'!$E$3:$E$10005&amp;'DMR 001C TIN &amp; TP'!$B$3:$B$10005&amp;'DMR 001C TIN &amp; TP'!$A$3:$A$10005),0),MATCH('Reg 85'!$AR$11,'DMR 001C TIN &amp; TP'!$A$2:$M$2,0))),"")</f>
        <v/>
      </c>
      <c r="AS21" s="6" t="str">
        <f t="array" ref="AS21">_xlfn.IFNA((INDEX('DMR 001C TIN &amp; TP'!$A$3:$M$10005,MATCH(('Reg 85'!$AQ$6&amp;'Reg 85'!$AQ$10&amp;'Reg 85'!$B21),('DMR 001C TIN &amp; TP'!$E$3:$E$10005&amp;'DMR 001C TIN &amp; TP'!$B$3:$B$10005&amp;'DMR 001C TIN &amp; TP'!$A$3:$A$10005),0),MATCH('Reg 85'!$AS$11,'DMR 001C TIN &amp; TP'!$A$2:$M$2,0))),"")</f>
        <v/>
      </c>
      <c r="AT21" s="53" t="str">
        <f t="shared" si="15"/>
        <v/>
      </c>
      <c r="AV21" s="6" t="str">
        <f t="array" ref="AV21">_xlfn.IFNA((INDEX('DMR 001C TIN &amp; TP'!$A$3:$M$10005,MATCH(('Reg 85'!$AQ$6&amp;'Reg 85'!$AU$10&amp;'Reg 85'!$B21),('DMR 001C TIN &amp; TP'!$E$3:$E$10005&amp;'DMR 001C TIN &amp; TP'!$B$3:$B$10005&amp;'DMR 001C TIN &amp; TP'!$A$3:$A$10005),0),MATCH('Reg 85'!$AV$11,'DMR 001C TIN &amp; TP'!$A$2:$M$2,0))),"")</f>
        <v/>
      </c>
      <c r="AW21" s="6" t="str">
        <f t="array" ref="AW21">_xlfn.IFNA((INDEX('DMR 001C TIN &amp; TP'!$A$3:$M$10005,MATCH(('Reg 85'!$AQ$6&amp;'Reg 85'!$AU$10&amp;'Reg 85'!$B21),('DMR 001C TIN &amp; TP'!$E$3:$E$10005&amp;'DMR 001C TIN &amp; TP'!$B$3:$B$10005&amp;'DMR 001C TIN &amp; TP'!$A$3:$A$10005),0),MATCH('Reg 85'!$AW$11,'DMR 001C TIN &amp; TP'!$A$2:$M$2,0))),"")</f>
        <v/>
      </c>
      <c r="AX21" s="53" t="str">
        <f t="shared" si="16"/>
        <v/>
      </c>
      <c r="AY21" s="55" t="str">
        <f t="shared" si="17"/>
        <v/>
      </c>
      <c r="AZ21" s="77" t="str">
        <f t="shared" ref="AZ21" si="28">IF(COUNT(IF((#REF!&lt;=C21)*(#REF!&gt;=D21)*(B21=EOMONTH(B21,0)),#REF!,""))=0,"",COUNT(IF((#REF!&lt;=C21)*(#REF!&gt;=D21)*(B21=EOMONTH(B21,0)),#REF!,"")))</f>
        <v/>
      </c>
      <c r="BA21" s="6" t="str">
        <f t="array" ref="BA21">_xlfn.IFNA((INDEX('DMR 001C TIN &amp; TP'!$A$3:$M$10005,MATCH(('Reg 85'!$AQ$6&amp;'Reg 85'!BA$10&amp;'Reg 85'!$B21),('DMR 001C TIN &amp; TP'!$E$3:$E$10005&amp;'DMR 001C TIN &amp; TP'!$B$3:$B$10005&amp;'DMR 001C TIN &amp; TP'!$A$3:$A$10005),0),MATCH('Reg 85'!$AG$11,'DMR 001C TIN &amp; TP'!$A$2:$M$2,0))),"")</f>
        <v/>
      </c>
      <c r="BB21" s="6" t="str">
        <f t="array" ref="BB21">_xlfn.IFNA((INDEX('DMR 001C TIN &amp; TP'!$A$3:$M$10005,MATCH(('Reg 85'!$AQ$6&amp;'Reg 85'!BB$10&amp;'Reg 85'!$B21),('DMR 001C TIN &amp; TP'!$E$3:$E$10005&amp;'DMR 001C TIN &amp; TP'!$B$3:$B$10005&amp;'DMR 001C TIN &amp; TP'!$A$3:$A$10005),0),MATCH('Reg 85'!$AG$11,'DMR 001C TIN &amp; TP'!$A$2:$M$2,0))),"")</f>
        <v/>
      </c>
      <c r="BC21" s="6" t="str">
        <f t="array" ref="BC21">_xlfn.IFNA((INDEX('DMR 001C TIN &amp; TP'!$A$3:$M$10005,MATCH(('Reg 85'!$AQ$6&amp;'Reg 85'!BC$10&amp;'Reg 85'!$B21),('DMR 001C TIN &amp; TP'!$E$3:$E$10005&amp;'DMR 001C TIN &amp; TP'!$B$3:$B$10005&amp;'DMR 001C TIN &amp; TP'!$A$3:$A$10005),0),MATCH('Reg 85'!$AG$11,'DMR 001C TIN &amp; TP'!$A$2:$M$2,0))),"")</f>
        <v/>
      </c>
      <c r="BD21" s="6" t="str">
        <f t="array" ref="BD21">_xlfn.IFNA((INDEX('DMR 001C TIN &amp; TP'!$A$3:$M$10005,MATCH(('Reg 85'!$AQ$6&amp;'Reg 85'!BD$10&amp;'Reg 85'!$B21),('DMR 001C TIN &amp; TP'!$E$3:$E$10005&amp;'DMR 001C TIN &amp; TP'!$B$3:$B$10005&amp;'DMR 001C TIN &amp; TP'!$A$3:$A$10005),0),MATCH('Reg 85'!$AG$11,'DMR 001C TIN &amp; TP'!$A$2:$M$2,0))),"")</f>
        <v/>
      </c>
      <c r="BE21" s="6" t="str">
        <f t="array" ref="BE21">_xlfn.IFNA((INDEX('DMR 001C TIN &amp; TP'!$A$3:$M$10005,MATCH(('Reg 85'!$AQ$6&amp;'Reg 85'!BE$10&amp;'Reg 85'!$B21),('DMR 001C TIN &amp; TP'!$E$3:$E$10005&amp;'DMR 001C TIN &amp; TP'!$B$3:$B$10005&amp;'DMR 001C TIN &amp; TP'!$A$3:$A$10005),0),MATCH('Reg 85'!$AG$11,'DMR 001C TIN &amp; TP'!$A$2:$M$2,0))),"")</f>
        <v/>
      </c>
      <c r="BF21" s="6" t="str">
        <f t="array" ref="BF21">_xlfn.IFNA((INDEX('DMR 001C TIN &amp; TP'!$A$3:$M$10005,MATCH(('Reg 85'!$AQ$6&amp;'Reg 85'!BF$10&amp;'Reg 85'!$B21),('DMR 001C TIN &amp; TP'!$E$3:$E$10005&amp;'DMR 001C TIN &amp; TP'!$B$3:$B$10005&amp;'DMR 001C TIN &amp; TP'!$A$3:$A$10005),0),MATCH('Reg 85'!$AG$11,'DMR 001C TIN &amp; TP'!$A$2:$M$2,0))),"")</f>
        <v/>
      </c>
    </row>
    <row r="22" spans="1:58">
      <c r="A22" s="3" t="str">
        <f t="shared" si="2"/>
        <v>Tue</v>
      </c>
      <c r="B22" s="96">
        <f t="shared" si="19"/>
        <v>43354</v>
      </c>
      <c r="C22" s="96">
        <f t="shared" si="3"/>
        <v>43373</v>
      </c>
      <c r="D22" s="96">
        <f t="shared" si="4"/>
        <v>43344</v>
      </c>
      <c r="E22" s="95">
        <f t="shared" si="5"/>
        <v>30</v>
      </c>
      <c r="F22" s="7">
        <f t="array" ref="F22">_xlfn.IFNA(INDEX('DMR Flows-Effluent'!$A$3:$F$9999,MATCH(($F$10&amp;$B22),('DMR Flows-Effluent'!$B$3:$B$9999&amp;'DMR Flows-Effluent'!$A$3:$A$9999),0),MATCH($F$8,'DMR Flows-Effluent'!$A$2:$F$2,0)),"")</f>
        <v>51.781999999999996</v>
      </c>
      <c r="G22" s="7">
        <f t="array" ref="G22">_xlfn.IFNA(INDEX('DMR Flows-Effluent'!$A$3:$F$9999,MATCH(($G$10&amp;$B22),('DMR Flows-Effluent'!$B$3:$B$9999&amp;'DMR Flows-Effluent'!$A$3:$A$9999),0),MATCH($F$8,'DMR Flows-Effluent'!$A$2:$F$2,0)),"")</f>
        <v>70.388000000000005</v>
      </c>
      <c r="H22" s="7">
        <f t="shared" si="6"/>
        <v>122.17</v>
      </c>
      <c r="I22" s="45" t="str">
        <f t="shared" si="7"/>
        <v/>
      </c>
      <c r="J22" s="6" t="str">
        <f t="array" ref="J22">_xlfn.IFNA((INDEX('DMR 001C TIN &amp; TP'!$A$3:$M$10005,MATCH(('Reg 85'!$I$6:$Q$6&amp;'Reg 85'!$I$10:$K$10&amp;'Reg 85'!$B22),('DMR 001C TIN &amp; TP'!$E$3:$E$10005&amp;'DMR 001C TIN &amp; TP'!$B$3:$B$10005&amp;'DMR 001C TIN &amp; TP'!$A$3:$A$10005),0),MATCH('Reg 85'!$J$11,'DMR 001C TIN &amp; TP'!$A$2:$M$2,0))),"")</f>
        <v>0.15</v>
      </c>
      <c r="K22" s="6">
        <f t="array" ref="K22">_xlfn.IFNA((INDEX('DMR 001C TIN &amp; TP'!$A$3:$M$10005,MATCH(('Reg 85'!$I$6:$Q$6&amp;'Reg 85'!$I$10:$K$10&amp;'Reg 85'!$B22),('DMR 001C TIN &amp; TP'!$E$3:$E$10005&amp;'DMR 001C TIN &amp; TP'!$B$3:$B$10005&amp;'DMR 001C TIN &amp; TP'!$A$3:$A$10005),0),MATCH('Reg 85'!$K$11,'DMR 001C TIN &amp; TP'!$A$2:$M$2,0))),"")</f>
        <v>0.34</v>
      </c>
      <c r="L22" s="53">
        <f t="shared" si="21"/>
        <v>0.34</v>
      </c>
      <c r="M22" s="5" t="str">
        <f t="shared" si="8"/>
        <v>&lt;</v>
      </c>
      <c r="N22" s="6" t="str">
        <f t="array" ref="N22">_xlfn.IFNA((INDEX('DMR 001C TIN &amp; TP'!$A$3:$M$10005,MATCH(('Reg 85'!$I$6:$Q$6&amp;'Reg 85'!$M$10&amp;'Reg 85'!$B22),('DMR 001C TIN &amp; TP'!$E$3:$E$10005&amp;'DMR 001C TIN &amp; TP'!$B$3:$B$10005&amp;'DMR 001C TIN &amp; TP'!$A$3:$A$10005),0),MATCH('Reg 85'!$N$11,'DMR 001C TIN &amp; TP'!$A$2:$M$2,0))),"")</f>
        <v>0.15</v>
      </c>
      <c r="O22" s="6">
        <f t="array" ref="O22">_xlfn.IFNA((INDEX('DMR 001C TIN &amp; TP'!$A$3:$M$10005,MATCH(('Reg 85'!$I$6:$Q$6&amp;'Reg 85'!$M$10&amp;'Reg 85'!$B22),('DMR 001C TIN &amp; TP'!$E$3:$E$10005&amp;'DMR 001C TIN &amp; TP'!$B$3:$B$10005&amp;'DMR 001C TIN &amp; TP'!$A$3:$A$10005),0),MATCH('Reg 85'!$O$11,'DMR 001C TIN &amp; TP'!$A$2:$M$2,0))),"")</f>
        <v>0.12</v>
      </c>
      <c r="P22" s="53">
        <f t="shared" si="9"/>
        <v>0</v>
      </c>
      <c r="Q22" s="73">
        <f t="array" ref="Q22">IFERROR(((L22*$F22)+(P22*$G22))/($H22),"")</f>
        <v>0.14410968322828843</v>
      </c>
      <c r="R22" s="6" t="str">
        <f t="array" ref="R22">_xlfn.IFNA((INDEX('DMR 001C TIN &amp; TP'!$A$3:$M$10005,MATCH(('Reg 85'!$I$6:$Q$6&amp;'Reg 85'!R$10&amp;'Reg 85'!$B22),('DMR 001C TIN &amp; TP'!$E$3:$E$10005&amp;'DMR 001C TIN &amp; TP'!$B$3:$B$10005&amp;'DMR 001C TIN &amp; TP'!$A$3:$A$10005),0),MATCH('Reg 85'!$O$11,'DMR 001C TIN &amp; TP'!$A$2:$M$2,0))),"")</f>
        <v/>
      </c>
      <c r="S22" s="6" t="str">
        <f t="array" ref="S22">_xlfn.IFNA((INDEX('DMR 001C TIN &amp; TP'!$A$3:$M$10005,MATCH(('Reg 85'!$I$6:$Q$6&amp;'Reg 85'!S$10&amp;'Reg 85'!$B22),('DMR 001C TIN &amp; TP'!$E$3:$E$10005&amp;'DMR 001C TIN &amp; TP'!$B$3:$B$10005&amp;'DMR 001C TIN &amp; TP'!$A$3:$A$10005),0),MATCH('Reg 85'!$O$11,'DMR 001C TIN &amp; TP'!$A$2:$M$2,0))),"")</f>
        <v/>
      </c>
      <c r="T22" s="6" t="str">
        <f t="array" ref="T22">_xlfn.IFNA((INDEX('DMR 001C TIN &amp; TP'!$A$3:$M$10005,MATCH(('Reg 85'!$I$6:$Q$6&amp;'Reg 85'!T$10&amp;'Reg 85'!$B22),('DMR 001C TIN &amp; TP'!$E$3:$E$10005&amp;'DMR 001C TIN &amp; TP'!$B$3:$B$10005&amp;'DMR 001C TIN &amp; TP'!$A$3:$A$10005),0),MATCH('Reg 85'!$O$11,'DMR 001C TIN &amp; TP'!$A$2:$M$2,0))),"")</f>
        <v/>
      </c>
      <c r="U22" s="6" t="str">
        <f t="array" ref="U22">_xlfn.IFNA((INDEX('DMR 001C TIN &amp; TP'!$A$3:$M$10005,MATCH(('Reg 85'!$I$6:$Q$6&amp;'Reg 85'!U$10&amp;'Reg 85'!$B22),('DMR 001C TIN &amp; TP'!$E$3:$E$10005&amp;'DMR 001C TIN &amp; TP'!$B$3:$B$10005&amp;'DMR 001C TIN &amp; TP'!$A$3:$A$10005),0),MATCH('Reg 85'!$O$11,'DMR 001C TIN &amp; TP'!$A$2:$M$2,0))),"")</f>
        <v/>
      </c>
      <c r="V22" s="6" t="str">
        <f t="array" ref="V22">_xlfn.IFNA((INDEX('DMR 001C TIN &amp; TP'!$A$3:$M$10005,MATCH(('Reg 85'!$I$6:$Q$6&amp;'Reg 85'!V$10&amp;'Reg 85'!$B22),('DMR 001C TIN &amp; TP'!$E$3:$E$10005&amp;'DMR 001C TIN &amp; TP'!$B$3:$B$10005&amp;'DMR 001C TIN &amp; TP'!$A$3:$A$10005),0),MATCH('Reg 85'!$O$11,'DMR 001C TIN &amp; TP'!$A$2:$M$2,0))),"")</f>
        <v/>
      </c>
      <c r="W22" s="6" t="str">
        <f t="array" ref="W22">_xlfn.IFNA((INDEX('DMR 001C TIN &amp; TP'!$A$3:$M$10005,MATCH(('Reg 85'!$I$6:$Q$6&amp;'Reg 85'!W$10&amp;'Reg 85'!$B22),('DMR 001C TIN &amp; TP'!$E$3:$E$10005&amp;'DMR 001C TIN &amp; TP'!$B$3:$B$10005&amp;'DMR 001C TIN &amp; TP'!$A$3:$A$10005),0),MATCH('Reg 85'!$O$11,'DMR 001C TIN &amp; TP'!$A$2:$M$2,0))),"")</f>
        <v/>
      </c>
      <c r="X22" s="5" t="str">
        <f t="shared" si="10"/>
        <v/>
      </c>
      <c r="Y22" s="6" t="str">
        <f t="array" ref="Y22">_xlfn.IFNA((INDEX('DMR 001C TIN &amp; TP'!$A$3:$M$10005,MATCH(('Reg 85'!$X$6&amp;'Reg 85'!$X$10&amp;'Reg 85'!$B22),('DMR 001C TIN &amp; TP'!$E$3:$E$10005&amp;'DMR 001C TIN &amp; TP'!$B$3:$B$10005&amp;'DMR 001C TIN &amp; TP'!$A$3:$A$10005),0),MATCH('Reg 85'!$Y$11,'DMR 001C TIN &amp; TP'!$A$2:$M$2,0))),"")</f>
        <v>0.06</v>
      </c>
      <c r="Z22" s="6">
        <f t="array" ref="Z22">_xlfn.IFNA((INDEX('DMR 001C TIN &amp; TP'!$A$3:$M$10005,MATCH(('Reg 85'!$X$6&amp;'Reg 85'!$X$10&amp;'Reg 85'!$B22),('DMR 001C TIN &amp; TP'!$E$3:$E$10005&amp;'DMR 001C TIN &amp; TP'!$B$3:$B$10005&amp;'DMR 001C TIN &amp; TP'!$A$3:$A$10005),0),MATCH('Reg 85'!$Z$11,'DMR 001C TIN &amp; TP'!$A$2:$M$2,0))),"")</f>
        <v>5.1100000000000003</v>
      </c>
      <c r="AA22" s="53">
        <f t="shared" si="11"/>
        <v>5.1100000000000003</v>
      </c>
      <c r="AB22" s="5" t="str">
        <f t="shared" si="12"/>
        <v/>
      </c>
      <c r="AC22" s="6" t="str">
        <f t="array" ref="AC22">_xlfn.IFNA((INDEX('DMR 001C TIN &amp; TP'!$A$3:$M$10005,MATCH(('Reg 85'!$X$6&amp;'Reg 85'!$AB$10&amp;'Reg 85'!$B22),('DMR 001C TIN &amp; TP'!$E$3:$E$10005&amp;'DMR 001C TIN &amp; TP'!$B$3:$B$10005&amp;'DMR 001C TIN &amp; TP'!$A$3:$A$10005),0),MATCH('Reg 85'!$AC$11,'DMR 001C TIN &amp; TP'!$A$2:$M$2,0))),"")</f>
        <v>0.06</v>
      </c>
      <c r="AD22" s="6">
        <f t="array" ref="AD22">_xlfn.IFNA((INDEX('DMR 001C TIN &amp; TP'!$A$3:$M$10005,MATCH(('Reg 85'!$X$6&amp;'Reg 85'!$AB$10&amp;'Reg 85'!$B22),('DMR 001C TIN &amp; TP'!$E$3:$E$10005&amp;'DMR 001C TIN &amp; TP'!$B$3:$B$10005&amp;'DMR 001C TIN &amp; TP'!$A$3:$A$10005),0),MATCH('Reg 85'!$AD$11,'DMR 001C TIN &amp; TP'!$A$2:$M$2,0))),"")</f>
        <v>5.16</v>
      </c>
      <c r="AE22" s="53">
        <f t="shared" si="13"/>
        <v>5.16</v>
      </c>
      <c r="AF22" s="7">
        <f t="shared" si="14"/>
        <v>5.138807399525251</v>
      </c>
      <c r="AG22" s="6" t="str">
        <f t="array" ref="AG22">_xlfn.IFNA((INDEX('DMR 001C TIN &amp; TP'!$A$3:$M$10005,MATCH(('Reg 85'!$X$6&amp;'Reg 85'!AG$10&amp;'Reg 85'!$B22),('DMR 001C TIN &amp; TP'!$E$3:$E$10005&amp;'DMR 001C TIN &amp; TP'!$B$3:$B$10005&amp;'DMR 001C TIN &amp; TP'!$A$3:$A$10005),0),MATCH('Reg 85'!$AG$11,'DMR 001C TIN &amp; TP'!$A$2:$M$2,0))),"")</f>
        <v/>
      </c>
      <c r="AH22" s="6" t="str">
        <f t="array" ref="AH22">_xlfn.IFNA((INDEX('DMR 001C TIN &amp; TP'!$A$3:$M$10005,MATCH(('Reg 85'!$X$6&amp;'Reg 85'!AH$10&amp;'Reg 85'!$B22),('DMR 001C TIN &amp; TP'!$E$3:$E$10005&amp;'DMR 001C TIN &amp; TP'!$B$3:$B$10005&amp;'DMR 001C TIN &amp; TP'!$A$3:$A$10005),0),MATCH('Reg 85'!$AG$11,'DMR 001C TIN &amp; TP'!$A$2:$M$2,0))),"")</f>
        <v/>
      </c>
      <c r="AI22" s="6" t="str">
        <f t="array" ref="AI22">_xlfn.IFNA((INDEX('DMR 001C TIN &amp; TP'!$A$3:$M$10005,MATCH(('Reg 85'!$X$6&amp;'Reg 85'!AI$10&amp;'Reg 85'!$B22),('DMR 001C TIN &amp; TP'!$E$3:$E$10005&amp;'DMR 001C TIN &amp; TP'!$B$3:$B$10005&amp;'DMR 001C TIN &amp; TP'!$A$3:$A$10005),0),MATCH('Reg 85'!$AG$11,'DMR 001C TIN &amp; TP'!$A$2:$M$2,0))),"")</f>
        <v/>
      </c>
      <c r="AJ22" s="6" t="str">
        <f t="array" ref="AJ22">_xlfn.IFNA((INDEX('DMR 001C TIN &amp; TP'!$A$3:$M$10005,MATCH(('Reg 85'!$X$6&amp;'Reg 85'!AJ$10&amp;'Reg 85'!$B22),('DMR 001C TIN &amp; TP'!$E$3:$E$10005&amp;'DMR 001C TIN &amp; TP'!$B$3:$B$10005&amp;'DMR 001C TIN &amp; TP'!$A$3:$A$10005),0),MATCH('Reg 85'!$AG$11,'DMR 001C TIN &amp; TP'!$A$2:$M$2,0))),"")</f>
        <v/>
      </c>
      <c r="AK22" s="6" t="str">
        <f t="array" ref="AK22">_xlfn.IFNA((INDEX('DMR 001C TIN &amp; TP'!$A$3:$M$10005,MATCH(('Reg 85'!$X$6&amp;'Reg 85'!AK$10&amp;'Reg 85'!$B22),('DMR 001C TIN &amp; TP'!$E$3:$E$10005&amp;'DMR 001C TIN &amp; TP'!$B$3:$B$10005&amp;'DMR 001C TIN &amp; TP'!$A$3:$A$10005),0),MATCH('Reg 85'!$AG$11,'DMR 001C TIN &amp; TP'!$A$2:$M$2,0))),"")</f>
        <v/>
      </c>
      <c r="AL22" s="6" t="str">
        <f t="array" ref="AL22">_xlfn.IFNA((INDEX('DMR 001C TIN &amp; TP'!$A$3:$M$10005,MATCH(('Reg 85'!$X$6&amp;'Reg 85'!AL$10&amp;'Reg 85'!$B22),('DMR 001C TIN &amp; TP'!$E$3:$E$10005&amp;'DMR 001C TIN &amp; TP'!$B$3:$B$10005&amp;'DMR 001C TIN &amp; TP'!$A$3:$A$10005),0),MATCH('Reg 85'!$AG$11,'DMR 001C TIN &amp; TP'!$A$2:$M$2,0))),"")</f>
        <v/>
      </c>
      <c r="AM22" s="76"/>
      <c r="AN22" s="6"/>
      <c r="AO22" s="54">
        <f t="shared" si="0"/>
        <v>5.2829170827535394</v>
      </c>
      <c r="AP22" s="77" t="str">
        <f>IF(COUNT(IF((#REF!&lt;=C22)*(#REF!&gt;=D22)*(B22=EOMONTH(B22,0)),#REF!,""))=0,"",COUNT(IF((#REF!&lt;=C22)*(#REF!&gt;=D22)*(B22=EOMONTH(B22,0)),#REF!,"")))</f>
        <v/>
      </c>
      <c r="AQ22" s="47"/>
      <c r="AR22" s="6" t="str">
        <f t="array" ref="AR22">_xlfn.IFNA((INDEX('DMR 001C TIN &amp; TP'!$A$3:$M$10005,MATCH(('Reg 85'!$AQ$6&amp;'Reg 85'!$AQ$10&amp;'Reg 85'!$B22),('DMR 001C TIN &amp; TP'!$E$3:$E$10005&amp;'DMR 001C TIN &amp; TP'!$B$3:$B$10005&amp;'DMR 001C TIN &amp; TP'!$A$3:$A$10005),0),MATCH('Reg 85'!$AR$11,'DMR 001C TIN &amp; TP'!$A$2:$M$2,0))),"")</f>
        <v/>
      </c>
      <c r="AS22" s="6" t="str">
        <f t="array" ref="AS22">_xlfn.IFNA((INDEX('DMR 001C TIN &amp; TP'!$A$3:$M$10005,MATCH(('Reg 85'!$AQ$6&amp;'Reg 85'!$AQ$10&amp;'Reg 85'!$B22),('DMR 001C TIN &amp; TP'!$E$3:$E$10005&amp;'DMR 001C TIN &amp; TP'!$B$3:$B$10005&amp;'DMR 001C TIN &amp; TP'!$A$3:$A$10005),0),MATCH('Reg 85'!$AS$11,'DMR 001C TIN &amp; TP'!$A$2:$M$2,0))),"")</f>
        <v/>
      </c>
      <c r="AT22" s="53" t="str">
        <f t="shared" si="15"/>
        <v/>
      </c>
      <c r="AV22" s="6" t="str">
        <f t="array" ref="AV22">_xlfn.IFNA((INDEX('DMR 001C TIN &amp; TP'!$A$3:$M$10005,MATCH(('Reg 85'!$AQ$6&amp;'Reg 85'!$AU$10&amp;'Reg 85'!$B22),('DMR 001C TIN &amp; TP'!$E$3:$E$10005&amp;'DMR 001C TIN &amp; TP'!$B$3:$B$10005&amp;'DMR 001C TIN &amp; TP'!$A$3:$A$10005),0),MATCH('Reg 85'!$AV$11,'DMR 001C TIN &amp; TP'!$A$2:$M$2,0))),"")</f>
        <v/>
      </c>
      <c r="AW22" s="6" t="str">
        <f t="array" ref="AW22">_xlfn.IFNA((INDEX('DMR 001C TIN &amp; TP'!$A$3:$M$10005,MATCH(('Reg 85'!$AQ$6&amp;'Reg 85'!$AU$10&amp;'Reg 85'!$B22),('DMR 001C TIN &amp; TP'!$E$3:$E$10005&amp;'DMR 001C TIN &amp; TP'!$B$3:$B$10005&amp;'DMR 001C TIN &amp; TP'!$A$3:$A$10005),0),MATCH('Reg 85'!$AW$11,'DMR 001C TIN &amp; TP'!$A$2:$M$2,0))),"")</f>
        <v/>
      </c>
      <c r="AX22" s="53" t="str">
        <f t="shared" si="16"/>
        <v/>
      </c>
      <c r="AY22" s="55" t="str">
        <f t="shared" si="17"/>
        <v/>
      </c>
      <c r="AZ22" s="77" t="str">
        <f t="shared" ref="AZ22" si="29">IF(COUNT(IF((#REF!&lt;=C22)*(#REF!&gt;=D22)*(B22=EOMONTH(B22,0)),#REF!,""))=0,"",COUNT(IF((#REF!&lt;=C22)*(#REF!&gt;=D22)*(B22=EOMONTH(B22,0)),#REF!,"")))</f>
        <v/>
      </c>
      <c r="BA22" s="6" t="str">
        <f t="array" ref="BA22">_xlfn.IFNA((INDEX('DMR 001C TIN &amp; TP'!$A$3:$M$10005,MATCH(('Reg 85'!$AQ$6&amp;'Reg 85'!BA$10&amp;'Reg 85'!$B22),('DMR 001C TIN &amp; TP'!$E$3:$E$10005&amp;'DMR 001C TIN &amp; TP'!$B$3:$B$10005&amp;'DMR 001C TIN &amp; TP'!$A$3:$A$10005),0),MATCH('Reg 85'!$AG$11,'DMR 001C TIN &amp; TP'!$A$2:$M$2,0))),"")</f>
        <v/>
      </c>
      <c r="BB22" s="6" t="str">
        <f t="array" ref="BB22">_xlfn.IFNA((INDEX('DMR 001C TIN &amp; TP'!$A$3:$M$10005,MATCH(('Reg 85'!$AQ$6&amp;'Reg 85'!BB$10&amp;'Reg 85'!$B22),('DMR 001C TIN &amp; TP'!$E$3:$E$10005&amp;'DMR 001C TIN &amp; TP'!$B$3:$B$10005&amp;'DMR 001C TIN &amp; TP'!$A$3:$A$10005),0),MATCH('Reg 85'!$AG$11,'DMR 001C TIN &amp; TP'!$A$2:$M$2,0))),"")</f>
        <v/>
      </c>
      <c r="BC22" s="6" t="str">
        <f t="array" ref="BC22">_xlfn.IFNA((INDEX('DMR 001C TIN &amp; TP'!$A$3:$M$10005,MATCH(('Reg 85'!$AQ$6&amp;'Reg 85'!BC$10&amp;'Reg 85'!$B22),('DMR 001C TIN &amp; TP'!$E$3:$E$10005&amp;'DMR 001C TIN &amp; TP'!$B$3:$B$10005&amp;'DMR 001C TIN &amp; TP'!$A$3:$A$10005),0),MATCH('Reg 85'!$AG$11,'DMR 001C TIN &amp; TP'!$A$2:$M$2,0))),"")</f>
        <v/>
      </c>
      <c r="BD22" s="6" t="str">
        <f t="array" ref="BD22">_xlfn.IFNA((INDEX('DMR 001C TIN &amp; TP'!$A$3:$M$10005,MATCH(('Reg 85'!$AQ$6&amp;'Reg 85'!BD$10&amp;'Reg 85'!$B22),('DMR 001C TIN &amp; TP'!$E$3:$E$10005&amp;'DMR 001C TIN &amp; TP'!$B$3:$B$10005&amp;'DMR 001C TIN &amp; TP'!$A$3:$A$10005),0),MATCH('Reg 85'!$AG$11,'DMR 001C TIN &amp; TP'!$A$2:$M$2,0))),"")</f>
        <v/>
      </c>
      <c r="BE22" s="6" t="str">
        <f t="array" ref="BE22">_xlfn.IFNA((INDEX('DMR 001C TIN &amp; TP'!$A$3:$M$10005,MATCH(('Reg 85'!$AQ$6&amp;'Reg 85'!BE$10&amp;'Reg 85'!$B22),('DMR 001C TIN &amp; TP'!$E$3:$E$10005&amp;'DMR 001C TIN &amp; TP'!$B$3:$B$10005&amp;'DMR 001C TIN &amp; TP'!$A$3:$A$10005),0),MATCH('Reg 85'!$AG$11,'DMR 001C TIN &amp; TP'!$A$2:$M$2,0))),"")</f>
        <v/>
      </c>
      <c r="BF22" s="6" t="str">
        <f t="array" ref="BF22">_xlfn.IFNA((INDEX('DMR 001C TIN &amp; TP'!$A$3:$M$10005,MATCH(('Reg 85'!$AQ$6&amp;'Reg 85'!BF$10&amp;'Reg 85'!$B22),('DMR 001C TIN &amp; TP'!$E$3:$E$10005&amp;'DMR 001C TIN &amp; TP'!$B$3:$B$10005&amp;'DMR 001C TIN &amp; TP'!$A$3:$A$10005),0),MATCH('Reg 85'!$AG$11,'DMR 001C TIN &amp; TP'!$A$2:$M$2,0))),"")</f>
        <v/>
      </c>
    </row>
    <row r="23" spans="1:58">
      <c r="A23" s="3" t="str">
        <f t="shared" si="2"/>
        <v>Wed</v>
      </c>
      <c r="B23" s="96">
        <f t="shared" si="19"/>
        <v>43355</v>
      </c>
      <c r="C23" s="96">
        <f t="shared" si="3"/>
        <v>43373</v>
      </c>
      <c r="D23" s="96">
        <f t="shared" si="4"/>
        <v>43344</v>
      </c>
      <c r="E23" s="95">
        <f t="shared" si="5"/>
        <v>30</v>
      </c>
      <c r="F23" s="7">
        <f t="array" ref="F23">_xlfn.IFNA(INDEX('DMR Flows-Effluent'!$A$3:$F$9999,MATCH(($F$10&amp;$B23),('DMR Flows-Effluent'!$B$3:$B$9999&amp;'DMR Flows-Effluent'!$A$3:$A$9999),0),MATCH($F$8,'DMR Flows-Effluent'!$A$2:$F$2,0)),"")</f>
        <v>51.227699999999999</v>
      </c>
      <c r="G23" s="7">
        <f t="array" ref="G23">_xlfn.IFNA(INDEX('DMR Flows-Effluent'!$A$3:$F$9999,MATCH(($G$10&amp;$B23),('DMR Flows-Effluent'!$B$3:$B$9999&amp;'DMR Flows-Effluent'!$A$3:$A$9999),0),MATCH($F$8,'DMR Flows-Effluent'!$A$2:$F$2,0)),"")</f>
        <v>70.704499999999996</v>
      </c>
      <c r="H23" s="7">
        <f t="shared" si="6"/>
        <v>121.93219999999999</v>
      </c>
      <c r="I23" s="45" t="str">
        <f t="shared" si="7"/>
        <v/>
      </c>
      <c r="J23" s="6" t="str">
        <f t="array" ref="J23">_xlfn.IFNA((INDEX('DMR 001C TIN &amp; TP'!$A$3:$M$10005,MATCH(('Reg 85'!$I$6:$Q$6&amp;'Reg 85'!$I$10:$K$10&amp;'Reg 85'!$B23),('DMR 001C TIN &amp; TP'!$E$3:$E$10005&amp;'DMR 001C TIN &amp; TP'!$B$3:$B$10005&amp;'DMR 001C TIN &amp; TP'!$A$3:$A$10005),0),MATCH('Reg 85'!$J$11,'DMR 001C TIN &amp; TP'!$A$2:$M$2,0))),"")</f>
        <v>0.15</v>
      </c>
      <c r="K23" s="6">
        <f t="array" ref="K23">_xlfn.IFNA((INDEX('DMR 001C TIN &amp; TP'!$A$3:$M$10005,MATCH(('Reg 85'!$I$6:$Q$6&amp;'Reg 85'!$I$10:$K$10&amp;'Reg 85'!$B23),('DMR 001C TIN &amp; TP'!$E$3:$E$10005&amp;'DMR 001C TIN &amp; TP'!$B$3:$B$10005&amp;'DMR 001C TIN &amp; TP'!$A$3:$A$10005),0),MATCH('Reg 85'!$K$11,'DMR 001C TIN &amp; TP'!$A$2:$M$2,0))),"")</f>
        <v>0.33</v>
      </c>
      <c r="L23" s="53">
        <f t="shared" si="21"/>
        <v>0.33</v>
      </c>
      <c r="M23" s="5" t="str">
        <f t="shared" si="8"/>
        <v>&lt;</v>
      </c>
      <c r="N23" s="6" t="str">
        <f t="array" ref="N23">_xlfn.IFNA((INDEX('DMR 001C TIN &amp; TP'!$A$3:$M$10005,MATCH(('Reg 85'!$I$6:$Q$6&amp;'Reg 85'!$M$10&amp;'Reg 85'!$B23),('DMR 001C TIN &amp; TP'!$E$3:$E$10005&amp;'DMR 001C TIN &amp; TP'!$B$3:$B$10005&amp;'DMR 001C TIN &amp; TP'!$A$3:$A$10005),0),MATCH('Reg 85'!$N$11,'DMR 001C TIN &amp; TP'!$A$2:$M$2,0))),"")</f>
        <v>0.15</v>
      </c>
      <c r="O23" s="6">
        <f t="array" ref="O23">_xlfn.IFNA((INDEX('DMR 001C TIN &amp; TP'!$A$3:$M$10005,MATCH(('Reg 85'!$I$6:$Q$6&amp;'Reg 85'!$M$10&amp;'Reg 85'!$B23),('DMR 001C TIN &amp; TP'!$E$3:$E$10005&amp;'DMR 001C TIN &amp; TP'!$B$3:$B$10005&amp;'DMR 001C TIN &amp; TP'!$A$3:$A$10005),0),MATCH('Reg 85'!$O$11,'DMR 001C TIN &amp; TP'!$A$2:$M$2,0))),"")</f>
        <v>0.11</v>
      </c>
      <c r="P23" s="53">
        <f t="shared" si="9"/>
        <v>0</v>
      </c>
      <c r="Q23" s="73">
        <f t="array" ref="Q23">IFERROR(((L23*$F23)+(P23*$G23))/($H23),"")</f>
        <v>0.13864377908378592</v>
      </c>
      <c r="R23" s="6" t="str">
        <f t="array" ref="R23">_xlfn.IFNA((INDEX('DMR 001C TIN &amp; TP'!$A$3:$M$10005,MATCH(('Reg 85'!$I$6:$Q$6&amp;'Reg 85'!R$10&amp;'Reg 85'!$B23),('DMR 001C TIN &amp; TP'!$E$3:$E$10005&amp;'DMR 001C TIN &amp; TP'!$B$3:$B$10005&amp;'DMR 001C TIN &amp; TP'!$A$3:$A$10005),0),MATCH('Reg 85'!$O$11,'DMR 001C TIN &amp; TP'!$A$2:$M$2,0))),"")</f>
        <v/>
      </c>
      <c r="S23" s="6" t="str">
        <f t="array" ref="S23">_xlfn.IFNA((INDEX('DMR 001C TIN &amp; TP'!$A$3:$M$10005,MATCH(('Reg 85'!$I$6:$Q$6&amp;'Reg 85'!S$10&amp;'Reg 85'!$B23),('DMR 001C TIN &amp; TP'!$E$3:$E$10005&amp;'DMR 001C TIN &amp; TP'!$B$3:$B$10005&amp;'DMR 001C TIN &amp; TP'!$A$3:$A$10005),0),MATCH('Reg 85'!$O$11,'DMR 001C TIN &amp; TP'!$A$2:$M$2,0))),"")</f>
        <v/>
      </c>
      <c r="T23" s="6" t="str">
        <f t="array" ref="T23">_xlfn.IFNA((INDEX('DMR 001C TIN &amp; TP'!$A$3:$M$10005,MATCH(('Reg 85'!$I$6:$Q$6&amp;'Reg 85'!T$10&amp;'Reg 85'!$B23),('DMR 001C TIN &amp; TP'!$E$3:$E$10005&amp;'DMR 001C TIN &amp; TP'!$B$3:$B$10005&amp;'DMR 001C TIN &amp; TP'!$A$3:$A$10005),0),MATCH('Reg 85'!$O$11,'DMR 001C TIN &amp; TP'!$A$2:$M$2,0))),"")</f>
        <v/>
      </c>
      <c r="U23" s="6" t="str">
        <f t="array" ref="U23">_xlfn.IFNA((INDEX('DMR 001C TIN &amp; TP'!$A$3:$M$10005,MATCH(('Reg 85'!$I$6:$Q$6&amp;'Reg 85'!U$10&amp;'Reg 85'!$B23),('DMR 001C TIN &amp; TP'!$E$3:$E$10005&amp;'DMR 001C TIN &amp; TP'!$B$3:$B$10005&amp;'DMR 001C TIN &amp; TP'!$A$3:$A$10005),0),MATCH('Reg 85'!$O$11,'DMR 001C TIN &amp; TP'!$A$2:$M$2,0))),"")</f>
        <v/>
      </c>
      <c r="V23" s="6" t="str">
        <f t="array" ref="V23">_xlfn.IFNA((INDEX('DMR 001C TIN &amp; TP'!$A$3:$M$10005,MATCH(('Reg 85'!$I$6:$Q$6&amp;'Reg 85'!V$10&amp;'Reg 85'!$B23),('DMR 001C TIN &amp; TP'!$E$3:$E$10005&amp;'DMR 001C TIN &amp; TP'!$B$3:$B$10005&amp;'DMR 001C TIN &amp; TP'!$A$3:$A$10005),0),MATCH('Reg 85'!$O$11,'DMR 001C TIN &amp; TP'!$A$2:$M$2,0))),"")</f>
        <v/>
      </c>
      <c r="W23" s="6" t="str">
        <f t="array" ref="W23">_xlfn.IFNA((INDEX('DMR 001C TIN &amp; TP'!$A$3:$M$10005,MATCH(('Reg 85'!$I$6:$Q$6&amp;'Reg 85'!W$10&amp;'Reg 85'!$B23),('DMR 001C TIN &amp; TP'!$E$3:$E$10005&amp;'DMR 001C TIN &amp; TP'!$B$3:$B$10005&amp;'DMR 001C TIN &amp; TP'!$A$3:$A$10005),0),MATCH('Reg 85'!$O$11,'DMR 001C TIN &amp; TP'!$A$2:$M$2,0))),"")</f>
        <v/>
      </c>
      <c r="X23" s="5" t="str">
        <f t="shared" si="10"/>
        <v/>
      </c>
      <c r="Y23" s="6" t="str">
        <f t="array" ref="Y23">_xlfn.IFNA((INDEX('DMR 001C TIN &amp; TP'!$A$3:$M$10005,MATCH(('Reg 85'!$X$6&amp;'Reg 85'!$X$10&amp;'Reg 85'!$B23),('DMR 001C TIN &amp; TP'!$E$3:$E$10005&amp;'DMR 001C TIN &amp; TP'!$B$3:$B$10005&amp;'DMR 001C TIN &amp; TP'!$A$3:$A$10005),0),MATCH('Reg 85'!$Y$11,'DMR 001C TIN &amp; TP'!$A$2:$M$2,0))),"")</f>
        <v>0.06</v>
      </c>
      <c r="Z23" s="6">
        <f t="array" ref="Z23">_xlfn.IFNA((INDEX('DMR 001C TIN &amp; TP'!$A$3:$M$10005,MATCH(('Reg 85'!$X$6&amp;'Reg 85'!$X$10&amp;'Reg 85'!$B23),('DMR 001C TIN &amp; TP'!$E$3:$E$10005&amp;'DMR 001C TIN &amp; TP'!$B$3:$B$10005&amp;'DMR 001C TIN &amp; TP'!$A$3:$A$10005),0),MATCH('Reg 85'!$Z$11,'DMR 001C TIN &amp; TP'!$A$2:$M$2,0))),"")</f>
        <v>5.05</v>
      </c>
      <c r="AA23" s="53">
        <f t="shared" si="11"/>
        <v>5.05</v>
      </c>
      <c r="AB23" s="5" t="str">
        <f t="shared" si="12"/>
        <v/>
      </c>
      <c r="AC23" s="6" t="str">
        <f t="array" ref="AC23">_xlfn.IFNA((INDEX('DMR 001C TIN &amp; TP'!$A$3:$M$10005,MATCH(('Reg 85'!$X$6&amp;'Reg 85'!$AB$10&amp;'Reg 85'!$B23),('DMR 001C TIN &amp; TP'!$E$3:$E$10005&amp;'DMR 001C TIN &amp; TP'!$B$3:$B$10005&amp;'DMR 001C TIN &amp; TP'!$A$3:$A$10005),0),MATCH('Reg 85'!$AC$11,'DMR 001C TIN &amp; TP'!$A$2:$M$2,0))),"")</f>
        <v>0.06</v>
      </c>
      <c r="AD23" s="6">
        <f t="array" ref="AD23">_xlfn.IFNA((INDEX('DMR 001C TIN &amp; TP'!$A$3:$M$10005,MATCH(('Reg 85'!$X$6&amp;'Reg 85'!$AB$10&amp;'Reg 85'!$B23),('DMR 001C TIN &amp; TP'!$E$3:$E$10005&amp;'DMR 001C TIN &amp; TP'!$B$3:$B$10005&amp;'DMR 001C TIN &amp; TP'!$A$3:$A$10005),0),MATCH('Reg 85'!$AD$11,'DMR 001C TIN &amp; TP'!$A$2:$M$2,0))),"")</f>
        <v>5.63</v>
      </c>
      <c r="AE23" s="53">
        <f t="shared" si="13"/>
        <v>5.63</v>
      </c>
      <c r="AF23" s="7">
        <f t="shared" si="14"/>
        <v>5.3863230549436487</v>
      </c>
      <c r="AG23" s="6" t="str">
        <f t="array" ref="AG23">_xlfn.IFNA((INDEX('DMR 001C TIN &amp; TP'!$A$3:$M$10005,MATCH(('Reg 85'!$X$6&amp;'Reg 85'!AG$10&amp;'Reg 85'!$B23),('DMR 001C TIN &amp; TP'!$E$3:$E$10005&amp;'DMR 001C TIN &amp; TP'!$B$3:$B$10005&amp;'DMR 001C TIN &amp; TP'!$A$3:$A$10005),0),MATCH('Reg 85'!$AG$11,'DMR 001C TIN &amp; TP'!$A$2:$M$2,0))),"")</f>
        <v/>
      </c>
      <c r="AH23" s="6" t="str">
        <f t="array" ref="AH23">_xlfn.IFNA((INDEX('DMR 001C TIN &amp; TP'!$A$3:$M$10005,MATCH(('Reg 85'!$X$6&amp;'Reg 85'!AH$10&amp;'Reg 85'!$B23),('DMR 001C TIN &amp; TP'!$E$3:$E$10005&amp;'DMR 001C TIN &amp; TP'!$B$3:$B$10005&amp;'DMR 001C TIN &amp; TP'!$A$3:$A$10005),0),MATCH('Reg 85'!$AG$11,'DMR 001C TIN &amp; TP'!$A$2:$M$2,0))),"")</f>
        <v/>
      </c>
      <c r="AI23" s="6" t="str">
        <f t="array" ref="AI23">_xlfn.IFNA((INDEX('DMR 001C TIN &amp; TP'!$A$3:$M$10005,MATCH(('Reg 85'!$X$6&amp;'Reg 85'!AI$10&amp;'Reg 85'!$B23),('DMR 001C TIN &amp; TP'!$E$3:$E$10005&amp;'DMR 001C TIN &amp; TP'!$B$3:$B$10005&amp;'DMR 001C TIN &amp; TP'!$A$3:$A$10005),0),MATCH('Reg 85'!$AG$11,'DMR 001C TIN &amp; TP'!$A$2:$M$2,0))),"")</f>
        <v/>
      </c>
      <c r="AJ23" s="6" t="str">
        <f t="array" ref="AJ23">_xlfn.IFNA((INDEX('DMR 001C TIN &amp; TP'!$A$3:$M$10005,MATCH(('Reg 85'!$X$6&amp;'Reg 85'!AJ$10&amp;'Reg 85'!$B23),('DMR 001C TIN &amp; TP'!$E$3:$E$10005&amp;'DMR 001C TIN &amp; TP'!$B$3:$B$10005&amp;'DMR 001C TIN &amp; TP'!$A$3:$A$10005),0),MATCH('Reg 85'!$AG$11,'DMR 001C TIN &amp; TP'!$A$2:$M$2,0))),"")</f>
        <v/>
      </c>
      <c r="AK23" s="6" t="str">
        <f t="array" ref="AK23">_xlfn.IFNA((INDEX('DMR 001C TIN &amp; TP'!$A$3:$M$10005,MATCH(('Reg 85'!$X$6&amp;'Reg 85'!AK$10&amp;'Reg 85'!$B23),('DMR 001C TIN &amp; TP'!$E$3:$E$10005&amp;'DMR 001C TIN &amp; TP'!$B$3:$B$10005&amp;'DMR 001C TIN &amp; TP'!$A$3:$A$10005),0),MATCH('Reg 85'!$AG$11,'DMR 001C TIN &amp; TP'!$A$2:$M$2,0))),"")</f>
        <v/>
      </c>
      <c r="AL23" s="6" t="str">
        <f t="array" ref="AL23">_xlfn.IFNA((INDEX('DMR 001C TIN &amp; TP'!$A$3:$M$10005,MATCH(('Reg 85'!$X$6&amp;'Reg 85'!AL$10&amp;'Reg 85'!$B23),('DMR 001C TIN &amp; TP'!$E$3:$E$10005&amp;'DMR 001C TIN &amp; TP'!$B$3:$B$10005&amp;'DMR 001C TIN &amp; TP'!$A$3:$A$10005),0),MATCH('Reg 85'!$AG$11,'DMR 001C TIN &amp; TP'!$A$2:$M$2,0))),"")</f>
        <v/>
      </c>
      <c r="AM23" s="76"/>
      <c r="AN23" s="6"/>
      <c r="AO23" s="54">
        <f t="shared" si="0"/>
        <v>5.5249668340274347</v>
      </c>
      <c r="AP23" s="77" t="str">
        <f>IF(COUNT(IF((#REF!&lt;=C23)*(#REF!&gt;=D23)*(B23=EOMONTH(B23,0)),#REF!,""))=0,"",COUNT(IF((#REF!&lt;=C23)*(#REF!&gt;=D23)*(B23=EOMONTH(B23,0)),#REF!,"")))</f>
        <v/>
      </c>
      <c r="AQ23" s="47"/>
      <c r="AR23" s="6" t="str">
        <f t="array" ref="AR23">_xlfn.IFNA((INDEX('DMR 001C TIN &amp; TP'!$A$3:$M$10005,MATCH(('Reg 85'!$AQ$6&amp;'Reg 85'!$AQ$10&amp;'Reg 85'!$B23),('DMR 001C TIN &amp; TP'!$E$3:$E$10005&amp;'DMR 001C TIN &amp; TP'!$B$3:$B$10005&amp;'DMR 001C TIN &amp; TP'!$A$3:$A$10005),0),MATCH('Reg 85'!$AR$11,'DMR 001C TIN &amp; TP'!$A$2:$M$2,0))),"")</f>
        <v/>
      </c>
      <c r="AS23" s="6" t="str">
        <f t="array" ref="AS23">_xlfn.IFNA((INDEX('DMR 001C TIN &amp; TP'!$A$3:$M$10005,MATCH(('Reg 85'!$AQ$6&amp;'Reg 85'!$AQ$10&amp;'Reg 85'!$B23),('DMR 001C TIN &amp; TP'!$E$3:$E$10005&amp;'DMR 001C TIN &amp; TP'!$B$3:$B$10005&amp;'DMR 001C TIN &amp; TP'!$A$3:$A$10005),0),MATCH('Reg 85'!$AS$11,'DMR 001C TIN &amp; TP'!$A$2:$M$2,0))),"")</f>
        <v/>
      </c>
      <c r="AT23" s="53" t="str">
        <f t="shared" si="15"/>
        <v/>
      </c>
      <c r="AV23" s="6" t="str">
        <f t="array" ref="AV23">_xlfn.IFNA((INDEX('DMR 001C TIN &amp; TP'!$A$3:$M$10005,MATCH(('Reg 85'!$AQ$6&amp;'Reg 85'!$AU$10&amp;'Reg 85'!$B23),('DMR 001C TIN &amp; TP'!$E$3:$E$10005&amp;'DMR 001C TIN &amp; TP'!$B$3:$B$10005&amp;'DMR 001C TIN &amp; TP'!$A$3:$A$10005),0),MATCH('Reg 85'!$AV$11,'DMR 001C TIN &amp; TP'!$A$2:$M$2,0))),"")</f>
        <v/>
      </c>
      <c r="AW23" s="6" t="str">
        <f t="array" ref="AW23">_xlfn.IFNA((INDEX('DMR 001C TIN &amp; TP'!$A$3:$M$10005,MATCH(('Reg 85'!$AQ$6&amp;'Reg 85'!$AU$10&amp;'Reg 85'!$B23),('DMR 001C TIN &amp; TP'!$E$3:$E$10005&amp;'DMR 001C TIN &amp; TP'!$B$3:$B$10005&amp;'DMR 001C TIN &amp; TP'!$A$3:$A$10005),0),MATCH('Reg 85'!$AW$11,'DMR 001C TIN &amp; TP'!$A$2:$M$2,0))),"")</f>
        <v/>
      </c>
      <c r="AX23" s="53" t="str">
        <f t="shared" si="16"/>
        <v/>
      </c>
      <c r="AY23" s="55" t="str">
        <f t="shared" si="17"/>
        <v/>
      </c>
      <c r="AZ23" s="77" t="str">
        <f t="shared" ref="AZ23" si="30">IF(COUNT(IF((#REF!&lt;=C23)*(#REF!&gt;=D23)*(B23=EOMONTH(B23,0)),#REF!,""))=0,"",COUNT(IF((#REF!&lt;=C23)*(#REF!&gt;=D23)*(B23=EOMONTH(B23,0)),#REF!,"")))</f>
        <v/>
      </c>
      <c r="BA23" s="6" t="str">
        <f t="array" ref="BA23">_xlfn.IFNA((INDEX('DMR 001C TIN &amp; TP'!$A$3:$M$10005,MATCH(('Reg 85'!$AQ$6&amp;'Reg 85'!BA$10&amp;'Reg 85'!$B23),('DMR 001C TIN &amp; TP'!$E$3:$E$10005&amp;'DMR 001C TIN &amp; TP'!$B$3:$B$10005&amp;'DMR 001C TIN &amp; TP'!$A$3:$A$10005),0),MATCH('Reg 85'!$AG$11,'DMR 001C TIN &amp; TP'!$A$2:$M$2,0))),"")</f>
        <v/>
      </c>
      <c r="BB23" s="6" t="str">
        <f t="array" ref="BB23">_xlfn.IFNA((INDEX('DMR 001C TIN &amp; TP'!$A$3:$M$10005,MATCH(('Reg 85'!$AQ$6&amp;'Reg 85'!BB$10&amp;'Reg 85'!$B23),('DMR 001C TIN &amp; TP'!$E$3:$E$10005&amp;'DMR 001C TIN &amp; TP'!$B$3:$B$10005&amp;'DMR 001C TIN &amp; TP'!$A$3:$A$10005),0),MATCH('Reg 85'!$AG$11,'DMR 001C TIN &amp; TP'!$A$2:$M$2,0))),"")</f>
        <v/>
      </c>
      <c r="BC23" s="6" t="str">
        <f t="array" ref="BC23">_xlfn.IFNA((INDEX('DMR 001C TIN &amp; TP'!$A$3:$M$10005,MATCH(('Reg 85'!$AQ$6&amp;'Reg 85'!BC$10&amp;'Reg 85'!$B23),('DMR 001C TIN &amp; TP'!$E$3:$E$10005&amp;'DMR 001C TIN &amp; TP'!$B$3:$B$10005&amp;'DMR 001C TIN &amp; TP'!$A$3:$A$10005),0),MATCH('Reg 85'!$AG$11,'DMR 001C TIN &amp; TP'!$A$2:$M$2,0))),"")</f>
        <v/>
      </c>
      <c r="BD23" s="6" t="str">
        <f t="array" ref="BD23">_xlfn.IFNA((INDEX('DMR 001C TIN &amp; TP'!$A$3:$M$10005,MATCH(('Reg 85'!$AQ$6&amp;'Reg 85'!BD$10&amp;'Reg 85'!$B23),('DMR 001C TIN &amp; TP'!$E$3:$E$10005&amp;'DMR 001C TIN &amp; TP'!$B$3:$B$10005&amp;'DMR 001C TIN &amp; TP'!$A$3:$A$10005),0),MATCH('Reg 85'!$AG$11,'DMR 001C TIN &amp; TP'!$A$2:$M$2,0))),"")</f>
        <v/>
      </c>
      <c r="BE23" s="6" t="str">
        <f t="array" ref="BE23">_xlfn.IFNA((INDEX('DMR 001C TIN &amp; TP'!$A$3:$M$10005,MATCH(('Reg 85'!$AQ$6&amp;'Reg 85'!BE$10&amp;'Reg 85'!$B23),('DMR 001C TIN &amp; TP'!$E$3:$E$10005&amp;'DMR 001C TIN &amp; TP'!$B$3:$B$10005&amp;'DMR 001C TIN &amp; TP'!$A$3:$A$10005),0),MATCH('Reg 85'!$AG$11,'DMR 001C TIN &amp; TP'!$A$2:$M$2,0))),"")</f>
        <v/>
      </c>
      <c r="BF23" s="6" t="str">
        <f t="array" ref="BF23">_xlfn.IFNA((INDEX('DMR 001C TIN &amp; TP'!$A$3:$M$10005,MATCH(('Reg 85'!$AQ$6&amp;'Reg 85'!BF$10&amp;'Reg 85'!$B23),('DMR 001C TIN &amp; TP'!$E$3:$E$10005&amp;'DMR 001C TIN &amp; TP'!$B$3:$B$10005&amp;'DMR 001C TIN &amp; TP'!$A$3:$A$10005),0),MATCH('Reg 85'!$AG$11,'DMR 001C TIN &amp; TP'!$A$2:$M$2,0))),"")</f>
        <v/>
      </c>
    </row>
    <row r="24" spans="1:58">
      <c r="A24" s="3" t="str">
        <f t="shared" si="2"/>
        <v>Thu</v>
      </c>
      <c r="B24" s="96">
        <f t="shared" si="19"/>
        <v>43356</v>
      </c>
      <c r="C24" s="96">
        <f t="shared" si="3"/>
        <v>43373</v>
      </c>
      <c r="D24" s="96">
        <f t="shared" si="4"/>
        <v>43344</v>
      </c>
      <c r="E24" s="95">
        <f t="shared" si="5"/>
        <v>30</v>
      </c>
      <c r="F24" s="7">
        <f t="array" ref="F24">_xlfn.IFNA(INDEX('DMR Flows-Effluent'!$A$3:$F$9999,MATCH(($F$10&amp;$B24),('DMR Flows-Effluent'!$B$3:$B$9999&amp;'DMR Flows-Effluent'!$A$3:$A$9999),0),MATCH($F$8,'DMR Flows-Effluent'!$A$2:$F$2,0)),"")</f>
        <v>49.626800000000003</v>
      </c>
      <c r="G24" s="7">
        <f t="array" ref="G24">_xlfn.IFNA(INDEX('DMR Flows-Effluent'!$A$3:$F$9999,MATCH(($G$10&amp;$B24),('DMR Flows-Effluent'!$B$3:$B$9999&amp;'DMR Flows-Effluent'!$A$3:$A$9999),0),MATCH($F$8,'DMR Flows-Effluent'!$A$2:$F$2,0)),"")</f>
        <v>69.339100000000002</v>
      </c>
      <c r="H24" s="7">
        <f t="shared" si="6"/>
        <v>118.9659</v>
      </c>
      <c r="I24" s="45" t="str">
        <f t="shared" si="7"/>
        <v/>
      </c>
      <c r="J24" s="6" t="str">
        <f t="array" ref="J24">_xlfn.IFNA((INDEX('DMR 001C TIN &amp; TP'!$A$3:$M$10005,MATCH(('Reg 85'!$I$6:$Q$6&amp;'Reg 85'!$I$10:$K$10&amp;'Reg 85'!$B24),('DMR 001C TIN &amp; TP'!$E$3:$E$10005&amp;'DMR 001C TIN &amp; TP'!$B$3:$B$10005&amp;'DMR 001C TIN &amp; TP'!$A$3:$A$10005),0),MATCH('Reg 85'!$J$11,'DMR 001C TIN &amp; TP'!$A$2:$M$2,0))),"")</f>
        <v/>
      </c>
      <c r="K24" s="6" t="str">
        <f t="array" ref="K24">_xlfn.IFNA((INDEX('DMR 001C TIN &amp; TP'!$A$3:$M$10005,MATCH(('Reg 85'!$I$6:$Q$6&amp;'Reg 85'!$I$10:$K$10&amp;'Reg 85'!$B24),('DMR 001C TIN &amp; TP'!$E$3:$E$10005&amp;'DMR 001C TIN &amp; TP'!$B$3:$B$10005&amp;'DMR 001C TIN &amp; TP'!$A$3:$A$10005),0),MATCH('Reg 85'!$K$11,'DMR 001C TIN &amp; TP'!$A$2:$M$2,0))),"")</f>
        <v/>
      </c>
      <c r="L24" s="53" t="str">
        <f t="shared" si="21"/>
        <v/>
      </c>
      <c r="M24" s="5" t="str">
        <f t="shared" si="8"/>
        <v/>
      </c>
      <c r="N24" s="6" t="str">
        <f t="array" ref="N24">_xlfn.IFNA((INDEX('DMR 001C TIN &amp; TP'!$A$3:$M$10005,MATCH(('Reg 85'!$I$6:$Q$6&amp;'Reg 85'!$M$10&amp;'Reg 85'!$B24),('DMR 001C TIN &amp; TP'!$E$3:$E$10005&amp;'DMR 001C TIN &amp; TP'!$B$3:$B$10005&amp;'DMR 001C TIN &amp; TP'!$A$3:$A$10005),0),MATCH('Reg 85'!$N$11,'DMR 001C TIN &amp; TP'!$A$2:$M$2,0))),"")</f>
        <v/>
      </c>
      <c r="O24" s="6" t="str">
        <f t="array" ref="O24">_xlfn.IFNA((INDEX('DMR 001C TIN &amp; TP'!$A$3:$M$10005,MATCH(('Reg 85'!$I$6:$Q$6&amp;'Reg 85'!$M$10&amp;'Reg 85'!$B24),('DMR 001C TIN &amp; TP'!$E$3:$E$10005&amp;'DMR 001C TIN &amp; TP'!$B$3:$B$10005&amp;'DMR 001C TIN &amp; TP'!$A$3:$A$10005),0),MATCH('Reg 85'!$O$11,'DMR 001C TIN &amp; TP'!$A$2:$M$2,0))),"")</f>
        <v/>
      </c>
      <c r="P24" s="53" t="str">
        <f t="shared" si="9"/>
        <v/>
      </c>
      <c r="Q24" s="73" t="str">
        <f t="array" ref="Q24">IFERROR(((L24*$F24)+(P24*$G24))/($H24),"")</f>
        <v/>
      </c>
      <c r="R24" s="6" t="str">
        <f t="array" ref="R24">_xlfn.IFNA((INDEX('DMR 001C TIN &amp; TP'!$A$3:$M$10005,MATCH(('Reg 85'!$I$6:$Q$6&amp;'Reg 85'!R$10&amp;'Reg 85'!$B24),('DMR 001C TIN &amp; TP'!$E$3:$E$10005&amp;'DMR 001C TIN &amp; TP'!$B$3:$B$10005&amp;'DMR 001C TIN &amp; TP'!$A$3:$A$10005),0),MATCH('Reg 85'!$O$11,'DMR 001C TIN &amp; TP'!$A$2:$M$2,0))),"")</f>
        <v/>
      </c>
      <c r="S24" s="6" t="str">
        <f t="array" ref="S24">_xlfn.IFNA((INDEX('DMR 001C TIN &amp; TP'!$A$3:$M$10005,MATCH(('Reg 85'!$I$6:$Q$6&amp;'Reg 85'!S$10&amp;'Reg 85'!$B24),('DMR 001C TIN &amp; TP'!$E$3:$E$10005&amp;'DMR 001C TIN &amp; TP'!$B$3:$B$10005&amp;'DMR 001C TIN &amp; TP'!$A$3:$A$10005),0),MATCH('Reg 85'!$O$11,'DMR 001C TIN &amp; TP'!$A$2:$M$2,0))),"")</f>
        <v/>
      </c>
      <c r="T24" s="6" t="str">
        <f t="array" ref="T24">_xlfn.IFNA((INDEX('DMR 001C TIN &amp; TP'!$A$3:$M$10005,MATCH(('Reg 85'!$I$6:$Q$6&amp;'Reg 85'!T$10&amp;'Reg 85'!$B24),('DMR 001C TIN &amp; TP'!$E$3:$E$10005&amp;'DMR 001C TIN &amp; TP'!$B$3:$B$10005&amp;'DMR 001C TIN &amp; TP'!$A$3:$A$10005),0),MATCH('Reg 85'!$O$11,'DMR 001C TIN &amp; TP'!$A$2:$M$2,0))),"")</f>
        <v/>
      </c>
      <c r="U24" s="6">
        <f t="array" ref="U24">_xlfn.IFNA((INDEX('DMR 001C TIN &amp; TP'!$A$3:$M$10005,MATCH(('Reg 85'!$I$6:$Q$6&amp;'Reg 85'!U$10&amp;'Reg 85'!$B24),('DMR 001C TIN &amp; TP'!$E$3:$E$10005&amp;'DMR 001C TIN &amp; TP'!$B$3:$B$10005&amp;'DMR 001C TIN &amp; TP'!$A$3:$A$10005),0),MATCH('Reg 85'!$O$11,'DMR 001C TIN &amp; TP'!$A$2:$M$2,0))),"")</f>
        <v>0.09</v>
      </c>
      <c r="V24" s="6" t="str">
        <f t="array" ref="V24">_xlfn.IFNA((INDEX('DMR 001C TIN &amp; TP'!$A$3:$M$10005,MATCH(('Reg 85'!$I$6:$Q$6&amp;'Reg 85'!V$10&amp;'Reg 85'!$B24),('DMR 001C TIN &amp; TP'!$E$3:$E$10005&amp;'DMR 001C TIN &amp; TP'!$B$3:$B$10005&amp;'DMR 001C TIN &amp; TP'!$A$3:$A$10005),0),MATCH('Reg 85'!$O$11,'DMR 001C TIN &amp; TP'!$A$2:$M$2,0))),"")</f>
        <v/>
      </c>
      <c r="W24" s="6" t="str">
        <f t="array" ref="W24">_xlfn.IFNA((INDEX('DMR 001C TIN &amp; TP'!$A$3:$M$10005,MATCH(('Reg 85'!$I$6:$Q$6&amp;'Reg 85'!W$10&amp;'Reg 85'!$B24),('DMR 001C TIN &amp; TP'!$E$3:$E$10005&amp;'DMR 001C TIN &amp; TP'!$B$3:$B$10005&amp;'DMR 001C TIN &amp; TP'!$A$3:$A$10005),0),MATCH('Reg 85'!$O$11,'DMR 001C TIN &amp; TP'!$A$2:$M$2,0))),"")</f>
        <v/>
      </c>
      <c r="X24" s="5" t="str">
        <f t="shared" si="10"/>
        <v/>
      </c>
      <c r="Y24" s="6" t="str">
        <f t="array" ref="Y24">_xlfn.IFNA((INDEX('DMR 001C TIN &amp; TP'!$A$3:$M$10005,MATCH(('Reg 85'!$X$6&amp;'Reg 85'!$X$10&amp;'Reg 85'!$B24),('DMR 001C TIN &amp; TP'!$E$3:$E$10005&amp;'DMR 001C TIN &amp; TP'!$B$3:$B$10005&amp;'DMR 001C TIN &amp; TP'!$A$3:$A$10005),0),MATCH('Reg 85'!$Y$11,'DMR 001C TIN &amp; TP'!$A$2:$M$2,0))),"")</f>
        <v/>
      </c>
      <c r="Z24" s="6" t="str">
        <f t="array" ref="Z24">_xlfn.IFNA((INDEX('DMR 001C TIN &amp; TP'!$A$3:$M$10005,MATCH(('Reg 85'!$X$6&amp;'Reg 85'!$X$10&amp;'Reg 85'!$B24),('DMR 001C TIN &amp; TP'!$E$3:$E$10005&amp;'DMR 001C TIN &amp; TP'!$B$3:$B$10005&amp;'DMR 001C TIN &amp; TP'!$A$3:$A$10005),0),MATCH('Reg 85'!$Z$11,'DMR 001C TIN &amp; TP'!$A$2:$M$2,0))),"")</f>
        <v/>
      </c>
      <c r="AA24" s="53" t="str">
        <f t="shared" si="11"/>
        <v/>
      </c>
      <c r="AB24" s="5" t="str">
        <f t="shared" si="12"/>
        <v/>
      </c>
      <c r="AC24" s="6" t="str">
        <f t="array" ref="AC24">_xlfn.IFNA((INDEX('DMR 001C TIN &amp; TP'!$A$3:$M$10005,MATCH(('Reg 85'!$X$6&amp;'Reg 85'!$AB$10&amp;'Reg 85'!$B24),('DMR 001C TIN &amp; TP'!$E$3:$E$10005&amp;'DMR 001C TIN &amp; TP'!$B$3:$B$10005&amp;'DMR 001C TIN &amp; TP'!$A$3:$A$10005),0),MATCH('Reg 85'!$AC$11,'DMR 001C TIN &amp; TP'!$A$2:$M$2,0))),"")</f>
        <v/>
      </c>
      <c r="AD24" s="6" t="str">
        <f t="array" ref="AD24">_xlfn.IFNA((INDEX('DMR 001C TIN &amp; TP'!$A$3:$M$10005,MATCH(('Reg 85'!$X$6&amp;'Reg 85'!$AB$10&amp;'Reg 85'!$B24),('DMR 001C TIN &amp; TP'!$E$3:$E$10005&amp;'DMR 001C TIN &amp; TP'!$B$3:$B$10005&amp;'DMR 001C TIN &amp; TP'!$A$3:$A$10005),0),MATCH('Reg 85'!$AD$11,'DMR 001C TIN &amp; TP'!$A$2:$M$2,0))),"")</f>
        <v/>
      </c>
      <c r="AE24" s="53" t="str">
        <f t="shared" si="13"/>
        <v/>
      </c>
      <c r="AF24" s="7" t="str">
        <f t="shared" si="14"/>
        <v/>
      </c>
      <c r="AG24" s="6" t="str">
        <f t="array" ref="AG24">_xlfn.IFNA((INDEX('DMR 001C TIN &amp; TP'!$A$3:$M$10005,MATCH(('Reg 85'!$X$6&amp;'Reg 85'!AG$10&amp;'Reg 85'!$B24),('DMR 001C TIN &amp; TP'!$E$3:$E$10005&amp;'DMR 001C TIN &amp; TP'!$B$3:$B$10005&amp;'DMR 001C TIN &amp; TP'!$A$3:$A$10005),0),MATCH('Reg 85'!$AG$11,'DMR 001C TIN &amp; TP'!$A$2:$M$2,0))),"")</f>
        <v/>
      </c>
      <c r="AH24" s="6" t="str">
        <f t="array" ref="AH24">_xlfn.IFNA((INDEX('DMR 001C TIN &amp; TP'!$A$3:$M$10005,MATCH(('Reg 85'!$X$6&amp;'Reg 85'!AH$10&amp;'Reg 85'!$B24),('DMR 001C TIN &amp; TP'!$E$3:$E$10005&amp;'DMR 001C TIN &amp; TP'!$B$3:$B$10005&amp;'DMR 001C TIN &amp; TP'!$A$3:$A$10005),0),MATCH('Reg 85'!$AG$11,'DMR 001C TIN &amp; TP'!$A$2:$M$2,0))),"")</f>
        <v/>
      </c>
      <c r="AI24" s="6" t="str">
        <f t="array" ref="AI24">_xlfn.IFNA((INDEX('DMR 001C TIN &amp; TP'!$A$3:$M$10005,MATCH(('Reg 85'!$X$6&amp;'Reg 85'!AI$10&amp;'Reg 85'!$B24),('DMR 001C TIN &amp; TP'!$E$3:$E$10005&amp;'DMR 001C TIN &amp; TP'!$B$3:$B$10005&amp;'DMR 001C TIN &amp; TP'!$A$3:$A$10005),0),MATCH('Reg 85'!$AG$11,'DMR 001C TIN &amp; TP'!$A$2:$M$2,0))),"")</f>
        <v/>
      </c>
      <c r="AJ24" s="6" t="str">
        <f t="array" ref="AJ24">_xlfn.IFNA((INDEX('DMR 001C TIN &amp; TP'!$A$3:$M$10005,MATCH(('Reg 85'!$X$6&amp;'Reg 85'!AJ$10&amp;'Reg 85'!$B24),('DMR 001C TIN &amp; TP'!$E$3:$E$10005&amp;'DMR 001C TIN &amp; TP'!$B$3:$B$10005&amp;'DMR 001C TIN &amp; TP'!$A$3:$A$10005),0),MATCH('Reg 85'!$AG$11,'DMR 001C TIN &amp; TP'!$A$2:$M$2,0))),"")</f>
        <v/>
      </c>
      <c r="AK24" s="6" t="str">
        <f t="array" ref="AK24">_xlfn.IFNA((INDEX('DMR 001C TIN &amp; TP'!$A$3:$M$10005,MATCH(('Reg 85'!$X$6&amp;'Reg 85'!AK$10&amp;'Reg 85'!$B24),('DMR 001C TIN &amp; TP'!$E$3:$E$10005&amp;'DMR 001C TIN &amp; TP'!$B$3:$B$10005&amp;'DMR 001C TIN &amp; TP'!$A$3:$A$10005),0),MATCH('Reg 85'!$AG$11,'DMR 001C TIN &amp; TP'!$A$2:$M$2,0))),"")</f>
        <v/>
      </c>
      <c r="AL24" s="6" t="str">
        <f t="array" ref="AL24">_xlfn.IFNA((INDEX('DMR 001C TIN &amp; TP'!$A$3:$M$10005,MATCH(('Reg 85'!$X$6&amp;'Reg 85'!AL$10&amp;'Reg 85'!$B24),('DMR 001C TIN &amp; TP'!$E$3:$E$10005&amp;'DMR 001C TIN &amp; TP'!$B$3:$B$10005&amp;'DMR 001C TIN &amp; TP'!$A$3:$A$10005),0),MATCH('Reg 85'!$AG$11,'DMR 001C TIN &amp; TP'!$A$2:$M$2,0))),"")</f>
        <v/>
      </c>
      <c r="AM24" s="76"/>
      <c r="AN24" s="6"/>
      <c r="AO24" s="54" t="str">
        <f t="shared" si="0"/>
        <v/>
      </c>
      <c r="AP24" s="77" t="str">
        <f>IF(COUNT(IF((#REF!&lt;=C24)*(#REF!&gt;=D24)*(B24=EOMONTH(B24,0)),#REF!,""))=0,"",COUNT(IF((#REF!&lt;=C24)*(#REF!&gt;=D24)*(B24=EOMONTH(B24,0)),#REF!,"")))</f>
        <v/>
      </c>
      <c r="AQ24" s="47"/>
      <c r="AR24" s="6" t="str">
        <f t="array" ref="AR24">_xlfn.IFNA((INDEX('DMR 001C TIN &amp; TP'!$A$3:$M$10005,MATCH(('Reg 85'!$AQ$6&amp;'Reg 85'!$AQ$10&amp;'Reg 85'!$B24),('DMR 001C TIN &amp; TP'!$E$3:$E$10005&amp;'DMR 001C TIN &amp; TP'!$B$3:$B$10005&amp;'DMR 001C TIN &amp; TP'!$A$3:$A$10005),0),MATCH('Reg 85'!$AR$11,'DMR 001C TIN &amp; TP'!$A$2:$M$2,0))),"")</f>
        <v>0.03</v>
      </c>
      <c r="AS24" s="6">
        <f t="array" ref="AS24">_xlfn.IFNA((INDEX('DMR 001C TIN &amp; TP'!$A$3:$M$10005,MATCH(('Reg 85'!$AQ$6&amp;'Reg 85'!$AQ$10&amp;'Reg 85'!$B24),('DMR 001C TIN &amp; TP'!$E$3:$E$10005&amp;'DMR 001C TIN &amp; TP'!$B$3:$B$10005&amp;'DMR 001C TIN &amp; TP'!$A$3:$A$10005),0),MATCH('Reg 85'!$AS$11,'DMR 001C TIN &amp; TP'!$A$2:$M$2,0))),"")</f>
        <v>0.38</v>
      </c>
      <c r="AT24" s="53">
        <f t="shared" si="15"/>
        <v>0.38</v>
      </c>
      <c r="AV24" s="6" t="str">
        <f t="array" ref="AV24">_xlfn.IFNA((INDEX('DMR 001C TIN &amp; TP'!$A$3:$M$10005,MATCH(('Reg 85'!$AQ$6&amp;'Reg 85'!$AU$10&amp;'Reg 85'!$B24),('DMR 001C TIN &amp; TP'!$E$3:$E$10005&amp;'DMR 001C TIN &amp; TP'!$B$3:$B$10005&amp;'DMR 001C TIN &amp; TP'!$A$3:$A$10005),0),MATCH('Reg 85'!$AV$11,'DMR 001C TIN &amp; TP'!$A$2:$M$2,0))),"")</f>
        <v>0.03</v>
      </c>
      <c r="AW24" s="6">
        <f t="array" ref="AW24">_xlfn.IFNA((INDEX('DMR 001C TIN &amp; TP'!$A$3:$M$10005,MATCH(('Reg 85'!$AQ$6&amp;'Reg 85'!$AU$10&amp;'Reg 85'!$B24),('DMR 001C TIN &amp; TP'!$E$3:$E$10005&amp;'DMR 001C TIN &amp; TP'!$B$3:$B$10005&amp;'DMR 001C TIN &amp; TP'!$A$3:$A$10005),0),MATCH('Reg 85'!$AW$11,'DMR 001C TIN &amp; TP'!$A$2:$M$2,0))),"")</f>
        <v>1.81</v>
      </c>
      <c r="AX24" s="53">
        <f t="shared" si="16"/>
        <v>1.81</v>
      </c>
      <c r="AY24" s="55">
        <f t="shared" si="17"/>
        <v>1.2134733986797896</v>
      </c>
      <c r="AZ24" s="77" t="str">
        <f t="shared" ref="AZ24" si="31">IF(COUNT(IF((#REF!&lt;=C24)*(#REF!&gt;=D24)*(B24=EOMONTH(B24,0)),#REF!,""))=0,"",COUNT(IF((#REF!&lt;=C24)*(#REF!&gt;=D24)*(B24=EOMONTH(B24,0)),#REF!,"")))</f>
        <v/>
      </c>
      <c r="BA24" s="6" t="str">
        <f t="array" ref="BA24">_xlfn.IFNA((INDEX('DMR 001C TIN &amp; TP'!$A$3:$M$10005,MATCH(('Reg 85'!$AQ$6&amp;'Reg 85'!BA$10&amp;'Reg 85'!$B24),('DMR 001C TIN &amp; TP'!$E$3:$E$10005&amp;'DMR 001C TIN &amp; TP'!$B$3:$B$10005&amp;'DMR 001C TIN &amp; TP'!$A$3:$A$10005),0),MATCH('Reg 85'!$AG$11,'DMR 001C TIN &amp; TP'!$A$2:$M$2,0))),"")</f>
        <v/>
      </c>
      <c r="BB24" s="6" t="str">
        <f t="array" ref="BB24">_xlfn.IFNA((INDEX('DMR 001C TIN &amp; TP'!$A$3:$M$10005,MATCH(('Reg 85'!$AQ$6&amp;'Reg 85'!BB$10&amp;'Reg 85'!$B24),('DMR 001C TIN &amp; TP'!$E$3:$E$10005&amp;'DMR 001C TIN &amp; TP'!$B$3:$B$10005&amp;'DMR 001C TIN &amp; TP'!$A$3:$A$10005),0),MATCH('Reg 85'!$AG$11,'DMR 001C TIN &amp; TP'!$A$2:$M$2,0))),"")</f>
        <v/>
      </c>
      <c r="BC24" s="6" t="str">
        <f t="array" ref="BC24">_xlfn.IFNA((INDEX('DMR 001C TIN &amp; TP'!$A$3:$M$10005,MATCH(('Reg 85'!$AQ$6&amp;'Reg 85'!BC$10&amp;'Reg 85'!$B24),('DMR 001C TIN &amp; TP'!$E$3:$E$10005&amp;'DMR 001C TIN &amp; TP'!$B$3:$B$10005&amp;'DMR 001C TIN &amp; TP'!$A$3:$A$10005),0),MATCH('Reg 85'!$AG$11,'DMR 001C TIN &amp; TP'!$A$2:$M$2,0))),"")</f>
        <v/>
      </c>
      <c r="BD24" s="6" t="str">
        <f t="array" ref="BD24">_xlfn.IFNA((INDEX('DMR 001C TIN &amp; TP'!$A$3:$M$10005,MATCH(('Reg 85'!$AQ$6&amp;'Reg 85'!BD$10&amp;'Reg 85'!$B24),('DMR 001C TIN &amp; TP'!$E$3:$E$10005&amp;'DMR 001C TIN &amp; TP'!$B$3:$B$10005&amp;'DMR 001C TIN &amp; TP'!$A$3:$A$10005),0),MATCH('Reg 85'!$AG$11,'DMR 001C TIN &amp; TP'!$A$2:$M$2,0))),"")</f>
        <v/>
      </c>
      <c r="BE24" s="6" t="str">
        <f t="array" ref="BE24">_xlfn.IFNA((INDEX('DMR 001C TIN &amp; TP'!$A$3:$M$10005,MATCH(('Reg 85'!$AQ$6&amp;'Reg 85'!BE$10&amp;'Reg 85'!$B24),('DMR 001C TIN &amp; TP'!$E$3:$E$10005&amp;'DMR 001C TIN &amp; TP'!$B$3:$B$10005&amp;'DMR 001C TIN &amp; TP'!$A$3:$A$10005),0),MATCH('Reg 85'!$AG$11,'DMR 001C TIN &amp; TP'!$A$2:$M$2,0))),"")</f>
        <v/>
      </c>
      <c r="BF24" s="6" t="str">
        <f t="array" ref="BF24">_xlfn.IFNA((INDEX('DMR 001C TIN &amp; TP'!$A$3:$M$10005,MATCH(('Reg 85'!$AQ$6&amp;'Reg 85'!BF$10&amp;'Reg 85'!$B24),('DMR 001C TIN &amp; TP'!$E$3:$E$10005&amp;'DMR 001C TIN &amp; TP'!$B$3:$B$10005&amp;'DMR 001C TIN &amp; TP'!$A$3:$A$10005),0),MATCH('Reg 85'!$AG$11,'DMR 001C TIN &amp; TP'!$A$2:$M$2,0))),"")</f>
        <v/>
      </c>
    </row>
    <row r="25" spans="1:58">
      <c r="A25" s="3" t="str">
        <f t="shared" si="2"/>
        <v>Fri</v>
      </c>
      <c r="B25" s="96">
        <f t="shared" si="19"/>
        <v>43357</v>
      </c>
      <c r="C25" s="96">
        <f t="shared" si="3"/>
        <v>43373</v>
      </c>
      <c r="D25" s="96">
        <f t="shared" si="4"/>
        <v>43344</v>
      </c>
      <c r="E25" s="95">
        <f t="shared" si="5"/>
        <v>30</v>
      </c>
      <c r="F25" s="7">
        <f t="array" ref="F25">_xlfn.IFNA(INDEX('DMR Flows-Effluent'!$A$3:$F$9999,MATCH(($F$10&amp;$B25),('DMR Flows-Effluent'!$B$3:$B$9999&amp;'DMR Flows-Effluent'!$A$3:$A$9999),0),MATCH($F$8,'DMR Flows-Effluent'!$A$2:$F$2,0)),"")</f>
        <v>45.818600000000004</v>
      </c>
      <c r="G25" s="7">
        <f t="array" ref="G25">_xlfn.IFNA(INDEX('DMR Flows-Effluent'!$A$3:$F$9999,MATCH(($G$10&amp;$B25),('DMR Flows-Effluent'!$B$3:$B$9999&amp;'DMR Flows-Effluent'!$A$3:$A$9999),0),MATCH($F$8,'DMR Flows-Effluent'!$A$2:$F$2,0)),"")</f>
        <v>68.188699999999997</v>
      </c>
      <c r="H25" s="7">
        <f t="shared" si="6"/>
        <v>114.0073</v>
      </c>
      <c r="I25" s="45" t="str">
        <f t="shared" si="7"/>
        <v/>
      </c>
      <c r="J25" s="6" t="str">
        <f t="array" ref="J25">_xlfn.IFNA((INDEX('DMR 001C TIN &amp; TP'!$A$3:$M$10005,MATCH(('Reg 85'!$I$6:$Q$6&amp;'Reg 85'!$I$10:$K$10&amp;'Reg 85'!$B25),('DMR 001C TIN &amp; TP'!$E$3:$E$10005&amp;'DMR 001C TIN &amp; TP'!$B$3:$B$10005&amp;'DMR 001C TIN &amp; TP'!$A$3:$A$10005),0),MATCH('Reg 85'!$J$11,'DMR 001C TIN &amp; TP'!$A$2:$M$2,0))),"")</f>
        <v/>
      </c>
      <c r="K25" s="6" t="str">
        <f t="array" ref="K25">_xlfn.IFNA((INDEX('DMR 001C TIN &amp; TP'!$A$3:$M$10005,MATCH(('Reg 85'!$I$6:$Q$6&amp;'Reg 85'!$I$10:$K$10&amp;'Reg 85'!$B25),('DMR 001C TIN &amp; TP'!$E$3:$E$10005&amp;'DMR 001C TIN &amp; TP'!$B$3:$B$10005&amp;'DMR 001C TIN &amp; TP'!$A$3:$A$10005),0),MATCH('Reg 85'!$K$11,'DMR 001C TIN &amp; TP'!$A$2:$M$2,0))),"")</f>
        <v/>
      </c>
      <c r="L25" s="53" t="str">
        <f t="shared" si="21"/>
        <v/>
      </c>
      <c r="M25" s="5" t="str">
        <f t="shared" si="8"/>
        <v/>
      </c>
      <c r="N25" s="6" t="str">
        <f t="array" ref="N25">_xlfn.IFNA((INDEX('DMR 001C TIN &amp; TP'!$A$3:$M$10005,MATCH(('Reg 85'!$I$6:$Q$6&amp;'Reg 85'!$M$10&amp;'Reg 85'!$B25),('DMR 001C TIN &amp; TP'!$E$3:$E$10005&amp;'DMR 001C TIN &amp; TP'!$B$3:$B$10005&amp;'DMR 001C TIN &amp; TP'!$A$3:$A$10005),0),MATCH('Reg 85'!$N$11,'DMR 001C TIN &amp; TP'!$A$2:$M$2,0))),"")</f>
        <v/>
      </c>
      <c r="O25" s="6" t="str">
        <f t="array" ref="O25">_xlfn.IFNA((INDEX('DMR 001C TIN &amp; TP'!$A$3:$M$10005,MATCH(('Reg 85'!$I$6:$Q$6&amp;'Reg 85'!$M$10&amp;'Reg 85'!$B25),('DMR 001C TIN &amp; TP'!$E$3:$E$10005&amp;'DMR 001C TIN &amp; TP'!$B$3:$B$10005&amp;'DMR 001C TIN &amp; TP'!$A$3:$A$10005),0),MATCH('Reg 85'!$O$11,'DMR 001C TIN &amp; TP'!$A$2:$M$2,0))),"")</f>
        <v/>
      </c>
      <c r="P25" s="53" t="str">
        <f t="shared" si="9"/>
        <v/>
      </c>
      <c r="Q25" s="73" t="str">
        <f t="array" ref="Q25">IFERROR(((L25*$F25)+(P25*$G25))/($H25),"")</f>
        <v/>
      </c>
      <c r="R25" s="6" t="str">
        <f t="array" ref="R25">_xlfn.IFNA((INDEX('DMR 001C TIN &amp; TP'!$A$3:$M$10005,MATCH(('Reg 85'!$I$6:$Q$6&amp;'Reg 85'!R$10&amp;'Reg 85'!$B25),('DMR 001C TIN &amp; TP'!$E$3:$E$10005&amp;'DMR 001C TIN &amp; TP'!$B$3:$B$10005&amp;'DMR 001C TIN &amp; TP'!$A$3:$A$10005),0),MATCH('Reg 85'!$O$11,'DMR 001C TIN &amp; TP'!$A$2:$M$2,0))),"")</f>
        <v/>
      </c>
      <c r="S25" s="6" t="str">
        <f t="array" ref="S25">_xlfn.IFNA((INDEX('DMR 001C TIN &amp; TP'!$A$3:$M$10005,MATCH(('Reg 85'!$I$6:$Q$6&amp;'Reg 85'!S$10&amp;'Reg 85'!$B25),('DMR 001C TIN &amp; TP'!$E$3:$E$10005&amp;'DMR 001C TIN &amp; TP'!$B$3:$B$10005&amp;'DMR 001C TIN &amp; TP'!$A$3:$A$10005),0),MATCH('Reg 85'!$O$11,'DMR 001C TIN &amp; TP'!$A$2:$M$2,0))),"")</f>
        <v/>
      </c>
      <c r="T25" s="6" t="str">
        <f t="array" ref="T25">_xlfn.IFNA((INDEX('DMR 001C TIN &amp; TP'!$A$3:$M$10005,MATCH(('Reg 85'!$I$6:$Q$6&amp;'Reg 85'!T$10&amp;'Reg 85'!$B25),('DMR 001C TIN &amp; TP'!$E$3:$E$10005&amp;'DMR 001C TIN &amp; TP'!$B$3:$B$10005&amp;'DMR 001C TIN &amp; TP'!$A$3:$A$10005),0),MATCH('Reg 85'!$O$11,'DMR 001C TIN &amp; TP'!$A$2:$M$2,0))),"")</f>
        <v/>
      </c>
      <c r="U25" s="6" t="str">
        <f t="array" ref="U25">_xlfn.IFNA((INDEX('DMR 001C TIN &amp; TP'!$A$3:$M$10005,MATCH(('Reg 85'!$I$6:$Q$6&amp;'Reg 85'!U$10&amp;'Reg 85'!$B25),('DMR 001C TIN &amp; TP'!$E$3:$E$10005&amp;'DMR 001C TIN &amp; TP'!$B$3:$B$10005&amp;'DMR 001C TIN &amp; TP'!$A$3:$A$10005),0),MATCH('Reg 85'!$O$11,'DMR 001C TIN &amp; TP'!$A$2:$M$2,0))),"")</f>
        <v/>
      </c>
      <c r="V25" s="6" t="str">
        <f t="array" ref="V25">_xlfn.IFNA((INDEX('DMR 001C TIN &amp; TP'!$A$3:$M$10005,MATCH(('Reg 85'!$I$6:$Q$6&amp;'Reg 85'!V$10&amp;'Reg 85'!$B25),('DMR 001C TIN &amp; TP'!$E$3:$E$10005&amp;'DMR 001C TIN &amp; TP'!$B$3:$B$10005&amp;'DMR 001C TIN &amp; TP'!$A$3:$A$10005),0),MATCH('Reg 85'!$O$11,'DMR 001C TIN &amp; TP'!$A$2:$M$2,0))),"")</f>
        <v/>
      </c>
      <c r="W25" s="6" t="str">
        <f t="array" ref="W25">_xlfn.IFNA((INDEX('DMR 001C TIN &amp; TP'!$A$3:$M$10005,MATCH(('Reg 85'!$I$6:$Q$6&amp;'Reg 85'!W$10&amp;'Reg 85'!$B25),('DMR 001C TIN &amp; TP'!$E$3:$E$10005&amp;'DMR 001C TIN &amp; TP'!$B$3:$B$10005&amp;'DMR 001C TIN &amp; TP'!$A$3:$A$10005),0),MATCH('Reg 85'!$O$11,'DMR 001C TIN &amp; TP'!$A$2:$M$2,0))),"")</f>
        <v/>
      </c>
      <c r="X25" s="5" t="str">
        <f t="shared" si="10"/>
        <v/>
      </c>
      <c r="Y25" s="6" t="str">
        <f t="array" ref="Y25">_xlfn.IFNA((INDEX('DMR 001C TIN &amp; TP'!$A$3:$M$10005,MATCH(('Reg 85'!$X$6&amp;'Reg 85'!$X$10&amp;'Reg 85'!$B25),('DMR 001C TIN &amp; TP'!$E$3:$E$10005&amp;'DMR 001C TIN &amp; TP'!$B$3:$B$10005&amp;'DMR 001C TIN &amp; TP'!$A$3:$A$10005),0),MATCH('Reg 85'!$Y$11,'DMR 001C TIN &amp; TP'!$A$2:$M$2,0))),"")</f>
        <v/>
      </c>
      <c r="Z25" s="6" t="str">
        <f t="array" ref="Z25">_xlfn.IFNA((INDEX('DMR 001C TIN &amp; TP'!$A$3:$M$10005,MATCH(('Reg 85'!$X$6&amp;'Reg 85'!$X$10&amp;'Reg 85'!$B25),('DMR 001C TIN &amp; TP'!$E$3:$E$10005&amp;'DMR 001C TIN &amp; TP'!$B$3:$B$10005&amp;'DMR 001C TIN &amp; TP'!$A$3:$A$10005),0),MATCH('Reg 85'!$Z$11,'DMR 001C TIN &amp; TP'!$A$2:$M$2,0))),"")</f>
        <v/>
      </c>
      <c r="AA25" s="53" t="str">
        <f t="shared" si="11"/>
        <v/>
      </c>
      <c r="AB25" s="5" t="str">
        <f t="shared" si="12"/>
        <v/>
      </c>
      <c r="AC25" s="6" t="str">
        <f t="array" ref="AC25">_xlfn.IFNA((INDEX('DMR 001C TIN &amp; TP'!$A$3:$M$10005,MATCH(('Reg 85'!$X$6&amp;'Reg 85'!$AB$10&amp;'Reg 85'!$B25),('DMR 001C TIN &amp; TP'!$E$3:$E$10005&amp;'DMR 001C TIN &amp; TP'!$B$3:$B$10005&amp;'DMR 001C TIN &amp; TP'!$A$3:$A$10005),0),MATCH('Reg 85'!$AC$11,'DMR 001C TIN &amp; TP'!$A$2:$M$2,0))),"")</f>
        <v/>
      </c>
      <c r="AD25" s="6" t="str">
        <f t="array" ref="AD25">_xlfn.IFNA((INDEX('DMR 001C TIN &amp; TP'!$A$3:$M$10005,MATCH(('Reg 85'!$X$6&amp;'Reg 85'!$AB$10&amp;'Reg 85'!$B25),('DMR 001C TIN &amp; TP'!$E$3:$E$10005&amp;'DMR 001C TIN &amp; TP'!$B$3:$B$10005&amp;'DMR 001C TIN &amp; TP'!$A$3:$A$10005),0),MATCH('Reg 85'!$AD$11,'DMR 001C TIN &amp; TP'!$A$2:$M$2,0))),"")</f>
        <v/>
      </c>
      <c r="AE25" s="53" t="str">
        <f t="shared" si="13"/>
        <v/>
      </c>
      <c r="AF25" s="7" t="str">
        <f t="shared" si="14"/>
        <v/>
      </c>
      <c r="AG25" s="6" t="str">
        <f t="array" ref="AG25">_xlfn.IFNA((INDEX('DMR 001C TIN &amp; TP'!$A$3:$M$10005,MATCH(('Reg 85'!$X$6&amp;'Reg 85'!AG$10&amp;'Reg 85'!$B25),('DMR 001C TIN &amp; TP'!$E$3:$E$10005&amp;'DMR 001C TIN &amp; TP'!$B$3:$B$10005&amp;'DMR 001C TIN &amp; TP'!$A$3:$A$10005),0),MATCH('Reg 85'!$AG$11,'DMR 001C TIN &amp; TP'!$A$2:$M$2,0))),"")</f>
        <v/>
      </c>
      <c r="AH25" s="6" t="str">
        <f t="array" ref="AH25">_xlfn.IFNA((INDEX('DMR 001C TIN &amp; TP'!$A$3:$M$10005,MATCH(('Reg 85'!$X$6&amp;'Reg 85'!AH$10&amp;'Reg 85'!$B25),('DMR 001C TIN &amp; TP'!$E$3:$E$10005&amp;'DMR 001C TIN &amp; TP'!$B$3:$B$10005&amp;'DMR 001C TIN &amp; TP'!$A$3:$A$10005),0),MATCH('Reg 85'!$AG$11,'DMR 001C TIN &amp; TP'!$A$2:$M$2,0))),"")</f>
        <v/>
      </c>
      <c r="AI25" s="6" t="str">
        <f t="array" ref="AI25">_xlfn.IFNA((INDEX('DMR 001C TIN &amp; TP'!$A$3:$M$10005,MATCH(('Reg 85'!$X$6&amp;'Reg 85'!AI$10&amp;'Reg 85'!$B25),('DMR 001C TIN &amp; TP'!$E$3:$E$10005&amp;'DMR 001C TIN &amp; TP'!$B$3:$B$10005&amp;'DMR 001C TIN &amp; TP'!$A$3:$A$10005),0),MATCH('Reg 85'!$AG$11,'DMR 001C TIN &amp; TP'!$A$2:$M$2,0))),"")</f>
        <v/>
      </c>
      <c r="AJ25" s="6" t="str">
        <f t="array" ref="AJ25">_xlfn.IFNA((INDEX('DMR 001C TIN &amp; TP'!$A$3:$M$10005,MATCH(('Reg 85'!$X$6&amp;'Reg 85'!AJ$10&amp;'Reg 85'!$B25),('DMR 001C TIN &amp; TP'!$E$3:$E$10005&amp;'DMR 001C TIN &amp; TP'!$B$3:$B$10005&amp;'DMR 001C TIN &amp; TP'!$A$3:$A$10005),0),MATCH('Reg 85'!$AG$11,'DMR 001C TIN &amp; TP'!$A$2:$M$2,0))),"")</f>
        <v/>
      </c>
      <c r="AK25" s="6" t="str">
        <f t="array" ref="AK25">_xlfn.IFNA((INDEX('DMR 001C TIN &amp; TP'!$A$3:$M$10005,MATCH(('Reg 85'!$X$6&amp;'Reg 85'!AK$10&amp;'Reg 85'!$B25),('DMR 001C TIN &amp; TP'!$E$3:$E$10005&amp;'DMR 001C TIN &amp; TP'!$B$3:$B$10005&amp;'DMR 001C TIN &amp; TP'!$A$3:$A$10005),0),MATCH('Reg 85'!$AG$11,'DMR 001C TIN &amp; TP'!$A$2:$M$2,0))),"")</f>
        <v/>
      </c>
      <c r="AL25" s="6" t="str">
        <f t="array" ref="AL25">_xlfn.IFNA((INDEX('DMR 001C TIN &amp; TP'!$A$3:$M$10005,MATCH(('Reg 85'!$X$6&amp;'Reg 85'!AL$10&amp;'Reg 85'!$B25),('DMR 001C TIN &amp; TP'!$E$3:$E$10005&amp;'DMR 001C TIN &amp; TP'!$B$3:$B$10005&amp;'DMR 001C TIN &amp; TP'!$A$3:$A$10005),0),MATCH('Reg 85'!$AG$11,'DMR 001C TIN &amp; TP'!$A$2:$M$2,0))),"")</f>
        <v/>
      </c>
      <c r="AM25" s="76"/>
      <c r="AN25" s="6"/>
      <c r="AO25" s="54" t="str">
        <f t="shared" si="0"/>
        <v/>
      </c>
      <c r="AP25" s="77" t="str">
        <f>IF(COUNT(IF((#REF!&lt;=C25)*(#REF!&gt;=D25)*(B25=EOMONTH(B25,0)),#REF!,""))=0,"",COUNT(IF((#REF!&lt;=C25)*(#REF!&gt;=D25)*(B25=EOMONTH(B25,0)),#REF!,"")))</f>
        <v/>
      </c>
      <c r="AQ25" s="47"/>
      <c r="AR25" s="6" t="str">
        <f t="array" ref="AR25">_xlfn.IFNA((INDEX('DMR 001C TIN &amp; TP'!$A$3:$M$10005,MATCH(('Reg 85'!$AQ$6&amp;'Reg 85'!$AQ$10&amp;'Reg 85'!$B25),('DMR 001C TIN &amp; TP'!$E$3:$E$10005&amp;'DMR 001C TIN &amp; TP'!$B$3:$B$10005&amp;'DMR 001C TIN &amp; TP'!$A$3:$A$10005),0),MATCH('Reg 85'!$AR$11,'DMR 001C TIN &amp; TP'!$A$2:$M$2,0))),"")</f>
        <v/>
      </c>
      <c r="AS25" s="6" t="str">
        <f t="array" ref="AS25">_xlfn.IFNA((INDEX('DMR 001C TIN &amp; TP'!$A$3:$M$10005,MATCH(('Reg 85'!$AQ$6&amp;'Reg 85'!$AQ$10&amp;'Reg 85'!$B25),('DMR 001C TIN &amp; TP'!$E$3:$E$10005&amp;'DMR 001C TIN &amp; TP'!$B$3:$B$10005&amp;'DMR 001C TIN &amp; TP'!$A$3:$A$10005),0),MATCH('Reg 85'!$AS$11,'DMR 001C TIN &amp; TP'!$A$2:$M$2,0))),"")</f>
        <v/>
      </c>
      <c r="AT25" s="53" t="str">
        <f t="shared" si="15"/>
        <v/>
      </c>
      <c r="AV25" s="6" t="str">
        <f t="array" ref="AV25">_xlfn.IFNA((INDEX('DMR 001C TIN &amp; TP'!$A$3:$M$10005,MATCH(('Reg 85'!$AQ$6&amp;'Reg 85'!$AU$10&amp;'Reg 85'!$B25),('DMR 001C TIN &amp; TP'!$E$3:$E$10005&amp;'DMR 001C TIN &amp; TP'!$B$3:$B$10005&amp;'DMR 001C TIN &amp; TP'!$A$3:$A$10005),0),MATCH('Reg 85'!$AV$11,'DMR 001C TIN &amp; TP'!$A$2:$M$2,0))),"")</f>
        <v/>
      </c>
      <c r="AW25" s="6" t="str">
        <f t="array" ref="AW25">_xlfn.IFNA((INDEX('DMR 001C TIN &amp; TP'!$A$3:$M$10005,MATCH(('Reg 85'!$AQ$6&amp;'Reg 85'!$AU$10&amp;'Reg 85'!$B25),('DMR 001C TIN &amp; TP'!$E$3:$E$10005&amp;'DMR 001C TIN &amp; TP'!$B$3:$B$10005&amp;'DMR 001C TIN &amp; TP'!$A$3:$A$10005),0),MATCH('Reg 85'!$AW$11,'DMR 001C TIN &amp; TP'!$A$2:$M$2,0))),"")</f>
        <v/>
      </c>
      <c r="AX25" s="53" t="str">
        <f t="shared" si="16"/>
        <v/>
      </c>
      <c r="AY25" s="55" t="str">
        <f t="shared" si="17"/>
        <v/>
      </c>
      <c r="AZ25" s="77" t="str">
        <f t="shared" ref="AZ25" si="32">IF(COUNT(IF((#REF!&lt;=C25)*(#REF!&gt;=D25)*(B25=EOMONTH(B25,0)),#REF!,""))=0,"",COUNT(IF((#REF!&lt;=C25)*(#REF!&gt;=D25)*(B25=EOMONTH(B25,0)),#REF!,"")))</f>
        <v/>
      </c>
      <c r="BA25" s="6" t="str">
        <f t="array" ref="BA25">_xlfn.IFNA((INDEX('DMR 001C TIN &amp; TP'!$A$3:$M$10005,MATCH(('Reg 85'!$AQ$6&amp;'Reg 85'!BA$10&amp;'Reg 85'!$B25),('DMR 001C TIN &amp; TP'!$E$3:$E$10005&amp;'DMR 001C TIN &amp; TP'!$B$3:$B$10005&amp;'DMR 001C TIN &amp; TP'!$A$3:$A$10005),0),MATCH('Reg 85'!$AG$11,'DMR 001C TIN &amp; TP'!$A$2:$M$2,0))),"")</f>
        <v/>
      </c>
      <c r="BB25" s="6" t="str">
        <f t="array" ref="BB25">_xlfn.IFNA((INDEX('DMR 001C TIN &amp; TP'!$A$3:$M$10005,MATCH(('Reg 85'!$AQ$6&amp;'Reg 85'!BB$10&amp;'Reg 85'!$B25),('DMR 001C TIN &amp; TP'!$E$3:$E$10005&amp;'DMR 001C TIN &amp; TP'!$B$3:$B$10005&amp;'DMR 001C TIN &amp; TP'!$A$3:$A$10005),0),MATCH('Reg 85'!$AG$11,'DMR 001C TIN &amp; TP'!$A$2:$M$2,0))),"")</f>
        <v/>
      </c>
      <c r="BC25" s="6" t="str">
        <f t="array" ref="BC25">_xlfn.IFNA((INDEX('DMR 001C TIN &amp; TP'!$A$3:$M$10005,MATCH(('Reg 85'!$AQ$6&amp;'Reg 85'!BC$10&amp;'Reg 85'!$B25),('DMR 001C TIN &amp; TP'!$E$3:$E$10005&amp;'DMR 001C TIN &amp; TP'!$B$3:$B$10005&amp;'DMR 001C TIN &amp; TP'!$A$3:$A$10005),0),MATCH('Reg 85'!$AG$11,'DMR 001C TIN &amp; TP'!$A$2:$M$2,0))),"")</f>
        <v/>
      </c>
      <c r="BD25" s="6" t="str">
        <f t="array" ref="BD25">_xlfn.IFNA((INDEX('DMR 001C TIN &amp; TP'!$A$3:$M$10005,MATCH(('Reg 85'!$AQ$6&amp;'Reg 85'!BD$10&amp;'Reg 85'!$B25),('DMR 001C TIN &amp; TP'!$E$3:$E$10005&amp;'DMR 001C TIN &amp; TP'!$B$3:$B$10005&amp;'DMR 001C TIN &amp; TP'!$A$3:$A$10005),0),MATCH('Reg 85'!$AG$11,'DMR 001C TIN &amp; TP'!$A$2:$M$2,0))),"")</f>
        <v/>
      </c>
      <c r="BE25" s="6" t="str">
        <f t="array" ref="BE25">_xlfn.IFNA((INDEX('DMR 001C TIN &amp; TP'!$A$3:$M$10005,MATCH(('Reg 85'!$AQ$6&amp;'Reg 85'!BE$10&amp;'Reg 85'!$B25),('DMR 001C TIN &amp; TP'!$E$3:$E$10005&amp;'DMR 001C TIN &amp; TP'!$B$3:$B$10005&amp;'DMR 001C TIN &amp; TP'!$A$3:$A$10005),0),MATCH('Reg 85'!$AG$11,'DMR 001C TIN &amp; TP'!$A$2:$M$2,0))),"")</f>
        <v/>
      </c>
      <c r="BF25" s="6" t="str">
        <f t="array" ref="BF25">_xlfn.IFNA((INDEX('DMR 001C TIN &amp; TP'!$A$3:$M$10005,MATCH(('Reg 85'!$AQ$6&amp;'Reg 85'!BF$10&amp;'Reg 85'!$B25),('DMR 001C TIN &amp; TP'!$E$3:$E$10005&amp;'DMR 001C TIN &amp; TP'!$B$3:$B$10005&amp;'DMR 001C TIN &amp; TP'!$A$3:$A$10005),0),MATCH('Reg 85'!$AG$11,'DMR 001C TIN &amp; TP'!$A$2:$M$2,0))),"")</f>
        <v/>
      </c>
    </row>
    <row r="26" spans="1:58">
      <c r="A26" s="3" t="str">
        <f t="shared" si="2"/>
        <v>Sat</v>
      </c>
      <c r="B26" s="96">
        <f t="shared" si="19"/>
        <v>43358</v>
      </c>
      <c r="C26" s="96">
        <f t="shared" si="3"/>
        <v>43373</v>
      </c>
      <c r="D26" s="96">
        <f t="shared" si="4"/>
        <v>43344</v>
      </c>
      <c r="E26" s="95">
        <f t="shared" si="5"/>
        <v>30</v>
      </c>
      <c r="F26" s="7">
        <f t="array" ref="F26">_xlfn.IFNA(INDEX('DMR Flows-Effluent'!$A$3:$F$9999,MATCH(($F$10&amp;$B26),('DMR Flows-Effluent'!$B$3:$B$9999&amp;'DMR Flows-Effluent'!$A$3:$A$9999),0),MATCH($F$8,'DMR Flows-Effluent'!$A$2:$F$2,0)),"")</f>
        <v>48.984400000000001</v>
      </c>
      <c r="G26" s="7">
        <f t="array" ref="G26">_xlfn.IFNA(INDEX('DMR Flows-Effluent'!$A$3:$F$9999,MATCH(($G$10&amp;$B26),('DMR Flows-Effluent'!$B$3:$B$9999&amp;'DMR Flows-Effluent'!$A$3:$A$9999),0),MATCH($F$8,'DMR Flows-Effluent'!$A$2:$F$2,0)),"")</f>
        <v>66.093999999999994</v>
      </c>
      <c r="H26" s="7">
        <f t="shared" si="6"/>
        <v>115.07839999999999</v>
      </c>
      <c r="I26" s="45" t="str">
        <f t="shared" si="7"/>
        <v/>
      </c>
      <c r="J26" s="6" t="str">
        <f t="array" ref="J26">_xlfn.IFNA((INDEX('DMR 001C TIN &amp; TP'!$A$3:$M$10005,MATCH(('Reg 85'!$I$6:$Q$6&amp;'Reg 85'!$I$10:$K$10&amp;'Reg 85'!$B26),('DMR 001C TIN &amp; TP'!$E$3:$E$10005&amp;'DMR 001C TIN &amp; TP'!$B$3:$B$10005&amp;'DMR 001C TIN &amp; TP'!$A$3:$A$10005),0),MATCH('Reg 85'!$J$11,'DMR 001C TIN &amp; TP'!$A$2:$M$2,0))),"")</f>
        <v/>
      </c>
      <c r="K26" s="6" t="str">
        <f t="array" ref="K26">_xlfn.IFNA((INDEX('DMR 001C TIN &amp; TP'!$A$3:$M$10005,MATCH(('Reg 85'!$I$6:$Q$6&amp;'Reg 85'!$I$10:$K$10&amp;'Reg 85'!$B26),('DMR 001C TIN &amp; TP'!$E$3:$E$10005&amp;'DMR 001C TIN &amp; TP'!$B$3:$B$10005&amp;'DMR 001C TIN &amp; TP'!$A$3:$A$10005),0),MATCH('Reg 85'!$K$11,'DMR 001C TIN &amp; TP'!$A$2:$M$2,0))),"")</f>
        <v/>
      </c>
      <c r="L26" s="53" t="str">
        <f t="shared" si="21"/>
        <v/>
      </c>
      <c r="M26" s="5" t="str">
        <f t="shared" si="8"/>
        <v/>
      </c>
      <c r="N26" s="6" t="str">
        <f t="array" ref="N26">_xlfn.IFNA((INDEX('DMR 001C TIN &amp; TP'!$A$3:$M$10005,MATCH(('Reg 85'!$I$6:$Q$6&amp;'Reg 85'!$M$10&amp;'Reg 85'!$B26),('DMR 001C TIN &amp; TP'!$E$3:$E$10005&amp;'DMR 001C TIN &amp; TP'!$B$3:$B$10005&amp;'DMR 001C TIN &amp; TP'!$A$3:$A$10005),0),MATCH('Reg 85'!$N$11,'DMR 001C TIN &amp; TP'!$A$2:$M$2,0))),"")</f>
        <v/>
      </c>
      <c r="O26" s="6" t="str">
        <f t="array" ref="O26">_xlfn.IFNA((INDEX('DMR 001C TIN &amp; TP'!$A$3:$M$10005,MATCH(('Reg 85'!$I$6:$Q$6&amp;'Reg 85'!$M$10&amp;'Reg 85'!$B26),('DMR 001C TIN &amp; TP'!$E$3:$E$10005&amp;'DMR 001C TIN &amp; TP'!$B$3:$B$10005&amp;'DMR 001C TIN &amp; TP'!$A$3:$A$10005),0),MATCH('Reg 85'!$O$11,'DMR 001C TIN &amp; TP'!$A$2:$M$2,0))),"")</f>
        <v/>
      </c>
      <c r="P26" s="53" t="str">
        <f t="shared" si="9"/>
        <v/>
      </c>
      <c r="Q26" s="73" t="str">
        <f t="array" ref="Q26">IFERROR(((L26*$F26)+(P26*$G26))/($H26),"")</f>
        <v/>
      </c>
      <c r="R26" s="6" t="str">
        <f t="array" ref="R26">_xlfn.IFNA((INDEX('DMR 001C TIN &amp; TP'!$A$3:$M$10005,MATCH(('Reg 85'!$I$6:$Q$6&amp;'Reg 85'!R$10&amp;'Reg 85'!$B26),('DMR 001C TIN &amp; TP'!$E$3:$E$10005&amp;'DMR 001C TIN &amp; TP'!$B$3:$B$10005&amp;'DMR 001C TIN &amp; TP'!$A$3:$A$10005),0),MATCH('Reg 85'!$O$11,'DMR 001C TIN &amp; TP'!$A$2:$M$2,0))),"")</f>
        <v/>
      </c>
      <c r="S26" s="6" t="str">
        <f t="array" ref="S26">_xlfn.IFNA((INDEX('DMR 001C TIN &amp; TP'!$A$3:$M$10005,MATCH(('Reg 85'!$I$6:$Q$6&amp;'Reg 85'!S$10&amp;'Reg 85'!$B26),('DMR 001C TIN &amp; TP'!$E$3:$E$10005&amp;'DMR 001C TIN &amp; TP'!$B$3:$B$10005&amp;'DMR 001C TIN &amp; TP'!$A$3:$A$10005),0),MATCH('Reg 85'!$O$11,'DMR 001C TIN &amp; TP'!$A$2:$M$2,0))),"")</f>
        <v/>
      </c>
      <c r="T26" s="6" t="str">
        <f t="array" ref="T26">_xlfn.IFNA((INDEX('DMR 001C TIN &amp; TP'!$A$3:$M$10005,MATCH(('Reg 85'!$I$6:$Q$6&amp;'Reg 85'!T$10&amp;'Reg 85'!$B26),('DMR 001C TIN &amp; TP'!$E$3:$E$10005&amp;'DMR 001C TIN &amp; TP'!$B$3:$B$10005&amp;'DMR 001C TIN &amp; TP'!$A$3:$A$10005),0),MATCH('Reg 85'!$O$11,'DMR 001C TIN &amp; TP'!$A$2:$M$2,0))),"")</f>
        <v/>
      </c>
      <c r="U26" s="6" t="str">
        <f t="array" ref="U26">_xlfn.IFNA((INDEX('DMR 001C TIN &amp; TP'!$A$3:$M$10005,MATCH(('Reg 85'!$I$6:$Q$6&amp;'Reg 85'!U$10&amp;'Reg 85'!$B26),('DMR 001C TIN &amp; TP'!$E$3:$E$10005&amp;'DMR 001C TIN &amp; TP'!$B$3:$B$10005&amp;'DMR 001C TIN &amp; TP'!$A$3:$A$10005),0),MATCH('Reg 85'!$O$11,'DMR 001C TIN &amp; TP'!$A$2:$M$2,0))),"")</f>
        <v/>
      </c>
      <c r="V26" s="6" t="str">
        <f t="array" ref="V26">_xlfn.IFNA((INDEX('DMR 001C TIN &amp; TP'!$A$3:$M$10005,MATCH(('Reg 85'!$I$6:$Q$6&amp;'Reg 85'!V$10&amp;'Reg 85'!$B26),('DMR 001C TIN &amp; TP'!$E$3:$E$10005&amp;'DMR 001C TIN &amp; TP'!$B$3:$B$10005&amp;'DMR 001C TIN &amp; TP'!$A$3:$A$10005),0),MATCH('Reg 85'!$O$11,'DMR 001C TIN &amp; TP'!$A$2:$M$2,0))),"")</f>
        <v/>
      </c>
      <c r="W26" s="6" t="str">
        <f t="array" ref="W26">_xlfn.IFNA((INDEX('DMR 001C TIN &amp; TP'!$A$3:$M$10005,MATCH(('Reg 85'!$I$6:$Q$6&amp;'Reg 85'!W$10&amp;'Reg 85'!$B26),('DMR 001C TIN &amp; TP'!$E$3:$E$10005&amp;'DMR 001C TIN &amp; TP'!$B$3:$B$10005&amp;'DMR 001C TIN &amp; TP'!$A$3:$A$10005),0),MATCH('Reg 85'!$O$11,'DMR 001C TIN &amp; TP'!$A$2:$M$2,0))),"")</f>
        <v/>
      </c>
      <c r="X26" s="5" t="str">
        <f t="shared" si="10"/>
        <v/>
      </c>
      <c r="Y26" s="6" t="str">
        <f t="array" ref="Y26">_xlfn.IFNA((INDEX('DMR 001C TIN &amp; TP'!$A$3:$M$10005,MATCH(('Reg 85'!$X$6&amp;'Reg 85'!$X$10&amp;'Reg 85'!$B26),('DMR 001C TIN &amp; TP'!$E$3:$E$10005&amp;'DMR 001C TIN &amp; TP'!$B$3:$B$10005&amp;'DMR 001C TIN &amp; TP'!$A$3:$A$10005),0),MATCH('Reg 85'!$Y$11,'DMR 001C TIN &amp; TP'!$A$2:$M$2,0))),"")</f>
        <v/>
      </c>
      <c r="Z26" s="6" t="str">
        <f t="array" ref="Z26">_xlfn.IFNA((INDEX('DMR 001C TIN &amp; TP'!$A$3:$M$10005,MATCH(('Reg 85'!$X$6&amp;'Reg 85'!$X$10&amp;'Reg 85'!$B26),('DMR 001C TIN &amp; TP'!$E$3:$E$10005&amp;'DMR 001C TIN &amp; TP'!$B$3:$B$10005&amp;'DMR 001C TIN &amp; TP'!$A$3:$A$10005),0),MATCH('Reg 85'!$Z$11,'DMR 001C TIN &amp; TP'!$A$2:$M$2,0))),"")</f>
        <v/>
      </c>
      <c r="AA26" s="53" t="str">
        <f t="shared" si="11"/>
        <v/>
      </c>
      <c r="AB26" s="5" t="str">
        <f t="shared" si="12"/>
        <v/>
      </c>
      <c r="AC26" s="6" t="str">
        <f t="array" ref="AC26">_xlfn.IFNA((INDEX('DMR 001C TIN &amp; TP'!$A$3:$M$10005,MATCH(('Reg 85'!$X$6&amp;'Reg 85'!$AB$10&amp;'Reg 85'!$B26),('DMR 001C TIN &amp; TP'!$E$3:$E$10005&amp;'DMR 001C TIN &amp; TP'!$B$3:$B$10005&amp;'DMR 001C TIN &amp; TP'!$A$3:$A$10005),0),MATCH('Reg 85'!$AC$11,'DMR 001C TIN &amp; TP'!$A$2:$M$2,0))),"")</f>
        <v/>
      </c>
      <c r="AD26" s="6" t="str">
        <f t="array" ref="AD26">_xlfn.IFNA((INDEX('DMR 001C TIN &amp; TP'!$A$3:$M$10005,MATCH(('Reg 85'!$X$6&amp;'Reg 85'!$AB$10&amp;'Reg 85'!$B26),('DMR 001C TIN &amp; TP'!$E$3:$E$10005&amp;'DMR 001C TIN &amp; TP'!$B$3:$B$10005&amp;'DMR 001C TIN &amp; TP'!$A$3:$A$10005),0),MATCH('Reg 85'!$AD$11,'DMR 001C TIN &amp; TP'!$A$2:$M$2,0))),"")</f>
        <v/>
      </c>
      <c r="AE26" s="53" t="str">
        <f t="shared" si="13"/>
        <v/>
      </c>
      <c r="AF26" s="7" t="str">
        <f t="shared" si="14"/>
        <v/>
      </c>
      <c r="AG26" s="6" t="str">
        <f t="array" ref="AG26">_xlfn.IFNA((INDEX('DMR 001C TIN &amp; TP'!$A$3:$M$10005,MATCH(('Reg 85'!$X$6&amp;'Reg 85'!AG$10&amp;'Reg 85'!$B26),('DMR 001C TIN &amp; TP'!$E$3:$E$10005&amp;'DMR 001C TIN &amp; TP'!$B$3:$B$10005&amp;'DMR 001C TIN &amp; TP'!$A$3:$A$10005),0),MATCH('Reg 85'!$AG$11,'DMR 001C TIN &amp; TP'!$A$2:$M$2,0))),"")</f>
        <v/>
      </c>
      <c r="AH26" s="6" t="str">
        <f t="array" ref="AH26">_xlfn.IFNA((INDEX('DMR 001C TIN &amp; TP'!$A$3:$M$10005,MATCH(('Reg 85'!$X$6&amp;'Reg 85'!AH$10&amp;'Reg 85'!$B26),('DMR 001C TIN &amp; TP'!$E$3:$E$10005&amp;'DMR 001C TIN &amp; TP'!$B$3:$B$10005&amp;'DMR 001C TIN &amp; TP'!$A$3:$A$10005),0),MATCH('Reg 85'!$AG$11,'DMR 001C TIN &amp; TP'!$A$2:$M$2,0))),"")</f>
        <v/>
      </c>
      <c r="AI26" s="6" t="str">
        <f t="array" ref="AI26">_xlfn.IFNA((INDEX('DMR 001C TIN &amp; TP'!$A$3:$M$10005,MATCH(('Reg 85'!$X$6&amp;'Reg 85'!AI$10&amp;'Reg 85'!$B26),('DMR 001C TIN &amp; TP'!$E$3:$E$10005&amp;'DMR 001C TIN &amp; TP'!$B$3:$B$10005&amp;'DMR 001C TIN &amp; TP'!$A$3:$A$10005),0),MATCH('Reg 85'!$AG$11,'DMR 001C TIN &amp; TP'!$A$2:$M$2,0))),"")</f>
        <v/>
      </c>
      <c r="AJ26" s="6" t="str">
        <f t="array" ref="AJ26">_xlfn.IFNA((INDEX('DMR 001C TIN &amp; TP'!$A$3:$M$10005,MATCH(('Reg 85'!$X$6&amp;'Reg 85'!AJ$10&amp;'Reg 85'!$B26),('DMR 001C TIN &amp; TP'!$E$3:$E$10005&amp;'DMR 001C TIN &amp; TP'!$B$3:$B$10005&amp;'DMR 001C TIN &amp; TP'!$A$3:$A$10005),0),MATCH('Reg 85'!$AG$11,'DMR 001C TIN &amp; TP'!$A$2:$M$2,0))),"")</f>
        <v/>
      </c>
      <c r="AK26" s="6" t="str">
        <f t="array" ref="AK26">_xlfn.IFNA((INDEX('DMR 001C TIN &amp; TP'!$A$3:$M$10005,MATCH(('Reg 85'!$X$6&amp;'Reg 85'!AK$10&amp;'Reg 85'!$B26),('DMR 001C TIN &amp; TP'!$E$3:$E$10005&amp;'DMR 001C TIN &amp; TP'!$B$3:$B$10005&amp;'DMR 001C TIN &amp; TP'!$A$3:$A$10005),0),MATCH('Reg 85'!$AG$11,'DMR 001C TIN &amp; TP'!$A$2:$M$2,0))),"")</f>
        <v/>
      </c>
      <c r="AL26" s="6" t="str">
        <f t="array" ref="AL26">_xlfn.IFNA((INDEX('DMR 001C TIN &amp; TP'!$A$3:$M$10005,MATCH(('Reg 85'!$X$6&amp;'Reg 85'!AL$10&amp;'Reg 85'!$B26),('DMR 001C TIN &amp; TP'!$E$3:$E$10005&amp;'DMR 001C TIN &amp; TP'!$B$3:$B$10005&amp;'DMR 001C TIN &amp; TP'!$A$3:$A$10005),0),MATCH('Reg 85'!$AG$11,'DMR 001C TIN &amp; TP'!$A$2:$M$2,0))),"")</f>
        <v/>
      </c>
      <c r="AM26" s="76"/>
      <c r="AN26" s="6"/>
      <c r="AO26" s="54" t="str">
        <f t="shared" si="0"/>
        <v/>
      </c>
      <c r="AP26" s="77" t="str">
        <f>IF(COUNT(IF((#REF!&lt;=C26)*(#REF!&gt;=D26)*(B26=EOMONTH(B26,0)),#REF!,""))=0,"",COUNT(IF((#REF!&lt;=C26)*(#REF!&gt;=D26)*(B26=EOMONTH(B26,0)),#REF!,"")))</f>
        <v/>
      </c>
      <c r="AQ26" s="47"/>
      <c r="AR26" s="6" t="str">
        <f t="array" ref="AR26">_xlfn.IFNA((INDEX('DMR 001C TIN &amp; TP'!$A$3:$M$10005,MATCH(('Reg 85'!$AQ$6&amp;'Reg 85'!$AQ$10&amp;'Reg 85'!$B26),('DMR 001C TIN &amp; TP'!$E$3:$E$10005&amp;'DMR 001C TIN &amp; TP'!$B$3:$B$10005&amp;'DMR 001C TIN &amp; TP'!$A$3:$A$10005),0),MATCH('Reg 85'!$AR$11,'DMR 001C TIN &amp; TP'!$A$2:$M$2,0))),"")</f>
        <v/>
      </c>
      <c r="AS26" s="6" t="str">
        <f t="array" ref="AS26">_xlfn.IFNA((INDEX('DMR 001C TIN &amp; TP'!$A$3:$M$10005,MATCH(('Reg 85'!$AQ$6&amp;'Reg 85'!$AQ$10&amp;'Reg 85'!$B26),('DMR 001C TIN &amp; TP'!$E$3:$E$10005&amp;'DMR 001C TIN &amp; TP'!$B$3:$B$10005&amp;'DMR 001C TIN &amp; TP'!$A$3:$A$10005),0),MATCH('Reg 85'!$AS$11,'DMR 001C TIN &amp; TP'!$A$2:$M$2,0))),"")</f>
        <v/>
      </c>
      <c r="AT26" s="53" t="str">
        <f t="shared" si="15"/>
        <v/>
      </c>
      <c r="AV26" s="6" t="str">
        <f t="array" ref="AV26">_xlfn.IFNA((INDEX('DMR 001C TIN &amp; TP'!$A$3:$M$10005,MATCH(('Reg 85'!$AQ$6&amp;'Reg 85'!$AU$10&amp;'Reg 85'!$B26),('DMR 001C TIN &amp; TP'!$E$3:$E$10005&amp;'DMR 001C TIN &amp; TP'!$B$3:$B$10005&amp;'DMR 001C TIN &amp; TP'!$A$3:$A$10005),0),MATCH('Reg 85'!$AV$11,'DMR 001C TIN &amp; TP'!$A$2:$M$2,0))),"")</f>
        <v/>
      </c>
      <c r="AW26" s="6" t="str">
        <f t="array" ref="AW26">_xlfn.IFNA((INDEX('DMR 001C TIN &amp; TP'!$A$3:$M$10005,MATCH(('Reg 85'!$AQ$6&amp;'Reg 85'!$AU$10&amp;'Reg 85'!$B26),('DMR 001C TIN &amp; TP'!$E$3:$E$10005&amp;'DMR 001C TIN &amp; TP'!$B$3:$B$10005&amp;'DMR 001C TIN &amp; TP'!$A$3:$A$10005),0),MATCH('Reg 85'!$AW$11,'DMR 001C TIN &amp; TP'!$A$2:$M$2,0))),"")</f>
        <v/>
      </c>
      <c r="AX26" s="53" t="str">
        <f t="shared" si="16"/>
        <v/>
      </c>
      <c r="AY26" s="55" t="str">
        <f t="shared" si="17"/>
        <v/>
      </c>
      <c r="AZ26" s="77" t="str">
        <f t="shared" ref="AZ26" si="33">IF(COUNT(IF((#REF!&lt;=C26)*(#REF!&gt;=D26)*(B26=EOMONTH(B26,0)),#REF!,""))=0,"",COUNT(IF((#REF!&lt;=C26)*(#REF!&gt;=D26)*(B26=EOMONTH(B26,0)),#REF!,"")))</f>
        <v/>
      </c>
      <c r="BA26" s="6" t="str">
        <f t="array" ref="BA26">_xlfn.IFNA((INDEX('DMR 001C TIN &amp; TP'!$A$3:$M$10005,MATCH(('Reg 85'!$AQ$6&amp;'Reg 85'!BA$10&amp;'Reg 85'!$B26),('DMR 001C TIN &amp; TP'!$E$3:$E$10005&amp;'DMR 001C TIN &amp; TP'!$B$3:$B$10005&amp;'DMR 001C TIN &amp; TP'!$A$3:$A$10005),0),MATCH('Reg 85'!$AG$11,'DMR 001C TIN &amp; TP'!$A$2:$M$2,0))),"")</f>
        <v/>
      </c>
      <c r="BB26" s="6" t="str">
        <f t="array" ref="BB26">_xlfn.IFNA((INDEX('DMR 001C TIN &amp; TP'!$A$3:$M$10005,MATCH(('Reg 85'!$AQ$6&amp;'Reg 85'!BB$10&amp;'Reg 85'!$B26),('DMR 001C TIN &amp; TP'!$E$3:$E$10005&amp;'DMR 001C TIN &amp; TP'!$B$3:$B$10005&amp;'DMR 001C TIN &amp; TP'!$A$3:$A$10005),0),MATCH('Reg 85'!$AG$11,'DMR 001C TIN &amp; TP'!$A$2:$M$2,0))),"")</f>
        <v/>
      </c>
      <c r="BC26" s="6" t="str">
        <f t="array" ref="BC26">_xlfn.IFNA((INDEX('DMR 001C TIN &amp; TP'!$A$3:$M$10005,MATCH(('Reg 85'!$AQ$6&amp;'Reg 85'!BC$10&amp;'Reg 85'!$B26),('DMR 001C TIN &amp; TP'!$E$3:$E$10005&amp;'DMR 001C TIN &amp; TP'!$B$3:$B$10005&amp;'DMR 001C TIN &amp; TP'!$A$3:$A$10005),0),MATCH('Reg 85'!$AG$11,'DMR 001C TIN &amp; TP'!$A$2:$M$2,0))),"")</f>
        <v/>
      </c>
      <c r="BD26" s="6" t="str">
        <f t="array" ref="BD26">_xlfn.IFNA((INDEX('DMR 001C TIN &amp; TP'!$A$3:$M$10005,MATCH(('Reg 85'!$AQ$6&amp;'Reg 85'!BD$10&amp;'Reg 85'!$B26),('DMR 001C TIN &amp; TP'!$E$3:$E$10005&amp;'DMR 001C TIN &amp; TP'!$B$3:$B$10005&amp;'DMR 001C TIN &amp; TP'!$A$3:$A$10005),0),MATCH('Reg 85'!$AG$11,'DMR 001C TIN &amp; TP'!$A$2:$M$2,0))),"")</f>
        <v/>
      </c>
      <c r="BE26" s="6" t="str">
        <f t="array" ref="BE26">_xlfn.IFNA((INDEX('DMR 001C TIN &amp; TP'!$A$3:$M$10005,MATCH(('Reg 85'!$AQ$6&amp;'Reg 85'!BE$10&amp;'Reg 85'!$B26),('DMR 001C TIN &amp; TP'!$E$3:$E$10005&amp;'DMR 001C TIN &amp; TP'!$B$3:$B$10005&amp;'DMR 001C TIN &amp; TP'!$A$3:$A$10005),0),MATCH('Reg 85'!$AG$11,'DMR 001C TIN &amp; TP'!$A$2:$M$2,0))),"")</f>
        <v/>
      </c>
      <c r="BF26" s="6" t="str">
        <f t="array" ref="BF26">_xlfn.IFNA((INDEX('DMR 001C TIN &amp; TP'!$A$3:$M$10005,MATCH(('Reg 85'!$AQ$6&amp;'Reg 85'!BF$10&amp;'Reg 85'!$B26),('DMR 001C TIN &amp; TP'!$E$3:$E$10005&amp;'DMR 001C TIN &amp; TP'!$B$3:$B$10005&amp;'DMR 001C TIN &amp; TP'!$A$3:$A$10005),0),MATCH('Reg 85'!$AG$11,'DMR 001C TIN &amp; TP'!$A$2:$M$2,0))),"")</f>
        <v/>
      </c>
    </row>
    <row r="27" spans="1:58">
      <c r="A27" s="3" t="str">
        <f t="shared" si="2"/>
        <v>Sun</v>
      </c>
      <c r="B27" s="96">
        <f t="shared" si="19"/>
        <v>43359</v>
      </c>
      <c r="C27" s="96">
        <f t="shared" si="3"/>
        <v>43373</v>
      </c>
      <c r="D27" s="96">
        <f t="shared" si="4"/>
        <v>43344</v>
      </c>
      <c r="E27" s="95">
        <f t="shared" si="5"/>
        <v>30</v>
      </c>
      <c r="F27" s="7">
        <f t="array" ref="F27">_xlfn.IFNA(INDEX('DMR Flows-Effluent'!$A$3:$F$9999,MATCH(($F$10&amp;$B27),('DMR Flows-Effluent'!$B$3:$B$9999&amp;'DMR Flows-Effluent'!$A$3:$A$9999),0),MATCH($F$8,'DMR Flows-Effluent'!$A$2:$F$2,0)),"")</f>
        <v>49.375100000000003</v>
      </c>
      <c r="G27" s="7">
        <f t="array" ref="G27">_xlfn.IFNA(INDEX('DMR Flows-Effluent'!$A$3:$F$9999,MATCH(($G$10&amp;$B27),('DMR Flows-Effluent'!$B$3:$B$9999&amp;'DMR Flows-Effluent'!$A$3:$A$9999),0),MATCH($F$8,'DMR Flows-Effluent'!$A$2:$F$2,0)),"")</f>
        <v>68.3767</v>
      </c>
      <c r="H27" s="7">
        <f t="shared" si="6"/>
        <v>117.7518</v>
      </c>
      <c r="I27" s="45" t="str">
        <f t="shared" si="7"/>
        <v/>
      </c>
      <c r="J27" s="6" t="str">
        <f t="array" ref="J27">_xlfn.IFNA((INDEX('DMR 001C TIN &amp; TP'!$A$3:$M$10005,MATCH(('Reg 85'!$I$6:$Q$6&amp;'Reg 85'!$I$10:$K$10&amp;'Reg 85'!$B27),('DMR 001C TIN &amp; TP'!$E$3:$E$10005&amp;'DMR 001C TIN &amp; TP'!$B$3:$B$10005&amp;'DMR 001C TIN &amp; TP'!$A$3:$A$10005),0),MATCH('Reg 85'!$J$11,'DMR 001C TIN &amp; TP'!$A$2:$M$2,0))),"")</f>
        <v/>
      </c>
      <c r="K27" s="6" t="str">
        <f t="array" ref="K27">_xlfn.IFNA((INDEX('DMR 001C TIN &amp; TP'!$A$3:$M$10005,MATCH(('Reg 85'!$I$6:$Q$6&amp;'Reg 85'!$I$10:$K$10&amp;'Reg 85'!$B27),('DMR 001C TIN &amp; TP'!$E$3:$E$10005&amp;'DMR 001C TIN &amp; TP'!$B$3:$B$10005&amp;'DMR 001C TIN &amp; TP'!$A$3:$A$10005),0),MATCH('Reg 85'!$K$11,'DMR 001C TIN &amp; TP'!$A$2:$M$2,0))),"")</f>
        <v/>
      </c>
      <c r="L27" s="53" t="str">
        <f t="shared" si="21"/>
        <v/>
      </c>
      <c r="M27" s="5" t="str">
        <f t="shared" si="8"/>
        <v/>
      </c>
      <c r="N27" s="6" t="str">
        <f t="array" ref="N27">_xlfn.IFNA((INDEX('DMR 001C TIN &amp; TP'!$A$3:$M$10005,MATCH(('Reg 85'!$I$6:$Q$6&amp;'Reg 85'!$M$10&amp;'Reg 85'!$B27),('DMR 001C TIN &amp; TP'!$E$3:$E$10005&amp;'DMR 001C TIN &amp; TP'!$B$3:$B$10005&amp;'DMR 001C TIN &amp; TP'!$A$3:$A$10005),0),MATCH('Reg 85'!$N$11,'DMR 001C TIN &amp; TP'!$A$2:$M$2,0))),"")</f>
        <v/>
      </c>
      <c r="O27" s="6" t="str">
        <f t="array" ref="O27">_xlfn.IFNA((INDEX('DMR 001C TIN &amp; TP'!$A$3:$M$10005,MATCH(('Reg 85'!$I$6:$Q$6&amp;'Reg 85'!$M$10&amp;'Reg 85'!$B27),('DMR 001C TIN &amp; TP'!$E$3:$E$10005&amp;'DMR 001C TIN &amp; TP'!$B$3:$B$10005&amp;'DMR 001C TIN &amp; TP'!$A$3:$A$10005),0),MATCH('Reg 85'!$O$11,'DMR 001C TIN &amp; TP'!$A$2:$M$2,0))),"")</f>
        <v/>
      </c>
      <c r="P27" s="53" t="str">
        <f t="shared" si="9"/>
        <v/>
      </c>
      <c r="Q27" s="73" t="str">
        <f t="array" ref="Q27">IFERROR(((L27*$F27)+(P27*$G27))/($H27),"")</f>
        <v/>
      </c>
      <c r="R27" s="6" t="str">
        <f t="array" ref="R27">_xlfn.IFNA((INDEX('DMR 001C TIN &amp; TP'!$A$3:$M$10005,MATCH(('Reg 85'!$I$6:$Q$6&amp;'Reg 85'!R$10&amp;'Reg 85'!$B27),('DMR 001C TIN &amp; TP'!$E$3:$E$10005&amp;'DMR 001C TIN &amp; TP'!$B$3:$B$10005&amp;'DMR 001C TIN &amp; TP'!$A$3:$A$10005),0),MATCH('Reg 85'!$O$11,'DMR 001C TIN &amp; TP'!$A$2:$M$2,0))),"")</f>
        <v/>
      </c>
      <c r="S27" s="6" t="str">
        <f t="array" ref="S27">_xlfn.IFNA((INDEX('DMR 001C TIN &amp; TP'!$A$3:$M$10005,MATCH(('Reg 85'!$I$6:$Q$6&amp;'Reg 85'!S$10&amp;'Reg 85'!$B27),('DMR 001C TIN &amp; TP'!$E$3:$E$10005&amp;'DMR 001C TIN &amp; TP'!$B$3:$B$10005&amp;'DMR 001C TIN &amp; TP'!$A$3:$A$10005),0),MATCH('Reg 85'!$O$11,'DMR 001C TIN &amp; TP'!$A$2:$M$2,0))),"")</f>
        <v/>
      </c>
      <c r="T27" s="6" t="str">
        <f t="array" ref="T27">_xlfn.IFNA((INDEX('DMR 001C TIN &amp; TP'!$A$3:$M$10005,MATCH(('Reg 85'!$I$6:$Q$6&amp;'Reg 85'!T$10&amp;'Reg 85'!$B27),('DMR 001C TIN &amp; TP'!$E$3:$E$10005&amp;'DMR 001C TIN &amp; TP'!$B$3:$B$10005&amp;'DMR 001C TIN &amp; TP'!$A$3:$A$10005),0),MATCH('Reg 85'!$O$11,'DMR 001C TIN &amp; TP'!$A$2:$M$2,0))),"")</f>
        <v/>
      </c>
      <c r="U27" s="6">
        <f t="array" ref="U27">_xlfn.IFNA((INDEX('DMR 001C TIN &amp; TP'!$A$3:$M$10005,MATCH(('Reg 85'!$I$6:$Q$6&amp;'Reg 85'!U$10&amp;'Reg 85'!$B27),('DMR 001C TIN &amp; TP'!$E$3:$E$10005&amp;'DMR 001C TIN &amp; TP'!$B$3:$B$10005&amp;'DMR 001C TIN &amp; TP'!$A$3:$A$10005),0),MATCH('Reg 85'!$O$11,'DMR 001C TIN &amp; TP'!$A$2:$M$2,0))),"")</f>
        <v>0.39</v>
      </c>
      <c r="V27" s="6" t="str">
        <f t="array" ref="V27">_xlfn.IFNA((INDEX('DMR 001C TIN &amp; TP'!$A$3:$M$10005,MATCH(('Reg 85'!$I$6:$Q$6&amp;'Reg 85'!V$10&amp;'Reg 85'!$B27),('DMR 001C TIN &amp; TP'!$E$3:$E$10005&amp;'DMR 001C TIN &amp; TP'!$B$3:$B$10005&amp;'DMR 001C TIN &amp; TP'!$A$3:$A$10005),0),MATCH('Reg 85'!$O$11,'DMR 001C TIN &amp; TP'!$A$2:$M$2,0))),"")</f>
        <v/>
      </c>
      <c r="W27" s="6" t="str">
        <f t="array" ref="W27">_xlfn.IFNA((INDEX('DMR 001C TIN &amp; TP'!$A$3:$M$10005,MATCH(('Reg 85'!$I$6:$Q$6&amp;'Reg 85'!W$10&amp;'Reg 85'!$B27),('DMR 001C TIN &amp; TP'!$E$3:$E$10005&amp;'DMR 001C TIN &amp; TP'!$B$3:$B$10005&amp;'DMR 001C TIN &amp; TP'!$A$3:$A$10005),0),MATCH('Reg 85'!$O$11,'DMR 001C TIN &amp; TP'!$A$2:$M$2,0))),"")</f>
        <v/>
      </c>
      <c r="X27" s="5" t="str">
        <f t="shared" si="10"/>
        <v/>
      </c>
      <c r="Y27" s="6" t="str">
        <f t="array" ref="Y27">_xlfn.IFNA((INDEX('DMR 001C TIN &amp; TP'!$A$3:$M$10005,MATCH(('Reg 85'!$X$6&amp;'Reg 85'!$X$10&amp;'Reg 85'!$B27),('DMR 001C TIN &amp; TP'!$E$3:$E$10005&amp;'DMR 001C TIN &amp; TP'!$B$3:$B$10005&amp;'DMR 001C TIN &amp; TP'!$A$3:$A$10005),0),MATCH('Reg 85'!$Y$11,'DMR 001C TIN &amp; TP'!$A$2:$M$2,0))),"")</f>
        <v/>
      </c>
      <c r="Z27" s="6" t="str">
        <f t="array" ref="Z27">_xlfn.IFNA((INDEX('DMR 001C TIN &amp; TP'!$A$3:$M$10005,MATCH(('Reg 85'!$X$6&amp;'Reg 85'!$X$10&amp;'Reg 85'!$B27),('DMR 001C TIN &amp; TP'!$E$3:$E$10005&amp;'DMR 001C TIN &amp; TP'!$B$3:$B$10005&amp;'DMR 001C TIN &amp; TP'!$A$3:$A$10005),0),MATCH('Reg 85'!$Z$11,'DMR 001C TIN &amp; TP'!$A$2:$M$2,0))),"")</f>
        <v/>
      </c>
      <c r="AA27" s="53" t="str">
        <f t="shared" si="11"/>
        <v/>
      </c>
      <c r="AB27" s="5" t="str">
        <f t="shared" si="12"/>
        <v/>
      </c>
      <c r="AC27" s="6" t="str">
        <f t="array" ref="AC27">_xlfn.IFNA((INDEX('DMR 001C TIN &amp; TP'!$A$3:$M$10005,MATCH(('Reg 85'!$X$6&amp;'Reg 85'!$AB$10&amp;'Reg 85'!$B27),('DMR 001C TIN &amp; TP'!$E$3:$E$10005&amp;'DMR 001C TIN &amp; TP'!$B$3:$B$10005&amp;'DMR 001C TIN &amp; TP'!$A$3:$A$10005),0),MATCH('Reg 85'!$AC$11,'DMR 001C TIN &amp; TP'!$A$2:$M$2,0))),"")</f>
        <v/>
      </c>
      <c r="AD27" s="6" t="str">
        <f t="array" ref="AD27">_xlfn.IFNA((INDEX('DMR 001C TIN &amp; TP'!$A$3:$M$10005,MATCH(('Reg 85'!$X$6&amp;'Reg 85'!$AB$10&amp;'Reg 85'!$B27),('DMR 001C TIN &amp; TP'!$E$3:$E$10005&amp;'DMR 001C TIN &amp; TP'!$B$3:$B$10005&amp;'DMR 001C TIN &amp; TP'!$A$3:$A$10005),0),MATCH('Reg 85'!$AD$11,'DMR 001C TIN &amp; TP'!$A$2:$M$2,0))),"")</f>
        <v/>
      </c>
      <c r="AE27" s="53" t="str">
        <f t="shared" si="13"/>
        <v/>
      </c>
      <c r="AF27" s="7" t="str">
        <f t="shared" si="14"/>
        <v/>
      </c>
      <c r="AG27" s="6" t="str">
        <f t="array" ref="AG27">_xlfn.IFNA((INDEX('DMR 001C TIN &amp; TP'!$A$3:$M$10005,MATCH(('Reg 85'!$X$6&amp;'Reg 85'!AG$10&amp;'Reg 85'!$B27),('DMR 001C TIN &amp; TP'!$E$3:$E$10005&amp;'DMR 001C TIN &amp; TP'!$B$3:$B$10005&amp;'DMR 001C TIN &amp; TP'!$A$3:$A$10005),0),MATCH('Reg 85'!$AG$11,'DMR 001C TIN &amp; TP'!$A$2:$M$2,0))),"")</f>
        <v/>
      </c>
      <c r="AH27" s="6" t="str">
        <f t="array" ref="AH27">_xlfn.IFNA((INDEX('DMR 001C TIN &amp; TP'!$A$3:$M$10005,MATCH(('Reg 85'!$X$6&amp;'Reg 85'!AH$10&amp;'Reg 85'!$B27),('DMR 001C TIN &amp; TP'!$E$3:$E$10005&amp;'DMR 001C TIN &amp; TP'!$B$3:$B$10005&amp;'DMR 001C TIN &amp; TP'!$A$3:$A$10005),0),MATCH('Reg 85'!$AG$11,'DMR 001C TIN &amp; TP'!$A$2:$M$2,0))),"")</f>
        <v/>
      </c>
      <c r="AI27" s="6" t="str">
        <f t="array" ref="AI27">_xlfn.IFNA((INDEX('DMR 001C TIN &amp; TP'!$A$3:$M$10005,MATCH(('Reg 85'!$X$6&amp;'Reg 85'!AI$10&amp;'Reg 85'!$B27),('DMR 001C TIN &amp; TP'!$E$3:$E$10005&amp;'DMR 001C TIN &amp; TP'!$B$3:$B$10005&amp;'DMR 001C TIN &amp; TP'!$A$3:$A$10005),0),MATCH('Reg 85'!$AG$11,'DMR 001C TIN &amp; TP'!$A$2:$M$2,0))),"")</f>
        <v/>
      </c>
      <c r="AJ27" s="6" t="str">
        <f t="array" ref="AJ27">_xlfn.IFNA((INDEX('DMR 001C TIN &amp; TP'!$A$3:$M$10005,MATCH(('Reg 85'!$X$6&amp;'Reg 85'!AJ$10&amp;'Reg 85'!$B27),('DMR 001C TIN &amp; TP'!$E$3:$E$10005&amp;'DMR 001C TIN &amp; TP'!$B$3:$B$10005&amp;'DMR 001C TIN &amp; TP'!$A$3:$A$10005),0),MATCH('Reg 85'!$AG$11,'DMR 001C TIN &amp; TP'!$A$2:$M$2,0))),"")</f>
        <v/>
      </c>
      <c r="AK27" s="6" t="str">
        <f t="array" ref="AK27">_xlfn.IFNA((INDEX('DMR 001C TIN &amp; TP'!$A$3:$M$10005,MATCH(('Reg 85'!$X$6&amp;'Reg 85'!AK$10&amp;'Reg 85'!$B27),('DMR 001C TIN &amp; TP'!$E$3:$E$10005&amp;'DMR 001C TIN &amp; TP'!$B$3:$B$10005&amp;'DMR 001C TIN &amp; TP'!$A$3:$A$10005),0),MATCH('Reg 85'!$AG$11,'DMR 001C TIN &amp; TP'!$A$2:$M$2,0))),"")</f>
        <v/>
      </c>
      <c r="AL27" s="6" t="str">
        <f t="array" ref="AL27">_xlfn.IFNA((INDEX('DMR 001C TIN &amp; TP'!$A$3:$M$10005,MATCH(('Reg 85'!$X$6&amp;'Reg 85'!AL$10&amp;'Reg 85'!$B27),('DMR 001C TIN &amp; TP'!$E$3:$E$10005&amp;'DMR 001C TIN &amp; TP'!$B$3:$B$10005&amp;'DMR 001C TIN &amp; TP'!$A$3:$A$10005),0),MATCH('Reg 85'!$AG$11,'DMR 001C TIN &amp; TP'!$A$2:$M$2,0))),"")</f>
        <v/>
      </c>
      <c r="AM27" s="76"/>
      <c r="AN27" s="6"/>
      <c r="AO27" s="54" t="str">
        <f t="shared" si="0"/>
        <v/>
      </c>
      <c r="AP27" s="77" t="str">
        <f>IF(COUNT(IF((#REF!&lt;=C27)*(#REF!&gt;=D27)*(B27=EOMONTH(B27,0)),#REF!,""))=0,"",COUNT(IF((#REF!&lt;=C27)*(#REF!&gt;=D27)*(B27=EOMONTH(B27,0)),#REF!,"")))</f>
        <v/>
      </c>
      <c r="AQ27" s="47"/>
      <c r="AR27" s="6" t="str">
        <f t="array" ref="AR27">_xlfn.IFNA((INDEX('DMR 001C TIN &amp; TP'!$A$3:$M$10005,MATCH(('Reg 85'!$AQ$6&amp;'Reg 85'!$AQ$10&amp;'Reg 85'!$B27),('DMR 001C TIN &amp; TP'!$E$3:$E$10005&amp;'DMR 001C TIN &amp; TP'!$B$3:$B$10005&amp;'DMR 001C TIN &amp; TP'!$A$3:$A$10005),0),MATCH('Reg 85'!$AR$11,'DMR 001C TIN &amp; TP'!$A$2:$M$2,0))),"")</f>
        <v>0.03</v>
      </c>
      <c r="AS27" s="6">
        <f t="array" ref="AS27">_xlfn.IFNA((INDEX('DMR 001C TIN &amp; TP'!$A$3:$M$10005,MATCH(('Reg 85'!$AQ$6&amp;'Reg 85'!$AQ$10&amp;'Reg 85'!$B27),('DMR 001C TIN &amp; TP'!$E$3:$E$10005&amp;'DMR 001C TIN &amp; TP'!$B$3:$B$10005&amp;'DMR 001C TIN &amp; TP'!$A$3:$A$10005),0),MATCH('Reg 85'!$AS$11,'DMR 001C TIN &amp; TP'!$A$2:$M$2,0))),"")</f>
        <v>0.39</v>
      </c>
      <c r="AT27" s="53">
        <f t="shared" si="15"/>
        <v>0.39</v>
      </c>
      <c r="AV27" s="6" t="str">
        <f t="array" ref="AV27">_xlfn.IFNA((INDEX('DMR 001C TIN &amp; TP'!$A$3:$M$10005,MATCH(('Reg 85'!$AQ$6&amp;'Reg 85'!$AU$10&amp;'Reg 85'!$B27),('DMR 001C TIN &amp; TP'!$E$3:$E$10005&amp;'DMR 001C TIN &amp; TP'!$B$3:$B$10005&amp;'DMR 001C TIN &amp; TP'!$A$3:$A$10005),0),MATCH('Reg 85'!$AV$11,'DMR 001C TIN &amp; TP'!$A$2:$M$2,0))),"")</f>
        <v>0.03</v>
      </c>
      <c r="AW27" s="6">
        <f t="array" ref="AW27">_xlfn.IFNA((INDEX('DMR 001C TIN &amp; TP'!$A$3:$M$10005,MATCH(('Reg 85'!$AQ$6&amp;'Reg 85'!$AU$10&amp;'Reg 85'!$B27),('DMR 001C TIN &amp; TP'!$E$3:$E$10005&amp;'DMR 001C TIN &amp; TP'!$B$3:$B$10005&amp;'DMR 001C TIN &amp; TP'!$A$3:$A$10005),0),MATCH('Reg 85'!$AW$11,'DMR 001C TIN &amp; TP'!$A$2:$M$2,0))),"")</f>
        <v>2.5499999999999998</v>
      </c>
      <c r="AX27" s="53">
        <f t="shared" si="16"/>
        <v>2.5499999999999998</v>
      </c>
      <c r="AY27" s="55">
        <f t="shared" si="17"/>
        <v>1.6442795269371677</v>
      </c>
      <c r="AZ27" s="77" t="str">
        <f t="shared" ref="AZ27" si="34">IF(COUNT(IF((#REF!&lt;=C27)*(#REF!&gt;=D27)*(B27=EOMONTH(B27,0)),#REF!,""))=0,"",COUNT(IF((#REF!&lt;=C27)*(#REF!&gt;=D27)*(B27=EOMONTH(B27,0)),#REF!,"")))</f>
        <v/>
      </c>
      <c r="BA27" s="6" t="str">
        <f t="array" ref="BA27">_xlfn.IFNA((INDEX('DMR 001C TIN &amp; TP'!$A$3:$M$10005,MATCH(('Reg 85'!$AQ$6&amp;'Reg 85'!BA$10&amp;'Reg 85'!$B27),('DMR 001C TIN &amp; TP'!$E$3:$E$10005&amp;'DMR 001C TIN &amp; TP'!$B$3:$B$10005&amp;'DMR 001C TIN &amp; TP'!$A$3:$A$10005),0),MATCH('Reg 85'!$AG$11,'DMR 001C TIN &amp; TP'!$A$2:$M$2,0))),"")</f>
        <v/>
      </c>
      <c r="BB27" s="6" t="str">
        <f t="array" ref="BB27">_xlfn.IFNA((INDEX('DMR 001C TIN &amp; TP'!$A$3:$M$10005,MATCH(('Reg 85'!$AQ$6&amp;'Reg 85'!BB$10&amp;'Reg 85'!$B27),('DMR 001C TIN &amp; TP'!$E$3:$E$10005&amp;'DMR 001C TIN &amp; TP'!$B$3:$B$10005&amp;'DMR 001C TIN &amp; TP'!$A$3:$A$10005),0),MATCH('Reg 85'!$AG$11,'DMR 001C TIN &amp; TP'!$A$2:$M$2,0))),"")</f>
        <v/>
      </c>
      <c r="BC27" s="6" t="str">
        <f t="array" ref="BC27">_xlfn.IFNA((INDEX('DMR 001C TIN &amp; TP'!$A$3:$M$10005,MATCH(('Reg 85'!$AQ$6&amp;'Reg 85'!BC$10&amp;'Reg 85'!$B27),('DMR 001C TIN &amp; TP'!$E$3:$E$10005&amp;'DMR 001C TIN &amp; TP'!$B$3:$B$10005&amp;'DMR 001C TIN &amp; TP'!$A$3:$A$10005),0),MATCH('Reg 85'!$AG$11,'DMR 001C TIN &amp; TP'!$A$2:$M$2,0))),"")</f>
        <v/>
      </c>
      <c r="BD27" s="6" t="str">
        <f t="array" ref="BD27">_xlfn.IFNA((INDEX('DMR 001C TIN &amp; TP'!$A$3:$M$10005,MATCH(('Reg 85'!$AQ$6&amp;'Reg 85'!BD$10&amp;'Reg 85'!$B27),('DMR 001C TIN &amp; TP'!$E$3:$E$10005&amp;'DMR 001C TIN &amp; TP'!$B$3:$B$10005&amp;'DMR 001C TIN &amp; TP'!$A$3:$A$10005),0),MATCH('Reg 85'!$AG$11,'DMR 001C TIN &amp; TP'!$A$2:$M$2,0))),"")</f>
        <v/>
      </c>
      <c r="BE27" s="6" t="str">
        <f t="array" ref="BE27">_xlfn.IFNA((INDEX('DMR 001C TIN &amp; TP'!$A$3:$M$10005,MATCH(('Reg 85'!$AQ$6&amp;'Reg 85'!BE$10&amp;'Reg 85'!$B27),('DMR 001C TIN &amp; TP'!$E$3:$E$10005&amp;'DMR 001C TIN &amp; TP'!$B$3:$B$10005&amp;'DMR 001C TIN &amp; TP'!$A$3:$A$10005),0),MATCH('Reg 85'!$AG$11,'DMR 001C TIN &amp; TP'!$A$2:$M$2,0))),"")</f>
        <v/>
      </c>
      <c r="BF27" s="6" t="str">
        <f t="array" ref="BF27">_xlfn.IFNA((INDEX('DMR 001C TIN &amp; TP'!$A$3:$M$10005,MATCH(('Reg 85'!$AQ$6&amp;'Reg 85'!BF$10&amp;'Reg 85'!$B27),('DMR 001C TIN &amp; TP'!$E$3:$E$10005&amp;'DMR 001C TIN &amp; TP'!$B$3:$B$10005&amp;'DMR 001C TIN &amp; TP'!$A$3:$A$10005),0),MATCH('Reg 85'!$AG$11,'DMR 001C TIN &amp; TP'!$A$2:$M$2,0))),"")</f>
        <v/>
      </c>
    </row>
    <row r="28" spans="1:58">
      <c r="A28" s="3" t="str">
        <f t="shared" si="2"/>
        <v>Mon</v>
      </c>
      <c r="B28" s="96">
        <f t="shared" si="19"/>
        <v>43360</v>
      </c>
      <c r="C28" s="96">
        <f t="shared" si="3"/>
        <v>43373</v>
      </c>
      <c r="D28" s="96">
        <f t="shared" si="4"/>
        <v>43344</v>
      </c>
      <c r="E28" s="95">
        <f t="shared" si="5"/>
        <v>30</v>
      </c>
      <c r="F28" s="7">
        <f t="array" ref="F28">_xlfn.IFNA(INDEX('DMR Flows-Effluent'!$A$3:$F$9999,MATCH(($F$10&amp;$B28),('DMR Flows-Effluent'!$B$3:$B$9999&amp;'DMR Flows-Effluent'!$A$3:$A$9999),0),MATCH($F$8,'DMR Flows-Effluent'!$A$2:$F$2,0)),"")</f>
        <v>49.522300000000001</v>
      </c>
      <c r="G28" s="7">
        <f t="array" ref="G28">_xlfn.IFNA(INDEX('DMR Flows-Effluent'!$A$3:$F$9999,MATCH(($G$10&amp;$B28),('DMR Flows-Effluent'!$B$3:$B$9999&amp;'DMR Flows-Effluent'!$A$3:$A$9999),0),MATCH($F$8,'DMR Flows-Effluent'!$A$2:$F$2,0)),"")</f>
        <v>66.837199999999996</v>
      </c>
      <c r="H28" s="7">
        <f t="shared" si="6"/>
        <v>116.3595</v>
      </c>
      <c r="I28" s="45" t="str">
        <f t="shared" si="7"/>
        <v/>
      </c>
      <c r="J28" s="6" t="str">
        <f t="array" ref="J28">_xlfn.IFNA((INDEX('DMR 001C TIN &amp; TP'!$A$3:$M$10005,MATCH(('Reg 85'!$I$6:$Q$6&amp;'Reg 85'!$I$10:$K$10&amp;'Reg 85'!$B28),('DMR 001C TIN &amp; TP'!$E$3:$E$10005&amp;'DMR 001C TIN &amp; TP'!$B$3:$B$10005&amp;'DMR 001C TIN &amp; TP'!$A$3:$A$10005),0),MATCH('Reg 85'!$J$11,'DMR 001C TIN &amp; TP'!$A$2:$M$2,0))),"")</f>
        <v>0.15</v>
      </c>
      <c r="K28" s="6">
        <f t="array" ref="K28">_xlfn.IFNA((INDEX('DMR 001C TIN &amp; TP'!$A$3:$M$10005,MATCH(('Reg 85'!$I$6:$Q$6&amp;'Reg 85'!$I$10:$K$10&amp;'Reg 85'!$B28),('DMR 001C TIN &amp; TP'!$E$3:$E$10005&amp;'DMR 001C TIN &amp; TP'!$B$3:$B$10005&amp;'DMR 001C TIN &amp; TP'!$A$3:$A$10005),0),MATCH('Reg 85'!$K$11,'DMR 001C TIN &amp; TP'!$A$2:$M$2,0))),"")</f>
        <v>0.33</v>
      </c>
      <c r="L28" s="53">
        <f t="shared" si="21"/>
        <v>0.33</v>
      </c>
      <c r="M28" s="5" t="str">
        <f t="shared" si="8"/>
        <v/>
      </c>
      <c r="N28" s="6" t="str">
        <f t="array" ref="N28">_xlfn.IFNA((INDEX('DMR 001C TIN &amp; TP'!$A$3:$M$10005,MATCH(('Reg 85'!$I$6:$Q$6&amp;'Reg 85'!$M$10&amp;'Reg 85'!$B28),('DMR 001C TIN &amp; TP'!$E$3:$E$10005&amp;'DMR 001C TIN &amp; TP'!$B$3:$B$10005&amp;'DMR 001C TIN &amp; TP'!$A$3:$A$10005),0),MATCH('Reg 85'!$N$11,'DMR 001C TIN &amp; TP'!$A$2:$M$2,0))),"")</f>
        <v>0.15</v>
      </c>
      <c r="O28" s="6">
        <f t="array" ref="O28">_xlfn.IFNA((INDEX('DMR 001C TIN &amp; TP'!$A$3:$M$10005,MATCH(('Reg 85'!$I$6:$Q$6&amp;'Reg 85'!$M$10&amp;'Reg 85'!$B28),('DMR 001C TIN &amp; TP'!$E$3:$E$10005&amp;'DMR 001C TIN &amp; TP'!$B$3:$B$10005&amp;'DMR 001C TIN &amp; TP'!$A$3:$A$10005),0),MATCH('Reg 85'!$O$11,'DMR 001C TIN &amp; TP'!$A$2:$M$2,0))),"")</f>
        <v>0.26</v>
      </c>
      <c r="P28" s="53">
        <f t="shared" si="9"/>
        <v>0.26</v>
      </c>
      <c r="Q28" s="73">
        <f t="array" ref="Q28">IFERROR(((L28*$F28)+(P28*$G28))/($H28),"")</f>
        <v>0.2897918175997663</v>
      </c>
      <c r="R28" s="6" t="str">
        <f t="array" ref="R28">_xlfn.IFNA((INDEX('DMR 001C TIN &amp; TP'!$A$3:$M$10005,MATCH(('Reg 85'!$I$6:$Q$6&amp;'Reg 85'!R$10&amp;'Reg 85'!$B28),('DMR 001C TIN &amp; TP'!$E$3:$E$10005&amp;'DMR 001C TIN &amp; TP'!$B$3:$B$10005&amp;'DMR 001C TIN &amp; TP'!$A$3:$A$10005),0),MATCH('Reg 85'!$O$11,'DMR 001C TIN &amp; TP'!$A$2:$M$2,0))),"")</f>
        <v/>
      </c>
      <c r="S28" s="6" t="str">
        <f t="array" ref="S28">_xlfn.IFNA((INDEX('DMR 001C TIN &amp; TP'!$A$3:$M$10005,MATCH(('Reg 85'!$I$6:$Q$6&amp;'Reg 85'!S$10&amp;'Reg 85'!$B28),('DMR 001C TIN &amp; TP'!$E$3:$E$10005&amp;'DMR 001C TIN &amp; TP'!$B$3:$B$10005&amp;'DMR 001C TIN &amp; TP'!$A$3:$A$10005),0),MATCH('Reg 85'!$O$11,'DMR 001C TIN &amp; TP'!$A$2:$M$2,0))),"")</f>
        <v/>
      </c>
      <c r="T28" s="6" t="str">
        <f t="array" ref="T28">_xlfn.IFNA((INDEX('DMR 001C TIN &amp; TP'!$A$3:$M$10005,MATCH(('Reg 85'!$I$6:$Q$6&amp;'Reg 85'!T$10&amp;'Reg 85'!$B28),('DMR 001C TIN &amp; TP'!$E$3:$E$10005&amp;'DMR 001C TIN &amp; TP'!$B$3:$B$10005&amp;'DMR 001C TIN &amp; TP'!$A$3:$A$10005),0),MATCH('Reg 85'!$O$11,'DMR 001C TIN &amp; TP'!$A$2:$M$2,0))),"")</f>
        <v/>
      </c>
      <c r="U28" s="6" t="str">
        <f t="array" ref="U28">_xlfn.IFNA((INDEX('DMR 001C TIN &amp; TP'!$A$3:$M$10005,MATCH(('Reg 85'!$I$6:$Q$6&amp;'Reg 85'!U$10&amp;'Reg 85'!$B28),('DMR 001C TIN &amp; TP'!$E$3:$E$10005&amp;'DMR 001C TIN &amp; TP'!$B$3:$B$10005&amp;'DMR 001C TIN &amp; TP'!$A$3:$A$10005),0),MATCH('Reg 85'!$O$11,'DMR 001C TIN &amp; TP'!$A$2:$M$2,0))),"")</f>
        <v/>
      </c>
      <c r="V28" s="6" t="str">
        <f t="array" ref="V28">_xlfn.IFNA((INDEX('DMR 001C TIN &amp; TP'!$A$3:$M$10005,MATCH(('Reg 85'!$I$6:$Q$6&amp;'Reg 85'!V$10&amp;'Reg 85'!$B28),('DMR 001C TIN &amp; TP'!$E$3:$E$10005&amp;'DMR 001C TIN &amp; TP'!$B$3:$B$10005&amp;'DMR 001C TIN &amp; TP'!$A$3:$A$10005),0),MATCH('Reg 85'!$O$11,'DMR 001C TIN &amp; TP'!$A$2:$M$2,0))),"")</f>
        <v/>
      </c>
      <c r="W28" s="6" t="str">
        <f t="array" ref="W28">_xlfn.IFNA((INDEX('DMR 001C TIN &amp; TP'!$A$3:$M$10005,MATCH(('Reg 85'!$I$6:$Q$6&amp;'Reg 85'!W$10&amp;'Reg 85'!$B28),('DMR 001C TIN &amp; TP'!$E$3:$E$10005&amp;'DMR 001C TIN &amp; TP'!$B$3:$B$10005&amp;'DMR 001C TIN &amp; TP'!$A$3:$A$10005),0),MATCH('Reg 85'!$O$11,'DMR 001C TIN &amp; TP'!$A$2:$M$2,0))),"")</f>
        <v/>
      </c>
      <c r="X28" s="5" t="str">
        <f t="shared" si="10"/>
        <v/>
      </c>
      <c r="Y28" s="6" t="str">
        <f t="array" ref="Y28">_xlfn.IFNA((INDEX('DMR 001C TIN &amp; TP'!$A$3:$M$10005,MATCH(('Reg 85'!$X$6&amp;'Reg 85'!$X$10&amp;'Reg 85'!$B28),('DMR 001C TIN &amp; TP'!$E$3:$E$10005&amp;'DMR 001C TIN &amp; TP'!$B$3:$B$10005&amp;'DMR 001C TIN &amp; TP'!$A$3:$A$10005),0),MATCH('Reg 85'!$Y$11,'DMR 001C TIN &amp; TP'!$A$2:$M$2,0))),"")</f>
        <v>0.06</v>
      </c>
      <c r="Z28" s="6">
        <f t="array" ref="Z28">_xlfn.IFNA((INDEX('DMR 001C TIN &amp; TP'!$A$3:$M$10005,MATCH(('Reg 85'!$X$6&amp;'Reg 85'!$X$10&amp;'Reg 85'!$B28),('DMR 001C TIN &amp; TP'!$E$3:$E$10005&amp;'DMR 001C TIN &amp; TP'!$B$3:$B$10005&amp;'DMR 001C TIN &amp; TP'!$A$3:$A$10005),0),MATCH('Reg 85'!$Z$11,'DMR 001C TIN &amp; TP'!$A$2:$M$2,0))),"")</f>
        <v>5</v>
      </c>
      <c r="AA28" s="53">
        <f t="shared" si="11"/>
        <v>5</v>
      </c>
      <c r="AB28" s="5" t="str">
        <f t="shared" si="12"/>
        <v/>
      </c>
      <c r="AC28" s="6" t="str">
        <f t="array" ref="AC28">_xlfn.IFNA((INDEX('DMR 001C TIN &amp; TP'!$A$3:$M$10005,MATCH(('Reg 85'!$X$6&amp;'Reg 85'!$AB$10&amp;'Reg 85'!$B28),('DMR 001C TIN &amp; TP'!$E$3:$E$10005&amp;'DMR 001C TIN &amp; TP'!$B$3:$B$10005&amp;'DMR 001C TIN &amp; TP'!$A$3:$A$10005),0),MATCH('Reg 85'!$AC$11,'DMR 001C TIN &amp; TP'!$A$2:$M$2,0))),"")</f>
        <v>0.06</v>
      </c>
      <c r="AD28" s="6">
        <f t="array" ref="AD28">_xlfn.IFNA((INDEX('DMR 001C TIN &amp; TP'!$A$3:$M$10005,MATCH(('Reg 85'!$X$6&amp;'Reg 85'!$AB$10&amp;'Reg 85'!$B28),('DMR 001C TIN &amp; TP'!$E$3:$E$10005&amp;'DMR 001C TIN &amp; TP'!$B$3:$B$10005&amp;'DMR 001C TIN &amp; TP'!$A$3:$A$10005),0),MATCH('Reg 85'!$AD$11,'DMR 001C TIN &amp; TP'!$A$2:$M$2,0))),"")</f>
        <v>4.95</v>
      </c>
      <c r="AE28" s="53">
        <f t="shared" si="13"/>
        <v>4.95</v>
      </c>
      <c r="AF28" s="7">
        <f t="shared" si="14"/>
        <v>4.9712798697141194</v>
      </c>
      <c r="AG28" s="6" t="str">
        <f t="array" ref="AG28">_xlfn.IFNA((INDEX('DMR 001C TIN &amp; TP'!$A$3:$M$10005,MATCH(('Reg 85'!$X$6&amp;'Reg 85'!AG$10&amp;'Reg 85'!$B28),('DMR 001C TIN &amp; TP'!$E$3:$E$10005&amp;'DMR 001C TIN &amp; TP'!$B$3:$B$10005&amp;'DMR 001C TIN &amp; TP'!$A$3:$A$10005),0),MATCH('Reg 85'!$AG$11,'DMR 001C TIN &amp; TP'!$A$2:$M$2,0))),"")</f>
        <v/>
      </c>
      <c r="AH28" s="6" t="str">
        <f t="array" ref="AH28">_xlfn.IFNA((INDEX('DMR 001C TIN &amp; TP'!$A$3:$M$10005,MATCH(('Reg 85'!$X$6&amp;'Reg 85'!AH$10&amp;'Reg 85'!$B28),('DMR 001C TIN &amp; TP'!$E$3:$E$10005&amp;'DMR 001C TIN &amp; TP'!$B$3:$B$10005&amp;'DMR 001C TIN &amp; TP'!$A$3:$A$10005),0),MATCH('Reg 85'!$AG$11,'DMR 001C TIN &amp; TP'!$A$2:$M$2,0))),"")</f>
        <v/>
      </c>
      <c r="AI28" s="6" t="str">
        <f t="array" ref="AI28">_xlfn.IFNA((INDEX('DMR 001C TIN &amp; TP'!$A$3:$M$10005,MATCH(('Reg 85'!$X$6&amp;'Reg 85'!AI$10&amp;'Reg 85'!$B28),('DMR 001C TIN &amp; TP'!$E$3:$E$10005&amp;'DMR 001C TIN &amp; TP'!$B$3:$B$10005&amp;'DMR 001C TIN &amp; TP'!$A$3:$A$10005),0),MATCH('Reg 85'!$AG$11,'DMR 001C TIN &amp; TP'!$A$2:$M$2,0))),"")</f>
        <v/>
      </c>
      <c r="AJ28" s="6" t="str">
        <f t="array" ref="AJ28">_xlfn.IFNA((INDEX('DMR 001C TIN &amp; TP'!$A$3:$M$10005,MATCH(('Reg 85'!$X$6&amp;'Reg 85'!AJ$10&amp;'Reg 85'!$B28),('DMR 001C TIN &amp; TP'!$E$3:$E$10005&amp;'DMR 001C TIN &amp; TP'!$B$3:$B$10005&amp;'DMR 001C TIN &amp; TP'!$A$3:$A$10005),0),MATCH('Reg 85'!$AG$11,'DMR 001C TIN &amp; TP'!$A$2:$M$2,0))),"")</f>
        <v/>
      </c>
      <c r="AK28" s="6" t="str">
        <f t="array" ref="AK28">_xlfn.IFNA((INDEX('DMR 001C TIN &amp; TP'!$A$3:$M$10005,MATCH(('Reg 85'!$X$6&amp;'Reg 85'!AK$10&amp;'Reg 85'!$B28),('DMR 001C TIN &amp; TP'!$E$3:$E$10005&amp;'DMR 001C TIN &amp; TP'!$B$3:$B$10005&amp;'DMR 001C TIN &amp; TP'!$A$3:$A$10005),0),MATCH('Reg 85'!$AG$11,'DMR 001C TIN &amp; TP'!$A$2:$M$2,0))),"")</f>
        <v/>
      </c>
      <c r="AL28" s="6" t="str">
        <f t="array" ref="AL28">_xlfn.IFNA((INDEX('DMR 001C TIN &amp; TP'!$A$3:$M$10005,MATCH(('Reg 85'!$X$6&amp;'Reg 85'!AL$10&amp;'Reg 85'!$B28),('DMR 001C TIN &amp; TP'!$E$3:$E$10005&amp;'DMR 001C TIN &amp; TP'!$B$3:$B$10005&amp;'DMR 001C TIN &amp; TP'!$A$3:$A$10005),0),MATCH('Reg 85'!$AG$11,'DMR 001C TIN &amp; TP'!$A$2:$M$2,0))),"")</f>
        <v/>
      </c>
      <c r="AM28" s="76"/>
      <c r="AN28" s="6"/>
      <c r="AO28" s="54">
        <f t="shared" si="0"/>
        <v>5.2610716873138861</v>
      </c>
      <c r="AP28" s="77" t="str">
        <f>IF(COUNT(IF((#REF!&lt;=C28)*(#REF!&gt;=D28)*(B28=EOMONTH(B28,0)),#REF!,""))=0,"",COUNT(IF((#REF!&lt;=C28)*(#REF!&gt;=D28)*(B28=EOMONTH(B28,0)),#REF!,"")))</f>
        <v/>
      </c>
      <c r="AQ28" s="47"/>
      <c r="AR28" s="6" t="str">
        <f t="array" ref="AR28">_xlfn.IFNA((INDEX('DMR 001C TIN &amp; TP'!$A$3:$M$10005,MATCH(('Reg 85'!$AQ$6&amp;'Reg 85'!$AQ$10&amp;'Reg 85'!$B28),('DMR 001C TIN &amp; TP'!$E$3:$E$10005&amp;'DMR 001C TIN &amp; TP'!$B$3:$B$10005&amp;'DMR 001C TIN &amp; TP'!$A$3:$A$10005),0),MATCH('Reg 85'!$AR$11,'DMR 001C TIN &amp; TP'!$A$2:$M$2,0))),"")</f>
        <v/>
      </c>
      <c r="AS28" s="6" t="str">
        <f t="array" ref="AS28">_xlfn.IFNA((INDEX('DMR 001C TIN &amp; TP'!$A$3:$M$10005,MATCH(('Reg 85'!$AQ$6&amp;'Reg 85'!$AQ$10&amp;'Reg 85'!$B28),('DMR 001C TIN &amp; TP'!$E$3:$E$10005&amp;'DMR 001C TIN &amp; TP'!$B$3:$B$10005&amp;'DMR 001C TIN &amp; TP'!$A$3:$A$10005),0),MATCH('Reg 85'!$AS$11,'DMR 001C TIN &amp; TP'!$A$2:$M$2,0))),"")</f>
        <v/>
      </c>
      <c r="AT28" s="53" t="str">
        <f t="shared" si="15"/>
        <v/>
      </c>
      <c r="AV28" s="6" t="str">
        <f t="array" ref="AV28">_xlfn.IFNA((INDEX('DMR 001C TIN &amp; TP'!$A$3:$M$10005,MATCH(('Reg 85'!$AQ$6&amp;'Reg 85'!$AU$10&amp;'Reg 85'!$B28),('DMR 001C TIN &amp; TP'!$E$3:$E$10005&amp;'DMR 001C TIN &amp; TP'!$B$3:$B$10005&amp;'DMR 001C TIN &amp; TP'!$A$3:$A$10005),0),MATCH('Reg 85'!$AV$11,'DMR 001C TIN &amp; TP'!$A$2:$M$2,0))),"")</f>
        <v/>
      </c>
      <c r="AW28" s="6" t="str">
        <f t="array" ref="AW28">_xlfn.IFNA((INDEX('DMR 001C TIN &amp; TP'!$A$3:$M$10005,MATCH(('Reg 85'!$AQ$6&amp;'Reg 85'!$AU$10&amp;'Reg 85'!$B28),('DMR 001C TIN &amp; TP'!$E$3:$E$10005&amp;'DMR 001C TIN &amp; TP'!$B$3:$B$10005&amp;'DMR 001C TIN &amp; TP'!$A$3:$A$10005),0),MATCH('Reg 85'!$AW$11,'DMR 001C TIN &amp; TP'!$A$2:$M$2,0))),"")</f>
        <v/>
      </c>
      <c r="AX28" s="53" t="str">
        <f t="shared" si="16"/>
        <v/>
      </c>
      <c r="AY28" s="55" t="str">
        <f t="shared" si="17"/>
        <v/>
      </c>
      <c r="AZ28" s="77" t="str">
        <f t="shared" ref="AZ28" si="35">IF(COUNT(IF((#REF!&lt;=C28)*(#REF!&gt;=D28)*(B28=EOMONTH(B28,0)),#REF!,""))=0,"",COUNT(IF((#REF!&lt;=C28)*(#REF!&gt;=D28)*(B28=EOMONTH(B28,0)),#REF!,"")))</f>
        <v/>
      </c>
      <c r="BA28" s="6" t="str">
        <f t="array" ref="BA28">_xlfn.IFNA((INDEX('DMR 001C TIN &amp; TP'!$A$3:$M$10005,MATCH(('Reg 85'!$AQ$6&amp;'Reg 85'!BA$10&amp;'Reg 85'!$B28),('DMR 001C TIN &amp; TP'!$E$3:$E$10005&amp;'DMR 001C TIN &amp; TP'!$B$3:$B$10005&amp;'DMR 001C TIN &amp; TP'!$A$3:$A$10005),0),MATCH('Reg 85'!$AG$11,'DMR 001C TIN &amp; TP'!$A$2:$M$2,0))),"")</f>
        <v/>
      </c>
      <c r="BB28" s="6" t="str">
        <f t="array" ref="BB28">_xlfn.IFNA((INDEX('DMR 001C TIN &amp; TP'!$A$3:$M$10005,MATCH(('Reg 85'!$AQ$6&amp;'Reg 85'!BB$10&amp;'Reg 85'!$B28),('DMR 001C TIN &amp; TP'!$E$3:$E$10005&amp;'DMR 001C TIN &amp; TP'!$B$3:$B$10005&amp;'DMR 001C TIN &amp; TP'!$A$3:$A$10005),0),MATCH('Reg 85'!$AG$11,'DMR 001C TIN &amp; TP'!$A$2:$M$2,0))),"")</f>
        <v/>
      </c>
      <c r="BC28" s="6" t="str">
        <f t="array" ref="BC28">_xlfn.IFNA((INDEX('DMR 001C TIN &amp; TP'!$A$3:$M$10005,MATCH(('Reg 85'!$AQ$6&amp;'Reg 85'!BC$10&amp;'Reg 85'!$B28),('DMR 001C TIN &amp; TP'!$E$3:$E$10005&amp;'DMR 001C TIN &amp; TP'!$B$3:$B$10005&amp;'DMR 001C TIN &amp; TP'!$A$3:$A$10005),0),MATCH('Reg 85'!$AG$11,'DMR 001C TIN &amp; TP'!$A$2:$M$2,0))),"")</f>
        <v/>
      </c>
      <c r="BD28" s="6" t="str">
        <f t="array" ref="BD28">_xlfn.IFNA((INDEX('DMR 001C TIN &amp; TP'!$A$3:$M$10005,MATCH(('Reg 85'!$AQ$6&amp;'Reg 85'!BD$10&amp;'Reg 85'!$B28),('DMR 001C TIN &amp; TP'!$E$3:$E$10005&amp;'DMR 001C TIN &amp; TP'!$B$3:$B$10005&amp;'DMR 001C TIN &amp; TP'!$A$3:$A$10005),0),MATCH('Reg 85'!$AG$11,'DMR 001C TIN &amp; TP'!$A$2:$M$2,0))),"")</f>
        <v/>
      </c>
      <c r="BE28" s="6" t="str">
        <f t="array" ref="BE28">_xlfn.IFNA((INDEX('DMR 001C TIN &amp; TP'!$A$3:$M$10005,MATCH(('Reg 85'!$AQ$6&amp;'Reg 85'!BE$10&amp;'Reg 85'!$B28),('DMR 001C TIN &amp; TP'!$E$3:$E$10005&amp;'DMR 001C TIN &amp; TP'!$B$3:$B$10005&amp;'DMR 001C TIN &amp; TP'!$A$3:$A$10005),0),MATCH('Reg 85'!$AG$11,'DMR 001C TIN &amp; TP'!$A$2:$M$2,0))),"")</f>
        <v/>
      </c>
      <c r="BF28" s="6" t="str">
        <f t="array" ref="BF28">_xlfn.IFNA((INDEX('DMR 001C TIN &amp; TP'!$A$3:$M$10005,MATCH(('Reg 85'!$AQ$6&amp;'Reg 85'!BF$10&amp;'Reg 85'!$B28),('DMR 001C TIN &amp; TP'!$E$3:$E$10005&amp;'DMR 001C TIN &amp; TP'!$B$3:$B$10005&amp;'DMR 001C TIN &amp; TP'!$A$3:$A$10005),0),MATCH('Reg 85'!$AG$11,'DMR 001C TIN &amp; TP'!$A$2:$M$2,0))),"")</f>
        <v/>
      </c>
    </row>
    <row r="29" spans="1:58">
      <c r="A29" s="3" t="str">
        <f t="shared" si="2"/>
        <v>Tue</v>
      </c>
      <c r="B29" s="96">
        <f t="shared" si="19"/>
        <v>43361</v>
      </c>
      <c r="C29" s="96">
        <f t="shared" si="3"/>
        <v>43373</v>
      </c>
      <c r="D29" s="96">
        <f t="shared" si="4"/>
        <v>43344</v>
      </c>
      <c r="E29" s="95">
        <f t="shared" si="5"/>
        <v>30</v>
      </c>
      <c r="F29" s="7">
        <f t="array" ref="F29">_xlfn.IFNA(INDEX('DMR Flows-Effluent'!$A$3:$F$9999,MATCH(($F$10&amp;$B29),('DMR Flows-Effluent'!$B$3:$B$9999&amp;'DMR Flows-Effluent'!$A$3:$A$9999),0),MATCH($F$8,'DMR Flows-Effluent'!$A$2:$F$2,0)),"")</f>
        <v>46.387</v>
      </c>
      <c r="G29" s="7">
        <f t="array" ref="G29">_xlfn.IFNA(INDEX('DMR Flows-Effluent'!$A$3:$F$9999,MATCH(($G$10&amp;$B29),('DMR Flows-Effluent'!$B$3:$B$9999&amp;'DMR Flows-Effluent'!$A$3:$A$9999),0),MATCH($F$8,'DMR Flows-Effluent'!$A$2:$F$2,0)),"")</f>
        <v>68.572100000000006</v>
      </c>
      <c r="H29" s="7">
        <f t="shared" si="6"/>
        <v>114.95910000000001</v>
      </c>
      <c r="I29" s="45" t="str">
        <f t="shared" si="7"/>
        <v/>
      </c>
      <c r="J29" s="6" t="str">
        <f t="array" ref="J29">_xlfn.IFNA((INDEX('DMR 001C TIN &amp; TP'!$A$3:$M$10005,MATCH(('Reg 85'!$I$6:$Q$6&amp;'Reg 85'!$I$10:$K$10&amp;'Reg 85'!$B29),('DMR 001C TIN &amp; TP'!$E$3:$E$10005&amp;'DMR 001C TIN &amp; TP'!$B$3:$B$10005&amp;'DMR 001C TIN &amp; TP'!$A$3:$A$10005),0),MATCH('Reg 85'!$J$11,'DMR 001C TIN &amp; TP'!$A$2:$M$2,0))),"")</f>
        <v>0.15</v>
      </c>
      <c r="K29" s="6">
        <f t="array" ref="K29">_xlfn.IFNA((INDEX('DMR 001C TIN &amp; TP'!$A$3:$M$10005,MATCH(('Reg 85'!$I$6:$Q$6&amp;'Reg 85'!$I$10:$K$10&amp;'Reg 85'!$B29),('DMR 001C TIN &amp; TP'!$E$3:$E$10005&amp;'DMR 001C TIN &amp; TP'!$B$3:$B$10005&amp;'DMR 001C TIN &amp; TP'!$A$3:$A$10005),0),MATCH('Reg 85'!$K$11,'DMR 001C TIN &amp; TP'!$A$2:$M$2,0))),"")</f>
        <v>0.36</v>
      </c>
      <c r="L29" s="53">
        <f t="shared" si="21"/>
        <v>0.36</v>
      </c>
      <c r="M29" s="5" t="str">
        <f t="shared" si="8"/>
        <v/>
      </c>
      <c r="N29" s="6" t="str">
        <f t="array" ref="N29">_xlfn.IFNA((INDEX('DMR 001C TIN &amp; TP'!$A$3:$M$10005,MATCH(('Reg 85'!$I$6:$Q$6&amp;'Reg 85'!$M$10&amp;'Reg 85'!$B29),('DMR 001C TIN &amp; TP'!$E$3:$E$10005&amp;'DMR 001C TIN &amp; TP'!$B$3:$B$10005&amp;'DMR 001C TIN &amp; TP'!$A$3:$A$10005),0),MATCH('Reg 85'!$N$11,'DMR 001C TIN &amp; TP'!$A$2:$M$2,0))),"")</f>
        <v>0.15</v>
      </c>
      <c r="O29" s="6">
        <f t="array" ref="O29">_xlfn.IFNA((INDEX('DMR 001C TIN &amp; TP'!$A$3:$M$10005,MATCH(('Reg 85'!$I$6:$Q$6&amp;'Reg 85'!$M$10&amp;'Reg 85'!$B29),('DMR 001C TIN &amp; TP'!$E$3:$E$10005&amp;'DMR 001C TIN &amp; TP'!$B$3:$B$10005&amp;'DMR 001C TIN &amp; TP'!$A$3:$A$10005),0),MATCH('Reg 85'!$O$11,'DMR 001C TIN &amp; TP'!$A$2:$M$2,0))),"")</f>
        <v>0.15</v>
      </c>
      <c r="P29" s="53">
        <f t="shared" si="9"/>
        <v>0.15</v>
      </c>
      <c r="Q29" s="73">
        <f t="array" ref="Q29">IFERROR(((L29*$F29)+(P29*$G29))/($H29),"")</f>
        <v>0.23473683249085978</v>
      </c>
      <c r="R29" s="6" t="str">
        <f t="array" ref="R29">_xlfn.IFNA((INDEX('DMR 001C TIN &amp; TP'!$A$3:$M$10005,MATCH(('Reg 85'!$I$6:$Q$6&amp;'Reg 85'!R$10&amp;'Reg 85'!$B29),('DMR 001C TIN &amp; TP'!$E$3:$E$10005&amp;'DMR 001C TIN &amp; TP'!$B$3:$B$10005&amp;'DMR 001C TIN &amp; TP'!$A$3:$A$10005),0),MATCH('Reg 85'!$O$11,'DMR 001C TIN &amp; TP'!$A$2:$M$2,0))),"")</f>
        <v/>
      </c>
      <c r="S29" s="6" t="str">
        <f t="array" ref="S29">_xlfn.IFNA((INDEX('DMR 001C TIN &amp; TP'!$A$3:$M$10005,MATCH(('Reg 85'!$I$6:$Q$6&amp;'Reg 85'!S$10&amp;'Reg 85'!$B29),('DMR 001C TIN &amp; TP'!$E$3:$E$10005&amp;'DMR 001C TIN &amp; TP'!$B$3:$B$10005&amp;'DMR 001C TIN &amp; TP'!$A$3:$A$10005),0),MATCH('Reg 85'!$O$11,'DMR 001C TIN &amp; TP'!$A$2:$M$2,0))),"")</f>
        <v/>
      </c>
      <c r="T29" s="6" t="str">
        <f t="array" ref="T29">_xlfn.IFNA((INDEX('DMR 001C TIN &amp; TP'!$A$3:$M$10005,MATCH(('Reg 85'!$I$6:$Q$6&amp;'Reg 85'!T$10&amp;'Reg 85'!$B29),('DMR 001C TIN &amp; TP'!$E$3:$E$10005&amp;'DMR 001C TIN &amp; TP'!$B$3:$B$10005&amp;'DMR 001C TIN &amp; TP'!$A$3:$A$10005),0),MATCH('Reg 85'!$O$11,'DMR 001C TIN &amp; TP'!$A$2:$M$2,0))),"")</f>
        <v/>
      </c>
      <c r="U29" s="6">
        <f t="array" ref="U29">_xlfn.IFNA((INDEX('DMR 001C TIN &amp; TP'!$A$3:$M$10005,MATCH(('Reg 85'!$I$6:$Q$6&amp;'Reg 85'!U$10&amp;'Reg 85'!$B29),('DMR 001C TIN &amp; TP'!$E$3:$E$10005&amp;'DMR 001C TIN &amp; TP'!$B$3:$B$10005&amp;'DMR 001C TIN &amp; TP'!$A$3:$A$10005),0),MATCH('Reg 85'!$O$11,'DMR 001C TIN &amp; TP'!$A$2:$M$2,0))),"")</f>
        <v>0.05</v>
      </c>
      <c r="V29" s="6" t="str">
        <f t="array" ref="V29">_xlfn.IFNA((INDEX('DMR 001C TIN &amp; TP'!$A$3:$M$10005,MATCH(('Reg 85'!$I$6:$Q$6&amp;'Reg 85'!V$10&amp;'Reg 85'!$B29),('DMR 001C TIN &amp; TP'!$E$3:$E$10005&amp;'DMR 001C TIN &amp; TP'!$B$3:$B$10005&amp;'DMR 001C TIN &amp; TP'!$A$3:$A$10005),0),MATCH('Reg 85'!$O$11,'DMR 001C TIN &amp; TP'!$A$2:$M$2,0))),"")</f>
        <v/>
      </c>
      <c r="W29" s="6" t="str">
        <f t="array" ref="W29">_xlfn.IFNA((INDEX('DMR 001C TIN &amp; TP'!$A$3:$M$10005,MATCH(('Reg 85'!$I$6:$Q$6&amp;'Reg 85'!W$10&amp;'Reg 85'!$B29),('DMR 001C TIN &amp; TP'!$E$3:$E$10005&amp;'DMR 001C TIN &amp; TP'!$B$3:$B$10005&amp;'DMR 001C TIN &amp; TP'!$A$3:$A$10005),0),MATCH('Reg 85'!$O$11,'DMR 001C TIN &amp; TP'!$A$2:$M$2,0))),"")</f>
        <v/>
      </c>
      <c r="X29" s="5" t="str">
        <f t="shared" si="10"/>
        <v/>
      </c>
      <c r="Y29" s="6" t="str">
        <f t="array" ref="Y29">_xlfn.IFNA((INDEX('DMR 001C TIN &amp; TP'!$A$3:$M$10005,MATCH(('Reg 85'!$X$6&amp;'Reg 85'!$X$10&amp;'Reg 85'!$B29),('DMR 001C TIN &amp; TP'!$E$3:$E$10005&amp;'DMR 001C TIN &amp; TP'!$B$3:$B$10005&amp;'DMR 001C TIN &amp; TP'!$A$3:$A$10005),0),MATCH('Reg 85'!$Y$11,'DMR 001C TIN &amp; TP'!$A$2:$M$2,0))),"")</f>
        <v>0.06</v>
      </c>
      <c r="Z29" s="6">
        <f t="array" ref="Z29">_xlfn.IFNA((INDEX('DMR 001C TIN &amp; TP'!$A$3:$M$10005,MATCH(('Reg 85'!$X$6&amp;'Reg 85'!$X$10&amp;'Reg 85'!$B29),('DMR 001C TIN &amp; TP'!$E$3:$E$10005&amp;'DMR 001C TIN &amp; TP'!$B$3:$B$10005&amp;'DMR 001C TIN &amp; TP'!$A$3:$A$10005),0),MATCH('Reg 85'!$Z$11,'DMR 001C TIN &amp; TP'!$A$2:$M$2,0))),"")</f>
        <v>4.9800000000000004</v>
      </c>
      <c r="AA29" s="53">
        <f t="shared" si="11"/>
        <v>4.9800000000000004</v>
      </c>
      <c r="AB29" s="5" t="str">
        <f t="shared" si="12"/>
        <v/>
      </c>
      <c r="AC29" s="6" t="str">
        <f t="array" ref="AC29">_xlfn.IFNA((INDEX('DMR 001C TIN &amp; TP'!$A$3:$M$10005,MATCH(('Reg 85'!$X$6&amp;'Reg 85'!$AB$10&amp;'Reg 85'!$B29),('DMR 001C TIN &amp; TP'!$E$3:$E$10005&amp;'DMR 001C TIN &amp; TP'!$B$3:$B$10005&amp;'DMR 001C TIN &amp; TP'!$A$3:$A$10005),0),MATCH('Reg 85'!$AC$11,'DMR 001C TIN &amp; TP'!$A$2:$M$2,0))),"")</f>
        <v>0.18</v>
      </c>
      <c r="AD29" s="6">
        <f t="array" ref="AD29">_xlfn.IFNA((INDEX('DMR 001C TIN &amp; TP'!$A$3:$M$10005,MATCH(('Reg 85'!$X$6&amp;'Reg 85'!$AB$10&amp;'Reg 85'!$B29),('DMR 001C TIN &amp; TP'!$E$3:$E$10005&amp;'DMR 001C TIN &amp; TP'!$B$3:$B$10005&amp;'DMR 001C TIN &amp; TP'!$A$3:$A$10005),0),MATCH('Reg 85'!$AD$11,'DMR 001C TIN &amp; TP'!$A$2:$M$2,0))),"")</f>
        <v>5.71</v>
      </c>
      <c r="AE29" s="53">
        <f t="shared" si="13"/>
        <v>5.71</v>
      </c>
      <c r="AF29" s="7">
        <f t="shared" si="14"/>
        <v>5.4154386299127264</v>
      </c>
      <c r="AG29" s="6" t="str">
        <f t="array" ref="AG29">_xlfn.IFNA((INDEX('DMR 001C TIN &amp; TP'!$A$3:$M$10005,MATCH(('Reg 85'!$X$6&amp;'Reg 85'!AG$10&amp;'Reg 85'!$B29),('DMR 001C TIN &amp; TP'!$E$3:$E$10005&amp;'DMR 001C TIN &amp; TP'!$B$3:$B$10005&amp;'DMR 001C TIN &amp; TP'!$A$3:$A$10005),0),MATCH('Reg 85'!$AG$11,'DMR 001C TIN &amp; TP'!$A$2:$M$2,0))),"")</f>
        <v/>
      </c>
      <c r="AH29" s="6" t="str">
        <f t="array" ref="AH29">_xlfn.IFNA((INDEX('DMR 001C TIN &amp; TP'!$A$3:$M$10005,MATCH(('Reg 85'!$X$6&amp;'Reg 85'!AH$10&amp;'Reg 85'!$B29),('DMR 001C TIN &amp; TP'!$E$3:$E$10005&amp;'DMR 001C TIN &amp; TP'!$B$3:$B$10005&amp;'DMR 001C TIN &amp; TP'!$A$3:$A$10005),0),MATCH('Reg 85'!$AG$11,'DMR 001C TIN &amp; TP'!$A$2:$M$2,0))),"")</f>
        <v/>
      </c>
      <c r="AI29" s="6" t="str">
        <f t="array" ref="AI29">_xlfn.IFNA((INDEX('DMR 001C TIN &amp; TP'!$A$3:$M$10005,MATCH(('Reg 85'!$X$6&amp;'Reg 85'!AI$10&amp;'Reg 85'!$B29),('DMR 001C TIN &amp; TP'!$E$3:$E$10005&amp;'DMR 001C TIN &amp; TP'!$B$3:$B$10005&amp;'DMR 001C TIN &amp; TP'!$A$3:$A$10005),0),MATCH('Reg 85'!$AG$11,'DMR 001C TIN &amp; TP'!$A$2:$M$2,0))),"")</f>
        <v/>
      </c>
      <c r="AJ29" s="6" t="str">
        <f t="array" ref="AJ29">_xlfn.IFNA((INDEX('DMR 001C TIN &amp; TP'!$A$3:$M$10005,MATCH(('Reg 85'!$X$6&amp;'Reg 85'!AJ$10&amp;'Reg 85'!$B29),('DMR 001C TIN &amp; TP'!$E$3:$E$10005&amp;'DMR 001C TIN &amp; TP'!$B$3:$B$10005&amp;'DMR 001C TIN &amp; TP'!$A$3:$A$10005),0),MATCH('Reg 85'!$AG$11,'DMR 001C TIN &amp; TP'!$A$2:$M$2,0))),"")</f>
        <v/>
      </c>
      <c r="AK29" s="6" t="str">
        <f t="array" ref="AK29">_xlfn.IFNA((INDEX('DMR 001C TIN &amp; TP'!$A$3:$M$10005,MATCH(('Reg 85'!$X$6&amp;'Reg 85'!AK$10&amp;'Reg 85'!$B29),('DMR 001C TIN &amp; TP'!$E$3:$E$10005&amp;'DMR 001C TIN &amp; TP'!$B$3:$B$10005&amp;'DMR 001C TIN &amp; TP'!$A$3:$A$10005),0),MATCH('Reg 85'!$AG$11,'DMR 001C TIN &amp; TP'!$A$2:$M$2,0))),"")</f>
        <v/>
      </c>
      <c r="AL29" s="6" t="str">
        <f t="array" ref="AL29">_xlfn.IFNA((INDEX('DMR 001C TIN &amp; TP'!$A$3:$M$10005,MATCH(('Reg 85'!$X$6&amp;'Reg 85'!AL$10&amp;'Reg 85'!$B29),('DMR 001C TIN &amp; TP'!$E$3:$E$10005&amp;'DMR 001C TIN &amp; TP'!$B$3:$B$10005&amp;'DMR 001C TIN &amp; TP'!$A$3:$A$10005),0),MATCH('Reg 85'!$AG$11,'DMR 001C TIN &amp; TP'!$A$2:$M$2,0))),"")</f>
        <v/>
      </c>
      <c r="AM29" s="76"/>
      <c r="AN29" s="6"/>
      <c r="AO29" s="54">
        <f t="shared" si="0"/>
        <v>5.6501754624035865</v>
      </c>
      <c r="AP29" s="77" t="str">
        <f>IF(COUNT(IF((#REF!&lt;=C29)*(#REF!&gt;=D29)*(B29=EOMONTH(B29,0)),#REF!,""))=0,"",COUNT(IF((#REF!&lt;=C29)*(#REF!&gt;=D29)*(B29=EOMONTH(B29,0)),#REF!,"")))</f>
        <v/>
      </c>
      <c r="AQ29" s="47"/>
      <c r="AR29" s="6" t="str">
        <f t="array" ref="AR29">_xlfn.IFNA((INDEX('DMR 001C TIN &amp; TP'!$A$3:$M$10005,MATCH(('Reg 85'!$AQ$6&amp;'Reg 85'!$AQ$10&amp;'Reg 85'!$B29),('DMR 001C TIN &amp; TP'!$E$3:$E$10005&amp;'DMR 001C TIN &amp; TP'!$B$3:$B$10005&amp;'DMR 001C TIN &amp; TP'!$A$3:$A$10005),0),MATCH('Reg 85'!$AR$11,'DMR 001C TIN &amp; TP'!$A$2:$M$2,0))),"")</f>
        <v/>
      </c>
      <c r="AS29" s="6" t="str">
        <f t="array" ref="AS29">_xlfn.IFNA((INDEX('DMR 001C TIN &amp; TP'!$A$3:$M$10005,MATCH(('Reg 85'!$AQ$6&amp;'Reg 85'!$AQ$10&amp;'Reg 85'!$B29),('DMR 001C TIN &amp; TP'!$E$3:$E$10005&amp;'DMR 001C TIN &amp; TP'!$B$3:$B$10005&amp;'DMR 001C TIN &amp; TP'!$A$3:$A$10005),0),MATCH('Reg 85'!$AS$11,'DMR 001C TIN &amp; TP'!$A$2:$M$2,0))),"")</f>
        <v/>
      </c>
      <c r="AT29" s="53" t="str">
        <f t="shared" si="15"/>
        <v/>
      </c>
      <c r="AV29" s="6" t="str">
        <f t="array" ref="AV29">_xlfn.IFNA((INDEX('DMR 001C TIN &amp; TP'!$A$3:$M$10005,MATCH(('Reg 85'!$AQ$6&amp;'Reg 85'!$AU$10&amp;'Reg 85'!$B29),('DMR 001C TIN &amp; TP'!$E$3:$E$10005&amp;'DMR 001C TIN &amp; TP'!$B$3:$B$10005&amp;'DMR 001C TIN &amp; TP'!$A$3:$A$10005),0),MATCH('Reg 85'!$AV$11,'DMR 001C TIN &amp; TP'!$A$2:$M$2,0))),"")</f>
        <v/>
      </c>
      <c r="AW29" s="6" t="str">
        <f t="array" ref="AW29">_xlfn.IFNA((INDEX('DMR 001C TIN &amp; TP'!$A$3:$M$10005,MATCH(('Reg 85'!$AQ$6&amp;'Reg 85'!$AU$10&amp;'Reg 85'!$B29),('DMR 001C TIN &amp; TP'!$E$3:$E$10005&amp;'DMR 001C TIN &amp; TP'!$B$3:$B$10005&amp;'DMR 001C TIN &amp; TP'!$A$3:$A$10005),0),MATCH('Reg 85'!$AW$11,'DMR 001C TIN &amp; TP'!$A$2:$M$2,0))),"")</f>
        <v/>
      </c>
      <c r="AX29" s="53" t="str">
        <f t="shared" si="16"/>
        <v/>
      </c>
      <c r="AY29" s="55" t="str">
        <f t="shared" si="17"/>
        <v/>
      </c>
      <c r="AZ29" s="77" t="str">
        <f t="shared" ref="AZ29" si="36">IF(COUNT(IF((#REF!&lt;=C29)*(#REF!&gt;=D29)*(B29=EOMONTH(B29,0)),#REF!,""))=0,"",COUNT(IF((#REF!&lt;=C29)*(#REF!&gt;=D29)*(B29=EOMONTH(B29,0)),#REF!,"")))</f>
        <v/>
      </c>
      <c r="BA29" s="6" t="str">
        <f t="array" ref="BA29">_xlfn.IFNA((INDEX('DMR 001C TIN &amp; TP'!$A$3:$M$10005,MATCH(('Reg 85'!$AQ$6&amp;'Reg 85'!BA$10&amp;'Reg 85'!$B29),('DMR 001C TIN &amp; TP'!$E$3:$E$10005&amp;'DMR 001C TIN &amp; TP'!$B$3:$B$10005&amp;'DMR 001C TIN &amp; TP'!$A$3:$A$10005),0),MATCH('Reg 85'!$AG$11,'DMR 001C TIN &amp; TP'!$A$2:$M$2,0))),"")</f>
        <v/>
      </c>
      <c r="BB29" s="6" t="str">
        <f t="array" ref="BB29">_xlfn.IFNA((INDEX('DMR 001C TIN &amp; TP'!$A$3:$M$10005,MATCH(('Reg 85'!$AQ$6&amp;'Reg 85'!BB$10&amp;'Reg 85'!$B29),('DMR 001C TIN &amp; TP'!$E$3:$E$10005&amp;'DMR 001C TIN &amp; TP'!$B$3:$B$10005&amp;'DMR 001C TIN &amp; TP'!$A$3:$A$10005),0),MATCH('Reg 85'!$AG$11,'DMR 001C TIN &amp; TP'!$A$2:$M$2,0))),"")</f>
        <v/>
      </c>
      <c r="BC29" s="6" t="str">
        <f t="array" ref="BC29">_xlfn.IFNA((INDEX('DMR 001C TIN &amp; TP'!$A$3:$M$10005,MATCH(('Reg 85'!$AQ$6&amp;'Reg 85'!BC$10&amp;'Reg 85'!$B29),('DMR 001C TIN &amp; TP'!$E$3:$E$10005&amp;'DMR 001C TIN &amp; TP'!$B$3:$B$10005&amp;'DMR 001C TIN &amp; TP'!$A$3:$A$10005),0),MATCH('Reg 85'!$AG$11,'DMR 001C TIN &amp; TP'!$A$2:$M$2,0))),"")</f>
        <v/>
      </c>
      <c r="BD29" s="6" t="str">
        <f t="array" ref="BD29">_xlfn.IFNA((INDEX('DMR 001C TIN &amp; TP'!$A$3:$M$10005,MATCH(('Reg 85'!$AQ$6&amp;'Reg 85'!BD$10&amp;'Reg 85'!$B29),('DMR 001C TIN &amp; TP'!$E$3:$E$10005&amp;'DMR 001C TIN &amp; TP'!$B$3:$B$10005&amp;'DMR 001C TIN &amp; TP'!$A$3:$A$10005),0),MATCH('Reg 85'!$AG$11,'DMR 001C TIN &amp; TP'!$A$2:$M$2,0))),"")</f>
        <v/>
      </c>
      <c r="BE29" s="6" t="str">
        <f t="array" ref="BE29">_xlfn.IFNA((INDEX('DMR 001C TIN &amp; TP'!$A$3:$M$10005,MATCH(('Reg 85'!$AQ$6&amp;'Reg 85'!BE$10&amp;'Reg 85'!$B29),('DMR 001C TIN &amp; TP'!$E$3:$E$10005&amp;'DMR 001C TIN &amp; TP'!$B$3:$B$10005&amp;'DMR 001C TIN &amp; TP'!$A$3:$A$10005),0),MATCH('Reg 85'!$AG$11,'DMR 001C TIN &amp; TP'!$A$2:$M$2,0))),"")</f>
        <v/>
      </c>
      <c r="BF29" s="6" t="str">
        <f t="array" ref="BF29">_xlfn.IFNA((INDEX('DMR 001C TIN &amp; TP'!$A$3:$M$10005,MATCH(('Reg 85'!$AQ$6&amp;'Reg 85'!BF$10&amp;'Reg 85'!$B29),('DMR 001C TIN &amp; TP'!$E$3:$E$10005&amp;'DMR 001C TIN &amp; TP'!$B$3:$B$10005&amp;'DMR 001C TIN &amp; TP'!$A$3:$A$10005),0),MATCH('Reg 85'!$AG$11,'DMR 001C TIN &amp; TP'!$A$2:$M$2,0))),"")</f>
        <v/>
      </c>
    </row>
    <row r="30" spans="1:58">
      <c r="A30" s="3" t="str">
        <f t="shared" si="2"/>
        <v>Wed</v>
      </c>
      <c r="B30" s="96">
        <f t="shared" si="19"/>
        <v>43362</v>
      </c>
      <c r="C30" s="96">
        <f t="shared" si="3"/>
        <v>43373</v>
      </c>
      <c r="D30" s="96">
        <f t="shared" si="4"/>
        <v>43344</v>
      </c>
      <c r="E30" s="95">
        <f t="shared" si="5"/>
        <v>30</v>
      </c>
      <c r="F30" s="7">
        <f t="array" ref="F30">_xlfn.IFNA(INDEX('DMR Flows-Effluent'!$A$3:$F$9999,MATCH(($F$10&amp;$B30),('DMR Flows-Effluent'!$B$3:$B$9999&amp;'DMR Flows-Effluent'!$A$3:$A$9999),0),MATCH($F$8,'DMR Flows-Effluent'!$A$2:$F$2,0)),"")</f>
        <v>48.722299999999997</v>
      </c>
      <c r="G30" s="7">
        <f t="array" ref="G30">_xlfn.IFNA(INDEX('DMR Flows-Effluent'!$A$3:$F$9999,MATCH(($G$10&amp;$B30),('DMR Flows-Effluent'!$B$3:$B$9999&amp;'DMR Flows-Effluent'!$A$3:$A$9999),0),MATCH($F$8,'DMR Flows-Effluent'!$A$2:$F$2,0)),"")</f>
        <v>69.101900000000001</v>
      </c>
      <c r="H30" s="7">
        <f t="shared" si="6"/>
        <v>117.82419999999999</v>
      </c>
      <c r="I30" s="45" t="str">
        <f t="shared" si="7"/>
        <v/>
      </c>
      <c r="J30" s="6" t="str">
        <f t="array" ref="J30">_xlfn.IFNA((INDEX('DMR 001C TIN &amp; TP'!$A$3:$M$10005,MATCH(('Reg 85'!$I$6:$Q$6&amp;'Reg 85'!$I$10:$K$10&amp;'Reg 85'!$B30),('DMR 001C TIN &amp; TP'!$E$3:$E$10005&amp;'DMR 001C TIN &amp; TP'!$B$3:$B$10005&amp;'DMR 001C TIN &amp; TP'!$A$3:$A$10005),0),MATCH('Reg 85'!$J$11,'DMR 001C TIN &amp; TP'!$A$2:$M$2,0))),"")</f>
        <v>0.15</v>
      </c>
      <c r="K30" s="6">
        <f t="array" ref="K30">_xlfn.IFNA((INDEX('DMR 001C TIN &amp; TP'!$A$3:$M$10005,MATCH(('Reg 85'!$I$6:$Q$6&amp;'Reg 85'!$I$10:$K$10&amp;'Reg 85'!$B30),('DMR 001C TIN &amp; TP'!$E$3:$E$10005&amp;'DMR 001C TIN &amp; TP'!$B$3:$B$10005&amp;'DMR 001C TIN &amp; TP'!$A$3:$A$10005),0),MATCH('Reg 85'!$K$11,'DMR 001C TIN &amp; TP'!$A$2:$M$2,0))),"")</f>
        <v>0.52</v>
      </c>
      <c r="L30" s="53">
        <f t="shared" si="21"/>
        <v>0.52</v>
      </c>
      <c r="M30" s="5" t="str">
        <f t="shared" si="8"/>
        <v/>
      </c>
      <c r="N30" s="6" t="str">
        <f t="array" ref="N30">_xlfn.IFNA((INDEX('DMR 001C TIN &amp; TP'!$A$3:$M$10005,MATCH(('Reg 85'!$I$6:$Q$6&amp;'Reg 85'!$M$10&amp;'Reg 85'!$B30),('DMR 001C TIN &amp; TP'!$E$3:$E$10005&amp;'DMR 001C TIN &amp; TP'!$B$3:$B$10005&amp;'DMR 001C TIN &amp; TP'!$A$3:$A$10005),0),MATCH('Reg 85'!$N$11,'DMR 001C TIN &amp; TP'!$A$2:$M$2,0))),"")</f>
        <v>0.15</v>
      </c>
      <c r="O30" s="6">
        <f t="array" ref="O30">_xlfn.IFNA((INDEX('DMR 001C TIN &amp; TP'!$A$3:$M$10005,MATCH(('Reg 85'!$I$6:$Q$6&amp;'Reg 85'!$M$10&amp;'Reg 85'!$B30),('DMR 001C TIN &amp; TP'!$E$3:$E$10005&amp;'DMR 001C TIN &amp; TP'!$B$3:$B$10005&amp;'DMR 001C TIN &amp; TP'!$A$3:$A$10005),0),MATCH('Reg 85'!$O$11,'DMR 001C TIN &amp; TP'!$A$2:$M$2,0))),"")</f>
        <v>0.76</v>
      </c>
      <c r="P30" s="53">
        <f t="shared" si="9"/>
        <v>0.76</v>
      </c>
      <c r="Q30" s="73">
        <f t="array" ref="Q30">IFERROR(((L30*$F30)+(P30*$G30))/($H30),"")</f>
        <v>0.66075593978147107</v>
      </c>
      <c r="R30" s="6" t="str">
        <f t="array" ref="R30">_xlfn.IFNA((INDEX('DMR 001C TIN &amp; TP'!$A$3:$M$10005,MATCH(('Reg 85'!$I$6:$Q$6&amp;'Reg 85'!R$10&amp;'Reg 85'!$B30),('DMR 001C TIN &amp; TP'!$E$3:$E$10005&amp;'DMR 001C TIN &amp; TP'!$B$3:$B$10005&amp;'DMR 001C TIN &amp; TP'!$A$3:$A$10005),0),MATCH('Reg 85'!$O$11,'DMR 001C TIN &amp; TP'!$A$2:$M$2,0))),"")</f>
        <v/>
      </c>
      <c r="S30" s="6" t="str">
        <f t="array" ref="S30">_xlfn.IFNA((INDEX('DMR 001C TIN &amp; TP'!$A$3:$M$10005,MATCH(('Reg 85'!$I$6:$Q$6&amp;'Reg 85'!S$10&amp;'Reg 85'!$B30),('DMR 001C TIN &amp; TP'!$E$3:$E$10005&amp;'DMR 001C TIN &amp; TP'!$B$3:$B$10005&amp;'DMR 001C TIN &amp; TP'!$A$3:$A$10005),0),MATCH('Reg 85'!$O$11,'DMR 001C TIN &amp; TP'!$A$2:$M$2,0))),"")</f>
        <v/>
      </c>
      <c r="T30" s="6" t="str">
        <f t="array" ref="T30">_xlfn.IFNA((INDEX('DMR 001C TIN &amp; TP'!$A$3:$M$10005,MATCH(('Reg 85'!$I$6:$Q$6&amp;'Reg 85'!T$10&amp;'Reg 85'!$B30),('DMR 001C TIN &amp; TP'!$E$3:$E$10005&amp;'DMR 001C TIN &amp; TP'!$B$3:$B$10005&amp;'DMR 001C TIN &amp; TP'!$A$3:$A$10005),0),MATCH('Reg 85'!$O$11,'DMR 001C TIN &amp; TP'!$A$2:$M$2,0))),"")</f>
        <v/>
      </c>
      <c r="U30" s="6" t="str">
        <f t="array" ref="U30">_xlfn.IFNA((INDEX('DMR 001C TIN &amp; TP'!$A$3:$M$10005,MATCH(('Reg 85'!$I$6:$Q$6&amp;'Reg 85'!U$10&amp;'Reg 85'!$B30),('DMR 001C TIN &amp; TP'!$E$3:$E$10005&amp;'DMR 001C TIN &amp; TP'!$B$3:$B$10005&amp;'DMR 001C TIN &amp; TP'!$A$3:$A$10005),0),MATCH('Reg 85'!$O$11,'DMR 001C TIN &amp; TP'!$A$2:$M$2,0))),"")</f>
        <v/>
      </c>
      <c r="V30" s="6" t="str">
        <f t="array" ref="V30">_xlfn.IFNA((INDEX('DMR 001C TIN &amp; TP'!$A$3:$M$10005,MATCH(('Reg 85'!$I$6:$Q$6&amp;'Reg 85'!V$10&amp;'Reg 85'!$B30),('DMR 001C TIN &amp; TP'!$E$3:$E$10005&amp;'DMR 001C TIN &amp; TP'!$B$3:$B$10005&amp;'DMR 001C TIN &amp; TP'!$A$3:$A$10005),0),MATCH('Reg 85'!$O$11,'DMR 001C TIN &amp; TP'!$A$2:$M$2,0))),"")</f>
        <v/>
      </c>
      <c r="W30" s="6" t="str">
        <f t="array" ref="W30">_xlfn.IFNA((INDEX('DMR 001C TIN &amp; TP'!$A$3:$M$10005,MATCH(('Reg 85'!$I$6:$Q$6&amp;'Reg 85'!W$10&amp;'Reg 85'!$B30),('DMR 001C TIN &amp; TP'!$E$3:$E$10005&amp;'DMR 001C TIN &amp; TP'!$B$3:$B$10005&amp;'DMR 001C TIN &amp; TP'!$A$3:$A$10005),0),MATCH('Reg 85'!$O$11,'DMR 001C TIN &amp; TP'!$A$2:$M$2,0))),"")</f>
        <v/>
      </c>
      <c r="X30" s="5" t="str">
        <f t="shared" si="10"/>
        <v/>
      </c>
      <c r="Y30" s="6" t="str">
        <f t="array" ref="Y30">_xlfn.IFNA((INDEX('DMR 001C TIN &amp; TP'!$A$3:$M$10005,MATCH(('Reg 85'!$X$6&amp;'Reg 85'!$X$10&amp;'Reg 85'!$B30),('DMR 001C TIN &amp; TP'!$E$3:$E$10005&amp;'DMR 001C TIN &amp; TP'!$B$3:$B$10005&amp;'DMR 001C TIN &amp; TP'!$A$3:$A$10005),0),MATCH('Reg 85'!$Y$11,'DMR 001C TIN &amp; TP'!$A$2:$M$2,0))),"")</f>
        <v>0.12</v>
      </c>
      <c r="Z30" s="6">
        <f t="array" ref="Z30">_xlfn.IFNA((INDEX('DMR 001C TIN &amp; TP'!$A$3:$M$10005,MATCH(('Reg 85'!$X$6&amp;'Reg 85'!$X$10&amp;'Reg 85'!$B30),('DMR 001C TIN &amp; TP'!$E$3:$E$10005&amp;'DMR 001C TIN &amp; TP'!$B$3:$B$10005&amp;'DMR 001C TIN &amp; TP'!$A$3:$A$10005),0),MATCH('Reg 85'!$Z$11,'DMR 001C TIN &amp; TP'!$A$2:$M$2,0))),"")</f>
        <v>4.6500000000000004</v>
      </c>
      <c r="AA30" s="53">
        <f t="shared" si="11"/>
        <v>4.6500000000000004</v>
      </c>
      <c r="AB30" s="5" t="str">
        <f t="shared" si="12"/>
        <v/>
      </c>
      <c r="AC30" s="6" t="str">
        <f t="array" ref="AC30">_xlfn.IFNA((INDEX('DMR 001C TIN &amp; TP'!$A$3:$M$10005,MATCH(('Reg 85'!$X$6&amp;'Reg 85'!$AB$10&amp;'Reg 85'!$B30),('DMR 001C TIN &amp; TP'!$E$3:$E$10005&amp;'DMR 001C TIN &amp; TP'!$B$3:$B$10005&amp;'DMR 001C TIN &amp; TP'!$A$3:$A$10005),0),MATCH('Reg 85'!$AC$11,'DMR 001C TIN &amp; TP'!$A$2:$M$2,0))),"")</f>
        <v>0.06</v>
      </c>
      <c r="AD30" s="6">
        <f t="array" ref="AD30">_xlfn.IFNA((INDEX('DMR 001C TIN &amp; TP'!$A$3:$M$10005,MATCH(('Reg 85'!$X$6&amp;'Reg 85'!$AB$10&amp;'Reg 85'!$B30),('DMR 001C TIN &amp; TP'!$E$3:$E$10005&amp;'DMR 001C TIN &amp; TP'!$B$3:$B$10005&amp;'DMR 001C TIN &amp; TP'!$A$3:$A$10005),0),MATCH('Reg 85'!$AD$11,'DMR 001C TIN &amp; TP'!$A$2:$M$2,0))),"")</f>
        <v>5.1100000000000003</v>
      </c>
      <c r="AE30" s="53">
        <f t="shared" si="13"/>
        <v>5.1100000000000003</v>
      </c>
      <c r="AF30" s="7">
        <f t="shared" si="14"/>
        <v>4.9197822179144861</v>
      </c>
      <c r="AG30" s="6" t="str">
        <f t="array" ref="AG30">_xlfn.IFNA((INDEX('DMR 001C TIN &amp; TP'!$A$3:$M$10005,MATCH(('Reg 85'!$X$6&amp;'Reg 85'!AG$10&amp;'Reg 85'!$B30),('DMR 001C TIN &amp; TP'!$E$3:$E$10005&amp;'DMR 001C TIN &amp; TP'!$B$3:$B$10005&amp;'DMR 001C TIN &amp; TP'!$A$3:$A$10005),0),MATCH('Reg 85'!$AG$11,'DMR 001C TIN &amp; TP'!$A$2:$M$2,0))),"")</f>
        <v/>
      </c>
      <c r="AH30" s="6" t="str">
        <f t="array" ref="AH30">_xlfn.IFNA((INDEX('DMR 001C TIN &amp; TP'!$A$3:$M$10005,MATCH(('Reg 85'!$X$6&amp;'Reg 85'!AH$10&amp;'Reg 85'!$B30),('DMR 001C TIN &amp; TP'!$E$3:$E$10005&amp;'DMR 001C TIN &amp; TP'!$B$3:$B$10005&amp;'DMR 001C TIN &amp; TP'!$A$3:$A$10005),0),MATCH('Reg 85'!$AG$11,'DMR 001C TIN &amp; TP'!$A$2:$M$2,0))),"")</f>
        <v/>
      </c>
      <c r="AI30" s="6" t="str">
        <f t="array" ref="AI30">_xlfn.IFNA((INDEX('DMR 001C TIN &amp; TP'!$A$3:$M$10005,MATCH(('Reg 85'!$X$6&amp;'Reg 85'!AI$10&amp;'Reg 85'!$B30),('DMR 001C TIN &amp; TP'!$E$3:$E$10005&amp;'DMR 001C TIN &amp; TP'!$B$3:$B$10005&amp;'DMR 001C TIN &amp; TP'!$A$3:$A$10005),0),MATCH('Reg 85'!$AG$11,'DMR 001C TIN &amp; TP'!$A$2:$M$2,0))),"")</f>
        <v/>
      </c>
      <c r="AJ30" s="6" t="str">
        <f t="array" ref="AJ30">_xlfn.IFNA((INDEX('DMR 001C TIN &amp; TP'!$A$3:$M$10005,MATCH(('Reg 85'!$X$6&amp;'Reg 85'!AJ$10&amp;'Reg 85'!$B30),('DMR 001C TIN &amp; TP'!$E$3:$E$10005&amp;'DMR 001C TIN &amp; TP'!$B$3:$B$10005&amp;'DMR 001C TIN &amp; TP'!$A$3:$A$10005),0),MATCH('Reg 85'!$AG$11,'DMR 001C TIN &amp; TP'!$A$2:$M$2,0))),"")</f>
        <v/>
      </c>
      <c r="AK30" s="6" t="str">
        <f t="array" ref="AK30">_xlfn.IFNA((INDEX('DMR 001C TIN &amp; TP'!$A$3:$M$10005,MATCH(('Reg 85'!$X$6&amp;'Reg 85'!AK$10&amp;'Reg 85'!$B30),('DMR 001C TIN &amp; TP'!$E$3:$E$10005&amp;'DMR 001C TIN &amp; TP'!$B$3:$B$10005&amp;'DMR 001C TIN &amp; TP'!$A$3:$A$10005),0),MATCH('Reg 85'!$AG$11,'DMR 001C TIN &amp; TP'!$A$2:$M$2,0))),"")</f>
        <v/>
      </c>
      <c r="AL30" s="6" t="str">
        <f t="array" ref="AL30">_xlfn.IFNA((INDEX('DMR 001C TIN &amp; TP'!$A$3:$M$10005,MATCH(('Reg 85'!$X$6&amp;'Reg 85'!AL$10&amp;'Reg 85'!$B30),('DMR 001C TIN &amp; TP'!$E$3:$E$10005&amp;'DMR 001C TIN &amp; TP'!$B$3:$B$10005&amp;'DMR 001C TIN &amp; TP'!$A$3:$A$10005),0),MATCH('Reg 85'!$AG$11,'DMR 001C TIN &amp; TP'!$A$2:$M$2,0))),"")</f>
        <v/>
      </c>
      <c r="AM30" s="76"/>
      <c r="AN30" s="6"/>
      <c r="AO30" s="54">
        <f t="shared" si="0"/>
        <v>5.5805381576959574</v>
      </c>
      <c r="AP30" s="77" t="str">
        <f>IF(COUNT(IF((#REF!&lt;=C30)*(#REF!&gt;=D30)*(B30=EOMONTH(B30,0)),#REF!,""))=0,"",COUNT(IF((#REF!&lt;=C30)*(#REF!&gt;=D30)*(B30=EOMONTH(B30,0)),#REF!,"")))</f>
        <v/>
      </c>
      <c r="AQ30" s="47"/>
      <c r="AR30" s="6" t="str">
        <f t="array" ref="AR30">_xlfn.IFNA((INDEX('DMR 001C TIN &amp; TP'!$A$3:$M$10005,MATCH(('Reg 85'!$AQ$6&amp;'Reg 85'!$AQ$10&amp;'Reg 85'!$B30),('DMR 001C TIN &amp; TP'!$E$3:$E$10005&amp;'DMR 001C TIN &amp; TP'!$B$3:$B$10005&amp;'DMR 001C TIN &amp; TP'!$A$3:$A$10005),0),MATCH('Reg 85'!$AR$11,'DMR 001C TIN &amp; TP'!$A$2:$M$2,0))),"")</f>
        <v/>
      </c>
      <c r="AS30" s="6" t="str">
        <f t="array" ref="AS30">_xlfn.IFNA((INDEX('DMR 001C TIN &amp; TP'!$A$3:$M$10005,MATCH(('Reg 85'!$AQ$6&amp;'Reg 85'!$AQ$10&amp;'Reg 85'!$B30),('DMR 001C TIN &amp; TP'!$E$3:$E$10005&amp;'DMR 001C TIN &amp; TP'!$B$3:$B$10005&amp;'DMR 001C TIN &amp; TP'!$A$3:$A$10005),0),MATCH('Reg 85'!$AS$11,'DMR 001C TIN &amp; TP'!$A$2:$M$2,0))),"")</f>
        <v/>
      </c>
      <c r="AT30" s="53" t="str">
        <f t="shared" si="15"/>
        <v/>
      </c>
      <c r="AV30" s="6" t="str">
        <f t="array" ref="AV30">_xlfn.IFNA((INDEX('DMR 001C TIN &amp; TP'!$A$3:$M$10005,MATCH(('Reg 85'!$AQ$6&amp;'Reg 85'!$AU$10&amp;'Reg 85'!$B30),('DMR 001C TIN &amp; TP'!$E$3:$E$10005&amp;'DMR 001C TIN &amp; TP'!$B$3:$B$10005&amp;'DMR 001C TIN &amp; TP'!$A$3:$A$10005),0),MATCH('Reg 85'!$AV$11,'DMR 001C TIN &amp; TP'!$A$2:$M$2,0))),"")</f>
        <v/>
      </c>
      <c r="AW30" s="6" t="str">
        <f t="array" ref="AW30">_xlfn.IFNA((INDEX('DMR 001C TIN &amp; TP'!$A$3:$M$10005,MATCH(('Reg 85'!$AQ$6&amp;'Reg 85'!$AU$10&amp;'Reg 85'!$B30),('DMR 001C TIN &amp; TP'!$E$3:$E$10005&amp;'DMR 001C TIN &amp; TP'!$B$3:$B$10005&amp;'DMR 001C TIN &amp; TP'!$A$3:$A$10005),0),MATCH('Reg 85'!$AW$11,'DMR 001C TIN &amp; TP'!$A$2:$M$2,0))),"")</f>
        <v/>
      </c>
      <c r="AX30" s="53" t="str">
        <f t="shared" si="16"/>
        <v/>
      </c>
      <c r="AY30" s="55" t="str">
        <f t="shared" si="17"/>
        <v/>
      </c>
      <c r="AZ30" s="77" t="str">
        <f t="shared" ref="AZ30:AZ71" si="37">IF(COUNT(IF((#REF!&lt;=C30)*(#REF!&gt;=D30)*(B30=EOMONTH(B30,0)),#REF!,""))=0,"",COUNT(IF((#REF!&lt;=C30)*(#REF!&gt;=D30)*(B30=EOMONTH(B30,0)),#REF!,"")))</f>
        <v/>
      </c>
      <c r="BA30" s="6" t="str">
        <f t="array" ref="BA30">_xlfn.IFNA((INDEX('DMR 001C TIN &amp; TP'!$A$3:$M$10005,MATCH(('Reg 85'!$AQ$6&amp;'Reg 85'!BA$10&amp;'Reg 85'!$B30),('DMR 001C TIN &amp; TP'!$E$3:$E$10005&amp;'DMR 001C TIN &amp; TP'!$B$3:$B$10005&amp;'DMR 001C TIN &amp; TP'!$A$3:$A$10005),0),MATCH('Reg 85'!$AG$11,'DMR 001C TIN &amp; TP'!$A$2:$M$2,0))),"")</f>
        <v/>
      </c>
      <c r="BB30" s="6" t="str">
        <f t="array" ref="BB30">_xlfn.IFNA((INDEX('DMR 001C TIN &amp; TP'!$A$3:$M$10005,MATCH(('Reg 85'!$AQ$6&amp;'Reg 85'!BB$10&amp;'Reg 85'!$B30),('DMR 001C TIN &amp; TP'!$E$3:$E$10005&amp;'DMR 001C TIN &amp; TP'!$B$3:$B$10005&amp;'DMR 001C TIN &amp; TP'!$A$3:$A$10005),0),MATCH('Reg 85'!$AG$11,'DMR 001C TIN &amp; TP'!$A$2:$M$2,0))),"")</f>
        <v/>
      </c>
      <c r="BC30" s="6" t="str">
        <f t="array" ref="BC30">_xlfn.IFNA((INDEX('DMR 001C TIN &amp; TP'!$A$3:$M$10005,MATCH(('Reg 85'!$AQ$6&amp;'Reg 85'!BC$10&amp;'Reg 85'!$B30),('DMR 001C TIN &amp; TP'!$E$3:$E$10005&amp;'DMR 001C TIN &amp; TP'!$B$3:$B$10005&amp;'DMR 001C TIN &amp; TP'!$A$3:$A$10005),0),MATCH('Reg 85'!$AG$11,'DMR 001C TIN &amp; TP'!$A$2:$M$2,0))),"")</f>
        <v/>
      </c>
      <c r="BD30" s="6" t="str">
        <f t="array" ref="BD30">_xlfn.IFNA((INDEX('DMR 001C TIN &amp; TP'!$A$3:$M$10005,MATCH(('Reg 85'!$AQ$6&amp;'Reg 85'!BD$10&amp;'Reg 85'!$B30),('DMR 001C TIN &amp; TP'!$E$3:$E$10005&amp;'DMR 001C TIN &amp; TP'!$B$3:$B$10005&amp;'DMR 001C TIN &amp; TP'!$A$3:$A$10005),0),MATCH('Reg 85'!$AG$11,'DMR 001C TIN &amp; TP'!$A$2:$M$2,0))),"")</f>
        <v/>
      </c>
      <c r="BE30" s="6" t="str">
        <f t="array" ref="BE30">_xlfn.IFNA((INDEX('DMR 001C TIN &amp; TP'!$A$3:$M$10005,MATCH(('Reg 85'!$AQ$6&amp;'Reg 85'!BE$10&amp;'Reg 85'!$B30),('DMR 001C TIN &amp; TP'!$E$3:$E$10005&amp;'DMR 001C TIN &amp; TP'!$B$3:$B$10005&amp;'DMR 001C TIN &amp; TP'!$A$3:$A$10005),0),MATCH('Reg 85'!$AG$11,'DMR 001C TIN &amp; TP'!$A$2:$M$2,0))),"")</f>
        <v/>
      </c>
      <c r="BF30" s="6" t="str">
        <f t="array" ref="BF30">_xlfn.IFNA((INDEX('DMR 001C TIN &amp; TP'!$A$3:$M$10005,MATCH(('Reg 85'!$AQ$6&amp;'Reg 85'!BF$10&amp;'Reg 85'!$B30),('DMR 001C TIN &amp; TP'!$E$3:$E$10005&amp;'DMR 001C TIN &amp; TP'!$B$3:$B$10005&amp;'DMR 001C TIN &amp; TP'!$A$3:$A$10005),0),MATCH('Reg 85'!$AG$11,'DMR 001C TIN &amp; TP'!$A$2:$M$2,0))),"")</f>
        <v/>
      </c>
    </row>
    <row r="31" spans="1:58">
      <c r="A31" s="3" t="str">
        <f t="shared" si="2"/>
        <v>Thu</v>
      </c>
      <c r="B31" s="96">
        <f t="shared" si="19"/>
        <v>43363</v>
      </c>
      <c r="C31" s="96">
        <f t="shared" si="3"/>
        <v>43373</v>
      </c>
      <c r="D31" s="96">
        <f t="shared" si="4"/>
        <v>43344</v>
      </c>
      <c r="E31" s="95">
        <f t="shared" si="5"/>
        <v>30</v>
      </c>
      <c r="F31" s="7">
        <f t="array" ref="F31">_xlfn.IFNA(INDEX('DMR Flows-Effluent'!$A$3:$F$9999,MATCH(($F$10&amp;$B31),('DMR Flows-Effluent'!$B$3:$B$9999&amp;'DMR Flows-Effluent'!$A$3:$A$9999),0),MATCH($F$8,'DMR Flows-Effluent'!$A$2:$F$2,0)),"")</f>
        <v>45.686199999999999</v>
      </c>
      <c r="G31" s="7">
        <f t="array" ref="G31">_xlfn.IFNA(INDEX('DMR Flows-Effluent'!$A$3:$F$9999,MATCH(($G$10&amp;$B31),('DMR Flows-Effluent'!$B$3:$B$9999&amp;'DMR Flows-Effluent'!$A$3:$A$9999),0),MATCH($F$8,'DMR Flows-Effluent'!$A$2:$F$2,0)),"")</f>
        <v>71.813299999999998</v>
      </c>
      <c r="H31" s="7">
        <f t="shared" si="6"/>
        <v>117.4995</v>
      </c>
      <c r="I31" s="45" t="str">
        <f t="shared" si="7"/>
        <v/>
      </c>
      <c r="J31" s="6" t="str">
        <f t="array" ref="J31">_xlfn.IFNA((INDEX('DMR 001C TIN &amp; TP'!$A$3:$M$10005,MATCH(('Reg 85'!$I$6:$Q$6&amp;'Reg 85'!$I$10:$K$10&amp;'Reg 85'!$B31),('DMR 001C TIN &amp; TP'!$E$3:$E$10005&amp;'DMR 001C TIN &amp; TP'!$B$3:$B$10005&amp;'DMR 001C TIN &amp; TP'!$A$3:$A$10005),0),MATCH('Reg 85'!$J$11,'DMR 001C TIN &amp; TP'!$A$2:$M$2,0))),"")</f>
        <v/>
      </c>
      <c r="K31" s="6" t="str">
        <f t="array" ref="K31">_xlfn.IFNA((INDEX('DMR 001C TIN &amp; TP'!$A$3:$M$10005,MATCH(('Reg 85'!$I$6:$Q$6&amp;'Reg 85'!$I$10:$K$10&amp;'Reg 85'!$B31),('DMR 001C TIN &amp; TP'!$E$3:$E$10005&amp;'DMR 001C TIN &amp; TP'!$B$3:$B$10005&amp;'DMR 001C TIN &amp; TP'!$A$3:$A$10005),0),MATCH('Reg 85'!$K$11,'DMR 001C TIN &amp; TP'!$A$2:$M$2,0))),"")</f>
        <v/>
      </c>
      <c r="L31" s="53" t="str">
        <f t="shared" si="21"/>
        <v/>
      </c>
      <c r="M31" s="5" t="str">
        <f t="shared" si="8"/>
        <v/>
      </c>
      <c r="N31" s="6" t="str">
        <f t="array" ref="N31">_xlfn.IFNA((INDEX('DMR 001C TIN &amp; TP'!$A$3:$M$10005,MATCH(('Reg 85'!$I$6:$Q$6&amp;'Reg 85'!$M$10&amp;'Reg 85'!$B31),('DMR 001C TIN &amp; TP'!$E$3:$E$10005&amp;'DMR 001C TIN &amp; TP'!$B$3:$B$10005&amp;'DMR 001C TIN &amp; TP'!$A$3:$A$10005),0),MATCH('Reg 85'!$N$11,'DMR 001C TIN &amp; TP'!$A$2:$M$2,0))),"")</f>
        <v/>
      </c>
      <c r="O31" s="6" t="str">
        <f t="array" ref="O31">_xlfn.IFNA((INDEX('DMR 001C TIN &amp; TP'!$A$3:$M$10005,MATCH(('Reg 85'!$I$6:$Q$6&amp;'Reg 85'!$M$10&amp;'Reg 85'!$B31),('DMR 001C TIN &amp; TP'!$E$3:$E$10005&amp;'DMR 001C TIN &amp; TP'!$B$3:$B$10005&amp;'DMR 001C TIN &amp; TP'!$A$3:$A$10005),0),MATCH('Reg 85'!$O$11,'DMR 001C TIN &amp; TP'!$A$2:$M$2,0))),"")</f>
        <v/>
      </c>
      <c r="P31" s="53" t="str">
        <f t="shared" si="9"/>
        <v/>
      </c>
      <c r="Q31" s="73" t="str">
        <f t="array" ref="Q31">IFERROR(((L31*$F31)+(P31*$G31))/($H31),"")</f>
        <v/>
      </c>
      <c r="R31" s="6" t="str">
        <f t="array" ref="R31">_xlfn.IFNA((INDEX('DMR 001C TIN &amp; TP'!$A$3:$M$10005,MATCH(('Reg 85'!$I$6:$Q$6&amp;'Reg 85'!R$10&amp;'Reg 85'!$B31),('DMR 001C TIN &amp; TP'!$E$3:$E$10005&amp;'DMR 001C TIN &amp; TP'!$B$3:$B$10005&amp;'DMR 001C TIN &amp; TP'!$A$3:$A$10005),0),MATCH('Reg 85'!$O$11,'DMR 001C TIN &amp; TP'!$A$2:$M$2,0))),"")</f>
        <v/>
      </c>
      <c r="S31" s="6" t="str">
        <f t="array" ref="S31">_xlfn.IFNA((INDEX('DMR 001C TIN &amp; TP'!$A$3:$M$10005,MATCH(('Reg 85'!$I$6:$Q$6&amp;'Reg 85'!S$10&amp;'Reg 85'!$B31),('DMR 001C TIN &amp; TP'!$E$3:$E$10005&amp;'DMR 001C TIN &amp; TP'!$B$3:$B$10005&amp;'DMR 001C TIN &amp; TP'!$A$3:$A$10005),0),MATCH('Reg 85'!$O$11,'DMR 001C TIN &amp; TP'!$A$2:$M$2,0))),"")</f>
        <v/>
      </c>
      <c r="T31" s="6" t="str">
        <f t="array" ref="T31">_xlfn.IFNA((INDEX('DMR 001C TIN &amp; TP'!$A$3:$M$10005,MATCH(('Reg 85'!$I$6:$Q$6&amp;'Reg 85'!T$10&amp;'Reg 85'!$B31),('DMR 001C TIN &amp; TP'!$E$3:$E$10005&amp;'DMR 001C TIN &amp; TP'!$B$3:$B$10005&amp;'DMR 001C TIN &amp; TP'!$A$3:$A$10005),0),MATCH('Reg 85'!$O$11,'DMR 001C TIN &amp; TP'!$A$2:$M$2,0))),"")</f>
        <v/>
      </c>
      <c r="U31" s="6" t="str">
        <f t="array" ref="U31">_xlfn.IFNA((INDEX('DMR 001C TIN &amp; TP'!$A$3:$M$10005,MATCH(('Reg 85'!$I$6:$Q$6&amp;'Reg 85'!U$10&amp;'Reg 85'!$B31),('DMR 001C TIN &amp; TP'!$E$3:$E$10005&amp;'DMR 001C TIN &amp; TP'!$B$3:$B$10005&amp;'DMR 001C TIN &amp; TP'!$A$3:$A$10005),0),MATCH('Reg 85'!$O$11,'DMR 001C TIN &amp; TP'!$A$2:$M$2,0))),"")</f>
        <v/>
      </c>
      <c r="V31" s="6" t="str">
        <f t="array" ref="V31">_xlfn.IFNA((INDEX('DMR 001C TIN &amp; TP'!$A$3:$M$10005,MATCH(('Reg 85'!$I$6:$Q$6&amp;'Reg 85'!V$10&amp;'Reg 85'!$B31),('DMR 001C TIN &amp; TP'!$E$3:$E$10005&amp;'DMR 001C TIN &amp; TP'!$B$3:$B$10005&amp;'DMR 001C TIN &amp; TP'!$A$3:$A$10005),0),MATCH('Reg 85'!$O$11,'DMR 001C TIN &amp; TP'!$A$2:$M$2,0))),"")</f>
        <v/>
      </c>
      <c r="W31" s="6" t="str">
        <f t="array" ref="W31">_xlfn.IFNA((INDEX('DMR 001C TIN &amp; TP'!$A$3:$M$10005,MATCH(('Reg 85'!$I$6:$Q$6&amp;'Reg 85'!W$10&amp;'Reg 85'!$B31),('DMR 001C TIN &amp; TP'!$E$3:$E$10005&amp;'DMR 001C TIN &amp; TP'!$B$3:$B$10005&amp;'DMR 001C TIN &amp; TP'!$A$3:$A$10005),0),MATCH('Reg 85'!$O$11,'DMR 001C TIN &amp; TP'!$A$2:$M$2,0))),"")</f>
        <v/>
      </c>
      <c r="X31" s="5" t="str">
        <f t="shared" si="10"/>
        <v/>
      </c>
      <c r="Y31" s="6" t="str">
        <f t="array" ref="Y31">_xlfn.IFNA((INDEX('DMR 001C TIN &amp; TP'!$A$3:$M$10005,MATCH(('Reg 85'!$X$6&amp;'Reg 85'!$X$10&amp;'Reg 85'!$B31),('DMR 001C TIN &amp; TP'!$E$3:$E$10005&amp;'DMR 001C TIN &amp; TP'!$B$3:$B$10005&amp;'DMR 001C TIN &amp; TP'!$A$3:$A$10005),0),MATCH('Reg 85'!$Y$11,'DMR 001C TIN &amp; TP'!$A$2:$M$2,0))),"")</f>
        <v/>
      </c>
      <c r="Z31" s="6" t="str">
        <f t="array" ref="Z31">_xlfn.IFNA((INDEX('DMR 001C TIN &amp; TP'!$A$3:$M$10005,MATCH(('Reg 85'!$X$6&amp;'Reg 85'!$X$10&amp;'Reg 85'!$B31),('DMR 001C TIN &amp; TP'!$E$3:$E$10005&amp;'DMR 001C TIN &amp; TP'!$B$3:$B$10005&amp;'DMR 001C TIN &amp; TP'!$A$3:$A$10005),0),MATCH('Reg 85'!$Z$11,'DMR 001C TIN &amp; TP'!$A$2:$M$2,0))),"")</f>
        <v/>
      </c>
      <c r="AA31" s="53" t="str">
        <f t="shared" si="11"/>
        <v/>
      </c>
      <c r="AB31" s="5" t="str">
        <f t="shared" si="12"/>
        <v/>
      </c>
      <c r="AC31" s="6" t="str">
        <f t="array" ref="AC31">_xlfn.IFNA((INDEX('DMR 001C TIN &amp; TP'!$A$3:$M$10005,MATCH(('Reg 85'!$X$6&amp;'Reg 85'!$AB$10&amp;'Reg 85'!$B31),('DMR 001C TIN &amp; TP'!$E$3:$E$10005&amp;'DMR 001C TIN &amp; TP'!$B$3:$B$10005&amp;'DMR 001C TIN &amp; TP'!$A$3:$A$10005),0),MATCH('Reg 85'!$AC$11,'DMR 001C TIN &amp; TP'!$A$2:$M$2,0))),"")</f>
        <v/>
      </c>
      <c r="AD31" s="6" t="str">
        <f t="array" ref="AD31">_xlfn.IFNA((INDEX('DMR 001C TIN &amp; TP'!$A$3:$M$10005,MATCH(('Reg 85'!$X$6&amp;'Reg 85'!$AB$10&amp;'Reg 85'!$B31),('DMR 001C TIN &amp; TP'!$E$3:$E$10005&amp;'DMR 001C TIN &amp; TP'!$B$3:$B$10005&amp;'DMR 001C TIN &amp; TP'!$A$3:$A$10005),0),MATCH('Reg 85'!$AD$11,'DMR 001C TIN &amp; TP'!$A$2:$M$2,0))),"")</f>
        <v/>
      </c>
      <c r="AE31" s="53" t="str">
        <f t="shared" si="13"/>
        <v/>
      </c>
      <c r="AF31" s="7" t="str">
        <f t="shared" si="14"/>
        <v/>
      </c>
      <c r="AG31" s="6" t="str">
        <f t="array" ref="AG31">_xlfn.IFNA((INDEX('DMR 001C TIN &amp; TP'!$A$3:$M$10005,MATCH(('Reg 85'!$X$6&amp;'Reg 85'!AG$10&amp;'Reg 85'!$B31),('DMR 001C TIN &amp; TP'!$E$3:$E$10005&amp;'DMR 001C TIN &amp; TP'!$B$3:$B$10005&amp;'DMR 001C TIN &amp; TP'!$A$3:$A$10005),0),MATCH('Reg 85'!$AG$11,'DMR 001C TIN &amp; TP'!$A$2:$M$2,0))),"")</f>
        <v/>
      </c>
      <c r="AH31" s="6" t="str">
        <f t="array" ref="AH31">_xlfn.IFNA((INDEX('DMR 001C TIN &amp; TP'!$A$3:$M$10005,MATCH(('Reg 85'!$X$6&amp;'Reg 85'!AH$10&amp;'Reg 85'!$B31),('DMR 001C TIN &amp; TP'!$E$3:$E$10005&amp;'DMR 001C TIN &amp; TP'!$B$3:$B$10005&amp;'DMR 001C TIN &amp; TP'!$A$3:$A$10005),0),MATCH('Reg 85'!$AG$11,'DMR 001C TIN &amp; TP'!$A$2:$M$2,0))),"")</f>
        <v/>
      </c>
      <c r="AI31" s="6" t="str">
        <f t="array" ref="AI31">_xlfn.IFNA((INDEX('DMR 001C TIN &amp; TP'!$A$3:$M$10005,MATCH(('Reg 85'!$X$6&amp;'Reg 85'!AI$10&amp;'Reg 85'!$B31),('DMR 001C TIN &amp; TP'!$E$3:$E$10005&amp;'DMR 001C TIN &amp; TP'!$B$3:$B$10005&amp;'DMR 001C TIN &amp; TP'!$A$3:$A$10005),0),MATCH('Reg 85'!$AG$11,'DMR 001C TIN &amp; TP'!$A$2:$M$2,0))),"")</f>
        <v/>
      </c>
      <c r="AJ31" s="6" t="str">
        <f t="array" ref="AJ31">_xlfn.IFNA((INDEX('DMR 001C TIN &amp; TP'!$A$3:$M$10005,MATCH(('Reg 85'!$X$6&amp;'Reg 85'!AJ$10&amp;'Reg 85'!$B31),('DMR 001C TIN &amp; TP'!$E$3:$E$10005&amp;'DMR 001C TIN &amp; TP'!$B$3:$B$10005&amp;'DMR 001C TIN &amp; TP'!$A$3:$A$10005),0),MATCH('Reg 85'!$AG$11,'DMR 001C TIN &amp; TP'!$A$2:$M$2,0))),"")</f>
        <v/>
      </c>
      <c r="AK31" s="6" t="str">
        <f t="array" ref="AK31">_xlfn.IFNA((INDEX('DMR 001C TIN &amp; TP'!$A$3:$M$10005,MATCH(('Reg 85'!$X$6&amp;'Reg 85'!AK$10&amp;'Reg 85'!$B31),('DMR 001C TIN &amp; TP'!$E$3:$E$10005&amp;'DMR 001C TIN &amp; TP'!$B$3:$B$10005&amp;'DMR 001C TIN &amp; TP'!$A$3:$A$10005),0),MATCH('Reg 85'!$AG$11,'DMR 001C TIN &amp; TP'!$A$2:$M$2,0))),"")</f>
        <v/>
      </c>
      <c r="AL31" s="6" t="str">
        <f t="array" ref="AL31">_xlfn.IFNA((INDEX('DMR 001C TIN &amp; TP'!$A$3:$M$10005,MATCH(('Reg 85'!$X$6&amp;'Reg 85'!AL$10&amp;'Reg 85'!$B31),('DMR 001C TIN &amp; TP'!$E$3:$E$10005&amp;'DMR 001C TIN &amp; TP'!$B$3:$B$10005&amp;'DMR 001C TIN &amp; TP'!$A$3:$A$10005),0),MATCH('Reg 85'!$AG$11,'DMR 001C TIN &amp; TP'!$A$2:$M$2,0))),"")</f>
        <v/>
      </c>
      <c r="AM31" s="76"/>
      <c r="AN31" s="6"/>
      <c r="AO31" s="54" t="str">
        <f t="shared" si="0"/>
        <v/>
      </c>
      <c r="AP31" s="77" t="str">
        <f t="shared" ref="AP31:AP40" si="38">IF(COUNT(IF((B1:B31&lt;=C31)*(B1:B31&gt;=D31)*(B31=EOMONTH(B31,0)),AO1:AO31,""))=0,"",COUNT(IF((B1:B31&lt;=C31)*(B1:B31&gt;=D31)*(B31=EOMONTH(B31,0)),AO1:AO31,"")))</f>
        <v/>
      </c>
      <c r="AQ31" s="47"/>
      <c r="AR31" s="6" t="str">
        <f t="array" ref="AR31">_xlfn.IFNA((INDEX('DMR 001C TIN &amp; TP'!$A$3:$M$10005,MATCH(('Reg 85'!$AQ$6&amp;'Reg 85'!$AQ$10&amp;'Reg 85'!$B31),('DMR 001C TIN &amp; TP'!$E$3:$E$10005&amp;'DMR 001C TIN &amp; TP'!$B$3:$B$10005&amp;'DMR 001C TIN &amp; TP'!$A$3:$A$10005),0),MATCH('Reg 85'!$AR$11,'DMR 001C TIN &amp; TP'!$A$2:$M$2,0))),"")</f>
        <v>0.03</v>
      </c>
      <c r="AS31" s="6">
        <f t="array" ref="AS31">_xlfn.IFNA((INDEX('DMR 001C TIN &amp; TP'!$A$3:$M$10005,MATCH(('Reg 85'!$AQ$6&amp;'Reg 85'!$AQ$10&amp;'Reg 85'!$B31),('DMR 001C TIN &amp; TP'!$E$3:$E$10005&amp;'DMR 001C TIN &amp; TP'!$B$3:$B$10005&amp;'DMR 001C TIN &amp; TP'!$A$3:$A$10005),0),MATCH('Reg 85'!$AS$11,'DMR 001C TIN &amp; TP'!$A$2:$M$2,0))),"")</f>
        <v>0.34</v>
      </c>
      <c r="AT31" s="53">
        <f t="shared" si="15"/>
        <v>0.34</v>
      </c>
      <c r="AV31" s="6" t="str">
        <f t="array" ref="AV31">_xlfn.IFNA((INDEX('DMR 001C TIN &amp; TP'!$A$3:$M$10005,MATCH(('Reg 85'!$AQ$6&amp;'Reg 85'!$AU$10&amp;'Reg 85'!$B31),('DMR 001C TIN &amp; TP'!$E$3:$E$10005&amp;'DMR 001C TIN &amp; TP'!$B$3:$B$10005&amp;'DMR 001C TIN &amp; TP'!$A$3:$A$10005),0),MATCH('Reg 85'!$AV$11,'DMR 001C TIN &amp; TP'!$A$2:$M$2,0))),"")</f>
        <v>0.03</v>
      </c>
      <c r="AW31" s="6">
        <f t="array" ref="AW31">_xlfn.IFNA((INDEX('DMR 001C TIN &amp; TP'!$A$3:$M$10005,MATCH(('Reg 85'!$AQ$6&amp;'Reg 85'!$AU$10&amp;'Reg 85'!$B31),('DMR 001C TIN &amp; TP'!$E$3:$E$10005&amp;'DMR 001C TIN &amp; TP'!$B$3:$B$10005&amp;'DMR 001C TIN &amp; TP'!$A$3:$A$10005),0),MATCH('Reg 85'!$AW$11,'DMR 001C TIN &amp; TP'!$A$2:$M$2,0))),"")</f>
        <v>2.81</v>
      </c>
      <c r="AX31" s="53">
        <f t="shared" si="16"/>
        <v>2.81</v>
      </c>
      <c r="AY31" s="55">
        <f t="shared" si="17"/>
        <v>1.849613666441134</v>
      </c>
      <c r="AZ31" s="77" t="str">
        <f t="shared" si="37"/>
        <v/>
      </c>
      <c r="BA31" s="6" t="str">
        <f t="array" ref="BA31">_xlfn.IFNA((INDEX('DMR 001C TIN &amp; TP'!$A$3:$M$10005,MATCH(('Reg 85'!$AQ$6&amp;'Reg 85'!BA$10&amp;'Reg 85'!$B31),('DMR 001C TIN &amp; TP'!$E$3:$E$10005&amp;'DMR 001C TIN &amp; TP'!$B$3:$B$10005&amp;'DMR 001C TIN &amp; TP'!$A$3:$A$10005),0),MATCH('Reg 85'!$AG$11,'DMR 001C TIN &amp; TP'!$A$2:$M$2,0))),"")</f>
        <v/>
      </c>
      <c r="BB31" s="6" t="str">
        <f t="array" ref="BB31">_xlfn.IFNA((INDEX('DMR 001C TIN &amp; TP'!$A$3:$M$10005,MATCH(('Reg 85'!$AQ$6&amp;'Reg 85'!BB$10&amp;'Reg 85'!$B31),('DMR 001C TIN &amp; TP'!$E$3:$E$10005&amp;'DMR 001C TIN &amp; TP'!$B$3:$B$10005&amp;'DMR 001C TIN &amp; TP'!$A$3:$A$10005),0),MATCH('Reg 85'!$AG$11,'DMR 001C TIN &amp; TP'!$A$2:$M$2,0))),"")</f>
        <v/>
      </c>
      <c r="BC31" s="6" t="str">
        <f t="array" ref="BC31">_xlfn.IFNA((INDEX('DMR 001C TIN &amp; TP'!$A$3:$M$10005,MATCH(('Reg 85'!$AQ$6&amp;'Reg 85'!BC$10&amp;'Reg 85'!$B31),('DMR 001C TIN &amp; TP'!$E$3:$E$10005&amp;'DMR 001C TIN &amp; TP'!$B$3:$B$10005&amp;'DMR 001C TIN &amp; TP'!$A$3:$A$10005),0),MATCH('Reg 85'!$AG$11,'DMR 001C TIN &amp; TP'!$A$2:$M$2,0))),"")</f>
        <v/>
      </c>
      <c r="BD31" s="6" t="str">
        <f t="array" ref="BD31">_xlfn.IFNA((INDEX('DMR 001C TIN &amp; TP'!$A$3:$M$10005,MATCH(('Reg 85'!$AQ$6&amp;'Reg 85'!BD$10&amp;'Reg 85'!$B31),('DMR 001C TIN &amp; TP'!$E$3:$E$10005&amp;'DMR 001C TIN &amp; TP'!$B$3:$B$10005&amp;'DMR 001C TIN &amp; TP'!$A$3:$A$10005),0),MATCH('Reg 85'!$AG$11,'DMR 001C TIN &amp; TP'!$A$2:$M$2,0))),"")</f>
        <v/>
      </c>
      <c r="BE31" s="6" t="str">
        <f t="array" ref="BE31">_xlfn.IFNA((INDEX('DMR 001C TIN &amp; TP'!$A$3:$M$10005,MATCH(('Reg 85'!$AQ$6&amp;'Reg 85'!BE$10&amp;'Reg 85'!$B31),('DMR 001C TIN &amp; TP'!$E$3:$E$10005&amp;'DMR 001C TIN &amp; TP'!$B$3:$B$10005&amp;'DMR 001C TIN &amp; TP'!$A$3:$A$10005),0),MATCH('Reg 85'!$AG$11,'DMR 001C TIN &amp; TP'!$A$2:$M$2,0))),"")</f>
        <v/>
      </c>
      <c r="BF31" s="6" t="str">
        <f t="array" ref="BF31">_xlfn.IFNA((INDEX('DMR 001C TIN &amp; TP'!$A$3:$M$10005,MATCH(('Reg 85'!$AQ$6&amp;'Reg 85'!BF$10&amp;'Reg 85'!$B31),('DMR 001C TIN &amp; TP'!$E$3:$E$10005&amp;'DMR 001C TIN &amp; TP'!$B$3:$B$10005&amp;'DMR 001C TIN &amp; TP'!$A$3:$A$10005),0),MATCH('Reg 85'!$AG$11,'DMR 001C TIN &amp; TP'!$A$2:$M$2,0))),"")</f>
        <v/>
      </c>
    </row>
    <row r="32" spans="1:58">
      <c r="A32" s="3" t="str">
        <f t="shared" si="2"/>
        <v>Fri</v>
      </c>
      <c r="B32" s="96">
        <f t="shared" si="19"/>
        <v>43364</v>
      </c>
      <c r="C32" s="96">
        <f t="shared" si="3"/>
        <v>43373</v>
      </c>
      <c r="D32" s="96">
        <f t="shared" si="4"/>
        <v>43344</v>
      </c>
      <c r="E32" s="95">
        <f t="shared" si="5"/>
        <v>30</v>
      </c>
      <c r="F32" s="7">
        <f t="array" ref="F32">_xlfn.IFNA(INDEX('DMR Flows-Effluent'!$A$3:$F$9999,MATCH(($F$10&amp;$B32),('DMR Flows-Effluent'!$B$3:$B$9999&amp;'DMR Flows-Effluent'!$A$3:$A$9999),0),MATCH($F$8,'DMR Flows-Effluent'!$A$2:$F$2,0)),"")</f>
        <v>42.522399999999998</v>
      </c>
      <c r="G32" s="7">
        <f t="array" ref="G32">_xlfn.IFNA(INDEX('DMR Flows-Effluent'!$A$3:$F$9999,MATCH(($G$10&amp;$B32),('DMR Flows-Effluent'!$B$3:$B$9999&amp;'DMR Flows-Effluent'!$A$3:$A$9999),0),MATCH($F$8,'DMR Flows-Effluent'!$A$2:$F$2,0)),"")</f>
        <v>74.035600000000002</v>
      </c>
      <c r="H32" s="7">
        <f t="shared" si="6"/>
        <v>116.55799999999999</v>
      </c>
      <c r="I32" s="45" t="str">
        <f t="shared" si="7"/>
        <v/>
      </c>
      <c r="J32" s="6" t="str">
        <f t="array" ref="J32">_xlfn.IFNA((INDEX('DMR 001C TIN &amp; TP'!$A$3:$M$10005,MATCH(('Reg 85'!$I$6:$Q$6&amp;'Reg 85'!$I$10:$K$10&amp;'Reg 85'!$B32),('DMR 001C TIN &amp; TP'!$E$3:$E$10005&amp;'DMR 001C TIN &amp; TP'!$B$3:$B$10005&amp;'DMR 001C TIN &amp; TP'!$A$3:$A$10005),0),MATCH('Reg 85'!$J$11,'DMR 001C TIN &amp; TP'!$A$2:$M$2,0))),"")</f>
        <v/>
      </c>
      <c r="K32" s="6" t="str">
        <f t="array" ref="K32">_xlfn.IFNA((INDEX('DMR 001C TIN &amp; TP'!$A$3:$M$10005,MATCH(('Reg 85'!$I$6:$Q$6&amp;'Reg 85'!$I$10:$K$10&amp;'Reg 85'!$B32),('DMR 001C TIN &amp; TP'!$E$3:$E$10005&amp;'DMR 001C TIN &amp; TP'!$B$3:$B$10005&amp;'DMR 001C TIN &amp; TP'!$A$3:$A$10005),0),MATCH('Reg 85'!$K$11,'DMR 001C TIN &amp; TP'!$A$2:$M$2,0))),"")</f>
        <v/>
      </c>
      <c r="L32" s="53" t="str">
        <f t="shared" si="21"/>
        <v/>
      </c>
      <c r="M32" s="5" t="str">
        <f t="shared" si="8"/>
        <v/>
      </c>
      <c r="N32" s="6" t="str">
        <f t="array" ref="N32">_xlfn.IFNA((INDEX('DMR 001C TIN &amp; TP'!$A$3:$M$10005,MATCH(('Reg 85'!$I$6:$Q$6&amp;'Reg 85'!$M$10&amp;'Reg 85'!$B32),('DMR 001C TIN &amp; TP'!$E$3:$E$10005&amp;'DMR 001C TIN &amp; TP'!$B$3:$B$10005&amp;'DMR 001C TIN &amp; TP'!$A$3:$A$10005),0),MATCH('Reg 85'!$N$11,'DMR 001C TIN &amp; TP'!$A$2:$M$2,0))),"")</f>
        <v/>
      </c>
      <c r="O32" s="6" t="str">
        <f t="array" ref="O32">_xlfn.IFNA((INDEX('DMR 001C TIN &amp; TP'!$A$3:$M$10005,MATCH(('Reg 85'!$I$6:$Q$6&amp;'Reg 85'!$M$10&amp;'Reg 85'!$B32),('DMR 001C TIN &amp; TP'!$E$3:$E$10005&amp;'DMR 001C TIN &amp; TP'!$B$3:$B$10005&amp;'DMR 001C TIN &amp; TP'!$A$3:$A$10005),0),MATCH('Reg 85'!$O$11,'DMR 001C TIN &amp; TP'!$A$2:$M$2,0))),"")</f>
        <v/>
      </c>
      <c r="P32" s="53" t="str">
        <f t="shared" si="9"/>
        <v/>
      </c>
      <c r="Q32" s="73" t="str">
        <f t="array" ref="Q32">IFERROR(((L32*$F32)+(P32*$G32))/($H32),"")</f>
        <v/>
      </c>
      <c r="R32" s="6" t="str">
        <f t="array" ref="R32">_xlfn.IFNA((INDEX('DMR 001C TIN &amp; TP'!$A$3:$M$10005,MATCH(('Reg 85'!$I$6:$Q$6&amp;'Reg 85'!R$10&amp;'Reg 85'!$B32),('DMR 001C TIN &amp; TP'!$E$3:$E$10005&amp;'DMR 001C TIN &amp; TP'!$B$3:$B$10005&amp;'DMR 001C TIN &amp; TP'!$A$3:$A$10005),0),MATCH('Reg 85'!$O$11,'DMR 001C TIN &amp; TP'!$A$2:$M$2,0))),"")</f>
        <v/>
      </c>
      <c r="S32" s="6" t="str">
        <f t="array" ref="S32">_xlfn.IFNA((INDEX('DMR 001C TIN &amp; TP'!$A$3:$M$10005,MATCH(('Reg 85'!$I$6:$Q$6&amp;'Reg 85'!S$10&amp;'Reg 85'!$B32),('DMR 001C TIN &amp; TP'!$E$3:$E$10005&amp;'DMR 001C TIN &amp; TP'!$B$3:$B$10005&amp;'DMR 001C TIN &amp; TP'!$A$3:$A$10005),0),MATCH('Reg 85'!$O$11,'DMR 001C TIN &amp; TP'!$A$2:$M$2,0))),"")</f>
        <v/>
      </c>
      <c r="T32" s="6" t="str">
        <f t="array" ref="T32">_xlfn.IFNA((INDEX('DMR 001C TIN &amp; TP'!$A$3:$M$10005,MATCH(('Reg 85'!$I$6:$Q$6&amp;'Reg 85'!T$10&amp;'Reg 85'!$B32),('DMR 001C TIN &amp; TP'!$E$3:$E$10005&amp;'DMR 001C TIN &amp; TP'!$B$3:$B$10005&amp;'DMR 001C TIN &amp; TP'!$A$3:$A$10005),0),MATCH('Reg 85'!$O$11,'DMR 001C TIN &amp; TP'!$A$2:$M$2,0))),"")</f>
        <v/>
      </c>
      <c r="U32" s="6" t="str">
        <f t="array" ref="U32">_xlfn.IFNA((INDEX('DMR 001C TIN &amp; TP'!$A$3:$M$10005,MATCH(('Reg 85'!$I$6:$Q$6&amp;'Reg 85'!U$10&amp;'Reg 85'!$B32),('DMR 001C TIN &amp; TP'!$E$3:$E$10005&amp;'DMR 001C TIN &amp; TP'!$B$3:$B$10005&amp;'DMR 001C TIN &amp; TP'!$A$3:$A$10005),0),MATCH('Reg 85'!$O$11,'DMR 001C TIN &amp; TP'!$A$2:$M$2,0))),"")</f>
        <v/>
      </c>
      <c r="V32" s="6" t="str">
        <f t="array" ref="V32">_xlfn.IFNA((INDEX('DMR 001C TIN &amp; TP'!$A$3:$M$10005,MATCH(('Reg 85'!$I$6:$Q$6&amp;'Reg 85'!V$10&amp;'Reg 85'!$B32),('DMR 001C TIN &amp; TP'!$E$3:$E$10005&amp;'DMR 001C TIN &amp; TP'!$B$3:$B$10005&amp;'DMR 001C TIN &amp; TP'!$A$3:$A$10005),0),MATCH('Reg 85'!$O$11,'DMR 001C TIN &amp; TP'!$A$2:$M$2,0))),"")</f>
        <v/>
      </c>
      <c r="W32" s="6" t="str">
        <f t="array" ref="W32">_xlfn.IFNA((INDEX('DMR 001C TIN &amp; TP'!$A$3:$M$10005,MATCH(('Reg 85'!$I$6:$Q$6&amp;'Reg 85'!W$10&amp;'Reg 85'!$B32),('DMR 001C TIN &amp; TP'!$E$3:$E$10005&amp;'DMR 001C TIN &amp; TP'!$B$3:$B$10005&amp;'DMR 001C TIN &amp; TP'!$A$3:$A$10005),0),MATCH('Reg 85'!$O$11,'DMR 001C TIN &amp; TP'!$A$2:$M$2,0))),"")</f>
        <v/>
      </c>
      <c r="X32" s="5" t="str">
        <f t="shared" si="10"/>
        <v/>
      </c>
      <c r="Y32" s="6" t="str">
        <f t="array" ref="Y32">_xlfn.IFNA((INDEX('DMR 001C TIN &amp; TP'!$A$3:$M$10005,MATCH(('Reg 85'!$X$6&amp;'Reg 85'!$X$10&amp;'Reg 85'!$B32),('DMR 001C TIN &amp; TP'!$E$3:$E$10005&amp;'DMR 001C TIN &amp; TP'!$B$3:$B$10005&amp;'DMR 001C TIN &amp; TP'!$A$3:$A$10005),0),MATCH('Reg 85'!$Y$11,'DMR 001C TIN &amp; TP'!$A$2:$M$2,0))),"")</f>
        <v/>
      </c>
      <c r="Z32" s="6" t="str">
        <f t="array" ref="Z32">_xlfn.IFNA((INDEX('DMR 001C TIN &amp; TP'!$A$3:$M$10005,MATCH(('Reg 85'!$X$6&amp;'Reg 85'!$X$10&amp;'Reg 85'!$B32),('DMR 001C TIN &amp; TP'!$E$3:$E$10005&amp;'DMR 001C TIN &amp; TP'!$B$3:$B$10005&amp;'DMR 001C TIN &amp; TP'!$A$3:$A$10005),0),MATCH('Reg 85'!$Z$11,'DMR 001C TIN &amp; TP'!$A$2:$M$2,0))),"")</f>
        <v/>
      </c>
      <c r="AA32" s="53" t="str">
        <f t="shared" si="11"/>
        <v/>
      </c>
      <c r="AB32" s="5" t="str">
        <f t="shared" si="12"/>
        <v/>
      </c>
      <c r="AC32" s="6" t="str">
        <f t="array" ref="AC32">_xlfn.IFNA((INDEX('DMR 001C TIN &amp; TP'!$A$3:$M$10005,MATCH(('Reg 85'!$X$6&amp;'Reg 85'!$AB$10&amp;'Reg 85'!$B32),('DMR 001C TIN &amp; TP'!$E$3:$E$10005&amp;'DMR 001C TIN &amp; TP'!$B$3:$B$10005&amp;'DMR 001C TIN &amp; TP'!$A$3:$A$10005),0),MATCH('Reg 85'!$AC$11,'DMR 001C TIN &amp; TP'!$A$2:$M$2,0))),"")</f>
        <v/>
      </c>
      <c r="AD32" s="6" t="str">
        <f t="array" ref="AD32">_xlfn.IFNA((INDEX('DMR 001C TIN &amp; TP'!$A$3:$M$10005,MATCH(('Reg 85'!$X$6&amp;'Reg 85'!$AB$10&amp;'Reg 85'!$B32),('DMR 001C TIN &amp; TP'!$E$3:$E$10005&amp;'DMR 001C TIN &amp; TP'!$B$3:$B$10005&amp;'DMR 001C TIN &amp; TP'!$A$3:$A$10005),0),MATCH('Reg 85'!$AD$11,'DMR 001C TIN &amp; TP'!$A$2:$M$2,0))),"")</f>
        <v/>
      </c>
      <c r="AE32" s="53" t="str">
        <f t="shared" si="13"/>
        <v/>
      </c>
      <c r="AF32" s="7" t="str">
        <f t="shared" si="14"/>
        <v/>
      </c>
      <c r="AG32" s="6" t="str">
        <f t="array" ref="AG32">_xlfn.IFNA((INDEX('DMR 001C TIN &amp; TP'!$A$3:$M$10005,MATCH(('Reg 85'!$X$6&amp;'Reg 85'!AG$10&amp;'Reg 85'!$B32),('DMR 001C TIN &amp; TP'!$E$3:$E$10005&amp;'DMR 001C TIN &amp; TP'!$B$3:$B$10005&amp;'DMR 001C TIN &amp; TP'!$A$3:$A$10005),0),MATCH('Reg 85'!$AG$11,'DMR 001C TIN &amp; TP'!$A$2:$M$2,0))),"")</f>
        <v/>
      </c>
      <c r="AH32" s="6" t="str">
        <f t="array" ref="AH32">_xlfn.IFNA((INDEX('DMR 001C TIN &amp; TP'!$A$3:$M$10005,MATCH(('Reg 85'!$X$6&amp;'Reg 85'!AH$10&amp;'Reg 85'!$B32),('DMR 001C TIN &amp; TP'!$E$3:$E$10005&amp;'DMR 001C TIN &amp; TP'!$B$3:$B$10005&amp;'DMR 001C TIN &amp; TP'!$A$3:$A$10005),0),MATCH('Reg 85'!$AG$11,'DMR 001C TIN &amp; TP'!$A$2:$M$2,0))),"")</f>
        <v/>
      </c>
      <c r="AI32" s="6" t="str">
        <f t="array" ref="AI32">_xlfn.IFNA((INDEX('DMR 001C TIN &amp; TP'!$A$3:$M$10005,MATCH(('Reg 85'!$X$6&amp;'Reg 85'!AI$10&amp;'Reg 85'!$B32),('DMR 001C TIN &amp; TP'!$E$3:$E$10005&amp;'DMR 001C TIN &amp; TP'!$B$3:$B$10005&amp;'DMR 001C TIN &amp; TP'!$A$3:$A$10005),0),MATCH('Reg 85'!$AG$11,'DMR 001C TIN &amp; TP'!$A$2:$M$2,0))),"")</f>
        <v/>
      </c>
      <c r="AJ32" s="6" t="str">
        <f t="array" ref="AJ32">_xlfn.IFNA((INDEX('DMR 001C TIN &amp; TP'!$A$3:$M$10005,MATCH(('Reg 85'!$X$6&amp;'Reg 85'!AJ$10&amp;'Reg 85'!$B32),('DMR 001C TIN &amp; TP'!$E$3:$E$10005&amp;'DMR 001C TIN &amp; TP'!$B$3:$B$10005&amp;'DMR 001C TIN &amp; TP'!$A$3:$A$10005),0),MATCH('Reg 85'!$AG$11,'DMR 001C TIN &amp; TP'!$A$2:$M$2,0))),"")</f>
        <v/>
      </c>
      <c r="AK32" s="6" t="str">
        <f t="array" ref="AK32">_xlfn.IFNA((INDEX('DMR 001C TIN &amp; TP'!$A$3:$M$10005,MATCH(('Reg 85'!$X$6&amp;'Reg 85'!AK$10&amp;'Reg 85'!$B32),('DMR 001C TIN &amp; TP'!$E$3:$E$10005&amp;'DMR 001C TIN &amp; TP'!$B$3:$B$10005&amp;'DMR 001C TIN &amp; TP'!$A$3:$A$10005),0),MATCH('Reg 85'!$AG$11,'DMR 001C TIN &amp; TP'!$A$2:$M$2,0))),"")</f>
        <v/>
      </c>
      <c r="AL32" s="6" t="str">
        <f t="array" ref="AL32">_xlfn.IFNA((INDEX('DMR 001C TIN &amp; TP'!$A$3:$M$10005,MATCH(('Reg 85'!$X$6&amp;'Reg 85'!AL$10&amp;'Reg 85'!$B32),('DMR 001C TIN &amp; TP'!$E$3:$E$10005&amp;'DMR 001C TIN &amp; TP'!$B$3:$B$10005&amp;'DMR 001C TIN &amp; TP'!$A$3:$A$10005),0),MATCH('Reg 85'!$AG$11,'DMR 001C TIN &amp; TP'!$A$2:$M$2,0))),"")</f>
        <v/>
      </c>
      <c r="AM32" s="76"/>
      <c r="AN32" s="6"/>
      <c r="AO32" s="54" t="str">
        <f t="shared" si="0"/>
        <v/>
      </c>
      <c r="AP32" s="77" t="str">
        <f t="shared" si="38"/>
        <v/>
      </c>
      <c r="AQ32" s="47"/>
      <c r="AR32" s="6" t="str">
        <f t="array" ref="AR32">_xlfn.IFNA((INDEX('DMR 001C TIN &amp; TP'!$A$3:$M$10005,MATCH(('Reg 85'!$AQ$6&amp;'Reg 85'!$AQ$10&amp;'Reg 85'!$B32),('DMR 001C TIN &amp; TP'!$E$3:$E$10005&amp;'DMR 001C TIN &amp; TP'!$B$3:$B$10005&amp;'DMR 001C TIN &amp; TP'!$A$3:$A$10005),0),MATCH('Reg 85'!$AR$11,'DMR 001C TIN &amp; TP'!$A$2:$M$2,0))),"")</f>
        <v/>
      </c>
      <c r="AS32" s="6" t="str">
        <f t="array" ref="AS32">_xlfn.IFNA((INDEX('DMR 001C TIN &amp; TP'!$A$3:$M$10005,MATCH(('Reg 85'!$AQ$6&amp;'Reg 85'!$AQ$10&amp;'Reg 85'!$B32),('DMR 001C TIN &amp; TP'!$E$3:$E$10005&amp;'DMR 001C TIN &amp; TP'!$B$3:$B$10005&amp;'DMR 001C TIN &amp; TP'!$A$3:$A$10005),0),MATCH('Reg 85'!$AS$11,'DMR 001C TIN &amp; TP'!$A$2:$M$2,0))),"")</f>
        <v/>
      </c>
      <c r="AT32" s="53" t="str">
        <f t="shared" si="15"/>
        <v/>
      </c>
      <c r="AV32" s="6" t="str">
        <f t="array" ref="AV32">_xlfn.IFNA((INDEX('DMR 001C TIN &amp; TP'!$A$3:$M$10005,MATCH(('Reg 85'!$AQ$6&amp;'Reg 85'!$AU$10&amp;'Reg 85'!$B32),('DMR 001C TIN &amp; TP'!$E$3:$E$10005&amp;'DMR 001C TIN &amp; TP'!$B$3:$B$10005&amp;'DMR 001C TIN &amp; TP'!$A$3:$A$10005),0),MATCH('Reg 85'!$AV$11,'DMR 001C TIN &amp; TP'!$A$2:$M$2,0))),"")</f>
        <v/>
      </c>
      <c r="AW32" s="6" t="str">
        <f t="array" ref="AW32">_xlfn.IFNA((INDEX('DMR 001C TIN &amp; TP'!$A$3:$M$10005,MATCH(('Reg 85'!$AQ$6&amp;'Reg 85'!$AU$10&amp;'Reg 85'!$B32),('DMR 001C TIN &amp; TP'!$E$3:$E$10005&amp;'DMR 001C TIN &amp; TP'!$B$3:$B$10005&amp;'DMR 001C TIN &amp; TP'!$A$3:$A$10005),0),MATCH('Reg 85'!$AW$11,'DMR 001C TIN &amp; TP'!$A$2:$M$2,0))),"")</f>
        <v/>
      </c>
      <c r="AX32" s="53" t="str">
        <f t="shared" si="16"/>
        <v/>
      </c>
      <c r="AY32" s="55" t="str">
        <f t="shared" si="17"/>
        <v/>
      </c>
      <c r="AZ32" s="77" t="str">
        <f t="shared" si="37"/>
        <v/>
      </c>
      <c r="BA32" s="6" t="str">
        <f t="array" ref="BA32">_xlfn.IFNA((INDEX('DMR 001C TIN &amp; TP'!$A$3:$M$10005,MATCH(('Reg 85'!$AQ$6&amp;'Reg 85'!BA$10&amp;'Reg 85'!$B32),('DMR 001C TIN &amp; TP'!$E$3:$E$10005&amp;'DMR 001C TIN &amp; TP'!$B$3:$B$10005&amp;'DMR 001C TIN &amp; TP'!$A$3:$A$10005),0),MATCH('Reg 85'!$AG$11,'DMR 001C TIN &amp; TP'!$A$2:$M$2,0))),"")</f>
        <v/>
      </c>
      <c r="BB32" s="6" t="str">
        <f t="array" ref="BB32">_xlfn.IFNA((INDEX('DMR 001C TIN &amp; TP'!$A$3:$M$10005,MATCH(('Reg 85'!$AQ$6&amp;'Reg 85'!BB$10&amp;'Reg 85'!$B32),('DMR 001C TIN &amp; TP'!$E$3:$E$10005&amp;'DMR 001C TIN &amp; TP'!$B$3:$B$10005&amp;'DMR 001C TIN &amp; TP'!$A$3:$A$10005),0),MATCH('Reg 85'!$AG$11,'DMR 001C TIN &amp; TP'!$A$2:$M$2,0))),"")</f>
        <v/>
      </c>
      <c r="BC32" s="6" t="str">
        <f t="array" ref="BC32">_xlfn.IFNA((INDEX('DMR 001C TIN &amp; TP'!$A$3:$M$10005,MATCH(('Reg 85'!$AQ$6&amp;'Reg 85'!BC$10&amp;'Reg 85'!$B32),('DMR 001C TIN &amp; TP'!$E$3:$E$10005&amp;'DMR 001C TIN &amp; TP'!$B$3:$B$10005&amp;'DMR 001C TIN &amp; TP'!$A$3:$A$10005),0),MATCH('Reg 85'!$AG$11,'DMR 001C TIN &amp; TP'!$A$2:$M$2,0))),"")</f>
        <v/>
      </c>
      <c r="BD32" s="6" t="str">
        <f t="array" ref="BD32">_xlfn.IFNA((INDEX('DMR 001C TIN &amp; TP'!$A$3:$M$10005,MATCH(('Reg 85'!$AQ$6&amp;'Reg 85'!BD$10&amp;'Reg 85'!$B32),('DMR 001C TIN &amp; TP'!$E$3:$E$10005&amp;'DMR 001C TIN &amp; TP'!$B$3:$B$10005&amp;'DMR 001C TIN &amp; TP'!$A$3:$A$10005),0),MATCH('Reg 85'!$AG$11,'DMR 001C TIN &amp; TP'!$A$2:$M$2,0))),"")</f>
        <v/>
      </c>
      <c r="BE32" s="6" t="str">
        <f t="array" ref="BE32">_xlfn.IFNA((INDEX('DMR 001C TIN &amp; TP'!$A$3:$M$10005,MATCH(('Reg 85'!$AQ$6&amp;'Reg 85'!BE$10&amp;'Reg 85'!$B32),('DMR 001C TIN &amp; TP'!$E$3:$E$10005&amp;'DMR 001C TIN &amp; TP'!$B$3:$B$10005&amp;'DMR 001C TIN &amp; TP'!$A$3:$A$10005),0),MATCH('Reg 85'!$AG$11,'DMR 001C TIN &amp; TP'!$A$2:$M$2,0))),"")</f>
        <v/>
      </c>
      <c r="BF32" s="6" t="str">
        <f t="array" ref="BF32">_xlfn.IFNA((INDEX('DMR 001C TIN &amp; TP'!$A$3:$M$10005,MATCH(('Reg 85'!$AQ$6&amp;'Reg 85'!BF$10&amp;'Reg 85'!$B32),('DMR 001C TIN &amp; TP'!$E$3:$E$10005&amp;'DMR 001C TIN &amp; TP'!$B$3:$B$10005&amp;'DMR 001C TIN &amp; TP'!$A$3:$A$10005),0),MATCH('Reg 85'!$AG$11,'DMR 001C TIN &amp; TP'!$A$2:$M$2,0))),"")</f>
        <v/>
      </c>
    </row>
    <row r="33" spans="1:59">
      <c r="A33" s="3" t="str">
        <f t="shared" si="2"/>
        <v>Sat</v>
      </c>
      <c r="B33" s="96">
        <f t="shared" si="19"/>
        <v>43365</v>
      </c>
      <c r="C33" s="96">
        <f t="shared" si="3"/>
        <v>43373</v>
      </c>
      <c r="D33" s="96">
        <f t="shared" si="4"/>
        <v>43344</v>
      </c>
      <c r="E33" s="95">
        <f t="shared" si="5"/>
        <v>30</v>
      </c>
      <c r="F33" s="7">
        <f t="array" ref="F33">_xlfn.IFNA(INDEX('DMR Flows-Effluent'!$A$3:$F$9999,MATCH(($F$10&amp;$B33),('DMR Flows-Effluent'!$B$3:$B$9999&amp;'DMR Flows-Effluent'!$A$3:$A$9999),0),MATCH($F$8,'DMR Flows-Effluent'!$A$2:$F$2,0)),"")</f>
        <v>48.0229</v>
      </c>
      <c r="G33" s="7">
        <f t="array" ref="G33">_xlfn.IFNA(INDEX('DMR Flows-Effluent'!$A$3:$F$9999,MATCH(($G$10&amp;$B33),('DMR Flows-Effluent'!$B$3:$B$9999&amp;'DMR Flows-Effluent'!$A$3:$A$9999),0),MATCH($F$8,'DMR Flows-Effluent'!$A$2:$F$2,0)),"")</f>
        <v>66.950900000000004</v>
      </c>
      <c r="H33" s="7">
        <f t="shared" si="6"/>
        <v>114.97380000000001</v>
      </c>
      <c r="I33" s="45" t="str">
        <f t="shared" si="7"/>
        <v/>
      </c>
      <c r="J33" s="6" t="str">
        <f t="array" ref="J33">_xlfn.IFNA((INDEX('DMR 001C TIN &amp; TP'!$A$3:$M$10005,MATCH(('Reg 85'!$I$6:$Q$6&amp;'Reg 85'!$I$10:$K$10&amp;'Reg 85'!$B33),('DMR 001C TIN &amp; TP'!$E$3:$E$10005&amp;'DMR 001C TIN &amp; TP'!$B$3:$B$10005&amp;'DMR 001C TIN &amp; TP'!$A$3:$A$10005),0),MATCH('Reg 85'!$J$11,'DMR 001C TIN &amp; TP'!$A$2:$M$2,0))),"")</f>
        <v/>
      </c>
      <c r="K33" s="6" t="str">
        <f t="array" ref="K33">_xlfn.IFNA((INDEX('DMR 001C TIN &amp; TP'!$A$3:$M$10005,MATCH(('Reg 85'!$I$6:$Q$6&amp;'Reg 85'!$I$10:$K$10&amp;'Reg 85'!$B33),('DMR 001C TIN &amp; TP'!$E$3:$E$10005&amp;'DMR 001C TIN &amp; TP'!$B$3:$B$10005&amp;'DMR 001C TIN &amp; TP'!$A$3:$A$10005),0),MATCH('Reg 85'!$K$11,'DMR 001C TIN &amp; TP'!$A$2:$M$2,0))),"")</f>
        <v/>
      </c>
      <c r="L33" s="53" t="str">
        <f t="shared" si="21"/>
        <v/>
      </c>
      <c r="M33" s="5" t="str">
        <f t="shared" si="8"/>
        <v/>
      </c>
      <c r="N33" s="6" t="str">
        <f t="array" ref="N33">_xlfn.IFNA((INDEX('DMR 001C TIN &amp; TP'!$A$3:$M$10005,MATCH(('Reg 85'!$I$6:$Q$6&amp;'Reg 85'!$M$10&amp;'Reg 85'!$B33),('DMR 001C TIN &amp; TP'!$E$3:$E$10005&amp;'DMR 001C TIN &amp; TP'!$B$3:$B$10005&amp;'DMR 001C TIN &amp; TP'!$A$3:$A$10005),0),MATCH('Reg 85'!$N$11,'DMR 001C TIN &amp; TP'!$A$2:$M$2,0))),"")</f>
        <v/>
      </c>
      <c r="O33" s="6" t="str">
        <f t="array" ref="O33">_xlfn.IFNA((INDEX('DMR 001C TIN &amp; TP'!$A$3:$M$10005,MATCH(('Reg 85'!$I$6:$Q$6&amp;'Reg 85'!$M$10&amp;'Reg 85'!$B33),('DMR 001C TIN &amp; TP'!$E$3:$E$10005&amp;'DMR 001C TIN &amp; TP'!$B$3:$B$10005&amp;'DMR 001C TIN &amp; TP'!$A$3:$A$10005),0),MATCH('Reg 85'!$O$11,'DMR 001C TIN &amp; TP'!$A$2:$M$2,0))),"")</f>
        <v/>
      </c>
      <c r="P33" s="53" t="str">
        <f t="shared" si="9"/>
        <v/>
      </c>
      <c r="Q33" s="73" t="str">
        <f t="array" ref="Q33">IFERROR(((L33*$F33)+(P33*$G33))/($H33),"")</f>
        <v/>
      </c>
      <c r="R33" s="6" t="str">
        <f t="array" ref="R33">_xlfn.IFNA((INDEX('DMR 001C TIN &amp; TP'!$A$3:$M$10005,MATCH(('Reg 85'!$I$6:$Q$6&amp;'Reg 85'!R$10&amp;'Reg 85'!$B33),('DMR 001C TIN &amp; TP'!$E$3:$E$10005&amp;'DMR 001C TIN &amp; TP'!$B$3:$B$10005&amp;'DMR 001C TIN &amp; TP'!$A$3:$A$10005),0),MATCH('Reg 85'!$O$11,'DMR 001C TIN &amp; TP'!$A$2:$M$2,0))),"")</f>
        <v/>
      </c>
      <c r="S33" s="6" t="str">
        <f t="array" ref="S33">_xlfn.IFNA((INDEX('DMR 001C TIN &amp; TP'!$A$3:$M$10005,MATCH(('Reg 85'!$I$6:$Q$6&amp;'Reg 85'!S$10&amp;'Reg 85'!$B33),('DMR 001C TIN &amp; TP'!$E$3:$E$10005&amp;'DMR 001C TIN &amp; TP'!$B$3:$B$10005&amp;'DMR 001C TIN &amp; TP'!$A$3:$A$10005),0),MATCH('Reg 85'!$O$11,'DMR 001C TIN &amp; TP'!$A$2:$M$2,0))),"")</f>
        <v/>
      </c>
      <c r="T33" s="6" t="str">
        <f t="array" ref="T33">_xlfn.IFNA((INDEX('DMR 001C TIN &amp; TP'!$A$3:$M$10005,MATCH(('Reg 85'!$I$6:$Q$6&amp;'Reg 85'!T$10&amp;'Reg 85'!$B33),('DMR 001C TIN &amp; TP'!$E$3:$E$10005&amp;'DMR 001C TIN &amp; TP'!$B$3:$B$10005&amp;'DMR 001C TIN &amp; TP'!$A$3:$A$10005),0),MATCH('Reg 85'!$O$11,'DMR 001C TIN &amp; TP'!$A$2:$M$2,0))),"")</f>
        <v/>
      </c>
      <c r="U33" s="6" t="str">
        <f t="array" ref="U33">_xlfn.IFNA((INDEX('DMR 001C TIN &amp; TP'!$A$3:$M$10005,MATCH(('Reg 85'!$I$6:$Q$6&amp;'Reg 85'!U$10&amp;'Reg 85'!$B33),('DMR 001C TIN &amp; TP'!$E$3:$E$10005&amp;'DMR 001C TIN &amp; TP'!$B$3:$B$10005&amp;'DMR 001C TIN &amp; TP'!$A$3:$A$10005),0),MATCH('Reg 85'!$O$11,'DMR 001C TIN &amp; TP'!$A$2:$M$2,0))),"")</f>
        <v/>
      </c>
      <c r="V33" s="6" t="str">
        <f t="array" ref="V33">_xlfn.IFNA((INDEX('DMR 001C TIN &amp; TP'!$A$3:$M$10005,MATCH(('Reg 85'!$I$6:$Q$6&amp;'Reg 85'!V$10&amp;'Reg 85'!$B33),('DMR 001C TIN &amp; TP'!$E$3:$E$10005&amp;'DMR 001C TIN &amp; TP'!$B$3:$B$10005&amp;'DMR 001C TIN &amp; TP'!$A$3:$A$10005),0),MATCH('Reg 85'!$O$11,'DMR 001C TIN &amp; TP'!$A$2:$M$2,0))),"")</f>
        <v/>
      </c>
      <c r="W33" s="6" t="str">
        <f t="array" ref="W33">_xlfn.IFNA((INDEX('DMR 001C TIN &amp; TP'!$A$3:$M$10005,MATCH(('Reg 85'!$I$6:$Q$6&amp;'Reg 85'!W$10&amp;'Reg 85'!$B33),('DMR 001C TIN &amp; TP'!$E$3:$E$10005&amp;'DMR 001C TIN &amp; TP'!$B$3:$B$10005&amp;'DMR 001C TIN &amp; TP'!$A$3:$A$10005),0),MATCH('Reg 85'!$O$11,'DMR 001C TIN &amp; TP'!$A$2:$M$2,0))),"")</f>
        <v/>
      </c>
      <c r="X33" s="5" t="str">
        <f t="shared" si="10"/>
        <v/>
      </c>
      <c r="Y33" s="6" t="str">
        <f t="array" ref="Y33">_xlfn.IFNA((INDEX('DMR 001C TIN &amp; TP'!$A$3:$M$10005,MATCH(('Reg 85'!$X$6&amp;'Reg 85'!$X$10&amp;'Reg 85'!$B33),('DMR 001C TIN &amp; TP'!$E$3:$E$10005&amp;'DMR 001C TIN &amp; TP'!$B$3:$B$10005&amp;'DMR 001C TIN &amp; TP'!$A$3:$A$10005),0),MATCH('Reg 85'!$Y$11,'DMR 001C TIN &amp; TP'!$A$2:$M$2,0))),"")</f>
        <v/>
      </c>
      <c r="Z33" s="6" t="str">
        <f t="array" ref="Z33">_xlfn.IFNA((INDEX('DMR 001C TIN &amp; TP'!$A$3:$M$10005,MATCH(('Reg 85'!$X$6&amp;'Reg 85'!$X$10&amp;'Reg 85'!$B33),('DMR 001C TIN &amp; TP'!$E$3:$E$10005&amp;'DMR 001C TIN &amp; TP'!$B$3:$B$10005&amp;'DMR 001C TIN &amp; TP'!$A$3:$A$10005),0),MATCH('Reg 85'!$Z$11,'DMR 001C TIN &amp; TP'!$A$2:$M$2,0))),"")</f>
        <v/>
      </c>
      <c r="AA33" s="53" t="str">
        <f t="shared" si="11"/>
        <v/>
      </c>
      <c r="AB33" s="5" t="str">
        <f t="shared" si="12"/>
        <v/>
      </c>
      <c r="AC33" s="6" t="str">
        <f t="array" ref="AC33">_xlfn.IFNA((INDEX('DMR 001C TIN &amp; TP'!$A$3:$M$10005,MATCH(('Reg 85'!$X$6&amp;'Reg 85'!$AB$10&amp;'Reg 85'!$B33),('DMR 001C TIN &amp; TP'!$E$3:$E$10005&amp;'DMR 001C TIN &amp; TP'!$B$3:$B$10005&amp;'DMR 001C TIN &amp; TP'!$A$3:$A$10005),0),MATCH('Reg 85'!$AC$11,'DMR 001C TIN &amp; TP'!$A$2:$M$2,0))),"")</f>
        <v/>
      </c>
      <c r="AD33" s="6" t="str">
        <f t="array" ref="AD33">_xlfn.IFNA((INDEX('DMR 001C TIN &amp; TP'!$A$3:$M$10005,MATCH(('Reg 85'!$X$6&amp;'Reg 85'!$AB$10&amp;'Reg 85'!$B33),('DMR 001C TIN &amp; TP'!$E$3:$E$10005&amp;'DMR 001C TIN &amp; TP'!$B$3:$B$10005&amp;'DMR 001C TIN &amp; TP'!$A$3:$A$10005),0),MATCH('Reg 85'!$AD$11,'DMR 001C TIN &amp; TP'!$A$2:$M$2,0))),"")</f>
        <v/>
      </c>
      <c r="AE33" s="53" t="str">
        <f t="shared" si="13"/>
        <v/>
      </c>
      <c r="AF33" s="7" t="str">
        <f t="shared" si="14"/>
        <v/>
      </c>
      <c r="AG33" s="6" t="str">
        <f t="array" ref="AG33">_xlfn.IFNA((INDEX('DMR 001C TIN &amp; TP'!$A$3:$M$10005,MATCH(('Reg 85'!$X$6&amp;'Reg 85'!AG$10&amp;'Reg 85'!$B33),('DMR 001C TIN &amp; TP'!$E$3:$E$10005&amp;'DMR 001C TIN &amp; TP'!$B$3:$B$10005&amp;'DMR 001C TIN &amp; TP'!$A$3:$A$10005),0),MATCH('Reg 85'!$AG$11,'DMR 001C TIN &amp; TP'!$A$2:$M$2,0))),"")</f>
        <v/>
      </c>
      <c r="AH33" s="6" t="str">
        <f t="array" ref="AH33">_xlfn.IFNA((INDEX('DMR 001C TIN &amp; TP'!$A$3:$M$10005,MATCH(('Reg 85'!$X$6&amp;'Reg 85'!AH$10&amp;'Reg 85'!$B33),('DMR 001C TIN &amp; TP'!$E$3:$E$10005&amp;'DMR 001C TIN &amp; TP'!$B$3:$B$10005&amp;'DMR 001C TIN &amp; TP'!$A$3:$A$10005),0),MATCH('Reg 85'!$AG$11,'DMR 001C TIN &amp; TP'!$A$2:$M$2,0))),"")</f>
        <v/>
      </c>
      <c r="AI33" s="6" t="str">
        <f t="array" ref="AI33">_xlfn.IFNA((INDEX('DMR 001C TIN &amp; TP'!$A$3:$M$10005,MATCH(('Reg 85'!$X$6&amp;'Reg 85'!AI$10&amp;'Reg 85'!$B33),('DMR 001C TIN &amp; TP'!$E$3:$E$10005&amp;'DMR 001C TIN &amp; TP'!$B$3:$B$10005&amp;'DMR 001C TIN &amp; TP'!$A$3:$A$10005),0),MATCH('Reg 85'!$AG$11,'DMR 001C TIN &amp; TP'!$A$2:$M$2,0))),"")</f>
        <v/>
      </c>
      <c r="AJ33" s="6" t="str">
        <f t="array" ref="AJ33">_xlfn.IFNA((INDEX('DMR 001C TIN &amp; TP'!$A$3:$M$10005,MATCH(('Reg 85'!$X$6&amp;'Reg 85'!AJ$10&amp;'Reg 85'!$B33),('DMR 001C TIN &amp; TP'!$E$3:$E$10005&amp;'DMR 001C TIN &amp; TP'!$B$3:$B$10005&amp;'DMR 001C TIN &amp; TP'!$A$3:$A$10005),0),MATCH('Reg 85'!$AG$11,'DMR 001C TIN &amp; TP'!$A$2:$M$2,0))),"")</f>
        <v/>
      </c>
      <c r="AK33" s="6" t="str">
        <f t="array" ref="AK33">_xlfn.IFNA((INDEX('DMR 001C TIN &amp; TP'!$A$3:$M$10005,MATCH(('Reg 85'!$X$6&amp;'Reg 85'!AK$10&amp;'Reg 85'!$B33),('DMR 001C TIN &amp; TP'!$E$3:$E$10005&amp;'DMR 001C TIN &amp; TP'!$B$3:$B$10005&amp;'DMR 001C TIN &amp; TP'!$A$3:$A$10005),0),MATCH('Reg 85'!$AG$11,'DMR 001C TIN &amp; TP'!$A$2:$M$2,0))),"")</f>
        <v/>
      </c>
      <c r="AL33" s="6" t="str">
        <f t="array" ref="AL33">_xlfn.IFNA((INDEX('DMR 001C TIN &amp; TP'!$A$3:$M$10005,MATCH(('Reg 85'!$X$6&amp;'Reg 85'!AL$10&amp;'Reg 85'!$B33),('DMR 001C TIN &amp; TP'!$E$3:$E$10005&amp;'DMR 001C TIN &amp; TP'!$B$3:$B$10005&amp;'DMR 001C TIN &amp; TP'!$A$3:$A$10005),0),MATCH('Reg 85'!$AG$11,'DMR 001C TIN &amp; TP'!$A$2:$M$2,0))),"")</f>
        <v/>
      </c>
      <c r="AM33" s="76"/>
      <c r="AN33" s="6"/>
      <c r="AO33" s="54" t="str">
        <f t="shared" si="0"/>
        <v/>
      </c>
      <c r="AP33" s="77" t="str">
        <f t="shared" si="38"/>
        <v/>
      </c>
      <c r="AQ33" s="47"/>
      <c r="AR33" s="6" t="str">
        <f t="array" ref="AR33">_xlfn.IFNA((INDEX('DMR 001C TIN &amp; TP'!$A$3:$M$10005,MATCH(('Reg 85'!$AQ$6&amp;'Reg 85'!$AQ$10&amp;'Reg 85'!$B33),('DMR 001C TIN &amp; TP'!$E$3:$E$10005&amp;'DMR 001C TIN &amp; TP'!$B$3:$B$10005&amp;'DMR 001C TIN &amp; TP'!$A$3:$A$10005),0),MATCH('Reg 85'!$AR$11,'DMR 001C TIN &amp; TP'!$A$2:$M$2,0))),"")</f>
        <v/>
      </c>
      <c r="AS33" s="6" t="str">
        <f t="array" ref="AS33">_xlfn.IFNA((INDEX('DMR 001C TIN &amp; TP'!$A$3:$M$10005,MATCH(('Reg 85'!$AQ$6&amp;'Reg 85'!$AQ$10&amp;'Reg 85'!$B33),('DMR 001C TIN &amp; TP'!$E$3:$E$10005&amp;'DMR 001C TIN &amp; TP'!$B$3:$B$10005&amp;'DMR 001C TIN &amp; TP'!$A$3:$A$10005),0),MATCH('Reg 85'!$AS$11,'DMR 001C TIN &amp; TP'!$A$2:$M$2,0))),"")</f>
        <v/>
      </c>
      <c r="AT33" s="53" t="str">
        <f t="shared" si="15"/>
        <v/>
      </c>
      <c r="AV33" s="6" t="str">
        <f t="array" ref="AV33">_xlfn.IFNA((INDEX('DMR 001C TIN &amp; TP'!$A$3:$M$10005,MATCH(('Reg 85'!$AQ$6&amp;'Reg 85'!$AU$10&amp;'Reg 85'!$B33),('DMR 001C TIN &amp; TP'!$E$3:$E$10005&amp;'DMR 001C TIN &amp; TP'!$B$3:$B$10005&amp;'DMR 001C TIN &amp; TP'!$A$3:$A$10005),0),MATCH('Reg 85'!$AV$11,'DMR 001C TIN &amp; TP'!$A$2:$M$2,0))),"")</f>
        <v/>
      </c>
      <c r="AW33" s="6" t="str">
        <f t="array" ref="AW33">_xlfn.IFNA((INDEX('DMR 001C TIN &amp; TP'!$A$3:$M$10005,MATCH(('Reg 85'!$AQ$6&amp;'Reg 85'!$AU$10&amp;'Reg 85'!$B33),('DMR 001C TIN &amp; TP'!$E$3:$E$10005&amp;'DMR 001C TIN &amp; TP'!$B$3:$B$10005&amp;'DMR 001C TIN &amp; TP'!$A$3:$A$10005),0),MATCH('Reg 85'!$AW$11,'DMR 001C TIN &amp; TP'!$A$2:$M$2,0))),"")</f>
        <v/>
      </c>
      <c r="AX33" s="53" t="str">
        <f t="shared" si="16"/>
        <v/>
      </c>
      <c r="AY33" s="55" t="str">
        <f t="shared" si="17"/>
        <v/>
      </c>
      <c r="AZ33" s="77" t="str">
        <f t="shared" si="37"/>
        <v/>
      </c>
      <c r="BA33" s="6" t="str">
        <f t="array" ref="BA33">_xlfn.IFNA((INDEX('DMR 001C TIN &amp; TP'!$A$3:$M$10005,MATCH(('Reg 85'!$AQ$6&amp;'Reg 85'!BA$10&amp;'Reg 85'!$B33),('DMR 001C TIN &amp; TP'!$E$3:$E$10005&amp;'DMR 001C TIN &amp; TP'!$B$3:$B$10005&amp;'DMR 001C TIN &amp; TP'!$A$3:$A$10005),0),MATCH('Reg 85'!$AG$11,'DMR 001C TIN &amp; TP'!$A$2:$M$2,0))),"")</f>
        <v/>
      </c>
      <c r="BB33" s="6" t="str">
        <f t="array" ref="BB33">_xlfn.IFNA((INDEX('DMR 001C TIN &amp; TP'!$A$3:$M$10005,MATCH(('Reg 85'!$AQ$6&amp;'Reg 85'!BB$10&amp;'Reg 85'!$B33),('DMR 001C TIN &amp; TP'!$E$3:$E$10005&amp;'DMR 001C TIN &amp; TP'!$B$3:$B$10005&amp;'DMR 001C TIN &amp; TP'!$A$3:$A$10005),0),MATCH('Reg 85'!$AG$11,'DMR 001C TIN &amp; TP'!$A$2:$M$2,0))),"")</f>
        <v/>
      </c>
      <c r="BC33" s="6" t="str">
        <f t="array" ref="BC33">_xlfn.IFNA((INDEX('DMR 001C TIN &amp; TP'!$A$3:$M$10005,MATCH(('Reg 85'!$AQ$6&amp;'Reg 85'!BC$10&amp;'Reg 85'!$B33),('DMR 001C TIN &amp; TP'!$E$3:$E$10005&amp;'DMR 001C TIN &amp; TP'!$B$3:$B$10005&amp;'DMR 001C TIN &amp; TP'!$A$3:$A$10005),0),MATCH('Reg 85'!$AG$11,'DMR 001C TIN &amp; TP'!$A$2:$M$2,0))),"")</f>
        <v/>
      </c>
      <c r="BD33" s="6" t="str">
        <f t="array" ref="BD33">_xlfn.IFNA((INDEX('DMR 001C TIN &amp; TP'!$A$3:$M$10005,MATCH(('Reg 85'!$AQ$6&amp;'Reg 85'!BD$10&amp;'Reg 85'!$B33),('DMR 001C TIN &amp; TP'!$E$3:$E$10005&amp;'DMR 001C TIN &amp; TP'!$B$3:$B$10005&amp;'DMR 001C TIN &amp; TP'!$A$3:$A$10005),0),MATCH('Reg 85'!$AG$11,'DMR 001C TIN &amp; TP'!$A$2:$M$2,0))),"")</f>
        <v/>
      </c>
      <c r="BE33" s="6" t="str">
        <f t="array" ref="BE33">_xlfn.IFNA((INDEX('DMR 001C TIN &amp; TP'!$A$3:$M$10005,MATCH(('Reg 85'!$AQ$6&amp;'Reg 85'!BE$10&amp;'Reg 85'!$B33),('DMR 001C TIN &amp; TP'!$E$3:$E$10005&amp;'DMR 001C TIN &amp; TP'!$B$3:$B$10005&amp;'DMR 001C TIN &amp; TP'!$A$3:$A$10005),0),MATCH('Reg 85'!$AG$11,'DMR 001C TIN &amp; TP'!$A$2:$M$2,0))),"")</f>
        <v/>
      </c>
      <c r="BF33" s="6" t="str">
        <f t="array" ref="BF33">_xlfn.IFNA((INDEX('DMR 001C TIN &amp; TP'!$A$3:$M$10005,MATCH(('Reg 85'!$AQ$6&amp;'Reg 85'!BF$10&amp;'Reg 85'!$B33),('DMR 001C TIN &amp; TP'!$E$3:$E$10005&amp;'DMR 001C TIN &amp; TP'!$B$3:$B$10005&amp;'DMR 001C TIN &amp; TP'!$A$3:$A$10005),0),MATCH('Reg 85'!$AG$11,'DMR 001C TIN &amp; TP'!$A$2:$M$2,0))),"")</f>
        <v/>
      </c>
    </row>
    <row r="34" spans="1:59">
      <c r="A34" s="3" t="str">
        <f t="shared" si="2"/>
        <v>Sun</v>
      </c>
      <c r="B34" s="96">
        <f t="shared" si="19"/>
        <v>43366</v>
      </c>
      <c r="C34" s="96">
        <f t="shared" si="3"/>
        <v>43373</v>
      </c>
      <c r="D34" s="96">
        <f t="shared" si="4"/>
        <v>43344</v>
      </c>
      <c r="E34" s="95">
        <f t="shared" si="5"/>
        <v>30</v>
      </c>
      <c r="F34" s="7">
        <f t="array" ref="F34">_xlfn.IFNA(INDEX('DMR Flows-Effluent'!$A$3:$F$9999,MATCH(($F$10&amp;$B34),('DMR Flows-Effluent'!$B$3:$B$9999&amp;'DMR Flows-Effluent'!$A$3:$A$9999),0),MATCH($F$8,'DMR Flows-Effluent'!$A$2:$F$2,0)),"")</f>
        <v>49.2136</v>
      </c>
      <c r="G34" s="7">
        <f t="array" ref="G34">_xlfn.IFNA(INDEX('DMR Flows-Effluent'!$A$3:$F$9999,MATCH(($G$10&amp;$B34),('DMR Flows-Effluent'!$B$3:$B$9999&amp;'DMR Flows-Effluent'!$A$3:$A$9999),0),MATCH($F$8,'DMR Flows-Effluent'!$A$2:$F$2,0)),"")</f>
        <v>68.608699999999999</v>
      </c>
      <c r="H34" s="7">
        <f t="shared" si="6"/>
        <v>117.8223</v>
      </c>
      <c r="I34" s="45" t="str">
        <f t="shared" si="7"/>
        <v/>
      </c>
      <c r="J34" s="6" t="str">
        <f t="array" ref="J34">_xlfn.IFNA((INDEX('DMR 001C TIN &amp; TP'!$A$3:$M$10005,MATCH(('Reg 85'!$I$6:$Q$6&amp;'Reg 85'!$I$10:$K$10&amp;'Reg 85'!$B34),('DMR 001C TIN &amp; TP'!$E$3:$E$10005&amp;'DMR 001C TIN &amp; TP'!$B$3:$B$10005&amp;'DMR 001C TIN &amp; TP'!$A$3:$A$10005),0),MATCH('Reg 85'!$J$11,'DMR 001C TIN &amp; TP'!$A$2:$M$2,0))),"")</f>
        <v/>
      </c>
      <c r="K34" s="6" t="str">
        <f t="array" ref="K34">_xlfn.IFNA((INDEX('DMR 001C TIN &amp; TP'!$A$3:$M$10005,MATCH(('Reg 85'!$I$6:$Q$6&amp;'Reg 85'!$I$10:$K$10&amp;'Reg 85'!$B34),('DMR 001C TIN &amp; TP'!$E$3:$E$10005&amp;'DMR 001C TIN &amp; TP'!$B$3:$B$10005&amp;'DMR 001C TIN &amp; TP'!$A$3:$A$10005),0),MATCH('Reg 85'!$K$11,'DMR 001C TIN &amp; TP'!$A$2:$M$2,0))),"")</f>
        <v/>
      </c>
      <c r="L34" s="53" t="str">
        <f t="shared" si="21"/>
        <v/>
      </c>
      <c r="M34" s="5" t="str">
        <f t="shared" si="8"/>
        <v/>
      </c>
      <c r="N34" s="6" t="str">
        <f t="array" ref="N34">_xlfn.IFNA((INDEX('DMR 001C TIN &amp; TP'!$A$3:$M$10005,MATCH(('Reg 85'!$I$6:$Q$6&amp;'Reg 85'!$M$10&amp;'Reg 85'!$B34),('DMR 001C TIN &amp; TP'!$E$3:$E$10005&amp;'DMR 001C TIN &amp; TP'!$B$3:$B$10005&amp;'DMR 001C TIN &amp; TP'!$A$3:$A$10005),0),MATCH('Reg 85'!$N$11,'DMR 001C TIN &amp; TP'!$A$2:$M$2,0))),"")</f>
        <v/>
      </c>
      <c r="O34" s="6" t="str">
        <f t="array" ref="O34">_xlfn.IFNA((INDEX('DMR 001C TIN &amp; TP'!$A$3:$M$10005,MATCH(('Reg 85'!$I$6:$Q$6&amp;'Reg 85'!$M$10&amp;'Reg 85'!$B34),('DMR 001C TIN &amp; TP'!$E$3:$E$10005&amp;'DMR 001C TIN &amp; TP'!$B$3:$B$10005&amp;'DMR 001C TIN &amp; TP'!$A$3:$A$10005),0),MATCH('Reg 85'!$O$11,'DMR 001C TIN &amp; TP'!$A$2:$M$2,0))),"")</f>
        <v/>
      </c>
      <c r="P34" s="53" t="str">
        <f t="shared" si="9"/>
        <v/>
      </c>
      <c r="Q34" s="73" t="str">
        <f t="array" ref="Q34">IFERROR(((L34*$F34)+(P34*$G34))/($H34),"")</f>
        <v/>
      </c>
      <c r="R34" s="6" t="str">
        <f t="array" ref="R34">_xlfn.IFNA((INDEX('DMR 001C TIN &amp; TP'!$A$3:$M$10005,MATCH(('Reg 85'!$I$6:$Q$6&amp;'Reg 85'!R$10&amp;'Reg 85'!$B34),('DMR 001C TIN &amp; TP'!$E$3:$E$10005&amp;'DMR 001C TIN &amp; TP'!$B$3:$B$10005&amp;'DMR 001C TIN &amp; TP'!$A$3:$A$10005),0),MATCH('Reg 85'!$O$11,'DMR 001C TIN &amp; TP'!$A$2:$M$2,0))),"")</f>
        <v/>
      </c>
      <c r="S34" s="6" t="str">
        <f t="array" ref="S34">_xlfn.IFNA((INDEX('DMR 001C TIN &amp; TP'!$A$3:$M$10005,MATCH(('Reg 85'!$I$6:$Q$6&amp;'Reg 85'!S$10&amp;'Reg 85'!$B34),('DMR 001C TIN &amp; TP'!$E$3:$E$10005&amp;'DMR 001C TIN &amp; TP'!$B$3:$B$10005&amp;'DMR 001C TIN &amp; TP'!$A$3:$A$10005),0),MATCH('Reg 85'!$O$11,'DMR 001C TIN &amp; TP'!$A$2:$M$2,0))),"")</f>
        <v/>
      </c>
      <c r="T34" s="6" t="str">
        <f t="array" ref="T34">_xlfn.IFNA((INDEX('DMR 001C TIN &amp; TP'!$A$3:$M$10005,MATCH(('Reg 85'!$I$6:$Q$6&amp;'Reg 85'!T$10&amp;'Reg 85'!$B34),('DMR 001C TIN &amp; TP'!$E$3:$E$10005&amp;'DMR 001C TIN &amp; TP'!$B$3:$B$10005&amp;'DMR 001C TIN &amp; TP'!$A$3:$A$10005),0),MATCH('Reg 85'!$O$11,'DMR 001C TIN &amp; TP'!$A$2:$M$2,0))),"")</f>
        <v/>
      </c>
      <c r="U34" s="6" t="str">
        <f t="array" ref="U34">_xlfn.IFNA((INDEX('DMR 001C TIN &amp; TP'!$A$3:$M$10005,MATCH(('Reg 85'!$I$6:$Q$6&amp;'Reg 85'!U$10&amp;'Reg 85'!$B34),('DMR 001C TIN &amp; TP'!$E$3:$E$10005&amp;'DMR 001C TIN &amp; TP'!$B$3:$B$10005&amp;'DMR 001C TIN &amp; TP'!$A$3:$A$10005),0),MATCH('Reg 85'!$O$11,'DMR 001C TIN &amp; TP'!$A$2:$M$2,0))),"")</f>
        <v/>
      </c>
      <c r="V34" s="6" t="str">
        <f t="array" ref="V34">_xlfn.IFNA((INDEX('DMR 001C TIN &amp; TP'!$A$3:$M$10005,MATCH(('Reg 85'!$I$6:$Q$6&amp;'Reg 85'!V$10&amp;'Reg 85'!$B34),('DMR 001C TIN &amp; TP'!$E$3:$E$10005&amp;'DMR 001C TIN &amp; TP'!$B$3:$B$10005&amp;'DMR 001C TIN &amp; TP'!$A$3:$A$10005),0),MATCH('Reg 85'!$O$11,'DMR 001C TIN &amp; TP'!$A$2:$M$2,0))),"")</f>
        <v/>
      </c>
      <c r="W34" s="6" t="str">
        <f t="array" ref="W34">_xlfn.IFNA((INDEX('DMR 001C TIN &amp; TP'!$A$3:$M$10005,MATCH(('Reg 85'!$I$6:$Q$6&amp;'Reg 85'!W$10&amp;'Reg 85'!$B34),('DMR 001C TIN &amp; TP'!$E$3:$E$10005&amp;'DMR 001C TIN &amp; TP'!$B$3:$B$10005&amp;'DMR 001C TIN &amp; TP'!$A$3:$A$10005),0),MATCH('Reg 85'!$O$11,'DMR 001C TIN &amp; TP'!$A$2:$M$2,0))),"")</f>
        <v/>
      </c>
      <c r="X34" s="5" t="str">
        <f t="shared" si="10"/>
        <v/>
      </c>
      <c r="Y34" s="6" t="str">
        <f t="array" ref="Y34">_xlfn.IFNA((INDEX('DMR 001C TIN &amp; TP'!$A$3:$M$10005,MATCH(('Reg 85'!$X$6&amp;'Reg 85'!$X$10&amp;'Reg 85'!$B34),('DMR 001C TIN &amp; TP'!$E$3:$E$10005&amp;'DMR 001C TIN &amp; TP'!$B$3:$B$10005&amp;'DMR 001C TIN &amp; TP'!$A$3:$A$10005),0),MATCH('Reg 85'!$Y$11,'DMR 001C TIN &amp; TP'!$A$2:$M$2,0))),"")</f>
        <v/>
      </c>
      <c r="Z34" s="6" t="str">
        <f t="array" ref="Z34">_xlfn.IFNA((INDEX('DMR 001C TIN &amp; TP'!$A$3:$M$10005,MATCH(('Reg 85'!$X$6&amp;'Reg 85'!$X$10&amp;'Reg 85'!$B34),('DMR 001C TIN &amp; TP'!$E$3:$E$10005&amp;'DMR 001C TIN &amp; TP'!$B$3:$B$10005&amp;'DMR 001C TIN &amp; TP'!$A$3:$A$10005),0),MATCH('Reg 85'!$Z$11,'DMR 001C TIN &amp; TP'!$A$2:$M$2,0))),"")</f>
        <v/>
      </c>
      <c r="AA34" s="53" t="str">
        <f t="shared" si="11"/>
        <v/>
      </c>
      <c r="AB34" s="5" t="str">
        <f t="shared" si="12"/>
        <v/>
      </c>
      <c r="AC34" s="6" t="str">
        <f t="array" ref="AC34">_xlfn.IFNA((INDEX('DMR 001C TIN &amp; TP'!$A$3:$M$10005,MATCH(('Reg 85'!$X$6&amp;'Reg 85'!$AB$10&amp;'Reg 85'!$B34),('DMR 001C TIN &amp; TP'!$E$3:$E$10005&amp;'DMR 001C TIN &amp; TP'!$B$3:$B$10005&amp;'DMR 001C TIN &amp; TP'!$A$3:$A$10005),0),MATCH('Reg 85'!$AC$11,'DMR 001C TIN &amp; TP'!$A$2:$M$2,0))),"")</f>
        <v/>
      </c>
      <c r="AD34" s="6" t="str">
        <f t="array" ref="AD34">_xlfn.IFNA((INDEX('DMR 001C TIN &amp; TP'!$A$3:$M$10005,MATCH(('Reg 85'!$X$6&amp;'Reg 85'!$AB$10&amp;'Reg 85'!$B34),('DMR 001C TIN &amp; TP'!$E$3:$E$10005&amp;'DMR 001C TIN &amp; TP'!$B$3:$B$10005&amp;'DMR 001C TIN &amp; TP'!$A$3:$A$10005),0),MATCH('Reg 85'!$AD$11,'DMR 001C TIN &amp; TP'!$A$2:$M$2,0))),"")</f>
        <v/>
      </c>
      <c r="AE34" s="53" t="str">
        <f t="shared" si="13"/>
        <v/>
      </c>
      <c r="AF34" s="7" t="str">
        <f t="shared" si="14"/>
        <v/>
      </c>
      <c r="AG34" s="6" t="str">
        <f t="array" ref="AG34">_xlfn.IFNA((INDEX('DMR 001C TIN &amp; TP'!$A$3:$M$10005,MATCH(('Reg 85'!$X$6&amp;'Reg 85'!AG$10&amp;'Reg 85'!$B34),('DMR 001C TIN &amp; TP'!$E$3:$E$10005&amp;'DMR 001C TIN &amp; TP'!$B$3:$B$10005&amp;'DMR 001C TIN &amp; TP'!$A$3:$A$10005),0),MATCH('Reg 85'!$AG$11,'DMR 001C TIN &amp; TP'!$A$2:$M$2,0))),"")</f>
        <v/>
      </c>
      <c r="AH34" s="6" t="str">
        <f t="array" ref="AH34">_xlfn.IFNA((INDEX('DMR 001C TIN &amp; TP'!$A$3:$M$10005,MATCH(('Reg 85'!$X$6&amp;'Reg 85'!AH$10&amp;'Reg 85'!$B34),('DMR 001C TIN &amp; TP'!$E$3:$E$10005&amp;'DMR 001C TIN &amp; TP'!$B$3:$B$10005&amp;'DMR 001C TIN &amp; TP'!$A$3:$A$10005),0),MATCH('Reg 85'!$AG$11,'DMR 001C TIN &amp; TP'!$A$2:$M$2,0))),"")</f>
        <v/>
      </c>
      <c r="AI34" s="6" t="str">
        <f t="array" ref="AI34">_xlfn.IFNA((INDEX('DMR 001C TIN &amp; TP'!$A$3:$M$10005,MATCH(('Reg 85'!$X$6&amp;'Reg 85'!AI$10&amp;'Reg 85'!$B34),('DMR 001C TIN &amp; TP'!$E$3:$E$10005&amp;'DMR 001C TIN &amp; TP'!$B$3:$B$10005&amp;'DMR 001C TIN &amp; TP'!$A$3:$A$10005),0),MATCH('Reg 85'!$AG$11,'DMR 001C TIN &amp; TP'!$A$2:$M$2,0))),"")</f>
        <v/>
      </c>
      <c r="AJ34" s="6" t="str">
        <f t="array" ref="AJ34">_xlfn.IFNA((INDEX('DMR 001C TIN &amp; TP'!$A$3:$M$10005,MATCH(('Reg 85'!$X$6&amp;'Reg 85'!AJ$10&amp;'Reg 85'!$B34),('DMR 001C TIN &amp; TP'!$E$3:$E$10005&amp;'DMR 001C TIN &amp; TP'!$B$3:$B$10005&amp;'DMR 001C TIN &amp; TP'!$A$3:$A$10005),0),MATCH('Reg 85'!$AG$11,'DMR 001C TIN &amp; TP'!$A$2:$M$2,0))),"")</f>
        <v/>
      </c>
      <c r="AK34" s="6" t="str">
        <f t="array" ref="AK34">_xlfn.IFNA((INDEX('DMR 001C TIN &amp; TP'!$A$3:$M$10005,MATCH(('Reg 85'!$X$6&amp;'Reg 85'!AK$10&amp;'Reg 85'!$B34),('DMR 001C TIN &amp; TP'!$E$3:$E$10005&amp;'DMR 001C TIN &amp; TP'!$B$3:$B$10005&amp;'DMR 001C TIN &amp; TP'!$A$3:$A$10005),0),MATCH('Reg 85'!$AG$11,'DMR 001C TIN &amp; TP'!$A$2:$M$2,0))),"")</f>
        <v/>
      </c>
      <c r="AL34" s="6" t="str">
        <f t="array" ref="AL34">_xlfn.IFNA((INDEX('DMR 001C TIN &amp; TP'!$A$3:$M$10005,MATCH(('Reg 85'!$X$6&amp;'Reg 85'!AL$10&amp;'Reg 85'!$B34),('DMR 001C TIN &amp; TP'!$E$3:$E$10005&amp;'DMR 001C TIN &amp; TP'!$B$3:$B$10005&amp;'DMR 001C TIN &amp; TP'!$A$3:$A$10005),0),MATCH('Reg 85'!$AG$11,'DMR 001C TIN &amp; TP'!$A$2:$M$2,0))),"")</f>
        <v/>
      </c>
      <c r="AM34" s="76"/>
      <c r="AN34" s="6"/>
      <c r="AO34" s="54" t="str">
        <f t="shared" si="0"/>
        <v/>
      </c>
      <c r="AP34" s="77" t="str">
        <f t="shared" si="38"/>
        <v/>
      </c>
      <c r="AQ34" s="47"/>
      <c r="AR34" s="6" t="str">
        <f t="array" ref="AR34">_xlfn.IFNA((INDEX('DMR 001C TIN &amp; TP'!$A$3:$M$10005,MATCH(('Reg 85'!$AQ$6&amp;'Reg 85'!$AQ$10&amp;'Reg 85'!$B34),('DMR 001C TIN &amp; TP'!$E$3:$E$10005&amp;'DMR 001C TIN &amp; TP'!$B$3:$B$10005&amp;'DMR 001C TIN &amp; TP'!$A$3:$A$10005),0),MATCH('Reg 85'!$AR$11,'DMR 001C TIN &amp; TP'!$A$2:$M$2,0))),"")</f>
        <v>0.03</v>
      </c>
      <c r="AS34" s="6">
        <f t="array" ref="AS34">_xlfn.IFNA((INDEX('DMR 001C TIN &amp; TP'!$A$3:$M$10005,MATCH(('Reg 85'!$AQ$6&amp;'Reg 85'!$AQ$10&amp;'Reg 85'!$B34),('DMR 001C TIN &amp; TP'!$E$3:$E$10005&amp;'DMR 001C TIN &amp; TP'!$B$3:$B$10005&amp;'DMR 001C TIN &amp; TP'!$A$3:$A$10005),0),MATCH('Reg 85'!$AS$11,'DMR 001C TIN &amp; TP'!$A$2:$M$2,0))),"")</f>
        <v>0.3</v>
      </c>
      <c r="AT34" s="53">
        <f t="shared" si="15"/>
        <v>0.3</v>
      </c>
      <c r="AV34" s="6" t="str">
        <f t="array" ref="AV34">_xlfn.IFNA((INDEX('DMR 001C TIN &amp; TP'!$A$3:$M$10005,MATCH(('Reg 85'!$AQ$6&amp;'Reg 85'!$AU$10&amp;'Reg 85'!$B34),('DMR 001C TIN &amp; TP'!$E$3:$E$10005&amp;'DMR 001C TIN &amp; TP'!$B$3:$B$10005&amp;'DMR 001C TIN &amp; TP'!$A$3:$A$10005),0),MATCH('Reg 85'!$AV$11,'DMR 001C TIN &amp; TP'!$A$2:$M$2,0))),"")</f>
        <v>0.03</v>
      </c>
      <c r="AW34" s="6">
        <f t="array" ref="AW34">_xlfn.IFNA((INDEX('DMR 001C TIN &amp; TP'!$A$3:$M$10005,MATCH(('Reg 85'!$AQ$6&amp;'Reg 85'!$AU$10&amp;'Reg 85'!$B34),('DMR 001C TIN &amp; TP'!$E$3:$E$10005&amp;'DMR 001C TIN &amp; TP'!$B$3:$B$10005&amp;'DMR 001C TIN &amp; TP'!$A$3:$A$10005),0),MATCH('Reg 85'!$AW$11,'DMR 001C TIN &amp; TP'!$A$2:$M$2,0))),"")</f>
        <v>0.78</v>
      </c>
      <c r="AX34" s="53">
        <f t="shared" si="16"/>
        <v>0.78</v>
      </c>
      <c r="AY34" s="55">
        <f t="shared" si="17"/>
        <v>0.57950715611560799</v>
      </c>
      <c r="AZ34" s="77" t="str">
        <f t="shared" si="37"/>
        <v/>
      </c>
      <c r="BA34" s="6" t="str">
        <f t="array" ref="BA34">_xlfn.IFNA((INDEX('DMR 001C TIN &amp; TP'!$A$3:$M$10005,MATCH(('Reg 85'!$AQ$6&amp;'Reg 85'!BA$10&amp;'Reg 85'!$B34),('DMR 001C TIN &amp; TP'!$E$3:$E$10005&amp;'DMR 001C TIN &amp; TP'!$B$3:$B$10005&amp;'DMR 001C TIN &amp; TP'!$A$3:$A$10005),0),MATCH('Reg 85'!$AG$11,'DMR 001C TIN &amp; TP'!$A$2:$M$2,0))),"")</f>
        <v/>
      </c>
      <c r="BB34" s="6" t="str">
        <f t="array" ref="BB34">_xlfn.IFNA((INDEX('DMR 001C TIN &amp; TP'!$A$3:$M$10005,MATCH(('Reg 85'!$AQ$6&amp;'Reg 85'!BB$10&amp;'Reg 85'!$B34),('DMR 001C TIN &amp; TP'!$E$3:$E$10005&amp;'DMR 001C TIN &amp; TP'!$B$3:$B$10005&amp;'DMR 001C TIN &amp; TP'!$A$3:$A$10005),0),MATCH('Reg 85'!$AG$11,'DMR 001C TIN &amp; TP'!$A$2:$M$2,0))),"")</f>
        <v/>
      </c>
      <c r="BC34" s="6" t="str">
        <f t="array" ref="BC34">_xlfn.IFNA((INDEX('DMR 001C TIN &amp; TP'!$A$3:$M$10005,MATCH(('Reg 85'!$AQ$6&amp;'Reg 85'!BC$10&amp;'Reg 85'!$B34),('DMR 001C TIN &amp; TP'!$E$3:$E$10005&amp;'DMR 001C TIN &amp; TP'!$B$3:$B$10005&amp;'DMR 001C TIN &amp; TP'!$A$3:$A$10005),0),MATCH('Reg 85'!$AG$11,'DMR 001C TIN &amp; TP'!$A$2:$M$2,0))),"")</f>
        <v/>
      </c>
      <c r="BD34" s="6" t="str">
        <f t="array" ref="BD34">_xlfn.IFNA((INDEX('DMR 001C TIN &amp; TP'!$A$3:$M$10005,MATCH(('Reg 85'!$AQ$6&amp;'Reg 85'!BD$10&amp;'Reg 85'!$B34),('DMR 001C TIN &amp; TP'!$E$3:$E$10005&amp;'DMR 001C TIN &amp; TP'!$B$3:$B$10005&amp;'DMR 001C TIN &amp; TP'!$A$3:$A$10005),0),MATCH('Reg 85'!$AG$11,'DMR 001C TIN &amp; TP'!$A$2:$M$2,0))),"")</f>
        <v/>
      </c>
      <c r="BE34" s="6" t="str">
        <f t="array" ref="BE34">_xlfn.IFNA((INDEX('DMR 001C TIN &amp; TP'!$A$3:$M$10005,MATCH(('Reg 85'!$AQ$6&amp;'Reg 85'!BE$10&amp;'Reg 85'!$B34),('DMR 001C TIN &amp; TP'!$E$3:$E$10005&amp;'DMR 001C TIN &amp; TP'!$B$3:$B$10005&amp;'DMR 001C TIN &amp; TP'!$A$3:$A$10005),0),MATCH('Reg 85'!$AG$11,'DMR 001C TIN &amp; TP'!$A$2:$M$2,0))),"")</f>
        <v/>
      </c>
      <c r="BF34" s="6" t="str">
        <f t="array" ref="BF34">_xlfn.IFNA((INDEX('DMR 001C TIN &amp; TP'!$A$3:$M$10005,MATCH(('Reg 85'!$AQ$6&amp;'Reg 85'!BF$10&amp;'Reg 85'!$B34),('DMR 001C TIN &amp; TP'!$E$3:$E$10005&amp;'DMR 001C TIN &amp; TP'!$B$3:$B$10005&amp;'DMR 001C TIN &amp; TP'!$A$3:$A$10005),0),MATCH('Reg 85'!$AG$11,'DMR 001C TIN &amp; TP'!$A$2:$M$2,0))),"")</f>
        <v/>
      </c>
    </row>
    <row r="35" spans="1:59">
      <c r="A35" s="3" t="str">
        <f t="shared" si="2"/>
        <v>Mon</v>
      </c>
      <c r="B35" s="96">
        <f t="shared" si="19"/>
        <v>43367</v>
      </c>
      <c r="C35" s="96">
        <f t="shared" si="3"/>
        <v>43373</v>
      </c>
      <c r="D35" s="96">
        <f t="shared" si="4"/>
        <v>43344</v>
      </c>
      <c r="E35" s="95">
        <f t="shared" si="5"/>
        <v>30</v>
      </c>
      <c r="F35" s="7">
        <f t="array" ref="F35">_xlfn.IFNA(INDEX('DMR Flows-Effluent'!$A$3:$F$9999,MATCH(($F$10&amp;$B35),('DMR Flows-Effluent'!$B$3:$B$9999&amp;'DMR Flows-Effluent'!$A$3:$A$9999),0),MATCH($F$8,'DMR Flows-Effluent'!$A$2:$F$2,0)),"")</f>
        <v>43.970500000000001</v>
      </c>
      <c r="G35" s="7">
        <f t="array" ref="G35">_xlfn.IFNA(INDEX('DMR Flows-Effluent'!$A$3:$F$9999,MATCH(($G$10&amp;$B35),('DMR Flows-Effluent'!$B$3:$B$9999&amp;'DMR Flows-Effluent'!$A$3:$A$9999),0),MATCH($F$8,'DMR Flows-Effluent'!$A$2:$F$2,0)),"")</f>
        <v>70.502600000000001</v>
      </c>
      <c r="H35" s="7">
        <f t="shared" si="6"/>
        <v>114.4731</v>
      </c>
      <c r="I35" s="45" t="str">
        <f t="shared" si="7"/>
        <v/>
      </c>
      <c r="J35" s="6" t="str">
        <f t="array" ref="J35">_xlfn.IFNA((INDEX('DMR 001C TIN &amp; TP'!$A$3:$M$10005,MATCH(('Reg 85'!$I$6:$Q$6&amp;'Reg 85'!$I$10:$K$10&amp;'Reg 85'!$B35),('DMR 001C TIN &amp; TP'!$E$3:$E$10005&amp;'DMR 001C TIN &amp; TP'!$B$3:$B$10005&amp;'DMR 001C TIN &amp; TP'!$A$3:$A$10005),0),MATCH('Reg 85'!$J$11,'DMR 001C TIN &amp; TP'!$A$2:$M$2,0))),"")</f>
        <v>0.15</v>
      </c>
      <c r="K35" s="6">
        <f t="array" ref="K35">_xlfn.IFNA((INDEX('DMR 001C TIN &amp; TP'!$A$3:$M$10005,MATCH(('Reg 85'!$I$6:$Q$6&amp;'Reg 85'!$I$10:$K$10&amp;'Reg 85'!$B35),('DMR 001C TIN &amp; TP'!$E$3:$E$10005&amp;'DMR 001C TIN &amp; TP'!$B$3:$B$10005&amp;'DMR 001C TIN &amp; TP'!$A$3:$A$10005),0),MATCH('Reg 85'!$K$11,'DMR 001C TIN &amp; TP'!$A$2:$M$2,0))),"")</f>
        <v>0.28000000000000003</v>
      </c>
      <c r="L35" s="53">
        <f t="shared" si="21"/>
        <v>0.28000000000000003</v>
      </c>
      <c r="M35" s="5" t="str">
        <f t="shared" si="8"/>
        <v/>
      </c>
      <c r="N35" s="6" t="str">
        <f t="array" ref="N35">_xlfn.IFNA((INDEX('DMR 001C TIN &amp; TP'!$A$3:$M$10005,MATCH(('Reg 85'!$I$6:$Q$6&amp;'Reg 85'!$M$10&amp;'Reg 85'!$B35),('DMR 001C TIN &amp; TP'!$E$3:$E$10005&amp;'DMR 001C TIN &amp; TP'!$B$3:$B$10005&amp;'DMR 001C TIN &amp; TP'!$A$3:$A$10005),0),MATCH('Reg 85'!$N$11,'DMR 001C TIN &amp; TP'!$A$2:$M$2,0))),"")</f>
        <v>0.15</v>
      </c>
      <c r="O35" s="6">
        <f t="array" ref="O35">_xlfn.IFNA((INDEX('DMR 001C TIN &amp; TP'!$A$3:$M$10005,MATCH(('Reg 85'!$I$6:$Q$6&amp;'Reg 85'!$M$10&amp;'Reg 85'!$B35),('DMR 001C TIN &amp; TP'!$E$3:$E$10005&amp;'DMR 001C TIN &amp; TP'!$B$3:$B$10005&amp;'DMR 001C TIN &amp; TP'!$A$3:$A$10005),0),MATCH('Reg 85'!$O$11,'DMR 001C TIN &amp; TP'!$A$2:$M$2,0))),"")</f>
        <v>0.64</v>
      </c>
      <c r="P35" s="53">
        <f t="shared" si="9"/>
        <v>0.64</v>
      </c>
      <c r="Q35" s="73">
        <f t="array" ref="Q35">IFERROR(((L35*$F35)+(P35*$G35))/($H35),"")</f>
        <v>0.50171965291409071</v>
      </c>
      <c r="R35" s="6" t="str">
        <f t="array" ref="R35">_xlfn.IFNA((INDEX('DMR 001C TIN &amp; TP'!$A$3:$M$10005,MATCH(('Reg 85'!$I$6:$Q$6&amp;'Reg 85'!R$10&amp;'Reg 85'!$B35),('DMR 001C TIN &amp; TP'!$E$3:$E$10005&amp;'DMR 001C TIN &amp; TP'!$B$3:$B$10005&amp;'DMR 001C TIN &amp; TP'!$A$3:$A$10005),0),MATCH('Reg 85'!$O$11,'DMR 001C TIN &amp; TP'!$A$2:$M$2,0))),"")</f>
        <v/>
      </c>
      <c r="S35" s="6" t="str">
        <f t="array" ref="S35">_xlfn.IFNA((INDEX('DMR 001C TIN &amp; TP'!$A$3:$M$10005,MATCH(('Reg 85'!$I$6:$Q$6&amp;'Reg 85'!S$10&amp;'Reg 85'!$B35),('DMR 001C TIN &amp; TP'!$E$3:$E$10005&amp;'DMR 001C TIN &amp; TP'!$B$3:$B$10005&amp;'DMR 001C TIN &amp; TP'!$A$3:$A$10005),0),MATCH('Reg 85'!$O$11,'DMR 001C TIN &amp; TP'!$A$2:$M$2,0))),"")</f>
        <v/>
      </c>
      <c r="T35" s="6" t="str">
        <f t="array" ref="T35">_xlfn.IFNA((INDEX('DMR 001C TIN &amp; TP'!$A$3:$M$10005,MATCH(('Reg 85'!$I$6:$Q$6&amp;'Reg 85'!T$10&amp;'Reg 85'!$B35),('DMR 001C TIN &amp; TP'!$E$3:$E$10005&amp;'DMR 001C TIN &amp; TP'!$B$3:$B$10005&amp;'DMR 001C TIN &amp; TP'!$A$3:$A$10005),0),MATCH('Reg 85'!$O$11,'DMR 001C TIN &amp; TP'!$A$2:$M$2,0))),"")</f>
        <v/>
      </c>
      <c r="U35" s="6" t="str">
        <f t="array" ref="U35">_xlfn.IFNA((INDEX('DMR 001C TIN &amp; TP'!$A$3:$M$10005,MATCH(('Reg 85'!$I$6:$Q$6&amp;'Reg 85'!U$10&amp;'Reg 85'!$B35),('DMR 001C TIN &amp; TP'!$E$3:$E$10005&amp;'DMR 001C TIN &amp; TP'!$B$3:$B$10005&amp;'DMR 001C TIN &amp; TP'!$A$3:$A$10005),0),MATCH('Reg 85'!$O$11,'DMR 001C TIN &amp; TP'!$A$2:$M$2,0))),"")</f>
        <v/>
      </c>
      <c r="V35" s="6" t="str">
        <f t="array" ref="V35">_xlfn.IFNA((INDEX('DMR 001C TIN &amp; TP'!$A$3:$M$10005,MATCH(('Reg 85'!$I$6:$Q$6&amp;'Reg 85'!V$10&amp;'Reg 85'!$B35),('DMR 001C TIN &amp; TP'!$E$3:$E$10005&amp;'DMR 001C TIN &amp; TP'!$B$3:$B$10005&amp;'DMR 001C TIN &amp; TP'!$A$3:$A$10005),0),MATCH('Reg 85'!$O$11,'DMR 001C TIN &amp; TP'!$A$2:$M$2,0))),"")</f>
        <v/>
      </c>
      <c r="W35" s="6" t="str">
        <f t="array" ref="W35">_xlfn.IFNA((INDEX('DMR 001C TIN &amp; TP'!$A$3:$M$10005,MATCH(('Reg 85'!$I$6:$Q$6&amp;'Reg 85'!W$10&amp;'Reg 85'!$B35),('DMR 001C TIN &amp; TP'!$E$3:$E$10005&amp;'DMR 001C TIN &amp; TP'!$B$3:$B$10005&amp;'DMR 001C TIN &amp; TP'!$A$3:$A$10005),0),MATCH('Reg 85'!$O$11,'DMR 001C TIN &amp; TP'!$A$2:$M$2,0))),"")</f>
        <v/>
      </c>
      <c r="X35" s="5" t="str">
        <f t="shared" si="10"/>
        <v/>
      </c>
      <c r="Y35" s="6" t="str">
        <f t="array" ref="Y35">_xlfn.IFNA((INDEX('DMR 001C TIN &amp; TP'!$A$3:$M$10005,MATCH(('Reg 85'!$X$6&amp;'Reg 85'!$X$10&amp;'Reg 85'!$B35),('DMR 001C TIN &amp; TP'!$E$3:$E$10005&amp;'DMR 001C TIN &amp; TP'!$B$3:$B$10005&amp;'DMR 001C TIN &amp; TP'!$A$3:$A$10005),0),MATCH('Reg 85'!$Y$11,'DMR 001C TIN &amp; TP'!$A$2:$M$2,0))),"")</f>
        <v>0.06</v>
      </c>
      <c r="Z35" s="6">
        <f t="array" ref="Z35">_xlfn.IFNA((INDEX('DMR 001C TIN &amp; TP'!$A$3:$M$10005,MATCH(('Reg 85'!$X$6&amp;'Reg 85'!$X$10&amp;'Reg 85'!$B35),('DMR 001C TIN &amp; TP'!$E$3:$E$10005&amp;'DMR 001C TIN &amp; TP'!$B$3:$B$10005&amp;'DMR 001C TIN &amp; TP'!$A$3:$A$10005),0),MATCH('Reg 85'!$Z$11,'DMR 001C TIN &amp; TP'!$A$2:$M$2,0))),"")</f>
        <v>4.6900000000000004</v>
      </c>
      <c r="AA35" s="53">
        <f t="shared" si="11"/>
        <v>4.6900000000000004</v>
      </c>
      <c r="AB35" s="5" t="str">
        <f t="shared" si="12"/>
        <v/>
      </c>
      <c r="AC35" s="6" t="str">
        <f t="array" ref="AC35">_xlfn.IFNA((INDEX('DMR 001C TIN &amp; TP'!$A$3:$M$10005,MATCH(('Reg 85'!$X$6&amp;'Reg 85'!$AB$10&amp;'Reg 85'!$B35),('DMR 001C TIN &amp; TP'!$E$3:$E$10005&amp;'DMR 001C TIN &amp; TP'!$B$3:$B$10005&amp;'DMR 001C TIN &amp; TP'!$A$3:$A$10005),0),MATCH('Reg 85'!$AC$11,'DMR 001C TIN &amp; TP'!$A$2:$M$2,0))),"")</f>
        <v>0.06</v>
      </c>
      <c r="AD35" s="6">
        <f t="array" ref="AD35">_xlfn.IFNA((INDEX('DMR 001C TIN &amp; TP'!$A$3:$M$10005,MATCH(('Reg 85'!$X$6&amp;'Reg 85'!$AB$10&amp;'Reg 85'!$B35),('DMR 001C TIN &amp; TP'!$E$3:$E$10005&amp;'DMR 001C TIN &amp; TP'!$B$3:$B$10005&amp;'DMR 001C TIN &amp; TP'!$A$3:$A$10005),0),MATCH('Reg 85'!$AD$11,'DMR 001C TIN &amp; TP'!$A$2:$M$2,0))),"")</f>
        <v>5.01</v>
      </c>
      <c r="AE35" s="53">
        <f t="shared" si="13"/>
        <v>5.01</v>
      </c>
      <c r="AF35" s="7">
        <f t="shared" si="14"/>
        <v>4.8870841359236366</v>
      </c>
      <c r="AG35" s="6" t="str">
        <f t="array" ref="AG35">_xlfn.IFNA((INDEX('DMR 001C TIN &amp; TP'!$A$3:$M$10005,MATCH(('Reg 85'!$X$6&amp;'Reg 85'!AG$10&amp;'Reg 85'!$B35),('DMR 001C TIN &amp; TP'!$E$3:$E$10005&amp;'DMR 001C TIN &amp; TP'!$B$3:$B$10005&amp;'DMR 001C TIN &amp; TP'!$A$3:$A$10005),0),MATCH('Reg 85'!$AG$11,'DMR 001C TIN &amp; TP'!$A$2:$M$2,0))),"")</f>
        <v/>
      </c>
      <c r="AH35" s="6" t="str">
        <f t="array" ref="AH35">_xlfn.IFNA((INDEX('DMR 001C TIN &amp; TP'!$A$3:$M$10005,MATCH(('Reg 85'!$X$6&amp;'Reg 85'!AH$10&amp;'Reg 85'!$B35),('DMR 001C TIN &amp; TP'!$E$3:$E$10005&amp;'DMR 001C TIN &amp; TP'!$B$3:$B$10005&amp;'DMR 001C TIN &amp; TP'!$A$3:$A$10005),0),MATCH('Reg 85'!$AG$11,'DMR 001C TIN &amp; TP'!$A$2:$M$2,0))),"")</f>
        <v/>
      </c>
      <c r="AI35" s="6" t="str">
        <f t="array" ref="AI35">_xlfn.IFNA((INDEX('DMR 001C TIN &amp; TP'!$A$3:$M$10005,MATCH(('Reg 85'!$X$6&amp;'Reg 85'!AI$10&amp;'Reg 85'!$B35),('DMR 001C TIN &amp; TP'!$E$3:$E$10005&amp;'DMR 001C TIN &amp; TP'!$B$3:$B$10005&amp;'DMR 001C TIN &amp; TP'!$A$3:$A$10005),0),MATCH('Reg 85'!$AG$11,'DMR 001C TIN &amp; TP'!$A$2:$M$2,0))),"")</f>
        <v/>
      </c>
      <c r="AJ35" s="6" t="str">
        <f t="array" ref="AJ35">_xlfn.IFNA((INDEX('DMR 001C TIN &amp; TP'!$A$3:$M$10005,MATCH(('Reg 85'!$X$6&amp;'Reg 85'!AJ$10&amp;'Reg 85'!$B35),('DMR 001C TIN &amp; TP'!$E$3:$E$10005&amp;'DMR 001C TIN &amp; TP'!$B$3:$B$10005&amp;'DMR 001C TIN &amp; TP'!$A$3:$A$10005),0),MATCH('Reg 85'!$AG$11,'DMR 001C TIN &amp; TP'!$A$2:$M$2,0))),"")</f>
        <v/>
      </c>
      <c r="AK35" s="6" t="str">
        <f t="array" ref="AK35">_xlfn.IFNA((INDEX('DMR 001C TIN &amp; TP'!$A$3:$M$10005,MATCH(('Reg 85'!$X$6&amp;'Reg 85'!AK$10&amp;'Reg 85'!$B35),('DMR 001C TIN &amp; TP'!$E$3:$E$10005&amp;'DMR 001C TIN &amp; TP'!$B$3:$B$10005&amp;'DMR 001C TIN &amp; TP'!$A$3:$A$10005),0),MATCH('Reg 85'!$AG$11,'DMR 001C TIN &amp; TP'!$A$2:$M$2,0))),"")</f>
        <v/>
      </c>
      <c r="AL35" s="6" t="str">
        <f t="array" ref="AL35">_xlfn.IFNA((INDEX('DMR 001C TIN &amp; TP'!$A$3:$M$10005,MATCH(('Reg 85'!$X$6&amp;'Reg 85'!AL$10&amp;'Reg 85'!$B35),('DMR 001C TIN &amp; TP'!$E$3:$E$10005&amp;'DMR 001C TIN &amp; TP'!$B$3:$B$10005&amp;'DMR 001C TIN &amp; TP'!$A$3:$A$10005),0),MATCH('Reg 85'!$AG$11,'DMR 001C TIN &amp; TP'!$A$2:$M$2,0))),"")</f>
        <v/>
      </c>
      <c r="AM35" s="76"/>
      <c r="AN35" s="6"/>
      <c r="AO35" s="54">
        <f t="shared" si="0"/>
        <v>5.3888037888377269</v>
      </c>
      <c r="AP35" s="77" t="str">
        <f t="shared" si="38"/>
        <v/>
      </c>
      <c r="AQ35" s="47"/>
      <c r="AR35" s="6" t="str">
        <f t="array" ref="AR35">_xlfn.IFNA((INDEX('DMR 001C TIN &amp; TP'!$A$3:$M$10005,MATCH(('Reg 85'!$AQ$6&amp;'Reg 85'!$AQ$10&amp;'Reg 85'!$B35),('DMR 001C TIN &amp; TP'!$E$3:$E$10005&amp;'DMR 001C TIN &amp; TP'!$B$3:$B$10005&amp;'DMR 001C TIN &amp; TP'!$A$3:$A$10005),0),MATCH('Reg 85'!$AR$11,'DMR 001C TIN &amp; TP'!$A$2:$M$2,0))),"")</f>
        <v/>
      </c>
      <c r="AS35" s="6" t="str">
        <f t="array" ref="AS35">_xlfn.IFNA((INDEX('DMR 001C TIN &amp; TP'!$A$3:$M$10005,MATCH(('Reg 85'!$AQ$6&amp;'Reg 85'!$AQ$10&amp;'Reg 85'!$B35),('DMR 001C TIN &amp; TP'!$E$3:$E$10005&amp;'DMR 001C TIN &amp; TP'!$B$3:$B$10005&amp;'DMR 001C TIN &amp; TP'!$A$3:$A$10005),0),MATCH('Reg 85'!$AS$11,'DMR 001C TIN &amp; TP'!$A$2:$M$2,0))),"")</f>
        <v/>
      </c>
      <c r="AT35" s="53" t="str">
        <f t="shared" si="15"/>
        <v/>
      </c>
      <c r="AV35" s="6" t="str">
        <f t="array" ref="AV35">_xlfn.IFNA((INDEX('DMR 001C TIN &amp; TP'!$A$3:$M$10005,MATCH(('Reg 85'!$AQ$6&amp;'Reg 85'!$AU$10&amp;'Reg 85'!$B35),('DMR 001C TIN &amp; TP'!$E$3:$E$10005&amp;'DMR 001C TIN &amp; TP'!$B$3:$B$10005&amp;'DMR 001C TIN &amp; TP'!$A$3:$A$10005),0),MATCH('Reg 85'!$AV$11,'DMR 001C TIN &amp; TP'!$A$2:$M$2,0))),"")</f>
        <v/>
      </c>
      <c r="AW35" s="6" t="str">
        <f t="array" ref="AW35">_xlfn.IFNA((INDEX('DMR 001C TIN &amp; TP'!$A$3:$M$10005,MATCH(('Reg 85'!$AQ$6&amp;'Reg 85'!$AU$10&amp;'Reg 85'!$B35),('DMR 001C TIN &amp; TP'!$E$3:$E$10005&amp;'DMR 001C TIN &amp; TP'!$B$3:$B$10005&amp;'DMR 001C TIN &amp; TP'!$A$3:$A$10005),0),MATCH('Reg 85'!$AW$11,'DMR 001C TIN &amp; TP'!$A$2:$M$2,0))),"")</f>
        <v/>
      </c>
      <c r="AX35" s="53" t="str">
        <f t="shared" si="16"/>
        <v/>
      </c>
      <c r="AY35" s="55" t="str">
        <f t="shared" si="17"/>
        <v/>
      </c>
      <c r="AZ35" s="77" t="str">
        <f t="shared" si="37"/>
        <v/>
      </c>
      <c r="BA35" s="6" t="str">
        <f t="array" ref="BA35">_xlfn.IFNA((INDEX('DMR 001C TIN &amp; TP'!$A$3:$M$10005,MATCH(('Reg 85'!$AQ$6&amp;'Reg 85'!BA$10&amp;'Reg 85'!$B35),('DMR 001C TIN &amp; TP'!$E$3:$E$10005&amp;'DMR 001C TIN &amp; TP'!$B$3:$B$10005&amp;'DMR 001C TIN &amp; TP'!$A$3:$A$10005),0),MATCH('Reg 85'!$AG$11,'DMR 001C TIN &amp; TP'!$A$2:$M$2,0))),"")</f>
        <v/>
      </c>
      <c r="BB35" s="6" t="str">
        <f t="array" ref="BB35">_xlfn.IFNA((INDEX('DMR 001C TIN &amp; TP'!$A$3:$M$10005,MATCH(('Reg 85'!$AQ$6&amp;'Reg 85'!BB$10&amp;'Reg 85'!$B35),('DMR 001C TIN &amp; TP'!$E$3:$E$10005&amp;'DMR 001C TIN &amp; TP'!$B$3:$B$10005&amp;'DMR 001C TIN &amp; TP'!$A$3:$A$10005),0),MATCH('Reg 85'!$AG$11,'DMR 001C TIN &amp; TP'!$A$2:$M$2,0))),"")</f>
        <v/>
      </c>
      <c r="BC35" s="6" t="str">
        <f t="array" ref="BC35">_xlfn.IFNA((INDEX('DMR 001C TIN &amp; TP'!$A$3:$M$10005,MATCH(('Reg 85'!$AQ$6&amp;'Reg 85'!BC$10&amp;'Reg 85'!$B35),('DMR 001C TIN &amp; TP'!$E$3:$E$10005&amp;'DMR 001C TIN &amp; TP'!$B$3:$B$10005&amp;'DMR 001C TIN &amp; TP'!$A$3:$A$10005),0),MATCH('Reg 85'!$AG$11,'DMR 001C TIN &amp; TP'!$A$2:$M$2,0))),"")</f>
        <v/>
      </c>
      <c r="BD35" s="6" t="str">
        <f t="array" ref="BD35">_xlfn.IFNA((INDEX('DMR 001C TIN &amp; TP'!$A$3:$M$10005,MATCH(('Reg 85'!$AQ$6&amp;'Reg 85'!BD$10&amp;'Reg 85'!$B35),('DMR 001C TIN &amp; TP'!$E$3:$E$10005&amp;'DMR 001C TIN &amp; TP'!$B$3:$B$10005&amp;'DMR 001C TIN &amp; TP'!$A$3:$A$10005),0),MATCH('Reg 85'!$AG$11,'DMR 001C TIN &amp; TP'!$A$2:$M$2,0))),"")</f>
        <v/>
      </c>
      <c r="BE35" s="6" t="str">
        <f t="array" ref="BE35">_xlfn.IFNA((INDEX('DMR 001C TIN &amp; TP'!$A$3:$M$10005,MATCH(('Reg 85'!$AQ$6&amp;'Reg 85'!BE$10&amp;'Reg 85'!$B35),('DMR 001C TIN &amp; TP'!$E$3:$E$10005&amp;'DMR 001C TIN &amp; TP'!$B$3:$B$10005&amp;'DMR 001C TIN &amp; TP'!$A$3:$A$10005),0),MATCH('Reg 85'!$AG$11,'DMR 001C TIN &amp; TP'!$A$2:$M$2,0))),"")</f>
        <v/>
      </c>
      <c r="BF35" s="6" t="str">
        <f t="array" ref="BF35">_xlfn.IFNA((INDEX('DMR 001C TIN &amp; TP'!$A$3:$M$10005,MATCH(('Reg 85'!$AQ$6&amp;'Reg 85'!BF$10&amp;'Reg 85'!$B35),('DMR 001C TIN &amp; TP'!$E$3:$E$10005&amp;'DMR 001C TIN &amp; TP'!$B$3:$B$10005&amp;'DMR 001C TIN &amp; TP'!$A$3:$A$10005),0),MATCH('Reg 85'!$AG$11,'DMR 001C TIN &amp; TP'!$A$2:$M$2,0))),"")</f>
        <v/>
      </c>
    </row>
    <row r="36" spans="1:59">
      <c r="A36" s="3" t="str">
        <f t="shared" si="2"/>
        <v>Tue</v>
      </c>
      <c r="B36" s="96">
        <f t="shared" si="19"/>
        <v>43368</v>
      </c>
      <c r="C36" s="96">
        <f t="shared" si="3"/>
        <v>43373</v>
      </c>
      <c r="D36" s="96">
        <f t="shared" si="4"/>
        <v>43344</v>
      </c>
      <c r="E36" s="95">
        <f t="shared" si="5"/>
        <v>30</v>
      </c>
      <c r="F36" s="7">
        <f t="array" ref="F36">_xlfn.IFNA(INDEX('DMR Flows-Effluent'!$A$3:$F$9999,MATCH(($F$10&amp;$B36),('DMR Flows-Effluent'!$B$3:$B$9999&amp;'DMR Flows-Effluent'!$A$3:$A$9999),0),MATCH($F$8,'DMR Flows-Effluent'!$A$2:$F$2,0)),"")</f>
        <v>42.515700000000002</v>
      </c>
      <c r="G36" s="7">
        <f t="array" ref="G36">_xlfn.IFNA(INDEX('DMR Flows-Effluent'!$A$3:$F$9999,MATCH(($G$10&amp;$B36),('DMR Flows-Effluent'!$B$3:$B$9999&amp;'DMR Flows-Effluent'!$A$3:$A$9999),0),MATCH($F$8,'DMR Flows-Effluent'!$A$2:$F$2,0)),"")</f>
        <v>70.119399999999999</v>
      </c>
      <c r="H36" s="7">
        <f t="shared" si="6"/>
        <v>112.63509999999999</v>
      </c>
      <c r="I36" s="45" t="str">
        <f t="shared" si="7"/>
        <v/>
      </c>
      <c r="J36" s="6" t="str">
        <f t="array" ref="J36">_xlfn.IFNA((INDEX('DMR 001C TIN &amp; TP'!$A$3:$M$10005,MATCH(('Reg 85'!$I$6:$Q$6&amp;'Reg 85'!$I$10:$K$10&amp;'Reg 85'!$B36),('DMR 001C TIN &amp; TP'!$E$3:$E$10005&amp;'DMR 001C TIN &amp; TP'!$B$3:$B$10005&amp;'DMR 001C TIN &amp; TP'!$A$3:$A$10005),0),MATCH('Reg 85'!$J$11,'DMR 001C TIN &amp; TP'!$A$2:$M$2,0))),"")</f>
        <v>0.15</v>
      </c>
      <c r="K36" s="6">
        <f t="array" ref="K36">_xlfn.IFNA((INDEX('DMR 001C TIN &amp; TP'!$A$3:$M$10005,MATCH(('Reg 85'!$I$6:$Q$6&amp;'Reg 85'!$I$10:$K$10&amp;'Reg 85'!$B36),('DMR 001C TIN &amp; TP'!$E$3:$E$10005&amp;'DMR 001C TIN &amp; TP'!$B$3:$B$10005&amp;'DMR 001C TIN &amp; TP'!$A$3:$A$10005),0),MATCH('Reg 85'!$K$11,'DMR 001C TIN &amp; TP'!$A$2:$M$2,0))),"")</f>
        <v>0.22</v>
      </c>
      <c r="L36" s="53">
        <f t="shared" si="21"/>
        <v>0.22</v>
      </c>
      <c r="M36" s="5" t="str">
        <f t="shared" si="8"/>
        <v/>
      </c>
      <c r="N36" s="6" t="str">
        <f t="array" ref="N36">_xlfn.IFNA((INDEX('DMR 001C TIN &amp; TP'!$A$3:$M$10005,MATCH(('Reg 85'!$I$6:$Q$6&amp;'Reg 85'!$M$10&amp;'Reg 85'!$B36),('DMR 001C TIN &amp; TP'!$E$3:$E$10005&amp;'DMR 001C TIN &amp; TP'!$B$3:$B$10005&amp;'DMR 001C TIN &amp; TP'!$A$3:$A$10005),0),MATCH('Reg 85'!$N$11,'DMR 001C TIN &amp; TP'!$A$2:$M$2,0))),"")</f>
        <v>0.15</v>
      </c>
      <c r="O36" s="6">
        <f t="array" ref="O36">_xlfn.IFNA((INDEX('DMR 001C TIN &amp; TP'!$A$3:$M$10005,MATCH(('Reg 85'!$I$6:$Q$6&amp;'Reg 85'!$M$10&amp;'Reg 85'!$B36),('DMR 001C TIN &amp; TP'!$E$3:$E$10005&amp;'DMR 001C TIN &amp; TP'!$B$3:$B$10005&amp;'DMR 001C TIN &amp; TP'!$A$3:$A$10005),0),MATCH('Reg 85'!$O$11,'DMR 001C TIN &amp; TP'!$A$2:$M$2,0))),"")</f>
        <v>0.52</v>
      </c>
      <c r="P36" s="53">
        <f t="shared" si="9"/>
        <v>0.52</v>
      </c>
      <c r="Q36" s="73">
        <f t="array" ref="Q36">IFERROR(((L36*$F36)+(P36*$G36))/($H36),"")</f>
        <v>0.40676078771182345</v>
      </c>
      <c r="R36" s="6" t="str">
        <f t="array" ref="R36">_xlfn.IFNA((INDEX('DMR 001C TIN &amp; TP'!$A$3:$M$10005,MATCH(('Reg 85'!$I$6:$Q$6&amp;'Reg 85'!R$10&amp;'Reg 85'!$B36),('DMR 001C TIN &amp; TP'!$E$3:$E$10005&amp;'DMR 001C TIN &amp; TP'!$B$3:$B$10005&amp;'DMR 001C TIN &amp; TP'!$A$3:$A$10005),0),MATCH('Reg 85'!$O$11,'DMR 001C TIN &amp; TP'!$A$2:$M$2,0))),"")</f>
        <v/>
      </c>
      <c r="S36" s="6" t="str">
        <f t="array" ref="S36">_xlfn.IFNA((INDEX('DMR 001C TIN &amp; TP'!$A$3:$M$10005,MATCH(('Reg 85'!$I$6:$Q$6&amp;'Reg 85'!S$10&amp;'Reg 85'!$B36),('DMR 001C TIN &amp; TP'!$E$3:$E$10005&amp;'DMR 001C TIN &amp; TP'!$B$3:$B$10005&amp;'DMR 001C TIN &amp; TP'!$A$3:$A$10005),0),MATCH('Reg 85'!$O$11,'DMR 001C TIN &amp; TP'!$A$2:$M$2,0))),"")</f>
        <v/>
      </c>
      <c r="T36" s="6" t="str">
        <f t="array" ref="T36">_xlfn.IFNA((INDEX('DMR 001C TIN &amp; TP'!$A$3:$M$10005,MATCH(('Reg 85'!$I$6:$Q$6&amp;'Reg 85'!T$10&amp;'Reg 85'!$B36),('DMR 001C TIN &amp; TP'!$E$3:$E$10005&amp;'DMR 001C TIN &amp; TP'!$B$3:$B$10005&amp;'DMR 001C TIN &amp; TP'!$A$3:$A$10005),0),MATCH('Reg 85'!$O$11,'DMR 001C TIN &amp; TP'!$A$2:$M$2,0))),"")</f>
        <v/>
      </c>
      <c r="U36" s="6" t="str">
        <f t="array" ref="U36">_xlfn.IFNA((INDEX('DMR 001C TIN &amp; TP'!$A$3:$M$10005,MATCH(('Reg 85'!$I$6:$Q$6&amp;'Reg 85'!U$10&amp;'Reg 85'!$B36),('DMR 001C TIN &amp; TP'!$E$3:$E$10005&amp;'DMR 001C TIN &amp; TP'!$B$3:$B$10005&amp;'DMR 001C TIN &amp; TP'!$A$3:$A$10005),0),MATCH('Reg 85'!$O$11,'DMR 001C TIN &amp; TP'!$A$2:$M$2,0))),"")</f>
        <v/>
      </c>
      <c r="V36" s="6" t="str">
        <f t="array" ref="V36">_xlfn.IFNA((INDEX('DMR 001C TIN &amp; TP'!$A$3:$M$10005,MATCH(('Reg 85'!$I$6:$Q$6&amp;'Reg 85'!V$10&amp;'Reg 85'!$B36),('DMR 001C TIN &amp; TP'!$E$3:$E$10005&amp;'DMR 001C TIN &amp; TP'!$B$3:$B$10005&amp;'DMR 001C TIN &amp; TP'!$A$3:$A$10005),0),MATCH('Reg 85'!$O$11,'DMR 001C TIN &amp; TP'!$A$2:$M$2,0))),"")</f>
        <v/>
      </c>
      <c r="W36" s="6" t="str">
        <f t="array" ref="W36">_xlfn.IFNA((INDEX('DMR 001C TIN &amp; TP'!$A$3:$M$10005,MATCH(('Reg 85'!$I$6:$Q$6&amp;'Reg 85'!W$10&amp;'Reg 85'!$B36),('DMR 001C TIN &amp; TP'!$E$3:$E$10005&amp;'DMR 001C TIN &amp; TP'!$B$3:$B$10005&amp;'DMR 001C TIN &amp; TP'!$A$3:$A$10005),0),MATCH('Reg 85'!$O$11,'DMR 001C TIN &amp; TP'!$A$2:$M$2,0))),"")</f>
        <v/>
      </c>
      <c r="X36" s="5" t="str">
        <f t="shared" si="10"/>
        <v/>
      </c>
      <c r="Y36" s="6" t="str">
        <f t="array" ref="Y36">_xlfn.IFNA((INDEX('DMR 001C TIN &amp; TP'!$A$3:$M$10005,MATCH(('Reg 85'!$X$6&amp;'Reg 85'!$X$10&amp;'Reg 85'!$B36),('DMR 001C TIN &amp; TP'!$E$3:$E$10005&amp;'DMR 001C TIN &amp; TP'!$B$3:$B$10005&amp;'DMR 001C TIN &amp; TP'!$A$3:$A$10005),0),MATCH('Reg 85'!$Y$11,'DMR 001C TIN &amp; TP'!$A$2:$M$2,0))),"")</f>
        <v>0.06</v>
      </c>
      <c r="Z36" s="6">
        <f t="array" ref="Z36">_xlfn.IFNA((INDEX('DMR 001C TIN &amp; TP'!$A$3:$M$10005,MATCH(('Reg 85'!$X$6&amp;'Reg 85'!$X$10&amp;'Reg 85'!$B36),('DMR 001C TIN &amp; TP'!$E$3:$E$10005&amp;'DMR 001C TIN &amp; TP'!$B$3:$B$10005&amp;'DMR 001C TIN &amp; TP'!$A$3:$A$10005),0),MATCH('Reg 85'!$Z$11,'DMR 001C TIN &amp; TP'!$A$2:$M$2,0))),"")</f>
        <v>4.46</v>
      </c>
      <c r="AA36" s="53">
        <f t="shared" si="11"/>
        <v>4.46</v>
      </c>
      <c r="AB36" s="5" t="str">
        <f t="shared" si="12"/>
        <v/>
      </c>
      <c r="AC36" s="6" t="str">
        <f t="array" ref="AC36">_xlfn.IFNA((INDEX('DMR 001C TIN &amp; TP'!$A$3:$M$10005,MATCH(('Reg 85'!$X$6&amp;'Reg 85'!$AB$10&amp;'Reg 85'!$B36),('DMR 001C TIN &amp; TP'!$E$3:$E$10005&amp;'DMR 001C TIN &amp; TP'!$B$3:$B$10005&amp;'DMR 001C TIN &amp; TP'!$A$3:$A$10005),0),MATCH('Reg 85'!$AC$11,'DMR 001C TIN &amp; TP'!$A$2:$M$2,0))),"")</f>
        <v>0.06</v>
      </c>
      <c r="AD36" s="6">
        <f t="array" ref="AD36">_xlfn.IFNA((INDEX('DMR 001C TIN &amp; TP'!$A$3:$M$10005,MATCH(('Reg 85'!$X$6&amp;'Reg 85'!$AB$10&amp;'Reg 85'!$B36),('DMR 001C TIN &amp; TP'!$E$3:$E$10005&amp;'DMR 001C TIN &amp; TP'!$B$3:$B$10005&amp;'DMR 001C TIN &amp; TP'!$A$3:$A$10005),0),MATCH('Reg 85'!$AD$11,'DMR 001C TIN &amp; TP'!$A$2:$M$2,0))),"")</f>
        <v>5.32</v>
      </c>
      <c r="AE36" s="53">
        <f t="shared" si="13"/>
        <v>5.32</v>
      </c>
      <c r="AF36" s="7">
        <f t="shared" si="14"/>
        <v>4.9953809247738947</v>
      </c>
      <c r="AG36" s="6" t="str">
        <f t="array" ref="AG36">_xlfn.IFNA((INDEX('DMR 001C TIN &amp; TP'!$A$3:$M$10005,MATCH(('Reg 85'!$X$6&amp;'Reg 85'!AG$10&amp;'Reg 85'!$B36),('DMR 001C TIN &amp; TP'!$E$3:$E$10005&amp;'DMR 001C TIN &amp; TP'!$B$3:$B$10005&amp;'DMR 001C TIN &amp; TP'!$A$3:$A$10005),0),MATCH('Reg 85'!$AG$11,'DMR 001C TIN &amp; TP'!$A$2:$M$2,0))),"")</f>
        <v/>
      </c>
      <c r="AH36" s="6" t="str">
        <f t="array" ref="AH36">_xlfn.IFNA((INDEX('DMR 001C TIN &amp; TP'!$A$3:$M$10005,MATCH(('Reg 85'!$X$6&amp;'Reg 85'!AH$10&amp;'Reg 85'!$B36),('DMR 001C TIN &amp; TP'!$E$3:$E$10005&amp;'DMR 001C TIN &amp; TP'!$B$3:$B$10005&amp;'DMR 001C TIN &amp; TP'!$A$3:$A$10005),0),MATCH('Reg 85'!$AG$11,'DMR 001C TIN &amp; TP'!$A$2:$M$2,0))),"")</f>
        <v/>
      </c>
      <c r="AI36" s="6" t="str">
        <f t="array" ref="AI36">_xlfn.IFNA((INDEX('DMR 001C TIN &amp; TP'!$A$3:$M$10005,MATCH(('Reg 85'!$X$6&amp;'Reg 85'!AI$10&amp;'Reg 85'!$B36),('DMR 001C TIN &amp; TP'!$E$3:$E$10005&amp;'DMR 001C TIN &amp; TP'!$B$3:$B$10005&amp;'DMR 001C TIN &amp; TP'!$A$3:$A$10005),0),MATCH('Reg 85'!$AG$11,'DMR 001C TIN &amp; TP'!$A$2:$M$2,0))),"")</f>
        <v/>
      </c>
      <c r="AJ36" s="6" t="str">
        <f t="array" ref="AJ36">_xlfn.IFNA((INDEX('DMR 001C TIN &amp; TP'!$A$3:$M$10005,MATCH(('Reg 85'!$X$6&amp;'Reg 85'!AJ$10&amp;'Reg 85'!$B36),('DMR 001C TIN &amp; TP'!$E$3:$E$10005&amp;'DMR 001C TIN &amp; TP'!$B$3:$B$10005&amp;'DMR 001C TIN &amp; TP'!$A$3:$A$10005),0),MATCH('Reg 85'!$AG$11,'DMR 001C TIN &amp; TP'!$A$2:$M$2,0))),"")</f>
        <v/>
      </c>
      <c r="AK36" s="6" t="str">
        <f t="array" ref="AK36">_xlfn.IFNA((INDEX('DMR 001C TIN &amp; TP'!$A$3:$M$10005,MATCH(('Reg 85'!$X$6&amp;'Reg 85'!AK$10&amp;'Reg 85'!$B36),('DMR 001C TIN &amp; TP'!$E$3:$E$10005&amp;'DMR 001C TIN &amp; TP'!$B$3:$B$10005&amp;'DMR 001C TIN &amp; TP'!$A$3:$A$10005),0),MATCH('Reg 85'!$AG$11,'DMR 001C TIN &amp; TP'!$A$2:$M$2,0))),"")</f>
        <v/>
      </c>
      <c r="AL36" s="6" t="str">
        <f t="array" ref="AL36">_xlfn.IFNA((INDEX('DMR 001C TIN &amp; TP'!$A$3:$M$10005,MATCH(('Reg 85'!$X$6&amp;'Reg 85'!AL$10&amp;'Reg 85'!$B36),('DMR 001C TIN &amp; TP'!$E$3:$E$10005&amp;'DMR 001C TIN &amp; TP'!$B$3:$B$10005&amp;'DMR 001C TIN &amp; TP'!$A$3:$A$10005),0),MATCH('Reg 85'!$AG$11,'DMR 001C TIN &amp; TP'!$A$2:$M$2,0))),"")</f>
        <v/>
      </c>
      <c r="AM36" s="76"/>
      <c r="AN36" s="6"/>
      <c r="AO36" s="54">
        <f t="shared" si="0"/>
        <v>5.4021417124857178</v>
      </c>
      <c r="AP36" s="77" t="str">
        <f t="shared" si="38"/>
        <v/>
      </c>
      <c r="AQ36" s="47"/>
      <c r="AR36" s="6" t="str">
        <f t="array" ref="AR36">_xlfn.IFNA((INDEX('DMR 001C TIN &amp; TP'!$A$3:$M$10005,MATCH(('Reg 85'!$AQ$6&amp;'Reg 85'!$AQ$10&amp;'Reg 85'!$B36),('DMR 001C TIN &amp; TP'!$E$3:$E$10005&amp;'DMR 001C TIN &amp; TP'!$B$3:$B$10005&amp;'DMR 001C TIN &amp; TP'!$A$3:$A$10005),0),MATCH('Reg 85'!$AR$11,'DMR 001C TIN &amp; TP'!$A$2:$M$2,0))),"")</f>
        <v/>
      </c>
      <c r="AS36" s="6" t="str">
        <f t="array" ref="AS36">_xlfn.IFNA((INDEX('DMR 001C TIN &amp; TP'!$A$3:$M$10005,MATCH(('Reg 85'!$AQ$6&amp;'Reg 85'!$AQ$10&amp;'Reg 85'!$B36),('DMR 001C TIN &amp; TP'!$E$3:$E$10005&amp;'DMR 001C TIN &amp; TP'!$B$3:$B$10005&amp;'DMR 001C TIN &amp; TP'!$A$3:$A$10005),0),MATCH('Reg 85'!$AS$11,'DMR 001C TIN &amp; TP'!$A$2:$M$2,0))),"")</f>
        <v/>
      </c>
      <c r="AT36" s="53" t="str">
        <f t="shared" si="15"/>
        <v/>
      </c>
      <c r="AV36" s="6" t="str">
        <f t="array" ref="AV36">_xlfn.IFNA((INDEX('DMR 001C TIN &amp; TP'!$A$3:$M$10005,MATCH(('Reg 85'!$AQ$6&amp;'Reg 85'!$AU$10&amp;'Reg 85'!$B36),('DMR 001C TIN &amp; TP'!$E$3:$E$10005&amp;'DMR 001C TIN &amp; TP'!$B$3:$B$10005&amp;'DMR 001C TIN &amp; TP'!$A$3:$A$10005),0),MATCH('Reg 85'!$AV$11,'DMR 001C TIN &amp; TP'!$A$2:$M$2,0))),"")</f>
        <v/>
      </c>
      <c r="AW36" s="6" t="str">
        <f t="array" ref="AW36">_xlfn.IFNA((INDEX('DMR 001C TIN &amp; TP'!$A$3:$M$10005,MATCH(('Reg 85'!$AQ$6&amp;'Reg 85'!$AU$10&amp;'Reg 85'!$B36),('DMR 001C TIN &amp; TP'!$E$3:$E$10005&amp;'DMR 001C TIN &amp; TP'!$B$3:$B$10005&amp;'DMR 001C TIN &amp; TP'!$A$3:$A$10005),0),MATCH('Reg 85'!$AW$11,'DMR 001C TIN &amp; TP'!$A$2:$M$2,0))),"")</f>
        <v/>
      </c>
      <c r="AX36" s="53" t="str">
        <f t="shared" si="16"/>
        <v/>
      </c>
      <c r="AY36" s="55" t="str">
        <f t="shared" si="17"/>
        <v/>
      </c>
      <c r="AZ36" s="77" t="str">
        <f t="shared" si="37"/>
        <v/>
      </c>
      <c r="BA36" s="6" t="str">
        <f t="array" ref="BA36">_xlfn.IFNA((INDEX('DMR 001C TIN &amp; TP'!$A$3:$M$10005,MATCH(('Reg 85'!$AQ$6&amp;'Reg 85'!BA$10&amp;'Reg 85'!$B36),('DMR 001C TIN &amp; TP'!$E$3:$E$10005&amp;'DMR 001C TIN &amp; TP'!$B$3:$B$10005&amp;'DMR 001C TIN &amp; TP'!$A$3:$A$10005),0),MATCH('Reg 85'!$AG$11,'DMR 001C TIN &amp; TP'!$A$2:$M$2,0))),"")</f>
        <v/>
      </c>
      <c r="BB36" s="6" t="str">
        <f t="array" ref="BB36">_xlfn.IFNA((INDEX('DMR 001C TIN &amp; TP'!$A$3:$M$10005,MATCH(('Reg 85'!$AQ$6&amp;'Reg 85'!BB$10&amp;'Reg 85'!$B36),('DMR 001C TIN &amp; TP'!$E$3:$E$10005&amp;'DMR 001C TIN &amp; TP'!$B$3:$B$10005&amp;'DMR 001C TIN &amp; TP'!$A$3:$A$10005),0),MATCH('Reg 85'!$AG$11,'DMR 001C TIN &amp; TP'!$A$2:$M$2,0))),"")</f>
        <v/>
      </c>
      <c r="BC36" s="6" t="str">
        <f t="array" ref="BC36">_xlfn.IFNA((INDEX('DMR 001C TIN &amp; TP'!$A$3:$M$10005,MATCH(('Reg 85'!$AQ$6&amp;'Reg 85'!BC$10&amp;'Reg 85'!$B36),('DMR 001C TIN &amp; TP'!$E$3:$E$10005&amp;'DMR 001C TIN &amp; TP'!$B$3:$B$10005&amp;'DMR 001C TIN &amp; TP'!$A$3:$A$10005),0),MATCH('Reg 85'!$AG$11,'DMR 001C TIN &amp; TP'!$A$2:$M$2,0))),"")</f>
        <v/>
      </c>
      <c r="BD36" s="6" t="str">
        <f t="array" ref="BD36">_xlfn.IFNA((INDEX('DMR 001C TIN &amp; TP'!$A$3:$M$10005,MATCH(('Reg 85'!$AQ$6&amp;'Reg 85'!BD$10&amp;'Reg 85'!$B36),('DMR 001C TIN &amp; TP'!$E$3:$E$10005&amp;'DMR 001C TIN &amp; TP'!$B$3:$B$10005&amp;'DMR 001C TIN &amp; TP'!$A$3:$A$10005),0),MATCH('Reg 85'!$AG$11,'DMR 001C TIN &amp; TP'!$A$2:$M$2,0))),"")</f>
        <v/>
      </c>
      <c r="BE36" s="6" t="str">
        <f t="array" ref="BE36">_xlfn.IFNA((INDEX('DMR 001C TIN &amp; TP'!$A$3:$M$10005,MATCH(('Reg 85'!$AQ$6&amp;'Reg 85'!BE$10&amp;'Reg 85'!$B36),('DMR 001C TIN &amp; TP'!$E$3:$E$10005&amp;'DMR 001C TIN &amp; TP'!$B$3:$B$10005&amp;'DMR 001C TIN &amp; TP'!$A$3:$A$10005),0),MATCH('Reg 85'!$AG$11,'DMR 001C TIN &amp; TP'!$A$2:$M$2,0))),"")</f>
        <v/>
      </c>
      <c r="BF36" s="6" t="str">
        <f t="array" ref="BF36">_xlfn.IFNA((INDEX('DMR 001C TIN &amp; TP'!$A$3:$M$10005,MATCH(('Reg 85'!$AQ$6&amp;'Reg 85'!BF$10&amp;'Reg 85'!$B36),('DMR 001C TIN &amp; TP'!$E$3:$E$10005&amp;'DMR 001C TIN &amp; TP'!$B$3:$B$10005&amp;'DMR 001C TIN &amp; TP'!$A$3:$A$10005),0),MATCH('Reg 85'!$AG$11,'DMR 001C TIN &amp; TP'!$A$2:$M$2,0))),"")</f>
        <v/>
      </c>
    </row>
    <row r="37" spans="1:59">
      <c r="A37" s="3" t="str">
        <f t="shared" si="2"/>
        <v>Wed</v>
      </c>
      <c r="B37" s="96">
        <f t="shared" si="19"/>
        <v>43369</v>
      </c>
      <c r="C37" s="96">
        <f t="shared" si="3"/>
        <v>43373</v>
      </c>
      <c r="D37" s="96">
        <f t="shared" si="4"/>
        <v>43344</v>
      </c>
      <c r="E37" s="95">
        <f t="shared" si="5"/>
        <v>30</v>
      </c>
      <c r="F37" s="7">
        <f t="array" ref="F37">_xlfn.IFNA(INDEX('DMR Flows-Effluent'!$A$3:$F$9999,MATCH(($F$10&amp;$B37),('DMR Flows-Effluent'!$B$3:$B$9999&amp;'DMR Flows-Effluent'!$A$3:$A$9999),0),MATCH($F$8,'DMR Flows-Effluent'!$A$2:$F$2,0)),"")</f>
        <v>41.967100000000002</v>
      </c>
      <c r="G37" s="7">
        <f t="array" ref="G37">_xlfn.IFNA(INDEX('DMR Flows-Effluent'!$A$3:$F$9999,MATCH(($G$10&amp;$B37),('DMR Flows-Effluent'!$B$3:$B$9999&amp;'DMR Flows-Effluent'!$A$3:$A$9999),0),MATCH($F$8,'DMR Flows-Effluent'!$A$2:$F$2,0)),"")</f>
        <v>71.046000000000006</v>
      </c>
      <c r="H37" s="7">
        <f t="shared" si="6"/>
        <v>113.01310000000001</v>
      </c>
      <c r="I37" s="45" t="str">
        <f t="shared" si="7"/>
        <v/>
      </c>
      <c r="J37" s="6" t="str">
        <f t="array" ref="J37">_xlfn.IFNA((INDEX('DMR 001C TIN &amp; TP'!$A$3:$M$10005,MATCH(('Reg 85'!$I$6:$Q$6&amp;'Reg 85'!$I$10:$K$10&amp;'Reg 85'!$B37),('DMR 001C TIN &amp; TP'!$E$3:$E$10005&amp;'DMR 001C TIN &amp; TP'!$B$3:$B$10005&amp;'DMR 001C TIN &amp; TP'!$A$3:$A$10005),0),MATCH('Reg 85'!$J$11,'DMR 001C TIN &amp; TP'!$A$2:$M$2,0))),"")</f>
        <v>0.15</v>
      </c>
      <c r="K37" s="6">
        <f t="array" ref="K37">_xlfn.IFNA((INDEX('DMR 001C TIN &amp; TP'!$A$3:$M$10005,MATCH(('Reg 85'!$I$6:$Q$6&amp;'Reg 85'!$I$10:$K$10&amp;'Reg 85'!$B37),('DMR 001C TIN &amp; TP'!$E$3:$E$10005&amp;'DMR 001C TIN &amp; TP'!$B$3:$B$10005&amp;'DMR 001C TIN &amp; TP'!$A$3:$A$10005),0),MATCH('Reg 85'!$K$11,'DMR 001C TIN &amp; TP'!$A$2:$M$2,0))),"")</f>
        <v>0.3</v>
      </c>
      <c r="L37" s="53">
        <f t="shared" si="21"/>
        <v>0.3</v>
      </c>
      <c r="M37" s="5" t="str">
        <f t="shared" si="8"/>
        <v/>
      </c>
      <c r="N37" s="6" t="str">
        <f t="array" ref="N37">_xlfn.IFNA((INDEX('DMR 001C TIN &amp; TP'!$A$3:$M$10005,MATCH(('Reg 85'!$I$6:$Q$6&amp;'Reg 85'!$M$10&amp;'Reg 85'!$B37),('DMR 001C TIN &amp; TP'!$E$3:$E$10005&amp;'DMR 001C TIN &amp; TP'!$B$3:$B$10005&amp;'DMR 001C TIN &amp; TP'!$A$3:$A$10005),0),MATCH('Reg 85'!$N$11,'DMR 001C TIN &amp; TP'!$A$2:$M$2,0))),"")</f>
        <v>0.15</v>
      </c>
      <c r="O37" s="6">
        <f t="array" ref="O37">_xlfn.IFNA((INDEX('DMR 001C TIN &amp; TP'!$A$3:$M$10005,MATCH(('Reg 85'!$I$6:$Q$6&amp;'Reg 85'!$M$10&amp;'Reg 85'!$B37),('DMR 001C TIN &amp; TP'!$E$3:$E$10005&amp;'DMR 001C TIN &amp; TP'!$B$3:$B$10005&amp;'DMR 001C TIN &amp; TP'!$A$3:$A$10005),0),MATCH('Reg 85'!$O$11,'DMR 001C TIN &amp; TP'!$A$2:$M$2,0))),"")</f>
        <v>1.58</v>
      </c>
      <c r="P37" s="53">
        <f t="shared" si="9"/>
        <v>1.58</v>
      </c>
      <c r="Q37" s="73">
        <f t="array" ref="Q37">IFERROR(((L37*$F37)+(P37*$G37))/($H37),"")</f>
        <v>1.104675564160261</v>
      </c>
      <c r="R37" s="6" t="str">
        <f t="array" ref="R37">_xlfn.IFNA((INDEX('DMR 001C TIN &amp; TP'!$A$3:$M$10005,MATCH(('Reg 85'!$I$6:$Q$6&amp;'Reg 85'!R$10&amp;'Reg 85'!$B37),('DMR 001C TIN &amp; TP'!$E$3:$E$10005&amp;'DMR 001C TIN &amp; TP'!$B$3:$B$10005&amp;'DMR 001C TIN &amp; TP'!$A$3:$A$10005),0),MATCH('Reg 85'!$O$11,'DMR 001C TIN &amp; TP'!$A$2:$M$2,0))),"")</f>
        <v/>
      </c>
      <c r="S37" s="6" t="str">
        <f t="array" ref="S37">_xlfn.IFNA((INDEX('DMR 001C TIN &amp; TP'!$A$3:$M$10005,MATCH(('Reg 85'!$I$6:$Q$6&amp;'Reg 85'!S$10&amp;'Reg 85'!$B37),('DMR 001C TIN &amp; TP'!$E$3:$E$10005&amp;'DMR 001C TIN &amp; TP'!$B$3:$B$10005&amp;'DMR 001C TIN &amp; TP'!$A$3:$A$10005),0),MATCH('Reg 85'!$O$11,'DMR 001C TIN &amp; TP'!$A$2:$M$2,0))),"")</f>
        <v/>
      </c>
      <c r="T37" s="6" t="str">
        <f t="array" ref="T37">_xlfn.IFNA((INDEX('DMR 001C TIN &amp; TP'!$A$3:$M$10005,MATCH(('Reg 85'!$I$6:$Q$6&amp;'Reg 85'!T$10&amp;'Reg 85'!$B37),('DMR 001C TIN &amp; TP'!$E$3:$E$10005&amp;'DMR 001C TIN &amp; TP'!$B$3:$B$10005&amp;'DMR 001C TIN &amp; TP'!$A$3:$A$10005),0),MATCH('Reg 85'!$O$11,'DMR 001C TIN &amp; TP'!$A$2:$M$2,0))),"")</f>
        <v/>
      </c>
      <c r="U37" s="6" t="str">
        <f t="array" ref="U37">_xlfn.IFNA((INDEX('DMR 001C TIN &amp; TP'!$A$3:$M$10005,MATCH(('Reg 85'!$I$6:$Q$6&amp;'Reg 85'!U$10&amp;'Reg 85'!$B37),('DMR 001C TIN &amp; TP'!$E$3:$E$10005&amp;'DMR 001C TIN &amp; TP'!$B$3:$B$10005&amp;'DMR 001C TIN &amp; TP'!$A$3:$A$10005),0),MATCH('Reg 85'!$O$11,'DMR 001C TIN &amp; TP'!$A$2:$M$2,0))),"")</f>
        <v/>
      </c>
      <c r="V37" s="6" t="str">
        <f t="array" ref="V37">_xlfn.IFNA((INDEX('DMR 001C TIN &amp; TP'!$A$3:$M$10005,MATCH(('Reg 85'!$I$6:$Q$6&amp;'Reg 85'!V$10&amp;'Reg 85'!$B37),('DMR 001C TIN &amp; TP'!$E$3:$E$10005&amp;'DMR 001C TIN &amp; TP'!$B$3:$B$10005&amp;'DMR 001C TIN &amp; TP'!$A$3:$A$10005),0),MATCH('Reg 85'!$O$11,'DMR 001C TIN &amp; TP'!$A$2:$M$2,0))),"")</f>
        <v/>
      </c>
      <c r="W37" s="6" t="str">
        <f t="array" ref="W37">_xlfn.IFNA((INDEX('DMR 001C TIN &amp; TP'!$A$3:$M$10005,MATCH(('Reg 85'!$I$6:$Q$6&amp;'Reg 85'!W$10&amp;'Reg 85'!$B37),('DMR 001C TIN &amp; TP'!$E$3:$E$10005&amp;'DMR 001C TIN &amp; TP'!$B$3:$B$10005&amp;'DMR 001C TIN &amp; TP'!$A$3:$A$10005),0),MATCH('Reg 85'!$O$11,'DMR 001C TIN &amp; TP'!$A$2:$M$2,0))),"")</f>
        <v/>
      </c>
      <c r="X37" s="5" t="str">
        <f t="shared" si="10"/>
        <v/>
      </c>
      <c r="Y37" s="6" t="str">
        <f t="array" ref="Y37">_xlfn.IFNA((INDEX('DMR 001C TIN &amp; TP'!$A$3:$M$10005,MATCH(('Reg 85'!$X$6&amp;'Reg 85'!$X$10&amp;'Reg 85'!$B37),('DMR 001C TIN &amp; TP'!$E$3:$E$10005&amp;'DMR 001C TIN &amp; TP'!$B$3:$B$10005&amp;'DMR 001C TIN &amp; TP'!$A$3:$A$10005),0),MATCH('Reg 85'!$Y$11,'DMR 001C TIN &amp; TP'!$A$2:$M$2,0))),"")</f>
        <v>0.06</v>
      </c>
      <c r="Z37" s="6">
        <f t="array" ref="Z37">_xlfn.IFNA((INDEX('DMR 001C TIN &amp; TP'!$A$3:$M$10005,MATCH(('Reg 85'!$X$6&amp;'Reg 85'!$X$10&amp;'Reg 85'!$B37),('DMR 001C TIN &amp; TP'!$E$3:$E$10005&amp;'DMR 001C TIN &amp; TP'!$B$3:$B$10005&amp;'DMR 001C TIN &amp; TP'!$A$3:$A$10005),0),MATCH('Reg 85'!$Z$11,'DMR 001C TIN &amp; TP'!$A$2:$M$2,0))),"")</f>
        <v>4.54</v>
      </c>
      <c r="AA37" s="53">
        <f t="shared" si="11"/>
        <v>4.54</v>
      </c>
      <c r="AB37" s="5" t="str">
        <f t="shared" si="12"/>
        <v/>
      </c>
      <c r="AC37" s="6" t="str">
        <f t="array" ref="AC37">_xlfn.IFNA((INDEX('DMR 001C TIN &amp; TP'!$A$3:$M$10005,MATCH(('Reg 85'!$X$6&amp;'Reg 85'!$AB$10&amp;'Reg 85'!$B37),('DMR 001C TIN &amp; TP'!$E$3:$E$10005&amp;'DMR 001C TIN &amp; TP'!$B$3:$B$10005&amp;'DMR 001C TIN &amp; TP'!$A$3:$A$10005),0),MATCH('Reg 85'!$AC$11,'DMR 001C TIN &amp; TP'!$A$2:$M$2,0))),"")</f>
        <v>0.06</v>
      </c>
      <c r="AD37" s="6">
        <f t="array" ref="AD37">_xlfn.IFNA((INDEX('DMR 001C TIN &amp; TP'!$A$3:$M$10005,MATCH(('Reg 85'!$X$6&amp;'Reg 85'!$AB$10&amp;'Reg 85'!$B37),('DMR 001C TIN &amp; TP'!$E$3:$E$10005&amp;'DMR 001C TIN &amp; TP'!$B$3:$B$10005&amp;'DMR 001C TIN &amp; TP'!$A$3:$A$10005),0),MATCH('Reg 85'!$AD$11,'DMR 001C TIN &amp; TP'!$A$2:$M$2,0))),"")</f>
        <v>4.5999999999999996</v>
      </c>
      <c r="AE37" s="53">
        <f t="shared" si="13"/>
        <v>4.5999999999999996</v>
      </c>
      <c r="AF37" s="7">
        <f t="shared" si="14"/>
        <v>4.5777191670700113</v>
      </c>
      <c r="AG37" s="6" t="str">
        <f t="array" ref="AG37">_xlfn.IFNA((INDEX('DMR 001C TIN &amp; TP'!$A$3:$M$10005,MATCH(('Reg 85'!$X$6&amp;'Reg 85'!AG$10&amp;'Reg 85'!$B37),('DMR 001C TIN &amp; TP'!$E$3:$E$10005&amp;'DMR 001C TIN &amp; TP'!$B$3:$B$10005&amp;'DMR 001C TIN &amp; TP'!$A$3:$A$10005),0),MATCH('Reg 85'!$AG$11,'DMR 001C TIN &amp; TP'!$A$2:$M$2,0))),"")</f>
        <v/>
      </c>
      <c r="AH37" s="6" t="str">
        <f t="array" ref="AH37">_xlfn.IFNA((INDEX('DMR 001C TIN &amp; TP'!$A$3:$M$10005,MATCH(('Reg 85'!$X$6&amp;'Reg 85'!AH$10&amp;'Reg 85'!$B37),('DMR 001C TIN &amp; TP'!$E$3:$E$10005&amp;'DMR 001C TIN &amp; TP'!$B$3:$B$10005&amp;'DMR 001C TIN &amp; TP'!$A$3:$A$10005),0),MATCH('Reg 85'!$AG$11,'DMR 001C TIN &amp; TP'!$A$2:$M$2,0))),"")</f>
        <v/>
      </c>
      <c r="AI37" s="6" t="str">
        <f t="array" ref="AI37">_xlfn.IFNA((INDEX('DMR 001C TIN &amp; TP'!$A$3:$M$10005,MATCH(('Reg 85'!$X$6&amp;'Reg 85'!AI$10&amp;'Reg 85'!$B37),('DMR 001C TIN &amp; TP'!$E$3:$E$10005&amp;'DMR 001C TIN &amp; TP'!$B$3:$B$10005&amp;'DMR 001C TIN &amp; TP'!$A$3:$A$10005),0),MATCH('Reg 85'!$AG$11,'DMR 001C TIN &amp; TP'!$A$2:$M$2,0))),"")</f>
        <v/>
      </c>
      <c r="AJ37" s="6" t="str">
        <f t="array" ref="AJ37">_xlfn.IFNA((INDEX('DMR 001C TIN &amp; TP'!$A$3:$M$10005,MATCH(('Reg 85'!$X$6&amp;'Reg 85'!AJ$10&amp;'Reg 85'!$B37),('DMR 001C TIN &amp; TP'!$E$3:$E$10005&amp;'DMR 001C TIN &amp; TP'!$B$3:$B$10005&amp;'DMR 001C TIN &amp; TP'!$A$3:$A$10005),0),MATCH('Reg 85'!$AG$11,'DMR 001C TIN &amp; TP'!$A$2:$M$2,0))),"")</f>
        <v/>
      </c>
      <c r="AK37" s="6" t="str">
        <f t="array" ref="AK37">_xlfn.IFNA((INDEX('DMR 001C TIN &amp; TP'!$A$3:$M$10005,MATCH(('Reg 85'!$X$6&amp;'Reg 85'!AK$10&amp;'Reg 85'!$B37),('DMR 001C TIN &amp; TP'!$E$3:$E$10005&amp;'DMR 001C TIN &amp; TP'!$B$3:$B$10005&amp;'DMR 001C TIN &amp; TP'!$A$3:$A$10005),0),MATCH('Reg 85'!$AG$11,'DMR 001C TIN &amp; TP'!$A$2:$M$2,0))),"")</f>
        <v/>
      </c>
      <c r="AL37" s="6" t="str">
        <f t="array" ref="AL37">_xlfn.IFNA((INDEX('DMR 001C TIN &amp; TP'!$A$3:$M$10005,MATCH(('Reg 85'!$X$6&amp;'Reg 85'!AL$10&amp;'Reg 85'!$B37),('DMR 001C TIN &amp; TP'!$E$3:$E$10005&amp;'DMR 001C TIN &amp; TP'!$B$3:$B$10005&amp;'DMR 001C TIN &amp; TP'!$A$3:$A$10005),0),MATCH('Reg 85'!$AG$11,'DMR 001C TIN &amp; TP'!$A$2:$M$2,0))),"")</f>
        <v/>
      </c>
      <c r="AM37" s="76"/>
      <c r="AN37" s="6"/>
      <c r="AO37" s="54">
        <f t="shared" si="0"/>
        <v>5.6823947312302723</v>
      </c>
      <c r="AP37" s="77" t="str">
        <f t="shared" si="38"/>
        <v/>
      </c>
      <c r="AQ37" s="47"/>
      <c r="AR37" s="6" t="str">
        <f t="array" ref="AR37">_xlfn.IFNA((INDEX('DMR 001C TIN &amp; TP'!$A$3:$M$10005,MATCH(('Reg 85'!$AQ$6&amp;'Reg 85'!$AQ$10&amp;'Reg 85'!$B37),('DMR 001C TIN &amp; TP'!$E$3:$E$10005&amp;'DMR 001C TIN &amp; TP'!$B$3:$B$10005&amp;'DMR 001C TIN &amp; TP'!$A$3:$A$10005),0),MATCH('Reg 85'!$AR$11,'DMR 001C TIN &amp; TP'!$A$2:$M$2,0))),"")</f>
        <v/>
      </c>
      <c r="AS37" s="6" t="str">
        <f t="array" ref="AS37">_xlfn.IFNA((INDEX('DMR 001C TIN &amp; TP'!$A$3:$M$10005,MATCH(('Reg 85'!$AQ$6&amp;'Reg 85'!$AQ$10&amp;'Reg 85'!$B37),('DMR 001C TIN &amp; TP'!$E$3:$E$10005&amp;'DMR 001C TIN &amp; TP'!$B$3:$B$10005&amp;'DMR 001C TIN &amp; TP'!$A$3:$A$10005),0),MATCH('Reg 85'!$AS$11,'DMR 001C TIN &amp; TP'!$A$2:$M$2,0))),"")</f>
        <v/>
      </c>
      <c r="AT37" s="53" t="str">
        <f t="shared" si="15"/>
        <v/>
      </c>
      <c r="AV37" s="6" t="str">
        <f t="array" ref="AV37">_xlfn.IFNA((INDEX('DMR 001C TIN &amp; TP'!$A$3:$M$10005,MATCH(('Reg 85'!$AQ$6&amp;'Reg 85'!$AU$10&amp;'Reg 85'!$B37),('DMR 001C TIN &amp; TP'!$E$3:$E$10005&amp;'DMR 001C TIN &amp; TP'!$B$3:$B$10005&amp;'DMR 001C TIN &amp; TP'!$A$3:$A$10005),0),MATCH('Reg 85'!$AV$11,'DMR 001C TIN &amp; TP'!$A$2:$M$2,0))),"")</f>
        <v/>
      </c>
      <c r="AW37" s="6" t="str">
        <f t="array" ref="AW37">_xlfn.IFNA((INDEX('DMR 001C TIN &amp; TP'!$A$3:$M$10005,MATCH(('Reg 85'!$AQ$6&amp;'Reg 85'!$AU$10&amp;'Reg 85'!$B37),('DMR 001C TIN &amp; TP'!$E$3:$E$10005&amp;'DMR 001C TIN &amp; TP'!$B$3:$B$10005&amp;'DMR 001C TIN &amp; TP'!$A$3:$A$10005),0),MATCH('Reg 85'!$AW$11,'DMR 001C TIN &amp; TP'!$A$2:$M$2,0))),"")</f>
        <v/>
      </c>
      <c r="AX37" s="53" t="str">
        <f t="shared" si="16"/>
        <v/>
      </c>
      <c r="AY37" s="55" t="str">
        <f t="shared" si="17"/>
        <v/>
      </c>
      <c r="AZ37" s="77" t="str">
        <f t="shared" si="37"/>
        <v/>
      </c>
      <c r="BA37" s="6" t="str">
        <f t="array" ref="BA37">_xlfn.IFNA((INDEX('DMR 001C TIN &amp; TP'!$A$3:$M$10005,MATCH(('Reg 85'!$AQ$6&amp;'Reg 85'!BA$10&amp;'Reg 85'!$B37),('DMR 001C TIN &amp; TP'!$E$3:$E$10005&amp;'DMR 001C TIN &amp; TP'!$B$3:$B$10005&amp;'DMR 001C TIN &amp; TP'!$A$3:$A$10005),0),MATCH('Reg 85'!$AG$11,'DMR 001C TIN &amp; TP'!$A$2:$M$2,0))),"")</f>
        <v/>
      </c>
      <c r="BB37" s="6" t="str">
        <f t="array" ref="BB37">_xlfn.IFNA((INDEX('DMR 001C TIN &amp; TP'!$A$3:$M$10005,MATCH(('Reg 85'!$AQ$6&amp;'Reg 85'!BB$10&amp;'Reg 85'!$B37),('DMR 001C TIN &amp; TP'!$E$3:$E$10005&amp;'DMR 001C TIN &amp; TP'!$B$3:$B$10005&amp;'DMR 001C TIN &amp; TP'!$A$3:$A$10005),0),MATCH('Reg 85'!$AG$11,'DMR 001C TIN &amp; TP'!$A$2:$M$2,0))),"")</f>
        <v/>
      </c>
      <c r="BC37" s="6" t="str">
        <f t="array" ref="BC37">_xlfn.IFNA((INDEX('DMR 001C TIN &amp; TP'!$A$3:$M$10005,MATCH(('Reg 85'!$AQ$6&amp;'Reg 85'!BC$10&amp;'Reg 85'!$B37),('DMR 001C TIN &amp; TP'!$E$3:$E$10005&amp;'DMR 001C TIN &amp; TP'!$B$3:$B$10005&amp;'DMR 001C TIN &amp; TP'!$A$3:$A$10005),0),MATCH('Reg 85'!$AG$11,'DMR 001C TIN &amp; TP'!$A$2:$M$2,0))),"")</f>
        <v/>
      </c>
      <c r="BD37" s="6" t="str">
        <f t="array" ref="BD37">_xlfn.IFNA((INDEX('DMR 001C TIN &amp; TP'!$A$3:$M$10005,MATCH(('Reg 85'!$AQ$6&amp;'Reg 85'!BD$10&amp;'Reg 85'!$B37),('DMR 001C TIN &amp; TP'!$E$3:$E$10005&amp;'DMR 001C TIN &amp; TP'!$B$3:$B$10005&amp;'DMR 001C TIN &amp; TP'!$A$3:$A$10005),0),MATCH('Reg 85'!$AG$11,'DMR 001C TIN &amp; TP'!$A$2:$M$2,0))),"")</f>
        <v/>
      </c>
      <c r="BE37" s="6" t="str">
        <f t="array" ref="BE37">_xlfn.IFNA((INDEX('DMR 001C TIN &amp; TP'!$A$3:$M$10005,MATCH(('Reg 85'!$AQ$6&amp;'Reg 85'!BE$10&amp;'Reg 85'!$B37),('DMR 001C TIN &amp; TP'!$E$3:$E$10005&amp;'DMR 001C TIN &amp; TP'!$B$3:$B$10005&amp;'DMR 001C TIN &amp; TP'!$A$3:$A$10005),0),MATCH('Reg 85'!$AG$11,'DMR 001C TIN &amp; TP'!$A$2:$M$2,0))),"")</f>
        <v/>
      </c>
      <c r="BF37" s="6" t="str">
        <f t="array" ref="BF37">_xlfn.IFNA((INDEX('DMR 001C TIN &amp; TP'!$A$3:$M$10005,MATCH(('Reg 85'!$AQ$6&amp;'Reg 85'!BF$10&amp;'Reg 85'!$B37),('DMR 001C TIN &amp; TP'!$E$3:$E$10005&amp;'DMR 001C TIN &amp; TP'!$B$3:$B$10005&amp;'DMR 001C TIN &amp; TP'!$A$3:$A$10005),0),MATCH('Reg 85'!$AG$11,'DMR 001C TIN &amp; TP'!$A$2:$M$2,0))),"")</f>
        <v/>
      </c>
    </row>
    <row r="38" spans="1:59">
      <c r="A38" s="3" t="str">
        <f t="shared" si="2"/>
        <v>Thu</v>
      </c>
      <c r="B38" s="96">
        <f t="shared" si="19"/>
        <v>43370</v>
      </c>
      <c r="C38" s="96">
        <f t="shared" si="3"/>
        <v>43373</v>
      </c>
      <c r="D38" s="96">
        <f t="shared" si="4"/>
        <v>43344</v>
      </c>
      <c r="E38" s="95">
        <f t="shared" si="5"/>
        <v>30</v>
      </c>
      <c r="F38" s="7">
        <f t="array" ref="F38">_xlfn.IFNA(INDEX('DMR Flows-Effluent'!$A$3:$F$9999,MATCH(($F$10&amp;$B38),('DMR Flows-Effluent'!$B$3:$B$9999&amp;'DMR Flows-Effluent'!$A$3:$A$9999),0),MATCH($F$8,'DMR Flows-Effluent'!$A$2:$F$2,0)),"")</f>
        <v>39.5184</v>
      </c>
      <c r="G38" s="7">
        <f t="array" ref="G38">_xlfn.IFNA(INDEX('DMR Flows-Effluent'!$A$3:$F$9999,MATCH(($G$10&amp;$B38),('DMR Flows-Effluent'!$B$3:$B$9999&amp;'DMR Flows-Effluent'!$A$3:$A$9999),0),MATCH($F$8,'DMR Flows-Effluent'!$A$2:$F$2,0)),"")</f>
        <v>73.690399999999997</v>
      </c>
      <c r="H38" s="7">
        <f t="shared" si="6"/>
        <v>113.2088</v>
      </c>
      <c r="I38" s="45" t="str">
        <f t="shared" si="7"/>
        <v/>
      </c>
      <c r="J38" s="6" t="str">
        <f t="array" ref="J38">_xlfn.IFNA((INDEX('DMR 001C TIN &amp; TP'!$A$3:$M$10005,MATCH(('Reg 85'!$I$6:$Q$6&amp;'Reg 85'!$I$10:$K$10&amp;'Reg 85'!$B38),('DMR 001C TIN &amp; TP'!$E$3:$E$10005&amp;'DMR 001C TIN &amp; TP'!$B$3:$B$10005&amp;'DMR 001C TIN &amp; TP'!$A$3:$A$10005),0),MATCH('Reg 85'!$J$11,'DMR 001C TIN &amp; TP'!$A$2:$M$2,0))),"")</f>
        <v/>
      </c>
      <c r="K38" s="6" t="str">
        <f t="array" ref="K38">_xlfn.IFNA((INDEX('DMR 001C TIN &amp; TP'!$A$3:$M$10005,MATCH(('Reg 85'!$I$6:$Q$6&amp;'Reg 85'!$I$10:$K$10&amp;'Reg 85'!$B38),('DMR 001C TIN &amp; TP'!$E$3:$E$10005&amp;'DMR 001C TIN &amp; TP'!$B$3:$B$10005&amp;'DMR 001C TIN &amp; TP'!$A$3:$A$10005),0),MATCH('Reg 85'!$K$11,'DMR 001C TIN &amp; TP'!$A$2:$M$2,0))),"")</f>
        <v/>
      </c>
      <c r="L38" s="53" t="str">
        <f t="shared" si="21"/>
        <v/>
      </c>
      <c r="M38" s="5" t="str">
        <f t="shared" si="8"/>
        <v/>
      </c>
      <c r="N38" s="6" t="str">
        <f t="array" ref="N38">_xlfn.IFNA((INDEX('DMR 001C TIN &amp; TP'!$A$3:$M$10005,MATCH(('Reg 85'!$I$6:$Q$6&amp;'Reg 85'!$M$10&amp;'Reg 85'!$B38),('DMR 001C TIN &amp; TP'!$E$3:$E$10005&amp;'DMR 001C TIN &amp; TP'!$B$3:$B$10005&amp;'DMR 001C TIN &amp; TP'!$A$3:$A$10005),0),MATCH('Reg 85'!$N$11,'DMR 001C TIN &amp; TP'!$A$2:$M$2,0))),"")</f>
        <v/>
      </c>
      <c r="O38" s="6" t="str">
        <f t="array" ref="O38">_xlfn.IFNA((INDEX('DMR 001C TIN &amp; TP'!$A$3:$M$10005,MATCH(('Reg 85'!$I$6:$Q$6&amp;'Reg 85'!$M$10&amp;'Reg 85'!$B38),('DMR 001C TIN &amp; TP'!$E$3:$E$10005&amp;'DMR 001C TIN &amp; TP'!$B$3:$B$10005&amp;'DMR 001C TIN &amp; TP'!$A$3:$A$10005),0),MATCH('Reg 85'!$O$11,'DMR 001C TIN &amp; TP'!$A$2:$M$2,0))),"")</f>
        <v/>
      </c>
      <c r="P38" s="53" t="str">
        <f t="shared" si="9"/>
        <v/>
      </c>
      <c r="Q38" s="73" t="str">
        <f t="array" ref="Q38">IFERROR(((L38*$F38)+(P38*$G38))/($H38),"")</f>
        <v/>
      </c>
      <c r="R38" s="6" t="str">
        <f t="array" ref="R38">_xlfn.IFNA((INDEX('DMR 001C TIN &amp; TP'!$A$3:$M$10005,MATCH(('Reg 85'!$I$6:$Q$6&amp;'Reg 85'!R$10&amp;'Reg 85'!$B38),('DMR 001C TIN &amp; TP'!$E$3:$E$10005&amp;'DMR 001C TIN &amp; TP'!$B$3:$B$10005&amp;'DMR 001C TIN &amp; TP'!$A$3:$A$10005),0),MATCH('Reg 85'!$O$11,'DMR 001C TIN &amp; TP'!$A$2:$M$2,0))),"")</f>
        <v/>
      </c>
      <c r="S38" s="6" t="str">
        <f t="array" ref="S38">_xlfn.IFNA((INDEX('DMR 001C TIN &amp; TP'!$A$3:$M$10005,MATCH(('Reg 85'!$I$6:$Q$6&amp;'Reg 85'!S$10&amp;'Reg 85'!$B38),('DMR 001C TIN &amp; TP'!$E$3:$E$10005&amp;'DMR 001C TIN &amp; TP'!$B$3:$B$10005&amp;'DMR 001C TIN &amp; TP'!$A$3:$A$10005),0),MATCH('Reg 85'!$O$11,'DMR 001C TIN &amp; TP'!$A$2:$M$2,0))),"")</f>
        <v/>
      </c>
      <c r="T38" s="6" t="str">
        <f t="array" ref="T38">_xlfn.IFNA((INDEX('DMR 001C TIN &amp; TP'!$A$3:$M$10005,MATCH(('Reg 85'!$I$6:$Q$6&amp;'Reg 85'!T$10&amp;'Reg 85'!$B38),('DMR 001C TIN &amp; TP'!$E$3:$E$10005&amp;'DMR 001C TIN &amp; TP'!$B$3:$B$10005&amp;'DMR 001C TIN &amp; TP'!$A$3:$A$10005),0),MATCH('Reg 85'!$O$11,'DMR 001C TIN &amp; TP'!$A$2:$M$2,0))),"")</f>
        <v/>
      </c>
      <c r="U38" s="6" t="str">
        <f t="array" ref="U38">_xlfn.IFNA((INDEX('DMR 001C TIN &amp; TP'!$A$3:$M$10005,MATCH(('Reg 85'!$I$6:$Q$6&amp;'Reg 85'!U$10&amp;'Reg 85'!$B38),('DMR 001C TIN &amp; TP'!$E$3:$E$10005&amp;'DMR 001C TIN &amp; TP'!$B$3:$B$10005&amp;'DMR 001C TIN &amp; TP'!$A$3:$A$10005),0),MATCH('Reg 85'!$O$11,'DMR 001C TIN &amp; TP'!$A$2:$M$2,0))),"")</f>
        <v/>
      </c>
      <c r="V38" s="6" t="str">
        <f t="array" ref="V38">_xlfn.IFNA((INDEX('DMR 001C TIN &amp; TP'!$A$3:$M$10005,MATCH(('Reg 85'!$I$6:$Q$6&amp;'Reg 85'!V$10&amp;'Reg 85'!$B38),('DMR 001C TIN &amp; TP'!$E$3:$E$10005&amp;'DMR 001C TIN &amp; TP'!$B$3:$B$10005&amp;'DMR 001C TIN &amp; TP'!$A$3:$A$10005),0),MATCH('Reg 85'!$O$11,'DMR 001C TIN &amp; TP'!$A$2:$M$2,0))),"")</f>
        <v/>
      </c>
      <c r="W38" s="6" t="str">
        <f t="array" ref="W38">_xlfn.IFNA((INDEX('DMR 001C TIN &amp; TP'!$A$3:$M$10005,MATCH(('Reg 85'!$I$6:$Q$6&amp;'Reg 85'!W$10&amp;'Reg 85'!$B38),('DMR 001C TIN &amp; TP'!$E$3:$E$10005&amp;'DMR 001C TIN &amp; TP'!$B$3:$B$10005&amp;'DMR 001C TIN &amp; TP'!$A$3:$A$10005),0),MATCH('Reg 85'!$O$11,'DMR 001C TIN &amp; TP'!$A$2:$M$2,0))),"")</f>
        <v/>
      </c>
      <c r="X38" s="5" t="str">
        <f t="shared" si="10"/>
        <v/>
      </c>
      <c r="Y38" s="6" t="str">
        <f t="array" ref="Y38">_xlfn.IFNA((INDEX('DMR 001C TIN &amp; TP'!$A$3:$M$10005,MATCH(('Reg 85'!$X$6&amp;'Reg 85'!$X$10&amp;'Reg 85'!$B38),('DMR 001C TIN &amp; TP'!$E$3:$E$10005&amp;'DMR 001C TIN &amp; TP'!$B$3:$B$10005&amp;'DMR 001C TIN &amp; TP'!$A$3:$A$10005),0),MATCH('Reg 85'!$Y$11,'DMR 001C TIN &amp; TP'!$A$2:$M$2,0))),"")</f>
        <v/>
      </c>
      <c r="Z38" s="6" t="str">
        <f t="array" ref="Z38">_xlfn.IFNA((INDEX('DMR 001C TIN &amp; TP'!$A$3:$M$10005,MATCH(('Reg 85'!$X$6&amp;'Reg 85'!$X$10&amp;'Reg 85'!$B38),('DMR 001C TIN &amp; TP'!$E$3:$E$10005&amp;'DMR 001C TIN &amp; TP'!$B$3:$B$10005&amp;'DMR 001C TIN &amp; TP'!$A$3:$A$10005),0),MATCH('Reg 85'!$Z$11,'DMR 001C TIN &amp; TP'!$A$2:$M$2,0))),"")</f>
        <v/>
      </c>
      <c r="AA38" s="53" t="str">
        <f t="shared" si="11"/>
        <v/>
      </c>
      <c r="AB38" s="5" t="str">
        <f t="shared" si="12"/>
        <v/>
      </c>
      <c r="AC38" s="6" t="str">
        <f t="array" ref="AC38">_xlfn.IFNA((INDEX('DMR 001C TIN &amp; TP'!$A$3:$M$10005,MATCH(('Reg 85'!$X$6&amp;'Reg 85'!$AB$10&amp;'Reg 85'!$B38),('DMR 001C TIN &amp; TP'!$E$3:$E$10005&amp;'DMR 001C TIN &amp; TP'!$B$3:$B$10005&amp;'DMR 001C TIN &amp; TP'!$A$3:$A$10005),0),MATCH('Reg 85'!$AC$11,'DMR 001C TIN &amp; TP'!$A$2:$M$2,0))),"")</f>
        <v/>
      </c>
      <c r="AD38" s="6" t="str">
        <f t="array" ref="AD38">_xlfn.IFNA((INDEX('DMR 001C TIN &amp; TP'!$A$3:$M$10005,MATCH(('Reg 85'!$X$6&amp;'Reg 85'!$AB$10&amp;'Reg 85'!$B38),('DMR 001C TIN &amp; TP'!$E$3:$E$10005&amp;'DMR 001C TIN &amp; TP'!$B$3:$B$10005&amp;'DMR 001C TIN &amp; TP'!$A$3:$A$10005),0),MATCH('Reg 85'!$AD$11,'DMR 001C TIN &amp; TP'!$A$2:$M$2,0))),"")</f>
        <v/>
      </c>
      <c r="AE38" s="53" t="str">
        <f t="shared" si="13"/>
        <v/>
      </c>
      <c r="AF38" s="7" t="str">
        <f t="shared" si="14"/>
        <v/>
      </c>
      <c r="AG38" s="6" t="str">
        <f t="array" ref="AG38">_xlfn.IFNA((INDEX('DMR 001C TIN &amp; TP'!$A$3:$M$10005,MATCH(('Reg 85'!$X$6&amp;'Reg 85'!AG$10&amp;'Reg 85'!$B38),('DMR 001C TIN &amp; TP'!$E$3:$E$10005&amp;'DMR 001C TIN &amp; TP'!$B$3:$B$10005&amp;'DMR 001C TIN &amp; TP'!$A$3:$A$10005),0),MATCH('Reg 85'!$AG$11,'DMR 001C TIN &amp; TP'!$A$2:$M$2,0))),"")</f>
        <v/>
      </c>
      <c r="AH38" s="6" t="str">
        <f t="array" ref="AH38">_xlfn.IFNA((INDEX('DMR 001C TIN &amp; TP'!$A$3:$M$10005,MATCH(('Reg 85'!$X$6&amp;'Reg 85'!AH$10&amp;'Reg 85'!$B38),('DMR 001C TIN &amp; TP'!$E$3:$E$10005&amp;'DMR 001C TIN &amp; TP'!$B$3:$B$10005&amp;'DMR 001C TIN &amp; TP'!$A$3:$A$10005),0),MATCH('Reg 85'!$AG$11,'DMR 001C TIN &amp; TP'!$A$2:$M$2,0))),"")</f>
        <v/>
      </c>
      <c r="AI38" s="6" t="str">
        <f t="array" ref="AI38">_xlfn.IFNA((INDEX('DMR 001C TIN &amp; TP'!$A$3:$M$10005,MATCH(('Reg 85'!$X$6&amp;'Reg 85'!AI$10&amp;'Reg 85'!$B38),('DMR 001C TIN &amp; TP'!$E$3:$E$10005&amp;'DMR 001C TIN &amp; TP'!$B$3:$B$10005&amp;'DMR 001C TIN &amp; TP'!$A$3:$A$10005),0),MATCH('Reg 85'!$AG$11,'DMR 001C TIN &amp; TP'!$A$2:$M$2,0))),"")</f>
        <v/>
      </c>
      <c r="AJ38" s="6" t="str">
        <f t="array" ref="AJ38">_xlfn.IFNA((INDEX('DMR 001C TIN &amp; TP'!$A$3:$M$10005,MATCH(('Reg 85'!$X$6&amp;'Reg 85'!AJ$10&amp;'Reg 85'!$B38),('DMR 001C TIN &amp; TP'!$E$3:$E$10005&amp;'DMR 001C TIN &amp; TP'!$B$3:$B$10005&amp;'DMR 001C TIN &amp; TP'!$A$3:$A$10005),0),MATCH('Reg 85'!$AG$11,'DMR 001C TIN &amp; TP'!$A$2:$M$2,0))),"")</f>
        <v/>
      </c>
      <c r="AK38" s="6" t="str">
        <f t="array" ref="AK38">_xlfn.IFNA((INDEX('DMR 001C TIN &amp; TP'!$A$3:$M$10005,MATCH(('Reg 85'!$X$6&amp;'Reg 85'!AK$10&amp;'Reg 85'!$B38),('DMR 001C TIN &amp; TP'!$E$3:$E$10005&amp;'DMR 001C TIN &amp; TP'!$B$3:$B$10005&amp;'DMR 001C TIN &amp; TP'!$A$3:$A$10005),0),MATCH('Reg 85'!$AG$11,'DMR 001C TIN &amp; TP'!$A$2:$M$2,0))),"")</f>
        <v/>
      </c>
      <c r="AL38" s="6" t="str">
        <f t="array" ref="AL38">_xlfn.IFNA((INDEX('DMR 001C TIN &amp; TP'!$A$3:$M$10005,MATCH(('Reg 85'!$X$6&amp;'Reg 85'!AL$10&amp;'Reg 85'!$B38),('DMR 001C TIN &amp; TP'!$E$3:$E$10005&amp;'DMR 001C TIN &amp; TP'!$B$3:$B$10005&amp;'DMR 001C TIN &amp; TP'!$A$3:$A$10005),0),MATCH('Reg 85'!$AG$11,'DMR 001C TIN &amp; TP'!$A$2:$M$2,0))),"")</f>
        <v/>
      </c>
      <c r="AM38" s="76"/>
      <c r="AN38" s="6"/>
      <c r="AO38" s="54" t="str">
        <f t="shared" si="0"/>
        <v/>
      </c>
      <c r="AP38" s="77" t="str">
        <f t="shared" si="38"/>
        <v/>
      </c>
      <c r="AQ38" s="47"/>
      <c r="AR38" s="6" t="str">
        <f t="array" ref="AR38">_xlfn.IFNA((INDEX('DMR 001C TIN &amp; TP'!$A$3:$M$10005,MATCH(('Reg 85'!$AQ$6&amp;'Reg 85'!$AQ$10&amp;'Reg 85'!$B38),('DMR 001C TIN &amp; TP'!$E$3:$E$10005&amp;'DMR 001C TIN &amp; TP'!$B$3:$B$10005&amp;'DMR 001C TIN &amp; TP'!$A$3:$A$10005),0),MATCH('Reg 85'!$AR$11,'DMR 001C TIN &amp; TP'!$A$2:$M$2,0))),"")</f>
        <v>0.03</v>
      </c>
      <c r="AS38" s="6">
        <f t="array" ref="AS38">_xlfn.IFNA((INDEX('DMR 001C TIN &amp; TP'!$A$3:$M$10005,MATCH(('Reg 85'!$AQ$6&amp;'Reg 85'!$AQ$10&amp;'Reg 85'!$B38),('DMR 001C TIN &amp; TP'!$E$3:$E$10005&amp;'DMR 001C TIN &amp; TP'!$B$3:$B$10005&amp;'DMR 001C TIN &amp; TP'!$A$3:$A$10005),0),MATCH('Reg 85'!$AS$11,'DMR 001C TIN &amp; TP'!$A$2:$M$2,0))),"")</f>
        <v>0.33</v>
      </c>
      <c r="AT38" s="53">
        <f t="shared" si="15"/>
        <v>0.33</v>
      </c>
      <c r="AV38" s="6" t="str">
        <f t="array" ref="AV38">_xlfn.IFNA((INDEX('DMR 001C TIN &amp; TP'!$A$3:$M$10005,MATCH(('Reg 85'!$AQ$6&amp;'Reg 85'!$AU$10&amp;'Reg 85'!$B38),('DMR 001C TIN &amp; TP'!$E$3:$E$10005&amp;'DMR 001C TIN &amp; TP'!$B$3:$B$10005&amp;'DMR 001C TIN &amp; TP'!$A$3:$A$10005),0),MATCH('Reg 85'!$AV$11,'DMR 001C TIN &amp; TP'!$A$2:$M$2,0))),"")</f>
        <v>0.03</v>
      </c>
      <c r="AW38" s="6" t="str">
        <f t="array" ref="AW38">_xlfn.IFNA((INDEX('DMR 001C TIN &amp; TP'!$A$3:$M$10005,MATCH(('Reg 85'!$AQ$6&amp;'Reg 85'!$AU$10&amp;'Reg 85'!$B38),('DMR 001C TIN &amp; TP'!$E$3:$E$10005&amp;'DMR 001C TIN &amp; TP'!$B$3:$B$10005&amp;'DMR 001C TIN &amp; TP'!$A$3:$A$10005),0),MATCH('Reg 85'!$AW$11,'DMR 001C TIN &amp; TP'!$A$2:$M$2,0))),"")</f>
        <v>Scratched</v>
      </c>
      <c r="AX38" s="53" t="str">
        <f t="shared" si="16"/>
        <v/>
      </c>
      <c r="AY38" s="55" t="str">
        <f t="shared" si="17"/>
        <v/>
      </c>
      <c r="AZ38" s="77" t="str">
        <f t="shared" si="37"/>
        <v/>
      </c>
      <c r="BA38" s="6" t="str">
        <f t="array" ref="BA38">_xlfn.IFNA((INDEX('DMR 001C TIN &amp; TP'!$A$3:$M$10005,MATCH(('Reg 85'!$AQ$6&amp;'Reg 85'!BA$10&amp;'Reg 85'!$B38),('DMR 001C TIN &amp; TP'!$E$3:$E$10005&amp;'DMR 001C TIN &amp; TP'!$B$3:$B$10005&amp;'DMR 001C TIN &amp; TP'!$A$3:$A$10005),0),MATCH('Reg 85'!$AG$11,'DMR 001C TIN &amp; TP'!$A$2:$M$2,0))),"")</f>
        <v/>
      </c>
      <c r="BB38" s="6" t="str">
        <f t="array" ref="BB38">_xlfn.IFNA((INDEX('DMR 001C TIN &amp; TP'!$A$3:$M$10005,MATCH(('Reg 85'!$AQ$6&amp;'Reg 85'!BB$10&amp;'Reg 85'!$B38),('DMR 001C TIN &amp; TP'!$E$3:$E$10005&amp;'DMR 001C TIN &amp; TP'!$B$3:$B$10005&amp;'DMR 001C TIN &amp; TP'!$A$3:$A$10005),0),MATCH('Reg 85'!$AG$11,'DMR 001C TIN &amp; TP'!$A$2:$M$2,0))),"")</f>
        <v/>
      </c>
      <c r="BC38" s="6" t="str">
        <f t="array" ref="BC38">_xlfn.IFNA((INDEX('DMR 001C TIN &amp; TP'!$A$3:$M$10005,MATCH(('Reg 85'!$AQ$6&amp;'Reg 85'!BC$10&amp;'Reg 85'!$B38),('DMR 001C TIN &amp; TP'!$E$3:$E$10005&amp;'DMR 001C TIN &amp; TP'!$B$3:$B$10005&amp;'DMR 001C TIN &amp; TP'!$A$3:$A$10005),0),MATCH('Reg 85'!$AG$11,'DMR 001C TIN &amp; TP'!$A$2:$M$2,0))),"")</f>
        <v/>
      </c>
      <c r="BD38" s="6" t="str">
        <f t="array" ref="BD38">_xlfn.IFNA((INDEX('DMR 001C TIN &amp; TP'!$A$3:$M$10005,MATCH(('Reg 85'!$AQ$6&amp;'Reg 85'!BD$10&amp;'Reg 85'!$B38),('DMR 001C TIN &amp; TP'!$E$3:$E$10005&amp;'DMR 001C TIN &amp; TP'!$B$3:$B$10005&amp;'DMR 001C TIN &amp; TP'!$A$3:$A$10005),0),MATCH('Reg 85'!$AG$11,'DMR 001C TIN &amp; TP'!$A$2:$M$2,0))),"")</f>
        <v/>
      </c>
      <c r="BE38" s="6" t="str">
        <f t="array" ref="BE38">_xlfn.IFNA((INDEX('DMR 001C TIN &amp; TP'!$A$3:$M$10005,MATCH(('Reg 85'!$AQ$6&amp;'Reg 85'!BE$10&amp;'Reg 85'!$B38),('DMR 001C TIN &amp; TP'!$E$3:$E$10005&amp;'DMR 001C TIN &amp; TP'!$B$3:$B$10005&amp;'DMR 001C TIN &amp; TP'!$A$3:$A$10005),0),MATCH('Reg 85'!$AG$11,'DMR 001C TIN &amp; TP'!$A$2:$M$2,0))),"")</f>
        <v/>
      </c>
      <c r="BF38" s="6" t="str">
        <f t="array" ref="BF38">_xlfn.IFNA((INDEX('DMR 001C TIN &amp; TP'!$A$3:$M$10005,MATCH(('Reg 85'!$AQ$6&amp;'Reg 85'!BF$10&amp;'Reg 85'!$B38),('DMR 001C TIN &amp; TP'!$E$3:$E$10005&amp;'DMR 001C TIN &amp; TP'!$B$3:$B$10005&amp;'DMR 001C TIN &amp; TP'!$A$3:$A$10005),0),MATCH('Reg 85'!$AG$11,'DMR 001C TIN &amp; TP'!$A$2:$M$2,0))),"")</f>
        <v/>
      </c>
    </row>
    <row r="39" spans="1:59">
      <c r="A39" s="3" t="str">
        <f t="shared" si="2"/>
        <v>Fri</v>
      </c>
      <c r="B39" s="96">
        <f t="shared" si="19"/>
        <v>43371</v>
      </c>
      <c r="C39" s="96">
        <f t="shared" si="3"/>
        <v>43373</v>
      </c>
      <c r="D39" s="96">
        <f t="shared" si="4"/>
        <v>43344</v>
      </c>
      <c r="E39" s="95">
        <f t="shared" si="5"/>
        <v>30</v>
      </c>
      <c r="F39" s="7">
        <f t="array" ref="F39">_xlfn.IFNA(INDEX('DMR Flows-Effluent'!$A$3:$F$9999,MATCH(($F$10&amp;$B39),('DMR Flows-Effluent'!$B$3:$B$9999&amp;'DMR Flows-Effluent'!$A$3:$A$9999),0),MATCH($F$8,'DMR Flows-Effluent'!$A$2:$F$2,0)),"")</f>
        <v>41.399700000000003</v>
      </c>
      <c r="G39" s="7">
        <f t="array" ref="G39">_xlfn.IFNA(INDEX('DMR Flows-Effluent'!$A$3:$F$9999,MATCH(($G$10&amp;$B39),('DMR Flows-Effluent'!$B$3:$B$9999&amp;'DMR Flows-Effluent'!$A$3:$A$9999),0),MATCH($F$8,'DMR Flows-Effluent'!$A$2:$F$2,0)),"")</f>
        <v>70.566599999999994</v>
      </c>
      <c r="H39" s="7">
        <f t="shared" si="6"/>
        <v>111.96629999999999</v>
      </c>
      <c r="I39" s="45" t="str">
        <f t="shared" si="7"/>
        <v/>
      </c>
      <c r="J39" s="6" t="str">
        <f t="array" ref="J39">_xlfn.IFNA((INDEX('DMR 001C TIN &amp; TP'!$A$3:$M$10005,MATCH(('Reg 85'!$I$6:$Q$6&amp;'Reg 85'!$I$10:$K$10&amp;'Reg 85'!$B39),('DMR 001C TIN &amp; TP'!$E$3:$E$10005&amp;'DMR 001C TIN &amp; TP'!$B$3:$B$10005&amp;'DMR 001C TIN &amp; TP'!$A$3:$A$10005),0),MATCH('Reg 85'!$J$11,'DMR 001C TIN &amp; TP'!$A$2:$M$2,0))),"")</f>
        <v/>
      </c>
      <c r="K39" s="6" t="str">
        <f t="array" ref="K39">_xlfn.IFNA((INDEX('DMR 001C TIN &amp; TP'!$A$3:$M$10005,MATCH(('Reg 85'!$I$6:$Q$6&amp;'Reg 85'!$I$10:$K$10&amp;'Reg 85'!$B39),('DMR 001C TIN &amp; TP'!$E$3:$E$10005&amp;'DMR 001C TIN &amp; TP'!$B$3:$B$10005&amp;'DMR 001C TIN &amp; TP'!$A$3:$A$10005),0),MATCH('Reg 85'!$K$11,'DMR 001C TIN &amp; TP'!$A$2:$M$2,0))),"")</f>
        <v/>
      </c>
      <c r="L39" s="53" t="str">
        <f t="shared" si="21"/>
        <v/>
      </c>
      <c r="M39" s="5" t="str">
        <f t="shared" si="8"/>
        <v/>
      </c>
      <c r="N39" s="6" t="str">
        <f t="array" ref="N39">_xlfn.IFNA((INDEX('DMR 001C TIN &amp; TP'!$A$3:$M$10005,MATCH(('Reg 85'!$I$6:$Q$6&amp;'Reg 85'!$M$10&amp;'Reg 85'!$B39),('DMR 001C TIN &amp; TP'!$E$3:$E$10005&amp;'DMR 001C TIN &amp; TP'!$B$3:$B$10005&amp;'DMR 001C TIN &amp; TP'!$A$3:$A$10005),0),MATCH('Reg 85'!$N$11,'DMR 001C TIN &amp; TP'!$A$2:$M$2,0))),"")</f>
        <v/>
      </c>
      <c r="O39" s="6" t="str">
        <f t="array" ref="O39">_xlfn.IFNA((INDEX('DMR 001C TIN &amp; TP'!$A$3:$M$10005,MATCH(('Reg 85'!$I$6:$Q$6&amp;'Reg 85'!$M$10&amp;'Reg 85'!$B39),('DMR 001C TIN &amp; TP'!$E$3:$E$10005&amp;'DMR 001C TIN &amp; TP'!$B$3:$B$10005&amp;'DMR 001C TIN &amp; TP'!$A$3:$A$10005),0),MATCH('Reg 85'!$O$11,'DMR 001C TIN &amp; TP'!$A$2:$M$2,0))),"")</f>
        <v/>
      </c>
      <c r="P39" s="53" t="str">
        <f t="shared" si="9"/>
        <v/>
      </c>
      <c r="Q39" s="73" t="str">
        <f t="array" ref="Q39">IFERROR(((L39*$F39)+(P39*$G39))/($H39),"")</f>
        <v/>
      </c>
      <c r="R39" s="6" t="str">
        <f t="array" ref="R39">_xlfn.IFNA((INDEX('DMR 001C TIN &amp; TP'!$A$3:$M$10005,MATCH(('Reg 85'!$I$6:$Q$6&amp;'Reg 85'!R$10&amp;'Reg 85'!$B39),('DMR 001C TIN &amp; TP'!$E$3:$E$10005&amp;'DMR 001C TIN &amp; TP'!$B$3:$B$10005&amp;'DMR 001C TIN &amp; TP'!$A$3:$A$10005),0),MATCH('Reg 85'!$O$11,'DMR 001C TIN &amp; TP'!$A$2:$M$2,0))),"")</f>
        <v/>
      </c>
      <c r="S39" s="6" t="str">
        <f t="array" ref="S39">_xlfn.IFNA((INDEX('DMR 001C TIN &amp; TP'!$A$3:$M$10005,MATCH(('Reg 85'!$I$6:$Q$6&amp;'Reg 85'!S$10&amp;'Reg 85'!$B39),('DMR 001C TIN &amp; TP'!$E$3:$E$10005&amp;'DMR 001C TIN &amp; TP'!$B$3:$B$10005&amp;'DMR 001C TIN &amp; TP'!$A$3:$A$10005),0),MATCH('Reg 85'!$O$11,'DMR 001C TIN &amp; TP'!$A$2:$M$2,0))),"")</f>
        <v/>
      </c>
      <c r="T39" s="6" t="str">
        <f t="array" ref="T39">_xlfn.IFNA((INDEX('DMR 001C TIN &amp; TP'!$A$3:$M$10005,MATCH(('Reg 85'!$I$6:$Q$6&amp;'Reg 85'!T$10&amp;'Reg 85'!$B39),('DMR 001C TIN &amp; TP'!$E$3:$E$10005&amp;'DMR 001C TIN &amp; TP'!$B$3:$B$10005&amp;'DMR 001C TIN &amp; TP'!$A$3:$A$10005),0),MATCH('Reg 85'!$O$11,'DMR 001C TIN &amp; TP'!$A$2:$M$2,0))),"")</f>
        <v/>
      </c>
      <c r="U39" s="6" t="str">
        <f t="array" ref="U39">_xlfn.IFNA((INDEX('DMR 001C TIN &amp; TP'!$A$3:$M$10005,MATCH(('Reg 85'!$I$6:$Q$6&amp;'Reg 85'!U$10&amp;'Reg 85'!$B39),('DMR 001C TIN &amp; TP'!$E$3:$E$10005&amp;'DMR 001C TIN &amp; TP'!$B$3:$B$10005&amp;'DMR 001C TIN &amp; TP'!$A$3:$A$10005),0),MATCH('Reg 85'!$O$11,'DMR 001C TIN &amp; TP'!$A$2:$M$2,0))),"")</f>
        <v/>
      </c>
      <c r="V39" s="6" t="str">
        <f t="array" ref="V39">_xlfn.IFNA((INDEX('DMR 001C TIN &amp; TP'!$A$3:$M$10005,MATCH(('Reg 85'!$I$6:$Q$6&amp;'Reg 85'!V$10&amp;'Reg 85'!$B39),('DMR 001C TIN &amp; TP'!$E$3:$E$10005&amp;'DMR 001C TIN &amp; TP'!$B$3:$B$10005&amp;'DMR 001C TIN &amp; TP'!$A$3:$A$10005),0),MATCH('Reg 85'!$O$11,'DMR 001C TIN &amp; TP'!$A$2:$M$2,0))),"")</f>
        <v/>
      </c>
      <c r="W39" s="6" t="str">
        <f t="array" ref="W39">_xlfn.IFNA((INDEX('DMR 001C TIN &amp; TP'!$A$3:$M$10005,MATCH(('Reg 85'!$I$6:$Q$6&amp;'Reg 85'!W$10&amp;'Reg 85'!$B39),('DMR 001C TIN &amp; TP'!$E$3:$E$10005&amp;'DMR 001C TIN &amp; TP'!$B$3:$B$10005&amp;'DMR 001C TIN &amp; TP'!$A$3:$A$10005),0),MATCH('Reg 85'!$O$11,'DMR 001C TIN &amp; TP'!$A$2:$M$2,0))),"")</f>
        <v/>
      </c>
      <c r="X39" s="5" t="str">
        <f t="shared" si="10"/>
        <v/>
      </c>
      <c r="Y39" s="6" t="str">
        <f t="array" ref="Y39">_xlfn.IFNA((INDEX('DMR 001C TIN &amp; TP'!$A$3:$M$10005,MATCH(('Reg 85'!$X$6&amp;'Reg 85'!$X$10&amp;'Reg 85'!$B39),('DMR 001C TIN &amp; TP'!$E$3:$E$10005&amp;'DMR 001C TIN &amp; TP'!$B$3:$B$10005&amp;'DMR 001C TIN &amp; TP'!$A$3:$A$10005),0),MATCH('Reg 85'!$Y$11,'DMR 001C TIN &amp; TP'!$A$2:$M$2,0))),"")</f>
        <v/>
      </c>
      <c r="Z39" s="6" t="str">
        <f t="array" ref="Z39">_xlfn.IFNA((INDEX('DMR 001C TIN &amp; TP'!$A$3:$M$10005,MATCH(('Reg 85'!$X$6&amp;'Reg 85'!$X$10&amp;'Reg 85'!$B39),('DMR 001C TIN &amp; TP'!$E$3:$E$10005&amp;'DMR 001C TIN &amp; TP'!$B$3:$B$10005&amp;'DMR 001C TIN &amp; TP'!$A$3:$A$10005),0),MATCH('Reg 85'!$Z$11,'DMR 001C TIN &amp; TP'!$A$2:$M$2,0))),"")</f>
        <v/>
      </c>
      <c r="AA39" s="53" t="str">
        <f t="shared" si="11"/>
        <v/>
      </c>
      <c r="AB39" s="5" t="str">
        <f t="shared" si="12"/>
        <v/>
      </c>
      <c r="AC39" s="6" t="str">
        <f t="array" ref="AC39">_xlfn.IFNA((INDEX('DMR 001C TIN &amp; TP'!$A$3:$M$10005,MATCH(('Reg 85'!$X$6&amp;'Reg 85'!$AB$10&amp;'Reg 85'!$B39),('DMR 001C TIN &amp; TP'!$E$3:$E$10005&amp;'DMR 001C TIN &amp; TP'!$B$3:$B$10005&amp;'DMR 001C TIN &amp; TP'!$A$3:$A$10005),0),MATCH('Reg 85'!$AC$11,'DMR 001C TIN &amp; TP'!$A$2:$M$2,0))),"")</f>
        <v/>
      </c>
      <c r="AD39" s="6" t="str">
        <f t="array" ref="AD39">_xlfn.IFNA((INDEX('DMR 001C TIN &amp; TP'!$A$3:$M$10005,MATCH(('Reg 85'!$X$6&amp;'Reg 85'!$AB$10&amp;'Reg 85'!$B39),('DMR 001C TIN &amp; TP'!$E$3:$E$10005&amp;'DMR 001C TIN &amp; TP'!$B$3:$B$10005&amp;'DMR 001C TIN &amp; TP'!$A$3:$A$10005),0),MATCH('Reg 85'!$AD$11,'DMR 001C TIN &amp; TP'!$A$2:$M$2,0))),"")</f>
        <v/>
      </c>
      <c r="AE39" s="53" t="str">
        <f t="shared" si="13"/>
        <v/>
      </c>
      <c r="AF39" s="7" t="str">
        <f t="shared" si="14"/>
        <v/>
      </c>
      <c r="AG39" s="6" t="str">
        <f t="array" ref="AG39">_xlfn.IFNA((INDEX('DMR 001C TIN &amp; TP'!$A$3:$M$10005,MATCH(('Reg 85'!$X$6&amp;'Reg 85'!AG$10&amp;'Reg 85'!$B39),('DMR 001C TIN &amp; TP'!$E$3:$E$10005&amp;'DMR 001C TIN &amp; TP'!$B$3:$B$10005&amp;'DMR 001C TIN &amp; TP'!$A$3:$A$10005),0),MATCH('Reg 85'!$AG$11,'DMR 001C TIN &amp; TP'!$A$2:$M$2,0))),"")</f>
        <v/>
      </c>
      <c r="AH39" s="6" t="str">
        <f t="array" ref="AH39">_xlfn.IFNA((INDEX('DMR 001C TIN &amp; TP'!$A$3:$M$10005,MATCH(('Reg 85'!$X$6&amp;'Reg 85'!AH$10&amp;'Reg 85'!$B39),('DMR 001C TIN &amp; TP'!$E$3:$E$10005&amp;'DMR 001C TIN &amp; TP'!$B$3:$B$10005&amp;'DMR 001C TIN &amp; TP'!$A$3:$A$10005),0),MATCH('Reg 85'!$AG$11,'DMR 001C TIN &amp; TP'!$A$2:$M$2,0))),"")</f>
        <v/>
      </c>
      <c r="AI39" s="6" t="str">
        <f t="array" ref="AI39">_xlfn.IFNA((INDEX('DMR 001C TIN &amp; TP'!$A$3:$M$10005,MATCH(('Reg 85'!$X$6&amp;'Reg 85'!AI$10&amp;'Reg 85'!$B39),('DMR 001C TIN &amp; TP'!$E$3:$E$10005&amp;'DMR 001C TIN &amp; TP'!$B$3:$B$10005&amp;'DMR 001C TIN &amp; TP'!$A$3:$A$10005),0),MATCH('Reg 85'!$AG$11,'DMR 001C TIN &amp; TP'!$A$2:$M$2,0))),"")</f>
        <v/>
      </c>
      <c r="AJ39" s="6" t="str">
        <f t="array" ref="AJ39">_xlfn.IFNA((INDEX('DMR 001C TIN &amp; TP'!$A$3:$M$10005,MATCH(('Reg 85'!$X$6&amp;'Reg 85'!AJ$10&amp;'Reg 85'!$B39),('DMR 001C TIN &amp; TP'!$E$3:$E$10005&amp;'DMR 001C TIN &amp; TP'!$B$3:$B$10005&amp;'DMR 001C TIN &amp; TP'!$A$3:$A$10005),0),MATCH('Reg 85'!$AG$11,'DMR 001C TIN &amp; TP'!$A$2:$M$2,0))),"")</f>
        <v/>
      </c>
      <c r="AK39" s="6" t="str">
        <f t="array" ref="AK39">_xlfn.IFNA((INDEX('DMR 001C TIN &amp; TP'!$A$3:$M$10005,MATCH(('Reg 85'!$X$6&amp;'Reg 85'!AK$10&amp;'Reg 85'!$B39),('DMR 001C TIN &amp; TP'!$E$3:$E$10005&amp;'DMR 001C TIN &amp; TP'!$B$3:$B$10005&amp;'DMR 001C TIN &amp; TP'!$A$3:$A$10005),0),MATCH('Reg 85'!$AG$11,'DMR 001C TIN &amp; TP'!$A$2:$M$2,0))),"")</f>
        <v/>
      </c>
      <c r="AL39" s="6" t="str">
        <f t="array" ref="AL39">_xlfn.IFNA((INDEX('DMR 001C TIN &amp; TP'!$A$3:$M$10005,MATCH(('Reg 85'!$X$6&amp;'Reg 85'!AL$10&amp;'Reg 85'!$B39),('DMR 001C TIN &amp; TP'!$E$3:$E$10005&amp;'DMR 001C TIN &amp; TP'!$B$3:$B$10005&amp;'DMR 001C TIN &amp; TP'!$A$3:$A$10005),0),MATCH('Reg 85'!$AG$11,'DMR 001C TIN &amp; TP'!$A$2:$M$2,0))),"")</f>
        <v/>
      </c>
      <c r="AM39" s="76"/>
      <c r="AN39" s="6"/>
      <c r="AO39" s="54" t="str">
        <f t="shared" si="0"/>
        <v/>
      </c>
      <c r="AP39" s="77" t="str">
        <f t="shared" si="38"/>
        <v/>
      </c>
      <c r="AQ39" s="47"/>
      <c r="AR39" s="6" t="str">
        <f t="array" ref="AR39">_xlfn.IFNA((INDEX('DMR 001C TIN &amp; TP'!$A$3:$M$10005,MATCH(('Reg 85'!$AQ$6&amp;'Reg 85'!$AQ$10&amp;'Reg 85'!$B39),('DMR 001C TIN &amp; TP'!$E$3:$E$10005&amp;'DMR 001C TIN &amp; TP'!$B$3:$B$10005&amp;'DMR 001C TIN &amp; TP'!$A$3:$A$10005),0),MATCH('Reg 85'!$AR$11,'DMR 001C TIN &amp; TP'!$A$2:$M$2,0))),"")</f>
        <v/>
      </c>
      <c r="AS39" s="6" t="str">
        <f t="array" ref="AS39">_xlfn.IFNA((INDEX('DMR 001C TIN &amp; TP'!$A$3:$M$10005,MATCH(('Reg 85'!$AQ$6&amp;'Reg 85'!$AQ$10&amp;'Reg 85'!$B39),('DMR 001C TIN &amp; TP'!$E$3:$E$10005&amp;'DMR 001C TIN &amp; TP'!$B$3:$B$10005&amp;'DMR 001C TIN &amp; TP'!$A$3:$A$10005),0),MATCH('Reg 85'!$AS$11,'DMR 001C TIN &amp; TP'!$A$2:$M$2,0))),"")</f>
        <v/>
      </c>
      <c r="AT39" s="53" t="str">
        <f t="shared" si="15"/>
        <v/>
      </c>
      <c r="AV39" s="6" t="str">
        <f t="array" ref="AV39">_xlfn.IFNA((INDEX('DMR 001C TIN &amp; TP'!$A$3:$M$10005,MATCH(('Reg 85'!$AQ$6&amp;'Reg 85'!$AU$10&amp;'Reg 85'!$B39),('DMR 001C TIN &amp; TP'!$E$3:$E$10005&amp;'DMR 001C TIN &amp; TP'!$B$3:$B$10005&amp;'DMR 001C TIN &amp; TP'!$A$3:$A$10005),0),MATCH('Reg 85'!$AV$11,'DMR 001C TIN &amp; TP'!$A$2:$M$2,0))),"")</f>
        <v/>
      </c>
      <c r="AW39" s="6" t="str">
        <f t="array" ref="AW39">_xlfn.IFNA((INDEX('DMR 001C TIN &amp; TP'!$A$3:$M$10005,MATCH(('Reg 85'!$AQ$6&amp;'Reg 85'!$AU$10&amp;'Reg 85'!$B39),('DMR 001C TIN &amp; TP'!$E$3:$E$10005&amp;'DMR 001C TIN &amp; TP'!$B$3:$B$10005&amp;'DMR 001C TIN &amp; TP'!$A$3:$A$10005),0),MATCH('Reg 85'!$AW$11,'DMR 001C TIN &amp; TP'!$A$2:$M$2,0))),"")</f>
        <v/>
      </c>
      <c r="AX39" s="53" t="str">
        <f t="shared" si="16"/>
        <v/>
      </c>
      <c r="AY39" s="55" t="str">
        <f t="shared" si="17"/>
        <v/>
      </c>
      <c r="AZ39" s="77" t="str">
        <f t="shared" si="37"/>
        <v/>
      </c>
      <c r="BA39" s="6" t="str">
        <f t="array" ref="BA39">_xlfn.IFNA((INDEX('DMR 001C TIN &amp; TP'!$A$3:$M$10005,MATCH(('Reg 85'!$AQ$6&amp;'Reg 85'!BA$10&amp;'Reg 85'!$B39),('DMR 001C TIN &amp; TP'!$E$3:$E$10005&amp;'DMR 001C TIN &amp; TP'!$B$3:$B$10005&amp;'DMR 001C TIN &amp; TP'!$A$3:$A$10005),0),MATCH('Reg 85'!$AG$11,'DMR 001C TIN &amp; TP'!$A$2:$M$2,0))),"")</f>
        <v/>
      </c>
      <c r="BB39" s="6" t="str">
        <f t="array" ref="BB39">_xlfn.IFNA((INDEX('DMR 001C TIN &amp; TP'!$A$3:$M$10005,MATCH(('Reg 85'!$AQ$6&amp;'Reg 85'!BB$10&amp;'Reg 85'!$B39),('DMR 001C TIN &amp; TP'!$E$3:$E$10005&amp;'DMR 001C TIN &amp; TP'!$B$3:$B$10005&amp;'DMR 001C TIN &amp; TP'!$A$3:$A$10005),0),MATCH('Reg 85'!$AG$11,'DMR 001C TIN &amp; TP'!$A$2:$M$2,0))),"")</f>
        <v/>
      </c>
      <c r="BC39" s="6" t="str">
        <f t="array" ref="BC39">_xlfn.IFNA((INDEX('DMR 001C TIN &amp; TP'!$A$3:$M$10005,MATCH(('Reg 85'!$AQ$6&amp;'Reg 85'!BC$10&amp;'Reg 85'!$B39),('DMR 001C TIN &amp; TP'!$E$3:$E$10005&amp;'DMR 001C TIN &amp; TP'!$B$3:$B$10005&amp;'DMR 001C TIN &amp; TP'!$A$3:$A$10005),0),MATCH('Reg 85'!$AG$11,'DMR 001C TIN &amp; TP'!$A$2:$M$2,0))),"")</f>
        <v/>
      </c>
      <c r="BD39" s="6" t="str">
        <f t="array" ref="BD39">_xlfn.IFNA((INDEX('DMR 001C TIN &amp; TP'!$A$3:$M$10005,MATCH(('Reg 85'!$AQ$6&amp;'Reg 85'!BD$10&amp;'Reg 85'!$B39),('DMR 001C TIN &amp; TP'!$E$3:$E$10005&amp;'DMR 001C TIN &amp; TP'!$B$3:$B$10005&amp;'DMR 001C TIN &amp; TP'!$A$3:$A$10005),0),MATCH('Reg 85'!$AG$11,'DMR 001C TIN &amp; TP'!$A$2:$M$2,0))),"")</f>
        <v/>
      </c>
      <c r="BE39" s="6" t="str">
        <f t="array" ref="BE39">_xlfn.IFNA((INDEX('DMR 001C TIN &amp; TP'!$A$3:$M$10005,MATCH(('Reg 85'!$AQ$6&amp;'Reg 85'!BE$10&amp;'Reg 85'!$B39),('DMR 001C TIN &amp; TP'!$E$3:$E$10005&amp;'DMR 001C TIN &amp; TP'!$B$3:$B$10005&amp;'DMR 001C TIN &amp; TP'!$A$3:$A$10005),0),MATCH('Reg 85'!$AG$11,'DMR 001C TIN &amp; TP'!$A$2:$M$2,0))),"")</f>
        <v/>
      </c>
      <c r="BF39" s="6" t="str">
        <f t="array" ref="BF39">_xlfn.IFNA((INDEX('DMR 001C TIN &amp; TP'!$A$3:$M$10005,MATCH(('Reg 85'!$AQ$6&amp;'Reg 85'!BF$10&amp;'Reg 85'!$B39),('DMR 001C TIN &amp; TP'!$E$3:$E$10005&amp;'DMR 001C TIN &amp; TP'!$B$3:$B$10005&amp;'DMR 001C TIN &amp; TP'!$A$3:$A$10005),0),MATCH('Reg 85'!$AG$11,'DMR 001C TIN &amp; TP'!$A$2:$M$2,0))),"")</f>
        <v/>
      </c>
    </row>
    <row r="40" spans="1:59">
      <c r="A40" s="3" t="str">
        <f t="shared" si="2"/>
        <v>Sat</v>
      </c>
      <c r="B40" s="96">
        <f t="shared" si="19"/>
        <v>43372</v>
      </c>
      <c r="C40" s="96">
        <f t="shared" si="3"/>
        <v>43373</v>
      </c>
      <c r="D40" s="96">
        <f t="shared" si="4"/>
        <v>43344</v>
      </c>
      <c r="E40" s="95">
        <f t="shared" si="5"/>
        <v>30</v>
      </c>
      <c r="F40" s="7">
        <f t="array" ref="F40">_xlfn.IFNA(INDEX('DMR Flows-Effluent'!$A$3:$F$9999,MATCH(($F$10&amp;$B40),('DMR Flows-Effluent'!$B$3:$B$9999&amp;'DMR Flows-Effluent'!$A$3:$A$9999),0),MATCH($F$8,'DMR Flows-Effluent'!$A$2:$F$2,0)),"")</f>
        <v>46.587800000000001</v>
      </c>
      <c r="G40" s="7">
        <f t="array" ref="G40">_xlfn.IFNA(INDEX('DMR Flows-Effluent'!$A$3:$F$9999,MATCH(($G$10&amp;$B40),('DMR Flows-Effluent'!$B$3:$B$9999&amp;'DMR Flows-Effluent'!$A$3:$A$9999),0),MATCH($F$8,'DMR Flows-Effluent'!$A$2:$F$2,0)),"")</f>
        <v>66.947100000000006</v>
      </c>
      <c r="H40" s="7">
        <f t="shared" si="6"/>
        <v>113.53490000000001</v>
      </c>
      <c r="I40" s="45" t="str">
        <f t="shared" si="7"/>
        <v/>
      </c>
      <c r="J40" s="6" t="str">
        <f t="array" ref="J40">_xlfn.IFNA((INDEX('DMR 001C TIN &amp; TP'!$A$3:$M$10005,MATCH(('Reg 85'!$I$6:$Q$6&amp;'Reg 85'!$I$10:$K$10&amp;'Reg 85'!$B40),('DMR 001C TIN &amp; TP'!$E$3:$E$10005&amp;'DMR 001C TIN &amp; TP'!$B$3:$B$10005&amp;'DMR 001C TIN &amp; TP'!$A$3:$A$10005),0),MATCH('Reg 85'!$J$11,'DMR 001C TIN &amp; TP'!$A$2:$M$2,0))),"")</f>
        <v/>
      </c>
      <c r="K40" s="6" t="str">
        <f t="array" ref="K40">_xlfn.IFNA((INDEX('DMR 001C TIN &amp; TP'!$A$3:$M$10005,MATCH(('Reg 85'!$I$6:$Q$6&amp;'Reg 85'!$I$10:$K$10&amp;'Reg 85'!$B40),('DMR 001C TIN &amp; TP'!$E$3:$E$10005&amp;'DMR 001C TIN &amp; TP'!$B$3:$B$10005&amp;'DMR 001C TIN &amp; TP'!$A$3:$A$10005),0),MATCH('Reg 85'!$K$11,'DMR 001C TIN &amp; TP'!$A$2:$M$2,0))),"")</f>
        <v/>
      </c>
      <c r="L40" s="53" t="str">
        <f t="shared" si="21"/>
        <v/>
      </c>
      <c r="M40" s="5" t="str">
        <f t="shared" si="8"/>
        <v/>
      </c>
      <c r="N40" s="6" t="str">
        <f t="array" ref="N40">_xlfn.IFNA((INDEX('DMR 001C TIN &amp; TP'!$A$3:$M$10005,MATCH(('Reg 85'!$I$6:$Q$6&amp;'Reg 85'!$M$10&amp;'Reg 85'!$B40),('DMR 001C TIN &amp; TP'!$E$3:$E$10005&amp;'DMR 001C TIN &amp; TP'!$B$3:$B$10005&amp;'DMR 001C TIN &amp; TP'!$A$3:$A$10005),0),MATCH('Reg 85'!$N$11,'DMR 001C TIN &amp; TP'!$A$2:$M$2,0))),"")</f>
        <v/>
      </c>
      <c r="O40" s="6" t="str">
        <f t="array" ref="O40">_xlfn.IFNA((INDEX('DMR 001C TIN &amp; TP'!$A$3:$M$10005,MATCH(('Reg 85'!$I$6:$Q$6&amp;'Reg 85'!$M$10&amp;'Reg 85'!$B40),('DMR 001C TIN &amp; TP'!$E$3:$E$10005&amp;'DMR 001C TIN &amp; TP'!$B$3:$B$10005&amp;'DMR 001C TIN &amp; TP'!$A$3:$A$10005),0),MATCH('Reg 85'!$O$11,'DMR 001C TIN &amp; TP'!$A$2:$M$2,0))),"")</f>
        <v/>
      </c>
      <c r="P40" s="53" t="str">
        <f t="shared" si="9"/>
        <v/>
      </c>
      <c r="Q40" s="73" t="str">
        <f t="array" ref="Q40">IFERROR(((L40*$F40)+(P40*$G40))/($H40),"")</f>
        <v/>
      </c>
      <c r="R40" s="6" t="str">
        <f t="array" ref="R40">_xlfn.IFNA((INDEX('DMR 001C TIN &amp; TP'!$A$3:$M$10005,MATCH(('Reg 85'!$I$6:$Q$6&amp;'Reg 85'!R$10&amp;'Reg 85'!$B40),('DMR 001C TIN &amp; TP'!$E$3:$E$10005&amp;'DMR 001C TIN &amp; TP'!$B$3:$B$10005&amp;'DMR 001C TIN &amp; TP'!$A$3:$A$10005),0),MATCH('Reg 85'!$O$11,'DMR 001C TIN &amp; TP'!$A$2:$M$2,0))),"")</f>
        <v/>
      </c>
      <c r="S40" s="6" t="str">
        <f t="array" ref="S40">_xlfn.IFNA((INDEX('DMR 001C TIN &amp; TP'!$A$3:$M$10005,MATCH(('Reg 85'!$I$6:$Q$6&amp;'Reg 85'!S$10&amp;'Reg 85'!$B40),('DMR 001C TIN &amp; TP'!$E$3:$E$10005&amp;'DMR 001C TIN &amp; TP'!$B$3:$B$10005&amp;'DMR 001C TIN &amp; TP'!$A$3:$A$10005),0),MATCH('Reg 85'!$O$11,'DMR 001C TIN &amp; TP'!$A$2:$M$2,0))),"")</f>
        <v/>
      </c>
      <c r="T40" s="6" t="str">
        <f t="array" ref="T40">_xlfn.IFNA((INDEX('DMR 001C TIN &amp; TP'!$A$3:$M$10005,MATCH(('Reg 85'!$I$6:$Q$6&amp;'Reg 85'!T$10&amp;'Reg 85'!$B40),('DMR 001C TIN &amp; TP'!$E$3:$E$10005&amp;'DMR 001C TIN &amp; TP'!$B$3:$B$10005&amp;'DMR 001C TIN &amp; TP'!$A$3:$A$10005),0),MATCH('Reg 85'!$O$11,'DMR 001C TIN &amp; TP'!$A$2:$M$2,0))),"")</f>
        <v/>
      </c>
      <c r="U40" s="6" t="str">
        <f t="array" ref="U40">_xlfn.IFNA((INDEX('DMR 001C TIN &amp; TP'!$A$3:$M$10005,MATCH(('Reg 85'!$I$6:$Q$6&amp;'Reg 85'!U$10&amp;'Reg 85'!$B40),('DMR 001C TIN &amp; TP'!$E$3:$E$10005&amp;'DMR 001C TIN &amp; TP'!$B$3:$B$10005&amp;'DMR 001C TIN &amp; TP'!$A$3:$A$10005),0),MATCH('Reg 85'!$O$11,'DMR 001C TIN &amp; TP'!$A$2:$M$2,0))),"")</f>
        <v/>
      </c>
      <c r="V40" s="6" t="str">
        <f t="array" ref="V40">_xlfn.IFNA((INDEX('DMR 001C TIN &amp; TP'!$A$3:$M$10005,MATCH(('Reg 85'!$I$6:$Q$6&amp;'Reg 85'!V$10&amp;'Reg 85'!$B40),('DMR 001C TIN &amp; TP'!$E$3:$E$10005&amp;'DMR 001C TIN &amp; TP'!$B$3:$B$10005&amp;'DMR 001C TIN &amp; TP'!$A$3:$A$10005),0),MATCH('Reg 85'!$O$11,'DMR 001C TIN &amp; TP'!$A$2:$M$2,0))),"")</f>
        <v/>
      </c>
      <c r="W40" s="6" t="str">
        <f t="array" ref="W40">_xlfn.IFNA((INDEX('DMR 001C TIN &amp; TP'!$A$3:$M$10005,MATCH(('Reg 85'!$I$6:$Q$6&amp;'Reg 85'!W$10&amp;'Reg 85'!$B40),('DMR 001C TIN &amp; TP'!$E$3:$E$10005&amp;'DMR 001C TIN &amp; TP'!$B$3:$B$10005&amp;'DMR 001C TIN &amp; TP'!$A$3:$A$10005),0),MATCH('Reg 85'!$O$11,'DMR 001C TIN &amp; TP'!$A$2:$M$2,0))),"")</f>
        <v/>
      </c>
      <c r="X40" s="5" t="str">
        <f t="shared" si="10"/>
        <v/>
      </c>
      <c r="Y40" s="6" t="str">
        <f t="array" ref="Y40">_xlfn.IFNA((INDEX('DMR 001C TIN &amp; TP'!$A$3:$M$10005,MATCH(('Reg 85'!$X$6&amp;'Reg 85'!$X$10&amp;'Reg 85'!$B40),('DMR 001C TIN &amp; TP'!$E$3:$E$10005&amp;'DMR 001C TIN &amp; TP'!$B$3:$B$10005&amp;'DMR 001C TIN &amp; TP'!$A$3:$A$10005),0),MATCH('Reg 85'!$Y$11,'DMR 001C TIN &amp; TP'!$A$2:$M$2,0))),"")</f>
        <v/>
      </c>
      <c r="Z40" s="6" t="str">
        <f t="array" ref="Z40">_xlfn.IFNA((INDEX('DMR 001C TIN &amp; TP'!$A$3:$M$10005,MATCH(('Reg 85'!$X$6&amp;'Reg 85'!$X$10&amp;'Reg 85'!$B40),('DMR 001C TIN &amp; TP'!$E$3:$E$10005&amp;'DMR 001C TIN &amp; TP'!$B$3:$B$10005&amp;'DMR 001C TIN &amp; TP'!$A$3:$A$10005),0),MATCH('Reg 85'!$Z$11,'DMR 001C TIN &amp; TP'!$A$2:$M$2,0))),"")</f>
        <v/>
      </c>
      <c r="AA40" s="53" t="str">
        <f t="shared" si="11"/>
        <v/>
      </c>
      <c r="AB40" s="5" t="str">
        <f t="shared" si="12"/>
        <v/>
      </c>
      <c r="AC40" s="6" t="str">
        <f t="array" ref="AC40">_xlfn.IFNA((INDEX('DMR 001C TIN &amp; TP'!$A$3:$M$10005,MATCH(('Reg 85'!$X$6&amp;'Reg 85'!$AB$10&amp;'Reg 85'!$B40),('DMR 001C TIN &amp; TP'!$E$3:$E$10005&amp;'DMR 001C TIN &amp; TP'!$B$3:$B$10005&amp;'DMR 001C TIN &amp; TP'!$A$3:$A$10005),0),MATCH('Reg 85'!$AC$11,'DMR 001C TIN &amp; TP'!$A$2:$M$2,0))),"")</f>
        <v/>
      </c>
      <c r="AD40" s="6" t="str">
        <f t="array" ref="AD40">_xlfn.IFNA((INDEX('DMR 001C TIN &amp; TP'!$A$3:$M$10005,MATCH(('Reg 85'!$X$6&amp;'Reg 85'!$AB$10&amp;'Reg 85'!$B40),('DMR 001C TIN &amp; TP'!$E$3:$E$10005&amp;'DMR 001C TIN &amp; TP'!$B$3:$B$10005&amp;'DMR 001C TIN &amp; TP'!$A$3:$A$10005),0),MATCH('Reg 85'!$AD$11,'DMR 001C TIN &amp; TP'!$A$2:$M$2,0))),"")</f>
        <v/>
      </c>
      <c r="AE40" s="53" t="str">
        <f t="shared" si="13"/>
        <v/>
      </c>
      <c r="AF40" s="7" t="str">
        <f t="shared" si="14"/>
        <v/>
      </c>
      <c r="AG40" s="6" t="str">
        <f t="array" ref="AG40">_xlfn.IFNA((INDEX('DMR 001C TIN &amp; TP'!$A$3:$M$10005,MATCH(('Reg 85'!$X$6&amp;'Reg 85'!AG$10&amp;'Reg 85'!$B40),('DMR 001C TIN &amp; TP'!$E$3:$E$10005&amp;'DMR 001C TIN &amp; TP'!$B$3:$B$10005&amp;'DMR 001C TIN &amp; TP'!$A$3:$A$10005),0),MATCH('Reg 85'!$AG$11,'DMR 001C TIN &amp; TP'!$A$2:$M$2,0))),"")</f>
        <v/>
      </c>
      <c r="AH40" s="6" t="str">
        <f t="array" ref="AH40">_xlfn.IFNA((INDEX('DMR 001C TIN &amp; TP'!$A$3:$M$10005,MATCH(('Reg 85'!$X$6&amp;'Reg 85'!AH$10&amp;'Reg 85'!$B40),('DMR 001C TIN &amp; TP'!$E$3:$E$10005&amp;'DMR 001C TIN &amp; TP'!$B$3:$B$10005&amp;'DMR 001C TIN &amp; TP'!$A$3:$A$10005),0),MATCH('Reg 85'!$AG$11,'DMR 001C TIN &amp; TP'!$A$2:$M$2,0))),"")</f>
        <v/>
      </c>
      <c r="AI40" s="6" t="str">
        <f t="array" ref="AI40">_xlfn.IFNA((INDEX('DMR 001C TIN &amp; TP'!$A$3:$M$10005,MATCH(('Reg 85'!$X$6&amp;'Reg 85'!AI$10&amp;'Reg 85'!$B40),('DMR 001C TIN &amp; TP'!$E$3:$E$10005&amp;'DMR 001C TIN &amp; TP'!$B$3:$B$10005&amp;'DMR 001C TIN &amp; TP'!$A$3:$A$10005),0),MATCH('Reg 85'!$AG$11,'DMR 001C TIN &amp; TP'!$A$2:$M$2,0))),"")</f>
        <v/>
      </c>
      <c r="AJ40" s="6" t="str">
        <f t="array" ref="AJ40">_xlfn.IFNA((INDEX('DMR 001C TIN &amp; TP'!$A$3:$M$10005,MATCH(('Reg 85'!$X$6&amp;'Reg 85'!AJ$10&amp;'Reg 85'!$B40),('DMR 001C TIN &amp; TP'!$E$3:$E$10005&amp;'DMR 001C TIN &amp; TP'!$B$3:$B$10005&amp;'DMR 001C TIN &amp; TP'!$A$3:$A$10005),0),MATCH('Reg 85'!$AG$11,'DMR 001C TIN &amp; TP'!$A$2:$M$2,0))),"")</f>
        <v/>
      </c>
      <c r="AK40" s="6" t="str">
        <f t="array" ref="AK40">_xlfn.IFNA((INDEX('DMR 001C TIN &amp; TP'!$A$3:$M$10005,MATCH(('Reg 85'!$X$6&amp;'Reg 85'!AK$10&amp;'Reg 85'!$B40),('DMR 001C TIN &amp; TP'!$E$3:$E$10005&amp;'DMR 001C TIN &amp; TP'!$B$3:$B$10005&amp;'DMR 001C TIN &amp; TP'!$A$3:$A$10005),0),MATCH('Reg 85'!$AG$11,'DMR 001C TIN &amp; TP'!$A$2:$M$2,0))),"")</f>
        <v/>
      </c>
      <c r="AL40" s="6" t="str">
        <f t="array" ref="AL40">_xlfn.IFNA((INDEX('DMR 001C TIN &amp; TP'!$A$3:$M$10005,MATCH(('Reg 85'!$X$6&amp;'Reg 85'!AL$10&amp;'Reg 85'!$B40),('DMR 001C TIN &amp; TP'!$E$3:$E$10005&amp;'DMR 001C TIN &amp; TP'!$B$3:$B$10005&amp;'DMR 001C TIN &amp; TP'!$A$3:$A$10005),0),MATCH('Reg 85'!$AG$11,'DMR 001C TIN &amp; TP'!$A$2:$M$2,0))),"")</f>
        <v/>
      </c>
      <c r="AM40" s="76"/>
      <c r="AN40" s="6"/>
      <c r="AO40" s="54" t="str">
        <f t="shared" si="0"/>
        <v/>
      </c>
      <c r="AP40" s="77" t="str">
        <f t="shared" si="38"/>
        <v/>
      </c>
      <c r="AQ40" s="47"/>
      <c r="AR40" s="6" t="str">
        <f t="array" ref="AR40">_xlfn.IFNA((INDEX('DMR 001C TIN &amp; TP'!$A$3:$M$10005,MATCH(('Reg 85'!$AQ$6&amp;'Reg 85'!$AQ$10&amp;'Reg 85'!$B40),('DMR 001C TIN &amp; TP'!$E$3:$E$10005&amp;'DMR 001C TIN &amp; TP'!$B$3:$B$10005&amp;'DMR 001C TIN &amp; TP'!$A$3:$A$10005),0),MATCH('Reg 85'!$AR$11,'DMR 001C TIN &amp; TP'!$A$2:$M$2,0))),"")</f>
        <v/>
      </c>
      <c r="AS40" s="6" t="str">
        <f t="array" ref="AS40">_xlfn.IFNA((INDEX('DMR 001C TIN &amp; TP'!$A$3:$M$10005,MATCH(('Reg 85'!$AQ$6&amp;'Reg 85'!$AQ$10&amp;'Reg 85'!$B40),('DMR 001C TIN &amp; TP'!$E$3:$E$10005&amp;'DMR 001C TIN &amp; TP'!$B$3:$B$10005&amp;'DMR 001C TIN &amp; TP'!$A$3:$A$10005),0),MATCH('Reg 85'!$AS$11,'DMR 001C TIN &amp; TP'!$A$2:$M$2,0))),"")</f>
        <v/>
      </c>
      <c r="AT40" s="53" t="str">
        <f t="shared" si="15"/>
        <v/>
      </c>
      <c r="AV40" s="6" t="str">
        <f t="array" ref="AV40">_xlfn.IFNA((INDEX('DMR 001C TIN &amp; TP'!$A$3:$M$10005,MATCH(('Reg 85'!$AQ$6&amp;'Reg 85'!$AU$10&amp;'Reg 85'!$B40),('DMR 001C TIN &amp; TP'!$E$3:$E$10005&amp;'DMR 001C TIN &amp; TP'!$B$3:$B$10005&amp;'DMR 001C TIN &amp; TP'!$A$3:$A$10005),0),MATCH('Reg 85'!$AV$11,'DMR 001C TIN &amp; TP'!$A$2:$M$2,0))),"")</f>
        <v/>
      </c>
      <c r="AW40" s="6" t="str">
        <f t="array" ref="AW40">_xlfn.IFNA((INDEX('DMR 001C TIN &amp; TP'!$A$3:$M$10005,MATCH(('Reg 85'!$AQ$6&amp;'Reg 85'!$AU$10&amp;'Reg 85'!$B40),('DMR 001C TIN &amp; TP'!$E$3:$E$10005&amp;'DMR 001C TIN &amp; TP'!$B$3:$B$10005&amp;'DMR 001C TIN &amp; TP'!$A$3:$A$10005),0),MATCH('Reg 85'!$AW$11,'DMR 001C TIN &amp; TP'!$A$2:$M$2,0))),"")</f>
        <v/>
      </c>
      <c r="AX40" s="53" t="str">
        <f t="shared" si="16"/>
        <v/>
      </c>
      <c r="AY40" s="55" t="str">
        <f t="shared" si="17"/>
        <v/>
      </c>
      <c r="AZ40" s="77" t="str">
        <f t="shared" si="37"/>
        <v/>
      </c>
      <c r="BA40" s="6" t="str">
        <f t="array" ref="BA40">_xlfn.IFNA((INDEX('DMR 001C TIN &amp; TP'!$A$3:$M$10005,MATCH(('Reg 85'!$AQ$6&amp;'Reg 85'!BA$10&amp;'Reg 85'!$B40),('DMR 001C TIN &amp; TP'!$E$3:$E$10005&amp;'DMR 001C TIN &amp; TP'!$B$3:$B$10005&amp;'DMR 001C TIN &amp; TP'!$A$3:$A$10005),0),MATCH('Reg 85'!$AG$11,'DMR 001C TIN &amp; TP'!$A$2:$M$2,0))),"")</f>
        <v/>
      </c>
      <c r="BB40" s="6" t="str">
        <f t="array" ref="BB40">_xlfn.IFNA((INDEX('DMR 001C TIN &amp; TP'!$A$3:$M$10005,MATCH(('Reg 85'!$AQ$6&amp;'Reg 85'!BB$10&amp;'Reg 85'!$B40),('DMR 001C TIN &amp; TP'!$E$3:$E$10005&amp;'DMR 001C TIN &amp; TP'!$B$3:$B$10005&amp;'DMR 001C TIN &amp; TP'!$A$3:$A$10005),0),MATCH('Reg 85'!$AG$11,'DMR 001C TIN &amp; TP'!$A$2:$M$2,0))),"")</f>
        <v/>
      </c>
      <c r="BC40" s="6" t="str">
        <f t="array" ref="BC40">_xlfn.IFNA((INDEX('DMR 001C TIN &amp; TP'!$A$3:$M$10005,MATCH(('Reg 85'!$AQ$6&amp;'Reg 85'!BC$10&amp;'Reg 85'!$B40),('DMR 001C TIN &amp; TP'!$E$3:$E$10005&amp;'DMR 001C TIN &amp; TP'!$B$3:$B$10005&amp;'DMR 001C TIN &amp; TP'!$A$3:$A$10005),0),MATCH('Reg 85'!$AG$11,'DMR 001C TIN &amp; TP'!$A$2:$M$2,0))),"")</f>
        <v/>
      </c>
      <c r="BD40" s="6" t="str">
        <f t="array" ref="BD40">_xlfn.IFNA((INDEX('DMR 001C TIN &amp; TP'!$A$3:$M$10005,MATCH(('Reg 85'!$AQ$6&amp;'Reg 85'!BD$10&amp;'Reg 85'!$B40),('DMR 001C TIN &amp; TP'!$E$3:$E$10005&amp;'DMR 001C TIN &amp; TP'!$B$3:$B$10005&amp;'DMR 001C TIN &amp; TP'!$A$3:$A$10005),0),MATCH('Reg 85'!$AG$11,'DMR 001C TIN &amp; TP'!$A$2:$M$2,0))),"")</f>
        <v/>
      </c>
      <c r="BE40" s="6" t="str">
        <f t="array" ref="BE40">_xlfn.IFNA((INDEX('DMR 001C TIN &amp; TP'!$A$3:$M$10005,MATCH(('Reg 85'!$AQ$6&amp;'Reg 85'!BE$10&amp;'Reg 85'!$B40),('DMR 001C TIN &amp; TP'!$E$3:$E$10005&amp;'DMR 001C TIN &amp; TP'!$B$3:$B$10005&amp;'DMR 001C TIN &amp; TP'!$A$3:$A$10005),0),MATCH('Reg 85'!$AG$11,'DMR 001C TIN &amp; TP'!$A$2:$M$2,0))),"")</f>
        <v/>
      </c>
      <c r="BF40" s="6" t="str">
        <f t="array" ref="BF40">_xlfn.IFNA((INDEX('DMR 001C TIN &amp; TP'!$A$3:$M$10005,MATCH(('Reg 85'!$AQ$6&amp;'Reg 85'!BF$10&amp;'Reg 85'!$B40),('DMR 001C TIN &amp; TP'!$E$3:$E$10005&amp;'DMR 001C TIN &amp; TP'!$B$3:$B$10005&amp;'DMR 001C TIN &amp; TP'!$A$3:$A$10005),0),MATCH('Reg 85'!$AG$11,'DMR 001C TIN &amp; TP'!$A$2:$M$2,0))),"")</f>
        <v/>
      </c>
    </row>
    <row r="41" spans="1:59">
      <c r="A41" s="3" t="str">
        <f t="shared" si="2"/>
        <v>Sun</v>
      </c>
      <c r="B41" s="96">
        <f t="shared" si="19"/>
        <v>43373</v>
      </c>
      <c r="C41" s="96">
        <f t="shared" si="3"/>
        <v>43373</v>
      </c>
      <c r="D41" s="96">
        <f t="shared" si="4"/>
        <v>43344</v>
      </c>
      <c r="E41" s="95">
        <f t="shared" si="5"/>
        <v>30</v>
      </c>
      <c r="F41" s="7">
        <f t="array" ref="F41">_xlfn.IFNA(INDEX('DMR Flows-Effluent'!$A$3:$F$9999,MATCH(($F$10&amp;$B41),('DMR Flows-Effluent'!$B$3:$B$9999&amp;'DMR Flows-Effluent'!$A$3:$A$9999),0),MATCH($F$8,'DMR Flows-Effluent'!$A$2:$F$2,0)),"")</f>
        <v>49.485300000000002</v>
      </c>
      <c r="G41" s="7">
        <f t="array" ref="G41">_xlfn.IFNA(INDEX('DMR Flows-Effluent'!$A$3:$F$9999,MATCH(($G$10&amp;$B41),('DMR Flows-Effluent'!$B$3:$B$9999&amp;'DMR Flows-Effluent'!$A$3:$A$9999),0),MATCH($F$8,'DMR Flows-Effluent'!$A$2:$F$2,0)),"")</f>
        <v>68.865899999999996</v>
      </c>
      <c r="H41" s="7">
        <f t="shared" si="6"/>
        <v>118.35120000000001</v>
      </c>
      <c r="I41" s="45" t="str">
        <f t="shared" si="7"/>
        <v/>
      </c>
      <c r="J41" s="6" t="str">
        <f t="array" ref="J41">_xlfn.IFNA((INDEX('DMR 001C TIN &amp; TP'!$A$3:$M$10005,MATCH(('Reg 85'!$I$6:$Q$6&amp;'Reg 85'!$I$10:$K$10&amp;'Reg 85'!$B41),('DMR 001C TIN &amp; TP'!$E$3:$E$10005&amp;'DMR 001C TIN &amp; TP'!$B$3:$B$10005&amp;'DMR 001C TIN &amp; TP'!$A$3:$A$10005),0),MATCH('Reg 85'!$J$11,'DMR 001C TIN &amp; TP'!$A$2:$M$2,0))),"")</f>
        <v/>
      </c>
      <c r="K41" s="6" t="str">
        <f t="array" ref="K41">_xlfn.IFNA((INDEX('DMR 001C TIN &amp; TP'!$A$3:$M$10005,MATCH(('Reg 85'!$I$6:$Q$6&amp;'Reg 85'!$I$10:$K$10&amp;'Reg 85'!$B41),('DMR 001C TIN &amp; TP'!$E$3:$E$10005&amp;'DMR 001C TIN &amp; TP'!$B$3:$B$10005&amp;'DMR 001C TIN &amp; TP'!$A$3:$A$10005),0),MATCH('Reg 85'!$K$11,'DMR 001C TIN &amp; TP'!$A$2:$M$2,0))),"")</f>
        <v/>
      </c>
      <c r="L41" s="53" t="str">
        <f t="shared" si="21"/>
        <v/>
      </c>
      <c r="M41" s="5" t="str">
        <f t="shared" si="8"/>
        <v/>
      </c>
      <c r="N41" s="6" t="str">
        <f t="array" ref="N41">_xlfn.IFNA((INDEX('DMR 001C TIN &amp; TP'!$A$3:$M$10005,MATCH(('Reg 85'!$I$6:$Q$6&amp;'Reg 85'!$M$10&amp;'Reg 85'!$B41),('DMR 001C TIN &amp; TP'!$E$3:$E$10005&amp;'DMR 001C TIN &amp; TP'!$B$3:$B$10005&amp;'DMR 001C TIN &amp; TP'!$A$3:$A$10005),0),MATCH('Reg 85'!$N$11,'DMR 001C TIN &amp; TP'!$A$2:$M$2,0))),"")</f>
        <v/>
      </c>
      <c r="O41" s="6" t="str">
        <f t="array" ref="O41">_xlfn.IFNA((INDEX('DMR 001C TIN &amp; TP'!$A$3:$M$10005,MATCH(('Reg 85'!$I$6:$Q$6&amp;'Reg 85'!$M$10&amp;'Reg 85'!$B41),('DMR 001C TIN &amp; TP'!$E$3:$E$10005&amp;'DMR 001C TIN &amp; TP'!$B$3:$B$10005&amp;'DMR 001C TIN &amp; TP'!$A$3:$A$10005),0),MATCH('Reg 85'!$O$11,'DMR 001C TIN &amp; TP'!$A$2:$M$2,0))),"")</f>
        <v/>
      </c>
      <c r="P41" s="53" t="str">
        <f t="shared" si="9"/>
        <v/>
      </c>
      <c r="Q41" s="73" t="str">
        <f t="array" ref="Q41">IFERROR(((L41*$F41)+(P41*$G41))/($H41),"")</f>
        <v/>
      </c>
      <c r="R41" s="6" t="str">
        <f t="array" ref="R41">_xlfn.IFNA((INDEX('DMR 001C TIN &amp; TP'!$A$3:$M$10005,MATCH(('Reg 85'!$I$6:$Q$6&amp;'Reg 85'!R$10&amp;'Reg 85'!$B41),('DMR 001C TIN &amp; TP'!$E$3:$E$10005&amp;'DMR 001C TIN &amp; TP'!$B$3:$B$10005&amp;'DMR 001C TIN &amp; TP'!$A$3:$A$10005),0),MATCH('Reg 85'!$O$11,'DMR 001C TIN &amp; TP'!$A$2:$M$2,0))),"")</f>
        <v/>
      </c>
      <c r="S41" s="6" t="str">
        <f t="array" ref="S41">_xlfn.IFNA((INDEX('DMR 001C TIN &amp; TP'!$A$3:$M$10005,MATCH(('Reg 85'!$I$6:$Q$6&amp;'Reg 85'!S$10&amp;'Reg 85'!$B41),('DMR 001C TIN &amp; TP'!$E$3:$E$10005&amp;'DMR 001C TIN &amp; TP'!$B$3:$B$10005&amp;'DMR 001C TIN &amp; TP'!$A$3:$A$10005),0),MATCH('Reg 85'!$O$11,'DMR 001C TIN &amp; TP'!$A$2:$M$2,0))),"")</f>
        <v/>
      </c>
      <c r="T41" s="6" t="str">
        <f t="array" ref="T41">_xlfn.IFNA((INDEX('DMR 001C TIN &amp; TP'!$A$3:$M$10005,MATCH(('Reg 85'!$I$6:$Q$6&amp;'Reg 85'!T$10&amp;'Reg 85'!$B41),('DMR 001C TIN &amp; TP'!$E$3:$E$10005&amp;'DMR 001C TIN &amp; TP'!$B$3:$B$10005&amp;'DMR 001C TIN &amp; TP'!$A$3:$A$10005),0),MATCH('Reg 85'!$O$11,'DMR 001C TIN &amp; TP'!$A$2:$M$2,0))),"")</f>
        <v/>
      </c>
      <c r="U41" s="6" t="str">
        <f t="array" ref="U41">_xlfn.IFNA((INDEX('DMR 001C TIN &amp; TP'!$A$3:$M$10005,MATCH(('Reg 85'!$I$6:$Q$6&amp;'Reg 85'!U$10&amp;'Reg 85'!$B41),('DMR 001C TIN &amp; TP'!$E$3:$E$10005&amp;'DMR 001C TIN &amp; TP'!$B$3:$B$10005&amp;'DMR 001C TIN &amp; TP'!$A$3:$A$10005),0),MATCH('Reg 85'!$O$11,'DMR 001C TIN &amp; TP'!$A$2:$M$2,0))),"")</f>
        <v/>
      </c>
      <c r="V41" s="6" t="str">
        <f t="array" ref="V41">_xlfn.IFNA((INDEX('DMR 001C TIN &amp; TP'!$A$3:$M$10005,MATCH(('Reg 85'!$I$6:$Q$6&amp;'Reg 85'!V$10&amp;'Reg 85'!$B41),('DMR 001C TIN &amp; TP'!$E$3:$E$10005&amp;'DMR 001C TIN &amp; TP'!$B$3:$B$10005&amp;'DMR 001C TIN &amp; TP'!$A$3:$A$10005),0),MATCH('Reg 85'!$O$11,'DMR 001C TIN &amp; TP'!$A$2:$M$2,0))),"")</f>
        <v/>
      </c>
      <c r="W41" s="6" t="str">
        <f t="array" ref="W41">_xlfn.IFNA((INDEX('DMR 001C TIN &amp; TP'!$A$3:$M$10005,MATCH(('Reg 85'!$I$6:$Q$6&amp;'Reg 85'!W$10&amp;'Reg 85'!$B41),('DMR 001C TIN &amp; TP'!$E$3:$E$10005&amp;'DMR 001C TIN &amp; TP'!$B$3:$B$10005&amp;'DMR 001C TIN &amp; TP'!$A$3:$A$10005),0),MATCH('Reg 85'!$O$11,'DMR 001C TIN &amp; TP'!$A$2:$M$2,0))),"")</f>
        <v/>
      </c>
      <c r="X41" s="5" t="str">
        <f t="shared" si="10"/>
        <v/>
      </c>
      <c r="Y41" s="6" t="str">
        <f t="array" ref="Y41">_xlfn.IFNA((INDEX('DMR 001C TIN &amp; TP'!$A$3:$M$10005,MATCH(('Reg 85'!$X$6&amp;'Reg 85'!$X$10&amp;'Reg 85'!$B41),('DMR 001C TIN &amp; TP'!$E$3:$E$10005&amp;'DMR 001C TIN &amp; TP'!$B$3:$B$10005&amp;'DMR 001C TIN &amp; TP'!$A$3:$A$10005),0),MATCH('Reg 85'!$Y$11,'DMR 001C TIN &amp; TP'!$A$2:$M$2,0))),"")</f>
        <v/>
      </c>
      <c r="Z41" s="6" t="str">
        <f t="array" ref="Z41">_xlfn.IFNA((INDEX('DMR 001C TIN &amp; TP'!$A$3:$M$10005,MATCH(('Reg 85'!$X$6&amp;'Reg 85'!$X$10&amp;'Reg 85'!$B41),('DMR 001C TIN &amp; TP'!$E$3:$E$10005&amp;'DMR 001C TIN &amp; TP'!$B$3:$B$10005&amp;'DMR 001C TIN &amp; TP'!$A$3:$A$10005),0),MATCH('Reg 85'!$Z$11,'DMR 001C TIN &amp; TP'!$A$2:$M$2,0))),"")</f>
        <v/>
      </c>
      <c r="AA41" s="53" t="str">
        <f t="shared" si="11"/>
        <v/>
      </c>
      <c r="AB41" s="5" t="str">
        <f t="shared" si="12"/>
        <v/>
      </c>
      <c r="AC41" s="6" t="str">
        <f t="array" ref="AC41">_xlfn.IFNA((INDEX('DMR 001C TIN &amp; TP'!$A$3:$M$10005,MATCH(('Reg 85'!$X$6&amp;'Reg 85'!$AB$10&amp;'Reg 85'!$B41),('DMR 001C TIN &amp; TP'!$E$3:$E$10005&amp;'DMR 001C TIN &amp; TP'!$B$3:$B$10005&amp;'DMR 001C TIN &amp; TP'!$A$3:$A$10005),0),MATCH('Reg 85'!$AC$11,'DMR 001C TIN &amp; TP'!$A$2:$M$2,0))),"")</f>
        <v/>
      </c>
      <c r="AD41" s="6" t="str">
        <f t="array" ref="AD41">_xlfn.IFNA((INDEX('DMR 001C TIN &amp; TP'!$A$3:$M$10005,MATCH(('Reg 85'!$X$6&amp;'Reg 85'!$AB$10&amp;'Reg 85'!$B41),('DMR 001C TIN &amp; TP'!$E$3:$E$10005&amp;'DMR 001C TIN &amp; TP'!$B$3:$B$10005&amp;'DMR 001C TIN &amp; TP'!$A$3:$A$10005),0),MATCH('Reg 85'!$AD$11,'DMR 001C TIN &amp; TP'!$A$2:$M$2,0))),"")</f>
        <v/>
      </c>
      <c r="AE41" s="53" t="str">
        <f t="shared" si="13"/>
        <v/>
      </c>
      <c r="AF41" s="7" t="str">
        <f t="shared" si="14"/>
        <v/>
      </c>
      <c r="AG41" s="6" t="str">
        <f t="array" ref="AG41">_xlfn.IFNA((INDEX('DMR 001C TIN &amp; TP'!$A$3:$M$10005,MATCH(('Reg 85'!$X$6&amp;'Reg 85'!AG$10&amp;'Reg 85'!$B41),('DMR 001C TIN &amp; TP'!$E$3:$E$10005&amp;'DMR 001C TIN &amp; TP'!$B$3:$B$10005&amp;'DMR 001C TIN &amp; TP'!$A$3:$A$10005),0),MATCH('Reg 85'!$AG$11,'DMR 001C TIN &amp; TP'!$A$2:$M$2,0))),"")</f>
        <v/>
      </c>
      <c r="AH41" s="6" t="str">
        <f t="array" ref="AH41">_xlfn.IFNA((INDEX('DMR 001C TIN &amp; TP'!$A$3:$M$10005,MATCH(('Reg 85'!$X$6&amp;'Reg 85'!AH$10&amp;'Reg 85'!$B41),('DMR 001C TIN &amp; TP'!$E$3:$E$10005&amp;'DMR 001C TIN &amp; TP'!$B$3:$B$10005&amp;'DMR 001C TIN &amp; TP'!$A$3:$A$10005),0),MATCH('Reg 85'!$AG$11,'DMR 001C TIN &amp; TP'!$A$2:$M$2,0))),"")</f>
        <v/>
      </c>
      <c r="AI41" s="6" t="str">
        <f t="array" ref="AI41">_xlfn.IFNA((INDEX('DMR 001C TIN &amp; TP'!$A$3:$M$10005,MATCH(('Reg 85'!$X$6&amp;'Reg 85'!AI$10&amp;'Reg 85'!$B41),('DMR 001C TIN &amp; TP'!$E$3:$E$10005&amp;'DMR 001C TIN &amp; TP'!$B$3:$B$10005&amp;'DMR 001C TIN &amp; TP'!$A$3:$A$10005),0),MATCH('Reg 85'!$AG$11,'DMR 001C TIN &amp; TP'!$A$2:$M$2,0))),"")</f>
        <v/>
      </c>
      <c r="AJ41" s="6" t="str">
        <f t="array" ref="AJ41">_xlfn.IFNA((INDEX('DMR 001C TIN &amp; TP'!$A$3:$M$10005,MATCH(('Reg 85'!$X$6&amp;'Reg 85'!AJ$10&amp;'Reg 85'!$B41),('DMR 001C TIN &amp; TP'!$E$3:$E$10005&amp;'DMR 001C TIN &amp; TP'!$B$3:$B$10005&amp;'DMR 001C TIN &amp; TP'!$A$3:$A$10005),0),MATCH('Reg 85'!$AG$11,'DMR 001C TIN &amp; TP'!$A$2:$M$2,0))),"")</f>
        <v/>
      </c>
      <c r="AK41" s="6" t="str">
        <f t="array" ref="AK41">_xlfn.IFNA((INDEX('DMR 001C TIN &amp; TP'!$A$3:$M$10005,MATCH(('Reg 85'!$X$6&amp;'Reg 85'!AK$10&amp;'Reg 85'!$B41),('DMR 001C TIN &amp; TP'!$E$3:$E$10005&amp;'DMR 001C TIN &amp; TP'!$B$3:$B$10005&amp;'DMR 001C TIN &amp; TP'!$A$3:$A$10005),0),MATCH('Reg 85'!$AG$11,'DMR 001C TIN &amp; TP'!$A$2:$M$2,0))),"")</f>
        <v/>
      </c>
      <c r="AL41" s="6" t="str">
        <f t="array" ref="AL41">_xlfn.IFNA((INDEX('DMR 001C TIN &amp; TP'!$A$3:$M$10005,MATCH(('Reg 85'!$X$6&amp;'Reg 85'!AL$10&amp;'Reg 85'!$B41),('DMR 001C TIN &amp; TP'!$E$3:$E$10005&amp;'DMR 001C TIN &amp; TP'!$B$3:$B$10005&amp;'DMR 001C TIN &amp; TP'!$A$3:$A$10005),0),MATCH('Reg 85'!$AG$11,'DMR 001C TIN &amp; TP'!$A$2:$M$2,0))),"")</f>
        <v/>
      </c>
      <c r="AM41" s="76"/>
      <c r="AN41" s="6"/>
      <c r="AO41" s="54" t="str">
        <f t="shared" si="0"/>
        <v/>
      </c>
      <c r="AP41" s="77">
        <f>IF(COUNT(IF((B12:B41&lt;=C41)*(B12:B41&gt;=D41)*(B41=EOMONTH(B41,0)),AO12:AO41,""))=0,"",COUNT(IF((B12:B41&lt;=C41)*(B12:B41&gt;=D41)*(B41=EOMONTH(B41,0)),AO12:AO41,"")))</f>
        <v>12</v>
      </c>
      <c r="AQ41" s="47"/>
      <c r="AR41" s="6" t="str">
        <f t="array" ref="AR41">_xlfn.IFNA((INDEX('DMR 001C TIN &amp; TP'!$A$3:$M$10005,MATCH(('Reg 85'!$AQ$6&amp;'Reg 85'!$AQ$10&amp;'Reg 85'!$B41),('DMR 001C TIN &amp; TP'!$E$3:$E$10005&amp;'DMR 001C TIN &amp; TP'!$B$3:$B$10005&amp;'DMR 001C TIN &amp; TP'!$A$3:$A$10005),0),MATCH('Reg 85'!$AR$11,'DMR 001C TIN &amp; TP'!$A$2:$M$2,0))),"")</f>
        <v>0.03</v>
      </c>
      <c r="AS41" s="6">
        <f t="array" ref="AS41">_xlfn.IFNA((INDEX('DMR 001C TIN &amp; TP'!$A$3:$M$10005,MATCH(('Reg 85'!$AQ$6&amp;'Reg 85'!$AQ$10&amp;'Reg 85'!$B41),('DMR 001C TIN &amp; TP'!$E$3:$E$10005&amp;'DMR 001C TIN &amp; TP'!$B$3:$B$10005&amp;'DMR 001C TIN &amp; TP'!$A$3:$A$10005),0),MATCH('Reg 85'!$AS$11,'DMR 001C TIN &amp; TP'!$A$2:$M$2,0))),"")</f>
        <v>0.27</v>
      </c>
      <c r="AT41" s="53">
        <f t="shared" si="15"/>
        <v>0.27</v>
      </c>
      <c r="AV41" s="6" t="str">
        <f t="array" ref="AV41">_xlfn.IFNA((INDEX('DMR 001C TIN &amp; TP'!$A$3:$M$10005,MATCH(('Reg 85'!$AQ$6&amp;'Reg 85'!$AU$10&amp;'Reg 85'!$B41),('DMR 001C TIN &amp; TP'!$E$3:$E$10005&amp;'DMR 001C TIN &amp; TP'!$B$3:$B$10005&amp;'DMR 001C TIN &amp; TP'!$A$3:$A$10005),0),MATCH('Reg 85'!$AV$11,'DMR 001C TIN &amp; TP'!$A$2:$M$2,0))),"")</f>
        <v>0.03</v>
      </c>
      <c r="AW41" s="6">
        <f t="array" ref="AW41">_xlfn.IFNA((INDEX('DMR 001C TIN &amp; TP'!$A$3:$M$10005,MATCH(('Reg 85'!$AQ$6&amp;'Reg 85'!$AU$10&amp;'Reg 85'!$B41),('DMR 001C TIN &amp; TP'!$E$3:$E$10005&amp;'DMR 001C TIN &amp; TP'!$B$3:$B$10005&amp;'DMR 001C TIN &amp; TP'!$A$3:$A$10005),0),MATCH('Reg 85'!$AW$11,'DMR 001C TIN &amp; TP'!$A$2:$M$2,0))),"")</f>
        <v>3.6</v>
      </c>
      <c r="AX41" s="53">
        <f t="shared" si="16"/>
        <v>3.6</v>
      </c>
      <c r="AY41" s="55">
        <f t="shared" si="17"/>
        <v>2.2076520643643662</v>
      </c>
      <c r="AZ41" s="77">
        <f>IF(COUNT(IF((B11:B41&lt;=C41)*(B11:B41&gt;=D41)*(B41=EOMONTH(B41,0)),AY11:AY41,""))=0,"",COUNT(IF((B11:B41&lt;=C41)*(B11:B41&gt;=D41)*(B41=EOMONTH(B41,0)),AY11:AY41,"")))</f>
        <v>8</v>
      </c>
      <c r="BA41" s="6" t="str">
        <f t="array" ref="BA41">_xlfn.IFNA((INDEX('DMR 001C TIN &amp; TP'!$A$3:$M$10005,MATCH(('Reg 85'!$AQ$6&amp;'Reg 85'!BA$10&amp;'Reg 85'!$B41),('DMR 001C TIN &amp; TP'!$E$3:$E$10005&amp;'DMR 001C TIN &amp; TP'!$B$3:$B$10005&amp;'DMR 001C TIN &amp; TP'!$A$3:$A$10005),0),MATCH('Reg 85'!$AG$11,'DMR 001C TIN &amp; TP'!$A$2:$M$2,0))),"")</f>
        <v/>
      </c>
      <c r="BB41" s="6" t="str">
        <f t="array" ref="BB41">_xlfn.IFNA((INDEX('DMR 001C TIN &amp; TP'!$A$3:$M$10005,MATCH(('Reg 85'!$AQ$6&amp;'Reg 85'!BB$10&amp;'Reg 85'!$B41),('DMR 001C TIN &amp; TP'!$E$3:$E$10005&amp;'DMR 001C TIN &amp; TP'!$B$3:$B$10005&amp;'DMR 001C TIN &amp; TP'!$A$3:$A$10005),0),MATCH('Reg 85'!$AG$11,'DMR 001C TIN &amp; TP'!$A$2:$M$2,0))),"")</f>
        <v/>
      </c>
      <c r="BC41" s="6" t="str">
        <f t="array" ref="BC41">_xlfn.IFNA((INDEX('DMR 001C TIN &amp; TP'!$A$3:$M$10005,MATCH(('Reg 85'!$AQ$6&amp;'Reg 85'!BC$10&amp;'Reg 85'!$B41),('DMR 001C TIN &amp; TP'!$E$3:$E$10005&amp;'DMR 001C TIN &amp; TP'!$B$3:$B$10005&amp;'DMR 001C TIN &amp; TP'!$A$3:$A$10005),0),MATCH('Reg 85'!$AG$11,'DMR 001C TIN &amp; TP'!$A$2:$M$2,0))),"")</f>
        <v/>
      </c>
      <c r="BD41" s="6" t="str">
        <f t="array" ref="BD41">_xlfn.IFNA((INDEX('DMR 001C TIN &amp; TP'!$A$3:$M$10005,MATCH(('Reg 85'!$AQ$6&amp;'Reg 85'!BD$10&amp;'Reg 85'!$B41),('DMR 001C TIN &amp; TP'!$E$3:$E$10005&amp;'DMR 001C TIN &amp; TP'!$B$3:$B$10005&amp;'DMR 001C TIN &amp; TP'!$A$3:$A$10005),0),MATCH('Reg 85'!$AG$11,'DMR 001C TIN &amp; TP'!$A$2:$M$2,0))),"")</f>
        <v/>
      </c>
      <c r="BE41" s="6" t="str">
        <f t="array" ref="BE41">_xlfn.IFNA((INDEX('DMR 001C TIN &amp; TP'!$A$3:$M$10005,MATCH(('Reg 85'!$AQ$6&amp;'Reg 85'!BE$10&amp;'Reg 85'!$B41),('DMR 001C TIN &amp; TP'!$E$3:$E$10005&amp;'DMR 001C TIN &amp; TP'!$B$3:$B$10005&amp;'DMR 001C TIN &amp; TP'!$A$3:$A$10005),0),MATCH('Reg 85'!$AG$11,'DMR 001C TIN &amp; TP'!$A$2:$M$2,0))),"")</f>
        <v/>
      </c>
      <c r="BF41" s="6" t="str">
        <f t="array" ref="BF41">_xlfn.IFNA((INDEX('DMR 001C TIN &amp; TP'!$A$3:$M$10005,MATCH(('Reg 85'!$AQ$6&amp;'Reg 85'!BF$10&amp;'Reg 85'!$B41),('DMR 001C TIN &amp; TP'!$E$3:$E$10005&amp;'DMR 001C TIN &amp; TP'!$B$3:$B$10005&amp;'DMR 001C TIN &amp; TP'!$A$3:$A$10005),0),MATCH('Reg 85'!$AG$11,'DMR 001C TIN &amp; TP'!$A$2:$M$2,0))),"")</f>
        <v/>
      </c>
    </row>
    <row r="42" spans="1:59">
      <c r="A42" s="3" t="str">
        <f t="shared" si="2"/>
        <v>Mon</v>
      </c>
      <c r="B42" s="96">
        <f t="shared" si="19"/>
        <v>43374</v>
      </c>
      <c r="C42" s="96">
        <f t="shared" si="3"/>
        <v>43404</v>
      </c>
      <c r="D42" s="96">
        <f t="shared" si="4"/>
        <v>43374</v>
      </c>
      <c r="E42" s="95">
        <f t="shared" si="5"/>
        <v>31</v>
      </c>
      <c r="F42" s="7">
        <f t="array" ref="F42">_xlfn.IFNA(INDEX('DMR Flows-Effluent'!$A$3:$F$9999,MATCH(($F$10&amp;$B42),('DMR Flows-Effluent'!$B$3:$B$9999&amp;'DMR Flows-Effluent'!$A$3:$A$9999),0),MATCH($F$8,'DMR Flows-Effluent'!$A$2:$F$2,0)),"")</f>
        <v>45.970599999999997</v>
      </c>
      <c r="G42" s="7">
        <f t="array" ref="G42">_xlfn.IFNA(INDEX('DMR Flows-Effluent'!$A$3:$F$9999,MATCH(($G$10&amp;$B42),('DMR Flows-Effluent'!$B$3:$B$9999&amp;'DMR Flows-Effluent'!$A$3:$A$9999),0),MATCH($F$8,'DMR Flows-Effluent'!$A$2:$F$2,0)),"")</f>
        <v>70.834100000000007</v>
      </c>
      <c r="H42" s="7">
        <f t="shared" si="6"/>
        <v>116.8047</v>
      </c>
      <c r="I42" s="45" t="str">
        <f t="shared" si="7"/>
        <v/>
      </c>
      <c r="J42" s="6" t="str">
        <f t="array" ref="J42">_xlfn.IFNA((INDEX('DMR 001C TIN &amp; TP'!$A$3:$M$10005,MATCH(('Reg 85'!$I$6:$Q$6&amp;'Reg 85'!$I$10:$K$10&amp;'Reg 85'!$B42),('DMR 001C TIN &amp; TP'!$E$3:$E$10005&amp;'DMR 001C TIN &amp; TP'!$B$3:$B$10005&amp;'DMR 001C TIN &amp; TP'!$A$3:$A$10005),0),MATCH('Reg 85'!$J$11,'DMR 001C TIN &amp; TP'!$A$2:$M$2,0))),"")</f>
        <v>0.15</v>
      </c>
      <c r="K42" s="6">
        <f t="array" ref="K42">_xlfn.IFNA((INDEX('DMR 001C TIN &amp; TP'!$A$3:$M$10005,MATCH(('Reg 85'!$I$6:$Q$6&amp;'Reg 85'!$I$10:$K$10&amp;'Reg 85'!$B42),('DMR 001C TIN &amp; TP'!$E$3:$E$10005&amp;'DMR 001C TIN &amp; TP'!$B$3:$B$10005&amp;'DMR 001C TIN &amp; TP'!$A$3:$A$10005),0),MATCH('Reg 85'!$K$11,'DMR 001C TIN &amp; TP'!$A$2:$M$2,0))),"")</f>
        <v>0.26</v>
      </c>
      <c r="L42" s="53">
        <f t="shared" si="21"/>
        <v>0.26</v>
      </c>
      <c r="M42" s="5" t="str">
        <f t="shared" si="8"/>
        <v/>
      </c>
      <c r="N42" s="6" t="str">
        <f t="array" ref="N42">_xlfn.IFNA((INDEX('DMR 001C TIN &amp; TP'!$A$3:$M$10005,MATCH(('Reg 85'!$I$6:$Q$6&amp;'Reg 85'!$M$10&amp;'Reg 85'!$B42),('DMR 001C TIN &amp; TP'!$E$3:$E$10005&amp;'DMR 001C TIN &amp; TP'!$B$3:$B$10005&amp;'DMR 001C TIN &amp; TP'!$A$3:$A$10005),0),MATCH('Reg 85'!$N$11,'DMR 001C TIN &amp; TP'!$A$2:$M$2,0))),"")</f>
        <v>0.15</v>
      </c>
      <c r="O42" s="6">
        <f t="array" ref="O42">_xlfn.IFNA((INDEX('DMR 001C TIN &amp; TP'!$A$3:$M$10005,MATCH(('Reg 85'!$I$6:$Q$6&amp;'Reg 85'!$M$10&amp;'Reg 85'!$B42),('DMR 001C TIN &amp; TP'!$E$3:$E$10005&amp;'DMR 001C TIN &amp; TP'!$B$3:$B$10005&amp;'DMR 001C TIN &amp; TP'!$A$3:$A$10005),0),MATCH('Reg 85'!$O$11,'DMR 001C TIN &amp; TP'!$A$2:$M$2,0))),"")</f>
        <v>0.55000000000000004</v>
      </c>
      <c r="P42" s="53">
        <f t="shared" si="9"/>
        <v>0.55000000000000004</v>
      </c>
      <c r="Q42" s="73">
        <f t="array" ref="Q42">IFERROR(((L42*$F42)+(P42*$G42))/($H42),"")</f>
        <v>0.43586526055886454</v>
      </c>
      <c r="R42" s="6" t="str">
        <f t="array" ref="R42">_xlfn.IFNA((INDEX('DMR 001C TIN &amp; TP'!$A$3:$M$10005,MATCH(('Reg 85'!$I$6:$Q$6&amp;'Reg 85'!R$10&amp;'Reg 85'!$B42),('DMR 001C TIN &amp; TP'!$E$3:$E$10005&amp;'DMR 001C TIN &amp; TP'!$B$3:$B$10005&amp;'DMR 001C TIN &amp; TP'!$A$3:$A$10005),0),MATCH('Reg 85'!$O$11,'DMR 001C TIN &amp; TP'!$A$2:$M$2,0))),"")</f>
        <v/>
      </c>
      <c r="S42" s="6" t="str">
        <f t="array" ref="S42">_xlfn.IFNA((INDEX('DMR 001C TIN &amp; TP'!$A$3:$M$10005,MATCH(('Reg 85'!$I$6:$Q$6&amp;'Reg 85'!S$10&amp;'Reg 85'!$B42),('DMR 001C TIN &amp; TP'!$E$3:$E$10005&amp;'DMR 001C TIN &amp; TP'!$B$3:$B$10005&amp;'DMR 001C TIN &amp; TP'!$A$3:$A$10005),0),MATCH('Reg 85'!$O$11,'DMR 001C TIN &amp; TP'!$A$2:$M$2,0))),"")</f>
        <v/>
      </c>
      <c r="T42" s="6" t="str">
        <f t="array" ref="T42">_xlfn.IFNA((INDEX('DMR 001C TIN &amp; TP'!$A$3:$M$10005,MATCH(('Reg 85'!$I$6:$Q$6&amp;'Reg 85'!T$10&amp;'Reg 85'!$B42),('DMR 001C TIN &amp; TP'!$E$3:$E$10005&amp;'DMR 001C TIN &amp; TP'!$B$3:$B$10005&amp;'DMR 001C TIN &amp; TP'!$A$3:$A$10005),0),MATCH('Reg 85'!$O$11,'DMR 001C TIN &amp; TP'!$A$2:$M$2,0))),"")</f>
        <v/>
      </c>
      <c r="U42" s="6" t="str">
        <f t="array" ref="U42">_xlfn.IFNA((INDEX('DMR 001C TIN &amp; TP'!$A$3:$M$10005,MATCH(('Reg 85'!$I$6:$Q$6&amp;'Reg 85'!U$10&amp;'Reg 85'!$B42),('DMR 001C TIN &amp; TP'!$E$3:$E$10005&amp;'DMR 001C TIN &amp; TP'!$B$3:$B$10005&amp;'DMR 001C TIN &amp; TP'!$A$3:$A$10005),0),MATCH('Reg 85'!$O$11,'DMR 001C TIN &amp; TP'!$A$2:$M$2,0))),"")</f>
        <v/>
      </c>
      <c r="V42" s="6" t="str">
        <f t="array" ref="V42">_xlfn.IFNA((INDEX('DMR 001C TIN &amp; TP'!$A$3:$M$10005,MATCH(('Reg 85'!$I$6:$Q$6&amp;'Reg 85'!V$10&amp;'Reg 85'!$B42),('DMR 001C TIN &amp; TP'!$E$3:$E$10005&amp;'DMR 001C TIN &amp; TP'!$B$3:$B$10005&amp;'DMR 001C TIN &amp; TP'!$A$3:$A$10005),0),MATCH('Reg 85'!$O$11,'DMR 001C TIN &amp; TP'!$A$2:$M$2,0))),"")</f>
        <v/>
      </c>
      <c r="W42" s="6" t="str">
        <f t="array" ref="W42">_xlfn.IFNA((INDEX('DMR 001C TIN &amp; TP'!$A$3:$M$10005,MATCH(('Reg 85'!$I$6:$Q$6&amp;'Reg 85'!W$10&amp;'Reg 85'!$B42),('DMR 001C TIN &amp; TP'!$E$3:$E$10005&amp;'DMR 001C TIN &amp; TP'!$B$3:$B$10005&amp;'DMR 001C TIN &amp; TP'!$A$3:$A$10005),0),MATCH('Reg 85'!$O$11,'DMR 001C TIN &amp; TP'!$A$2:$M$2,0))),"")</f>
        <v/>
      </c>
      <c r="X42" s="5" t="str">
        <f t="shared" si="10"/>
        <v/>
      </c>
      <c r="Y42" s="6" t="str">
        <f t="array" ref="Y42">_xlfn.IFNA((INDEX('DMR 001C TIN &amp; TP'!$A$3:$M$10005,MATCH(('Reg 85'!$X$6&amp;'Reg 85'!$X$10&amp;'Reg 85'!$B42),('DMR 001C TIN &amp; TP'!$E$3:$E$10005&amp;'DMR 001C TIN &amp; TP'!$B$3:$B$10005&amp;'DMR 001C TIN &amp; TP'!$A$3:$A$10005),0),MATCH('Reg 85'!$Y$11,'DMR 001C TIN &amp; TP'!$A$2:$M$2,0))),"")</f>
        <v>0.06</v>
      </c>
      <c r="Z42" s="6">
        <f t="array" ref="Z42">_xlfn.IFNA((INDEX('DMR 001C TIN &amp; TP'!$A$3:$M$10005,MATCH(('Reg 85'!$X$6&amp;'Reg 85'!$X$10&amp;'Reg 85'!$B42),('DMR 001C TIN &amp; TP'!$E$3:$E$10005&amp;'DMR 001C TIN &amp; TP'!$B$3:$B$10005&amp;'DMR 001C TIN &amp; TP'!$A$3:$A$10005),0),MATCH('Reg 85'!$Z$11,'DMR 001C TIN &amp; TP'!$A$2:$M$2,0))),"")</f>
        <v>4.82</v>
      </c>
      <c r="AA42" s="53">
        <f t="shared" si="11"/>
        <v>4.82</v>
      </c>
      <c r="AB42" s="5" t="str">
        <f t="shared" si="12"/>
        <v/>
      </c>
      <c r="AC42" s="6" t="str">
        <f t="array" ref="AC42">_xlfn.IFNA((INDEX('DMR 001C TIN &amp; TP'!$A$3:$M$10005,MATCH(('Reg 85'!$X$6&amp;'Reg 85'!$AB$10&amp;'Reg 85'!$B42),('DMR 001C TIN &amp; TP'!$E$3:$E$10005&amp;'DMR 001C TIN &amp; TP'!$B$3:$B$10005&amp;'DMR 001C TIN &amp; TP'!$A$3:$A$10005),0),MATCH('Reg 85'!$AC$11,'DMR 001C TIN &amp; TP'!$A$2:$M$2,0))),"")</f>
        <v>0.06</v>
      </c>
      <c r="AD42" s="6">
        <f t="array" ref="AD42">_xlfn.IFNA((INDEX('DMR 001C TIN &amp; TP'!$A$3:$M$10005,MATCH(('Reg 85'!$X$6&amp;'Reg 85'!$AB$10&amp;'Reg 85'!$B42),('DMR 001C TIN &amp; TP'!$E$3:$E$10005&amp;'DMR 001C TIN &amp; TP'!$B$3:$B$10005&amp;'DMR 001C TIN &amp; TP'!$A$3:$A$10005),0),MATCH('Reg 85'!$AD$11,'DMR 001C TIN &amp; TP'!$A$2:$M$2,0))),"")</f>
        <v>5.59</v>
      </c>
      <c r="AE42" s="53">
        <f t="shared" si="13"/>
        <v>5.59</v>
      </c>
      <c r="AF42" s="7">
        <f t="shared" si="14"/>
        <v>5.2869525883804336</v>
      </c>
      <c r="AG42" s="6" t="str">
        <f t="array" ref="AG42">_xlfn.IFNA((INDEX('DMR 001C TIN &amp; TP'!$A$3:$M$10005,MATCH(('Reg 85'!$X$6&amp;'Reg 85'!AG$10&amp;'Reg 85'!$B42),('DMR 001C TIN &amp; TP'!$E$3:$E$10005&amp;'DMR 001C TIN &amp; TP'!$B$3:$B$10005&amp;'DMR 001C TIN &amp; TP'!$A$3:$A$10005),0),MATCH('Reg 85'!$AG$11,'DMR 001C TIN &amp; TP'!$A$2:$M$2,0))),"")</f>
        <v/>
      </c>
      <c r="AH42" s="6" t="str">
        <f t="array" ref="AH42">_xlfn.IFNA((INDEX('DMR 001C TIN &amp; TP'!$A$3:$M$10005,MATCH(('Reg 85'!$X$6&amp;'Reg 85'!AH$10&amp;'Reg 85'!$B42),('DMR 001C TIN &amp; TP'!$E$3:$E$10005&amp;'DMR 001C TIN &amp; TP'!$B$3:$B$10005&amp;'DMR 001C TIN &amp; TP'!$A$3:$A$10005),0),MATCH('Reg 85'!$AG$11,'DMR 001C TIN &amp; TP'!$A$2:$M$2,0))),"")</f>
        <v/>
      </c>
      <c r="AI42" s="6" t="str">
        <f t="array" ref="AI42">_xlfn.IFNA((INDEX('DMR 001C TIN &amp; TP'!$A$3:$M$10005,MATCH(('Reg 85'!$X$6&amp;'Reg 85'!AI$10&amp;'Reg 85'!$B42),('DMR 001C TIN &amp; TP'!$E$3:$E$10005&amp;'DMR 001C TIN &amp; TP'!$B$3:$B$10005&amp;'DMR 001C TIN &amp; TP'!$A$3:$A$10005),0),MATCH('Reg 85'!$AG$11,'DMR 001C TIN &amp; TP'!$A$2:$M$2,0))),"")</f>
        <v/>
      </c>
      <c r="AJ42" s="6" t="str">
        <f t="array" ref="AJ42">_xlfn.IFNA((INDEX('DMR 001C TIN &amp; TP'!$A$3:$M$10005,MATCH(('Reg 85'!$X$6&amp;'Reg 85'!AJ$10&amp;'Reg 85'!$B42),('DMR 001C TIN &amp; TP'!$E$3:$E$10005&amp;'DMR 001C TIN &amp; TP'!$B$3:$B$10005&amp;'DMR 001C TIN &amp; TP'!$A$3:$A$10005),0),MATCH('Reg 85'!$AG$11,'DMR 001C TIN &amp; TP'!$A$2:$M$2,0))),"")</f>
        <v/>
      </c>
      <c r="AK42" s="6" t="str">
        <f t="array" ref="AK42">_xlfn.IFNA((INDEX('DMR 001C TIN &amp; TP'!$A$3:$M$10005,MATCH(('Reg 85'!$X$6&amp;'Reg 85'!AK$10&amp;'Reg 85'!$B42),('DMR 001C TIN &amp; TP'!$E$3:$E$10005&amp;'DMR 001C TIN &amp; TP'!$B$3:$B$10005&amp;'DMR 001C TIN &amp; TP'!$A$3:$A$10005),0),MATCH('Reg 85'!$AG$11,'DMR 001C TIN &amp; TP'!$A$2:$M$2,0))),"")</f>
        <v/>
      </c>
      <c r="AL42" s="6" t="str">
        <f t="array" ref="AL42">_xlfn.IFNA((INDEX('DMR 001C TIN &amp; TP'!$A$3:$M$10005,MATCH(('Reg 85'!$X$6&amp;'Reg 85'!AL$10&amp;'Reg 85'!$B42),('DMR 001C TIN &amp; TP'!$E$3:$E$10005&amp;'DMR 001C TIN &amp; TP'!$B$3:$B$10005&amp;'DMR 001C TIN &amp; TP'!$A$3:$A$10005),0),MATCH('Reg 85'!$AG$11,'DMR 001C TIN &amp; TP'!$A$2:$M$2,0))),"")</f>
        <v/>
      </c>
      <c r="AM42" s="94"/>
      <c r="AN42" s="6"/>
      <c r="AO42" s="54">
        <f t="shared" si="0"/>
        <v>5.7228178489392985</v>
      </c>
      <c r="AP42" s="77" t="str">
        <f t="shared" ref="AP42:AP105" si="39">IF(COUNT(IF((B13:B42&lt;=C42)*(B13:B42&gt;=D42)*(B42=EOMONTH(B42,0)),AO13:AO42,""))=0,"",COUNT(IF((B13:B42&lt;=C42)*(B13:B42&gt;=D42)*(B42=EOMONTH(B42,0)),AO13:AO42,"")))</f>
        <v/>
      </c>
      <c r="AQ42" s="47"/>
      <c r="AR42" s="6" t="str">
        <f t="array" ref="AR42">_xlfn.IFNA((INDEX('DMR 001C TIN &amp; TP'!$A$3:$M$10005,MATCH(('Reg 85'!$AQ$6&amp;'Reg 85'!$AQ$10&amp;'Reg 85'!$B42),('DMR 001C TIN &amp; TP'!$E$3:$E$10005&amp;'DMR 001C TIN &amp; TP'!$B$3:$B$10005&amp;'DMR 001C TIN &amp; TP'!$A$3:$A$10005),0),MATCH('Reg 85'!$AR$11,'DMR 001C TIN &amp; TP'!$A$2:$M$2,0))),"")</f>
        <v/>
      </c>
      <c r="AS42" s="6" t="str">
        <f t="array" ref="AS42">_xlfn.IFNA((INDEX('DMR 001C TIN &amp; TP'!$A$3:$M$10005,MATCH(('Reg 85'!$AQ$6&amp;'Reg 85'!$AQ$10&amp;'Reg 85'!$B42),('DMR 001C TIN &amp; TP'!$E$3:$E$10005&amp;'DMR 001C TIN &amp; TP'!$B$3:$B$10005&amp;'DMR 001C TIN &amp; TP'!$A$3:$A$10005),0),MATCH('Reg 85'!$AS$11,'DMR 001C TIN &amp; TP'!$A$2:$M$2,0))),"")</f>
        <v/>
      </c>
      <c r="AT42" s="53" t="str">
        <f t="shared" si="15"/>
        <v/>
      </c>
      <c r="AV42" s="6" t="str">
        <f t="array" ref="AV42">_xlfn.IFNA((INDEX('DMR 001C TIN &amp; TP'!$A$3:$M$10005,MATCH(('Reg 85'!$AQ$6&amp;'Reg 85'!$AU$10&amp;'Reg 85'!$B42),('DMR 001C TIN &amp; TP'!$E$3:$E$10005&amp;'DMR 001C TIN &amp; TP'!$B$3:$B$10005&amp;'DMR 001C TIN &amp; TP'!$A$3:$A$10005),0),MATCH('Reg 85'!$AV$11,'DMR 001C TIN &amp; TP'!$A$2:$M$2,0))),"")</f>
        <v/>
      </c>
      <c r="AW42" s="6" t="str">
        <f t="array" ref="AW42">_xlfn.IFNA((INDEX('DMR 001C TIN &amp; TP'!$A$3:$M$10005,MATCH(('Reg 85'!$AQ$6&amp;'Reg 85'!$AU$10&amp;'Reg 85'!$B42),('DMR 001C TIN &amp; TP'!$E$3:$E$10005&amp;'DMR 001C TIN &amp; TP'!$B$3:$B$10005&amp;'DMR 001C TIN &amp; TP'!$A$3:$A$10005),0),MATCH('Reg 85'!$AW$11,'DMR 001C TIN &amp; TP'!$A$2:$M$2,0))),"")</f>
        <v/>
      </c>
      <c r="AX42" s="53" t="str">
        <f t="shared" si="16"/>
        <v/>
      </c>
      <c r="AY42" s="55" t="str">
        <f t="shared" si="17"/>
        <v/>
      </c>
      <c r="AZ42" s="77" t="str">
        <f t="shared" si="37"/>
        <v/>
      </c>
      <c r="BA42" s="6" t="str">
        <f t="array" ref="BA42">_xlfn.IFNA((INDEX('DMR 001C TIN &amp; TP'!$A$3:$M$10005,MATCH(('Reg 85'!$AQ$6&amp;'Reg 85'!BA$10&amp;'Reg 85'!$B42),('DMR 001C TIN &amp; TP'!$E$3:$E$10005&amp;'DMR 001C TIN &amp; TP'!$B$3:$B$10005&amp;'DMR 001C TIN &amp; TP'!$A$3:$A$10005),0),MATCH('Reg 85'!$AG$11,'DMR 001C TIN &amp; TP'!$A$2:$M$2,0))),"")</f>
        <v/>
      </c>
      <c r="BB42" s="6" t="str">
        <f t="array" ref="BB42">_xlfn.IFNA((INDEX('DMR 001C TIN &amp; TP'!$A$3:$M$10005,MATCH(('Reg 85'!$AQ$6&amp;'Reg 85'!BB$10&amp;'Reg 85'!$B42),('DMR 001C TIN &amp; TP'!$E$3:$E$10005&amp;'DMR 001C TIN &amp; TP'!$B$3:$B$10005&amp;'DMR 001C TIN &amp; TP'!$A$3:$A$10005),0),MATCH('Reg 85'!$AG$11,'DMR 001C TIN &amp; TP'!$A$2:$M$2,0))),"")</f>
        <v/>
      </c>
      <c r="BC42" s="6" t="str">
        <f t="array" ref="BC42">_xlfn.IFNA((INDEX('DMR 001C TIN &amp; TP'!$A$3:$M$10005,MATCH(('Reg 85'!$AQ$6&amp;'Reg 85'!BC$10&amp;'Reg 85'!$B42),('DMR 001C TIN &amp; TP'!$E$3:$E$10005&amp;'DMR 001C TIN &amp; TP'!$B$3:$B$10005&amp;'DMR 001C TIN &amp; TP'!$A$3:$A$10005),0),MATCH('Reg 85'!$AG$11,'DMR 001C TIN &amp; TP'!$A$2:$M$2,0))),"")</f>
        <v/>
      </c>
      <c r="BD42" s="6" t="str">
        <f t="array" ref="BD42">_xlfn.IFNA((INDEX('DMR 001C TIN &amp; TP'!$A$3:$M$10005,MATCH(('Reg 85'!$AQ$6&amp;'Reg 85'!BD$10&amp;'Reg 85'!$B42),('DMR 001C TIN &amp; TP'!$E$3:$E$10005&amp;'DMR 001C TIN &amp; TP'!$B$3:$B$10005&amp;'DMR 001C TIN &amp; TP'!$A$3:$A$10005),0),MATCH('Reg 85'!$AG$11,'DMR 001C TIN &amp; TP'!$A$2:$M$2,0))),"")</f>
        <v/>
      </c>
      <c r="BE42" s="6" t="str">
        <f t="array" ref="BE42">_xlfn.IFNA((INDEX('DMR 001C TIN &amp; TP'!$A$3:$M$10005,MATCH(('Reg 85'!$AQ$6&amp;'Reg 85'!BE$10&amp;'Reg 85'!$B42),('DMR 001C TIN &amp; TP'!$E$3:$E$10005&amp;'DMR 001C TIN &amp; TP'!$B$3:$B$10005&amp;'DMR 001C TIN &amp; TP'!$A$3:$A$10005),0),MATCH('Reg 85'!$AG$11,'DMR 001C TIN &amp; TP'!$A$2:$M$2,0))),"")</f>
        <v/>
      </c>
      <c r="BF42" s="6" t="str">
        <f t="array" ref="BF42">_xlfn.IFNA((INDEX('DMR 001C TIN &amp; TP'!$A$3:$M$10005,MATCH(('Reg 85'!$AQ$6&amp;'Reg 85'!BF$10&amp;'Reg 85'!$B42),('DMR 001C TIN &amp; TP'!$E$3:$E$10005&amp;'DMR 001C TIN &amp; TP'!$B$3:$B$10005&amp;'DMR 001C TIN &amp; TP'!$A$3:$A$10005),0),MATCH('Reg 85'!$AG$11,'DMR 001C TIN &amp; TP'!$A$2:$M$2,0))),"")</f>
        <v/>
      </c>
      <c r="BG42" s="90"/>
    </row>
    <row r="43" spans="1:59">
      <c r="A43" s="3" t="str">
        <f t="shared" si="2"/>
        <v>Tue</v>
      </c>
      <c r="B43" s="96">
        <f t="shared" si="19"/>
        <v>43375</v>
      </c>
      <c r="C43" s="96">
        <f t="shared" si="3"/>
        <v>43404</v>
      </c>
      <c r="D43" s="96">
        <f t="shared" si="4"/>
        <v>43374</v>
      </c>
      <c r="E43" s="95">
        <f t="shared" si="5"/>
        <v>31</v>
      </c>
      <c r="F43" s="7">
        <f t="array" ref="F43">_xlfn.IFNA(INDEX('DMR Flows-Effluent'!$A$3:$F$9999,MATCH(($F$10&amp;$B43),('DMR Flows-Effluent'!$B$3:$B$9999&amp;'DMR Flows-Effluent'!$A$3:$A$9999),0),MATCH($F$8,'DMR Flows-Effluent'!$A$2:$F$2,0)),"")</f>
        <v>44.141399999999997</v>
      </c>
      <c r="G43" s="7">
        <f t="array" ref="G43">_xlfn.IFNA(INDEX('DMR Flows-Effluent'!$A$3:$F$9999,MATCH(($G$10&amp;$B43),('DMR Flows-Effluent'!$B$3:$B$9999&amp;'DMR Flows-Effluent'!$A$3:$A$9999),0),MATCH($F$8,'DMR Flows-Effluent'!$A$2:$F$2,0)),"")</f>
        <v>73.527000000000001</v>
      </c>
      <c r="H43" s="7">
        <f t="shared" si="6"/>
        <v>117.66839999999999</v>
      </c>
      <c r="I43" s="45" t="str">
        <f t="shared" si="7"/>
        <v/>
      </c>
      <c r="J43" s="6" t="str">
        <f t="array" ref="J43">_xlfn.IFNA((INDEX('DMR 001C TIN &amp; TP'!$A$3:$M$10005,MATCH(('Reg 85'!$I$6:$Q$6&amp;'Reg 85'!$I$10:$K$10&amp;'Reg 85'!$B43),('DMR 001C TIN &amp; TP'!$E$3:$E$10005&amp;'DMR 001C TIN &amp; TP'!$B$3:$B$10005&amp;'DMR 001C TIN &amp; TP'!$A$3:$A$10005),0),MATCH('Reg 85'!$J$11,'DMR 001C TIN &amp; TP'!$A$2:$M$2,0))),"")</f>
        <v>0.15</v>
      </c>
      <c r="K43" s="6">
        <f t="array" ref="K43">_xlfn.IFNA((INDEX('DMR 001C TIN &amp; TP'!$A$3:$M$10005,MATCH(('Reg 85'!$I$6:$Q$6&amp;'Reg 85'!$I$10:$K$10&amp;'Reg 85'!$B43),('DMR 001C TIN &amp; TP'!$E$3:$E$10005&amp;'DMR 001C TIN &amp; TP'!$B$3:$B$10005&amp;'DMR 001C TIN &amp; TP'!$A$3:$A$10005),0),MATCH('Reg 85'!$K$11,'DMR 001C TIN &amp; TP'!$A$2:$M$2,0))),"")</f>
        <v>0.3</v>
      </c>
      <c r="L43" s="53">
        <f t="shared" si="21"/>
        <v>0.3</v>
      </c>
      <c r="M43" s="5" t="str">
        <f t="shared" si="8"/>
        <v/>
      </c>
      <c r="N43" s="6" t="str">
        <f t="array" ref="N43">_xlfn.IFNA((INDEX('DMR 001C TIN &amp; TP'!$A$3:$M$10005,MATCH(('Reg 85'!$I$6:$Q$6&amp;'Reg 85'!$M$10&amp;'Reg 85'!$B43),('DMR 001C TIN &amp; TP'!$E$3:$E$10005&amp;'DMR 001C TIN &amp; TP'!$B$3:$B$10005&amp;'DMR 001C TIN &amp; TP'!$A$3:$A$10005),0),MATCH('Reg 85'!$N$11,'DMR 001C TIN &amp; TP'!$A$2:$M$2,0))),"")</f>
        <v>0.15</v>
      </c>
      <c r="O43" s="6">
        <f t="array" ref="O43">_xlfn.IFNA((INDEX('DMR 001C TIN &amp; TP'!$A$3:$M$10005,MATCH(('Reg 85'!$I$6:$Q$6&amp;'Reg 85'!$M$10&amp;'Reg 85'!$B43),('DMR 001C TIN &amp; TP'!$E$3:$E$10005&amp;'DMR 001C TIN &amp; TP'!$B$3:$B$10005&amp;'DMR 001C TIN &amp; TP'!$A$3:$A$10005),0),MATCH('Reg 85'!$O$11,'DMR 001C TIN &amp; TP'!$A$2:$M$2,0))),"")</f>
        <v>0.95</v>
      </c>
      <c r="P43" s="53">
        <f t="shared" si="9"/>
        <v>0.95</v>
      </c>
      <c r="Q43" s="73">
        <f t="array" ref="Q43">IFERROR(((L43*$F43)+(P43*$G43))/($H43),"")</f>
        <v>0.70616299703233831</v>
      </c>
      <c r="R43" s="6" t="str">
        <f t="array" ref="R43">_xlfn.IFNA((INDEX('DMR 001C TIN &amp; TP'!$A$3:$M$10005,MATCH(('Reg 85'!$I$6:$Q$6&amp;'Reg 85'!R$10&amp;'Reg 85'!$B43),('DMR 001C TIN &amp; TP'!$E$3:$E$10005&amp;'DMR 001C TIN &amp; TP'!$B$3:$B$10005&amp;'DMR 001C TIN &amp; TP'!$A$3:$A$10005),0),MATCH('Reg 85'!$O$11,'DMR 001C TIN &amp; TP'!$A$2:$M$2,0))),"")</f>
        <v/>
      </c>
      <c r="S43" s="6" t="str">
        <f t="array" ref="S43">_xlfn.IFNA((INDEX('DMR 001C TIN &amp; TP'!$A$3:$M$10005,MATCH(('Reg 85'!$I$6:$Q$6&amp;'Reg 85'!S$10&amp;'Reg 85'!$B43),('DMR 001C TIN &amp; TP'!$E$3:$E$10005&amp;'DMR 001C TIN &amp; TP'!$B$3:$B$10005&amp;'DMR 001C TIN &amp; TP'!$A$3:$A$10005),0),MATCH('Reg 85'!$O$11,'DMR 001C TIN &amp; TP'!$A$2:$M$2,0))),"")</f>
        <v/>
      </c>
      <c r="T43" s="6" t="str">
        <f t="array" ref="T43">_xlfn.IFNA((INDEX('DMR 001C TIN &amp; TP'!$A$3:$M$10005,MATCH(('Reg 85'!$I$6:$Q$6&amp;'Reg 85'!T$10&amp;'Reg 85'!$B43),('DMR 001C TIN &amp; TP'!$E$3:$E$10005&amp;'DMR 001C TIN &amp; TP'!$B$3:$B$10005&amp;'DMR 001C TIN &amp; TP'!$A$3:$A$10005),0),MATCH('Reg 85'!$O$11,'DMR 001C TIN &amp; TP'!$A$2:$M$2,0))),"")</f>
        <v/>
      </c>
      <c r="U43" s="6" t="str">
        <f t="array" ref="U43">_xlfn.IFNA((INDEX('DMR 001C TIN &amp; TP'!$A$3:$M$10005,MATCH(('Reg 85'!$I$6:$Q$6&amp;'Reg 85'!U$10&amp;'Reg 85'!$B43),('DMR 001C TIN &amp; TP'!$E$3:$E$10005&amp;'DMR 001C TIN &amp; TP'!$B$3:$B$10005&amp;'DMR 001C TIN &amp; TP'!$A$3:$A$10005),0),MATCH('Reg 85'!$O$11,'DMR 001C TIN &amp; TP'!$A$2:$M$2,0))),"")</f>
        <v/>
      </c>
      <c r="V43" s="6" t="str">
        <f t="array" ref="V43">_xlfn.IFNA((INDEX('DMR 001C TIN &amp; TP'!$A$3:$M$10005,MATCH(('Reg 85'!$I$6:$Q$6&amp;'Reg 85'!V$10&amp;'Reg 85'!$B43),('DMR 001C TIN &amp; TP'!$E$3:$E$10005&amp;'DMR 001C TIN &amp; TP'!$B$3:$B$10005&amp;'DMR 001C TIN &amp; TP'!$A$3:$A$10005),0),MATCH('Reg 85'!$O$11,'DMR 001C TIN &amp; TP'!$A$2:$M$2,0))),"")</f>
        <v/>
      </c>
      <c r="W43" s="6" t="str">
        <f t="array" ref="W43">_xlfn.IFNA((INDEX('DMR 001C TIN &amp; TP'!$A$3:$M$10005,MATCH(('Reg 85'!$I$6:$Q$6&amp;'Reg 85'!W$10&amp;'Reg 85'!$B43),('DMR 001C TIN &amp; TP'!$E$3:$E$10005&amp;'DMR 001C TIN &amp; TP'!$B$3:$B$10005&amp;'DMR 001C TIN &amp; TP'!$A$3:$A$10005),0),MATCH('Reg 85'!$O$11,'DMR 001C TIN &amp; TP'!$A$2:$M$2,0))),"")</f>
        <v/>
      </c>
      <c r="X43" s="5" t="str">
        <f t="shared" si="10"/>
        <v/>
      </c>
      <c r="Y43" s="6" t="str">
        <f t="array" ref="Y43">_xlfn.IFNA((INDEX('DMR 001C TIN &amp; TP'!$A$3:$M$10005,MATCH(('Reg 85'!$X$6&amp;'Reg 85'!$X$10&amp;'Reg 85'!$B43),('DMR 001C TIN &amp; TP'!$E$3:$E$10005&amp;'DMR 001C TIN &amp; TP'!$B$3:$B$10005&amp;'DMR 001C TIN &amp; TP'!$A$3:$A$10005),0),MATCH('Reg 85'!$Y$11,'DMR 001C TIN &amp; TP'!$A$2:$M$2,0))),"")</f>
        <v>0.06</v>
      </c>
      <c r="Z43" s="6">
        <f t="array" ref="Z43">_xlfn.IFNA((INDEX('DMR 001C TIN &amp; TP'!$A$3:$M$10005,MATCH(('Reg 85'!$X$6&amp;'Reg 85'!$X$10&amp;'Reg 85'!$B43),('DMR 001C TIN &amp; TP'!$E$3:$E$10005&amp;'DMR 001C TIN &amp; TP'!$B$3:$B$10005&amp;'DMR 001C TIN &amp; TP'!$A$3:$A$10005),0),MATCH('Reg 85'!$Z$11,'DMR 001C TIN &amp; TP'!$A$2:$M$2,0))),"")</f>
        <v>4.9400000000000004</v>
      </c>
      <c r="AA43" s="53">
        <f t="shared" si="11"/>
        <v>4.9400000000000004</v>
      </c>
      <c r="AB43" s="5" t="str">
        <f t="shared" si="12"/>
        <v/>
      </c>
      <c r="AC43" s="6" t="str">
        <f t="array" ref="AC43">_xlfn.IFNA((INDEX('DMR 001C TIN &amp; TP'!$A$3:$M$10005,MATCH(('Reg 85'!$X$6&amp;'Reg 85'!$AB$10&amp;'Reg 85'!$B43),('DMR 001C TIN &amp; TP'!$E$3:$E$10005&amp;'DMR 001C TIN &amp; TP'!$B$3:$B$10005&amp;'DMR 001C TIN &amp; TP'!$A$3:$A$10005),0),MATCH('Reg 85'!$AC$11,'DMR 001C TIN &amp; TP'!$A$2:$M$2,0))),"")</f>
        <v>0.06</v>
      </c>
      <c r="AD43" s="6">
        <f t="array" ref="AD43">_xlfn.IFNA((INDEX('DMR 001C TIN &amp; TP'!$A$3:$M$10005,MATCH(('Reg 85'!$X$6&amp;'Reg 85'!$AB$10&amp;'Reg 85'!$B43),('DMR 001C TIN &amp; TP'!$E$3:$E$10005&amp;'DMR 001C TIN &amp; TP'!$B$3:$B$10005&amp;'DMR 001C TIN &amp; TP'!$A$3:$A$10005),0),MATCH('Reg 85'!$AD$11,'DMR 001C TIN &amp; TP'!$A$2:$M$2,0))),"")</f>
        <v>4.84</v>
      </c>
      <c r="AE43" s="53">
        <f t="shared" si="13"/>
        <v>4.84</v>
      </c>
      <c r="AF43" s="7">
        <f t="shared" si="14"/>
        <v>4.877513385071949</v>
      </c>
      <c r="AG43" s="6" t="str">
        <f t="array" ref="AG43">_xlfn.IFNA((INDEX('DMR 001C TIN &amp; TP'!$A$3:$M$10005,MATCH(('Reg 85'!$X$6&amp;'Reg 85'!AG$10&amp;'Reg 85'!$B43),('DMR 001C TIN &amp; TP'!$E$3:$E$10005&amp;'DMR 001C TIN &amp; TP'!$B$3:$B$10005&amp;'DMR 001C TIN &amp; TP'!$A$3:$A$10005),0),MATCH('Reg 85'!$AG$11,'DMR 001C TIN &amp; TP'!$A$2:$M$2,0))),"")</f>
        <v/>
      </c>
      <c r="AH43" s="6" t="str">
        <f t="array" ref="AH43">_xlfn.IFNA((INDEX('DMR 001C TIN &amp; TP'!$A$3:$M$10005,MATCH(('Reg 85'!$X$6&amp;'Reg 85'!AH$10&amp;'Reg 85'!$B43),('DMR 001C TIN &amp; TP'!$E$3:$E$10005&amp;'DMR 001C TIN &amp; TP'!$B$3:$B$10005&amp;'DMR 001C TIN &amp; TP'!$A$3:$A$10005),0),MATCH('Reg 85'!$AG$11,'DMR 001C TIN &amp; TP'!$A$2:$M$2,0))),"")</f>
        <v/>
      </c>
      <c r="AI43" s="6" t="str">
        <f t="array" ref="AI43">_xlfn.IFNA((INDEX('DMR 001C TIN &amp; TP'!$A$3:$M$10005,MATCH(('Reg 85'!$X$6&amp;'Reg 85'!AI$10&amp;'Reg 85'!$B43),('DMR 001C TIN &amp; TP'!$E$3:$E$10005&amp;'DMR 001C TIN &amp; TP'!$B$3:$B$10005&amp;'DMR 001C TIN &amp; TP'!$A$3:$A$10005),0),MATCH('Reg 85'!$AG$11,'DMR 001C TIN &amp; TP'!$A$2:$M$2,0))),"")</f>
        <v/>
      </c>
      <c r="AJ43" s="6" t="str">
        <f t="array" ref="AJ43">_xlfn.IFNA((INDEX('DMR 001C TIN &amp; TP'!$A$3:$M$10005,MATCH(('Reg 85'!$X$6&amp;'Reg 85'!AJ$10&amp;'Reg 85'!$B43),('DMR 001C TIN &amp; TP'!$E$3:$E$10005&amp;'DMR 001C TIN &amp; TP'!$B$3:$B$10005&amp;'DMR 001C TIN &amp; TP'!$A$3:$A$10005),0),MATCH('Reg 85'!$AG$11,'DMR 001C TIN &amp; TP'!$A$2:$M$2,0))),"")</f>
        <v/>
      </c>
      <c r="AK43" s="6" t="str">
        <f t="array" ref="AK43">_xlfn.IFNA((INDEX('DMR 001C TIN &amp; TP'!$A$3:$M$10005,MATCH(('Reg 85'!$X$6&amp;'Reg 85'!AK$10&amp;'Reg 85'!$B43),('DMR 001C TIN &amp; TP'!$E$3:$E$10005&amp;'DMR 001C TIN &amp; TP'!$B$3:$B$10005&amp;'DMR 001C TIN &amp; TP'!$A$3:$A$10005),0),MATCH('Reg 85'!$AG$11,'DMR 001C TIN &amp; TP'!$A$2:$M$2,0))),"")</f>
        <v/>
      </c>
      <c r="AL43" s="6" t="str">
        <f t="array" ref="AL43">_xlfn.IFNA((INDEX('DMR 001C TIN &amp; TP'!$A$3:$M$10005,MATCH(('Reg 85'!$X$6&amp;'Reg 85'!AL$10&amp;'Reg 85'!$B43),('DMR 001C TIN &amp; TP'!$E$3:$E$10005&amp;'DMR 001C TIN &amp; TP'!$B$3:$B$10005&amp;'DMR 001C TIN &amp; TP'!$A$3:$A$10005),0),MATCH('Reg 85'!$AG$11,'DMR 001C TIN &amp; TP'!$A$2:$M$2,0))),"")</f>
        <v/>
      </c>
      <c r="AM43" s="76"/>
      <c r="AN43" s="6"/>
      <c r="AO43" s="54">
        <f t="shared" si="0"/>
        <v>5.5836763821042874</v>
      </c>
      <c r="AP43" s="77" t="str">
        <f t="shared" si="39"/>
        <v/>
      </c>
      <c r="AQ43" s="47"/>
      <c r="AR43" s="6" t="str">
        <f t="array" ref="AR43">_xlfn.IFNA((INDEX('DMR 001C TIN &amp; TP'!$A$3:$M$10005,MATCH(('Reg 85'!$AQ$6&amp;'Reg 85'!$AQ$10&amp;'Reg 85'!$B43),('DMR 001C TIN &amp; TP'!$E$3:$E$10005&amp;'DMR 001C TIN &amp; TP'!$B$3:$B$10005&amp;'DMR 001C TIN &amp; TP'!$A$3:$A$10005),0),MATCH('Reg 85'!$AR$11,'DMR 001C TIN &amp; TP'!$A$2:$M$2,0))),"")</f>
        <v/>
      </c>
      <c r="AS43" s="6" t="str">
        <f t="array" ref="AS43">_xlfn.IFNA((INDEX('DMR 001C TIN &amp; TP'!$A$3:$M$10005,MATCH(('Reg 85'!$AQ$6&amp;'Reg 85'!$AQ$10&amp;'Reg 85'!$B43),('DMR 001C TIN &amp; TP'!$E$3:$E$10005&amp;'DMR 001C TIN &amp; TP'!$B$3:$B$10005&amp;'DMR 001C TIN &amp; TP'!$A$3:$A$10005),0),MATCH('Reg 85'!$AS$11,'DMR 001C TIN &amp; TP'!$A$2:$M$2,0))),"")</f>
        <v/>
      </c>
      <c r="AT43" s="53" t="str">
        <f t="shared" si="15"/>
        <v/>
      </c>
      <c r="AV43" s="6" t="str">
        <f t="array" ref="AV43">_xlfn.IFNA((INDEX('DMR 001C TIN &amp; TP'!$A$3:$M$10005,MATCH(('Reg 85'!$AQ$6&amp;'Reg 85'!$AU$10&amp;'Reg 85'!$B43),('DMR 001C TIN &amp; TP'!$E$3:$E$10005&amp;'DMR 001C TIN &amp; TP'!$B$3:$B$10005&amp;'DMR 001C TIN &amp; TP'!$A$3:$A$10005),0),MATCH('Reg 85'!$AV$11,'DMR 001C TIN &amp; TP'!$A$2:$M$2,0))),"")</f>
        <v/>
      </c>
      <c r="AW43" s="6" t="str">
        <f t="array" ref="AW43">_xlfn.IFNA((INDEX('DMR 001C TIN &amp; TP'!$A$3:$M$10005,MATCH(('Reg 85'!$AQ$6&amp;'Reg 85'!$AU$10&amp;'Reg 85'!$B43),('DMR 001C TIN &amp; TP'!$E$3:$E$10005&amp;'DMR 001C TIN &amp; TP'!$B$3:$B$10005&amp;'DMR 001C TIN &amp; TP'!$A$3:$A$10005),0),MATCH('Reg 85'!$AW$11,'DMR 001C TIN &amp; TP'!$A$2:$M$2,0))),"")</f>
        <v/>
      </c>
      <c r="AX43" s="53" t="str">
        <f t="shared" si="16"/>
        <v/>
      </c>
      <c r="AY43" s="55" t="str">
        <f t="shared" si="17"/>
        <v/>
      </c>
      <c r="AZ43" s="77" t="str">
        <f t="shared" si="37"/>
        <v/>
      </c>
      <c r="BA43" s="6" t="str">
        <f t="array" ref="BA43">_xlfn.IFNA((INDEX('DMR 001C TIN &amp; TP'!$A$3:$M$10005,MATCH(('Reg 85'!$AQ$6&amp;'Reg 85'!BA$10&amp;'Reg 85'!$B43),('DMR 001C TIN &amp; TP'!$E$3:$E$10005&amp;'DMR 001C TIN &amp; TP'!$B$3:$B$10005&amp;'DMR 001C TIN &amp; TP'!$A$3:$A$10005),0),MATCH('Reg 85'!$AG$11,'DMR 001C TIN &amp; TP'!$A$2:$M$2,0))),"")</f>
        <v/>
      </c>
      <c r="BB43" s="6" t="str">
        <f t="array" ref="BB43">_xlfn.IFNA((INDEX('DMR 001C TIN &amp; TP'!$A$3:$M$10005,MATCH(('Reg 85'!$AQ$6&amp;'Reg 85'!BB$10&amp;'Reg 85'!$B43),('DMR 001C TIN &amp; TP'!$E$3:$E$10005&amp;'DMR 001C TIN &amp; TP'!$B$3:$B$10005&amp;'DMR 001C TIN &amp; TP'!$A$3:$A$10005),0),MATCH('Reg 85'!$AG$11,'DMR 001C TIN &amp; TP'!$A$2:$M$2,0))),"")</f>
        <v/>
      </c>
      <c r="BC43" s="6" t="str">
        <f t="array" ref="BC43">_xlfn.IFNA((INDEX('DMR 001C TIN &amp; TP'!$A$3:$M$10005,MATCH(('Reg 85'!$AQ$6&amp;'Reg 85'!BC$10&amp;'Reg 85'!$B43),('DMR 001C TIN &amp; TP'!$E$3:$E$10005&amp;'DMR 001C TIN &amp; TP'!$B$3:$B$10005&amp;'DMR 001C TIN &amp; TP'!$A$3:$A$10005),0),MATCH('Reg 85'!$AG$11,'DMR 001C TIN &amp; TP'!$A$2:$M$2,0))),"")</f>
        <v/>
      </c>
      <c r="BD43" s="6" t="str">
        <f t="array" ref="BD43">_xlfn.IFNA((INDEX('DMR 001C TIN &amp; TP'!$A$3:$M$10005,MATCH(('Reg 85'!$AQ$6&amp;'Reg 85'!BD$10&amp;'Reg 85'!$B43),('DMR 001C TIN &amp; TP'!$E$3:$E$10005&amp;'DMR 001C TIN &amp; TP'!$B$3:$B$10005&amp;'DMR 001C TIN &amp; TP'!$A$3:$A$10005),0),MATCH('Reg 85'!$AG$11,'DMR 001C TIN &amp; TP'!$A$2:$M$2,0))),"")</f>
        <v/>
      </c>
      <c r="BE43" s="6" t="str">
        <f t="array" ref="BE43">_xlfn.IFNA((INDEX('DMR 001C TIN &amp; TP'!$A$3:$M$10005,MATCH(('Reg 85'!$AQ$6&amp;'Reg 85'!BE$10&amp;'Reg 85'!$B43),('DMR 001C TIN &amp; TP'!$E$3:$E$10005&amp;'DMR 001C TIN &amp; TP'!$B$3:$B$10005&amp;'DMR 001C TIN &amp; TP'!$A$3:$A$10005),0),MATCH('Reg 85'!$AG$11,'DMR 001C TIN &amp; TP'!$A$2:$M$2,0))),"")</f>
        <v/>
      </c>
      <c r="BF43" s="6" t="str">
        <f t="array" ref="BF43">_xlfn.IFNA((INDEX('DMR 001C TIN &amp; TP'!$A$3:$M$10005,MATCH(('Reg 85'!$AQ$6&amp;'Reg 85'!BF$10&amp;'Reg 85'!$B43),('DMR 001C TIN &amp; TP'!$E$3:$E$10005&amp;'DMR 001C TIN &amp; TP'!$B$3:$B$10005&amp;'DMR 001C TIN &amp; TP'!$A$3:$A$10005),0),MATCH('Reg 85'!$AG$11,'DMR 001C TIN &amp; TP'!$A$2:$M$2,0))),"")</f>
        <v/>
      </c>
      <c r="BG43" s="89"/>
    </row>
    <row r="44" spans="1:59">
      <c r="A44" s="3" t="str">
        <f t="shared" si="2"/>
        <v>Wed</v>
      </c>
      <c r="B44" s="96">
        <f t="shared" si="19"/>
        <v>43376</v>
      </c>
      <c r="C44" s="96">
        <f t="shared" si="3"/>
        <v>43404</v>
      </c>
      <c r="D44" s="96">
        <f t="shared" si="4"/>
        <v>43374</v>
      </c>
      <c r="E44" s="95">
        <f t="shared" si="5"/>
        <v>31</v>
      </c>
      <c r="F44" s="7">
        <f t="array" ref="F44">_xlfn.IFNA(INDEX('DMR Flows-Effluent'!$A$3:$F$9999,MATCH(($F$10&amp;$B44),('DMR Flows-Effluent'!$B$3:$B$9999&amp;'DMR Flows-Effluent'!$A$3:$A$9999),0),MATCH($F$8,'DMR Flows-Effluent'!$A$2:$F$2,0)),"")</f>
        <v>41.650799999999997</v>
      </c>
      <c r="G44" s="7">
        <f t="array" ref="G44">_xlfn.IFNA(INDEX('DMR Flows-Effluent'!$A$3:$F$9999,MATCH(($G$10&amp;$B44),('DMR Flows-Effluent'!$B$3:$B$9999&amp;'DMR Flows-Effluent'!$A$3:$A$9999),0),MATCH($F$8,'DMR Flows-Effluent'!$A$2:$F$2,0)),"")</f>
        <v>74.896799999999999</v>
      </c>
      <c r="H44" s="7">
        <f t="shared" si="6"/>
        <v>116.54759999999999</v>
      </c>
      <c r="I44" s="45" t="str">
        <f t="shared" si="7"/>
        <v/>
      </c>
      <c r="J44" s="6" t="str">
        <f t="array" ref="J44">_xlfn.IFNA((INDEX('DMR 001C TIN &amp; TP'!$A$3:$M$10005,MATCH(('Reg 85'!$I$6:$Q$6&amp;'Reg 85'!$I$10:$K$10&amp;'Reg 85'!$B44),('DMR 001C TIN &amp; TP'!$E$3:$E$10005&amp;'DMR 001C TIN &amp; TP'!$B$3:$B$10005&amp;'DMR 001C TIN &amp; TP'!$A$3:$A$10005),0),MATCH('Reg 85'!$J$11,'DMR 001C TIN &amp; TP'!$A$2:$M$2,0))),"")</f>
        <v>0.15</v>
      </c>
      <c r="K44" s="6">
        <f t="array" ref="K44">_xlfn.IFNA((INDEX('DMR 001C TIN &amp; TP'!$A$3:$M$10005,MATCH(('Reg 85'!$I$6:$Q$6&amp;'Reg 85'!$I$10:$K$10&amp;'Reg 85'!$B44),('DMR 001C TIN &amp; TP'!$E$3:$E$10005&amp;'DMR 001C TIN &amp; TP'!$B$3:$B$10005&amp;'DMR 001C TIN &amp; TP'!$A$3:$A$10005),0),MATCH('Reg 85'!$K$11,'DMR 001C TIN &amp; TP'!$A$2:$M$2,0))),"")</f>
        <v>0.18</v>
      </c>
      <c r="L44" s="53">
        <f t="shared" si="21"/>
        <v>0.18</v>
      </c>
      <c r="M44" s="5" t="str">
        <f t="shared" si="8"/>
        <v/>
      </c>
      <c r="N44" s="6" t="str">
        <f t="array" ref="N44">_xlfn.IFNA((INDEX('DMR 001C TIN &amp; TP'!$A$3:$M$10005,MATCH(('Reg 85'!$I$6:$Q$6&amp;'Reg 85'!$M$10&amp;'Reg 85'!$B44),('DMR 001C TIN &amp; TP'!$E$3:$E$10005&amp;'DMR 001C TIN &amp; TP'!$B$3:$B$10005&amp;'DMR 001C TIN &amp; TP'!$A$3:$A$10005),0),MATCH('Reg 85'!$N$11,'DMR 001C TIN &amp; TP'!$A$2:$M$2,0))),"")</f>
        <v>0.15</v>
      </c>
      <c r="O44" s="6">
        <f t="array" ref="O44">_xlfn.IFNA((INDEX('DMR 001C TIN &amp; TP'!$A$3:$M$10005,MATCH(('Reg 85'!$I$6:$Q$6&amp;'Reg 85'!$M$10&amp;'Reg 85'!$B44),('DMR 001C TIN &amp; TP'!$E$3:$E$10005&amp;'DMR 001C TIN &amp; TP'!$B$3:$B$10005&amp;'DMR 001C TIN &amp; TP'!$A$3:$A$10005),0),MATCH('Reg 85'!$O$11,'DMR 001C TIN &amp; TP'!$A$2:$M$2,0))),"")</f>
        <v>0.81</v>
      </c>
      <c r="P44" s="53">
        <f t="shared" si="9"/>
        <v>0.81</v>
      </c>
      <c r="Q44" s="73">
        <f t="array" ref="Q44">IFERROR(((L44*$F44)+(P44*$G44))/($H44),"")</f>
        <v>0.58485590436868728</v>
      </c>
      <c r="R44" s="6" t="str">
        <f t="array" ref="R44">_xlfn.IFNA((INDEX('DMR 001C TIN &amp; TP'!$A$3:$M$10005,MATCH(('Reg 85'!$I$6:$Q$6&amp;'Reg 85'!R$10&amp;'Reg 85'!$B44),('DMR 001C TIN &amp; TP'!$E$3:$E$10005&amp;'DMR 001C TIN &amp; TP'!$B$3:$B$10005&amp;'DMR 001C TIN &amp; TP'!$A$3:$A$10005),0),MATCH('Reg 85'!$O$11,'DMR 001C TIN &amp; TP'!$A$2:$M$2,0))),"")</f>
        <v/>
      </c>
      <c r="S44" s="6" t="str">
        <f t="array" ref="S44">_xlfn.IFNA((INDEX('DMR 001C TIN &amp; TP'!$A$3:$M$10005,MATCH(('Reg 85'!$I$6:$Q$6&amp;'Reg 85'!S$10&amp;'Reg 85'!$B44),('DMR 001C TIN &amp; TP'!$E$3:$E$10005&amp;'DMR 001C TIN &amp; TP'!$B$3:$B$10005&amp;'DMR 001C TIN &amp; TP'!$A$3:$A$10005),0),MATCH('Reg 85'!$O$11,'DMR 001C TIN &amp; TP'!$A$2:$M$2,0))),"")</f>
        <v/>
      </c>
      <c r="T44" s="6" t="str">
        <f t="array" ref="T44">_xlfn.IFNA((INDEX('DMR 001C TIN &amp; TP'!$A$3:$M$10005,MATCH(('Reg 85'!$I$6:$Q$6&amp;'Reg 85'!T$10&amp;'Reg 85'!$B44),('DMR 001C TIN &amp; TP'!$E$3:$E$10005&amp;'DMR 001C TIN &amp; TP'!$B$3:$B$10005&amp;'DMR 001C TIN &amp; TP'!$A$3:$A$10005),0),MATCH('Reg 85'!$O$11,'DMR 001C TIN &amp; TP'!$A$2:$M$2,0))),"")</f>
        <v/>
      </c>
      <c r="U44" s="6" t="str">
        <f t="array" ref="U44">_xlfn.IFNA((INDEX('DMR 001C TIN &amp; TP'!$A$3:$M$10005,MATCH(('Reg 85'!$I$6:$Q$6&amp;'Reg 85'!U$10&amp;'Reg 85'!$B44),('DMR 001C TIN &amp; TP'!$E$3:$E$10005&amp;'DMR 001C TIN &amp; TP'!$B$3:$B$10005&amp;'DMR 001C TIN &amp; TP'!$A$3:$A$10005),0),MATCH('Reg 85'!$O$11,'DMR 001C TIN &amp; TP'!$A$2:$M$2,0))),"")</f>
        <v/>
      </c>
      <c r="V44" s="6" t="str">
        <f t="array" ref="V44">_xlfn.IFNA((INDEX('DMR 001C TIN &amp; TP'!$A$3:$M$10005,MATCH(('Reg 85'!$I$6:$Q$6&amp;'Reg 85'!V$10&amp;'Reg 85'!$B44),('DMR 001C TIN &amp; TP'!$E$3:$E$10005&amp;'DMR 001C TIN &amp; TP'!$B$3:$B$10005&amp;'DMR 001C TIN &amp; TP'!$A$3:$A$10005),0),MATCH('Reg 85'!$O$11,'DMR 001C TIN &amp; TP'!$A$2:$M$2,0))),"")</f>
        <v/>
      </c>
      <c r="W44" s="6" t="str">
        <f t="array" ref="W44">_xlfn.IFNA((INDEX('DMR 001C TIN &amp; TP'!$A$3:$M$10005,MATCH(('Reg 85'!$I$6:$Q$6&amp;'Reg 85'!W$10&amp;'Reg 85'!$B44),('DMR 001C TIN &amp; TP'!$E$3:$E$10005&amp;'DMR 001C TIN &amp; TP'!$B$3:$B$10005&amp;'DMR 001C TIN &amp; TP'!$A$3:$A$10005),0),MATCH('Reg 85'!$O$11,'DMR 001C TIN &amp; TP'!$A$2:$M$2,0))),"")</f>
        <v/>
      </c>
      <c r="X44" s="5" t="str">
        <f t="shared" si="10"/>
        <v/>
      </c>
      <c r="Y44" s="6" t="str">
        <f t="array" ref="Y44">_xlfn.IFNA((INDEX('DMR 001C TIN &amp; TP'!$A$3:$M$10005,MATCH(('Reg 85'!$X$6&amp;'Reg 85'!$X$10&amp;'Reg 85'!$B44),('DMR 001C TIN &amp; TP'!$E$3:$E$10005&amp;'DMR 001C TIN &amp; TP'!$B$3:$B$10005&amp;'DMR 001C TIN &amp; TP'!$A$3:$A$10005),0),MATCH('Reg 85'!$Y$11,'DMR 001C TIN &amp; TP'!$A$2:$M$2,0))),"")</f>
        <v>0.06</v>
      </c>
      <c r="Z44" s="6">
        <f t="array" ref="Z44">_xlfn.IFNA((INDEX('DMR 001C TIN &amp; TP'!$A$3:$M$10005,MATCH(('Reg 85'!$X$6&amp;'Reg 85'!$X$10&amp;'Reg 85'!$B44),('DMR 001C TIN &amp; TP'!$E$3:$E$10005&amp;'DMR 001C TIN &amp; TP'!$B$3:$B$10005&amp;'DMR 001C TIN &amp; TP'!$A$3:$A$10005),0),MATCH('Reg 85'!$Z$11,'DMR 001C TIN &amp; TP'!$A$2:$M$2,0))),"")</f>
        <v>4.8099999999999996</v>
      </c>
      <c r="AA44" s="53">
        <f t="shared" si="11"/>
        <v>4.8099999999999996</v>
      </c>
      <c r="AB44" s="5" t="str">
        <f t="shared" si="12"/>
        <v/>
      </c>
      <c r="AC44" s="6" t="str">
        <f t="array" ref="AC44">_xlfn.IFNA((INDEX('DMR 001C TIN &amp; TP'!$A$3:$M$10005,MATCH(('Reg 85'!$X$6&amp;'Reg 85'!$AB$10&amp;'Reg 85'!$B44),('DMR 001C TIN &amp; TP'!$E$3:$E$10005&amp;'DMR 001C TIN &amp; TP'!$B$3:$B$10005&amp;'DMR 001C TIN &amp; TP'!$A$3:$A$10005),0),MATCH('Reg 85'!$AC$11,'DMR 001C TIN &amp; TP'!$A$2:$M$2,0))),"")</f>
        <v>0.06</v>
      </c>
      <c r="AD44" s="6">
        <f t="array" ref="AD44">_xlfn.IFNA((INDEX('DMR 001C TIN &amp; TP'!$A$3:$M$10005,MATCH(('Reg 85'!$X$6&amp;'Reg 85'!$AB$10&amp;'Reg 85'!$B44),('DMR 001C TIN &amp; TP'!$E$3:$E$10005&amp;'DMR 001C TIN &amp; TP'!$B$3:$B$10005&amp;'DMR 001C TIN &amp; TP'!$A$3:$A$10005),0),MATCH('Reg 85'!$AD$11,'DMR 001C TIN &amp; TP'!$A$2:$M$2,0))),"")</f>
        <v>5.59</v>
      </c>
      <c r="AE44" s="53">
        <f t="shared" si="13"/>
        <v>5.59</v>
      </c>
      <c r="AF44" s="7">
        <f t="shared" si="14"/>
        <v>5.311250167313613</v>
      </c>
      <c r="AG44" s="6" t="str">
        <f t="array" ref="AG44">_xlfn.IFNA((INDEX('DMR 001C TIN &amp; TP'!$A$3:$M$10005,MATCH(('Reg 85'!$X$6&amp;'Reg 85'!AG$10&amp;'Reg 85'!$B44),('DMR 001C TIN &amp; TP'!$E$3:$E$10005&amp;'DMR 001C TIN &amp; TP'!$B$3:$B$10005&amp;'DMR 001C TIN &amp; TP'!$A$3:$A$10005),0),MATCH('Reg 85'!$AG$11,'DMR 001C TIN &amp; TP'!$A$2:$M$2,0))),"")</f>
        <v/>
      </c>
      <c r="AH44" s="6" t="str">
        <f t="array" ref="AH44">_xlfn.IFNA((INDEX('DMR 001C TIN &amp; TP'!$A$3:$M$10005,MATCH(('Reg 85'!$X$6&amp;'Reg 85'!AH$10&amp;'Reg 85'!$B44),('DMR 001C TIN &amp; TP'!$E$3:$E$10005&amp;'DMR 001C TIN &amp; TP'!$B$3:$B$10005&amp;'DMR 001C TIN &amp; TP'!$A$3:$A$10005),0),MATCH('Reg 85'!$AG$11,'DMR 001C TIN &amp; TP'!$A$2:$M$2,0))),"")</f>
        <v/>
      </c>
      <c r="AI44" s="6" t="str">
        <f t="array" ref="AI44">_xlfn.IFNA((INDEX('DMR 001C TIN &amp; TP'!$A$3:$M$10005,MATCH(('Reg 85'!$X$6&amp;'Reg 85'!AI$10&amp;'Reg 85'!$B44),('DMR 001C TIN &amp; TP'!$E$3:$E$10005&amp;'DMR 001C TIN &amp; TP'!$B$3:$B$10005&amp;'DMR 001C TIN &amp; TP'!$A$3:$A$10005),0),MATCH('Reg 85'!$AG$11,'DMR 001C TIN &amp; TP'!$A$2:$M$2,0))),"")</f>
        <v/>
      </c>
      <c r="AJ44" s="6" t="str">
        <f t="array" ref="AJ44">_xlfn.IFNA((INDEX('DMR 001C TIN &amp; TP'!$A$3:$M$10005,MATCH(('Reg 85'!$X$6&amp;'Reg 85'!AJ$10&amp;'Reg 85'!$B44),('DMR 001C TIN &amp; TP'!$E$3:$E$10005&amp;'DMR 001C TIN &amp; TP'!$B$3:$B$10005&amp;'DMR 001C TIN &amp; TP'!$A$3:$A$10005),0),MATCH('Reg 85'!$AG$11,'DMR 001C TIN &amp; TP'!$A$2:$M$2,0))),"")</f>
        <v/>
      </c>
      <c r="AK44" s="6" t="str">
        <f t="array" ref="AK44">_xlfn.IFNA((INDEX('DMR 001C TIN &amp; TP'!$A$3:$M$10005,MATCH(('Reg 85'!$X$6&amp;'Reg 85'!AK$10&amp;'Reg 85'!$B44),('DMR 001C TIN &amp; TP'!$E$3:$E$10005&amp;'DMR 001C TIN &amp; TP'!$B$3:$B$10005&amp;'DMR 001C TIN &amp; TP'!$A$3:$A$10005),0),MATCH('Reg 85'!$AG$11,'DMR 001C TIN &amp; TP'!$A$2:$M$2,0))),"")</f>
        <v/>
      </c>
      <c r="AL44" s="6" t="str">
        <f t="array" ref="AL44">_xlfn.IFNA((INDEX('DMR 001C TIN &amp; TP'!$A$3:$M$10005,MATCH(('Reg 85'!$X$6&amp;'Reg 85'!AL$10&amp;'Reg 85'!$B44),('DMR 001C TIN &amp; TP'!$E$3:$E$10005&amp;'DMR 001C TIN &amp; TP'!$B$3:$B$10005&amp;'DMR 001C TIN &amp; TP'!$A$3:$A$10005),0),MATCH('Reg 85'!$AG$11,'DMR 001C TIN &amp; TP'!$A$2:$M$2,0))),"")</f>
        <v/>
      </c>
      <c r="AM44" s="76"/>
      <c r="AN44" s="6"/>
      <c r="AO44" s="54">
        <f t="shared" si="0"/>
        <v>5.8961060716823006</v>
      </c>
      <c r="AP44" s="77" t="str">
        <f t="shared" si="39"/>
        <v/>
      </c>
      <c r="AQ44" s="47"/>
      <c r="AR44" s="6" t="str">
        <f t="array" ref="AR44">_xlfn.IFNA((INDEX('DMR 001C TIN &amp; TP'!$A$3:$M$10005,MATCH(('Reg 85'!$AQ$6&amp;'Reg 85'!$AQ$10&amp;'Reg 85'!$B44),('DMR 001C TIN &amp; TP'!$E$3:$E$10005&amp;'DMR 001C TIN &amp; TP'!$B$3:$B$10005&amp;'DMR 001C TIN &amp; TP'!$A$3:$A$10005),0),MATCH('Reg 85'!$AR$11,'DMR 001C TIN &amp; TP'!$A$2:$M$2,0))),"")</f>
        <v/>
      </c>
      <c r="AS44" s="6" t="str">
        <f t="array" ref="AS44">_xlfn.IFNA((INDEX('DMR 001C TIN &amp; TP'!$A$3:$M$10005,MATCH(('Reg 85'!$AQ$6&amp;'Reg 85'!$AQ$10&amp;'Reg 85'!$B44),('DMR 001C TIN &amp; TP'!$E$3:$E$10005&amp;'DMR 001C TIN &amp; TP'!$B$3:$B$10005&amp;'DMR 001C TIN &amp; TP'!$A$3:$A$10005),0),MATCH('Reg 85'!$AS$11,'DMR 001C TIN &amp; TP'!$A$2:$M$2,0))),"")</f>
        <v/>
      </c>
      <c r="AT44" s="53" t="str">
        <f t="shared" si="15"/>
        <v/>
      </c>
      <c r="AV44" s="6" t="str">
        <f t="array" ref="AV44">_xlfn.IFNA((INDEX('DMR 001C TIN &amp; TP'!$A$3:$M$10005,MATCH(('Reg 85'!$AQ$6&amp;'Reg 85'!$AU$10&amp;'Reg 85'!$B44),('DMR 001C TIN &amp; TP'!$E$3:$E$10005&amp;'DMR 001C TIN &amp; TP'!$B$3:$B$10005&amp;'DMR 001C TIN &amp; TP'!$A$3:$A$10005),0),MATCH('Reg 85'!$AV$11,'DMR 001C TIN &amp; TP'!$A$2:$M$2,0))),"")</f>
        <v/>
      </c>
      <c r="AW44" s="6" t="str">
        <f t="array" ref="AW44">_xlfn.IFNA((INDEX('DMR 001C TIN &amp; TP'!$A$3:$M$10005,MATCH(('Reg 85'!$AQ$6&amp;'Reg 85'!$AU$10&amp;'Reg 85'!$B44),('DMR 001C TIN &amp; TP'!$E$3:$E$10005&amp;'DMR 001C TIN &amp; TP'!$B$3:$B$10005&amp;'DMR 001C TIN &amp; TP'!$A$3:$A$10005),0),MATCH('Reg 85'!$AW$11,'DMR 001C TIN &amp; TP'!$A$2:$M$2,0))),"")</f>
        <v/>
      </c>
      <c r="AX44" s="53" t="str">
        <f t="shared" si="16"/>
        <v/>
      </c>
      <c r="AY44" s="55" t="str">
        <f t="shared" si="17"/>
        <v/>
      </c>
      <c r="AZ44" s="77" t="str">
        <f t="shared" si="37"/>
        <v/>
      </c>
      <c r="BA44" s="6" t="str">
        <f t="array" ref="BA44">_xlfn.IFNA((INDEX('DMR 001C TIN &amp; TP'!$A$3:$M$10005,MATCH(('Reg 85'!$AQ$6&amp;'Reg 85'!BA$10&amp;'Reg 85'!$B44),('DMR 001C TIN &amp; TP'!$E$3:$E$10005&amp;'DMR 001C TIN &amp; TP'!$B$3:$B$10005&amp;'DMR 001C TIN &amp; TP'!$A$3:$A$10005),0),MATCH('Reg 85'!$AG$11,'DMR 001C TIN &amp; TP'!$A$2:$M$2,0))),"")</f>
        <v/>
      </c>
      <c r="BB44" s="6" t="str">
        <f t="array" ref="BB44">_xlfn.IFNA((INDEX('DMR 001C TIN &amp; TP'!$A$3:$M$10005,MATCH(('Reg 85'!$AQ$6&amp;'Reg 85'!BB$10&amp;'Reg 85'!$B44),('DMR 001C TIN &amp; TP'!$E$3:$E$10005&amp;'DMR 001C TIN &amp; TP'!$B$3:$B$10005&amp;'DMR 001C TIN &amp; TP'!$A$3:$A$10005),0),MATCH('Reg 85'!$AG$11,'DMR 001C TIN &amp; TP'!$A$2:$M$2,0))),"")</f>
        <v/>
      </c>
      <c r="BC44" s="6" t="str">
        <f t="array" ref="BC44">_xlfn.IFNA((INDEX('DMR 001C TIN &amp; TP'!$A$3:$M$10005,MATCH(('Reg 85'!$AQ$6&amp;'Reg 85'!BC$10&amp;'Reg 85'!$B44),('DMR 001C TIN &amp; TP'!$E$3:$E$10005&amp;'DMR 001C TIN &amp; TP'!$B$3:$B$10005&amp;'DMR 001C TIN &amp; TP'!$A$3:$A$10005),0),MATCH('Reg 85'!$AG$11,'DMR 001C TIN &amp; TP'!$A$2:$M$2,0))),"")</f>
        <v/>
      </c>
      <c r="BD44" s="6" t="str">
        <f t="array" ref="BD44">_xlfn.IFNA((INDEX('DMR 001C TIN &amp; TP'!$A$3:$M$10005,MATCH(('Reg 85'!$AQ$6&amp;'Reg 85'!BD$10&amp;'Reg 85'!$B44),('DMR 001C TIN &amp; TP'!$E$3:$E$10005&amp;'DMR 001C TIN &amp; TP'!$B$3:$B$10005&amp;'DMR 001C TIN &amp; TP'!$A$3:$A$10005),0),MATCH('Reg 85'!$AG$11,'DMR 001C TIN &amp; TP'!$A$2:$M$2,0))),"")</f>
        <v/>
      </c>
      <c r="BE44" s="6" t="str">
        <f t="array" ref="BE44">_xlfn.IFNA((INDEX('DMR 001C TIN &amp; TP'!$A$3:$M$10005,MATCH(('Reg 85'!$AQ$6&amp;'Reg 85'!BE$10&amp;'Reg 85'!$B44),('DMR 001C TIN &amp; TP'!$E$3:$E$10005&amp;'DMR 001C TIN &amp; TP'!$B$3:$B$10005&amp;'DMR 001C TIN &amp; TP'!$A$3:$A$10005),0),MATCH('Reg 85'!$AG$11,'DMR 001C TIN &amp; TP'!$A$2:$M$2,0))),"")</f>
        <v/>
      </c>
      <c r="BF44" s="6" t="str">
        <f t="array" ref="BF44">_xlfn.IFNA((INDEX('DMR 001C TIN &amp; TP'!$A$3:$M$10005,MATCH(('Reg 85'!$AQ$6&amp;'Reg 85'!BF$10&amp;'Reg 85'!$B44),('DMR 001C TIN &amp; TP'!$E$3:$E$10005&amp;'DMR 001C TIN &amp; TP'!$B$3:$B$10005&amp;'DMR 001C TIN &amp; TP'!$A$3:$A$10005),0),MATCH('Reg 85'!$AG$11,'DMR 001C TIN &amp; TP'!$A$2:$M$2,0))),"")</f>
        <v/>
      </c>
    </row>
    <row r="45" spans="1:59">
      <c r="A45" s="3" t="str">
        <f t="shared" si="2"/>
        <v>Thu</v>
      </c>
      <c r="B45" s="96">
        <f t="shared" si="19"/>
        <v>43377</v>
      </c>
      <c r="C45" s="96">
        <f t="shared" si="3"/>
        <v>43404</v>
      </c>
      <c r="D45" s="96">
        <f t="shared" si="4"/>
        <v>43374</v>
      </c>
      <c r="E45" s="95">
        <f t="shared" si="5"/>
        <v>31</v>
      </c>
      <c r="F45" s="7">
        <f t="array" ref="F45">_xlfn.IFNA(INDEX('DMR Flows-Effluent'!$A$3:$F$9999,MATCH(($F$10&amp;$B45),('DMR Flows-Effluent'!$B$3:$B$9999&amp;'DMR Flows-Effluent'!$A$3:$A$9999),0),MATCH($F$8,'DMR Flows-Effluent'!$A$2:$F$2,0)),"")</f>
        <v>46.741999999999997</v>
      </c>
      <c r="G45" s="7">
        <f t="array" ref="G45">_xlfn.IFNA(INDEX('DMR Flows-Effluent'!$A$3:$F$9999,MATCH(($G$10&amp;$B45),('DMR Flows-Effluent'!$B$3:$B$9999&amp;'DMR Flows-Effluent'!$A$3:$A$9999),0),MATCH($F$8,'DMR Flows-Effluent'!$A$2:$F$2,0)),"")</f>
        <v>76.512200000000007</v>
      </c>
      <c r="H45" s="7">
        <f t="shared" si="6"/>
        <v>123.2542</v>
      </c>
      <c r="I45" s="45" t="str">
        <f t="shared" si="7"/>
        <v/>
      </c>
      <c r="J45" s="6" t="str">
        <f t="array" ref="J45">_xlfn.IFNA((INDEX('DMR 001C TIN &amp; TP'!$A$3:$M$10005,MATCH(('Reg 85'!$I$6:$Q$6&amp;'Reg 85'!$I$10:$K$10&amp;'Reg 85'!$B45),('DMR 001C TIN &amp; TP'!$E$3:$E$10005&amp;'DMR 001C TIN &amp; TP'!$B$3:$B$10005&amp;'DMR 001C TIN &amp; TP'!$A$3:$A$10005),0),MATCH('Reg 85'!$J$11,'DMR 001C TIN &amp; TP'!$A$2:$M$2,0))),"")</f>
        <v/>
      </c>
      <c r="K45" s="6" t="str">
        <f t="array" ref="K45">_xlfn.IFNA((INDEX('DMR 001C TIN &amp; TP'!$A$3:$M$10005,MATCH(('Reg 85'!$I$6:$Q$6&amp;'Reg 85'!$I$10:$K$10&amp;'Reg 85'!$B45),('DMR 001C TIN &amp; TP'!$E$3:$E$10005&amp;'DMR 001C TIN &amp; TP'!$B$3:$B$10005&amp;'DMR 001C TIN &amp; TP'!$A$3:$A$10005),0),MATCH('Reg 85'!$K$11,'DMR 001C TIN &amp; TP'!$A$2:$M$2,0))),"")</f>
        <v/>
      </c>
      <c r="L45" s="53" t="str">
        <f t="shared" si="21"/>
        <v/>
      </c>
      <c r="M45" s="5" t="str">
        <f t="shared" si="8"/>
        <v/>
      </c>
      <c r="N45" s="6" t="str">
        <f t="array" ref="N45">_xlfn.IFNA((INDEX('DMR 001C TIN &amp; TP'!$A$3:$M$10005,MATCH(('Reg 85'!$I$6:$Q$6&amp;'Reg 85'!$M$10&amp;'Reg 85'!$B45),('DMR 001C TIN &amp; TP'!$E$3:$E$10005&amp;'DMR 001C TIN &amp; TP'!$B$3:$B$10005&amp;'DMR 001C TIN &amp; TP'!$A$3:$A$10005),0),MATCH('Reg 85'!$N$11,'DMR 001C TIN &amp; TP'!$A$2:$M$2,0))),"")</f>
        <v/>
      </c>
      <c r="O45" s="6" t="str">
        <f t="array" ref="O45">_xlfn.IFNA((INDEX('DMR 001C TIN &amp; TP'!$A$3:$M$10005,MATCH(('Reg 85'!$I$6:$Q$6&amp;'Reg 85'!$M$10&amp;'Reg 85'!$B45),('DMR 001C TIN &amp; TP'!$E$3:$E$10005&amp;'DMR 001C TIN &amp; TP'!$B$3:$B$10005&amp;'DMR 001C TIN &amp; TP'!$A$3:$A$10005),0),MATCH('Reg 85'!$O$11,'DMR 001C TIN &amp; TP'!$A$2:$M$2,0))),"")</f>
        <v/>
      </c>
      <c r="P45" s="53" t="str">
        <f t="shared" si="9"/>
        <v/>
      </c>
      <c r="Q45" s="73" t="str">
        <f t="array" ref="Q45">IFERROR(((L45*$F45)+(P45*$G45))/($H45),"")</f>
        <v/>
      </c>
      <c r="R45" s="6" t="str">
        <f t="array" ref="R45">_xlfn.IFNA((INDEX('DMR 001C TIN &amp; TP'!$A$3:$M$10005,MATCH(('Reg 85'!$I$6:$Q$6&amp;'Reg 85'!R$10&amp;'Reg 85'!$B45),('DMR 001C TIN &amp; TP'!$E$3:$E$10005&amp;'DMR 001C TIN &amp; TP'!$B$3:$B$10005&amp;'DMR 001C TIN &amp; TP'!$A$3:$A$10005),0),MATCH('Reg 85'!$O$11,'DMR 001C TIN &amp; TP'!$A$2:$M$2,0))),"")</f>
        <v/>
      </c>
      <c r="S45" s="6" t="str">
        <f t="array" ref="S45">_xlfn.IFNA((INDEX('DMR 001C TIN &amp; TP'!$A$3:$M$10005,MATCH(('Reg 85'!$I$6:$Q$6&amp;'Reg 85'!S$10&amp;'Reg 85'!$B45),('DMR 001C TIN &amp; TP'!$E$3:$E$10005&amp;'DMR 001C TIN &amp; TP'!$B$3:$B$10005&amp;'DMR 001C TIN &amp; TP'!$A$3:$A$10005),0),MATCH('Reg 85'!$O$11,'DMR 001C TIN &amp; TP'!$A$2:$M$2,0))),"")</f>
        <v/>
      </c>
      <c r="T45" s="6" t="str">
        <f t="array" ref="T45">_xlfn.IFNA((INDEX('DMR 001C TIN &amp; TP'!$A$3:$M$10005,MATCH(('Reg 85'!$I$6:$Q$6&amp;'Reg 85'!T$10&amp;'Reg 85'!$B45),('DMR 001C TIN &amp; TP'!$E$3:$E$10005&amp;'DMR 001C TIN &amp; TP'!$B$3:$B$10005&amp;'DMR 001C TIN &amp; TP'!$A$3:$A$10005),0),MATCH('Reg 85'!$O$11,'DMR 001C TIN &amp; TP'!$A$2:$M$2,0))),"")</f>
        <v/>
      </c>
      <c r="U45" s="6">
        <f t="array" ref="U45">_xlfn.IFNA((INDEX('DMR 001C TIN &amp; TP'!$A$3:$M$10005,MATCH(('Reg 85'!$I$6:$Q$6&amp;'Reg 85'!U$10&amp;'Reg 85'!$B45),('DMR 001C TIN &amp; TP'!$E$3:$E$10005&amp;'DMR 001C TIN &amp; TP'!$B$3:$B$10005&amp;'DMR 001C TIN &amp; TP'!$A$3:$A$10005),0),MATCH('Reg 85'!$O$11,'DMR 001C TIN &amp; TP'!$A$2:$M$2,0))),"")</f>
        <v>0.27</v>
      </c>
      <c r="V45" s="6" t="str">
        <f t="array" ref="V45">_xlfn.IFNA((INDEX('DMR 001C TIN &amp; TP'!$A$3:$M$10005,MATCH(('Reg 85'!$I$6:$Q$6&amp;'Reg 85'!V$10&amp;'Reg 85'!$B45),('DMR 001C TIN &amp; TP'!$E$3:$E$10005&amp;'DMR 001C TIN &amp; TP'!$B$3:$B$10005&amp;'DMR 001C TIN &amp; TP'!$A$3:$A$10005),0),MATCH('Reg 85'!$O$11,'DMR 001C TIN &amp; TP'!$A$2:$M$2,0))),"")</f>
        <v/>
      </c>
      <c r="W45" s="6" t="str">
        <f t="array" ref="W45">_xlfn.IFNA((INDEX('DMR 001C TIN &amp; TP'!$A$3:$M$10005,MATCH(('Reg 85'!$I$6:$Q$6&amp;'Reg 85'!W$10&amp;'Reg 85'!$B45),('DMR 001C TIN &amp; TP'!$E$3:$E$10005&amp;'DMR 001C TIN &amp; TP'!$B$3:$B$10005&amp;'DMR 001C TIN &amp; TP'!$A$3:$A$10005),0),MATCH('Reg 85'!$O$11,'DMR 001C TIN &amp; TP'!$A$2:$M$2,0))),"")</f>
        <v/>
      </c>
      <c r="X45" s="5" t="str">
        <f t="shared" si="10"/>
        <v/>
      </c>
      <c r="Y45" s="6" t="str">
        <f t="array" ref="Y45">_xlfn.IFNA((INDEX('DMR 001C TIN &amp; TP'!$A$3:$M$10005,MATCH(('Reg 85'!$X$6&amp;'Reg 85'!$X$10&amp;'Reg 85'!$B45),('DMR 001C TIN &amp; TP'!$E$3:$E$10005&amp;'DMR 001C TIN &amp; TP'!$B$3:$B$10005&amp;'DMR 001C TIN &amp; TP'!$A$3:$A$10005),0),MATCH('Reg 85'!$Y$11,'DMR 001C TIN &amp; TP'!$A$2:$M$2,0))),"")</f>
        <v/>
      </c>
      <c r="Z45" s="6" t="str">
        <f t="array" ref="Z45">_xlfn.IFNA((INDEX('DMR 001C TIN &amp; TP'!$A$3:$M$10005,MATCH(('Reg 85'!$X$6&amp;'Reg 85'!$X$10&amp;'Reg 85'!$B45),('DMR 001C TIN &amp; TP'!$E$3:$E$10005&amp;'DMR 001C TIN &amp; TP'!$B$3:$B$10005&amp;'DMR 001C TIN &amp; TP'!$A$3:$A$10005),0),MATCH('Reg 85'!$Z$11,'DMR 001C TIN &amp; TP'!$A$2:$M$2,0))),"")</f>
        <v/>
      </c>
      <c r="AA45" s="53" t="str">
        <f t="shared" si="11"/>
        <v/>
      </c>
      <c r="AB45" s="5" t="str">
        <f t="shared" si="12"/>
        <v/>
      </c>
      <c r="AC45" s="6" t="str">
        <f t="array" ref="AC45">_xlfn.IFNA((INDEX('DMR 001C TIN &amp; TP'!$A$3:$M$10005,MATCH(('Reg 85'!$X$6&amp;'Reg 85'!$AB$10&amp;'Reg 85'!$B45),('DMR 001C TIN &amp; TP'!$E$3:$E$10005&amp;'DMR 001C TIN &amp; TP'!$B$3:$B$10005&amp;'DMR 001C TIN &amp; TP'!$A$3:$A$10005),0),MATCH('Reg 85'!$AC$11,'DMR 001C TIN &amp; TP'!$A$2:$M$2,0))),"")</f>
        <v/>
      </c>
      <c r="AD45" s="6" t="str">
        <f t="array" ref="AD45">_xlfn.IFNA((INDEX('DMR 001C TIN &amp; TP'!$A$3:$M$10005,MATCH(('Reg 85'!$X$6&amp;'Reg 85'!$AB$10&amp;'Reg 85'!$B45),('DMR 001C TIN &amp; TP'!$E$3:$E$10005&amp;'DMR 001C TIN &amp; TP'!$B$3:$B$10005&amp;'DMR 001C TIN &amp; TP'!$A$3:$A$10005),0),MATCH('Reg 85'!$AD$11,'DMR 001C TIN &amp; TP'!$A$2:$M$2,0))),"")</f>
        <v/>
      </c>
      <c r="AE45" s="53" t="str">
        <f t="shared" si="13"/>
        <v/>
      </c>
      <c r="AF45" s="7" t="str">
        <f t="shared" si="14"/>
        <v/>
      </c>
      <c r="AG45" s="6" t="str">
        <f t="array" ref="AG45">_xlfn.IFNA((INDEX('DMR 001C TIN &amp; TP'!$A$3:$M$10005,MATCH(('Reg 85'!$X$6&amp;'Reg 85'!AG$10&amp;'Reg 85'!$B45),('DMR 001C TIN &amp; TP'!$E$3:$E$10005&amp;'DMR 001C TIN &amp; TP'!$B$3:$B$10005&amp;'DMR 001C TIN &amp; TP'!$A$3:$A$10005),0),MATCH('Reg 85'!$AG$11,'DMR 001C TIN &amp; TP'!$A$2:$M$2,0))),"")</f>
        <v/>
      </c>
      <c r="AH45" s="6" t="str">
        <f t="array" ref="AH45">_xlfn.IFNA((INDEX('DMR 001C TIN &amp; TP'!$A$3:$M$10005,MATCH(('Reg 85'!$X$6&amp;'Reg 85'!AH$10&amp;'Reg 85'!$B45),('DMR 001C TIN &amp; TP'!$E$3:$E$10005&amp;'DMR 001C TIN &amp; TP'!$B$3:$B$10005&amp;'DMR 001C TIN &amp; TP'!$A$3:$A$10005),0),MATCH('Reg 85'!$AG$11,'DMR 001C TIN &amp; TP'!$A$2:$M$2,0))),"")</f>
        <v/>
      </c>
      <c r="AI45" s="6" t="str">
        <f t="array" ref="AI45">_xlfn.IFNA((INDEX('DMR 001C TIN &amp; TP'!$A$3:$M$10005,MATCH(('Reg 85'!$X$6&amp;'Reg 85'!AI$10&amp;'Reg 85'!$B45),('DMR 001C TIN &amp; TP'!$E$3:$E$10005&amp;'DMR 001C TIN &amp; TP'!$B$3:$B$10005&amp;'DMR 001C TIN &amp; TP'!$A$3:$A$10005),0),MATCH('Reg 85'!$AG$11,'DMR 001C TIN &amp; TP'!$A$2:$M$2,0))),"")</f>
        <v/>
      </c>
      <c r="AJ45" s="6" t="str">
        <f t="array" ref="AJ45">_xlfn.IFNA((INDEX('DMR 001C TIN &amp; TP'!$A$3:$M$10005,MATCH(('Reg 85'!$X$6&amp;'Reg 85'!AJ$10&amp;'Reg 85'!$B45),('DMR 001C TIN &amp; TP'!$E$3:$E$10005&amp;'DMR 001C TIN &amp; TP'!$B$3:$B$10005&amp;'DMR 001C TIN &amp; TP'!$A$3:$A$10005),0),MATCH('Reg 85'!$AG$11,'DMR 001C TIN &amp; TP'!$A$2:$M$2,0))),"")</f>
        <v/>
      </c>
      <c r="AK45" s="6" t="str">
        <f t="array" ref="AK45">_xlfn.IFNA((INDEX('DMR 001C TIN &amp; TP'!$A$3:$M$10005,MATCH(('Reg 85'!$X$6&amp;'Reg 85'!AK$10&amp;'Reg 85'!$B45),('DMR 001C TIN &amp; TP'!$E$3:$E$10005&amp;'DMR 001C TIN &amp; TP'!$B$3:$B$10005&amp;'DMR 001C TIN &amp; TP'!$A$3:$A$10005),0),MATCH('Reg 85'!$AG$11,'DMR 001C TIN &amp; TP'!$A$2:$M$2,0))),"")</f>
        <v/>
      </c>
      <c r="AL45" s="6" t="str">
        <f t="array" ref="AL45">_xlfn.IFNA((INDEX('DMR 001C TIN &amp; TP'!$A$3:$M$10005,MATCH(('Reg 85'!$X$6&amp;'Reg 85'!AL$10&amp;'Reg 85'!$B45),('DMR 001C TIN &amp; TP'!$E$3:$E$10005&amp;'DMR 001C TIN &amp; TP'!$B$3:$B$10005&amp;'DMR 001C TIN &amp; TP'!$A$3:$A$10005),0),MATCH('Reg 85'!$AG$11,'DMR 001C TIN &amp; TP'!$A$2:$M$2,0))),"")</f>
        <v/>
      </c>
      <c r="AM45" s="76"/>
      <c r="AN45" s="6"/>
      <c r="AO45" s="54" t="str">
        <f t="shared" si="0"/>
        <v/>
      </c>
      <c r="AP45" s="77" t="str">
        <f t="shared" si="39"/>
        <v/>
      </c>
      <c r="AQ45" s="47"/>
      <c r="AR45" s="6" t="str">
        <f t="array" ref="AR45">_xlfn.IFNA((INDEX('DMR 001C TIN &amp; TP'!$A$3:$M$10005,MATCH(('Reg 85'!$AQ$6&amp;'Reg 85'!$AQ$10&amp;'Reg 85'!$B45),('DMR 001C TIN &amp; TP'!$E$3:$E$10005&amp;'DMR 001C TIN &amp; TP'!$B$3:$B$10005&amp;'DMR 001C TIN &amp; TP'!$A$3:$A$10005),0),MATCH('Reg 85'!$AR$11,'DMR 001C TIN &amp; TP'!$A$2:$M$2,0))),"")</f>
        <v>0.03</v>
      </c>
      <c r="AS45" s="6">
        <f t="array" ref="AS45">_xlfn.IFNA((INDEX('DMR 001C TIN &amp; TP'!$A$3:$M$10005,MATCH(('Reg 85'!$AQ$6&amp;'Reg 85'!$AQ$10&amp;'Reg 85'!$B45),('DMR 001C TIN &amp; TP'!$E$3:$E$10005&amp;'DMR 001C TIN &amp; TP'!$B$3:$B$10005&amp;'DMR 001C TIN &amp; TP'!$A$3:$A$10005),0),MATCH('Reg 85'!$AS$11,'DMR 001C TIN &amp; TP'!$A$2:$M$2,0))),"")</f>
        <v>0.26</v>
      </c>
      <c r="AT45" s="53">
        <f t="shared" si="15"/>
        <v>0.26</v>
      </c>
      <c r="AV45" s="6" t="str">
        <f t="array" ref="AV45">_xlfn.IFNA((INDEX('DMR 001C TIN &amp; TP'!$A$3:$M$10005,MATCH(('Reg 85'!$AQ$6&amp;'Reg 85'!$AU$10&amp;'Reg 85'!$B45),('DMR 001C TIN &amp; TP'!$E$3:$E$10005&amp;'DMR 001C TIN &amp; TP'!$B$3:$B$10005&amp;'DMR 001C TIN &amp; TP'!$A$3:$A$10005),0),MATCH('Reg 85'!$AV$11,'DMR 001C TIN &amp; TP'!$A$2:$M$2,0))),"")</f>
        <v>0.03</v>
      </c>
      <c r="AW45" s="6">
        <f t="array" ref="AW45">_xlfn.IFNA((INDEX('DMR 001C TIN &amp; TP'!$A$3:$M$10005,MATCH(('Reg 85'!$AQ$6&amp;'Reg 85'!$AU$10&amp;'Reg 85'!$B45),('DMR 001C TIN &amp; TP'!$E$3:$E$10005&amp;'DMR 001C TIN &amp; TP'!$B$3:$B$10005&amp;'DMR 001C TIN &amp; TP'!$A$3:$A$10005),0),MATCH('Reg 85'!$AW$11,'DMR 001C TIN &amp; TP'!$A$2:$M$2,0))),"")</f>
        <v>1.77</v>
      </c>
      <c r="AX45" s="53">
        <f t="shared" si="16"/>
        <v>1.77</v>
      </c>
      <c r="AY45" s="55">
        <f t="shared" si="17"/>
        <v>1.1973589054166107</v>
      </c>
      <c r="AZ45" s="77" t="str">
        <f t="shared" si="37"/>
        <v/>
      </c>
      <c r="BA45" s="6" t="str">
        <f t="array" ref="BA45">_xlfn.IFNA((INDEX('DMR 001C TIN &amp; TP'!$A$3:$M$10005,MATCH(('Reg 85'!$AQ$6&amp;'Reg 85'!BA$10&amp;'Reg 85'!$B45),('DMR 001C TIN &amp; TP'!$E$3:$E$10005&amp;'DMR 001C TIN &amp; TP'!$B$3:$B$10005&amp;'DMR 001C TIN &amp; TP'!$A$3:$A$10005),0),MATCH('Reg 85'!$AG$11,'DMR 001C TIN &amp; TP'!$A$2:$M$2,0))),"")</f>
        <v/>
      </c>
      <c r="BB45" s="6" t="str">
        <f t="array" ref="BB45">_xlfn.IFNA((INDEX('DMR 001C TIN &amp; TP'!$A$3:$M$10005,MATCH(('Reg 85'!$AQ$6&amp;'Reg 85'!BB$10&amp;'Reg 85'!$B45),('DMR 001C TIN &amp; TP'!$E$3:$E$10005&amp;'DMR 001C TIN &amp; TP'!$B$3:$B$10005&amp;'DMR 001C TIN &amp; TP'!$A$3:$A$10005),0),MATCH('Reg 85'!$AG$11,'DMR 001C TIN &amp; TP'!$A$2:$M$2,0))),"")</f>
        <v/>
      </c>
      <c r="BC45" s="6" t="str">
        <f t="array" ref="BC45">_xlfn.IFNA((INDEX('DMR 001C TIN &amp; TP'!$A$3:$M$10005,MATCH(('Reg 85'!$AQ$6&amp;'Reg 85'!BC$10&amp;'Reg 85'!$B45),('DMR 001C TIN &amp; TP'!$E$3:$E$10005&amp;'DMR 001C TIN &amp; TP'!$B$3:$B$10005&amp;'DMR 001C TIN &amp; TP'!$A$3:$A$10005),0),MATCH('Reg 85'!$AG$11,'DMR 001C TIN &amp; TP'!$A$2:$M$2,0))),"")</f>
        <v/>
      </c>
      <c r="BD45" s="6" t="str">
        <f t="array" ref="BD45">_xlfn.IFNA((INDEX('DMR 001C TIN &amp; TP'!$A$3:$M$10005,MATCH(('Reg 85'!$AQ$6&amp;'Reg 85'!BD$10&amp;'Reg 85'!$B45),('DMR 001C TIN &amp; TP'!$E$3:$E$10005&amp;'DMR 001C TIN &amp; TP'!$B$3:$B$10005&amp;'DMR 001C TIN &amp; TP'!$A$3:$A$10005),0),MATCH('Reg 85'!$AG$11,'DMR 001C TIN &amp; TP'!$A$2:$M$2,0))),"")</f>
        <v/>
      </c>
      <c r="BE45" s="6" t="str">
        <f t="array" ref="BE45">_xlfn.IFNA((INDEX('DMR 001C TIN &amp; TP'!$A$3:$M$10005,MATCH(('Reg 85'!$AQ$6&amp;'Reg 85'!BE$10&amp;'Reg 85'!$B45),('DMR 001C TIN &amp; TP'!$E$3:$E$10005&amp;'DMR 001C TIN &amp; TP'!$B$3:$B$10005&amp;'DMR 001C TIN &amp; TP'!$A$3:$A$10005),0),MATCH('Reg 85'!$AG$11,'DMR 001C TIN &amp; TP'!$A$2:$M$2,0))),"")</f>
        <v/>
      </c>
      <c r="BF45" s="6" t="str">
        <f t="array" ref="BF45">_xlfn.IFNA((INDEX('DMR 001C TIN &amp; TP'!$A$3:$M$10005,MATCH(('Reg 85'!$AQ$6&amp;'Reg 85'!BF$10&amp;'Reg 85'!$B45),('DMR 001C TIN &amp; TP'!$E$3:$E$10005&amp;'DMR 001C TIN &amp; TP'!$B$3:$B$10005&amp;'DMR 001C TIN &amp; TP'!$A$3:$A$10005),0),MATCH('Reg 85'!$AG$11,'DMR 001C TIN &amp; TP'!$A$2:$M$2,0))),"")</f>
        <v/>
      </c>
    </row>
    <row r="46" spans="1:59">
      <c r="A46" s="3" t="str">
        <f t="shared" si="2"/>
        <v>Fri</v>
      </c>
      <c r="B46" s="96">
        <f t="shared" si="19"/>
        <v>43378</v>
      </c>
      <c r="C46" s="96">
        <f t="shared" si="3"/>
        <v>43404</v>
      </c>
      <c r="D46" s="96">
        <f t="shared" si="4"/>
        <v>43374</v>
      </c>
      <c r="E46" s="95">
        <f t="shared" si="5"/>
        <v>31</v>
      </c>
      <c r="F46" s="7">
        <f t="array" ref="F46">_xlfn.IFNA(INDEX('DMR Flows-Effluent'!$A$3:$F$9999,MATCH(($F$10&amp;$B46),('DMR Flows-Effluent'!$B$3:$B$9999&amp;'DMR Flows-Effluent'!$A$3:$A$9999),0),MATCH($F$8,'DMR Flows-Effluent'!$A$2:$F$2,0)),"")</f>
        <v>45.4345</v>
      </c>
      <c r="G46" s="7">
        <f t="array" ref="G46">_xlfn.IFNA(INDEX('DMR Flows-Effluent'!$A$3:$F$9999,MATCH(($G$10&amp;$B46),('DMR Flows-Effluent'!$B$3:$B$9999&amp;'DMR Flows-Effluent'!$A$3:$A$9999),0),MATCH($F$8,'DMR Flows-Effluent'!$A$2:$F$2,0)),"")</f>
        <v>78.646699999999996</v>
      </c>
      <c r="H46" s="7">
        <f t="shared" si="6"/>
        <v>124.0812</v>
      </c>
      <c r="I46" s="45" t="str">
        <f t="shared" si="7"/>
        <v/>
      </c>
      <c r="J46" s="6" t="str">
        <f t="array" ref="J46">_xlfn.IFNA((INDEX('DMR 001C TIN &amp; TP'!$A$3:$M$10005,MATCH(('Reg 85'!$I$6:$Q$6&amp;'Reg 85'!$I$10:$K$10&amp;'Reg 85'!$B46),('DMR 001C TIN &amp; TP'!$E$3:$E$10005&amp;'DMR 001C TIN &amp; TP'!$B$3:$B$10005&amp;'DMR 001C TIN &amp; TP'!$A$3:$A$10005),0),MATCH('Reg 85'!$J$11,'DMR 001C TIN &amp; TP'!$A$2:$M$2,0))),"")</f>
        <v/>
      </c>
      <c r="K46" s="6" t="str">
        <f t="array" ref="K46">_xlfn.IFNA((INDEX('DMR 001C TIN &amp; TP'!$A$3:$M$10005,MATCH(('Reg 85'!$I$6:$Q$6&amp;'Reg 85'!$I$10:$K$10&amp;'Reg 85'!$B46),('DMR 001C TIN &amp; TP'!$E$3:$E$10005&amp;'DMR 001C TIN &amp; TP'!$B$3:$B$10005&amp;'DMR 001C TIN &amp; TP'!$A$3:$A$10005),0),MATCH('Reg 85'!$K$11,'DMR 001C TIN &amp; TP'!$A$2:$M$2,0))),"")</f>
        <v/>
      </c>
      <c r="L46" s="53" t="str">
        <f t="shared" si="21"/>
        <v/>
      </c>
      <c r="M46" s="5" t="str">
        <f t="shared" si="8"/>
        <v/>
      </c>
      <c r="N46" s="6" t="str">
        <f t="array" ref="N46">_xlfn.IFNA((INDEX('DMR 001C TIN &amp; TP'!$A$3:$M$10005,MATCH(('Reg 85'!$I$6:$Q$6&amp;'Reg 85'!$M$10&amp;'Reg 85'!$B46),('DMR 001C TIN &amp; TP'!$E$3:$E$10005&amp;'DMR 001C TIN &amp; TP'!$B$3:$B$10005&amp;'DMR 001C TIN &amp; TP'!$A$3:$A$10005),0),MATCH('Reg 85'!$N$11,'DMR 001C TIN &amp; TP'!$A$2:$M$2,0))),"")</f>
        <v/>
      </c>
      <c r="O46" s="6" t="str">
        <f t="array" ref="O46">_xlfn.IFNA((INDEX('DMR 001C TIN &amp; TP'!$A$3:$M$10005,MATCH(('Reg 85'!$I$6:$Q$6&amp;'Reg 85'!$M$10&amp;'Reg 85'!$B46),('DMR 001C TIN &amp; TP'!$E$3:$E$10005&amp;'DMR 001C TIN &amp; TP'!$B$3:$B$10005&amp;'DMR 001C TIN &amp; TP'!$A$3:$A$10005),0),MATCH('Reg 85'!$O$11,'DMR 001C TIN &amp; TP'!$A$2:$M$2,0))),"")</f>
        <v/>
      </c>
      <c r="P46" s="53" t="str">
        <f t="shared" si="9"/>
        <v/>
      </c>
      <c r="Q46" s="73" t="str">
        <f t="array" ref="Q46">IFERROR(((L46*$F46)+(P46*$G46))/($H46),"")</f>
        <v/>
      </c>
      <c r="R46" s="6" t="str">
        <f t="array" ref="R46">_xlfn.IFNA((INDEX('DMR 001C TIN &amp; TP'!$A$3:$M$10005,MATCH(('Reg 85'!$I$6:$Q$6&amp;'Reg 85'!R$10&amp;'Reg 85'!$B46),('DMR 001C TIN &amp; TP'!$E$3:$E$10005&amp;'DMR 001C TIN &amp; TP'!$B$3:$B$10005&amp;'DMR 001C TIN &amp; TP'!$A$3:$A$10005),0),MATCH('Reg 85'!$O$11,'DMR 001C TIN &amp; TP'!$A$2:$M$2,0))),"")</f>
        <v/>
      </c>
      <c r="S46" s="6" t="str">
        <f t="array" ref="S46">_xlfn.IFNA((INDEX('DMR 001C TIN &amp; TP'!$A$3:$M$10005,MATCH(('Reg 85'!$I$6:$Q$6&amp;'Reg 85'!S$10&amp;'Reg 85'!$B46),('DMR 001C TIN &amp; TP'!$E$3:$E$10005&amp;'DMR 001C TIN &amp; TP'!$B$3:$B$10005&amp;'DMR 001C TIN &amp; TP'!$A$3:$A$10005),0),MATCH('Reg 85'!$O$11,'DMR 001C TIN &amp; TP'!$A$2:$M$2,0))),"")</f>
        <v/>
      </c>
      <c r="T46" s="6" t="str">
        <f t="array" ref="T46">_xlfn.IFNA((INDEX('DMR 001C TIN &amp; TP'!$A$3:$M$10005,MATCH(('Reg 85'!$I$6:$Q$6&amp;'Reg 85'!T$10&amp;'Reg 85'!$B46),('DMR 001C TIN &amp; TP'!$E$3:$E$10005&amp;'DMR 001C TIN &amp; TP'!$B$3:$B$10005&amp;'DMR 001C TIN &amp; TP'!$A$3:$A$10005),0),MATCH('Reg 85'!$O$11,'DMR 001C TIN &amp; TP'!$A$2:$M$2,0))),"")</f>
        <v/>
      </c>
      <c r="U46" s="6" t="str">
        <f t="array" ref="U46">_xlfn.IFNA((INDEX('DMR 001C TIN &amp; TP'!$A$3:$M$10005,MATCH(('Reg 85'!$I$6:$Q$6&amp;'Reg 85'!U$10&amp;'Reg 85'!$B46),('DMR 001C TIN &amp; TP'!$E$3:$E$10005&amp;'DMR 001C TIN &amp; TP'!$B$3:$B$10005&amp;'DMR 001C TIN &amp; TP'!$A$3:$A$10005),0),MATCH('Reg 85'!$O$11,'DMR 001C TIN &amp; TP'!$A$2:$M$2,0))),"")</f>
        <v/>
      </c>
      <c r="V46" s="6" t="str">
        <f t="array" ref="V46">_xlfn.IFNA((INDEX('DMR 001C TIN &amp; TP'!$A$3:$M$10005,MATCH(('Reg 85'!$I$6:$Q$6&amp;'Reg 85'!V$10&amp;'Reg 85'!$B46),('DMR 001C TIN &amp; TP'!$E$3:$E$10005&amp;'DMR 001C TIN &amp; TP'!$B$3:$B$10005&amp;'DMR 001C TIN &amp; TP'!$A$3:$A$10005),0),MATCH('Reg 85'!$O$11,'DMR 001C TIN &amp; TP'!$A$2:$M$2,0))),"")</f>
        <v/>
      </c>
      <c r="W46" s="6" t="str">
        <f t="array" ref="W46">_xlfn.IFNA((INDEX('DMR 001C TIN &amp; TP'!$A$3:$M$10005,MATCH(('Reg 85'!$I$6:$Q$6&amp;'Reg 85'!W$10&amp;'Reg 85'!$B46),('DMR 001C TIN &amp; TP'!$E$3:$E$10005&amp;'DMR 001C TIN &amp; TP'!$B$3:$B$10005&amp;'DMR 001C TIN &amp; TP'!$A$3:$A$10005),0),MATCH('Reg 85'!$O$11,'DMR 001C TIN &amp; TP'!$A$2:$M$2,0))),"")</f>
        <v/>
      </c>
      <c r="X46" s="5" t="str">
        <f t="shared" si="10"/>
        <v/>
      </c>
      <c r="Y46" s="6" t="str">
        <f t="array" ref="Y46">_xlfn.IFNA((INDEX('DMR 001C TIN &amp; TP'!$A$3:$M$10005,MATCH(('Reg 85'!$X$6&amp;'Reg 85'!$X$10&amp;'Reg 85'!$B46),('DMR 001C TIN &amp; TP'!$E$3:$E$10005&amp;'DMR 001C TIN &amp; TP'!$B$3:$B$10005&amp;'DMR 001C TIN &amp; TP'!$A$3:$A$10005),0),MATCH('Reg 85'!$Y$11,'DMR 001C TIN &amp; TP'!$A$2:$M$2,0))),"")</f>
        <v/>
      </c>
      <c r="Z46" s="6" t="str">
        <f t="array" ref="Z46">_xlfn.IFNA((INDEX('DMR 001C TIN &amp; TP'!$A$3:$M$10005,MATCH(('Reg 85'!$X$6&amp;'Reg 85'!$X$10&amp;'Reg 85'!$B46),('DMR 001C TIN &amp; TP'!$E$3:$E$10005&amp;'DMR 001C TIN &amp; TP'!$B$3:$B$10005&amp;'DMR 001C TIN &amp; TP'!$A$3:$A$10005),0),MATCH('Reg 85'!$Z$11,'DMR 001C TIN &amp; TP'!$A$2:$M$2,0))),"")</f>
        <v/>
      </c>
      <c r="AA46" s="53" t="str">
        <f t="shared" si="11"/>
        <v/>
      </c>
      <c r="AB46" s="5" t="str">
        <f t="shared" si="12"/>
        <v/>
      </c>
      <c r="AC46" s="6" t="str">
        <f t="array" ref="AC46">_xlfn.IFNA((INDEX('DMR 001C TIN &amp; TP'!$A$3:$M$10005,MATCH(('Reg 85'!$X$6&amp;'Reg 85'!$AB$10&amp;'Reg 85'!$B46),('DMR 001C TIN &amp; TP'!$E$3:$E$10005&amp;'DMR 001C TIN &amp; TP'!$B$3:$B$10005&amp;'DMR 001C TIN &amp; TP'!$A$3:$A$10005),0),MATCH('Reg 85'!$AC$11,'DMR 001C TIN &amp; TP'!$A$2:$M$2,0))),"")</f>
        <v/>
      </c>
      <c r="AD46" s="6" t="str">
        <f t="array" ref="AD46">_xlfn.IFNA((INDEX('DMR 001C TIN &amp; TP'!$A$3:$M$10005,MATCH(('Reg 85'!$X$6&amp;'Reg 85'!$AB$10&amp;'Reg 85'!$B46),('DMR 001C TIN &amp; TP'!$E$3:$E$10005&amp;'DMR 001C TIN &amp; TP'!$B$3:$B$10005&amp;'DMR 001C TIN &amp; TP'!$A$3:$A$10005),0),MATCH('Reg 85'!$AD$11,'DMR 001C TIN &amp; TP'!$A$2:$M$2,0))),"")</f>
        <v/>
      </c>
      <c r="AE46" s="53" t="str">
        <f t="shared" si="13"/>
        <v/>
      </c>
      <c r="AF46" s="7" t="str">
        <f t="shared" si="14"/>
        <v/>
      </c>
      <c r="AG46" s="6" t="str">
        <f t="array" ref="AG46">_xlfn.IFNA((INDEX('DMR 001C TIN &amp; TP'!$A$3:$M$10005,MATCH(('Reg 85'!$X$6&amp;'Reg 85'!AG$10&amp;'Reg 85'!$B46),('DMR 001C TIN &amp; TP'!$E$3:$E$10005&amp;'DMR 001C TIN &amp; TP'!$B$3:$B$10005&amp;'DMR 001C TIN &amp; TP'!$A$3:$A$10005),0),MATCH('Reg 85'!$AG$11,'DMR 001C TIN &amp; TP'!$A$2:$M$2,0))),"")</f>
        <v/>
      </c>
      <c r="AH46" s="6" t="str">
        <f t="array" ref="AH46">_xlfn.IFNA((INDEX('DMR 001C TIN &amp; TP'!$A$3:$M$10005,MATCH(('Reg 85'!$X$6&amp;'Reg 85'!AH$10&amp;'Reg 85'!$B46),('DMR 001C TIN &amp; TP'!$E$3:$E$10005&amp;'DMR 001C TIN &amp; TP'!$B$3:$B$10005&amp;'DMR 001C TIN &amp; TP'!$A$3:$A$10005),0),MATCH('Reg 85'!$AG$11,'DMR 001C TIN &amp; TP'!$A$2:$M$2,0))),"")</f>
        <v/>
      </c>
      <c r="AI46" s="6" t="str">
        <f t="array" ref="AI46">_xlfn.IFNA((INDEX('DMR 001C TIN &amp; TP'!$A$3:$M$10005,MATCH(('Reg 85'!$X$6&amp;'Reg 85'!AI$10&amp;'Reg 85'!$B46),('DMR 001C TIN &amp; TP'!$E$3:$E$10005&amp;'DMR 001C TIN &amp; TP'!$B$3:$B$10005&amp;'DMR 001C TIN &amp; TP'!$A$3:$A$10005),0),MATCH('Reg 85'!$AG$11,'DMR 001C TIN &amp; TP'!$A$2:$M$2,0))),"")</f>
        <v/>
      </c>
      <c r="AJ46" s="6" t="str">
        <f t="array" ref="AJ46">_xlfn.IFNA((INDEX('DMR 001C TIN &amp; TP'!$A$3:$M$10005,MATCH(('Reg 85'!$X$6&amp;'Reg 85'!AJ$10&amp;'Reg 85'!$B46),('DMR 001C TIN &amp; TP'!$E$3:$E$10005&amp;'DMR 001C TIN &amp; TP'!$B$3:$B$10005&amp;'DMR 001C TIN &amp; TP'!$A$3:$A$10005),0),MATCH('Reg 85'!$AG$11,'DMR 001C TIN &amp; TP'!$A$2:$M$2,0))),"")</f>
        <v/>
      </c>
      <c r="AK46" s="6" t="str">
        <f t="array" ref="AK46">_xlfn.IFNA((INDEX('DMR 001C TIN &amp; TP'!$A$3:$M$10005,MATCH(('Reg 85'!$X$6&amp;'Reg 85'!AK$10&amp;'Reg 85'!$B46),('DMR 001C TIN &amp; TP'!$E$3:$E$10005&amp;'DMR 001C TIN &amp; TP'!$B$3:$B$10005&amp;'DMR 001C TIN &amp; TP'!$A$3:$A$10005),0),MATCH('Reg 85'!$AG$11,'DMR 001C TIN &amp; TP'!$A$2:$M$2,0))),"")</f>
        <v/>
      </c>
      <c r="AL46" s="6" t="str">
        <f t="array" ref="AL46">_xlfn.IFNA((INDEX('DMR 001C TIN &amp; TP'!$A$3:$M$10005,MATCH(('Reg 85'!$X$6&amp;'Reg 85'!AL$10&amp;'Reg 85'!$B46),('DMR 001C TIN &amp; TP'!$E$3:$E$10005&amp;'DMR 001C TIN &amp; TP'!$B$3:$B$10005&amp;'DMR 001C TIN &amp; TP'!$A$3:$A$10005),0),MATCH('Reg 85'!$AG$11,'DMR 001C TIN &amp; TP'!$A$2:$M$2,0))),"")</f>
        <v/>
      </c>
      <c r="AM46" s="76"/>
      <c r="AN46" s="6"/>
      <c r="AO46" s="54" t="str">
        <f t="shared" si="0"/>
        <v/>
      </c>
      <c r="AP46" s="77" t="str">
        <f t="shared" si="39"/>
        <v/>
      </c>
      <c r="AQ46" s="47"/>
      <c r="AR46" s="6" t="str">
        <f t="array" ref="AR46">_xlfn.IFNA((INDEX('DMR 001C TIN &amp; TP'!$A$3:$M$10005,MATCH(('Reg 85'!$AQ$6&amp;'Reg 85'!$AQ$10&amp;'Reg 85'!$B46),('DMR 001C TIN &amp; TP'!$E$3:$E$10005&amp;'DMR 001C TIN &amp; TP'!$B$3:$B$10005&amp;'DMR 001C TIN &amp; TP'!$A$3:$A$10005),0),MATCH('Reg 85'!$AR$11,'DMR 001C TIN &amp; TP'!$A$2:$M$2,0))),"")</f>
        <v/>
      </c>
      <c r="AS46" s="6" t="str">
        <f t="array" ref="AS46">_xlfn.IFNA((INDEX('DMR 001C TIN &amp; TP'!$A$3:$M$10005,MATCH(('Reg 85'!$AQ$6&amp;'Reg 85'!$AQ$10&amp;'Reg 85'!$B46),('DMR 001C TIN &amp; TP'!$E$3:$E$10005&amp;'DMR 001C TIN &amp; TP'!$B$3:$B$10005&amp;'DMR 001C TIN &amp; TP'!$A$3:$A$10005),0),MATCH('Reg 85'!$AS$11,'DMR 001C TIN &amp; TP'!$A$2:$M$2,0))),"")</f>
        <v/>
      </c>
      <c r="AT46" s="53" t="str">
        <f t="shared" si="15"/>
        <v/>
      </c>
      <c r="AV46" s="6" t="str">
        <f t="array" ref="AV46">_xlfn.IFNA((INDEX('DMR 001C TIN &amp; TP'!$A$3:$M$10005,MATCH(('Reg 85'!$AQ$6&amp;'Reg 85'!$AU$10&amp;'Reg 85'!$B46),('DMR 001C TIN &amp; TP'!$E$3:$E$10005&amp;'DMR 001C TIN &amp; TP'!$B$3:$B$10005&amp;'DMR 001C TIN &amp; TP'!$A$3:$A$10005),0),MATCH('Reg 85'!$AV$11,'DMR 001C TIN &amp; TP'!$A$2:$M$2,0))),"")</f>
        <v/>
      </c>
      <c r="AW46" s="6" t="str">
        <f t="array" ref="AW46">_xlfn.IFNA((INDEX('DMR 001C TIN &amp; TP'!$A$3:$M$10005,MATCH(('Reg 85'!$AQ$6&amp;'Reg 85'!$AU$10&amp;'Reg 85'!$B46),('DMR 001C TIN &amp; TP'!$E$3:$E$10005&amp;'DMR 001C TIN &amp; TP'!$B$3:$B$10005&amp;'DMR 001C TIN &amp; TP'!$A$3:$A$10005),0),MATCH('Reg 85'!$AW$11,'DMR 001C TIN &amp; TP'!$A$2:$M$2,0))),"")</f>
        <v/>
      </c>
      <c r="AX46" s="53" t="str">
        <f t="shared" si="16"/>
        <v/>
      </c>
      <c r="AY46" s="55" t="str">
        <f t="shared" si="17"/>
        <v/>
      </c>
      <c r="AZ46" s="77" t="str">
        <f t="shared" si="37"/>
        <v/>
      </c>
      <c r="BA46" s="6" t="str">
        <f t="array" ref="BA46">_xlfn.IFNA((INDEX('DMR 001C TIN &amp; TP'!$A$3:$M$10005,MATCH(('Reg 85'!$AQ$6&amp;'Reg 85'!BA$10&amp;'Reg 85'!$B46),('DMR 001C TIN &amp; TP'!$E$3:$E$10005&amp;'DMR 001C TIN &amp; TP'!$B$3:$B$10005&amp;'DMR 001C TIN &amp; TP'!$A$3:$A$10005),0),MATCH('Reg 85'!$AG$11,'DMR 001C TIN &amp; TP'!$A$2:$M$2,0))),"")</f>
        <v/>
      </c>
      <c r="BB46" s="6" t="str">
        <f t="array" ref="BB46">_xlfn.IFNA((INDEX('DMR 001C TIN &amp; TP'!$A$3:$M$10005,MATCH(('Reg 85'!$AQ$6&amp;'Reg 85'!BB$10&amp;'Reg 85'!$B46),('DMR 001C TIN &amp; TP'!$E$3:$E$10005&amp;'DMR 001C TIN &amp; TP'!$B$3:$B$10005&amp;'DMR 001C TIN &amp; TP'!$A$3:$A$10005),0),MATCH('Reg 85'!$AG$11,'DMR 001C TIN &amp; TP'!$A$2:$M$2,0))),"")</f>
        <v/>
      </c>
      <c r="BC46" s="6" t="str">
        <f t="array" ref="BC46">_xlfn.IFNA((INDEX('DMR 001C TIN &amp; TP'!$A$3:$M$10005,MATCH(('Reg 85'!$AQ$6&amp;'Reg 85'!BC$10&amp;'Reg 85'!$B46),('DMR 001C TIN &amp; TP'!$E$3:$E$10005&amp;'DMR 001C TIN &amp; TP'!$B$3:$B$10005&amp;'DMR 001C TIN &amp; TP'!$A$3:$A$10005),0),MATCH('Reg 85'!$AG$11,'DMR 001C TIN &amp; TP'!$A$2:$M$2,0))),"")</f>
        <v/>
      </c>
      <c r="BD46" s="6" t="str">
        <f t="array" ref="BD46">_xlfn.IFNA((INDEX('DMR 001C TIN &amp; TP'!$A$3:$M$10005,MATCH(('Reg 85'!$AQ$6&amp;'Reg 85'!BD$10&amp;'Reg 85'!$B46),('DMR 001C TIN &amp; TP'!$E$3:$E$10005&amp;'DMR 001C TIN &amp; TP'!$B$3:$B$10005&amp;'DMR 001C TIN &amp; TP'!$A$3:$A$10005),0),MATCH('Reg 85'!$AG$11,'DMR 001C TIN &amp; TP'!$A$2:$M$2,0))),"")</f>
        <v/>
      </c>
      <c r="BE46" s="6" t="str">
        <f t="array" ref="BE46">_xlfn.IFNA((INDEX('DMR 001C TIN &amp; TP'!$A$3:$M$10005,MATCH(('Reg 85'!$AQ$6&amp;'Reg 85'!BE$10&amp;'Reg 85'!$B46),('DMR 001C TIN &amp; TP'!$E$3:$E$10005&amp;'DMR 001C TIN &amp; TP'!$B$3:$B$10005&amp;'DMR 001C TIN &amp; TP'!$A$3:$A$10005),0),MATCH('Reg 85'!$AG$11,'DMR 001C TIN &amp; TP'!$A$2:$M$2,0))),"")</f>
        <v/>
      </c>
      <c r="BF46" s="6" t="str">
        <f t="array" ref="BF46">_xlfn.IFNA((INDEX('DMR 001C TIN &amp; TP'!$A$3:$M$10005,MATCH(('Reg 85'!$AQ$6&amp;'Reg 85'!BF$10&amp;'Reg 85'!$B46),('DMR 001C TIN &amp; TP'!$E$3:$E$10005&amp;'DMR 001C TIN &amp; TP'!$B$3:$B$10005&amp;'DMR 001C TIN &amp; TP'!$A$3:$A$10005),0),MATCH('Reg 85'!$AG$11,'DMR 001C TIN &amp; TP'!$A$2:$M$2,0))),"")</f>
        <v/>
      </c>
    </row>
    <row r="47" spans="1:59">
      <c r="A47" s="3" t="str">
        <f t="shared" si="2"/>
        <v>Sat</v>
      </c>
      <c r="B47" s="96">
        <f t="shared" si="19"/>
        <v>43379</v>
      </c>
      <c r="C47" s="96">
        <f t="shared" si="3"/>
        <v>43404</v>
      </c>
      <c r="D47" s="96">
        <f t="shared" si="4"/>
        <v>43374</v>
      </c>
      <c r="E47" s="95">
        <f t="shared" si="5"/>
        <v>31</v>
      </c>
      <c r="F47" s="7">
        <f t="array" ref="F47">_xlfn.IFNA(INDEX('DMR Flows-Effluent'!$A$3:$F$9999,MATCH(($F$10&amp;$B47),('DMR Flows-Effluent'!$B$3:$B$9999&amp;'DMR Flows-Effluent'!$A$3:$A$9999),0),MATCH($F$8,'DMR Flows-Effluent'!$A$2:$F$2,0)),"")</f>
        <v>49.41</v>
      </c>
      <c r="G47" s="7">
        <f t="array" ref="G47">_xlfn.IFNA(INDEX('DMR Flows-Effluent'!$A$3:$F$9999,MATCH(($G$10&amp;$B47),('DMR Flows-Effluent'!$B$3:$B$9999&amp;'DMR Flows-Effluent'!$A$3:$A$9999),0),MATCH($F$8,'DMR Flows-Effluent'!$A$2:$F$2,0)),"")</f>
        <v>77.785499999999999</v>
      </c>
      <c r="H47" s="7">
        <f t="shared" si="6"/>
        <v>127.1955</v>
      </c>
      <c r="I47" s="45" t="str">
        <f t="shared" si="7"/>
        <v/>
      </c>
      <c r="J47" s="6" t="str">
        <f t="array" ref="J47">_xlfn.IFNA((INDEX('DMR 001C TIN &amp; TP'!$A$3:$M$10005,MATCH(('Reg 85'!$I$6:$Q$6&amp;'Reg 85'!$I$10:$K$10&amp;'Reg 85'!$B47),('DMR 001C TIN &amp; TP'!$E$3:$E$10005&amp;'DMR 001C TIN &amp; TP'!$B$3:$B$10005&amp;'DMR 001C TIN &amp; TP'!$A$3:$A$10005),0),MATCH('Reg 85'!$J$11,'DMR 001C TIN &amp; TP'!$A$2:$M$2,0))),"")</f>
        <v/>
      </c>
      <c r="K47" s="6" t="str">
        <f t="array" ref="K47">_xlfn.IFNA((INDEX('DMR 001C TIN &amp; TP'!$A$3:$M$10005,MATCH(('Reg 85'!$I$6:$Q$6&amp;'Reg 85'!$I$10:$K$10&amp;'Reg 85'!$B47),('DMR 001C TIN &amp; TP'!$E$3:$E$10005&amp;'DMR 001C TIN &amp; TP'!$B$3:$B$10005&amp;'DMR 001C TIN &amp; TP'!$A$3:$A$10005),0),MATCH('Reg 85'!$K$11,'DMR 001C TIN &amp; TP'!$A$2:$M$2,0))),"")</f>
        <v/>
      </c>
      <c r="L47" s="53" t="str">
        <f t="shared" si="21"/>
        <v/>
      </c>
      <c r="M47" s="5" t="str">
        <f t="shared" si="8"/>
        <v/>
      </c>
      <c r="N47" s="6" t="str">
        <f t="array" ref="N47">_xlfn.IFNA((INDEX('DMR 001C TIN &amp; TP'!$A$3:$M$10005,MATCH(('Reg 85'!$I$6:$Q$6&amp;'Reg 85'!$M$10&amp;'Reg 85'!$B47),('DMR 001C TIN &amp; TP'!$E$3:$E$10005&amp;'DMR 001C TIN &amp; TP'!$B$3:$B$10005&amp;'DMR 001C TIN &amp; TP'!$A$3:$A$10005),0),MATCH('Reg 85'!$N$11,'DMR 001C TIN &amp; TP'!$A$2:$M$2,0))),"")</f>
        <v/>
      </c>
      <c r="O47" s="6" t="str">
        <f t="array" ref="O47">_xlfn.IFNA((INDEX('DMR 001C TIN &amp; TP'!$A$3:$M$10005,MATCH(('Reg 85'!$I$6:$Q$6&amp;'Reg 85'!$M$10&amp;'Reg 85'!$B47),('DMR 001C TIN &amp; TP'!$E$3:$E$10005&amp;'DMR 001C TIN &amp; TP'!$B$3:$B$10005&amp;'DMR 001C TIN &amp; TP'!$A$3:$A$10005),0),MATCH('Reg 85'!$O$11,'DMR 001C TIN &amp; TP'!$A$2:$M$2,0))),"")</f>
        <v/>
      </c>
      <c r="P47" s="53" t="str">
        <f t="shared" si="9"/>
        <v/>
      </c>
      <c r="Q47" s="73" t="str">
        <f t="array" ref="Q47">IFERROR(((L47*$F47)+(P47*$G47))/($H47),"")</f>
        <v/>
      </c>
      <c r="R47" s="6" t="str">
        <f t="array" ref="R47">_xlfn.IFNA((INDEX('DMR 001C TIN &amp; TP'!$A$3:$M$10005,MATCH(('Reg 85'!$I$6:$Q$6&amp;'Reg 85'!R$10&amp;'Reg 85'!$B47),('DMR 001C TIN &amp; TP'!$E$3:$E$10005&amp;'DMR 001C TIN &amp; TP'!$B$3:$B$10005&amp;'DMR 001C TIN &amp; TP'!$A$3:$A$10005),0),MATCH('Reg 85'!$O$11,'DMR 001C TIN &amp; TP'!$A$2:$M$2,0))),"")</f>
        <v/>
      </c>
      <c r="S47" s="6" t="str">
        <f t="array" ref="S47">_xlfn.IFNA((INDEX('DMR 001C TIN &amp; TP'!$A$3:$M$10005,MATCH(('Reg 85'!$I$6:$Q$6&amp;'Reg 85'!S$10&amp;'Reg 85'!$B47),('DMR 001C TIN &amp; TP'!$E$3:$E$10005&amp;'DMR 001C TIN &amp; TP'!$B$3:$B$10005&amp;'DMR 001C TIN &amp; TP'!$A$3:$A$10005),0),MATCH('Reg 85'!$O$11,'DMR 001C TIN &amp; TP'!$A$2:$M$2,0))),"")</f>
        <v/>
      </c>
      <c r="T47" s="6" t="str">
        <f t="array" ref="T47">_xlfn.IFNA((INDEX('DMR 001C TIN &amp; TP'!$A$3:$M$10005,MATCH(('Reg 85'!$I$6:$Q$6&amp;'Reg 85'!T$10&amp;'Reg 85'!$B47),('DMR 001C TIN &amp; TP'!$E$3:$E$10005&amp;'DMR 001C TIN &amp; TP'!$B$3:$B$10005&amp;'DMR 001C TIN &amp; TP'!$A$3:$A$10005),0),MATCH('Reg 85'!$O$11,'DMR 001C TIN &amp; TP'!$A$2:$M$2,0))),"")</f>
        <v/>
      </c>
      <c r="U47" s="6" t="str">
        <f t="array" ref="U47">_xlfn.IFNA((INDEX('DMR 001C TIN &amp; TP'!$A$3:$M$10005,MATCH(('Reg 85'!$I$6:$Q$6&amp;'Reg 85'!U$10&amp;'Reg 85'!$B47),('DMR 001C TIN &amp; TP'!$E$3:$E$10005&amp;'DMR 001C TIN &amp; TP'!$B$3:$B$10005&amp;'DMR 001C TIN &amp; TP'!$A$3:$A$10005),0),MATCH('Reg 85'!$O$11,'DMR 001C TIN &amp; TP'!$A$2:$M$2,0))),"")</f>
        <v/>
      </c>
      <c r="V47" s="6" t="str">
        <f t="array" ref="V47">_xlfn.IFNA((INDEX('DMR 001C TIN &amp; TP'!$A$3:$M$10005,MATCH(('Reg 85'!$I$6:$Q$6&amp;'Reg 85'!V$10&amp;'Reg 85'!$B47),('DMR 001C TIN &amp; TP'!$E$3:$E$10005&amp;'DMR 001C TIN &amp; TP'!$B$3:$B$10005&amp;'DMR 001C TIN &amp; TP'!$A$3:$A$10005),0),MATCH('Reg 85'!$O$11,'DMR 001C TIN &amp; TP'!$A$2:$M$2,0))),"")</f>
        <v/>
      </c>
      <c r="W47" s="6" t="str">
        <f t="array" ref="W47">_xlfn.IFNA((INDEX('DMR 001C TIN &amp; TP'!$A$3:$M$10005,MATCH(('Reg 85'!$I$6:$Q$6&amp;'Reg 85'!W$10&amp;'Reg 85'!$B47),('DMR 001C TIN &amp; TP'!$E$3:$E$10005&amp;'DMR 001C TIN &amp; TP'!$B$3:$B$10005&amp;'DMR 001C TIN &amp; TP'!$A$3:$A$10005),0),MATCH('Reg 85'!$O$11,'DMR 001C TIN &amp; TP'!$A$2:$M$2,0))),"")</f>
        <v/>
      </c>
      <c r="X47" s="5" t="str">
        <f t="shared" si="10"/>
        <v/>
      </c>
      <c r="Y47" s="6" t="str">
        <f t="array" ref="Y47">_xlfn.IFNA((INDEX('DMR 001C TIN &amp; TP'!$A$3:$M$10005,MATCH(('Reg 85'!$X$6&amp;'Reg 85'!$X$10&amp;'Reg 85'!$B47),('DMR 001C TIN &amp; TP'!$E$3:$E$10005&amp;'DMR 001C TIN &amp; TP'!$B$3:$B$10005&amp;'DMR 001C TIN &amp; TP'!$A$3:$A$10005),0),MATCH('Reg 85'!$Y$11,'DMR 001C TIN &amp; TP'!$A$2:$M$2,0))),"")</f>
        <v/>
      </c>
      <c r="Z47" s="6" t="str">
        <f t="array" ref="Z47">_xlfn.IFNA((INDEX('DMR 001C TIN &amp; TP'!$A$3:$M$10005,MATCH(('Reg 85'!$X$6&amp;'Reg 85'!$X$10&amp;'Reg 85'!$B47),('DMR 001C TIN &amp; TP'!$E$3:$E$10005&amp;'DMR 001C TIN &amp; TP'!$B$3:$B$10005&amp;'DMR 001C TIN &amp; TP'!$A$3:$A$10005),0),MATCH('Reg 85'!$Z$11,'DMR 001C TIN &amp; TP'!$A$2:$M$2,0))),"")</f>
        <v/>
      </c>
      <c r="AA47" s="53" t="str">
        <f t="shared" si="11"/>
        <v/>
      </c>
      <c r="AB47" s="5" t="str">
        <f t="shared" si="12"/>
        <v/>
      </c>
      <c r="AC47" s="6" t="str">
        <f t="array" ref="AC47">_xlfn.IFNA((INDEX('DMR 001C TIN &amp; TP'!$A$3:$M$10005,MATCH(('Reg 85'!$X$6&amp;'Reg 85'!$AB$10&amp;'Reg 85'!$B47),('DMR 001C TIN &amp; TP'!$E$3:$E$10005&amp;'DMR 001C TIN &amp; TP'!$B$3:$B$10005&amp;'DMR 001C TIN &amp; TP'!$A$3:$A$10005),0),MATCH('Reg 85'!$AC$11,'DMR 001C TIN &amp; TP'!$A$2:$M$2,0))),"")</f>
        <v/>
      </c>
      <c r="AD47" s="6" t="str">
        <f t="array" ref="AD47">_xlfn.IFNA((INDEX('DMR 001C TIN &amp; TP'!$A$3:$M$10005,MATCH(('Reg 85'!$X$6&amp;'Reg 85'!$AB$10&amp;'Reg 85'!$B47),('DMR 001C TIN &amp; TP'!$E$3:$E$10005&amp;'DMR 001C TIN &amp; TP'!$B$3:$B$10005&amp;'DMR 001C TIN &amp; TP'!$A$3:$A$10005),0),MATCH('Reg 85'!$AD$11,'DMR 001C TIN &amp; TP'!$A$2:$M$2,0))),"")</f>
        <v/>
      </c>
      <c r="AE47" s="53" t="str">
        <f t="shared" si="13"/>
        <v/>
      </c>
      <c r="AF47" s="7" t="str">
        <f t="shared" si="14"/>
        <v/>
      </c>
      <c r="AG47" s="6" t="str">
        <f t="array" ref="AG47">_xlfn.IFNA((INDEX('DMR 001C TIN &amp; TP'!$A$3:$M$10005,MATCH(('Reg 85'!$X$6&amp;'Reg 85'!AG$10&amp;'Reg 85'!$B47),('DMR 001C TIN &amp; TP'!$E$3:$E$10005&amp;'DMR 001C TIN &amp; TP'!$B$3:$B$10005&amp;'DMR 001C TIN &amp; TP'!$A$3:$A$10005),0),MATCH('Reg 85'!$AG$11,'DMR 001C TIN &amp; TP'!$A$2:$M$2,0))),"")</f>
        <v/>
      </c>
      <c r="AH47" s="6" t="str">
        <f t="array" ref="AH47">_xlfn.IFNA((INDEX('DMR 001C TIN &amp; TP'!$A$3:$M$10005,MATCH(('Reg 85'!$X$6&amp;'Reg 85'!AH$10&amp;'Reg 85'!$B47),('DMR 001C TIN &amp; TP'!$E$3:$E$10005&amp;'DMR 001C TIN &amp; TP'!$B$3:$B$10005&amp;'DMR 001C TIN &amp; TP'!$A$3:$A$10005),0),MATCH('Reg 85'!$AG$11,'DMR 001C TIN &amp; TP'!$A$2:$M$2,0))),"")</f>
        <v/>
      </c>
      <c r="AI47" s="6" t="str">
        <f t="array" ref="AI47">_xlfn.IFNA((INDEX('DMR 001C TIN &amp; TP'!$A$3:$M$10005,MATCH(('Reg 85'!$X$6&amp;'Reg 85'!AI$10&amp;'Reg 85'!$B47),('DMR 001C TIN &amp; TP'!$E$3:$E$10005&amp;'DMR 001C TIN &amp; TP'!$B$3:$B$10005&amp;'DMR 001C TIN &amp; TP'!$A$3:$A$10005),0),MATCH('Reg 85'!$AG$11,'DMR 001C TIN &amp; TP'!$A$2:$M$2,0))),"")</f>
        <v/>
      </c>
      <c r="AJ47" s="6" t="str">
        <f t="array" ref="AJ47">_xlfn.IFNA((INDEX('DMR 001C TIN &amp; TP'!$A$3:$M$10005,MATCH(('Reg 85'!$X$6&amp;'Reg 85'!AJ$10&amp;'Reg 85'!$B47),('DMR 001C TIN &amp; TP'!$E$3:$E$10005&amp;'DMR 001C TIN &amp; TP'!$B$3:$B$10005&amp;'DMR 001C TIN &amp; TP'!$A$3:$A$10005),0),MATCH('Reg 85'!$AG$11,'DMR 001C TIN &amp; TP'!$A$2:$M$2,0))),"")</f>
        <v/>
      </c>
      <c r="AK47" s="6" t="str">
        <f t="array" ref="AK47">_xlfn.IFNA((INDEX('DMR 001C TIN &amp; TP'!$A$3:$M$10005,MATCH(('Reg 85'!$X$6&amp;'Reg 85'!AK$10&amp;'Reg 85'!$B47),('DMR 001C TIN &amp; TP'!$E$3:$E$10005&amp;'DMR 001C TIN &amp; TP'!$B$3:$B$10005&amp;'DMR 001C TIN &amp; TP'!$A$3:$A$10005),0),MATCH('Reg 85'!$AG$11,'DMR 001C TIN &amp; TP'!$A$2:$M$2,0))),"")</f>
        <v/>
      </c>
      <c r="AL47" s="6" t="str">
        <f t="array" ref="AL47">_xlfn.IFNA((INDEX('DMR 001C TIN &amp; TP'!$A$3:$M$10005,MATCH(('Reg 85'!$X$6&amp;'Reg 85'!AL$10&amp;'Reg 85'!$B47),('DMR 001C TIN &amp; TP'!$E$3:$E$10005&amp;'DMR 001C TIN &amp; TP'!$B$3:$B$10005&amp;'DMR 001C TIN &amp; TP'!$A$3:$A$10005),0),MATCH('Reg 85'!$AG$11,'DMR 001C TIN &amp; TP'!$A$2:$M$2,0))),"")</f>
        <v/>
      </c>
      <c r="AM47" s="76"/>
      <c r="AN47" s="6"/>
      <c r="AO47" s="54" t="str">
        <f t="shared" si="0"/>
        <v/>
      </c>
      <c r="AP47" s="77" t="str">
        <f t="shared" si="39"/>
        <v/>
      </c>
      <c r="AQ47" s="47"/>
      <c r="AR47" s="6" t="str">
        <f t="array" ref="AR47">_xlfn.IFNA((INDEX('DMR 001C TIN &amp; TP'!$A$3:$M$10005,MATCH(('Reg 85'!$AQ$6&amp;'Reg 85'!$AQ$10&amp;'Reg 85'!$B47),('DMR 001C TIN &amp; TP'!$E$3:$E$10005&amp;'DMR 001C TIN &amp; TP'!$B$3:$B$10005&amp;'DMR 001C TIN &amp; TP'!$A$3:$A$10005),0),MATCH('Reg 85'!$AR$11,'DMR 001C TIN &amp; TP'!$A$2:$M$2,0))),"")</f>
        <v/>
      </c>
      <c r="AS47" s="6" t="str">
        <f t="array" ref="AS47">_xlfn.IFNA((INDEX('DMR 001C TIN &amp; TP'!$A$3:$M$10005,MATCH(('Reg 85'!$AQ$6&amp;'Reg 85'!$AQ$10&amp;'Reg 85'!$B47),('DMR 001C TIN &amp; TP'!$E$3:$E$10005&amp;'DMR 001C TIN &amp; TP'!$B$3:$B$10005&amp;'DMR 001C TIN &amp; TP'!$A$3:$A$10005),0),MATCH('Reg 85'!$AS$11,'DMR 001C TIN &amp; TP'!$A$2:$M$2,0))),"")</f>
        <v/>
      </c>
      <c r="AT47" s="53" t="str">
        <f t="shared" si="15"/>
        <v/>
      </c>
      <c r="AV47" s="6" t="str">
        <f t="array" ref="AV47">_xlfn.IFNA((INDEX('DMR 001C TIN &amp; TP'!$A$3:$M$10005,MATCH(('Reg 85'!$AQ$6&amp;'Reg 85'!$AU$10&amp;'Reg 85'!$B47),('DMR 001C TIN &amp; TP'!$E$3:$E$10005&amp;'DMR 001C TIN &amp; TP'!$B$3:$B$10005&amp;'DMR 001C TIN &amp; TP'!$A$3:$A$10005),0),MATCH('Reg 85'!$AV$11,'DMR 001C TIN &amp; TP'!$A$2:$M$2,0))),"")</f>
        <v/>
      </c>
      <c r="AW47" s="6" t="str">
        <f t="array" ref="AW47">_xlfn.IFNA((INDEX('DMR 001C TIN &amp; TP'!$A$3:$M$10005,MATCH(('Reg 85'!$AQ$6&amp;'Reg 85'!$AU$10&amp;'Reg 85'!$B47),('DMR 001C TIN &amp; TP'!$E$3:$E$10005&amp;'DMR 001C TIN &amp; TP'!$B$3:$B$10005&amp;'DMR 001C TIN &amp; TP'!$A$3:$A$10005),0),MATCH('Reg 85'!$AW$11,'DMR 001C TIN &amp; TP'!$A$2:$M$2,0))),"")</f>
        <v/>
      </c>
      <c r="AX47" s="53" t="str">
        <f t="shared" si="16"/>
        <v/>
      </c>
      <c r="AY47" s="55" t="str">
        <f t="shared" si="17"/>
        <v/>
      </c>
      <c r="AZ47" s="77" t="str">
        <f t="shared" si="37"/>
        <v/>
      </c>
      <c r="BA47" s="6" t="str">
        <f t="array" ref="BA47">_xlfn.IFNA((INDEX('DMR 001C TIN &amp; TP'!$A$3:$M$10005,MATCH(('Reg 85'!$AQ$6&amp;'Reg 85'!BA$10&amp;'Reg 85'!$B47),('DMR 001C TIN &amp; TP'!$E$3:$E$10005&amp;'DMR 001C TIN &amp; TP'!$B$3:$B$10005&amp;'DMR 001C TIN &amp; TP'!$A$3:$A$10005),0),MATCH('Reg 85'!$AG$11,'DMR 001C TIN &amp; TP'!$A$2:$M$2,0))),"")</f>
        <v/>
      </c>
      <c r="BB47" s="6" t="str">
        <f t="array" ref="BB47">_xlfn.IFNA((INDEX('DMR 001C TIN &amp; TP'!$A$3:$M$10005,MATCH(('Reg 85'!$AQ$6&amp;'Reg 85'!BB$10&amp;'Reg 85'!$B47),('DMR 001C TIN &amp; TP'!$E$3:$E$10005&amp;'DMR 001C TIN &amp; TP'!$B$3:$B$10005&amp;'DMR 001C TIN &amp; TP'!$A$3:$A$10005),0),MATCH('Reg 85'!$AG$11,'DMR 001C TIN &amp; TP'!$A$2:$M$2,0))),"")</f>
        <v/>
      </c>
      <c r="BC47" s="6" t="str">
        <f t="array" ref="BC47">_xlfn.IFNA((INDEX('DMR 001C TIN &amp; TP'!$A$3:$M$10005,MATCH(('Reg 85'!$AQ$6&amp;'Reg 85'!BC$10&amp;'Reg 85'!$B47),('DMR 001C TIN &amp; TP'!$E$3:$E$10005&amp;'DMR 001C TIN &amp; TP'!$B$3:$B$10005&amp;'DMR 001C TIN &amp; TP'!$A$3:$A$10005),0),MATCH('Reg 85'!$AG$11,'DMR 001C TIN &amp; TP'!$A$2:$M$2,0))),"")</f>
        <v/>
      </c>
      <c r="BD47" s="6" t="str">
        <f t="array" ref="BD47">_xlfn.IFNA((INDEX('DMR 001C TIN &amp; TP'!$A$3:$M$10005,MATCH(('Reg 85'!$AQ$6&amp;'Reg 85'!BD$10&amp;'Reg 85'!$B47),('DMR 001C TIN &amp; TP'!$E$3:$E$10005&amp;'DMR 001C TIN &amp; TP'!$B$3:$B$10005&amp;'DMR 001C TIN &amp; TP'!$A$3:$A$10005),0),MATCH('Reg 85'!$AG$11,'DMR 001C TIN &amp; TP'!$A$2:$M$2,0))),"")</f>
        <v/>
      </c>
      <c r="BE47" s="6" t="str">
        <f t="array" ref="BE47">_xlfn.IFNA((INDEX('DMR 001C TIN &amp; TP'!$A$3:$M$10005,MATCH(('Reg 85'!$AQ$6&amp;'Reg 85'!BE$10&amp;'Reg 85'!$B47),('DMR 001C TIN &amp; TP'!$E$3:$E$10005&amp;'DMR 001C TIN &amp; TP'!$B$3:$B$10005&amp;'DMR 001C TIN &amp; TP'!$A$3:$A$10005),0),MATCH('Reg 85'!$AG$11,'DMR 001C TIN &amp; TP'!$A$2:$M$2,0))),"")</f>
        <v/>
      </c>
      <c r="BF47" s="6" t="str">
        <f t="array" ref="BF47">_xlfn.IFNA((INDEX('DMR 001C TIN &amp; TP'!$A$3:$M$10005,MATCH(('Reg 85'!$AQ$6&amp;'Reg 85'!BF$10&amp;'Reg 85'!$B47),('DMR 001C TIN &amp; TP'!$E$3:$E$10005&amp;'DMR 001C TIN &amp; TP'!$B$3:$B$10005&amp;'DMR 001C TIN &amp; TP'!$A$3:$A$10005),0),MATCH('Reg 85'!$AG$11,'DMR 001C TIN &amp; TP'!$A$2:$M$2,0))),"")</f>
        <v/>
      </c>
    </row>
    <row r="48" spans="1:59">
      <c r="A48" s="3" t="str">
        <f t="shared" si="2"/>
        <v>Sun</v>
      </c>
      <c r="B48" s="96">
        <f t="shared" si="19"/>
        <v>43380</v>
      </c>
      <c r="C48" s="96">
        <f t="shared" si="3"/>
        <v>43404</v>
      </c>
      <c r="D48" s="96">
        <f t="shared" si="4"/>
        <v>43374</v>
      </c>
      <c r="E48" s="95">
        <f t="shared" si="5"/>
        <v>31</v>
      </c>
      <c r="F48" s="7">
        <f t="array" ref="F48">_xlfn.IFNA(INDEX('DMR Flows-Effluent'!$A$3:$F$9999,MATCH(($F$10&amp;$B48),('DMR Flows-Effluent'!$B$3:$B$9999&amp;'DMR Flows-Effluent'!$A$3:$A$9999),0),MATCH($F$8,'DMR Flows-Effluent'!$A$2:$F$2,0)),"")</f>
        <v>53.046599999999998</v>
      </c>
      <c r="G48" s="7">
        <f t="array" ref="G48">_xlfn.IFNA(INDEX('DMR Flows-Effluent'!$A$3:$F$9999,MATCH(($G$10&amp;$B48),('DMR Flows-Effluent'!$B$3:$B$9999&amp;'DMR Flows-Effluent'!$A$3:$A$9999),0),MATCH($F$8,'DMR Flows-Effluent'!$A$2:$F$2,0)),"")</f>
        <v>72.8977</v>
      </c>
      <c r="H48" s="7">
        <f t="shared" si="6"/>
        <v>125.9443</v>
      </c>
      <c r="I48" s="45" t="str">
        <f t="shared" si="7"/>
        <v/>
      </c>
      <c r="J48" s="6" t="str">
        <f t="array" ref="J48">_xlfn.IFNA((INDEX('DMR 001C TIN &amp; TP'!$A$3:$M$10005,MATCH(('Reg 85'!$I$6:$Q$6&amp;'Reg 85'!$I$10:$K$10&amp;'Reg 85'!$B48),('DMR 001C TIN &amp; TP'!$E$3:$E$10005&amp;'DMR 001C TIN &amp; TP'!$B$3:$B$10005&amp;'DMR 001C TIN &amp; TP'!$A$3:$A$10005),0),MATCH('Reg 85'!$J$11,'DMR 001C TIN &amp; TP'!$A$2:$M$2,0))),"")</f>
        <v/>
      </c>
      <c r="K48" s="6" t="str">
        <f t="array" ref="K48">_xlfn.IFNA((INDEX('DMR 001C TIN &amp; TP'!$A$3:$M$10005,MATCH(('Reg 85'!$I$6:$Q$6&amp;'Reg 85'!$I$10:$K$10&amp;'Reg 85'!$B48),('DMR 001C TIN &amp; TP'!$E$3:$E$10005&amp;'DMR 001C TIN &amp; TP'!$B$3:$B$10005&amp;'DMR 001C TIN &amp; TP'!$A$3:$A$10005),0),MATCH('Reg 85'!$K$11,'DMR 001C TIN &amp; TP'!$A$2:$M$2,0))),"")</f>
        <v/>
      </c>
      <c r="L48" s="53" t="str">
        <f t="shared" si="21"/>
        <v/>
      </c>
      <c r="M48" s="5" t="str">
        <f t="shared" si="8"/>
        <v/>
      </c>
      <c r="N48" s="6" t="str">
        <f t="array" ref="N48">_xlfn.IFNA((INDEX('DMR 001C TIN &amp; TP'!$A$3:$M$10005,MATCH(('Reg 85'!$I$6:$Q$6&amp;'Reg 85'!$M$10&amp;'Reg 85'!$B48),('DMR 001C TIN &amp; TP'!$E$3:$E$10005&amp;'DMR 001C TIN &amp; TP'!$B$3:$B$10005&amp;'DMR 001C TIN &amp; TP'!$A$3:$A$10005),0),MATCH('Reg 85'!$N$11,'DMR 001C TIN &amp; TP'!$A$2:$M$2,0))),"")</f>
        <v/>
      </c>
      <c r="O48" s="6" t="str">
        <f t="array" ref="O48">_xlfn.IFNA((INDEX('DMR 001C TIN &amp; TP'!$A$3:$M$10005,MATCH(('Reg 85'!$I$6:$Q$6&amp;'Reg 85'!$M$10&amp;'Reg 85'!$B48),('DMR 001C TIN &amp; TP'!$E$3:$E$10005&amp;'DMR 001C TIN &amp; TP'!$B$3:$B$10005&amp;'DMR 001C TIN &amp; TP'!$A$3:$A$10005),0),MATCH('Reg 85'!$O$11,'DMR 001C TIN &amp; TP'!$A$2:$M$2,0))),"")</f>
        <v/>
      </c>
      <c r="P48" s="53" t="str">
        <f t="shared" si="9"/>
        <v/>
      </c>
      <c r="Q48" s="73" t="str">
        <f t="array" ref="Q48">IFERROR(((L48*$F48)+(P48*$G48))/($H48),"")</f>
        <v/>
      </c>
      <c r="R48" s="6" t="str">
        <f t="array" ref="R48">_xlfn.IFNA((INDEX('DMR 001C TIN &amp; TP'!$A$3:$M$10005,MATCH(('Reg 85'!$I$6:$Q$6&amp;'Reg 85'!R$10&amp;'Reg 85'!$B48),('DMR 001C TIN &amp; TP'!$E$3:$E$10005&amp;'DMR 001C TIN &amp; TP'!$B$3:$B$10005&amp;'DMR 001C TIN &amp; TP'!$A$3:$A$10005),0),MATCH('Reg 85'!$O$11,'DMR 001C TIN &amp; TP'!$A$2:$M$2,0))),"")</f>
        <v/>
      </c>
      <c r="S48" s="6" t="str">
        <f t="array" ref="S48">_xlfn.IFNA((INDEX('DMR 001C TIN &amp; TP'!$A$3:$M$10005,MATCH(('Reg 85'!$I$6:$Q$6&amp;'Reg 85'!S$10&amp;'Reg 85'!$B48),('DMR 001C TIN &amp; TP'!$E$3:$E$10005&amp;'DMR 001C TIN &amp; TP'!$B$3:$B$10005&amp;'DMR 001C TIN &amp; TP'!$A$3:$A$10005),0),MATCH('Reg 85'!$O$11,'DMR 001C TIN &amp; TP'!$A$2:$M$2,0))),"")</f>
        <v/>
      </c>
      <c r="T48" s="6" t="str">
        <f t="array" ref="T48">_xlfn.IFNA((INDEX('DMR 001C TIN &amp; TP'!$A$3:$M$10005,MATCH(('Reg 85'!$I$6:$Q$6&amp;'Reg 85'!T$10&amp;'Reg 85'!$B48),('DMR 001C TIN &amp; TP'!$E$3:$E$10005&amp;'DMR 001C TIN &amp; TP'!$B$3:$B$10005&amp;'DMR 001C TIN &amp; TP'!$A$3:$A$10005),0),MATCH('Reg 85'!$O$11,'DMR 001C TIN &amp; TP'!$A$2:$M$2,0))),"")</f>
        <v/>
      </c>
      <c r="U48" s="6">
        <f t="array" ref="U48">_xlfn.IFNA((INDEX('DMR 001C TIN &amp; TP'!$A$3:$M$10005,MATCH(('Reg 85'!$I$6:$Q$6&amp;'Reg 85'!U$10&amp;'Reg 85'!$B48),('DMR 001C TIN &amp; TP'!$E$3:$E$10005&amp;'DMR 001C TIN &amp; TP'!$B$3:$B$10005&amp;'DMR 001C TIN &amp; TP'!$A$3:$A$10005),0),MATCH('Reg 85'!$O$11,'DMR 001C TIN &amp; TP'!$A$2:$M$2,0))),"")</f>
        <v>0.73</v>
      </c>
      <c r="V48" s="6" t="str">
        <f t="array" ref="V48">_xlfn.IFNA((INDEX('DMR 001C TIN &amp; TP'!$A$3:$M$10005,MATCH(('Reg 85'!$I$6:$Q$6&amp;'Reg 85'!V$10&amp;'Reg 85'!$B48),('DMR 001C TIN &amp; TP'!$E$3:$E$10005&amp;'DMR 001C TIN &amp; TP'!$B$3:$B$10005&amp;'DMR 001C TIN &amp; TP'!$A$3:$A$10005),0),MATCH('Reg 85'!$O$11,'DMR 001C TIN &amp; TP'!$A$2:$M$2,0))),"")</f>
        <v/>
      </c>
      <c r="W48" s="6" t="str">
        <f t="array" ref="W48">_xlfn.IFNA((INDEX('DMR 001C TIN &amp; TP'!$A$3:$M$10005,MATCH(('Reg 85'!$I$6:$Q$6&amp;'Reg 85'!W$10&amp;'Reg 85'!$B48),('DMR 001C TIN &amp; TP'!$E$3:$E$10005&amp;'DMR 001C TIN &amp; TP'!$B$3:$B$10005&amp;'DMR 001C TIN &amp; TP'!$A$3:$A$10005),0),MATCH('Reg 85'!$O$11,'DMR 001C TIN &amp; TP'!$A$2:$M$2,0))),"")</f>
        <v/>
      </c>
      <c r="X48" s="5" t="str">
        <f t="shared" si="10"/>
        <v/>
      </c>
      <c r="Y48" s="6" t="str">
        <f t="array" ref="Y48">_xlfn.IFNA((INDEX('DMR 001C TIN &amp; TP'!$A$3:$M$10005,MATCH(('Reg 85'!$X$6&amp;'Reg 85'!$X$10&amp;'Reg 85'!$B48),('DMR 001C TIN &amp; TP'!$E$3:$E$10005&amp;'DMR 001C TIN &amp; TP'!$B$3:$B$10005&amp;'DMR 001C TIN &amp; TP'!$A$3:$A$10005),0),MATCH('Reg 85'!$Y$11,'DMR 001C TIN &amp; TP'!$A$2:$M$2,0))),"")</f>
        <v/>
      </c>
      <c r="Z48" s="6" t="str">
        <f t="array" ref="Z48">_xlfn.IFNA((INDEX('DMR 001C TIN &amp; TP'!$A$3:$M$10005,MATCH(('Reg 85'!$X$6&amp;'Reg 85'!$X$10&amp;'Reg 85'!$B48),('DMR 001C TIN &amp; TP'!$E$3:$E$10005&amp;'DMR 001C TIN &amp; TP'!$B$3:$B$10005&amp;'DMR 001C TIN &amp; TP'!$A$3:$A$10005),0),MATCH('Reg 85'!$Z$11,'DMR 001C TIN &amp; TP'!$A$2:$M$2,0))),"")</f>
        <v/>
      </c>
      <c r="AA48" s="53" t="str">
        <f t="shared" si="11"/>
        <v/>
      </c>
      <c r="AB48" s="5" t="str">
        <f t="shared" si="12"/>
        <v/>
      </c>
      <c r="AC48" s="6" t="str">
        <f t="array" ref="AC48">_xlfn.IFNA((INDEX('DMR 001C TIN &amp; TP'!$A$3:$M$10005,MATCH(('Reg 85'!$X$6&amp;'Reg 85'!$AB$10&amp;'Reg 85'!$B48),('DMR 001C TIN &amp; TP'!$E$3:$E$10005&amp;'DMR 001C TIN &amp; TP'!$B$3:$B$10005&amp;'DMR 001C TIN &amp; TP'!$A$3:$A$10005),0),MATCH('Reg 85'!$AC$11,'DMR 001C TIN &amp; TP'!$A$2:$M$2,0))),"")</f>
        <v/>
      </c>
      <c r="AD48" s="6" t="str">
        <f t="array" ref="AD48">_xlfn.IFNA((INDEX('DMR 001C TIN &amp; TP'!$A$3:$M$10005,MATCH(('Reg 85'!$X$6&amp;'Reg 85'!$AB$10&amp;'Reg 85'!$B48),('DMR 001C TIN &amp; TP'!$E$3:$E$10005&amp;'DMR 001C TIN &amp; TP'!$B$3:$B$10005&amp;'DMR 001C TIN &amp; TP'!$A$3:$A$10005),0),MATCH('Reg 85'!$AD$11,'DMR 001C TIN &amp; TP'!$A$2:$M$2,0))),"")</f>
        <v/>
      </c>
      <c r="AE48" s="53" t="str">
        <f t="shared" si="13"/>
        <v/>
      </c>
      <c r="AF48" s="7" t="str">
        <f t="shared" si="14"/>
        <v/>
      </c>
      <c r="AG48" s="6" t="str">
        <f t="array" ref="AG48">_xlfn.IFNA((INDEX('DMR 001C TIN &amp; TP'!$A$3:$M$10005,MATCH(('Reg 85'!$X$6&amp;'Reg 85'!AG$10&amp;'Reg 85'!$B48),('DMR 001C TIN &amp; TP'!$E$3:$E$10005&amp;'DMR 001C TIN &amp; TP'!$B$3:$B$10005&amp;'DMR 001C TIN &amp; TP'!$A$3:$A$10005),0),MATCH('Reg 85'!$AG$11,'DMR 001C TIN &amp; TP'!$A$2:$M$2,0))),"")</f>
        <v/>
      </c>
      <c r="AH48" s="6" t="str">
        <f t="array" ref="AH48">_xlfn.IFNA((INDEX('DMR 001C TIN &amp; TP'!$A$3:$M$10005,MATCH(('Reg 85'!$X$6&amp;'Reg 85'!AH$10&amp;'Reg 85'!$B48),('DMR 001C TIN &amp; TP'!$E$3:$E$10005&amp;'DMR 001C TIN &amp; TP'!$B$3:$B$10005&amp;'DMR 001C TIN &amp; TP'!$A$3:$A$10005),0),MATCH('Reg 85'!$AG$11,'DMR 001C TIN &amp; TP'!$A$2:$M$2,0))),"")</f>
        <v/>
      </c>
      <c r="AI48" s="6" t="str">
        <f t="array" ref="AI48">_xlfn.IFNA((INDEX('DMR 001C TIN &amp; TP'!$A$3:$M$10005,MATCH(('Reg 85'!$X$6&amp;'Reg 85'!AI$10&amp;'Reg 85'!$B48),('DMR 001C TIN &amp; TP'!$E$3:$E$10005&amp;'DMR 001C TIN &amp; TP'!$B$3:$B$10005&amp;'DMR 001C TIN &amp; TP'!$A$3:$A$10005),0),MATCH('Reg 85'!$AG$11,'DMR 001C TIN &amp; TP'!$A$2:$M$2,0))),"")</f>
        <v/>
      </c>
      <c r="AJ48" s="6" t="str">
        <f t="array" ref="AJ48">_xlfn.IFNA((INDEX('DMR 001C TIN &amp; TP'!$A$3:$M$10005,MATCH(('Reg 85'!$X$6&amp;'Reg 85'!AJ$10&amp;'Reg 85'!$B48),('DMR 001C TIN &amp; TP'!$E$3:$E$10005&amp;'DMR 001C TIN &amp; TP'!$B$3:$B$10005&amp;'DMR 001C TIN &amp; TP'!$A$3:$A$10005),0),MATCH('Reg 85'!$AG$11,'DMR 001C TIN &amp; TP'!$A$2:$M$2,0))),"")</f>
        <v/>
      </c>
      <c r="AK48" s="6" t="str">
        <f t="array" ref="AK48">_xlfn.IFNA((INDEX('DMR 001C TIN &amp; TP'!$A$3:$M$10005,MATCH(('Reg 85'!$X$6&amp;'Reg 85'!AK$10&amp;'Reg 85'!$B48),('DMR 001C TIN &amp; TP'!$E$3:$E$10005&amp;'DMR 001C TIN &amp; TP'!$B$3:$B$10005&amp;'DMR 001C TIN &amp; TP'!$A$3:$A$10005),0),MATCH('Reg 85'!$AG$11,'DMR 001C TIN &amp; TP'!$A$2:$M$2,0))),"")</f>
        <v/>
      </c>
      <c r="AL48" s="6" t="str">
        <f t="array" ref="AL48">_xlfn.IFNA((INDEX('DMR 001C TIN &amp; TP'!$A$3:$M$10005,MATCH(('Reg 85'!$X$6&amp;'Reg 85'!AL$10&amp;'Reg 85'!$B48),('DMR 001C TIN &amp; TP'!$E$3:$E$10005&amp;'DMR 001C TIN &amp; TP'!$B$3:$B$10005&amp;'DMR 001C TIN &amp; TP'!$A$3:$A$10005),0),MATCH('Reg 85'!$AG$11,'DMR 001C TIN &amp; TP'!$A$2:$M$2,0))),"")</f>
        <v/>
      </c>
      <c r="AM48" s="76"/>
      <c r="AN48" s="6"/>
      <c r="AO48" s="54" t="str">
        <f t="shared" si="0"/>
        <v/>
      </c>
      <c r="AP48" s="77" t="str">
        <f t="shared" si="39"/>
        <v/>
      </c>
      <c r="AQ48" s="47"/>
      <c r="AR48" s="6" t="str">
        <f t="array" ref="AR48">_xlfn.IFNA((INDEX('DMR 001C TIN &amp; TP'!$A$3:$M$10005,MATCH(('Reg 85'!$AQ$6&amp;'Reg 85'!$AQ$10&amp;'Reg 85'!$B48),('DMR 001C TIN &amp; TP'!$E$3:$E$10005&amp;'DMR 001C TIN &amp; TP'!$B$3:$B$10005&amp;'DMR 001C TIN &amp; TP'!$A$3:$A$10005),0),MATCH('Reg 85'!$AR$11,'DMR 001C TIN &amp; TP'!$A$2:$M$2,0))),"")</f>
        <v>0.03</v>
      </c>
      <c r="AS48" s="6">
        <f t="array" ref="AS48">_xlfn.IFNA((INDEX('DMR 001C TIN &amp; TP'!$A$3:$M$10005,MATCH(('Reg 85'!$AQ$6&amp;'Reg 85'!$AQ$10&amp;'Reg 85'!$B48),('DMR 001C TIN &amp; TP'!$E$3:$E$10005&amp;'DMR 001C TIN &amp; TP'!$B$3:$B$10005&amp;'DMR 001C TIN &amp; TP'!$A$3:$A$10005),0),MATCH('Reg 85'!$AS$11,'DMR 001C TIN &amp; TP'!$A$2:$M$2,0))),"")</f>
        <v>0.22</v>
      </c>
      <c r="AT48" s="53">
        <f t="shared" si="15"/>
        <v>0.22</v>
      </c>
      <c r="AV48" s="6" t="str">
        <f t="array" ref="AV48">_xlfn.IFNA((INDEX('DMR 001C TIN &amp; TP'!$A$3:$M$10005,MATCH(('Reg 85'!$AQ$6&amp;'Reg 85'!$AU$10&amp;'Reg 85'!$B48),('DMR 001C TIN &amp; TP'!$E$3:$E$10005&amp;'DMR 001C TIN &amp; TP'!$B$3:$B$10005&amp;'DMR 001C TIN &amp; TP'!$A$3:$A$10005),0),MATCH('Reg 85'!$AV$11,'DMR 001C TIN &amp; TP'!$A$2:$M$2,0))),"")</f>
        <v>0.03</v>
      </c>
      <c r="AW48" s="6">
        <f t="array" ref="AW48">_xlfn.IFNA((INDEX('DMR 001C TIN &amp; TP'!$A$3:$M$10005,MATCH(('Reg 85'!$AQ$6&amp;'Reg 85'!$AU$10&amp;'Reg 85'!$B48),('DMR 001C TIN &amp; TP'!$E$3:$E$10005&amp;'DMR 001C TIN &amp; TP'!$B$3:$B$10005&amp;'DMR 001C TIN &amp; TP'!$A$3:$A$10005),0),MATCH('Reg 85'!$AW$11,'DMR 001C TIN &amp; TP'!$A$2:$M$2,0))),"")</f>
        <v>3.12</v>
      </c>
      <c r="AX48" s="53">
        <f t="shared" si="16"/>
        <v>3.12</v>
      </c>
      <c r="AY48" s="55">
        <f t="shared" si="17"/>
        <v>1.8985462303573883</v>
      </c>
      <c r="AZ48" s="77" t="str">
        <f t="shared" si="37"/>
        <v/>
      </c>
      <c r="BA48" s="6" t="str">
        <f t="array" ref="BA48">_xlfn.IFNA((INDEX('DMR 001C TIN &amp; TP'!$A$3:$M$10005,MATCH(('Reg 85'!$AQ$6&amp;'Reg 85'!BA$10&amp;'Reg 85'!$B48),('DMR 001C TIN &amp; TP'!$E$3:$E$10005&amp;'DMR 001C TIN &amp; TP'!$B$3:$B$10005&amp;'DMR 001C TIN &amp; TP'!$A$3:$A$10005),0),MATCH('Reg 85'!$AG$11,'DMR 001C TIN &amp; TP'!$A$2:$M$2,0))),"")</f>
        <v/>
      </c>
      <c r="BB48" s="6" t="str">
        <f t="array" ref="BB48">_xlfn.IFNA((INDEX('DMR 001C TIN &amp; TP'!$A$3:$M$10005,MATCH(('Reg 85'!$AQ$6&amp;'Reg 85'!BB$10&amp;'Reg 85'!$B48),('DMR 001C TIN &amp; TP'!$E$3:$E$10005&amp;'DMR 001C TIN &amp; TP'!$B$3:$B$10005&amp;'DMR 001C TIN &amp; TP'!$A$3:$A$10005),0),MATCH('Reg 85'!$AG$11,'DMR 001C TIN &amp; TP'!$A$2:$M$2,0))),"")</f>
        <v/>
      </c>
      <c r="BC48" s="6" t="str">
        <f t="array" ref="BC48">_xlfn.IFNA((INDEX('DMR 001C TIN &amp; TP'!$A$3:$M$10005,MATCH(('Reg 85'!$AQ$6&amp;'Reg 85'!BC$10&amp;'Reg 85'!$B48),('DMR 001C TIN &amp; TP'!$E$3:$E$10005&amp;'DMR 001C TIN &amp; TP'!$B$3:$B$10005&amp;'DMR 001C TIN &amp; TP'!$A$3:$A$10005),0),MATCH('Reg 85'!$AG$11,'DMR 001C TIN &amp; TP'!$A$2:$M$2,0))),"")</f>
        <v/>
      </c>
      <c r="BD48" s="6" t="str">
        <f t="array" ref="BD48">_xlfn.IFNA((INDEX('DMR 001C TIN &amp; TP'!$A$3:$M$10005,MATCH(('Reg 85'!$AQ$6&amp;'Reg 85'!BD$10&amp;'Reg 85'!$B48),('DMR 001C TIN &amp; TP'!$E$3:$E$10005&amp;'DMR 001C TIN &amp; TP'!$B$3:$B$10005&amp;'DMR 001C TIN &amp; TP'!$A$3:$A$10005),0),MATCH('Reg 85'!$AG$11,'DMR 001C TIN &amp; TP'!$A$2:$M$2,0))),"")</f>
        <v/>
      </c>
      <c r="BE48" s="6" t="str">
        <f t="array" ref="BE48">_xlfn.IFNA((INDEX('DMR 001C TIN &amp; TP'!$A$3:$M$10005,MATCH(('Reg 85'!$AQ$6&amp;'Reg 85'!BE$10&amp;'Reg 85'!$B48),('DMR 001C TIN &amp; TP'!$E$3:$E$10005&amp;'DMR 001C TIN &amp; TP'!$B$3:$B$10005&amp;'DMR 001C TIN &amp; TP'!$A$3:$A$10005),0),MATCH('Reg 85'!$AG$11,'DMR 001C TIN &amp; TP'!$A$2:$M$2,0))),"")</f>
        <v/>
      </c>
      <c r="BF48" s="6" t="str">
        <f t="array" ref="BF48">_xlfn.IFNA((INDEX('DMR 001C TIN &amp; TP'!$A$3:$M$10005,MATCH(('Reg 85'!$AQ$6&amp;'Reg 85'!BF$10&amp;'Reg 85'!$B48),('DMR 001C TIN &amp; TP'!$E$3:$E$10005&amp;'DMR 001C TIN &amp; TP'!$B$3:$B$10005&amp;'DMR 001C TIN &amp; TP'!$A$3:$A$10005),0),MATCH('Reg 85'!$AG$11,'DMR 001C TIN &amp; TP'!$A$2:$M$2,0))),"")</f>
        <v/>
      </c>
    </row>
    <row r="49" spans="1:58">
      <c r="A49" s="3" t="str">
        <f t="shared" si="2"/>
        <v>Mon</v>
      </c>
      <c r="B49" s="96">
        <f t="shared" si="19"/>
        <v>43381</v>
      </c>
      <c r="C49" s="96">
        <f t="shared" si="3"/>
        <v>43404</v>
      </c>
      <c r="D49" s="96">
        <f t="shared" si="4"/>
        <v>43374</v>
      </c>
      <c r="E49" s="95">
        <f t="shared" si="5"/>
        <v>31</v>
      </c>
      <c r="F49" s="7">
        <f t="array" ref="F49">_xlfn.IFNA(INDEX('DMR Flows-Effluent'!$A$3:$F$9999,MATCH(($F$10&amp;$B49),('DMR Flows-Effluent'!$B$3:$B$9999&amp;'DMR Flows-Effluent'!$A$3:$A$9999),0),MATCH($F$8,'DMR Flows-Effluent'!$A$2:$F$2,0)),"")</f>
        <v>53.662700000000001</v>
      </c>
      <c r="G49" s="7">
        <f t="array" ref="G49">_xlfn.IFNA(INDEX('DMR Flows-Effluent'!$A$3:$F$9999,MATCH(($G$10&amp;$B49),('DMR Flows-Effluent'!$B$3:$B$9999&amp;'DMR Flows-Effluent'!$A$3:$A$9999),0),MATCH($F$8,'DMR Flows-Effluent'!$A$2:$F$2,0)),"")</f>
        <v>81.347800000000007</v>
      </c>
      <c r="H49" s="7">
        <f t="shared" si="6"/>
        <v>135.01050000000001</v>
      </c>
      <c r="I49" s="45" t="str">
        <f t="shared" si="7"/>
        <v/>
      </c>
      <c r="J49" s="6" t="str">
        <f t="array" ref="J49">_xlfn.IFNA((INDEX('DMR 001C TIN &amp; TP'!$A$3:$M$10005,MATCH(('Reg 85'!$I$6:$Q$6&amp;'Reg 85'!$I$10:$K$10&amp;'Reg 85'!$B49),('DMR 001C TIN &amp; TP'!$E$3:$E$10005&amp;'DMR 001C TIN &amp; TP'!$B$3:$B$10005&amp;'DMR 001C TIN &amp; TP'!$A$3:$A$10005),0),MATCH('Reg 85'!$J$11,'DMR 001C TIN &amp; TP'!$A$2:$M$2,0))),"")</f>
        <v>0.15</v>
      </c>
      <c r="K49" s="6">
        <f t="array" ref="K49">_xlfn.IFNA((INDEX('DMR 001C TIN &amp; TP'!$A$3:$M$10005,MATCH(('Reg 85'!$I$6:$Q$6&amp;'Reg 85'!$I$10:$K$10&amp;'Reg 85'!$B49),('DMR 001C TIN &amp; TP'!$E$3:$E$10005&amp;'DMR 001C TIN &amp; TP'!$B$3:$B$10005&amp;'DMR 001C TIN &amp; TP'!$A$3:$A$10005),0),MATCH('Reg 85'!$K$11,'DMR 001C TIN &amp; TP'!$A$2:$M$2,0))),"")</f>
        <v>0.2</v>
      </c>
      <c r="L49" s="53">
        <f t="shared" si="21"/>
        <v>0.2</v>
      </c>
      <c r="M49" s="5" t="str">
        <f t="shared" si="8"/>
        <v/>
      </c>
      <c r="N49" s="6" t="str">
        <f t="array" ref="N49">_xlfn.IFNA((INDEX('DMR 001C TIN &amp; TP'!$A$3:$M$10005,MATCH(('Reg 85'!$I$6:$Q$6&amp;'Reg 85'!$M$10&amp;'Reg 85'!$B49),('DMR 001C TIN &amp; TP'!$E$3:$E$10005&amp;'DMR 001C TIN &amp; TP'!$B$3:$B$10005&amp;'DMR 001C TIN &amp; TP'!$A$3:$A$10005),0),MATCH('Reg 85'!$N$11,'DMR 001C TIN &amp; TP'!$A$2:$M$2,0))),"")</f>
        <v>0.15</v>
      </c>
      <c r="O49" s="6">
        <f t="array" ref="O49">_xlfn.IFNA((INDEX('DMR 001C TIN &amp; TP'!$A$3:$M$10005,MATCH(('Reg 85'!$I$6:$Q$6&amp;'Reg 85'!$M$10&amp;'Reg 85'!$B49),('DMR 001C TIN &amp; TP'!$E$3:$E$10005&amp;'DMR 001C TIN &amp; TP'!$B$3:$B$10005&amp;'DMR 001C TIN &amp; TP'!$A$3:$A$10005),0),MATCH('Reg 85'!$O$11,'DMR 001C TIN &amp; TP'!$A$2:$M$2,0))),"")</f>
        <v>0.16</v>
      </c>
      <c r="P49" s="53">
        <f t="shared" si="9"/>
        <v>0.16</v>
      </c>
      <c r="Q49" s="73">
        <f t="array" ref="Q49">IFERROR(((L49*$F49)+(P49*$G49))/($H49),"")</f>
        <v>0.17589882268416157</v>
      </c>
      <c r="R49" s="6" t="str">
        <f t="array" ref="R49">_xlfn.IFNA((INDEX('DMR 001C TIN &amp; TP'!$A$3:$M$10005,MATCH(('Reg 85'!$I$6:$Q$6&amp;'Reg 85'!R$10&amp;'Reg 85'!$B49),('DMR 001C TIN &amp; TP'!$E$3:$E$10005&amp;'DMR 001C TIN &amp; TP'!$B$3:$B$10005&amp;'DMR 001C TIN &amp; TP'!$A$3:$A$10005),0),MATCH('Reg 85'!$O$11,'DMR 001C TIN &amp; TP'!$A$2:$M$2,0))),"")</f>
        <v/>
      </c>
      <c r="S49" s="6" t="str">
        <f t="array" ref="S49">_xlfn.IFNA((INDEX('DMR 001C TIN &amp; TP'!$A$3:$M$10005,MATCH(('Reg 85'!$I$6:$Q$6&amp;'Reg 85'!S$10&amp;'Reg 85'!$B49),('DMR 001C TIN &amp; TP'!$E$3:$E$10005&amp;'DMR 001C TIN &amp; TP'!$B$3:$B$10005&amp;'DMR 001C TIN &amp; TP'!$A$3:$A$10005),0),MATCH('Reg 85'!$O$11,'DMR 001C TIN &amp; TP'!$A$2:$M$2,0))),"")</f>
        <v/>
      </c>
      <c r="T49" s="6" t="str">
        <f t="array" ref="T49">_xlfn.IFNA((INDEX('DMR 001C TIN &amp; TP'!$A$3:$M$10005,MATCH(('Reg 85'!$I$6:$Q$6&amp;'Reg 85'!T$10&amp;'Reg 85'!$B49),('DMR 001C TIN &amp; TP'!$E$3:$E$10005&amp;'DMR 001C TIN &amp; TP'!$B$3:$B$10005&amp;'DMR 001C TIN &amp; TP'!$A$3:$A$10005),0),MATCH('Reg 85'!$O$11,'DMR 001C TIN &amp; TP'!$A$2:$M$2,0))),"")</f>
        <v/>
      </c>
      <c r="U49" s="6">
        <f t="array" ref="U49">_xlfn.IFNA((INDEX('DMR 001C TIN &amp; TP'!$A$3:$M$10005,MATCH(('Reg 85'!$I$6:$Q$6&amp;'Reg 85'!U$10&amp;'Reg 85'!$B49),('DMR 001C TIN &amp; TP'!$E$3:$E$10005&amp;'DMR 001C TIN &amp; TP'!$B$3:$B$10005&amp;'DMR 001C TIN &amp; TP'!$A$3:$A$10005),0),MATCH('Reg 85'!$O$11,'DMR 001C TIN &amp; TP'!$A$2:$M$2,0))),"")</f>
        <v>0.53</v>
      </c>
      <c r="V49" s="6" t="str">
        <f t="array" ref="V49">_xlfn.IFNA((INDEX('DMR 001C TIN &amp; TP'!$A$3:$M$10005,MATCH(('Reg 85'!$I$6:$Q$6&amp;'Reg 85'!V$10&amp;'Reg 85'!$B49),('DMR 001C TIN &amp; TP'!$E$3:$E$10005&amp;'DMR 001C TIN &amp; TP'!$B$3:$B$10005&amp;'DMR 001C TIN &amp; TP'!$A$3:$A$10005),0),MATCH('Reg 85'!$O$11,'DMR 001C TIN &amp; TP'!$A$2:$M$2,0))),"")</f>
        <v/>
      </c>
      <c r="W49" s="6" t="str">
        <f t="array" ref="W49">_xlfn.IFNA((INDEX('DMR 001C TIN &amp; TP'!$A$3:$M$10005,MATCH(('Reg 85'!$I$6:$Q$6&amp;'Reg 85'!W$10&amp;'Reg 85'!$B49),('DMR 001C TIN &amp; TP'!$E$3:$E$10005&amp;'DMR 001C TIN &amp; TP'!$B$3:$B$10005&amp;'DMR 001C TIN &amp; TP'!$A$3:$A$10005),0),MATCH('Reg 85'!$O$11,'DMR 001C TIN &amp; TP'!$A$2:$M$2,0))),"")</f>
        <v/>
      </c>
      <c r="X49" s="5" t="str">
        <f t="shared" si="10"/>
        <v/>
      </c>
      <c r="Y49" s="6" t="str">
        <f t="array" ref="Y49">_xlfn.IFNA((INDEX('DMR 001C TIN &amp; TP'!$A$3:$M$10005,MATCH(('Reg 85'!$X$6&amp;'Reg 85'!$X$10&amp;'Reg 85'!$B49),('DMR 001C TIN &amp; TP'!$E$3:$E$10005&amp;'DMR 001C TIN &amp; TP'!$B$3:$B$10005&amp;'DMR 001C TIN &amp; TP'!$A$3:$A$10005),0),MATCH('Reg 85'!$Y$11,'DMR 001C TIN &amp; TP'!$A$2:$M$2,0))),"")</f>
        <v>0.18</v>
      </c>
      <c r="Z49" s="6">
        <f t="array" ref="Z49">_xlfn.IFNA((INDEX('DMR 001C TIN &amp; TP'!$A$3:$M$10005,MATCH(('Reg 85'!$X$6&amp;'Reg 85'!$X$10&amp;'Reg 85'!$B49),('DMR 001C TIN &amp; TP'!$E$3:$E$10005&amp;'DMR 001C TIN &amp; TP'!$B$3:$B$10005&amp;'DMR 001C TIN &amp; TP'!$A$3:$A$10005),0),MATCH('Reg 85'!$Z$11,'DMR 001C TIN &amp; TP'!$A$2:$M$2,0))),"")</f>
        <v>4.8600000000000003</v>
      </c>
      <c r="AA49" s="53">
        <f t="shared" si="11"/>
        <v>4.8600000000000003</v>
      </c>
      <c r="AB49" s="5" t="str">
        <f t="shared" si="12"/>
        <v/>
      </c>
      <c r="AC49" s="6" t="str">
        <f t="array" ref="AC49">_xlfn.IFNA((INDEX('DMR 001C TIN &amp; TP'!$A$3:$M$10005,MATCH(('Reg 85'!$X$6&amp;'Reg 85'!$AB$10&amp;'Reg 85'!$B49),('DMR 001C TIN &amp; TP'!$E$3:$E$10005&amp;'DMR 001C TIN &amp; TP'!$B$3:$B$10005&amp;'DMR 001C TIN &amp; TP'!$A$3:$A$10005),0),MATCH('Reg 85'!$AC$11,'DMR 001C TIN &amp; TP'!$A$2:$M$2,0))),"")</f>
        <v>0.06</v>
      </c>
      <c r="AD49" s="6">
        <f t="array" ref="AD49">_xlfn.IFNA((INDEX('DMR 001C TIN &amp; TP'!$A$3:$M$10005,MATCH(('Reg 85'!$X$6&amp;'Reg 85'!$AB$10&amp;'Reg 85'!$B49),('DMR 001C TIN &amp; TP'!$E$3:$E$10005&amp;'DMR 001C TIN &amp; TP'!$B$3:$B$10005&amp;'DMR 001C TIN &amp; TP'!$A$3:$A$10005),0),MATCH('Reg 85'!$AD$11,'DMR 001C TIN &amp; TP'!$A$2:$M$2,0))),"")</f>
        <v>5.37</v>
      </c>
      <c r="AE49" s="53">
        <f t="shared" si="13"/>
        <v>5.37</v>
      </c>
      <c r="AF49" s="7">
        <f t="shared" si="14"/>
        <v>5.1672900107769397</v>
      </c>
      <c r="AG49" s="6" t="str">
        <f t="array" ref="AG49">_xlfn.IFNA((INDEX('DMR 001C TIN &amp; TP'!$A$3:$M$10005,MATCH(('Reg 85'!$X$6&amp;'Reg 85'!AG$10&amp;'Reg 85'!$B49),('DMR 001C TIN &amp; TP'!$E$3:$E$10005&amp;'DMR 001C TIN &amp; TP'!$B$3:$B$10005&amp;'DMR 001C TIN &amp; TP'!$A$3:$A$10005),0),MATCH('Reg 85'!$AG$11,'DMR 001C TIN &amp; TP'!$A$2:$M$2,0))),"")</f>
        <v/>
      </c>
      <c r="AH49" s="6" t="str">
        <f t="array" ref="AH49">_xlfn.IFNA((INDEX('DMR 001C TIN &amp; TP'!$A$3:$M$10005,MATCH(('Reg 85'!$X$6&amp;'Reg 85'!AH$10&amp;'Reg 85'!$B49),('DMR 001C TIN &amp; TP'!$E$3:$E$10005&amp;'DMR 001C TIN &amp; TP'!$B$3:$B$10005&amp;'DMR 001C TIN &amp; TP'!$A$3:$A$10005),0),MATCH('Reg 85'!$AG$11,'DMR 001C TIN &amp; TP'!$A$2:$M$2,0))),"")</f>
        <v/>
      </c>
      <c r="AI49" s="6" t="str">
        <f t="array" ref="AI49">_xlfn.IFNA((INDEX('DMR 001C TIN &amp; TP'!$A$3:$M$10005,MATCH(('Reg 85'!$X$6&amp;'Reg 85'!AI$10&amp;'Reg 85'!$B49),('DMR 001C TIN &amp; TP'!$E$3:$E$10005&amp;'DMR 001C TIN &amp; TP'!$B$3:$B$10005&amp;'DMR 001C TIN &amp; TP'!$A$3:$A$10005),0),MATCH('Reg 85'!$AG$11,'DMR 001C TIN &amp; TP'!$A$2:$M$2,0))),"")</f>
        <v/>
      </c>
      <c r="AJ49" s="6" t="str">
        <f t="array" ref="AJ49">_xlfn.IFNA((INDEX('DMR 001C TIN &amp; TP'!$A$3:$M$10005,MATCH(('Reg 85'!$X$6&amp;'Reg 85'!AJ$10&amp;'Reg 85'!$B49),('DMR 001C TIN &amp; TP'!$E$3:$E$10005&amp;'DMR 001C TIN &amp; TP'!$B$3:$B$10005&amp;'DMR 001C TIN &amp; TP'!$A$3:$A$10005),0),MATCH('Reg 85'!$AG$11,'DMR 001C TIN &amp; TP'!$A$2:$M$2,0))),"")</f>
        <v/>
      </c>
      <c r="AK49" s="6" t="str">
        <f t="array" ref="AK49">_xlfn.IFNA((INDEX('DMR 001C TIN &amp; TP'!$A$3:$M$10005,MATCH(('Reg 85'!$X$6&amp;'Reg 85'!AK$10&amp;'Reg 85'!$B49),('DMR 001C TIN &amp; TP'!$E$3:$E$10005&amp;'DMR 001C TIN &amp; TP'!$B$3:$B$10005&amp;'DMR 001C TIN &amp; TP'!$A$3:$A$10005),0),MATCH('Reg 85'!$AG$11,'DMR 001C TIN &amp; TP'!$A$2:$M$2,0))),"")</f>
        <v/>
      </c>
      <c r="AL49" s="6" t="str">
        <f t="array" ref="AL49">_xlfn.IFNA((INDEX('DMR 001C TIN &amp; TP'!$A$3:$M$10005,MATCH(('Reg 85'!$X$6&amp;'Reg 85'!AL$10&amp;'Reg 85'!$B49),('DMR 001C TIN &amp; TP'!$E$3:$E$10005&amp;'DMR 001C TIN &amp; TP'!$B$3:$B$10005&amp;'DMR 001C TIN &amp; TP'!$A$3:$A$10005),0),MATCH('Reg 85'!$AG$11,'DMR 001C TIN &amp; TP'!$A$2:$M$2,0))),"")</f>
        <v/>
      </c>
      <c r="AM49" s="76"/>
      <c r="AN49" s="6"/>
      <c r="AO49" s="54">
        <f t="shared" si="0"/>
        <v>5.3431888334611015</v>
      </c>
      <c r="AP49" s="77" t="str">
        <f t="shared" si="39"/>
        <v/>
      </c>
      <c r="AQ49" s="47"/>
      <c r="AR49" s="6" t="str">
        <f t="array" ref="AR49">_xlfn.IFNA((INDEX('DMR 001C TIN &amp; TP'!$A$3:$M$10005,MATCH(('Reg 85'!$AQ$6&amp;'Reg 85'!$AQ$10&amp;'Reg 85'!$B49),('DMR 001C TIN &amp; TP'!$E$3:$E$10005&amp;'DMR 001C TIN &amp; TP'!$B$3:$B$10005&amp;'DMR 001C TIN &amp; TP'!$A$3:$A$10005),0),MATCH('Reg 85'!$AR$11,'DMR 001C TIN &amp; TP'!$A$2:$M$2,0))),"")</f>
        <v/>
      </c>
      <c r="AS49" s="6" t="str">
        <f t="array" ref="AS49">_xlfn.IFNA((INDEX('DMR 001C TIN &amp; TP'!$A$3:$M$10005,MATCH(('Reg 85'!$AQ$6&amp;'Reg 85'!$AQ$10&amp;'Reg 85'!$B49),('DMR 001C TIN &amp; TP'!$E$3:$E$10005&amp;'DMR 001C TIN &amp; TP'!$B$3:$B$10005&amp;'DMR 001C TIN &amp; TP'!$A$3:$A$10005),0),MATCH('Reg 85'!$AS$11,'DMR 001C TIN &amp; TP'!$A$2:$M$2,0))),"")</f>
        <v/>
      </c>
      <c r="AT49" s="53" t="str">
        <f t="shared" si="15"/>
        <v/>
      </c>
      <c r="AV49" s="6" t="str">
        <f t="array" ref="AV49">_xlfn.IFNA((INDEX('DMR 001C TIN &amp; TP'!$A$3:$M$10005,MATCH(('Reg 85'!$AQ$6&amp;'Reg 85'!$AU$10&amp;'Reg 85'!$B49),('DMR 001C TIN &amp; TP'!$E$3:$E$10005&amp;'DMR 001C TIN &amp; TP'!$B$3:$B$10005&amp;'DMR 001C TIN &amp; TP'!$A$3:$A$10005),0),MATCH('Reg 85'!$AV$11,'DMR 001C TIN &amp; TP'!$A$2:$M$2,0))),"")</f>
        <v/>
      </c>
      <c r="AW49" s="6" t="str">
        <f t="array" ref="AW49">_xlfn.IFNA((INDEX('DMR 001C TIN &amp; TP'!$A$3:$M$10005,MATCH(('Reg 85'!$AQ$6&amp;'Reg 85'!$AU$10&amp;'Reg 85'!$B49),('DMR 001C TIN &amp; TP'!$E$3:$E$10005&amp;'DMR 001C TIN &amp; TP'!$B$3:$B$10005&amp;'DMR 001C TIN &amp; TP'!$A$3:$A$10005),0),MATCH('Reg 85'!$AW$11,'DMR 001C TIN &amp; TP'!$A$2:$M$2,0))),"")</f>
        <v/>
      </c>
      <c r="AX49" s="53" t="str">
        <f t="shared" si="16"/>
        <v/>
      </c>
      <c r="AY49" s="55" t="str">
        <f t="shared" si="17"/>
        <v/>
      </c>
      <c r="AZ49" s="77" t="str">
        <f t="shared" si="37"/>
        <v/>
      </c>
      <c r="BA49" s="6" t="str">
        <f t="array" ref="BA49">_xlfn.IFNA((INDEX('DMR 001C TIN &amp; TP'!$A$3:$M$10005,MATCH(('Reg 85'!$AQ$6&amp;'Reg 85'!BA$10&amp;'Reg 85'!$B49),('DMR 001C TIN &amp; TP'!$E$3:$E$10005&amp;'DMR 001C TIN &amp; TP'!$B$3:$B$10005&amp;'DMR 001C TIN &amp; TP'!$A$3:$A$10005),0),MATCH('Reg 85'!$AG$11,'DMR 001C TIN &amp; TP'!$A$2:$M$2,0))),"")</f>
        <v/>
      </c>
      <c r="BB49" s="6" t="str">
        <f t="array" ref="BB49">_xlfn.IFNA((INDEX('DMR 001C TIN &amp; TP'!$A$3:$M$10005,MATCH(('Reg 85'!$AQ$6&amp;'Reg 85'!BB$10&amp;'Reg 85'!$B49),('DMR 001C TIN &amp; TP'!$E$3:$E$10005&amp;'DMR 001C TIN &amp; TP'!$B$3:$B$10005&amp;'DMR 001C TIN &amp; TP'!$A$3:$A$10005),0),MATCH('Reg 85'!$AG$11,'DMR 001C TIN &amp; TP'!$A$2:$M$2,0))),"")</f>
        <v/>
      </c>
      <c r="BC49" s="6" t="str">
        <f t="array" ref="BC49">_xlfn.IFNA((INDEX('DMR 001C TIN &amp; TP'!$A$3:$M$10005,MATCH(('Reg 85'!$AQ$6&amp;'Reg 85'!BC$10&amp;'Reg 85'!$B49),('DMR 001C TIN &amp; TP'!$E$3:$E$10005&amp;'DMR 001C TIN &amp; TP'!$B$3:$B$10005&amp;'DMR 001C TIN &amp; TP'!$A$3:$A$10005),0),MATCH('Reg 85'!$AG$11,'DMR 001C TIN &amp; TP'!$A$2:$M$2,0))),"")</f>
        <v/>
      </c>
      <c r="BD49" s="6" t="str">
        <f t="array" ref="BD49">_xlfn.IFNA((INDEX('DMR 001C TIN &amp; TP'!$A$3:$M$10005,MATCH(('Reg 85'!$AQ$6&amp;'Reg 85'!BD$10&amp;'Reg 85'!$B49),('DMR 001C TIN &amp; TP'!$E$3:$E$10005&amp;'DMR 001C TIN &amp; TP'!$B$3:$B$10005&amp;'DMR 001C TIN &amp; TP'!$A$3:$A$10005),0),MATCH('Reg 85'!$AG$11,'DMR 001C TIN &amp; TP'!$A$2:$M$2,0))),"")</f>
        <v/>
      </c>
      <c r="BE49" s="6" t="str">
        <f t="array" ref="BE49">_xlfn.IFNA((INDEX('DMR 001C TIN &amp; TP'!$A$3:$M$10005,MATCH(('Reg 85'!$AQ$6&amp;'Reg 85'!BE$10&amp;'Reg 85'!$B49),('DMR 001C TIN &amp; TP'!$E$3:$E$10005&amp;'DMR 001C TIN &amp; TP'!$B$3:$B$10005&amp;'DMR 001C TIN &amp; TP'!$A$3:$A$10005),0),MATCH('Reg 85'!$AG$11,'DMR 001C TIN &amp; TP'!$A$2:$M$2,0))),"")</f>
        <v/>
      </c>
      <c r="BF49" s="6" t="str">
        <f t="array" ref="BF49">_xlfn.IFNA((INDEX('DMR 001C TIN &amp; TP'!$A$3:$M$10005,MATCH(('Reg 85'!$AQ$6&amp;'Reg 85'!BF$10&amp;'Reg 85'!$B49),('DMR 001C TIN &amp; TP'!$E$3:$E$10005&amp;'DMR 001C TIN &amp; TP'!$B$3:$B$10005&amp;'DMR 001C TIN &amp; TP'!$A$3:$A$10005),0),MATCH('Reg 85'!$AG$11,'DMR 001C TIN &amp; TP'!$A$2:$M$2,0))),"")</f>
        <v/>
      </c>
    </row>
    <row r="50" spans="1:58">
      <c r="A50" s="3" t="str">
        <f t="shared" si="2"/>
        <v>Tue</v>
      </c>
      <c r="B50" s="96">
        <f t="shared" si="19"/>
        <v>43382</v>
      </c>
      <c r="C50" s="96">
        <f t="shared" si="3"/>
        <v>43404</v>
      </c>
      <c r="D50" s="96">
        <f t="shared" si="4"/>
        <v>43374</v>
      </c>
      <c r="E50" s="95">
        <f t="shared" si="5"/>
        <v>31</v>
      </c>
      <c r="F50" s="7">
        <f t="array" ref="F50">_xlfn.IFNA(INDEX('DMR Flows-Effluent'!$A$3:$F$9999,MATCH(($F$10&amp;$B50),('DMR Flows-Effluent'!$B$3:$B$9999&amp;'DMR Flows-Effluent'!$A$3:$A$9999),0),MATCH($F$8,'DMR Flows-Effluent'!$A$2:$F$2,0)),"")</f>
        <v>45.650399999999998</v>
      </c>
      <c r="G50" s="7">
        <f t="array" ref="G50">_xlfn.IFNA(INDEX('DMR Flows-Effluent'!$A$3:$F$9999,MATCH(($G$10&amp;$B50),('DMR Flows-Effluent'!$B$3:$B$9999&amp;'DMR Flows-Effluent'!$A$3:$A$9999),0),MATCH($F$8,'DMR Flows-Effluent'!$A$2:$F$2,0)),"")</f>
        <v>80.692599999999999</v>
      </c>
      <c r="H50" s="7">
        <f t="shared" si="6"/>
        <v>126.34299999999999</v>
      </c>
      <c r="I50" s="45" t="str">
        <f t="shared" si="7"/>
        <v/>
      </c>
      <c r="J50" s="6" t="str">
        <f t="array" ref="J50">_xlfn.IFNA((INDEX('DMR 001C TIN &amp; TP'!$A$3:$M$10005,MATCH(('Reg 85'!$I$6:$Q$6&amp;'Reg 85'!$I$10:$K$10&amp;'Reg 85'!$B50),('DMR 001C TIN &amp; TP'!$E$3:$E$10005&amp;'DMR 001C TIN &amp; TP'!$B$3:$B$10005&amp;'DMR 001C TIN &amp; TP'!$A$3:$A$10005),0),MATCH('Reg 85'!$J$11,'DMR 001C TIN &amp; TP'!$A$2:$M$2,0))),"")</f>
        <v>0.15</v>
      </c>
      <c r="K50" s="6">
        <f t="array" ref="K50">_xlfn.IFNA((INDEX('DMR 001C TIN &amp; TP'!$A$3:$M$10005,MATCH(('Reg 85'!$I$6:$Q$6&amp;'Reg 85'!$I$10:$K$10&amp;'Reg 85'!$B50),('DMR 001C TIN &amp; TP'!$E$3:$E$10005&amp;'DMR 001C TIN &amp; TP'!$B$3:$B$10005&amp;'DMR 001C TIN &amp; TP'!$A$3:$A$10005),0),MATCH('Reg 85'!$K$11,'DMR 001C TIN &amp; TP'!$A$2:$M$2,0))),"")</f>
        <v>0.38</v>
      </c>
      <c r="L50" s="53">
        <f t="shared" si="21"/>
        <v>0.38</v>
      </c>
      <c r="M50" s="5" t="str">
        <f t="shared" si="8"/>
        <v/>
      </c>
      <c r="N50" s="6" t="str">
        <f t="array" ref="N50">_xlfn.IFNA((INDEX('DMR 001C TIN &amp; TP'!$A$3:$M$10005,MATCH(('Reg 85'!$I$6:$Q$6&amp;'Reg 85'!$M$10&amp;'Reg 85'!$B50),('DMR 001C TIN &amp; TP'!$E$3:$E$10005&amp;'DMR 001C TIN &amp; TP'!$B$3:$B$10005&amp;'DMR 001C TIN &amp; TP'!$A$3:$A$10005),0),MATCH('Reg 85'!$N$11,'DMR 001C TIN &amp; TP'!$A$2:$M$2,0))),"")</f>
        <v>0.15</v>
      </c>
      <c r="O50" s="6">
        <f t="array" ref="O50">_xlfn.IFNA((INDEX('DMR 001C TIN &amp; TP'!$A$3:$M$10005,MATCH(('Reg 85'!$I$6:$Q$6&amp;'Reg 85'!$M$10&amp;'Reg 85'!$B50),('DMR 001C TIN &amp; TP'!$E$3:$E$10005&amp;'DMR 001C TIN &amp; TP'!$B$3:$B$10005&amp;'DMR 001C TIN &amp; TP'!$A$3:$A$10005),0),MATCH('Reg 85'!$O$11,'DMR 001C TIN &amp; TP'!$A$2:$M$2,0))),"")</f>
        <v>0.23</v>
      </c>
      <c r="P50" s="53">
        <f t="shared" si="9"/>
        <v>0.23</v>
      </c>
      <c r="Q50" s="73">
        <f t="array" ref="Q50">IFERROR(((L50*$F50)+(P50*$G50))/($H50),"")</f>
        <v>0.28419817480984305</v>
      </c>
      <c r="R50" s="6" t="str">
        <f t="array" ref="R50">_xlfn.IFNA((INDEX('DMR 001C TIN &amp; TP'!$A$3:$M$10005,MATCH(('Reg 85'!$I$6:$Q$6&amp;'Reg 85'!R$10&amp;'Reg 85'!$B50),('DMR 001C TIN &amp; TP'!$E$3:$E$10005&amp;'DMR 001C TIN &amp; TP'!$B$3:$B$10005&amp;'DMR 001C TIN &amp; TP'!$A$3:$A$10005),0),MATCH('Reg 85'!$O$11,'DMR 001C TIN &amp; TP'!$A$2:$M$2,0))),"")</f>
        <v/>
      </c>
      <c r="S50" s="6" t="str">
        <f t="array" ref="S50">_xlfn.IFNA((INDEX('DMR 001C TIN &amp; TP'!$A$3:$M$10005,MATCH(('Reg 85'!$I$6:$Q$6&amp;'Reg 85'!S$10&amp;'Reg 85'!$B50),('DMR 001C TIN &amp; TP'!$E$3:$E$10005&amp;'DMR 001C TIN &amp; TP'!$B$3:$B$10005&amp;'DMR 001C TIN &amp; TP'!$A$3:$A$10005),0),MATCH('Reg 85'!$O$11,'DMR 001C TIN &amp; TP'!$A$2:$M$2,0))),"")</f>
        <v/>
      </c>
      <c r="T50" s="6" t="str">
        <f t="array" ref="T50">_xlfn.IFNA((INDEX('DMR 001C TIN &amp; TP'!$A$3:$M$10005,MATCH(('Reg 85'!$I$6:$Q$6&amp;'Reg 85'!T$10&amp;'Reg 85'!$B50),('DMR 001C TIN &amp; TP'!$E$3:$E$10005&amp;'DMR 001C TIN &amp; TP'!$B$3:$B$10005&amp;'DMR 001C TIN &amp; TP'!$A$3:$A$10005),0),MATCH('Reg 85'!$O$11,'DMR 001C TIN &amp; TP'!$A$2:$M$2,0))),"")</f>
        <v/>
      </c>
      <c r="U50" s="6">
        <f t="array" ref="U50">_xlfn.IFNA((INDEX('DMR 001C TIN &amp; TP'!$A$3:$M$10005,MATCH(('Reg 85'!$I$6:$Q$6&amp;'Reg 85'!U$10&amp;'Reg 85'!$B50),('DMR 001C TIN &amp; TP'!$E$3:$E$10005&amp;'DMR 001C TIN &amp; TP'!$B$3:$B$10005&amp;'DMR 001C TIN &amp; TP'!$A$3:$A$10005),0),MATCH('Reg 85'!$O$11,'DMR 001C TIN &amp; TP'!$A$2:$M$2,0))),"")</f>
        <v>0.22</v>
      </c>
      <c r="V50" s="6" t="str">
        <f t="array" ref="V50">_xlfn.IFNA((INDEX('DMR 001C TIN &amp; TP'!$A$3:$M$10005,MATCH(('Reg 85'!$I$6:$Q$6&amp;'Reg 85'!V$10&amp;'Reg 85'!$B50),('DMR 001C TIN &amp; TP'!$E$3:$E$10005&amp;'DMR 001C TIN &amp; TP'!$B$3:$B$10005&amp;'DMR 001C TIN &amp; TP'!$A$3:$A$10005),0),MATCH('Reg 85'!$O$11,'DMR 001C TIN &amp; TP'!$A$2:$M$2,0))),"")</f>
        <v/>
      </c>
      <c r="W50" s="6" t="str">
        <f t="array" ref="W50">_xlfn.IFNA((INDEX('DMR 001C TIN &amp; TP'!$A$3:$M$10005,MATCH(('Reg 85'!$I$6:$Q$6&amp;'Reg 85'!W$10&amp;'Reg 85'!$B50),('DMR 001C TIN &amp; TP'!$E$3:$E$10005&amp;'DMR 001C TIN &amp; TP'!$B$3:$B$10005&amp;'DMR 001C TIN &amp; TP'!$A$3:$A$10005),0),MATCH('Reg 85'!$O$11,'DMR 001C TIN &amp; TP'!$A$2:$M$2,0))),"")</f>
        <v/>
      </c>
      <c r="X50" s="5" t="str">
        <f t="shared" si="10"/>
        <v/>
      </c>
      <c r="Y50" s="6" t="str">
        <f t="array" ref="Y50">_xlfn.IFNA((INDEX('DMR 001C TIN &amp; TP'!$A$3:$M$10005,MATCH(('Reg 85'!$X$6&amp;'Reg 85'!$X$10&amp;'Reg 85'!$B50),('DMR 001C TIN &amp; TP'!$E$3:$E$10005&amp;'DMR 001C TIN &amp; TP'!$B$3:$B$10005&amp;'DMR 001C TIN &amp; TP'!$A$3:$A$10005),0),MATCH('Reg 85'!$Y$11,'DMR 001C TIN &amp; TP'!$A$2:$M$2,0))),"")</f>
        <v>0.18</v>
      </c>
      <c r="Z50" s="6">
        <f t="array" ref="Z50">_xlfn.IFNA((INDEX('DMR 001C TIN &amp; TP'!$A$3:$M$10005,MATCH(('Reg 85'!$X$6&amp;'Reg 85'!$X$10&amp;'Reg 85'!$B50),('DMR 001C TIN &amp; TP'!$E$3:$E$10005&amp;'DMR 001C TIN &amp; TP'!$B$3:$B$10005&amp;'DMR 001C TIN &amp; TP'!$A$3:$A$10005),0),MATCH('Reg 85'!$Z$11,'DMR 001C TIN &amp; TP'!$A$2:$M$2,0))),"")</f>
        <v>4.5599999999999996</v>
      </c>
      <c r="AA50" s="53">
        <f t="shared" si="11"/>
        <v>4.5599999999999996</v>
      </c>
      <c r="AB50" s="5" t="str">
        <f t="shared" si="12"/>
        <v/>
      </c>
      <c r="AC50" s="6" t="str">
        <f t="array" ref="AC50">_xlfn.IFNA((INDEX('DMR 001C TIN &amp; TP'!$A$3:$M$10005,MATCH(('Reg 85'!$X$6&amp;'Reg 85'!$AB$10&amp;'Reg 85'!$B50),('DMR 001C TIN &amp; TP'!$E$3:$E$10005&amp;'DMR 001C TIN &amp; TP'!$B$3:$B$10005&amp;'DMR 001C TIN &amp; TP'!$A$3:$A$10005),0),MATCH('Reg 85'!$AC$11,'DMR 001C TIN &amp; TP'!$A$2:$M$2,0))),"")</f>
        <v>0.06</v>
      </c>
      <c r="AD50" s="6">
        <f t="array" ref="AD50">_xlfn.IFNA((INDEX('DMR 001C TIN &amp; TP'!$A$3:$M$10005,MATCH(('Reg 85'!$X$6&amp;'Reg 85'!$AB$10&amp;'Reg 85'!$B50),('DMR 001C TIN &amp; TP'!$E$3:$E$10005&amp;'DMR 001C TIN &amp; TP'!$B$3:$B$10005&amp;'DMR 001C TIN &amp; TP'!$A$3:$A$10005),0),MATCH('Reg 85'!$AD$11,'DMR 001C TIN &amp; TP'!$A$2:$M$2,0))),"")</f>
        <v>5.21</v>
      </c>
      <c r="AE50" s="53">
        <f t="shared" si="13"/>
        <v>5.21</v>
      </c>
      <c r="AF50" s="7">
        <f t="shared" si="14"/>
        <v>4.9751412424906798</v>
      </c>
      <c r="AG50" s="6" t="str">
        <f t="array" ref="AG50">_xlfn.IFNA((INDEX('DMR 001C TIN &amp; TP'!$A$3:$M$10005,MATCH(('Reg 85'!$X$6&amp;'Reg 85'!AG$10&amp;'Reg 85'!$B50),('DMR 001C TIN &amp; TP'!$E$3:$E$10005&amp;'DMR 001C TIN &amp; TP'!$B$3:$B$10005&amp;'DMR 001C TIN &amp; TP'!$A$3:$A$10005),0),MATCH('Reg 85'!$AG$11,'DMR 001C TIN &amp; TP'!$A$2:$M$2,0))),"")</f>
        <v/>
      </c>
      <c r="AH50" s="6" t="str">
        <f t="array" ref="AH50">_xlfn.IFNA((INDEX('DMR 001C TIN &amp; TP'!$A$3:$M$10005,MATCH(('Reg 85'!$X$6&amp;'Reg 85'!AH$10&amp;'Reg 85'!$B50),('DMR 001C TIN &amp; TP'!$E$3:$E$10005&amp;'DMR 001C TIN &amp; TP'!$B$3:$B$10005&amp;'DMR 001C TIN &amp; TP'!$A$3:$A$10005),0),MATCH('Reg 85'!$AG$11,'DMR 001C TIN &amp; TP'!$A$2:$M$2,0))),"")</f>
        <v/>
      </c>
      <c r="AI50" s="6" t="str">
        <f t="array" ref="AI50">_xlfn.IFNA((INDEX('DMR 001C TIN &amp; TP'!$A$3:$M$10005,MATCH(('Reg 85'!$X$6&amp;'Reg 85'!AI$10&amp;'Reg 85'!$B50),('DMR 001C TIN &amp; TP'!$E$3:$E$10005&amp;'DMR 001C TIN &amp; TP'!$B$3:$B$10005&amp;'DMR 001C TIN &amp; TP'!$A$3:$A$10005),0),MATCH('Reg 85'!$AG$11,'DMR 001C TIN &amp; TP'!$A$2:$M$2,0))),"")</f>
        <v/>
      </c>
      <c r="AJ50" s="6" t="str">
        <f t="array" ref="AJ50">_xlfn.IFNA((INDEX('DMR 001C TIN &amp; TP'!$A$3:$M$10005,MATCH(('Reg 85'!$X$6&amp;'Reg 85'!AJ$10&amp;'Reg 85'!$B50),('DMR 001C TIN &amp; TP'!$E$3:$E$10005&amp;'DMR 001C TIN &amp; TP'!$B$3:$B$10005&amp;'DMR 001C TIN &amp; TP'!$A$3:$A$10005),0),MATCH('Reg 85'!$AG$11,'DMR 001C TIN &amp; TP'!$A$2:$M$2,0))),"")</f>
        <v/>
      </c>
      <c r="AK50" s="6" t="str">
        <f t="array" ref="AK50">_xlfn.IFNA((INDEX('DMR 001C TIN &amp; TP'!$A$3:$M$10005,MATCH(('Reg 85'!$X$6&amp;'Reg 85'!AK$10&amp;'Reg 85'!$B50),('DMR 001C TIN &amp; TP'!$E$3:$E$10005&amp;'DMR 001C TIN &amp; TP'!$B$3:$B$10005&amp;'DMR 001C TIN &amp; TP'!$A$3:$A$10005),0),MATCH('Reg 85'!$AG$11,'DMR 001C TIN &amp; TP'!$A$2:$M$2,0))),"")</f>
        <v/>
      </c>
      <c r="AL50" s="6" t="str">
        <f t="array" ref="AL50">_xlfn.IFNA((INDEX('DMR 001C TIN &amp; TP'!$A$3:$M$10005,MATCH(('Reg 85'!$X$6&amp;'Reg 85'!AL$10&amp;'Reg 85'!$B50),('DMR 001C TIN &amp; TP'!$E$3:$E$10005&amp;'DMR 001C TIN &amp; TP'!$B$3:$B$10005&amp;'DMR 001C TIN &amp; TP'!$A$3:$A$10005),0),MATCH('Reg 85'!$AG$11,'DMR 001C TIN &amp; TP'!$A$2:$M$2,0))),"")</f>
        <v/>
      </c>
      <c r="AM50" s="76"/>
      <c r="AN50" s="6"/>
      <c r="AO50" s="54">
        <f t="shared" si="0"/>
        <v>5.2593394173005228</v>
      </c>
      <c r="AP50" s="77" t="str">
        <f t="shared" si="39"/>
        <v/>
      </c>
      <c r="AQ50" s="47"/>
      <c r="AR50" s="6" t="str">
        <f t="array" ref="AR50">_xlfn.IFNA((INDEX('DMR 001C TIN &amp; TP'!$A$3:$M$10005,MATCH(('Reg 85'!$AQ$6&amp;'Reg 85'!$AQ$10&amp;'Reg 85'!$B50),('DMR 001C TIN &amp; TP'!$E$3:$E$10005&amp;'DMR 001C TIN &amp; TP'!$B$3:$B$10005&amp;'DMR 001C TIN &amp; TP'!$A$3:$A$10005),0),MATCH('Reg 85'!$AR$11,'DMR 001C TIN &amp; TP'!$A$2:$M$2,0))),"")</f>
        <v/>
      </c>
      <c r="AS50" s="6" t="str">
        <f t="array" ref="AS50">_xlfn.IFNA((INDEX('DMR 001C TIN &amp; TP'!$A$3:$M$10005,MATCH(('Reg 85'!$AQ$6&amp;'Reg 85'!$AQ$10&amp;'Reg 85'!$B50),('DMR 001C TIN &amp; TP'!$E$3:$E$10005&amp;'DMR 001C TIN &amp; TP'!$B$3:$B$10005&amp;'DMR 001C TIN &amp; TP'!$A$3:$A$10005),0),MATCH('Reg 85'!$AS$11,'DMR 001C TIN &amp; TP'!$A$2:$M$2,0))),"")</f>
        <v/>
      </c>
      <c r="AT50" s="53" t="str">
        <f t="shared" si="15"/>
        <v/>
      </c>
      <c r="AV50" s="6" t="str">
        <f t="array" ref="AV50">_xlfn.IFNA((INDEX('DMR 001C TIN &amp; TP'!$A$3:$M$10005,MATCH(('Reg 85'!$AQ$6&amp;'Reg 85'!$AU$10&amp;'Reg 85'!$B50),('DMR 001C TIN &amp; TP'!$E$3:$E$10005&amp;'DMR 001C TIN &amp; TP'!$B$3:$B$10005&amp;'DMR 001C TIN &amp; TP'!$A$3:$A$10005),0),MATCH('Reg 85'!$AV$11,'DMR 001C TIN &amp; TP'!$A$2:$M$2,0))),"")</f>
        <v/>
      </c>
      <c r="AW50" s="6" t="str">
        <f t="array" ref="AW50">_xlfn.IFNA((INDEX('DMR 001C TIN &amp; TP'!$A$3:$M$10005,MATCH(('Reg 85'!$AQ$6&amp;'Reg 85'!$AU$10&amp;'Reg 85'!$B50),('DMR 001C TIN &amp; TP'!$E$3:$E$10005&amp;'DMR 001C TIN &amp; TP'!$B$3:$B$10005&amp;'DMR 001C TIN &amp; TP'!$A$3:$A$10005),0),MATCH('Reg 85'!$AW$11,'DMR 001C TIN &amp; TP'!$A$2:$M$2,0))),"")</f>
        <v/>
      </c>
      <c r="AX50" s="53" t="str">
        <f t="shared" si="16"/>
        <v/>
      </c>
      <c r="AY50" s="55" t="str">
        <f t="shared" si="17"/>
        <v/>
      </c>
      <c r="AZ50" s="77" t="str">
        <f t="shared" si="37"/>
        <v/>
      </c>
      <c r="BA50" s="6" t="str">
        <f t="array" ref="BA50">_xlfn.IFNA((INDEX('DMR 001C TIN &amp; TP'!$A$3:$M$10005,MATCH(('Reg 85'!$AQ$6&amp;'Reg 85'!BA$10&amp;'Reg 85'!$B50),('DMR 001C TIN &amp; TP'!$E$3:$E$10005&amp;'DMR 001C TIN &amp; TP'!$B$3:$B$10005&amp;'DMR 001C TIN &amp; TP'!$A$3:$A$10005),0),MATCH('Reg 85'!$AG$11,'DMR 001C TIN &amp; TP'!$A$2:$M$2,0))),"")</f>
        <v/>
      </c>
      <c r="BB50" s="6" t="str">
        <f t="array" ref="BB50">_xlfn.IFNA((INDEX('DMR 001C TIN &amp; TP'!$A$3:$M$10005,MATCH(('Reg 85'!$AQ$6&amp;'Reg 85'!BB$10&amp;'Reg 85'!$B50),('DMR 001C TIN &amp; TP'!$E$3:$E$10005&amp;'DMR 001C TIN &amp; TP'!$B$3:$B$10005&amp;'DMR 001C TIN &amp; TP'!$A$3:$A$10005),0),MATCH('Reg 85'!$AG$11,'DMR 001C TIN &amp; TP'!$A$2:$M$2,0))),"")</f>
        <v/>
      </c>
      <c r="BC50" s="6" t="str">
        <f t="array" ref="BC50">_xlfn.IFNA((INDEX('DMR 001C TIN &amp; TP'!$A$3:$M$10005,MATCH(('Reg 85'!$AQ$6&amp;'Reg 85'!BC$10&amp;'Reg 85'!$B50),('DMR 001C TIN &amp; TP'!$E$3:$E$10005&amp;'DMR 001C TIN &amp; TP'!$B$3:$B$10005&amp;'DMR 001C TIN &amp; TP'!$A$3:$A$10005),0),MATCH('Reg 85'!$AG$11,'DMR 001C TIN &amp; TP'!$A$2:$M$2,0))),"")</f>
        <v/>
      </c>
      <c r="BD50" s="6" t="str">
        <f t="array" ref="BD50">_xlfn.IFNA((INDEX('DMR 001C TIN &amp; TP'!$A$3:$M$10005,MATCH(('Reg 85'!$AQ$6&amp;'Reg 85'!BD$10&amp;'Reg 85'!$B50),('DMR 001C TIN &amp; TP'!$E$3:$E$10005&amp;'DMR 001C TIN &amp; TP'!$B$3:$B$10005&amp;'DMR 001C TIN &amp; TP'!$A$3:$A$10005),0),MATCH('Reg 85'!$AG$11,'DMR 001C TIN &amp; TP'!$A$2:$M$2,0))),"")</f>
        <v/>
      </c>
      <c r="BE50" s="6" t="str">
        <f t="array" ref="BE50">_xlfn.IFNA((INDEX('DMR 001C TIN &amp; TP'!$A$3:$M$10005,MATCH(('Reg 85'!$AQ$6&amp;'Reg 85'!BE$10&amp;'Reg 85'!$B50),('DMR 001C TIN &amp; TP'!$E$3:$E$10005&amp;'DMR 001C TIN &amp; TP'!$B$3:$B$10005&amp;'DMR 001C TIN &amp; TP'!$A$3:$A$10005),0),MATCH('Reg 85'!$AG$11,'DMR 001C TIN &amp; TP'!$A$2:$M$2,0))),"")</f>
        <v/>
      </c>
      <c r="BF50" s="6" t="str">
        <f t="array" ref="BF50">_xlfn.IFNA((INDEX('DMR 001C TIN &amp; TP'!$A$3:$M$10005,MATCH(('Reg 85'!$AQ$6&amp;'Reg 85'!BF$10&amp;'Reg 85'!$B50),('DMR 001C TIN &amp; TP'!$E$3:$E$10005&amp;'DMR 001C TIN &amp; TP'!$B$3:$B$10005&amp;'DMR 001C TIN &amp; TP'!$A$3:$A$10005),0),MATCH('Reg 85'!$AG$11,'DMR 001C TIN &amp; TP'!$A$2:$M$2,0))),"")</f>
        <v/>
      </c>
    </row>
    <row r="51" spans="1:58">
      <c r="A51" s="3" t="str">
        <f t="shared" si="2"/>
        <v>Wed</v>
      </c>
      <c r="B51" s="96">
        <f t="shared" si="19"/>
        <v>43383</v>
      </c>
      <c r="C51" s="96">
        <f t="shared" si="3"/>
        <v>43404</v>
      </c>
      <c r="D51" s="96">
        <f t="shared" si="4"/>
        <v>43374</v>
      </c>
      <c r="E51" s="95">
        <f t="shared" si="5"/>
        <v>31</v>
      </c>
      <c r="F51" s="7">
        <f t="array" ref="F51">_xlfn.IFNA(INDEX('DMR Flows-Effluent'!$A$3:$F$9999,MATCH(($F$10&amp;$B51),('DMR Flows-Effluent'!$B$3:$B$9999&amp;'DMR Flows-Effluent'!$A$3:$A$9999),0),MATCH($F$8,'DMR Flows-Effluent'!$A$2:$F$2,0)),"")</f>
        <v>45.639499999999998</v>
      </c>
      <c r="G51" s="7">
        <f t="array" ref="G51">_xlfn.IFNA(INDEX('DMR Flows-Effluent'!$A$3:$F$9999,MATCH(($G$10&amp;$B51),('DMR Flows-Effluent'!$B$3:$B$9999&amp;'DMR Flows-Effluent'!$A$3:$A$9999),0),MATCH($F$8,'DMR Flows-Effluent'!$A$2:$F$2,0)),"")</f>
        <v>82.075800000000001</v>
      </c>
      <c r="H51" s="7">
        <f t="shared" si="6"/>
        <v>127.7153</v>
      </c>
      <c r="I51" s="45" t="str">
        <f t="shared" si="7"/>
        <v/>
      </c>
      <c r="J51" s="6" t="str">
        <f t="array" ref="J51">_xlfn.IFNA((INDEX('DMR 001C TIN &amp; TP'!$A$3:$M$10005,MATCH(('Reg 85'!$I$6:$Q$6&amp;'Reg 85'!$I$10:$K$10&amp;'Reg 85'!$B51),('DMR 001C TIN &amp; TP'!$E$3:$E$10005&amp;'DMR 001C TIN &amp; TP'!$B$3:$B$10005&amp;'DMR 001C TIN &amp; TP'!$A$3:$A$10005),0),MATCH('Reg 85'!$J$11,'DMR 001C TIN &amp; TP'!$A$2:$M$2,0))),"")</f>
        <v>0.15</v>
      </c>
      <c r="K51" s="6">
        <f t="array" ref="K51">_xlfn.IFNA((INDEX('DMR 001C TIN &amp; TP'!$A$3:$M$10005,MATCH(('Reg 85'!$I$6:$Q$6&amp;'Reg 85'!$I$10:$K$10&amp;'Reg 85'!$B51),('DMR 001C TIN &amp; TP'!$E$3:$E$10005&amp;'DMR 001C TIN &amp; TP'!$B$3:$B$10005&amp;'DMR 001C TIN &amp; TP'!$A$3:$A$10005),0),MATCH('Reg 85'!$K$11,'DMR 001C TIN &amp; TP'!$A$2:$M$2,0))),"")</f>
        <v>0.3</v>
      </c>
      <c r="L51" s="53">
        <f t="shared" si="21"/>
        <v>0.3</v>
      </c>
      <c r="M51" s="5" t="str">
        <f t="shared" si="8"/>
        <v/>
      </c>
      <c r="N51" s="6" t="str">
        <f t="array" ref="N51">_xlfn.IFNA((INDEX('DMR 001C TIN &amp; TP'!$A$3:$M$10005,MATCH(('Reg 85'!$I$6:$Q$6&amp;'Reg 85'!$M$10&amp;'Reg 85'!$B51),('DMR 001C TIN &amp; TP'!$E$3:$E$10005&amp;'DMR 001C TIN &amp; TP'!$B$3:$B$10005&amp;'DMR 001C TIN &amp; TP'!$A$3:$A$10005),0),MATCH('Reg 85'!$N$11,'DMR 001C TIN &amp; TP'!$A$2:$M$2,0))),"")</f>
        <v>0.15</v>
      </c>
      <c r="O51" s="6">
        <f t="array" ref="O51">_xlfn.IFNA((INDEX('DMR 001C TIN &amp; TP'!$A$3:$M$10005,MATCH(('Reg 85'!$I$6:$Q$6&amp;'Reg 85'!$M$10&amp;'Reg 85'!$B51),('DMR 001C TIN &amp; TP'!$E$3:$E$10005&amp;'DMR 001C TIN &amp; TP'!$B$3:$B$10005&amp;'DMR 001C TIN &amp; TP'!$A$3:$A$10005),0),MATCH('Reg 85'!$O$11,'DMR 001C TIN &amp; TP'!$A$2:$M$2,0))),"")</f>
        <v>0.21</v>
      </c>
      <c r="P51" s="53">
        <f t="shared" si="9"/>
        <v>0.21</v>
      </c>
      <c r="Q51" s="73">
        <f t="array" ref="Q51">IFERROR(((L51*$F51)+(P51*$G51))/($H51),"")</f>
        <v>0.24216180833463177</v>
      </c>
      <c r="R51" s="6" t="str">
        <f t="array" ref="R51">_xlfn.IFNA((INDEX('DMR 001C TIN &amp; TP'!$A$3:$M$10005,MATCH(('Reg 85'!$I$6:$Q$6&amp;'Reg 85'!R$10&amp;'Reg 85'!$B51),('DMR 001C TIN &amp; TP'!$E$3:$E$10005&amp;'DMR 001C TIN &amp; TP'!$B$3:$B$10005&amp;'DMR 001C TIN &amp; TP'!$A$3:$A$10005),0),MATCH('Reg 85'!$O$11,'DMR 001C TIN &amp; TP'!$A$2:$M$2,0))),"")</f>
        <v/>
      </c>
      <c r="S51" s="6" t="str">
        <f t="array" ref="S51">_xlfn.IFNA((INDEX('DMR 001C TIN &amp; TP'!$A$3:$M$10005,MATCH(('Reg 85'!$I$6:$Q$6&amp;'Reg 85'!S$10&amp;'Reg 85'!$B51),('DMR 001C TIN &amp; TP'!$E$3:$E$10005&amp;'DMR 001C TIN &amp; TP'!$B$3:$B$10005&amp;'DMR 001C TIN &amp; TP'!$A$3:$A$10005),0),MATCH('Reg 85'!$O$11,'DMR 001C TIN &amp; TP'!$A$2:$M$2,0))),"")</f>
        <v/>
      </c>
      <c r="T51" s="6" t="str">
        <f t="array" ref="T51">_xlfn.IFNA((INDEX('DMR 001C TIN &amp; TP'!$A$3:$M$10005,MATCH(('Reg 85'!$I$6:$Q$6&amp;'Reg 85'!T$10&amp;'Reg 85'!$B51),('DMR 001C TIN &amp; TP'!$E$3:$E$10005&amp;'DMR 001C TIN &amp; TP'!$B$3:$B$10005&amp;'DMR 001C TIN &amp; TP'!$A$3:$A$10005),0),MATCH('Reg 85'!$O$11,'DMR 001C TIN &amp; TP'!$A$2:$M$2,0))),"")</f>
        <v/>
      </c>
      <c r="U51" s="6" t="str">
        <f t="array" ref="U51">_xlfn.IFNA((INDEX('DMR 001C TIN &amp; TP'!$A$3:$M$10005,MATCH(('Reg 85'!$I$6:$Q$6&amp;'Reg 85'!U$10&amp;'Reg 85'!$B51),('DMR 001C TIN &amp; TP'!$E$3:$E$10005&amp;'DMR 001C TIN &amp; TP'!$B$3:$B$10005&amp;'DMR 001C TIN &amp; TP'!$A$3:$A$10005),0),MATCH('Reg 85'!$O$11,'DMR 001C TIN &amp; TP'!$A$2:$M$2,0))),"")</f>
        <v/>
      </c>
      <c r="V51" s="6" t="str">
        <f t="array" ref="V51">_xlfn.IFNA((INDEX('DMR 001C TIN &amp; TP'!$A$3:$M$10005,MATCH(('Reg 85'!$I$6:$Q$6&amp;'Reg 85'!V$10&amp;'Reg 85'!$B51),('DMR 001C TIN &amp; TP'!$E$3:$E$10005&amp;'DMR 001C TIN &amp; TP'!$B$3:$B$10005&amp;'DMR 001C TIN &amp; TP'!$A$3:$A$10005),0),MATCH('Reg 85'!$O$11,'DMR 001C TIN &amp; TP'!$A$2:$M$2,0))),"")</f>
        <v/>
      </c>
      <c r="W51" s="6" t="str">
        <f t="array" ref="W51">_xlfn.IFNA((INDEX('DMR 001C TIN &amp; TP'!$A$3:$M$10005,MATCH(('Reg 85'!$I$6:$Q$6&amp;'Reg 85'!W$10&amp;'Reg 85'!$B51),('DMR 001C TIN &amp; TP'!$E$3:$E$10005&amp;'DMR 001C TIN &amp; TP'!$B$3:$B$10005&amp;'DMR 001C TIN &amp; TP'!$A$3:$A$10005),0),MATCH('Reg 85'!$O$11,'DMR 001C TIN &amp; TP'!$A$2:$M$2,0))),"")</f>
        <v/>
      </c>
      <c r="X51" s="5" t="str">
        <f t="shared" si="10"/>
        <v/>
      </c>
      <c r="Y51" s="6" t="str">
        <f t="array" ref="Y51">_xlfn.IFNA((INDEX('DMR 001C TIN &amp; TP'!$A$3:$M$10005,MATCH(('Reg 85'!$X$6&amp;'Reg 85'!$X$10&amp;'Reg 85'!$B51),('DMR 001C TIN &amp; TP'!$E$3:$E$10005&amp;'DMR 001C TIN &amp; TP'!$B$3:$B$10005&amp;'DMR 001C TIN &amp; TP'!$A$3:$A$10005),0),MATCH('Reg 85'!$Y$11,'DMR 001C TIN &amp; TP'!$A$2:$M$2,0))),"")</f>
        <v>0.06</v>
      </c>
      <c r="Z51" s="6">
        <f t="array" ref="Z51">_xlfn.IFNA((INDEX('DMR 001C TIN &amp; TP'!$A$3:$M$10005,MATCH(('Reg 85'!$X$6&amp;'Reg 85'!$X$10&amp;'Reg 85'!$B51),('DMR 001C TIN &amp; TP'!$E$3:$E$10005&amp;'DMR 001C TIN &amp; TP'!$B$3:$B$10005&amp;'DMR 001C TIN &amp; TP'!$A$3:$A$10005),0),MATCH('Reg 85'!$Z$11,'DMR 001C TIN &amp; TP'!$A$2:$M$2,0))),"")</f>
        <v>4.6900000000000004</v>
      </c>
      <c r="AA51" s="53">
        <f t="shared" si="11"/>
        <v>4.6900000000000004</v>
      </c>
      <c r="AB51" s="5" t="str">
        <f t="shared" si="12"/>
        <v/>
      </c>
      <c r="AC51" s="6" t="str">
        <f t="array" ref="AC51">_xlfn.IFNA((INDEX('DMR 001C TIN &amp; TP'!$A$3:$M$10005,MATCH(('Reg 85'!$X$6&amp;'Reg 85'!$AB$10&amp;'Reg 85'!$B51),('DMR 001C TIN &amp; TP'!$E$3:$E$10005&amp;'DMR 001C TIN &amp; TP'!$B$3:$B$10005&amp;'DMR 001C TIN &amp; TP'!$A$3:$A$10005),0),MATCH('Reg 85'!$AC$11,'DMR 001C TIN &amp; TP'!$A$2:$M$2,0))),"")</f>
        <v>0.06</v>
      </c>
      <c r="AD51" s="6">
        <f t="array" ref="AD51">_xlfn.IFNA((INDEX('DMR 001C TIN &amp; TP'!$A$3:$M$10005,MATCH(('Reg 85'!$X$6&amp;'Reg 85'!$AB$10&amp;'Reg 85'!$B51),('DMR 001C TIN &amp; TP'!$E$3:$E$10005&amp;'DMR 001C TIN &amp; TP'!$B$3:$B$10005&amp;'DMR 001C TIN &amp; TP'!$A$3:$A$10005),0),MATCH('Reg 85'!$AD$11,'DMR 001C TIN &amp; TP'!$A$2:$M$2,0))),"")</f>
        <v>5.29</v>
      </c>
      <c r="AE51" s="53">
        <f t="shared" si="13"/>
        <v>5.29</v>
      </c>
      <c r="AF51" s="7">
        <f t="shared" si="14"/>
        <v>5.0755879444357879</v>
      </c>
      <c r="AG51" s="6" t="str">
        <f t="array" ref="AG51">_xlfn.IFNA((INDEX('DMR 001C TIN &amp; TP'!$A$3:$M$10005,MATCH(('Reg 85'!$X$6&amp;'Reg 85'!AG$10&amp;'Reg 85'!$B51),('DMR 001C TIN &amp; TP'!$E$3:$E$10005&amp;'DMR 001C TIN &amp; TP'!$B$3:$B$10005&amp;'DMR 001C TIN &amp; TP'!$A$3:$A$10005),0),MATCH('Reg 85'!$AG$11,'DMR 001C TIN &amp; TP'!$A$2:$M$2,0))),"")</f>
        <v/>
      </c>
      <c r="AH51" s="6" t="str">
        <f t="array" ref="AH51">_xlfn.IFNA((INDEX('DMR 001C TIN &amp; TP'!$A$3:$M$10005,MATCH(('Reg 85'!$X$6&amp;'Reg 85'!AH$10&amp;'Reg 85'!$B51),('DMR 001C TIN &amp; TP'!$E$3:$E$10005&amp;'DMR 001C TIN &amp; TP'!$B$3:$B$10005&amp;'DMR 001C TIN &amp; TP'!$A$3:$A$10005),0),MATCH('Reg 85'!$AG$11,'DMR 001C TIN &amp; TP'!$A$2:$M$2,0))),"")</f>
        <v/>
      </c>
      <c r="AI51" s="6" t="str">
        <f t="array" ref="AI51">_xlfn.IFNA((INDEX('DMR 001C TIN &amp; TP'!$A$3:$M$10005,MATCH(('Reg 85'!$X$6&amp;'Reg 85'!AI$10&amp;'Reg 85'!$B51),('DMR 001C TIN &amp; TP'!$E$3:$E$10005&amp;'DMR 001C TIN &amp; TP'!$B$3:$B$10005&amp;'DMR 001C TIN &amp; TP'!$A$3:$A$10005),0),MATCH('Reg 85'!$AG$11,'DMR 001C TIN &amp; TP'!$A$2:$M$2,0))),"")</f>
        <v/>
      </c>
      <c r="AJ51" s="6" t="str">
        <f t="array" ref="AJ51">_xlfn.IFNA((INDEX('DMR 001C TIN &amp; TP'!$A$3:$M$10005,MATCH(('Reg 85'!$X$6&amp;'Reg 85'!AJ$10&amp;'Reg 85'!$B51),('DMR 001C TIN &amp; TP'!$E$3:$E$10005&amp;'DMR 001C TIN &amp; TP'!$B$3:$B$10005&amp;'DMR 001C TIN &amp; TP'!$A$3:$A$10005),0),MATCH('Reg 85'!$AG$11,'DMR 001C TIN &amp; TP'!$A$2:$M$2,0))),"")</f>
        <v/>
      </c>
      <c r="AK51" s="6" t="str">
        <f t="array" ref="AK51">_xlfn.IFNA((INDEX('DMR 001C TIN &amp; TP'!$A$3:$M$10005,MATCH(('Reg 85'!$X$6&amp;'Reg 85'!AK$10&amp;'Reg 85'!$B51),('DMR 001C TIN &amp; TP'!$E$3:$E$10005&amp;'DMR 001C TIN &amp; TP'!$B$3:$B$10005&amp;'DMR 001C TIN &amp; TP'!$A$3:$A$10005),0),MATCH('Reg 85'!$AG$11,'DMR 001C TIN &amp; TP'!$A$2:$M$2,0))),"")</f>
        <v/>
      </c>
      <c r="AL51" s="6" t="str">
        <f t="array" ref="AL51">_xlfn.IFNA((INDEX('DMR 001C TIN &amp; TP'!$A$3:$M$10005,MATCH(('Reg 85'!$X$6&amp;'Reg 85'!AL$10&amp;'Reg 85'!$B51),('DMR 001C TIN &amp; TP'!$E$3:$E$10005&amp;'DMR 001C TIN &amp; TP'!$B$3:$B$10005&amp;'DMR 001C TIN &amp; TP'!$A$3:$A$10005),0),MATCH('Reg 85'!$AG$11,'DMR 001C TIN &amp; TP'!$A$2:$M$2,0))),"")</f>
        <v/>
      </c>
      <c r="AM51" s="76"/>
      <c r="AN51" s="6"/>
      <c r="AO51" s="54">
        <f t="shared" si="0"/>
        <v>5.3177497527704194</v>
      </c>
      <c r="AP51" s="77" t="str">
        <f t="shared" si="39"/>
        <v/>
      </c>
      <c r="AQ51" s="47"/>
      <c r="AR51" s="6" t="str">
        <f t="array" ref="AR51">_xlfn.IFNA((INDEX('DMR 001C TIN &amp; TP'!$A$3:$M$10005,MATCH(('Reg 85'!$AQ$6&amp;'Reg 85'!$AQ$10&amp;'Reg 85'!$B51),('DMR 001C TIN &amp; TP'!$E$3:$E$10005&amp;'DMR 001C TIN &amp; TP'!$B$3:$B$10005&amp;'DMR 001C TIN &amp; TP'!$A$3:$A$10005),0),MATCH('Reg 85'!$AR$11,'DMR 001C TIN &amp; TP'!$A$2:$M$2,0))),"")</f>
        <v/>
      </c>
      <c r="AS51" s="6" t="str">
        <f t="array" ref="AS51">_xlfn.IFNA((INDEX('DMR 001C TIN &amp; TP'!$A$3:$M$10005,MATCH(('Reg 85'!$AQ$6&amp;'Reg 85'!$AQ$10&amp;'Reg 85'!$B51),('DMR 001C TIN &amp; TP'!$E$3:$E$10005&amp;'DMR 001C TIN &amp; TP'!$B$3:$B$10005&amp;'DMR 001C TIN &amp; TP'!$A$3:$A$10005),0),MATCH('Reg 85'!$AS$11,'DMR 001C TIN &amp; TP'!$A$2:$M$2,0))),"")</f>
        <v/>
      </c>
      <c r="AT51" s="53" t="str">
        <f t="shared" si="15"/>
        <v/>
      </c>
      <c r="AV51" s="6" t="str">
        <f t="array" ref="AV51">_xlfn.IFNA((INDEX('DMR 001C TIN &amp; TP'!$A$3:$M$10005,MATCH(('Reg 85'!$AQ$6&amp;'Reg 85'!$AU$10&amp;'Reg 85'!$B51),('DMR 001C TIN &amp; TP'!$E$3:$E$10005&amp;'DMR 001C TIN &amp; TP'!$B$3:$B$10005&amp;'DMR 001C TIN &amp; TP'!$A$3:$A$10005),0),MATCH('Reg 85'!$AV$11,'DMR 001C TIN &amp; TP'!$A$2:$M$2,0))),"")</f>
        <v/>
      </c>
      <c r="AW51" s="6" t="str">
        <f t="array" ref="AW51">_xlfn.IFNA((INDEX('DMR 001C TIN &amp; TP'!$A$3:$M$10005,MATCH(('Reg 85'!$AQ$6&amp;'Reg 85'!$AU$10&amp;'Reg 85'!$B51),('DMR 001C TIN &amp; TP'!$E$3:$E$10005&amp;'DMR 001C TIN &amp; TP'!$B$3:$B$10005&amp;'DMR 001C TIN &amp; TP'!$A$3:$A$10005),0),MATCH('Reg 85'!$AW$11,'DMR 001C TIN &amp; TP'!$A$2:$M$2,0))),"")</f>
        <v/>
      </c>
      <c r="AX51" s="53" t="str">
        <f t="shared" si="16"/>
        <v/>
      </c>
      <c r="AY51" s="55" t="str">
        <f t="shared" si="17"/>
        <v/>
      </c>
      <c r="AZ51" s="77" t="str">
        <f t="shared" si="37"/>
        <v/>
      </c>
      <c r="BA51" s="6" t="str">
        <f t="array" ref="BA51">_xlfn.IFNA((INDEX('DMR 001C TIN &amp; TP'!$A$3:$M$10005,MATCH(('Reg 85'!$AQ$6&amp;'Reg 85'!BA$10&amp;'Reg 85'!$B51),('DMR 001C TIN &amp; TP'!$E$3:$E$10005&amp;'DMR 001C TIN &amp; TP'!$B$3:$B$10005&amp;'DMR 001C TIN &amp; TP'!$A$3:$A$10005),0),MATCH('Reg 85'!$AG$11,'DMR 001C TIN &amp; TP'!$A$2:$M$2,0))),"")</f>
        <v/>
      </c>
      <c r="BB51" s="6" t="str">
        <f t="array" ref="BB51">_xlfn.IFNA((INDEX('DMR 001C TIN &amp; TP'!$A$3:$M$10005,MATCH(('Reg 85'!$AQ$6&amp;'Reg 85'!BB$10&amp;'Reg 85'!$B51),('DMR 001C TIN &amp; TP'!$E$3:$E$10005&amp;'DMR 001C TIN &amp; TP'!$B$3:$B$10005&amp;'DMR 001C TIN &amp; TP'!$A$3:$A$10005),0),MATCH('Reg 85'!$AG$11,'DMR 001C TIN &amp; TP'!$A$2:$M$2,0))),"")</f>
        <v/>
      </c>
      <c r="BC51" s="6" t="str">
        <f t="array" ref="BC51">_xlfn.IFNA((INDEX('DMR 001C TIN &amp; TP'!$A$3:$M$10005,MATCH(('Reg 85'!$AQ$6&amp;'Reg 85'!BC$10&amp;'Reg 85'!$B51),('DMR 001C TIN &amp; TP'!$E$3:$E$10005&amp;'DMR 001C TIN &amp; TP'!$B$3:$B$10005&amp;'DMR 001C TIN &amp; TP'!$A$3:$A$10005),0),MATCH('Reg 85'!$AG$11,'DMR 001C TIN &amp; TP'!$A$2:$M$2,0))),"")</f>
        <v/>
      </c>
      <c r="BD51" s="6" t="str">
        <f t="array" ref="BD51">_xlfn.IFNA((INDEX('DMR 001C TIN &amp; TP'!$A$3:$M$10005,MATCH(('Reg 85'!$AQ$6&amp;'Reg 85'!BD$10&amp;'Reg 85'!$B51),('DMR 001C TIN &amp; TP'!$E$3:$E$10005&amp;'DMR 001C TIN &amp; TP'!$B$3:$B$10005&amp;'DMR 001C TIN &amp; TP'!$A$3:$A$10005),0),MATCH('Reg 85'!$AG$11,'DMR 001C TIN &amp; TP'!$A$2:$M$2,0))),"")</f>
        <v/>
      </c>
      <c r="BE51" s="6" t="str">
        <f t="array" ref="BE51">_xlfn.IFNA((INDEX('DMR 001C TIN &amp; TP'!$A$3:$M$10005,MATCH(('Reg 85'!$AQ$6&amp;'Reg 85'!BE$10&amp;'Reg 85'!$B51),('DMR 001C TIN &amp; TP'!$E$3:$E$10005&amp;'DMR 001C TIN &amp; TP'!$B$3:$B$10005&amp;'DMR 001C TIN &amp; TP'!$A$3:$A$10005),0),MATCH('Reg 85'!$AG$11,'DMR 001C TIN &amp; TP'!$A$2:$M$2,0))),"")</f>
        <v/>
      </c>
      <c r="BF51" s="6" t="str">
        <f t="array" ref="BF51">_xlfn.IFNA((INDEX('DMR 001C TIN &amp; TP'!$A$3:$M$10005,MATCH(('Reg 85'!$AQ$6&amp;'Reg 85'!BF$10&amp;'Reg 85'!$B51),('DMR 001C TIN &amp; TP'!$E$3:$E$10005&amp;'DMR 001C TIN &amp; TP'!$B$3:$B$10005&amp;'DMR 001C TIN &amp; TP'!$A$3:$A$10005),0),MATCH('Reg 85'!$AG$11,'DMR 001C TIN &amp; TP'!$A$2:$M$2,0))),"")</f>
        <v/>
      </c>
    </row>
    <row r="52" spans="1:58">
      <c r="A52" s="3" t="str">
        <f t="shared" si="2"/>
        <v>Thu</v>
      </c>
      <c r="B52" s="96">
        <f t="shared" si="19"/>
        <v>43384</v>
      </c>
      <c r="C52" s="96">
        <f t="shared" si="3"/>
        <v>43404</v>
      </c>
      <c r="D52" s="96">
        <f t="shared" si="4"/>
        <v>43374</v>
      </c>
      <c r="E52" s="95">
        <f t="shared" si="5"/>
        <v>31</v>
      </c>
      <c r="F52" s="7">
        <f t="array" ref="F52">_xlfn.IFNA(INDEX('DMR Flows-Effluent'!$A$3:$F$9999,MATCH(($F$10&amp;$B52),('DMR Flows-Effluent'!$B$3:$B$9999&amp;'DMR Flows-Effluent'!$A$3:$A$9999),0),MATCH($F$8,'DMR Flows-Effluent'!$A$2:$F$2,0)),"")</f>
        <v>44.110100000000003</v>
      </c>
      <c r="G52" s="7">
        <f t="array" ref="G52">_xlfn.IFNA(INDEX('DMR Flows-Effluent'!$A$3:$F$9999,MATCH(($G$10&amp;$B52),('DMR Flows-Effluent'!$B$3:$B$9999&amp;'DMR Flows-Effluent'!$A$3:$A$9999),0),MATCH($F$8,'DMR Flows-Effluent'!$A$2:$F$2,0)),"")</f>
        <v>77.447599999999994</v>
      </c>
      <c r="H52" s="7">
        <f t="shared" si="6"/>
        <v>121.5577</v>
      </c>
      <c r="I52" s="45" t="str">
        <f t="shared" si="7"/>
        <v/>
      </c>
      <c r="J52" s="6" t="str">
        <f t="array" ref="J52">_xlfn.IFNA((INDEX('DMR 001C TIN &amp; TP'!$A$3:$M$10005,MATCH(('Reg 85'!$I$6:$Q$6&amp;'Reg 85'!$I$10:$K$10&amp;'Reg 85'!$B52),('DMR 001C TIN &amp; TP'!$E$3:$E$10005&amp;'DMR 001C TIN &amp; TP'!$B$3:$B$10005&amp;'DMR 001C TIN &amp; TP'!$A$3:$A$10005),0),MATCH('Reg 85'!$J$11,'DMR 001C TIN &amp; TP'!$A$2:$M$2,0))),"")</f>
        <v/>
      </c>
      <c r="K52" s="6" t="str">
        <f t="array" ref="K52">_xlfn.IFNA((INDEX('DMR 001C TIN &amp; TP'!$A$3:$M$10005,MATCH(('Reg 85'!$I$6:$Q$6&amp;'Reg 85'!$I$10:$K$10&amp;'Reg 85'!$B52),('DMR 001C TIN &amp; TP'!$E$3:$E$10005&amp;'DMR 001C TIN &amp; TP'!$B$3:$B$10005&amp;'DMR 001C TIN &amp; TP'!$A$3:$A$10005),0),MATCH('Reg 85'!$K$11,'DMR 001C TIN &amp; TP'!$A$2:$M$2,0))),"")</f>
        <v/>
      </c>
      <c r="L52" s="53" t="str">
        <f t="shared" si="21"/>
        <v/>
      </c>
      <c r="M52" s="5" t="str">
        <f t="shared" si="8"/>
        <v/>
      </c>
      <c r="N52" s="6" t="str">
        <f t="array" ref="N52">_xlfn.IFNA((INDEX('DMR 001C TIN &amp; TP'!$A$3:$M$10005,MATCH(('Reg 85'!$I$6:$Q$6&amp;'Reg 85'!$M$10&amp;'Reg 85'!$B52),('DMR 001C TIN &amp; TP'!$E$3:$E$10005&amp;'DMR 001C TIN &amp; TP'!$B$3:$B$10005&amp;'DMR 001C TIN &amp; TP'!$A$3:$A$10005),0),MATCH('Reg 85'!$N$11,'DMR 001C TIN &amp; TP'!$A$2:$M$2,0))),"")</f>
        <v/>
      </c>
      <c r="O52" s="6" t="str">
        <f t="array" ref="O52">_xlfn.IFNA((INDEX('DMR 001C TIN &amp; TP'!$A$3:$M$10005,MATCH(('Reg 85'!$I$6:$Q$6&amp;'Reg 85'!$M$10&amp;'Reg 85'!$B52),('DMR 001C TIN &amp; TP'!$E$3:$E$10005&amp;'DMR 001C TIN &amp; TP'!$B$3:$B$10005&amp;'DMR 001C TIN &amp; TP'!$A$3:$A$10005),0),MATCH('Reg 85'!$O$11,'DMR 001C TIN &amp; TP'!$A$2:$M$2,0))),"")</f>
        <v/>
      </c>
      <c r="P52" s="53" t="str">
        <f t="shared" si="9"/>
        <v/>
      </c>
      <c r="Q52" s="73" t="str">
        <f t="array" ref="Q52">IFERROR(((L52*$F52)+(P52*$G52))/($H52),"")</f>
        <v/>
      </c>
      <c r="R52" s="6" t="str">
        <f t="array" ref="R52">_xlfn.IFNA((INDEX('DMR 001C TIN &amp; TP'!$A$3:$M$10005,MATCH(('Reg 85'!$I$6:$Q$6&amp;'Reg 85'!R$10&amp;'Reg 85'!$B52),('DMR 001C TIN &amp; TP'!$E$3:$E$10005&amp;'DMR 001C TIN &amp; TP'!$B$3:$B$10005&amp;'DMR 001C TIN &amp; TP'!$A$3:$A$10005),0),MATCH('Reg 85'!$O$11,'DMR 001C TIN &amp; TP'!$A$2:$M$2,0))),"")</f>
        <v/>
      </c>
      <c r="S52" s="6" t="str">
        <f t="array" ref="S52">_xlfn.IFNA((INDEX('DMR 001C TIN &amp; TP'!$A$3:$M$10005,MATCH(('Reg 85'!$I$6:$Q$6&amp;'Reg 85'!S$10&amp;'Reg 85'!$B52),('DMR 001C TIN &amp; TP'!$E$3:$E$10005&amp;'DMR 001C TIN &amp; TP'!$B$3:$B$10005&amp;'DMR 001C TIN &amp; TP'!$A$3:$A$10005),0),MATCH('Reg 85'!$O$11,'DMR 001C TIN &amp; TP'!$A$2:$M$2,0))),"")</f>
        <v/>
      </c>
      <c r="T52" s="6" t="str">
        <f t="array" ref="T52">_xlfn.IFNA((INDEX('DMR 001C TIN &amp; TP'!$A$3:$M$10005,MATCH(('Reg 85'!$I$6:$Q$6&amp;'Reg 85'!T$10&amp;'Reg 85'!$B52),('DMR 001C TIN &amp; TP'!$E$3:$E$10005&amp;'DMR 001C TIN &amp; TP'!$B$3:$B$10005&amp;'DMR 001C TIN &amp; TP'!$A$3:$A$10005),0),MATCH('Reg 85'!$O$11,'DMR 001C TIN &amp; TP'!$A$2:$M$2,0))),"")</f>
        <v/>
      </c>
      <c r="U52" s="6" t="str">
        <f t="array" ref="U52">_xlfn.IFNA((INDEX('DMR 001C TIN &amp; TP'!$A$3:$M$10005,MATCH(('Reg 85'!$I$6:$Q$6&amp;'Reg 85'!U$10&amp;'Reg 85'!$B52),('DMR 001C TIN &amp; TP'!$E$3:$E$10005&amp;'DMR 001C TIN &amp; TP'!$B$3:$B$10005&amp;'DMR 001C TIN &amp; TP'!$A$3:$A$10005),0),MATCH('Reg 85'!$O$11,'DMR 001C TIN &amp; TP'!$A$2:$M$2,0))),"")</f>
        <v/>
      </c>
      <c r="V52" s="6" t="str">
        <f t="array" ref="V52">_xlfn.IFNA((INDEX('DMR 001C TIN &amp; TP'!$A$3:$M$10005,MATCH(('Reg 85'!$I$6:$Q$6&amp;'Reg 85'!V$10&amp;'Reg 85'!$B52),('DMR 001C TIN &amp; TP'!$E$3:$E$10005&amp;'DMR 001C TIN &amp; TP'!$B$3:$B$10005&amp;'DMR 001C TIN &amp; TP'!$A$3:$A$10005),0),MATCH('Reg 85'!$O$11,'DMR 001C TIN &amp; TP'!$A$2:$M$2,0))),"")</f>
        <v/>
      </c>
      <c r="W52" s="6" t="str">
        <f t="array" ref="W52">_xlfn.IFNA((INDEX('DMR 001C TIN &amp; TP'!$A$3:$M$10005,MATCH(('Reg 85'!$I$6:$Q$6&amp;'Reg 85'!W$10&amp;'Reg 85'!$B52),('DMR 001C TIN &amp; TP'!$E$3:$E$10005&amp;'DMR 001C TIN &amp; TP'!$B$3:$B$10005&amp;'DMR 001C TIN &amp; TP'!$A$3:$A$10005),0),MATCH('Reg 85'!$O$11,'DMR 001C TIN &amp; TP'!$A$2:$M$2,0))),"")</f>
        <v/>
      </c>
      <c r="X52" s="5" t="str">
        <f t="shared" si="10"/>
        <v/>
      </c>
      <c r="Y52" s="6" t="str">
        <f t="array" ref="Y52">_xlfn.IFNA((INDEX('DMR 001C TIN &amp; TP'!$A$3:$M$10005,MATCH(('Reg 85'!$X$6&amp;'Reg 85'!$X$10&amp;'Reg 85'!$B52),('DMR 001C TIN &amp; TP'!$E$3:$E$10005&amp;'DMR 001C TIN &amp; TP'!$B$3:$B$10005&amp;'DMR 001C TIN &amp; TP'!$A$3:$A$10005),0),MATCH('Reg 85'!$Y$11,'DMR 001C TIN &amp; TP'!$A$2:$M$2,0))),"")</f>
        <v/>
      </c>
      <c r="Z52" s="6" t="str">
        <f t="array" ref="Z52">_xlfn.IFNA((INDEX('DMR 001C TIN &amp; TP'!$A$3:$M$10005,MATCH(('Reg 85'!$X$6&amp;'Reg 85'!$X$10&amp;'Reg 85'!$B52),('DMR 001C TIN &amp; TP'!$E$3:$E$10005&amp;'DMR 001C TIN &amp; TP'!$B$3:$B$10005&amp;'DMR 001C TIN &amp; TP'!$A$3:$A$10005),0),MATCH('Reg 85'!$Z$11,'DMR 001C TIN &amp; TP'!$A$2:$M$2,0))),"")</f>
        <v/>
      </c>
      <c r="AA52" s="53" t="str">
        <f t="shared" si="11"/>
        <v/>
      </c>
      <c r="AB52" s="5" t="str">
        <f t="shared" si="12"/>
        <v/>
      </c>
      <c r="AC52" s="6" t="str">
        <f t="array" ref="AC52">_xlfn.IFNA((INDEX('DMR 001C TIN &amp; TP'!$A$3:$M$10005,MATCH(('Reg 85'!$X$6&amp;'Reg 85'!$AB$10&amp;'Reg 85'!$B52),('DMR 001C TIN &amp; TP'!$E$3:$E$10005&amp;'DMR 001C TIN &amp; TP'!$B$3:$B$10005&amp;'DMR 001C TIN &amp; TP'!$A$3:$A$10005),0),MATCH('Reg 85'!$AC$11,'DMR 001C TIN &amp; TP'!$A$2:$M$2,0))),"")</f>
        <v/>
      </c>
      <c r="AD52" s="6" t="str">
        <f t="array" ref="AD52">_xlfn.IFNA((INDEX('DMR 001C TIN &amp; TP'!$A$3:$M$10005,MATCH(('Reg 85'!$X$6&amp;'Reg 85'!$AB$10&amp;'Reg 85'!$B52),('DMR 001C TIN &amp; TP'!$E$3:$E$10005&amp;'DMR 001C TIN &amp; TP'!$B$3:$B$10005&amp;'DMR 001C TIN &amp; TP'!$A$3:$A$10005),0),MATCH('Reg 85'!$AD$11,'DMR 001C TIN &amp; TP'!$A$2:$M$2,0))),"")</f>
        <v/>
      </c>
      <c r="AE52" s="53" t="str">
        <f t="shared" si="13"/>
        <v/>
      </c>
      <c r="AF52" s="7" t="str">
        <f t="shared" si="14"/>
        <v/>
      </c>
      <c r="AG52" s="6" t="str">
        <f t="array" ref="AG52">_xlfn.IFNA((INDEX('DMR 001C TIN &amp; TP'!$A$3:$M$10005,MATCH(('Reg 85'!$X$6&amp;'Reg 85'!AG$10&amp;'Reg 85'!$B52),('DMR 001C TIN &amp; TP'!$E$3:$E$10005&amp;'DMR 001C TIN &amp; TP'!$B$3:$B$10005&amp;'DMR 001C TIN &amp; TP'!$A$3:$A$10005),0),MATCH('Reg 85'!$AG$11,'DMR 001C TIN &amp; TP'!$A$2:$M$2,0))),"")</f>
        <v/>
      </c>
      <c r="AH52" s="6" t="str">
        <f t="array" ref="AH52">_xlfn.IFNA((INDEX('DMR 001C TIN &amp; TP'!$A$3:$M$10005,MATCH(('Reg 85'!$X$6&amp;'Reg 85'!AH$10&amp;'Reg 85'!$B52),('DMR 001C TIN &amp; TP'!$E$3:$E$10005&amp;'DMR 001C TIN &amp; TP'!$B$3:$B$10005&amp;'DMR 001C TIN &amp; TP'!$A$3:$A$10005),0),MATCH('Reg 85'!$AG$11,'DMR 001C TIN &amp; TP'!$A$2:$M$2,0))),"")</f>
        <v/>
      </c>
      <c r="AI52" s="6" t="str">
        <f t="array" ref="AI52">_xlfn.IFNA((INDEX('DMR 001C TIN &amp; TP'!$A$3:$M$10005,MATCH(('Reg 85'!$X$6&amp;'Reg 85'!AI$10&amp;'Reg 85'!$B52),('DMR 001C TIN &amp; TP'!$E$3:$E$10005&amp;'DMR 001C TIN &amp; TP'!$B$3:$B$10005&amp;'DMR 001C TIN &amp; TP'!$A$3:$A$10005),0),MATCH('Reg 85'!$AG$11,'DMR 001C TIN &amp; TP'!$A$2:$M$2,0))),"")</f>
        <v/>
      </c>
      <c r="AJ52" s="6" t="str">
        <f t="array" ref="AJ52">_xlfn.IFNA((INDEX('DMR 001C TIN &amp; TP'!$A$3:$M$10005,MATCH(('Reg 85'!$X$6&amp;'Reg 85'!AJ$10&amp;'Reg 85'!$B52),('DMR 001C TIN &amp; TP'!$E$3:$E$10005&amp;'DMR 001C TIN &amp; TP'!$B$3:$B$10005&amp;'DMR 001C TIN &amp; TP'!$A$3:$A$10005),0),MATCH('Reg 85'!$AG$11,'DMR 001C TIN &amp; TP'!$A$2:$M$2,0))),"")</f>
        <v/>
      </c>
      <c r="AK52" s="6" t="str">
        <f t="array" ref="AK52">_xlfn.IFNA((INDEX('DMR 001C TIN &amp; TP'!$A$3:$M$10005,MATCH(('Reg 85'!$X$6&amp;'Reg 85'!AK$10&amp;'Reg 85'!$B52),('DMR 001C TIN &amp; TP'!$E$3:$E$10005&amp;'DMR 001C TIN &amp; TP'!$B$3:$B$10005&amp;'DMR 001C TIN &amp; TP'!$A$3:$A$10005),0),MATCH('Reg 85'!$AG$11,'DMR 001C TIN &amp; TP'!$A$2:$M$2,0))),"")</f>
        <v/>
      </c>
      <c r="AL52" s="6" t="str">
        <f t="array" ref="AL52">_xlfn.IFNA((INDEX('DMR 001C TIN &amp; TP'!$A$3:$M$10005,MATCH(('Reg 85'!$X$6&amp;'Reg 85'!AL$10&amp;'Reg 85'!$B52),('DMR 001C TIN &amp; TP'!$E$3:$E$10005&amp;'DMR 001C TIN &amp; TP'!$B$3:$B$10005&amp;'DMR 001C TIN &amp; TP'!$A$3:$A$10005),0),MATCH('Reg 85'!$AG$11,'DMR 001C TIN &amp; TP'!$A$2:$M$2,0))),"")</f>
        <v/>
      </c>
      <c r="AM52" s="76"/>
      <c r="AN52" s="6"/>
      <c r="AO52" s="54" t="str">
        <f t="shared" si="0"/>
        <v/>
      </c>
      <c r="AP52" s="77" t="str">
        <f t="shared" si="39"/>
        <v/>
      </c>
      <c r="AQ52" s="47"/>
      <c r="AR52" s="6" t="str">
        <f t="array" ref="AR52">_xlfn.IFNA((INDEX('DMR 001C TIN &amp; TP'!$A$3:$M$10005,MATCH(('Reg 85'!$AQ$6&amp;'Reg 85'!$AQ$10&amp;'Reg 85'!$B52),('DMR 001C TIN &amp; TP'!$E$3:$E$10005&amp;'DMR 001C TIN &amp; TP'!$B$3:$B$10005&amp;'DMR 001C TIN &amp; TP'!$A$3:$A$10005),0),MATCH('Reg 85'!$AR$11,'DMR 001C TIN &amp; TP'!$A$2:$M$2,0))),"")</f>
        <v>0.03</v>
      </c>
      <c r="AS52" s="6">
        <f t="array" ref="AS52">_xlfn.IFNA((INDEX('DMR 001C TIN &amp; TP'!$A$3:$M$10005,MATCH(('Reg 85'!$AQ$6&amp;'Reg 85'!$AQ$10&amp;'Reg 85'!$B52),('DMR 001C TIN &amp; TP'!$E$3:$E$10005&amp;'DMR 001C TIN &amp; TP'!$B$3:$B$10005&amp;'DMR 001C TIN &amp; TP'!$A$3:$A$10005),0),MATCH('Reg 85'!$AS$11,'DMR 001C TIN &amp; TP'!$A$2:$M$2,0))),"")</f>
        <v>0.24</v>
      </c>
      <c r="AT52" s="53">
        <f t="shared" si="15"/>
        <v>0.24</v>
      </c>
      <c r="AV52" s="6" t="str">
        <f t="array" ref="AV52">_xlfn.IFNA((INDEX('DMR 001C TIN &amp; TP'!$A$3:$M$10005,MATCH(('Reg 85'!$AQ$6&amp;'Reg 85'!$AU$10&amp;'Reg 85'!$B52),('DMR 001C TIN &amp; TP'!$E$3:$E$10005&amp;'DMR 001C TIN &amp; TP'!$B$3:$B$10005&amp;'DMR 001C TIN &amp; TP'!$A$3:$A$10005),0),MATCH('Reg 85'!$AV$11,'DMR 001C TIN &amp; TP'!$A$2:$M$2,0))),"")</f>
        <v>0.03</v>
      </c>
      <c r="AW52" s="6">
        <f t="array" ref="AW52">_xlfn.IFNA((INDEX('DMR 001C TIN &amp; TP'!$A$3:$M$10005,MATCH(('Reg 85'!$AQ$6&amp;'Reg 85'!$AU$10&amp;'Reg 85'!$B52),('DMR 001C TIN &amp; TP'!$E$3:$E$10005&amp;'DMR 001C TIN &amp; TP'!$B$3:$B$10005&amp;'DMR 001C TIN &amp; TP'!$A$3:$A$10005),0),MATCH('Reg 85'!$AW$11,'DMR 001C TIN &amp; TP'!$A$2:$M$2,0))),"")</f>
        <v>1.44</v>
      </c>
      <c r="AX52" s="53">
        <f t="shared" si="16"/>
        <v>1.44</v>
      </c>
      <c r="AY52" s="55">
        <f t="shared" si="17"/>
        <v>1.0045514846036079</v>
      </c>
      <c r="AZ52" s="77" t="str">
        <f t="shared" si="37"/>
        <v/>
      </c>
      <c r="BA52" s="6" t="str">
        <f t="array" ref="BA52">_xlfn.IFNA((INDEX('DMR 001C TIN &amp; TP'!$A$3:$M$10005,MATCH(('Reg 85'!$AQ$6&amp;'Reg 85'!BA$10&amp;'Reg 85'!$B52),('DMR 001C TIN &amp; TP'!$E$3:$E$10005&amp;'DMR 001C TIN &amp; TP'!$B$3:$B$10005&amp;'DMR 001C TIN &amp; TP'!$A$3:$A$10005),0),MATCH('Reg 85'!$AG$11,'DMR 001C TIN &amp; TP'!$A$2:$M$2,0))),"")</f>
        <v/>
      </c>
      <c r="BB52" s="6" t="str">
        <f t="array" ref="BB52">_xlfn.IFNA((INDEX('DMR 001C TIN &amp; TP'!$A$3:$M$10005,MATCH(('Reg 85'!$AQ$6&amp;'Reg 85'!BB$10&amp;'Reg 85'!$B52),('DMR 001C TIN &amp; TP'!$E$3:$E$10005&amp;'DMR 001C TIN &amp; TP'!$B$3:$B$10005&amp;'DMR 001C TIN &amp; TP'!$A$3:$A$10005),0),MATCH('Reg 85'!$AG$11,'DMR 001C TIN &amp; TP'!$A$2:$M$2,0))),"")</f>
        <v/>
      </c>
      <c r="BC52" s="6" t="str">
        <f t="array" ref="BC52">_xlfn.IFNA((INDEX('DMR 001C TIN &amp; TP'!$A$3:$M$10005,MATCH(('Reg 85'!$AQ$6&amp;'Reg 85'!BC$10&amp;'Reg 85'!$B52),('DMR 001C TIN &amp; TP'!$E$3:$E$10005&amp;'DMR 001C TIN &amp; TP'!$B$3:$B$10005&amp;'DMR 001C TIN &amp; TP'!$A$3:$A$10005),0),MATCH('Reg 85'!$AG$11,'DMR 001C TIN &amp; TP'!$A$2:$M$2,0))),"")</f>
        <v/>
      </c>
      <c r="BD52" s="6" t="str">
        <f t="array" ref="BD52">_xlfn.IFNA((INDEX('DMR 001C TIN &amp; TP'!$A$3:$M$10005,MATCH(('Reg 85'!$AQ$6&amp;'Reg 85'!BD$10&amp;'Reg 85'!$B52),('DMR 001C TIN &amp; TP'!$E$3:$E$10005&amp;'DMR 001C TIN &amp; TP'!$B$3:$B$10005&amp;'DMR 001C TIN &amp; TP'!$A$3:$A$10005),0),MATCH('Reg 85'!$AG$11,'DMR 001C TIN &amp; TP'!$A$2:$M$2,0))),"")</f>
        <v/>
      </c>
      <c r="BE52" s="6" t="str">
        <f t="array" ref="BE52">_xlfn.IFNA((INDEX('DMR 001C TIN &amp; TP'!$A$3:$M$10005,MATCH(('Reg 85'!$AQ$6&amp;'Reg 85'!BE$10&amp;'Reg 85'!$B52),('DMR 001C TIN &amp; TP'!$E$3:$E$10005&amp;'DMR 001C TIN &amp; TP'!$B$3:$B$10005&amp;'DMR 001C TIN &amp; TP'!$A$3:$A$10005),0),MATCH('Reg 85'!$AG$11,'DMR 001C TIN &amp; TP'!$A$2:$M$2,0))),"")</f>
        <v/>
      </c>
      <c r="BF52" s="6" t="str">
        <f t="array" ref="BF52">_xlfn.IFNA((INDEX('DMR 001C TIN &amp; TP'!$A$3:$M$10005,MATCH(('Reg 85'!$AQ$6&amp;'Reg 85'!BF$10&amp;'Reg 85'!$B52),('DMR 001C TIN &amp; TP'!$E$3:$E$10005&amp;'DMR 001C TIN &amp; TP'!$B$3:$B$10005&amp;'DMR 001C TIN &amp; TP'!$A$3:$A$10005),0),MATCH('Reg 85'!$AG$11,'DMR 001C TIN &amp; TP'!$A$2:$M$2,0))),"")</f>
        <v/>
      </c>
    </row>
    <row r="53" spans="1:58">
      <c r="A53" s="3" t="str">
        <f t="shared" si="2"/>
        <v>Fri</v>
      </c>
      <c r="B53" s="96">
        <f t="shared" si="19"/>
        <v>43385</v>
      </c>
      <c r="C53" s="96">
        <f t="shared" si="3"/>
        <v>43404</v>
      </c>
      <c r="D53" s="96">
        <f t="shared" si="4"/>
        <v>43374</v>
      </c>
      <c r="E53" s="95">
        <f t="shared" si="5"/>
        <v>31</v>
      </c>
      <c r="F53" s="7">
        <f t="array" ref="F53">_xlfn.IFNA(INDEX('DMR Flows-Effluent'!$A$3:$F$9999,MATCH(($F$10&amp;$B53),('DMR Flows-Effluent'!$B$3:$B$9999&amp;'DMR Flows-Effluent'!$A$3:$A$9999),0),MATCH($F$8,'DMR Flows-Effluent'!$A$2:$F$2,0)),"")</f>
        <v>45.5426</v>
      </c>
      <c r="G53" s="7">
        <f t="array" ref="G53">_xlfn.IFNA(INDEX('DMR Flows-Effluent'!$A$3:$F$9999,MATCH(($G$10&amp;$B53),('DMR Flows-Effluent'!$B$3:$B$9999&amp;'DMR Flows-Effluent'!$A$3:$A$9999),0),MATCH($F$8,'DMR Flows-Effluent'!$A$2:$F$2,0)),"")</f>
        <v>81.0047</v>
      </c>
      <c r="H53" s="7">
        <f t="shared" si="6"/>
        <v>126.54730000000001</v>
      </c>
      <c r="I53" s="45" t="str">
        <f t="shared" si="7"/>
        <v/>
      </c>
      <c r="J53" s="6" t="str">
        <f t="array" ref="J53">_xlfn.IFNA((INDEX('DMR 001C TIN &amp; TP'!$A$3:$M$10005,MATCH(('Reg 85'!$I$6:$Q$6&amp;'Reg 85'!$I$10:$K$10&amp;'Reg 85'!$B53),('DMR 001C TIN &amp; TP'!$E$3:$E$10005&amp;'DMR 001C TIN &amp; TP'!$B$3:$B$10005&amp;'DMR 001C TIN &amp; TP'!$A$3:$A$10005),0),MATCH('Reg 85'!$J$11,'DMR 001C TIN &amp; TP'!$A$2:$M$2,0))),"")</f>
        <v/>
      </c>
      <c r="K53" s="6" t="str">
        <f t="array" ref="K53">_xlfn.IFNA((INDEX('DMR 001C TIN &amp; TP'!$A$3:$M$10005,MATCH(('Reg 85'!$I$6:$Q$6&amp;'Reg 85'!$I$10:$K$10&amp;'Reg 85'!$B53),('DMR 001C TIN &amp; TP'!$E$3:$E$10005&amp;'DMR 001C TIN &amp; TP'!$B$3:$B$10005&amp;'DMR 001C TIN &amp; TP'!$A$3:$A$10005),0),MATCH('Reg 85'!$K$11,'DMR 001C TIN &amp; TP'!$A$2:$M$2,0))),"")</f>
        <v/>
      </c>
      <c r="L53" s="53" t="str">
        <f t="shared" si="21"/>
        <v/>
      </c>
      <c r="M53" s="5" t="str">
        <f t="shared" si="8"/>
        <v/>
      </c>
      <c r="N53" s="6" t="str">
        <f t="array" ref="N53">_xlfn.IFNA((INDEX('DMR 001C TIN &amp; TP'!$A$3:$M$10005,MATCH(('Reg 85'!$I$6:$Q$6&amp;'Reg 85'!$M$10&amp;'Reg 85'!$B53),('DMR 001C TIN &amp; TP'!$E$3:$E$10005&amp;'DMR 001C TIN &amp; TP'!$B$3:$B$10005&amp;'DMR 001C TIN &amp; TP'!$A$3:$A$10005),0),MATCH('Reg 85'!$N$11,'DMR 001C TIN &amp; TP'!$A$2:$M$2,0))),"")</f>
        <v/>
      </c>
      <c r="O53" s="6" t="str">
        <f t="array" ref="O53">_xlfn.IFNA((INDEX('DMR 001C TIN &amp; TP'!$A$3:$M$10005,MATCH(('Reg 85'!$I$6:$Q$6&amp;'Reg 85'!$M$10&amp;'Reg 85'!$B53),('DMR 001C TIN &amp; TP'!$E$3:$E$10005&amp;'DMR 001C TIN &amp; TP'!$B$3:$B$10005&amp;'DMR 001C TIN &amp; TP'!$A$3:$A$10005),0),MATCH('Reg 85'!$O$11,'DMR 001C TIN &amp; TP'!$A$2:$M$2,0))),"")</f>
        <v/>
      </c>
      <c r="P53" s="53" t="str">
        <f t="shared" si="9"/>
        <v/>
      </c>
      <c r="Q53" s="73" t="str">
        <f t="array" ref="Q53">IFERROR(((L53*$F53)+(P53*$G53))/($H53),"")</f>
        <v/>
      </c>
      <c r="R53" s="6" t="str">
        <f t="array" ref="R53">_xlfn.IFNA((INDEX('DMR 001C TIN &amp; TP'!$A$3:$M$10005,MATCH(('Reg 85'!$I$6:$Q$6&amp;'Reg 85'!R$10&amp;'Reg 85'!$B53),('DMR 001C TIN &amp; TP'!$E$3:$E$10005&amp;'DMR 001C TIN &amp; TP'!$B$3:$B$10005&amp;'DMR 001C TIN &amp; TP'!$A$3:$A$10005),0),MATCH('Reg 85'!$O$11,'DMR 001C TIN &amp; TP'!$A$2:$M$2,0))),"")</f>
        <v/>
      </c>
      <c r="S53" s="6" t="str">
        <f t="array" ref="S53">_xlfn.IFNA((INDEX('DMR 001C TIN &amp; TP'!$A$3:$M$10005,MATCH(('Reg 85'!$I$6:$Q$6&amp;'Reg 85'!S$10&amp;'Reg 85'!$B53),('DMR 001C TIN &amp; TP'!$E$3:$E$10005&amp;'DMR 001C TIN &amp; TP'!$B$3:$B$10005&amp;'DMR 001C TIN &amp; TP'!$A$3:$A$10005),0),MATCH('Reg 85'!$O$11,'DMR 001C TIN &amp; TP'!$A$2:$M$2,0))),"")</f>
        <v/>
      </c>
      <c r="T53" s="6" t="str">
        <f t="array" ref="T53">_xlfn.IFNA((INDEX('DMR 001C TIN &amp; TP'!$A$3:$M$10005,MATCH(('Reg 85'!$I$6:$Q$6&amp;'Reg 85'!T$10&amp;'Reg 85'!$B53),('DMR 001C TIN &amp; TP'!$E$3:$E$10005&amp;'DMR 001C TIN &amp; TP'!$B$3:$B$10005&amp;'DMR 001C TIN &amp; TP'!$A$3:$A$10005),0),MATCH('Reg 85'!$O$11,'DMR 001C TIN &amp; TP'!$A$2:$M$2,0))),"")</f>
        <v/>
      </c>
      <c r="U53" s="6" t="str">
        <f t="array" ref="U53">_xlfn.IFNA((INDEX('DMR 001C TIN &amp; TP'!$A$3:$M$10005,MATCH(('Reg 85'!$I$6:$Q$6&amp;'Reg 85'!U$10&amp;'Reg 85'!$B53),('DMR 001C TIN &amp; TP'!$E$3:$E$10005&amp;'DMR 001C TIN &amp; TP'!$B$3:$B$10005&amp;'DMR 001C TIN &amp; TP'!$A$3:$A$10005),0),MATCH('Reg 85'!$O$11,'DMR 001C TIN &amp; TP'!$A$2:$M$2,0))),"")</f>
        <v/>
      </c>
      <c r="V53" s="6" t="str">
        <f t="array" ref="V53">_xlfn.IFNA((INDEX('DMR 001C TIN &amp; TP'!$A$3:$M$10005,MATCH(('Reg 85'!$I$6:$Q$6&amp;'Reg 85'!V$10&amp;'Reg 85'!$B53),('DMR 001C TIN &amp; TP'!$E$3:$E$10005&amp;'DMR 001C TIN &amp; TP'!$B$3:$B$10005&amp;'DMR 001C TIN &amp; TP'!$A$3:$A$10005),0),MATCH('Reg 85'!$O$11,'DMR 001C TIN &amp; TP'!$A$2:$M$2,0))),"")</f>
        <v/>
      </c>
      <c r="W53" s="6" t="str">
        <f t="array" ref="W53">_xlfn.IFNA((INDEX('DMR 001C TIN &amp; TP'!$A$3:$M$10005,MATCH(('Reg 85'!$I$6:$Q$6&amp;'Reg 85'!W$10&amp;'Reg 85'!$B53),('DMR 001C TIN &amp; TP'!$E$3:$E$10005&amp;'DMR 001C TIN &amp; TP'!$B$3:$B$10005&amp;'DMR 001C TIN &amp; TP'!$A$3:$A$10005),0),MATCH('Reg 85'!$O$11,'DMR 001C TIN &amp; TP'!$A$2:$M$2,0))),"")</f>
        <v/>
      </c>
      <c r="X53" s="5" t="str">
        <f t="shared" si="10"/>
        <v/>
      </c>
      <c r="Y53" s="6" t="str">
        <f t="array" ref="Y53">_xlfn.IFNA((INDEX('DMR 001C TIN &amp; TP'!$A$3:$M$10005,MATCH(('Reg 85'!$X$6&amp;'Reg 85'!$X$10&amp;'Reg 85'!$B53),('DMR 001C TIN &amp; TP'!$E$3:$E$10005&amp;'DMR 001C TIN &amp; TP'!$B$3:$B$10005&amp;'DMR 001C TIN &amp; TP'!$A$3:$A$10005),0),MATCH('Reg 85'!$Y$11,'DMR 001C TIN &amp; TP'!$A$2:$M$2,0))),"")</f>
        <v/>
      </c>
      <c r="Z53" s="6" t="str">
        <f t="array" ref="Z53">_xlfn.IFNA((INDEX('DMR 001C TIN &amp; TP'!$A$3:$M$10005,MATCH(('Reg 85'!$X$6&amp;'Reg 85'!$X$10&amp;'Reg 85'!$B53),('DMR 001C TIN &amp; TP'!$E$3:$E$10005&amp;'DMR 001C TIN &amp; TP'!$B$3:$B$10005&amp;'DMR 001C TIN &amp; TP'!$A$3:$A$10005),0),MATCH('Reg 85'!$Z$11,'DMR 001C TIN &amp; TP'!$A$2:$M$2,0))),"")</f>
        <v/>
      </c>
      <c r="AA53" s="53" t="str">
        <f t="shared" si="11"/>
        <v/>
      </c>
      <c r="AB53" s="5" t="str">
        <f t="shared" si="12"/>
        <v/>
      </c>
      <c r="AC53" s="6" t="str">
        <f t="array" ref="AC53">_xlfn.IFNA((INDEX('DMR 001C TIN &amp; TP'!$A$3:$M$10005,MATCH(('Reg 85'!$X$6&amp;'Reg 85'!$AB$10&amp;'Reg 85'!$B53),('DMR 001C TIN &amp; TP'!$E$3:$E$10005&amp;'DMR 001C TIN &amp; TP'!$B$3:$B$10005&amp;'DMR 001C TIN &amp; TP'!$A$3:$A$10005),0),MATCH('Reg 85'!$AC$11,'DMR 001C TIN &amp; TP'!$A$2:$M$2,0))),"")</f>
        <v/>
      </c>
      <c r="AD53" s="6" t="str">
        <f t="array" ref="AD53">_xlfn.IFNA((INDEX('DMR 001C TIN &amp; TP'!$A$3:$M$10005,MATCH(('Reg 85'!$X$6&amp;'Reg 85'!$AB$10&amp;'Reg 85'!$B53),('DMR 001C TIN &amp; TP'!$E$3:$E$10005&amp;'DMR 001C TIN &amp; TP'!$B$3:$B$10005&amp;'DMR 001C TIN &amp; TP'!$A$3:$A$10005),0),MATCH('Reg 85'!$AD$11,'DMR 001C TIN &amp; TP'!$A$2:$M$2,0))),"")</f>
        <v/>
      </c>
      <c r="AE53" s="53" t="str">
        <f t="shared" si="13"/>
        <v/>
      </c>
      <c r="AF53" s="7" t="str">
        <f t="shared" si="14"/>
        <v/>
      </c>
      <c r="AG53" s="6" t="str">
        <f t="array" ref="AG53">_xlfn.IFNA((INDEX('DMR 001C TIN &amp; TP'!$A$3:$M$10005,MATCH(('Reg 85'!$X$6&amp;'Reg 85'!AG$10&amp;'Reg 85'!$B53),('DMR 001C TIN &amp; TP'!$E$3:$E$10005&amp;'DMR 001C TIN &amp; TP'!$B$3:$B$10005&amp;'DMR 001C TIN &amp; TP'!$A$3:$A$10005),0),MATCH('Reg 85'!$AG$11,'DMR 001C TIN &amp; TP'!$A$2:$M$2,0))),"")</f>
        <v/>
      </c>
      <c r="AH53" s="6" t="str">
        <f t="array" ref="AH53">_xlfn.IFNA((INDEX('DMR 001C TIN &amp; TP'!$A$3:$M$10005,MATCH(('Reg 85'!$X$6&amp;'Reg 85'!AH$10&amp;'Reg 85'!$B53),('DMR 001C TIN &amp; TP'!$E$3:$E$10005&amp;'DMR 001C TIN &amp; TP'!$B$3:$B$10005&amp;'DMR 001C TIN &amp; TP'!$A$3:$A$10005),0),MATCH('Reg 85'!$AG$11,'DMR 001C TIN &amp; TP'!$A$2:$M$2,0))),"")</f>
        <v/>
      </c>
      <c r="AI53" s="6" t="str">
        <f t="array" ref="AI53">_xlfn.IFNA((INDEX('DMR 001C TIN &amp; TP'!$A$3:$M$10005,MATCH(('Reg 85'!$X$6&amp;'Reg 85'!AI$10&amp;'Reg 85'!$B53),('DMR 001C TIN &amp; TP'!$E$3:$E$10005&amp;'DMR 001C TIN &amp; TP'!$B$3:$B$10005&amp;'DMR 001C TIN &amp; TP'!$A$3:$A$10005),0),MATCH('Reg 85'!$AG$11,'DMR 001C TIN &amp; TP'!$A$2:$M$2,0))),"")</f>
        <v/>
      </c>
      <c r="AJ53" s="6" t="str">
        <f t="array" ref="AJ53">_xlfn.IFNA((INDEX('DMR 001C TIN &amp; TP'!$A$3:$M$10005,MATCH(('Reg 85'!$X$6&amp;'Reg 85'!AJ$10&amp;'Reg 85'!$B53),('DMR 001C TIN &amp; TP'!$E$3:$E$10005&amp;'DMR 001C TIN &amp; TP'!$B$3:$B$10005&amp;'DMR 001C TIN &amp; TP'!$A$3:$A$10005),0),MATCH('Reg 85'!$AG$11,'DMR 001C TIN &amp; TP'!$A$2:$M$2,0))),"")</f>
        <v/>
      </c>
      <c r="AK53" s="6" t="str">
        <f t="array" ref="AK53">_xlfn.IFNA((INDEX('DMR 001C TIN &amp; TP'!$A$3:$M$10005,MATCH(('Reg 85'!$X$6&amp;'Reg 85'!AK$10&amp;'Reg 85'!$B53),('DMR 001C TIN &amp; TP'!$E$3:$E$10005&amp;'DMR 001C TIN &amp; TP'!$B$3:$B$10005&amp;'DMR 001C TIN &amp; TP'!$A$3:$A$10005),0),MATCH('Reg 85'!$AG$11,'DMR 001C TIN &amp; TP'!$A$2:$M$2,0))),"")</f>
        <v/>
      </c>
      <c r="AL53" s="6" t="str">
        <f t="array" ref="AL53">_xlfn.IFNA((INDEX('DMR 001C TIN &amp; TP'!$A$3:$M$10005,MATCH(('Reg 85'!$X$6&amp;'Reg 85'!AL$10&amp;'Reg 85'!$B53),('DMR 001C TIN &amp; TP'!$E$3:$E$10005&amp;'DMR 001C TIN &amp; TP'!$B$3:$B$10005&amp;'DMR 001C TIN &amp; TP'!$A$3:$A$10005),0),MATCH('Reg 85'!$AG$11,'DMR 001C TIN &amp; TP'!$A$2:$M$2,0))),"")</f>
        <v/>
      </c>
      <c r="AM53" s="76"/>
      <c r="AN53" s="6"/>
      <c r="AO53" s="54" t="str">
        <f t="shared" si="0"/>
        <v/>
      </c>
      <c r="AP53" s="77" t="str">
        <f t="shared" si="39"/>
        <v/>
      </c>
      <c r="AQ53" s="47"/>
      <c r="AR53" s="6" t="str">
        <f t="array" ref="AR53">_xlfn.IFNA((INDEX('DMR 001C TIN &amp; TP'!$A$3:$M$10005,MATCH(('Reg 85'!$AQ$6&amp;'Reg 85'!$AQ$10&amp;'Reg 85'!$B53),('DMR 001C TIN &amp; TP'!$E$3:$E$10005&amp;'DMR 001C TIN &amp; TP'!$B$3:$B$10005&amp;'DMR 001C TIN &amp; TP'!$A$3:$A$10005),0),MATCH('Reg 85'!$AR$11,'DMR 001C TIN &amp; TP'!$A$2:$M$2,0))),"")</f>
        <v/>
      </c>
      <c r="AS53" s="6" t="str">
        <f t="array" ref="AS53">_xlfn.IFNA((INDEX('DMR 001C TIN &amp; TP'!$A$3:$M$10005,MATCH(('Reg 85'!$AQ$6&amp;'Reg 85'!$AQ$10&amp;'Reg 85'!$B53),('DMR 001C TIN &amp; TP'!$E$3:$E$10005&amp;'DMR 001C TIN &amp; TP'!$B$3:$B$10005&amp;'DMR 001C TIN &amp; TP'!$A$3:$A$10005),0),MATCH('Reg 85'!$AS$11,'DMR 001C TIN &amp; TP'!$A$2:$M$2,0))),"")</f>
        <v/>
      </c>
      <c r="AT53" s="53" t="str">
        <f t="shared" si="15"/>
        <v/>
      </c>
      <c r="AV53" s="6" t="str">
        <f t="array" ref="AV53">_xlfn.IFNA((INDEX('DMR 001C TIN &amp; TP'!$A$3:$M$10005,MATCH(('Reg 85'!$AQ$6&amp;'Reg 85'!$AU$10&amp;'Reg 85'!$B53),('DMR 001C TIN &amp; TP'!$E$3:$E$10005&amp;'DMR 001C TIN &amp; TP'!$B$3:$B$10005&amp;'DMR 001C TIN &amp; TP'!$A$3:$A$10005),0),MATCH('Reg 85'!$AV$11,'DMR 001C TIN &amp; TP'!$A$2:$M$2,0))),"")</f>
        <v/>
      </c>
      <c r="AW53" s="6" t="str">
        <f t="array" ref="AW53">_xlfn.IFNA((INDEX('DMR 001C TIN &amp; TP'!$A$3:$M$10005,MATCH(('Reg 85'!$AQ$6&amp;'Reg 85'!$AU$10&amp;'Reg 85'!$B53),('DMR 001C TIN &amp; TP'!$E$3:$E$10005&amp;'DMR 001C TIN &amp; TP'!$B$3:$B$10005&amp;'DMR 001C TIN &amp; TP'!$A$3:$A$10005),0),MATCH('Reg 85'!$AW$11,'DMR 001C TIN &amp; TP'!$A$2:$M$2,0))),"")</f>
        <v/>
      </c>
      <c r="AX53" s="53" t="str">
        <f t="shared" si="16"/>
        <v/>
      </c>
      <c r="AY53" s="55" t="str">
        <f t="shared" si="17"/>
        <v/>
      </c>
      <c r="AZ53" s="77" t="str">
        <f t="shared" si="37"/>
        <v/>
      </c>
      <c r="BA53" s="6" t="str">
        <f t="array" ref="BA53">_xlfn.IFNA((INDEX('DMR 001C TIN &amp; TP'!$A$3:$M$10005,MATCH(('Reg 85'!$AQ$6&amp;'Reg 85'!BA$10&amp;'Reg 85'!$B53),('DMR 001C TIN &amp; TP'!$E$3:$E$10005&amp;'DMR 001C TIN &amp; TP'!$B$3:$B$10005&amp;'DMR 001C TIN &amp; TP'!$A$3:$A$10005),0),MATCH('Reg 85'!$AG$11,'DMR 001C TIN &amp; TP'!$A$2:$M$2,0))),"")</f>
        <v/>
      </c>
      <c r="BB53" s="6" t="str">
        <f t="array" ref="BB53">_xlfn.IFNA((INDEX('DMR 001C TIN &amp; TP'!$A$3:$M$10005,MATCH(('Reg 85'!$AQ$6&amp;'Reg 85'!BB$10&amp;'Reg 85'!$B53),('DMR 001C TIN &amp; TP'!$E$3:$E$10005&amp;'DMR 001C TIN &amp; TP'!$B$3:$B$10005&amp;'DMR 001C TIN &amp; TP'!$A$3:$A$10005),0),MATCH('Reg 85'!$AG$11,'DMR 001C TIN &amp; TP'!$A$2:$M$2,0))),"")</f>
        <v/>
      </c>
      <c r="BC53" s="6" t="str">
        <f t="array" ref="BC53">_xlfn.IFNA((INDEX('DMR 001C TIN &amp; TP'!$A$3:$M$10005,MATCH(('Reg 85'!$AQ$6&amp;'Reg 85'!BC$10&amp;'Reg 85'!$B53),('DMR 001C TIN &amp; TP'!$E$3:$E$10005&amp;'DMR 001C TIN &amp; TP'!$B$3:$B$10005&amp;'DMR 001C TIN &amp; TP'!$A$3:$A$10005),0),MATCH('Reg 85'!$AG$11,'DMR 001C TIN &amp; TP'!$A$2:$M$2,0))),"")</f>
        <v/>
      </c>
      <c r="BD53" s="6" t="str">
        <f t="array" ref="BD53">_xlfn.IFNA((INDEX('DMR 001C TIN &amp; TP'!$A$3:$M$10005,MATCH(('Reg 85'!$AQ$6&amp;'Reg 85'!BD$10&amp;'Reg 85'!$B53),('DMR 001C TIN &amp; TP'!$E$3:$E$10005&amp;'DMR 001C TIN &amp; TP'!$B$3:$B$10005&amp;'DMR 001C TIN &amp; TP'!$A$3:$A$10005),0),MATCH('Reg 85'!$AG$11,'DMR 001C TIN &amp; TP'!$A$2:$M$2,0))),"")</f>
        <v/>
      </c>
      <c r="BE53" s="6" t="str">
        <f t="array" ref="BE53">_xlfn.IFNA((INDEX('DMR 001C TIN &amp; TP'!$A$3:$M$10005,MATCH(('Reg 85'!$AQ$6&amp;'Reg 85'!BE$10&amp;'Reg 85'!$B53),('DMR 001C TIN &amp; TP'!$E$3:$E$10005&amp;'DMR 001C TIN &amp; TP'!$B$3:$B$10005&amp;'DMR 001C TIN &amp; TP'!$A$3:$A$10005),0),MATCH('Reg 85'!$AG$11,'DMR 001C TIN &amp; TP'!$A$2:$M$2,0))),"")</f>
        <v/>
      </c>
      <c r="BF53" s="6" t="str">
        <f t="array" ref="BF53">_xlfn.IFNA((INDEX('DMR 001C TIN &amp; TP'!$A$3:$M$10005,MATCH(('Reg 85'!$AQ$6&amp;'Reg 85'!BF$10&amp;'Reg 85'!$B53),('DMR 001C TIN &amp; TP'!$E$3:$E$10005&amp;'DMR 001C TIN &amp; TP'!$B$3:$B$10005&amp;'DMR 001C TIN &amp; TP'!$A$3:$A$10005),0),MATCH('Reg 85'!$AG$11,'DMR 001C TIN &amp; TP'!$A$2:$M$2,0))),"")</f>
        <v/>
      </c>
    </row>
    <row r="54" spans="1:58">
      <c r="A54" s="3" t="str">
        <f t="shared" si="2"/>
        <v>Sat</v>
      </c>
      <c r="B54" s="96">
        <f t="shared" si="19"/>
        <v>43386</v>
      </c>
      <c r="C54" s="96">
        <f t="shared" si="3"/>
        <v>43404</v>
      </c>
      <c r="D54" s="96">
        <f t="shared" si="4"/>
        <v>43374</v>
      </c>
      <c r="E54" s="95">
        <f t="shared" si="5"/>
        <v>31</v>
      </c>
      <c r="F54" s="7">
        <f t="array" ref="F54">_xlfn.IFNA(INDEX('DMR Flows-Effluent'!$A$3:$F$9999,MATCH(($F$10&amp;$B54),('DMR Flows-Effluent'!$B$3:$B$9999&amp;'DMR Flows-Effluent'!$A$3:$A$9999),0),MATCH($F$8,'DMR Flows-Effluent'!$A$2:$F$2,0)),"")</f>
        <v>44.3581</v>
      </c>
      <c r="G54" s="7">
        <f t="array" ref="G54">_xlfn.IFNA(INDEX('DMR Flows-Effluent'!$A$3:$F$9999,MATCH(($G$10&amp;$B54),('DMR Flows-Effluent'!$B$3:$B$9999&amp;'DMR Flows-Effluent'!$A$3:$A$9999),0),MATCH($F$8,'DMR Flows-Effluent'!$A$2:$F$2,0)),"")</f>
        <v>79.149699999999996</v>
      </c>
      <c r="H54" s="7">
        <f t="shared" si="6"/>
        <v>123.5078</v>
      </c>
      <c r="I54" s="45" t="str">
        <f t="shared" si="7"/>
        <v/>
      </c>
      <c r="J54" s="6" t="str">
        <f t="array" ref="J54">_xlfn.IFNA((INDEX('DMR 001C TIN &amp; TP'!$A$3:$M$10005,MATCH(('Reg 85'!$I$6:$Q$6&amp;'Reg 85'!$I$10:$K$10&amp;'Reg 85'!$B54),('DMR 001C TIN &amp; TP'!$E$3:$E$10005&amp;'DMR 001C TIN &amp; TP'!$B$3:$B$10005&amp;'DMR 001C TIN &amp; TP'!$A$3:$A$10005),0),MATCH('Reg 85'!$J$11,'DMR 001C TIN &amp; TP'!$A$2:$M$2,0))),"")</f>
        <v/>
      </c>
      <c r="K54" s="6" t="str">
        <f t="array" ref="K54">_xlfn.IFNA((INDEX('DMR 001C TIN &amp; TP'!$A$3:$M$10005,MATCH(('Reg 85'!$I$6:$Q$6&amp;'Reg 85'!$I$10:$K$10&amp;'Reg 85'!$B54),('DMR 001C TIN &amp; TP'!$E$3:$E$10005&amp;'DMR 001C TIN &amp; TP'!$B$3:$B$10005&amp;'DMR 001C TIN &amp; TP'!$A$3:$A$10005),0),MATCH('Reg 85'!$K$11,'DMR 001C TIN &amp; TP'!$A$2:$M$2,0))),"")</f>
        <v/>
      </c>
      <c r="L54" s="53" t="str">
        <f t="shared" si="21"/>
        <v/>
      </c>
      <c r="M54" s="5" t="str">
        <f t="shared" si="8"/>
        <v/>
      </c>
      <c r="N54" s="6" t="str">
        <f t="array" ref="N54">_xlfn.IFNA((INDEX('DMR 001C TIN &amp; TP'!$A$3:$M$10005,MATCH(('Reg 85'!$I$6:$Q$6&amp;'Reg 85'!$M$10&amp;'Reg 85'!$B54),('DMR 001C TIN &amp; TP'!$E$3:$E$10005&amp;'DMR 001C TIN &amp; TP'!$B$3:$B$10005&amp;'DMR 001C TIN &amp; TP'!$A$3:$A$10005),0),MATCH('Reg 85'!$N$11,'DMR 001C TIN &amp; TP'!$A$2:$M$2,0))),"")</f>
        <v/>
      </c>
      <c r="O54" s="6" t="str">
        <f t="array" ref="O54">_xlfn.IFNA((INDEX('DMR 001C TIN &amp; TP'!$A$3:$M$10005,MATCH(('Reg 85'!$I$6:$Q$6&amp;'Reg 85'!$M$10&amp;'Reg 85'!$B54),('DMR 001C TIN &amp; TP'!$E$3:$E$10005&amp;'DMR 001C TIN &amp; TP'!$B$3:$B$10005&amp;'DMR 001C TIN &amp; TP'!$A$3:$A$10005),0),MATCH('Reg 85'!$O$11,'DMR 001C TIN &amp; TP'!$A$2:$M$2,0))),"")</f>
        <v/>
      </c>
      <c r="P54" s="53" t="str">
        <f t="shared" si="9"/>
        <v/>
      </c>
      <c r="Q54" s="73" t="str">
        <f t="array" ref="Q54">IFERROR(((L54*$F54)+(P54*$G54))/($H54),"")</f>
        <v/>
      </c>
      <c r="R54" s="6" t="str">
        <f t="array" ref="R54">_xlfn.IFNA((INDEX('DMR 001C TIN &amp; TP'!$A$3:$M$10005,MATCH(('Reg 85'!$I$6:$Q$6&amp;'Reg 85'!R$10&amp;'Reg 85'!$B54),('DMR 001C TIN &amp; TP'!$E$3:$E$10005&amp;'DMR 001C TIN &amp; TP'!$B$3:$B$10005&amp;'DMR 001C TIN &amp; TP'!$A$3:$A$10005),0),MATCH('Reg 85'!$O$11,'DMR 001C TIN &amp; TP'!$A$2:$M$2,0))),"")</f>
        <v/>
      </c>
      <c r="S54" s="6" t="str">
        <f t="array" ref="S54">_xlfn.IFNA((INDEX('DMR 001C TIN &amp; TP'!$A$3:$M$10005,MATCH(('Reg 85'!$I$6:$Q$6&amp;'Reg 85'!S$10&amp;'Reg 85'!$B54),('DMR 001C TIN &amp; TP'!$E$3:$E$10005&amp;'DMR 001C TIN &amp; TP'!$B$3:$B$10005&amp;'DMR 001C TIN &amp; TP'!$A$3:$A$10005),0),MATCH('Reg 85'!$O$11,'DMR 001C TIN &amp; TP'!$A$2:$M$2,0))),"")</f>
        <v/>
      </c>
      <c r="T54" s="6" t="str">
        <f t="array" ref="T54">_xlfn.IFNA((INDEX('DMR 001C TIN &amp; TP'!$A$3:$M$10005,MATCH(('Reg 85'!$I$6:$Q$6&amp;'Reg 85'!T$10&amp;'Reg 85'!$B54),('DMR 001C TIN &amp; TP'!$E$3:$E$10005&amp;'DMR 001C TIN &amp; TP'!$B$3:$B$10005&amp;'DMR 001C TIN &amp; TP'!$A$3:$A$10005),0),MATCH('Reg 85'!$O$11,'DMR 001C TIN &amp; TP'!$A$2:$M$2,0))),"")</f>
        <v/>
      </c>
      <c r="U54" s="6" t="str">
        <f t="array" ref="U54">_xlfn.IFNA((INDEX('DMR 001C TIN &amp; TP'!$A$3:$M$10005,MATCH(('Reg 85'!$I$6:$Q$6&amp;'Reg 85'!U$10&amp;'Reg 85'!$B54),('DMR 001C TIN &amp; TP'!$E$3:$E$10005&amp;'DMR 001C TIN &amp; TP'!$B$3:$B$10005&amp;'DMR 001C TIN &amp; TP'!$A$3:$A$10005),0),MATCH('Reg 85'!$O$11,'DMR 001C TIN &amp; TP'!$A$2:$M$2,0))),"")</f>
        <v/>
      </c>
      <c r="V54" s="6" t="str">
        <f t="array" ref="V54">_xlfn.IFNA((INDEX('DMR 001C TIN &amp; TP'!$A$3:$M$10005,MATCH(('Reg 85'!$I$6:$Q$6&amp;'Reg 85'!V$10&amp;'Reg 85'!$B54),('DMR 001C TIN &amp; TP'!$E$3:$E$10005&amp;'DMR 001C TIN &amp; TP'!$B$3:$B$10005&amp;'DMR 001C TIN &amp; TP'!$A$3:$A$10005),0),MATCH('Reg 85'!$O$11,'DMR 001C TIN &amp; TP'!$A$2:$M$2,0))),"")</f>
        <v/>
      </c>
      <c r="W54" s="6" t="str">
        <f t="array" ref="W54">_xlfn.IFNA((INDEX('DMR 001C TIN &amp; TP'!$A$3:$M$10005,MATCH(('Reg 85'!$I$6:$Q$6&amp;'Reg 85'!W$10&amp;'Reg 85'!$B54),('DMR 001C TIN &amp; TP'!$E$3:$E$10005&amp;'DMR 001C TIN &amp; TP'!$B$3:$B$10005&amp;'DMR 001C TIN &amp; TP'!$A$3:$A$10005),0),MATCH('Reg 85'!$O$11,'DMR 001C TIN &amp; TP'!$A$2:$M$2,0))),"")</f>
        <v/>
      </c>
      <c r="X54" s="5" t="str">
        <f t="shared" si="10"/>
        <v/>
      </c>
      <c r="Y54" s="6" t="str">
        <f t="array" ref="Y54">_xlfn.IFNA((INDEX('DMR 001C TIN &amp; TP'!$A$3:$M$10005,MATCH(('Reg 85'!$X$6&amp;'Reg 85'!$X$10&amp;'Reg 85'!$B54),('DMR 001C TIN &amp; TP'!$E$3:$E$10005&amp;'DMR 001C TIN &amp; TP'!$B$3:$B$10005&amp;'DMR 001C TIN &amp; TP'!$A$3:$A$10005),0),MATCH('Reg 85'!$Y$11,'DMR 001C TIN &amp; TP'!$A$2:$M$2,0))),"")</f>
        <v/>
      </c>
      <c r="Z54" s="6" t="str">
        <f t="array" ref="Z54">_xlfn.IFNA((INDEX('DMR 001C TIN &amp; TP'!$A$3:$M$10005,MATCH(('Reg 85'!$X$6&amp;'Reg 85'!$X$10&amp;'Reg 85'!$B54),('DMR 001C TIN &amp; TP'!$E$3:$E$10005&amp;'DMR 001C TIN &amp; TP'!$B$3:$B$10005&amp;'DMR 001C TIN &amp; TP'!$A$3:$A$10005),0),MATCH('Reg 85'!$Z$11,'DMR 001C TIN &amp; TP'!$A$2:$M$2,0))),"")</f>
        <v/>
      </c>
      <c r="AA54" s="53" t="str">
        <f t="shared" si="11"/>
        <v/>
      </c>
      <c r="AB54" s="5" t="str">
        <f t="shared" si="12"/>
        <v/>
      </c>
      <c r="AC54" s="6" t="str">
        <f t="array" ref="AC54">_xlfn.IFNA((INDEX('DMR 001C TIN &amp; TP'!$A$3:$M$10005,MATCH(('Reg 85'!$X$6&amp;'Reg 85'!$AB$10&amp;'Reg 85'!$B54),('DMR 001C TIN &amp; TP'!$E$3:$E$10005&amp;'DMR 001C TIN &amp; TP'!$B$3:$B$10005&amp;'DMR 001C TIN &amp; TP'!$A$3:$A$10005),0),MATCH('Reg 85'!$AC$11,'DMR 001C TIN &amp; TP'!$A$2:$M$2,0))),"")</f>
        <v/>
      </c>
      <c r="AD54" s="6" t="str">
        <f t="array" ref="AD54">_xlfn.IFNA((INDEX('DMR 001C TIN &amp; TP'!$A$3:$M$10005,MATCH(('Reg 85'!$X$6&amp;'Reg 85'!$AB$10&amp;'Reg 85'!$B54),('DMR 001C TIN &amp; TP'!$E$3:$E$10005&amp;'DMR 001C TIN &amp; TP'!$B$3:$B$10005&amp;'DMR 001C TIN &amp; TP'!$A$3:$A$10005),0),MATCH('Reg 85'!$AD$11,'DMR 001C TIN &amp; TP'!$A$2:$M$2,0))),"")</f>
        <v/>
      </c>
      <c r="AE54" s="53" t="str">
        <f t="shared" si="13"/>
        <v/>
      </c>
      <c r="AF54" s="7" t="str">
        <f t="shared" si="14"/>
        <v/>
      </c>
      <c r="AG54" s="6" t="str">
        <f t="array" ref="AG54">_xlfn.IFNA((INDEX('DMR 001C TIN &amp; TP'!$A$3:$M$10005,MATCH(('Reg 85'!$X$6&amp;'Reg 85'!AG$10&amp;'Reg 85'!$B54),('DMR 001C TIN &amp; TP'!$E$3:$E$10005&amp;'DMR 001C TIN &amp; TP'!$B$3:$B$10005&amp;'DMR 001C TIN &amp; TP'!$A$3:$A$10005),0),MATCH('Reg 85'!$AG$11,'DMR 001C TIN &amp; TP'!$A$2:$M$2,0))),"")</f>
        <v/>
      </c>
      <c r="AH54" s="6" t="str">
        <f t="array" ref="AH54">_xlfn.IFNA((INDEX('DMR 001C TIN &amp; TP'!$A$3:$M$10005,MATCH(('Reg 85'!$X$6&amp;'Reg 85'!AH$10&amp;'Reg 85'!$B54),('DMR 001C TIN &amp; TP'!$E$3:$E$10005&amp;'DMR 001C TIN &amp; TP'!$B$3:$B$10005&amp;'DMR 001C TIN &amp; TP'!$A$3:$A$10005),0),MATCH('Reg 85'!$AG$11,'DMR 001C TIN &amp; TP'!$A$2:$M$2,0))),"")</f>
        <v/>
      </c>
      <c r="AI54" s="6" t="str">
        <f t="array" ref="AI54">_xlfn.IFNA((INDEX('DMR 001C TIN &amp; TP'!$A$3:$M$10005,MATCH(('Reg 85'!$X$6&amp;'Reg 85'!AI$10&amp;'Reg 85'!$B54),('DMR 001C TIN &amp; TP'!$E$3:$E$10005&amp;'DMR 001C TIN &amp; TP'!$B$3:$B$10005&amp;'DMR 001C TIN &amp; TP'!$A$3:$A$10005),0),MATCH('Reg 85'!$AG$11,'DMR 001C TIN &amp; TP'!$A$2:$M$2,0))),"")</f>
        <v/>
      </c>
      <c r="AJ54" s="6" t="str">
        <f t="array" ref="AJ54">_xlfn.IFNA((INDEX('DMR 001C TIN &amp; TP'!$A$3:$M$10005,MATCH(('Reg 85'!$X$6&amp;'Reg 85'!AJ$10&amp;'Reg 85'!$B54),('DMR 001C TIN &amp; TP'!$E$3:$E$10005&amp;'DMR 001C TIN &amp; TP'!$B$3:$B$10005&amp;'DMR 001C TIN &amp; TP'!$A$3:$A$10005),0),MATCH('Reg 85'!$AG$11,'DMR 001C TIN &amp; TP'!$A$2:$M$2,0))),"")</f>
        <v/>
      </c>
      <c r="AK54" s="6" t="str">
        <f t="array" ref="AK54">_xlfn.IFNA((INDEX('DMR 001C TIN &amp; TP'!$A$3:$M$10005,MATCH(('Reg 85'!$X$6&amp;'Reg 85'!AK$10&amp;'Reg 85'!$B54),('DMR 001C TIN &amp; TP'!$E$3:$E$10005&amp;'DMR 001C TIN &amp; TP'!$B$3:$B$10005&amp;'DMR 001C TIN &amp; TP'!$A$3:$A$10005),0),MATCH('Reg 85'!$AG$11,'DMR 001C TIN &amp; TP'!$A$2:$M$2,0))),"")</f>
        <v/>
      </c>
      <c r="AL54" s="6" t="str">
        <f t="array" ref="AL54">_xlfn.IFNA((INDEX('DMR 001C TIN &amp; TP'!$A$3:$M$10005,MATCH(('Reg 85'!$X$6&amp;'Reg 85'!AL$10&amp;'Reg 85'!$B54),('DMR 001C TIN &amp; TP'!$E$3:$E$10005&amp;'DMR 001C TIN &amp; TP'!$B$3:$B$10005&amp;'DMR 001C TIN &amp; TP'!$A$3:$A$10005),0),MATCH('Reg 85'!$AG$11,'DMR 001C TIN &amp; TP'!$A$2:$M$2,0))),"")</f>
        <v/>
      </c>
      <c r="AM54" s="76"/>
      <c r="AN54" s="6"/>
      <c r="AO54" s="54" t="str">
        <f t="shared" si="0"/>
        <v/>
      </c>
      <c r="AP54" s="77" t="str">
        <f t="shared" si="39"/>
        <v/>
      </c>
      <c r="AQ54" s="47"/>
      <c r="AR54" s="6" t="str">
        <f t="array" ref="AR54">_xlfn.IFNA((INDEX('DMR 001C TIN &amp; TP'!$A$3:$M$10005,MATCH(('Reg 85'!$AQ$6&amp;'Reg 85'!$AQ$10&amp;'Reg 85'!$B54),('DMR 001C TIN &amp; TP'!$E$3:$E$10005&amp;'DMR 001C TIN &amp; TP'!$B$3:$B$10005&amp;'DMR 001C TIN &amp; TP'!$A$3:$A$10005),0),MATCH('Reg 85'!$AR$11,'DMR 001C TIN &amp; TP'!$A$2:$M$2,0))),"")</f>
        <v/>
      </c>
      <c r="AS54" s="6" t="str">
        <f t="array" ref="AS54">_xlfn.IFNA((INDEX('DMR 001C TIN &amp; TP'!$A$3:$M$10005,MATCH(('Reg 85'!$AQ$6&amp;'Reg 85'!$AQ$10&amp;'Reg 85'!$B54),('DMR 001C TIN &amp; TP'!$E$3:$E$10005&amp;'DMR 001C TIN &amp; TP'!$B$3:$B$10005&amp;'DMR 001C TIN &amp; TP'!$A$3:$A$10005),0),MATCH('Reg 85'!$AS$11,'DMR 001C TIN &amp; TP'!$A$2:$M$2,0))),"")</f>
        <v/>
      </c>
      <c r="AT54" s="53" t="str">
        <f t="shared" si="15"/>
        <v/>
      </c>
      <c r="AV54" s="6" t="str">
        <f t="array" ref="AV54">_xlfn.IFNA((INDEX('DMR 001C TIN &amp; TP'!$A$3:$M$10005,MATCH(('Reg 85'!$AQ$6&amp;'Reg 85'!$AU$10&amp;'Reg 85'!$B54),('DMR 001C TIN &amp; TP'!$E$3:$E$10005&amp;'DMR 001C TIN &amp; TP'!$B$3:$B$10005&amp;'DMR 001C TIN &amp; TP'!$A$3:$A$10005),0),MATCH('Reg 85'!$AV$11,'DMR 001C TIN &amp; TP'!$A$2:$M$2,0))),"")</f>
        <v/>
      </c>
      <c r="AW54" s="6" t="str">
        <f t="array" ref="AW54">_xlfn.IFNA((INDEX('DMR 001C TIN &amp; TP'!$A$3:$M$10005,MATCH(('Reg 85'!$AQ$6&amp;'Reg 85'!$AU$10&amp;'Reg 85'!$B54),('DMR 001C TIN &amp; TP'!$E$3:$E$10005&amp;'DMR 001C TIN &amp; TP'!$B$3:$B$10005&amp;'DMR 001C TIN &amp; TP'!$A$3:$A$10005),0),MATCH('Reg 85'!$AW$11,'DMR 001C TIN &amp; TP'!$A$2:$M$2,0))),"")</f>
        <v/>
      </c>
      <c r="AX54" s="53" t="str">
        <f t="shared" si="16"/>
        <v/>
      </c>
      <c r="AY54" s="55" t="str">
        <f t="shared" si="17"/>
        <v/>
      </c>
      <c r="AZ54" s="77" t="str">
        <f t="shared" si="37"/>
        <v/>
      </c>
      <c r="BA54" s="6" t="str">
        <f t="array" ref="BA54">_xlfn.IFNA((INDEX('DMR 001C TIN &amp; TP'!$A$3:$M$10005,MATCH(('Reg 85'!$AQ$6&amp;'Reg 85'!BA$10&amp;'Reg 85'!$B54),('DMR 001C TIN &amp; TP'!$E$3:$E$10005&amp;'DMR 001C TIN &amp; TP'!$B$3:$B$10005&amp;'DMR 001C TIN &amp; TP'!$A$3:$A$10005),0),MATCH('Reg 85'!$AG$11,'DMR 001C TIN &amp; TP'!$A$2:$M$2,0))),"")</f>
        <v/>
      </c>
      <c r="BB54" s="6" t="str">
        <f t="array" ref="BB54">_xlfn.IFNA((INDEX('DMR 001C TIN &amp; TP'!$A$3:$M$10005,MATCH(('Reg 85'!$AQ$6&amp;'Reg 85'!BB$10&amp;'Reg 85'!$B54),('DMR 001C TIN &amp; TP'!$E$3:$E$10005&amp;'DMR 001C TIN &amp; TP'!$B$3:$B$10005&amp;'DMR 001C TIN &amp; TP'!$A$3:$A$10005),0),MATCH('Reg 85'!$AG$11,'DMR 001C TIN &amp; TP'!$A$2:$M$2,0))),"")</f>
        <v/>
      </c>
      <c r="BC54" s="6" t="str">
        <f t="array" ref="BC54">_xlfn.IFNA((INDEX('DMR 001C TIN &amp; TP'!$A$3:$M$10005,MATCH(('Reg 85'!$AQ$6&amp;'Reg 85'!BC$10&amp;'Reg 85'!$B54),('DMR 001C TIN &amp; TP'!$E$3:$E$10005&amp;'DMR 001C TIN &amp; TP'!$B$3:$B$10005&amp;'DMR 001C TIN &amp; TP'!$A$3:$A$10005),0),MATCH('Reg 85'!$AG$11,'DMR 001C TIN &amp; TP'!$A$2:$M$2,0))),"")</f>
        <v/>
      </c>
      <c r="BD54" s="6" t="str">
        <f t="array" ref="BD54">_xlfn.IFNA((INDEX('DMR 001C TIN &amp; TP'!$A$3:$M$10005,MATCH(('Reg 85'!$AQ$6&amp;'Reg 85'!BD$10&amp;'Reg 85'!$B54),('DMR 001C TIN &amp; TP'!$E$3:$E$10005&amp;'DMR 001C TIN &amp; TP'!$B$3:$B$10005&amp;'DMR 001C TIN &amp; TP'!$A$3:$A$10005),0),MATCH('Reg 85'!$AG$11,'DMR 001C TIN &amp; TP'!$A$2:$M$2,0))),"")</f>
        <v/>
      </c>
      <c r="BE54" s="6" t="str">
        <f t="array" ref="BE54">_xlfn.IFNA((INDEX('DMR 001C TIN &amp; TP'!$A$3:$M$10005,MATCH(('Reg 85'!$AQ$6&amp;'Reg 85'!BE$10&amp;'Reg 85'!$B54),('DMR 001C TIN &amp; TP'!$E$3:$E$10005&amp;'DMR 001C TIN &amp; TP'!$B$3:$B$10005&amp;'DMR 001C TIN &amp; TP'!$A$3:$A$10005),0),MATCH('Reg 85'!$AG$11,'DMR 001C TIN &amp; TP'!$A$2:$M$2,0))),"")</f>
        <v/>
      </c>
      <c r="BF54" s="6" t="str">
        <f t="array" ref="BF54">_xlfn.IFNA((INDEX('DMR 001C TIN &amp; TP'!$A$3:$M$10005,MATCH(('Reg 85'!$AQ$6&amp;'Reg 85'!BF$10&amp;'Reg 85'!$B54),('DMR 001C TIN &amp; TP'!$E$3:$E$10005&amp;'DMR 001C TIN &amp; TP'!$B$3:$B$10005&amp;'DMR 001C TIN &amp; TP'!$A$3:$A$10005),0),MATCH('Reg 85'!$AG$11,'DMR 001C TIN &amp; TP'!$A$2:$M$2,0))),"")</f>
        <v/>
      </c>
    </row>
    <row r="55" spans="1:58">
      <c r="A55" s="3" t="str">
        <f t="shared" si="2"/>
        <v>Sun</v>
      </c>
      <c r="B55" s="96">
        <f t="shared" si="19"/>
        <v>43387</v>
      </c>
      <c r="C55" s="96">
        <f t="shared" si="3"/>
        <v>43404</v>
      </c>
      <c r="D55" s="96">
        <f t="shared" si="4"/>
        <v>43374</v>
      </c>
      <c r="E55" s="95">
        <f t="shared" si="5"/>
        <v>31</v>
      </c>
      <c r="F55" s="7">
        <f t="array" ref="F55">_xlfn.IFNA(INDEX('DMR Flows-Effluent'!$A$3:$F$9999,MATCH(($F$10&amp;$B55),('DMR Flows-Effluent'!$B$3:$B$9999&amp;'DMR Flows-Effluent'!$A$3:$A$9999),0),MATCH($F$8,'DMR Flows-Effluent'!$A$2:$F$2,0)),"")</f>
        <v>50.790100000000002</v>
      </c>
      <c r="G55" s="7">
        <f t="array" ref="G55">_xlfn.IFNA(INDEX('DMR Flows-Effluent'!$A$3:$F$9999,MATCH(($G$10&amp;$B55),('DMR Flows-Effluent'!$B$3:$B$9999&amp;'DMR Flows-Effluent'!$A$3:$A$9999),0),MATCH($F$8,'DMR Flows-Effluent'!$A$2:$F$2,0)),"")</f>
        <v>75.872299999999996</v>
      </c>
      <c r="H55" s="7">
        <f t="shared" si="6"/>
        <v>126.66239999999999</v>
      </c>
      <c r="I55" s="45" t="str">
        <f t="shared" si="7"/>
        <v/>
      </c>
      <c r="J55" s="6" t="str">
        <f t="array" ref="J55">_xlfn.IFNA((INDEX('DMR 001C TIN &amp; TP'!$A$3:$M$10005,MATCH(('Reg 85'!$I$6:$Q$6&amp;'Reg 85'!$I$10:$K$10&amp;'Reg 85'!$B55),('DMR 001C TIN &amp; TP'!$E$3:$E$10005&amp;'DMR 001C TIN &amp; TP'!$B$3:$B$10005&amp;'DMR 001C TIN &amp; TP'!$A$3:$A$10005),0),MATCH('Reg 85'!$J$11,'DMR 001C TIN &amp; TP'!$A$2:$M$2,0))),"")</f>
        <v/>
      </c>
      <c r="K55" s="6" t="str">
        <f t="array" ref="K55">_xlfn.IFNA((INDEX('DMR 001C TIN &amp; TP'!$A$3:$M$10005,MATCH(('Reg 85'!$I$6:$Q$6&amp;'Reg 85'!$I$10:$K$10&amp;'Reg 85'!$B55),('DMR 001C TIN &amp; TP'!$E$3:$E$10005&amp;'DMR 001C TIN &amp; TP'!$B$3:$B$10005&amp;'DMR 001C TIN &amp; TP'!$A$3:$A$10005),0),MATCH('Reg 85'!$K$11,'DMR 001C TIN &amp; TP'!$A$2:$M$2,0))),"")</f>
        <v/>
      </c>
      <c r="L55" s="53" t="str">
        <f t="shared" si="21"/>
        <v/>
      </c>
      <c r="M55" s="5" t="str">
        <f t="shared" si="8"/>
        <v/>
      </c>
      <c r="N55" s="6" t="str">
        <f t="array" ref="N55">_xlfn.IFNA((INDEX('DMR 001C TIN &amp; TP'!$A$3:$M$10005,MATCH(('Reg 85'!$I$6:$Q$6&amp;'Reg 85'!$M$10&amp;'Reg 85'!$B55),('DMR 001C TIN &amp; TP'!$E$3:$E$10005&amp;'DMR 001C TIN &amp; TP'!$B$3:$B$10005&amp;'DMR 001C TIN &amp; TP'!$A$3:$A$10005),0),MATCH('Reg 85'!$N$11,'DMR 001C TIN &amp; TP'!$A$2:$M$2,0))),"")</f>
        <v/>
      </c>
      <c r="O55" s="6" t="str">
        <f t="array" ref="O55">_xlfn.IFNA((INDEX('DMR 001C TIN &amp; TP'!$A$3:$M$10005,MATCH(('Reg 85'!$I$6:$Q$6&amp;'Reg 85'!$M$10&amp;'Reg 85'!$B55),('DMR 001C TIN &amp; TP'!$E$3:$E$10005&amp;'DMR 001C TIN &amp; TP'!$B$3:$B$10005&amp;'DMR 001C TIN &amp; TP'!$A$3:$A$10005),0),MATCH('Reg 85'!$O$11,'DMR 001C TIN &amp; TP'!$A$2:$M$2,0))),"")</f>
        <v/>
      </c>
      <c r="P55" s="53" t="str">
        <f t="shared" si="9"/>
        <v/>
      </c>
      <c r="Q55" s="73" t="str">
        <f t="array" ref="Q55">IFERROR(((L55*$F55)+(P55*$G55))/($H55),"")</f>
        <v/>
      </c>
      <c r="R55" s="6" t="str">
        <f t="array" ref="R55">_xlfn.IFNA((INDEX('DMR 001C TIN &amp; TP'!$A$3:$M$10005,MATCH(('Reg 85'!$I$6:$Q$6&amp;'Reg 85'!R$10&amp;'Reg 85'!$B55),('DMR 001C TIN &amp; TP'!$E$3:$E$10005&amp;'DMR 001C TIN &amp; TP'!$B$3:$B$10005&amp;'DMR 001C TIN &amp; TP'!$A$3:$A$10005),0),MATCH('Reg 85'!$O$11,'DMR 001C TIN &amp; TP'!$A$2:$M$2,0))),"")</f>
        <v/>
      </c>
      <c r="S55" s="6" t="str">
        <f t="array" ref="S55">_xlfn.IFNA((INDEX('DMR 001C TIN &amp; TP'!$A$3:$M$10005,MATCH(('Reg 85'!$I$6:$Q$6&amp;'Reg 85'!S$10&amp;'Reg 85'!$B55),('DMR 001C TIN &amp; TP'!$E$3:$E$10005&amp;'DMR 001C TIN &amp; TP'!$B$3:$B$10005&amp;'DMR 001C TIN &amp; TP'!$A$3:$A$10005),0),MATCH('Reg 85'!$O$11,'DMR 001C TIN &amp; TP'!$A$2:$M$2,0))),"")</f>
        <v/>
      </c>
      <c r="T55" s="6" t="str">
        <f t="array" ref="T55">_xlfn.IFNA((INDEX('DMR 001C TIN &amp; TP'!$A$3:$M$10005,MATCH(('Reg 85'!$I$6:$Q$6&amp;'Reg 85'!T$10&amp;'Reg 85'!$B55),('DMR 001C TIN &amp; TP'!$E$3:$E$10005&amp;'DMR 001C TIN &amp; TP'!$B$3:$B$10005&amp;'DMR 001C TIN &amp; TP'!$A$3:$A$10005),0),MATCH('Reg 85'!$O$11,'DMR 001C TIN &amp; TP'!$A$2:$M$2,0))),"")</f>
        <v/>
      </c>
      <c r="U55" s="6" t="str">
        <f t="array" ref="U55">_xlfn.IFNA((INDEX('DMR 001C TIN &amp; TP'!$A$3:$M$10005,MATCH(('Reg 85'!$I$6:$Q$6&amp;'Reg 85'!U$10&amp;'Reg 85'!$B55),('DMR 001C TIN &amp; TP'!$E$3:$E$10005&amp;'DMR 001C TIN &amp; TP'!$B$3:$B$10005&amp;'DMR 001C TIN &amp; TP'!$A$3:$A$10005),0),MATCH('Reg 85'!$O$11,'DMR 001C TIN &amp; TP'!$A$2:$M$2,0))),"")</f>
        <v/>
      </c>
      <c r="V55" s="6" t="str">
        <f t="array" ref="V55">_xlfn.IFNA((INDEX('DMR 001C TIN &amp; TP'!$A$3:$M$10005,MATCH(('Reg 85'!$I$6:$Q$6&amp;'Reg 85'!V$10&amp;'Reg 85'!$B55),('DMR 001C TIN &amp; TP'!$E$3:$E$10005&amp;'DMR 001C TIN &amp; TP'!$B$3:$B$10005&amp;'DMR 001C TIN &amp; TP'!$A$3:$A$10005),0),MATCH('Reg 85'!$O$11,'DMR 001C TIN &amp; TP'!$A$2:$M$2,0))),"")</f>
        <v/>
      </c>
      <c r="W55" s="6" t="str">
        <f t="array" ref="W55">_xlfn.IFNA((INDEX('DMR 001C TIN &amp; TP'!$A$3:$M$10005,MATCH(('Reg 85'!$I$6:$Q$6&amp;'Reg 85'!W$10&amp;'Reg 85'!$B55),('DMR 001C TIN &amp; TP'!$E$3:$E$10005&amp;'DMR 001C TIN &amp; TP'!$B$3:$B$10005&amp;'DMR 001C TIN &amp; TP'!$A$3:$A$10005),0),MATCH('Reg 85'!$O$11,'DMR 001C TIN &amp; TP'!$A$2:$M$2,0))),"")</f>
        <v/>
      </c>
      <c r="X55" s="5" t="str">
        <f t="shared" si="10"/>
        <v/>
      </c>
      <c r="Y55" s="6" t="str">
        <f t="array" ref="Y55">_xlfn.IFNA((INDEX('DMR 001C TIN &amp; TP'!$A$3:$M$10005,MATCH(('Reg 85'!$X$6&amp;'Reg 85'!$X$10&amp;'Reg 85'!$B55),('DMR 001C TIN &amp; TP'!$E$3:$E$10005&amp;'DMR 001C TIN &amp; TP'!$B$3:$B$10005&amp;'DMR 001C TIN &amp; TP'!$A$3:$A$10005),0),MATCH('Reg 85'!$Y$11,'DMR 001C TIN &amp; TP'!$A$2:$M$2,0))),"")</f>
        <v/>
      </c>
      <c r="Z55" s="6" t="str">
        <f t="array" ref="Z55">_xlfn.IFNA((INDEX('DMR 001C TIN &amp; TP'!$A$3:$M$10005,MATCH(('Reg 85'!$X$6&amp;'Reg 85'!$X$10&amp;'Reg 85'!$B55),('DMR 001C TIN &amp; TP'!$E$3:$E$10005&amp;'DMR 001C TIN &amp; TP'!$B$3:$B$10005&amp;'DMR 001C TIN &amp; TP'!$A$3:$A$10005),0),MATCH('Reg 85'!$Z$11,'DMR 001C TIN &amp; TP'!$A$2:$M$2,0))),"")</f>
        <v/>
      </c>
      <c r="AA55" s="53" t="str">
        <f t="shared" si="11"/>
        <v/>
      </c>
      <c r="AB55" s="5" t="str">
        <f t="shared" si="12"/>
        <v/>
      </c>
      <c r="AC55" s="6" t="str">
        <f t="array" ref="AC55">_xlfn.IFNA((INDEX('DMR 001C TIN &amp; TP'!$A$3:$M$10005,MATCH(('Reg 85'!$X$6&amp;'Reg 85'!$AB$10&amp;'Reg 85'!$B55),('DMR 001C TIN &amp; TP'!$E$3:$E$10005&amp;'DMR 001C TIN &amp; TP'!$B$3:$B$10005&amp;'DMR 001C TIN &amp; TP'!$A$3:$A$10005),0),MATCH('Reg 85'!$AC$11,'DMR 001C TIN &amp; TP'!$A$2:$M$2,0))),"")</f>
        <v/>
      </c>
      <c r="AD55" s="6" t="str">
        <f t="array" ref="AD55">_xlfn.IFNA((INDEX('DMR 001C TIN &amp; TP'!$A$3:$M$10005,MATCH(('Reg 85'!$X$6&amp;'Reg 85'!$AB$10&amp;'Reg 85'!$B55),('DMR 001C TIN &amp; TP'!$E$3:$E$10005&amp;'DMR 001C TIN &amp; TP'!$B$3:$B$10005&amp;'DMR 001C TIN &amp; TP'!$A$3:$A$10005),0),MATCH('Reg 85'!$AD$11,'DMR 001C TIN &amp; TP'!$A$2:$M$2,0))),"")</f>
        <v/>
      </c>
      <c r="AE55" s="53" t="str">
        <f t="shared" si="13"/>
        <v/>
      </c>
      <c r="AF55" s="7" t="str">
        <f t="shared" si="14"/>
        <v/>
      </c>
      <c r="AG55" s="6" t="str">
        <f t="array" ref="AG55">_xlfn.IFNA((INDEX('DMR 001C TIN &amp; TP'!$A$3:$M$10005,MATCH(('Reg 85'!$X$6&amp;'Reg 85'!AG$10&amp;'Reg 85'!$B55),('DMR 001C TIN &amp; TP'!$E$3:$E$10005&amp;'DMR 001C TIN &amp; TP'!$B$3:$B$10005&amp;'DMR 001C TIN &amp; TP'!$A$3:$A$10005),0),MATCH('Reg 85'!$AG$11,'DMR 001C TIN &amp; TP'!$A$2:$M$2,0))),"")</f>
        <v/>
      </c>
      <c r="AH55" s="6" t="str">
        <f t="array" ref="AH55">_xlfn.IFNA((INDEX('DMR 001C TIN &amp; TP'!$A$3:$M$10005,MATCH(('Reg 85'!$X$6&amp;'Reg 85'!AH$10&amp;'Reg 85'!$B55),('DMR 001C TIN &amp; TP'!$E$3:$E$10005&amp;'DMR 001C TIN &amp; TP'!$B$3:$B$10005&amp;'DMR 001C TIN &amp; TP'!$A$3:$A$10005),0),MATCH('Reg 85'!$AG$11,'DMR 001C TIN &amp; TP'!$A$2:$M$2,0))),"")</f>
        <v/>
      </c>
      <c r="AI55" s="6" t="str">
        <f t="array" ref="AI55">_xlfn.IFNA((INDEX('DMR 001C TIN &amp; TP'!$A$3:$M$10005,MATCH(('Reg 85'!$X$6&amp;'Reg 85'!AI$10&amp;'Reg 85'!$B55),('DMR 001C TIN &amp; TP'!$E$3:$E$10005&amp;'DMR 001C TIN &amp; TP'!$B$3:$B$10005&amp;'DMR 001C TIN &amp; TP'!$A$3:$A$10005),0),MATCH('Reg 85'!$AG$11,'DMR 001C TIN &amp; TP'!$A$2:$M$2,0))),"")</f>
        <v/>
      </c>
      <c r="AJ55" s="6" t="str">
        <f t="array" ref="AJ55">_xlfn.IFNA((INDEX('DMR 001C TIN &amp; TP'!$A$3:$M$10005,MATCH(('Reg 85'!$X$6&amp;'Reg 85'!AJ$10&amp;'Reg 85'!$B55),('DMR 001C TIN &amp; TP'!$E$3:$E$10005&amp;'DMR 001C TIN &amp; TP'!$B$3:$B$10005&amp;'DMR 001C TIN &amp; TP'!$A$3:$A$10005),0),MATCH('Reg 85'!$AG$11,'DMR 001C TIN &amp; TP'!$A$2:$M$2,0))),"")</f>
        <v/>
      </c>
      <c r="AK55" s="6" t="str">
        <f t="array" ref="AK55">_xlfn.IFNA((INDEX('DMR 001C TIN &amp; TP'!$A$3:$M$10005,MATCH(('Reg 85'!$X$6&amp;'Reg 85'!AK$10&amp;'Reg 85'!$B55),('DMR 001C TIN &amp; TP'!$E$3:$E$10005&amp;'DMR 001C TIN &amp; TP'!$B$3:$B$10005&amp;'DMR 001C TIN &amp; TP'!$A$3:$A$10005),0),MATCH('Reg 85'!$AG$11,'DMR 001C TIN &amp; TP'!$A$2:$M$2,0))),"")</f>
        <v/>
      </c>
      <c r="AL55" s="6" t="str">
        <f t="array" ref="AL55">_xlfn.IFNA((INDEX('DMR 001C TIN &amp; TP'!$A$3:$M$10005,MATCH(('Reg 85'!$X$6&amp;'Reg 85'!AL$10&amp;'Reg 85'!$B55),('DMR 001C TIN &amp; TP'!$E$3:$E$10005&amp;'DMR 001C TIN &amp; TP'!$B$3:$B$10005&amp;'DMR 001C TIN &amp; TP'!$A$3:$A$10005),0),MATCH('Reg 85'!$AG$11,'DMR 001C TIN &amp; TP'!$A$2:$M$2,0))),"")</f>
        <v/>
      </c>
      <c r="AM55" s="76"/>
      <c r="AN55" s="6"/>
      <c r="AO55" s="54" t="str">
        <f t="shared" si="0"/>
        <v/>
      </c>
      <c r="AP55" s="77" t="str">
        <f t="shared" si="39"/>
        <v/>
      </c>
      <c r="AQ55" s="47"/>
      <c r="AR55" s="6" t="str">
        <f t="array" ref="AR55">_xlfn.IFNA((INDEX('DMR 001C TIN &amp; TP'!$A$3:$M$10005,MATCH(('Reg 85'!$AQ$6&amp;'Reg 85'!$AQ$10&amp;'Reg 85'!$B55),('DMR 001C TIN &amp; TP'!$E$3:$E$10005&amp;'DMR 001C TIN &amp; TP'!$B$3:$B$10005&amp;'DMR 001C TIN &amp; TP'!$A$3:$A$10005),0),MATCH('Reg 85'!$AR$11,'DMR 001C TIN &amp; TP'!$A$2:$M$2,0))),"")</f>
        <v>0.03</v>
      </c>
      <c r="AS55" s="6">
        <f t="array" ref="AS55">_xlfn.IFNA((INDEX('DMR 001C TIN &amp; TP'!$A$3:$M$10005,MATCH(('Reg 85'!$AQ$6&amp;'Reg 85'!$AQ$10&amp;'Reg 85'!$B55),('DMR 001C TIN &amp; TP'!$E$3:$E$10005&amp;'DMR 001C TIN &amp; TP'!$B$3:$B$10005&amp;'DMR 001C TIN &amp; TP'!$A$3:$A$10005),0),MATCH('Reg 85'!$AS$11,'DMR 001C TIN &amp; TP'!$A$2:$M$2,0))),"")</f>
        <v>0.26</v>
      </c>
      <c r="AT55" s="53">
        <f t="shared" si="15"/>
        <v>0.26</v>
      </c>
      <c r="AV55" s="6" t="str">
        <f t="array" ref="AV55">_xlfn.IFNA((INDEX('DMR 001C TIN &amp; TP'!$A$3:$M$10005,MATCH(('Reg 85'!$AQ$6&amp;'Reg 85'!$AU$10&amp;'Reg 85'!$B55),('DMR 001C TIN &amp; TP'!$E$3:$E$10005&amp;'DMR 001C TIN &amp; TP'!$B$3:$B$10005&amp;'DMR 001C TIN &amp; TP'!$A$3:$A$10005),0),MATCH('Reg 85'!$AV$11,'DMR 001C TIN &amp; TP'!$A$2:$M$2,0))),"")</f>
        <v>0.03</v>
      </c>
      <c r="AW55" s="6">
        <f t="array" ref="AW55">_xlfn.IFNA((INDEX('DMR 001C TIN &amp; TP'!$A$3:$M$10005,MATCH(('Reg 85'!$AQ$6&amp;'Reg 85'!$AU$10&amp;'Reg 85'!$B55),('DMR 001C TIN &amp; TP'!$E$3:$E$10005&amp;'DMR 001C TIN &amp; TP'!$B$3:$B$10005&amp;'DMR 001C TIN &amp; TP'!$A$3:$A$10005),0),MATCH('Reg 85'!$AW$11,'DMR 001C TIN &amp; TP'!$A$2:$M$2,0))),"")</f>
        <v>3.67</v>
      </c>
      <c r="AX55" s="53">
        <f t="shared" si="16"/>
        <v>3.67</v>
      </c>
      <c r="AY55" s="55">
        <f t="shared" si="17"/>
        <v>2.3026309859911067</v>
      </c>
      <c r="AZ55" s="77" t="str">
        <f t="shared" si="37"/>
        <v/>
      </c>
      <c r="BA55" s="6" t="str">
        <f t="array" ref="BA55">_xlfn.IFNA((INDEX('DMR 001C TIN &amp; TP'!$A$3:$M$10005,MATCH(('Reg 85'!$AQ$6&amp;'Reg 85'!BA$10&amp;'Reg 85'!$B55),('DMR 001C TIN &amp; TP'!$E$3:$E$10005&amp;'DMR 001C TIN &amp; TP'!$B$3:$B$10005&amp;'DMR 001C TIN &amp; TP'!$A$3:$A$10005),0),MATCH('Reg 85'!$AG$11,'DMR 001C TIN &amp; TP'!$A$2:$M$2,0))),"")</f>
        <v/>
      </c>
      <c r="BB55" s="6" t="str">
        <f t="array" ref="BB55">_xlfn.IFNA((INDEX('DMR 001C TIN &amp; TP'!$A$3:$M$10005,MATCH(('Reg 85'!$AQ$6&amp;'Reg 85'!BB$10&amp;'Reg 85'!$B55),('DMR 001C TIN &amp; TP'!$E$3:$E$10005&amp;'DMR 001C TIN &amp; TP'!$B$3:$B$10005&amp;'DMR 001C TIN &amp; TP'!$A$3:$A$10005),0),MATCH('Reg 85'!$AG$11,'DMR 001C TIN &amp; TP'!$A$2:$M$2,0))),"")</f>
        <v/>
      </c>
      <c r="BC55" s="6" t="str">
        <f t="array" ref="BC55">_xlfn.IFNA((INDEX('DMR 001C TIN &amp; TP'!$A$3:$M$10005,MATCH(('Reg 85'!$AQ$6&amp;'Reg 85'!BC$10&amp;'Reg 85'!$B55),('DMR 001C TIN &amp; TP'!$E$3:$E$10005&amp;'DMR 001C TIN &amp; TP'!$B$3:$B$10005&amp;'DMR 001C TIN &amp; TP'!$A$3:$A$10005),0),MATCH('Reg 85'!$AG$11,'DMR 001C TIN &amp; TP'!$A$2:$M$2,0))),"")</f>
        <v/>
      </c>
      <c r="BD55" s="6" t="str">
        <f t="array" ref="BD55">_xlfn.IFNA((INDEX('DMR 001C TIN &amp; TP'!$A$3:$M$10005,MATCH(('Reg 85'!$AQ$6&amp;'Reg 85'!BD$10&amp;'Reg 85'!$B55),('DMR 001C TIN &amp; TP'!$E$3:$E$10005&amp;'DMR 001C TIN &amp; TP'!$B$3:$B$10005&amp;'DMR 001C TIN &amp; TP'!$A$3:$A$10005),0),MATCH('Reg 85'!$AG$11,'DMR 001C TIN &amp; TP'!$A$2:$M$2,0))),"")</f>
        <v/>
      </c>
      <c r="BE55" s="6" t="str">
        <f t="array" ref="BE55">_xlfn.IFNA((INDEX('DMR 001C TIN &amp; TP'!$A$3:$M$10005,MATCH(('Reg 85'!$AQ$6&amp;'Reg 85'!BE$10&amp;'Reg 85'!$B55),('DMR 001C TIN &amp; TP'!$E$3:$E$10005&amp;'DMR 001C TIN &amp; TP'!$B$3:$B$10005&amp;'DMR 001C TIN &amp; TP'!$A$3:$A$10005),0),MATCH('Reg 85'!$AG$11,'DMR 001C TIN &amp; TP'!$A$2:$M$2,0))),"")</f>
        <v/>
      </c>
      <c r="BF55" s="6" t="str">
        <f t="array" ref="BF55">_xlfn.IFNA((INDEX('DMR 001C TIN &amp; TP'!$A$3:$M$10005,MATCH(('Reg 85'!$AQ$6&amp;'Reg 85'!BF$10&amp;'Reg 85'!$B55),('DMR 001C TIN &amp; TP'!$E$3:$E$10005&amp;'DMR 001C TIN &amp; TP'!$B$3:$B$10005&amp;'DMR 001C TIN &amp; TP'!$A$3:$A$10005),0),MATCH('Reg 85'!$AG$11,'DMR 001C TIN &amp; TP'!$A$2:$M$2,0))),"")</f>
        <v/>
      </c>
    </row>
    <row r="56" spans="1:58">
      <c r="A56" s="3" t="str">
        <f t="shared" si="2"/>
        <v>Mon</v>
      </c>
      <c r="B56" s="96">
        <f t="shared" si="19"/>
        <v>43388</v>
      </c>
      <c r="C56" s="96">
        <f t="shared" si="3"/>
        <v>43404</v>
      </c>
      <c r="D56" s="96">
        <f t="shared" si="4"/>
        <v>43374</v>
      </c>
      <c r="E56" s="95">
        <f t="shared" si="5"/>
        <v>31</v>
      </c>
      <c r="F56" s="7">
        <f t="array" ref="F56">_xlfn.IFNA(INDEX('DMR Flows-Effluent'!$A$3:$F$9999,MATCH(($F$10&amp;$B56),('DMR Flows-Effluent'!$B$3:$B$9999&amp;'DMR Flows-Effluent'!$A$3:$A$9999),0),MATCH($F$8,'DMR Flows-Effluent'!$A$2:$F$2,0)),"")</f>
        <v>44.363199999999999</v>
      </c>
      <c r="G56" s="7">
        <f t="array" ref="G56">_xlfn.IFNA(INDEX('DMR Flows-Effluent'!$A$3:$F$9999,MATCH(($G$10&amp;$B56),('DMR Flows-Effluent'!$B$3:$B$9999&amp;'DMR Flows-Effluent'!$A$3:$A$9999),0),MATCH($F$8,'DMR Flows-Effluent'!$A$2:$F$2,0)),"")</f>
        <v>79.850499999999997</v>
      </c>
      <c r="H56" s="7">
        <f t="shared" si="6"/>
        <v>124.21369999999999</v>
      </c>
      <c r="I56" s="45" t="str">
        <f t="shared" si="7"/>
        <v/>
      </c>
      <c r="J56" s="6" t="str">
        <f t="array" ref="J56">_xlfn.IFNA((INDEX('DMR 001C TIN &amp; TP'!$A$3:$M$10005,MATCH(('Reg 85'!$I$6:$Q$6&amp;'Reg 85'!$I$10:$K$10&amp;'Reg 85'!$B56),('DMR 001C TIN &amp; TP'!$E$3:$E$10005&amp;'DMR 001C TIN &amp; TP'!$B$3:$B$10005&amp;'DMR 001C TIN &amp; TP'!$A$3:$A$10005),0),MATCH('Reg 85'!$J$11,'DMR 001C TIN &amp; TP'!$A$2:$M$2,0))),"")</f>
        <v>0.15</v>
      </c>
      <c r="K56" s="6">
        <f t="array" ref="K56">_xlfn.IFNA((INDEX('DMR 001C TIN &amp; TP'!$A$3:$M$10005,MATCH(('Reg 85'!$I$6:$Q$6&amp;'Reg 85'!$I$10:$K$10&amp;'Reg 85'!$B56),('DMR 001C TIN &amp; TP'!$E$3:$E$10005&amp;'DMR 001C TIN &amp; TP'!$B$3:$B$10005&amp;'DMR 001C TIN &amp; TP'!$A$3:$A$10005),0),MATCH('Reg 85'!$K$11,'DMR 001C TIN &amp; TP'!$A$2:$M$2,0))),"")</f>
        <v>0.21</v>
      </c>
      <c r="L56" s="53">
        <f t="shared" si="21"/>
        <v>0.21</v>
      </c>
      <c r="M56" s="5" t="str">
        <f t="shared" si="8"/>
        <v/>
      </c>
      <c r="N56" s="6" t="str">
        <f t="array" ref="N56">_xlfn.IFNA((INDEX('DMR 001C TIN &amp; TP'!$A$3:$M$10005,MATCH(('Reg 85'!$I$6:$Q$6&amp;'Reg 85'!$M$10&amp;'Reg 85'!$B56),('DMR 001C TIN &amp; TP'!$E$3:$E$10005&amp;'DMR 001C TIN &amp; TP'!$B$3:$B$10005&amp;'DMR 001C TIN &amp; TP'!$A$3:$A$10005),0),MATCH('Reg 85'!$N$11,'DMR 001C TIN &amp; TP'!$A$2:$M$2,0))),"")</f>
        <v>0.15</v>
      </c>
      <c r="O56" s="6">
        <f t="array" ref="O56">_xlfn.IFNA((INDEX('DMR 001C TIN &amp; TP'!$A$3:$M$10005,MATCH(('Reg 85'!$I$6:$Q$6&amp;'Reg 85'!$M$10&amp;'Reg 85'!$B56),('DMR 001C TIN &amp; TP'!$E$3:$E$10005&amp;'DMR 001C TIN &amp; TP'!$B$3:$B$10005&amp;'DMR 001C TIN &amp; TP'!$A$3:$A$10005),0),MATCH('Reg 85'!$O$11,'DMR 001C TIN &amp; TP'!$A$2:$M$2,0))),"")</f>
        <v>0.24</v>
      </c>
      <c r="P56" s="53">
        <f t="shared" si="9"/>
        <v>0.24</v>
      </c>
      <c r="Q56" s="73">
        <f t="array" ref="Q56">IFERROR(((L56*$F56)+(P56*$G56))/($H56),"")</f>
        <v>0.2292854330882986</v>
      </c>
      <c r="R56" s="6" t="str">
        <f t="array" ref="R56">_xlfn.IFNA((INDEX('DMR 001C TIN &amp; TP'!$A$3:$M$10005,MATCH(('Reg 85'!$I$6:$Q$6&amp;'Reg 85'!R$10&amp;'Reg 85'!$B56),('DMR 001C TIN &amp; TP'!$E$3:$E$10005&amp;'DMR 001C TIN &amp; TP'!$B$3:$B$10005&amp;'DMR 001C TIN &amp; TP'!$A$3:$A$10005),0),MATCH('Reg 85'!$O$11,'DMR 001C TIN &amp; TP'!$A$2:$M$2,0))),"")</f>
        <v/>
      </c>
      <c r="S56" s="6" t="str">
        <f t="array" ref="S56">_xlfn.IFNA((INDEX('DMR 001C TIN &amp; TP'!$A$3:$M$10005,MATCH(('Reg 85'!$I$6:$Q$6&amp;'Reg 85'!S$10&amp;'Reg 85'!$B56),('DMR 001C TIN &amp; TP'!$E$3:$E$10005&amp;'DMR 001C TIN &amp; TP'!$B$3:$B$10005&amp;'DMR 001C TIN &amp; TP'!$A$3:$A$10005),0),MATCH('Reg 85'!$O$11,'DMR 001C TIN &amp; TP'!$A$2:$M$2,0))),"")</f>
        <v/>
      </c>
      <c r="T56" s="6" t="str">
        <f t="array" ref="T56">_xlfn.IFNA((INDEX('DMR 001C TIN &amp; TP'!$A$3:$M$10005,MATCH(('Reg 85'!$I$6:$Q$6&amp;'Reg 85'!T$10&amp;'Reg 85'!$B56),('DMR 001C TIN &amp; TP'!$E$3:$E$10005&amp;'DMR 001C TIN &amp; TP'!$B$3:$B$10005&amp;'DMR 001C TIN &amp; TP'!$A$3:$A$10005),0),MATCH('Reg 85'!$O$11,'DMR 001C TIN &amp; TP'!$A$2:$M$2,0))),"")</f>
        <v/>
      </c>
      <c r="U56" s="6" t="str">
        <f t="array" ref="U56">_xlfn.IFNA((INDEX('DMR 001C TIN &amp; TP'!$A$3:$M$10005,MATCH(('Reg 85'!$I$6:$Q$6&amp;'Reg 85'!U$10&amp;'Reg 85'!$B56),('DMR 001C TIN &amp; TP'!$E$3:$E$10005&amp;'DMR 001C TIN &amp; TP'!$B$3:$B$10005&amp;'DMR 001C TIN &amp; TP'!$A$3:$A$10005),0),MATCH('Reg 85'!$O$11,'DMR 001C TIN &amp; TP'!$A$2:$M$2,0))),"")</f>
        <v/>
      </c>
      <c r="V56" s="6" t="str">
        <f t="array" ref="V56">_xlfn.IFNA((INDEX('DMR 001C TIN &amp; TP'!$A$3:$M$10005,MATCH(('Reg 85'!$I$6:$Q$6&amp;'Reg 85'!V$10&amp;'Reg 85'!$B56),('DMR 001C TIN &amp; TP'!$E$3:$E$10005&amp;'DMR 001C TIN &amp; TP'!$B$3:$B$10005&amp;'DMR 001C TIN &amp; TP'!$A$3:$A$10005),0),MATCH('Reg 85'!$O$11,'DMR 001C TIN &amp; TP'!$A$2:$M$2,0))),"")</f>
        <v/>
      </c>
      <c r="W56" s="6" t="str">
        <f t="array" ref="W56">_xlfn.IFNA((INDEX('DMR 001C TIN &amp; TP'!$A$3:$M$10005,MATCH(('Reg 85'!$I$6:$Q$6&amp;'Reg 85'!W$10&amp;'Reg 85'!$B56),('DMR 001C TIN &amp; TP'!$E$3:$E$10005&amp;'DMR 001C TIN &amp; TP'!$B$3:$B$10005&amp;'DMR 001C TIN &amp; TP'!$A$3:$A$10005),0),MATCH('Reg 85'!$O$11,'DMR 001C TIN &amp; TP'!$A$2:$M$2,0))),"")</f>
        <v/>
      </c>
      <c r="X56" s="5" t="str">
        <f t="shared" si="10"/>
        <v/>
      </c>
      <c r="Y56" s="6" t="str">
        <f t="array" ref="Y56">_xlfn.IFNA((INDEX('DMR 001C TIN &amp; TP'!$A$3:$M$10005,MATCH(('Reg 85'!$X$6&amp;'Reg 85'!$X$10&amp;'Reg 85'!$B56),('DMR 001C TIN &amp; TP'!$E$3:$E$10005&amp;'DMR 001C TIN &amp; TP'!$B$3:$B$10005&amp;'DMR 001C TIN &amp; TP'!$A$3:$A$10005),0),MATCH('Reg 85'!$Y$11,'DMR 001C TIN &amp; TP'!$A$2:$M$2,0))),"")</f>
        <v>0.06</v>
      </c>
      <c r="Z56" s="6">
        <f t="array" ref="Z56">_xlfn.IFNA((INDEX('DMR 001C TIN &amp; TP'!$A$3:$M$10005,MATCH(('Reg 85'!$X$6&amp;'Reg 85'!$X$10&amp;'Reg 85'!$B56),('DMR 001C TIN &amp; TP'!$E$3:$E$10005&amp;'DMR 001C TIN &amp; TP'!$B$3:$B$10005&amp;'DMR 001C TIN &amp; TP'!$A$3:$A$10005),0),MATCH('Reg 85'!$Z$11,'DMR 001C TIN &amp; TP'!$A$2:$M$2,0))),"")</f>
        <v>3.75</v>
      </c>
      <c r="AA56" s="53">
        <f t="shared" si="11"/>
        <v>3.75</v>
      </c>
      <c r="AB56" s="5" t="str">
        <f t="shared" si="12"/>
        <v/>
      </c>
      <c r="AC56" s="6" t="str">
        <f t="array" ref="AC56">_xlfn.IFNA((INDEX('DMR 001C TIN &amp; TP'!$A$3:$M$10005,MATCH(('Reg 85'!$X$6&amp;'Reg 85'!$AB$10&amp;'Reg 85'!$B56),('DMR 001C TIN &amp; TP'!$E$3:$E$10005&amp;'DMR 001C TIN &amp; TP'!$B$3:$B$10005&amp;'DMR 001C TIN &amp; TP'!$A$3:$A$10005),0),MATCH('Reg 85'!$AC$11,'DMR 001C TIN &amp; TP'!$A$2:$M$2,0))),"")</f>
        <v>0.06</v>
      </c>
      <c r="AD56" s="6">
        <f t="array" ref="AD56">_xlfn.IFNA((INDEX('DMR 001C TIN &amp; TP'!$A$3:$M$10005,MATCH(('Reg 85'!$X$6&amp;'Reg 85'!$AB$10&amp;'Reg 85'!$B56),('DMR 001C TIN &amp; TP'!$E$3:$E$10005&amp;'DMR 001C TIN &amp; TP'!$B$3:$B$10005&amp;'DMR 001C TIN &amp; TP'!$A$3:$A$10005),0),MATCH('Reg 85'!$AD$11,'DMR 001C TIN &amp; TP'!$A$2:$M$2,0))),"")</f>
        <v>5.58</v>
      </c>
      <c r="AE56" s="53">
        <f t="shared" si="13"/>
        <v>5.58</v>
      </c>
      <c r="AF56" s="7">
        <f t="shared" si="14"/>
        <v>4.9264114183862171</v>
      </c>
      <c r="AG56" s="6" t="str">
        <f t="array" ref="AG56">_xlfn.IFNA((INDEX('DMR 001C TIN &amp; TP'!$A$3:$M$10005,MATCH(('Reg 85'!$X$6&amp;'Reg 85'!AG$10&amp;'Reg 85'!$B56),('DMR 001C TIN &amp; TP'!$E$3:$E$10005&amp;'DMR 001C TIN &amp; TP'!$B$3:$B$10005&amp;'DMR 001C TIN &amp; TP'!$A$3:$A$10005),0),MATCH('Reg 85'!$AG$11,'DMR 001C TIN &amp; TP'!$A$2:$M$2,0))),"")</f>
        <v/>
      </c>
      <c r="AH56" s="6" t="str">
        <f t="array" ref="AH56">_xlfn.IFNA((INDEX('DMR 001C TIN &amp; TP'!$A$3:$M$10005,MATCH(('Reg 85'!$X$6&amp;'Reg 85'!AH$10&amp;'Reg 85'!$B56),('DMR 001C TIN &amp; TP'!$E$3:$E$10005&amp;'DMR 001C TIN &amp; TP'!$B$3:$B$10005&amp;'DMR 001C TIN &amp; TP'!$A$3:$A$10005),0),MATCH('Reg 85'!$AG$11,'DMR 001C TIN &amp; TP'!$A$2:$M$2,0))),"")</f>
        <v/>
      </c>
      <c r="AI56" s="6" t="str">
        <f t="array" ref="AI56">_xlfn.IFNA((INDEX('DMR 001C TIN &amp; TP'!$A$3:$M$10005,MATCH(('Reg 85'!$X$6&amp;'Reg 85'!AI$10&amp;'Reg 85'!$B56),('DMR 001C TIN &amp; TP'!$E$3:$E$10005&amp;'DMR 001C TIN &amp; TP'!$B$3:$B$10005&amp;'DMR 001C TIN &amp; TP'!$A$3:$A$10005),0),MATCH('Reg 85'!$AG$11,'DMR 001C TIN &amp; TP'!$A$2:$M$2,0))),"")</f>
        <v/>
      </c>
      <c r="AJ56" s="6" t="str">
        <f t="array" ref="AJ56">_xlfn.IFNA((INDEX('DMR 001C TIN &amp; TP'!$A$3:$M$10005,MATCH(('Reg 85'!$X$6&amp;'Reg 85'!AJ$10&amp;'Reg 85'!$B56),('DMR 001C TIN &amp; TP'!$E$3:$E$10005&amp;'DMR 001C TIN &amp; TP'!$B$3:$B$10005&amp;'DMR 001C TIN &amp; TP'!$A$3:$A$10005),0),MATCH('Reg 85'!$AG$11,'DMR 001C TIN &amp; TP'!$A$2:$M$2,0))),"")</f>
        <v/>
      </c>
      <c r="AK56" s="6" t="str">
        <f t="array" ref="AK56">_xlfn.IFNA((INDEX('DMR 001C TIN &amp; TP'!$A$3:$M$10005,MATCH(('Reg 85'!$X$6&amp;'Reg 85'!AK$10&amp;'Reg 85'!$B56),('DMR 001C TIN &amp; TP'!$E$3:$E$10005&amp;'DMR 001C TIN &amp; TP'!$B$3:$B$10005&amp;'DMR 001C TIN &amp; TP'!$A$3:$A$10005),0),MATCH('Reg 85'!$AG$11,'DMR 001C TIN &amp; TP'!$A$2:$M$2,0))),"")</f>
        <v/>
      </c>
      <c r="AL56" s="6" t="str">
        <f t="array" ref="AL56">_xlfn.IFNA((INDEX('DMR 001C TIN &amp; TP'!$A$3:$M$10005,MATCH(('Reg 85'!$X$6&amp;'Reg 85'!AL$10&amp;'Reg 85'!$B56),('DMR 001C TIN &amp; TP'!$E$3:$E$10005&amp;'DMR 001C TIN &amp; TP'!$B$3:$B$10005&amp;'DMR 001C TIN &amp; TP'!$A$3:$A$10005),0),MATCH('Reg 85'!$AG$11,'DMR 001C TIN &amp; TP'!$A$2:$M$2,0))),"")</f>
        <v/>
      </c>
      <c r="AM56" s="76"/>
      <c r="AN56" s="6"/>
      <c r="AO56" s="54">
        <f t="shared" si="0"/>
        <v>5.1556968514745156</v>
      </c>
      <c r="AP56" s="77" t="str">
        <f t="shared" si="39"/>
        <v/>
      </c>
      <c r="AQ56" s="47"/>
      <c r="AR56" s="6" t="str">
        <f t="array" ref="AR56">_xlfn.IFNA((INDEX('DMR 001C TIN &amp; TP'!$A$3:$M$10005,MATCH(('Reg 85'!$AQ$6&amp;'Reg 85'!$AQ$10&amp;'Reg 85'!$B56),('DMR 001C TIN &amp; TP'!$E$3:$E$10005&amp;'DMR 001C TIN &amp; TP'!$B$3:$B$10005&amp;'DMR 001C TIN &amp; TP'!$A$3:$A$10005),0),MATCH('Reg 85'!$AR$11,'DMR 001C TIN &amp; TP'!$A$2:$M$2,0))),"")</f>
        <v/>
      </c>
      <c r="AS56" s="6" t="str">
        <f t="array" ref="AS56">_xlfn.IFNA((INDEX('DMR 001C TIN &amp; TP'!$A$3:$M$10005,MATCH(('Reg 85'!$AQ$6&amp;'Reg 85'!$AQ$10&amp;'Reg 85'!$B56),('DMR 001C TIN &amp; TP'!$E$3:$E$10005&amp;'DMR 001C TIN &amp; TP'!$B$3:$B$10005&amp;'DMR 001C TIN &amp; TP'!$A$3:$A$10005),0),MATCH('Reg 85'!$AS$11,'DMR 001C TIN &amp; TP'!$A$2:$M$2,0))),"")</f>
        <v/>
      </c>
      <c r="AT56" s="53" t="str">
        <f t="shared" si="15"/>
        <v/>
      </c>
      <c r="AV56" s="6" t="str">
        <f t="array" ref="AV56">_xlfn.IFNA((INDEX('DMR 001C TIN &amp; TP'!$A$3:$M$10005,MATCH(('Reg 85'!$AQ$6&amp;'Reg 85'!$AU$10&amp;'Reg 85'!$B56),('DMR 001C TIN &amp; TP'!$E$3:$E$10005&amp;'DMR 001C TIN &amp; TP'!$B$3:$B$10005&amp;'DMR 001C TIN &amp; TP'!$A$3:$A$10005),0),MATCH('Reg 85'!$AV$11,'DMR 001C TIN &amp; TP'!$A$2:$M$2,0))),"")</f>
        <v/>
      </c>
      <c r="AW56" s="6" t="str">
        <f t="array" ref="AW56">_xlfn.IFNA((INDEX('DMR 001C TIN &amp; TP'!$A$3:$M$10005,MATCH(('Reg 85'!$AQ$6&amp;'Reg 85'!$AU$10&amp;'Reg 85'!$B56),('DMR 001C TIN &amp; TP'!$E$3:$E$10005&amp;'DMR 001C TIN &amp; TP'!$B$3:$B$10005&amp;'DMR 001C TIN &amp; TP'!$A$3:$A$10005),0),MATCH('Reg 85'!$AW$11,'DMR 001C TIN &amp; TP'!$A$2:$M$2,0))),"")</f>
        <v/>
      </c>
      <c r="AX56" s="53" t="str">
        <f t="shared" si="16"/>
        <v/>
      </c>
      <c r="AY56" s="55" t="str">
        <f t="shared" si="17"/>
        <v/>
      </c>
      <c r="AZ56" s="77" t="str">
        <f t="shared" si="37"/>
        <v/>
      </c>
      <c r="BA56" s="6" t="str">
        <f t="array" ref="BA56">_xlfn.IFNA((INDEX('DMR 001C TIN &amp; TP'!$A$3:$M$10005,MATCH(('Reg 85'!$AQ$6&amp;'Reg 85'!BA$10&amp;'Reg 85'!$B56),('DMR 001C TIN &amp; TP'!$E$3:$E$10005&amp;'DMR 001C TIN &amp; TP'!$B$3:$B$10005&amp;'DMR 001C TIN &amp; TP'!$A$3:$A$10005),0),MATCH('Reg 85'!$AG$11,'DMR 001C TIN &amp; TP'!$A$2:$M$2,0))),"")</f>
        <v/>
      </c>
      <c r="BB56" s="6" t="str">
        <f t="array" ref="BB56">_xlfn.IFNA((INDEX('DMR 001C TIN &amp; TP'!$A$3:$M$10005,MATCH(('Reg 85'!$AQ$6&amp;'Reg 85'!BB$10&amp;'Reg 85'!$B56),('DMR 001C TIN &amp; TP'!$E$3:$E$10005&amp;'DMR 001C TIN &amp; TP'!$B$3:$B$10005&amp;'DMR 001C TIN &amp; TP'!$A$3:$A$10005),0),MATCH('Reg 85'!$AG$11,'DMR 001C TIN &amp; TP'!$A$2:$M$2,0))),"")</f>
        <v/>
      </c>
      <c r="BC56" s="6" t="str">
        <f t="array" ref="BC56">_xlfn.IFNA((INDEX('DMR 001C TIN &amp; TP'!$A$3:$M$10005,MATCH(('Reg 85'!$AQ$6&amp;'Reg 85'!BC$10&amp;'Reg 85'!$B56),('DMR 001C TIN &amp; TP'!$E$3:$E$10005&amp;'DMR 001C TIN &amp; TP'!$B$3:$B$10005&amp;'DMR 001C TIN &amp; TP'!$A$3:$A$10005),0),MATCH('Reg 85'!$AG$11,'DMR 001C TIN &amp; TP'!$A$2:$M$2,0))),"")</f>
        <v/>
      </c>
      <c r="BD56" s="6" t="str">
        <f t="array" ref="BD56">_xlfn.IFNA((INDEX('DMR 001C TIN &amp; TP'!$A$3:$M$10005,MATCH(('Reg 85'!$AQ$6&amp;'Reg 85'!BD$10&amp;'Reg 85'!$B56),('DMR 001C TIN &amp; TP'!$E$3:$E$10005&amp;'DMR 001C TIN &amp; TP'!$B$3:$B$10005&amp;'DMR 001C TIN &amp; TP'!$A$3:$A$10005),0),MATCH('Reg 85'!$AG$11,'DMR 001C TIN &amp; TP'!$A$2:$M$2,0))),"")</f>
        <v/>
      </c>
      <c r="BE56" s="6" t="str">
        <f t="array" ref="BE56">_xlfn.IFNA((INDEX('DMR 001C TIN &amp; TP'!$A$3:$M$10005,MATCH(('Reg 85'!$AQ$6&amp;'Reg 85'!BE$10&amp;'Reg 85'!$B56),('DMR 001C TIN &amp; TP'!$E$3:$E$10005&amp;'DMR 001C TIN &amp; TP'!$B$3:$B$10005&amp;'DMR 001C TIN &amp; TP'!$A$3:$A$10005),0),MATCH('Reg 85'!$AG$11,'DMR 001C TIN &amp; TP'!$A$2:$M$2,0))),"")</f>
        <v/>
      </c>
      <c r="BF56" s="6" t="str">
        <f t="array" ref="BF56">_xlfn.IFNA((INDEX('DMR 001C TIN &amp; TP'!$A$3:$M$10005,MATCH(('Reg 85'!$AQ$6&amp;'Reg 85'!BF$10&amp;'Reg 85'!$B56),('DMR 001C TIN &amp; TP'!$E$3:$E$10005&amp;'DMR 001C TIN &amp; TP'!$B$3:$B$10005&amp;'DMR 001C TIN &amp; TP'!$A$3:$A$10005),0),MATCH('Reg 85'!$AG$11,'DMR 001C TIN &amp; TP'!$A$2:$M$2,0))),"")</f>
        <v/>
      </c>
    </row>
    <row r="57" spans="1:58">
      <c r="A57" s="3" t="str">
        <f t="shared" si="2"/>
        <v>Tue</v>
      </c>
      <c r="B57" s="96">
        <f t="shared" si="19"/>
        <v>43389</v>
      </c>
      <c r="C57" s="96">
        <f t="shared" si="3"/>
        <v>43404</v>
      </c>
      <c r="D57" s="96">
        <f t="shared" si="4"/>
        <v>43374</v>
      </c>
      <c r="E57" s="95">
        <f t="shared" si="5"/>
        <v>31</v>
      </c>
      <c r="F57" s="7">
        <f t="array" ref="F57">_xlfn.IFNA(INDEX('DMR Flows-Effluent'!$A$3:$F$9999,MATCH(($F$10&amp;$B57),('DMR Flows-Effluent'!$B$3:$B$9999&amp;'DMR Flows-Effluent'!$A$3:$A$9999),0),MATCH($F$8,'DMR Flows-Effluent'!$A$2:$F$2,0)),"")</f>
        <v>44.476999999999997</v>
      </c>
      <c r="G57" s="7">
        <f t="array" ref="G57">_xlfn.IFNA(INDEX('DMR Flows-Effluent'!$A$3:$F$9999,MATCH(($G$10&amp;$B57),('DMR Flows-Effluent'!$B$3:$B$9999&amp;'DMR Flows-Effluent'!$A$3:$A$9999),0),MATCH($F$8,'DMR Flows-Effluent'!$A$2:$F$2,0)),"")</f>
        <v>80.351600000000005</v>
      </c>
      <c r="H57" s="7">
        <f t="shared" si="6"/>
        <v>124.82859999999999</v>
      </c>
      <c r="I57" s="45" t="str">
        <f t="shared" si="7"/>
        <v/>
      </c>
      <c r="J57" s="6" t="str">
        <f t="array" ref="J57">_xlfn.IFNA((INDEX('DMR 001C TIN &amp; TP'!$A$3:$M$10005,MATCH(('Reg 85'!$I$6:$Q$6&amp;'Reg 85'!$I$10:$K$10&amp;'Reg 85'!$B57),('DMR 001C TIN &amp; TP'!$E$3:$E$10005&amp;'DMR 001C TIN &amp; TP'!$B$3:$B$10005&amp;'DMR 001C TIN &amp; TP'!$A$3:$A$10005),0),MATCH('Reg 85'!$J$11,'DMR 001C TIN &amp; TP'!$A$2:$M$2,0))),"")</f>
        <v>0.15</v>
      </c>
      <c r="K57" s="6">
        <f t="array" ref="K57">_xlfn.IFNA((INDEX('DMR 001C TIN &amp; TP'!$A$3:$M$10005,MATCH(('Reg 85'!$I$6:$Q$6&amp;'Reg 85'!$I$10:$K$10&amp;'Reg 85'!$B57),('DMR 001C TIN &amp; TP'!$E$3:$E$10005&amp;'DMR 001C TIN &amp; TP'!$B$3:$B$10005&amp;'DMR 001C TIN &amp; TP'!$A$3:$A$10005),0),MATCH('Reg 85'!$K$11,'DMR 001C TIN &amp; TP'!$A$2:$M$2,0))),"")</f>
        <v>0.2</v>
      </c>
      <c r="L57" s="53">
        <f t="shared" si="21"/>
        <v>0.2</v>
      </c>
      <c r="M57" s="5" t="str">
        <f t="shared" si="8"/>
        <v>&lt;</v>
      </c>
      <c r="N57" s="6" t="str">
        <f t="array" ref="N57">_xlfn.IFNA((INDEX('DMR 001C TIN &amp; TP'!$A$3:$M$10005,MATCH(('Reg 85'!$I$6:$Q$6&amp;'Reg 85'!$M$10&amp;'Reg 85'!$B57),('DMR 001C TIN &amp; TP'!$E$3:$E$10005&amp;'DMR 001C TIN &amp; TP'!$B$3:$B$10005&amp;'DMR 001C TIN &amp; TP'!$A$3:$A$10005),0),MATCH('Reg 85'!$N$11,'DMR 001C TIN &amp; TP'!$A$2:$M$2,0))),"")</f>
        <v>0.15</v>
      </c>
      <c r="O57" s="6">
        <f t="array" ref="O57">_xlfn.IFNA((INDEX('DMR 001C TIN &amp; TP'!$A$3:$M$10005,MATCH(('Reg 85'!$I$6:$Q$6&amp;'Reg 85'!$M$10&amp;'Reg 85'!$B57),('DMR 001C TIN &amp; TP'!$E$3:$E$10005&amp;'DMR 001C TIN &amp; TP'!$B$3:$B$10005&amp;'DMR 001C TIN &amp; TP'!$A$3:$A$10005),0),MATCH('Reg 85'!$O$11,'DMR 001C TIN &amp; TP'!$A$2:$M$2,0))),"")</f>
        <v>0.08</v>
      </c>
      <c r="P57" s="53">
        <f t="shared" si="9"/>
        <v>0</v>
      </c>
      <c r="Q57" s="73">
        <f t="array" ref="Q57">IFERROR(((L57*$F57)+(P57*$G57))/($H57),"")</f>
        <v>7.1260912963856046E-2</v>
      </c>
      <c r="R57" s="6" t="str">
        <f t="array" ref="R57">_xlfn.IFNA((INDEX('DMR 001C TIN &amp; TP'!$A$3:$M$10005,MATCH(('Reg 85'!$I$6:$Q$6&amp;'Reg 85'!R$10&amp;'Reg 85'!$B57),('DMR 001C TIN &amp; TP'!$E$3:$E$10005&amp;'DMR 001C TIN &amp; TP'!$B$3:$B$10005&amp;'DMR 001C TIN &amp; TP'!$A$3:$A$10005),0),MATCH('Reg 85'!$O$11,'DMR 001C TIN &amp; TP'!$A$2:$M$2,0))),"")</f>
        <v/>
      </c>
      <c r="S57" s="6" t="str">
        <f t="array" ref="S57">_xlfn.IFNA((INDEX('DMR 001C TIN &amp; TP'!$A$3:$M$10005,MATCH(('Reg 85'!$I$6:$Q$6&amp;'Reg 85'!S$10&amp;'Reg 85'!$B57),('DMR 001C TIN &amp; TP'!$E$3:$E$10005&amp;'DMR 001C TIN &amp; TP'!$B$3:$B$10005&amp;'DMR 001C TIN &amp; TP'!$A$3:$A$10005),0),MATCH('Reg 85'!$O$11,'DMR 001C TIN &amp; TP'!$A$2:$M$2,0))),"")</f>
        <v/>
      </c>
      <c r="T57" s="6" t="str">
        <f t="array" ref="T57">_xlfn.IFNA((INDEX('DMR 001C TIN &amp; TP'!$A$3:$M$10005,MATCH(('Reg 85'!$I$6:$Q$6&amp;'Reg 85'!T$10&amp;'Reg 85'!$B57),('DMR 001C TIN &amp; TP'!$E$3:$E$10005&amp;'DMR 001C TIN &amp; TP'!$B$3:$B$10005&amp;'DMR 001C TIN &amp; TP'!$A$3:$A$10005),0),MATCH('Reg 85'!$O$11,'DMR 001C TIN &amp; TP'!$A$2:$M$2,0))),"")</f>
        <v/>
      </c>
      <c r="U57" s="6" t="str">
        <f t="array" ref="U57">_xlfn.IFNA((INDEX('DMR 001C TIN &amp; TP'!$A$3:$M$10005,MATCH(('Reg 85'!$I$6:$Q$6&amp;'Reg 85'!U$10&amp;'Reg 85'!$B57),('DMR 001C TIN &amp; TP'!$E$3:$E$10005&amp;'DMR 001C TIN &amp; TP'!$B$3:$B$10005&amp;'DMR 001C TIN &amp; TP'!$A$3:$A$10005),0),MATCH('Reg 85'!$O$11,'DMR 001C TIN &amp; TP'!$A$2:$M$2,0))),"")</f>
        <v/>
      </c>
      <c r="V57" s="6" t="str">
        <f t="array" ref="V57">_xlfn.IFNA((INDEX('DMR 001C TIN &amp; TP'!$A$3:$M$10005,MATCH(('Reg 85'!$I$6:$Q$6&amp;'Reg 85'!V$10&amp;'Reg 85'!$B57),('DMR 001C TIN &amp; TP'!$E$3:$E$10005&amp;'DMR 001C TIN &amp; TP'!$B$3:$B$10005&amp;'DMR 001C TIN &amp; TP'!$A$3:$A$10005),0),MATCH('Reg 85'!$O$11,'DMR 001C TIN &amp; TP'!$A$2:$M$2,0))),"")</f>
        <v/>
      </c>
      <c r="W57" s="6" t="str">
        <f t="array" ref="W57">_xlfn.IFNA((INDEX('DMR 001C TIN &amp; TP'!$A$3:$M$10005,MATCH(('Reg 85'!$I$6:$Q$6&amp;'Reg 85'!W$10&amp;'Reg 85'!$B57),('DMR 001C TIN &amp; TP'!$E$3:$E$10005&amp;'DMR 001C TIN &amp; TP'!$B$3:$B$10005&amp;'DMR 001C TIN &amp; TP'!$A$3:$A$10005),0),MATCH('Reg 85'!$O$11,'DMR 001C TIN &amp; TP'!$A$2:$M$2,0))),"")</f>
        <v/>
      </c>
      <c r="X57" s="5" t="str">
        <f t="shared" si="10"/>
        <v/>
      </c>
      <c r="Y57" s="6" t="str">
        <f t="array" ref="Y57">_xlfn.IFNA((INDEX('DMR 001C TIN &amp; TP'!$A$3:$M$10005,MATCH(('Reg 85'!$X$6&amp;'Reg 85'!$X$10&amp;'Reg 85'!$B57),('DMR 001C TIN &amp; TP'!$E$3:$E$10005&amp;'DMR 001C TIN &amp; TP'!$B$3:$B$10005&amp;'DMR 001C TIN &amp; TP'!$A$3:$A$10005),0),MATCH('Reg 85'!$Y$11,'DMR 001C TIN &amp; TP'!$A$2:$M$2,0))),"")</f>
        <v>0.06</v>
      </c>
      <c r="Z57" s="6">
        <f t="array" ref="Z57">_xlfn.IFNA((INDEX('DMR 001C TIN &amp; TP'!$A$3:$M$10005,MATCH(('Reg 85'!$X$6&amp;'Reg 85'!$X$10&amp;'Reg 85'!$B57),('DMR 001C TIN &amp; TP'!$E$3:$E$10005&amp;'DMR 001C TIN &amp; TP'!$B$3:$B$10005&amp;'DMR 001C TIN &amp; TP'!$A$3:$A$10005),0),MATCH('Reg 85'!$Z$11,'DMR 001C TIN &amp; TP'!$A$2:$M$2,0))),"")</f>
        <v>4.59</v>
      </c>
      <c r="AA57" s="53">
        <f t="shared" si="11"/>
        <v>4.59</v>
      </c>
      <c r="AB57" s="5" t="str">
        <f t="shared" si="12"/>
        <v/>
      </c>
      <c r="AC57" s="6" t="str">
        <f t="array" ref="AC57">_xlfn.IFNA((INDEX('DMR 001C TIN &amp; TP'!$A$3:$M$10005,MATCH(('Reg 85'!$X$6&amp;'Reg 85'!$AB$10&amp;'Reg 85'!$B57),('DMR 001C TIN &amp; TP'!$E$3:$E$10005&amp;'DMR 001C TIN &amp; TP'!$B$3:$B$10005&amp;'DMR 001C TIN &amp; TP'!$A$3:$A$10005),0),MATCH('Reg 85'!$AC$11,'DMR 001C TIN &amp; TP'!$A$2:$M$2,0))),"")</f>
        <v>0.06</v>
      </c>
      <c r="AD57" s="6">
        <f t="array" ref="AD57">_xlfn.IFNA((INDEX('DMR 001C TIN &amp; TP'!$A$3:$M$10005,MATCH(('Reg 85'!$X$6&amp;'Reg 85'!$AB$10&amp;'Reg 85'!$B57),('DMR 001C TIN &amp; TP'!$E$3:$E$10005&amp;'DMR 001C TIN &amp; TP'!$B$3:$B$10005&amp;'DMR 001C TIN &amp; TP'!$A$3:$A$10005),0),MATCH('Reg 85'!$AD$11,'DMR 001C TIN &amp; TP'!$A$2:$M$2,0))),"")</f>
        <v>5.0999999999999996</v>
      </c>
      <c r="AE57" s="53">
        <f t="shared" si="13"/>
        <v>5.0999999999999996</v>
      </c>
      <c r="AF57" s="7">
        <f t="shared" si="14"/>
        <v>4.9182846719421676</v>
      </c>
      <c r="AG57" s="6" t="str">
        <f t="array" ref="AG57">_xlfn.IFNA((INDEX('DMR 001C TIN &amp; TP'!$A$3:$M$10005,MATCH(('Reg 85'!$X$6&amp;'Reg 85'!AG$10&amp;'Reg 85'!$B57),('DMR 001C TIN &amp; TP'!$E$3:$E$10005&amp;'DMR 001C TIN &amp; TP'!$B$3:$B$10005&amp;'DMR 001C TIN &amp; TP'!$A$3:$A$10005),0),MATCH('Reg 85'!$AG$11,'DMR 001C TIN &amp; TP'!$A$2:$M$2,0))),"")</f>
        <v/>
      </c>
      <c r="AH57" s="6" t="str">
        <f t="array" ref="AH57">_xlfn.IFNA((INDEX('DMR 001C TIN &amp; TP'!$A$3:$M$10005,MATCH(('Reg 85'!$X$6&amp;'Reg 85'!AH$10&amp;'Reg 85'!$B57),('DMR 001C TIN &amp; TP'!$E$3:$E$10005&amp;'DMR 001C TIN &amp; TP'!$B$3:$B$10005&amp;'DMR 001C TIN &amp; TP'!$A$3:$A$10005),0),MATCH('Reg 85'!$AG$11,'DMR 001C TIN &amp; TP'!$A$2:$M$2,0))),"")</f>
        <v/>
      </c>
      <c r="AI57" s="6" t="str">
        <f t="array" ref="AI57">_xlfn.IFNA((INDEX('DMR 001C TIN &amp; TP'!$A$3:$M$10005,MATCH(('Reg 85'!$X$6&amp;'Reg 85'!AI$10&amp;'Reg 85'!$B57),('DMR 001C TIN &amp; TP'!$E$3:$E$10005&amp;'DMR 001C TIN &amp; TP'!$B$3:$B$10005&amp;'DMR 001C TIN &amp; TP'!$A$3:$A$10005),0),MATCH('Reg 85'!$AG$11,'DMR 001C TIN &amp; TP'!$A$2:$M$2,0))),"")</f>
        <v/>
      </c>
      <c r="AJ57" s="6" t="str">
        <f t="array" ref="AJ57">_xlfn.IFNA((INDEX('DMR 001C TIN &amp; TP'!$A$3:$M$10005,MATCH(('Reg 85'!$X$6&amp;'Reg 85'!AJ$10&amp;'Reg 85'!$B57),('DMR 001C TIN &amp; TP'!$E$3:$E$10005&amp;'DMR 001C TIN &amp; TP'!$B$3:$B$10005&amp;'DMR 001C TIN &amp; TP'!$A$3:$A$10005),0),MATCH('Reg 85'!$AG$11,'DMR 001C TIN &amp; TP'!$A$2:$M$2,0))),"")</f>
        <v/>
      </c>
      <c r="AK57" s="6" t="str">
        <f t="array" ref="AK57">_xlfn.IFNA((INDEX('DMR 001C TIN &amp; TP'!$A$3:$M$10005,MATCH(('Reg 85'!$X$6&amp;'Reg 85'!AK$10&amp;'Reg 85'!$B57),('DMR 001C TIN &amp; TP'!$E$3:$E$10005&amp;'DMR 001C TIN &amp; TP'!$B$3:$B$10005&amp;'DMR 001C TIN &amp; TP'!$A$3:$A$10005),0),MATCH('Reg 85'!$AG$11,'DMR 001C TIN &amp; TP'!$A$2:$M$2,0))),"")</f>
        <v/>
      </c>
      <c r="AL57" s="6" t="str">
        <f t="array" ref="AL57">_xlfn.IFNA((INDEX('DMR 001C TIN &amp; TP'!$A$3:$M$10005,MATCH(('Reg 85'!$X$6&amp;'Reg 85'!AL$10&amp;'Reg 85'!$B57),('DMR 001C TIN &amp; TP'!$E$3:$E$10005&amp;'DMR 001C TIN &amp; TP'!$B$3:$B$10005&amp;'DMR 001C TIN &amp; TP'!$A$3:$A$10005),0),MATCH('Reg 85'!$AG$11,'DMR 001C TIN &amp; TP'!$A$2:$M$2,0))),"")</f>
        <v/>
      </c>
      <c r="AM57" s="76"/>
      <c r="AN57" s="6"/>
      <c r="AO57" s="54">
        <f t="shared" si="0"/>
        <v>4.9895455849060237</v>
      </c>
      <c r="AP57" s="77" t="str">
        <f t="shared" si="39"/>
        <v/>
      </c>
      <c r="AQ57" s="47"/>
      <c r="AR57" s="6" t="str">
        <f t="array" ref="AR57">_xlfn.IFNA((INDEX('DMR 001C TIN &amp; TP'!$A$3:$M$10005,MATCH(('Reg 85'!$AQ$6&amp;'Reg 85'!$AQ$10&amp;'Reg 85'!$B57),('DMR 001C TIN &amp; TP'!$E$3:$E$10005&amp;'DMR 001C TIN &amp; TP'!$B$3:$B$10005&amp;'DMR 001C TIN &amp; TP'!$A$3:$A$10005),0),MATCH('Reg 85'!$AR$11,'DMR 001C TIN &amp; TP'!$A$2:$M$2,0))),"")</f>
        <v/>
      </c>
      <c r="AS57" s="6" t="str">
        <f t="array" ref="AS57">_xlfn.IFNA((INDEX('DMR 001C TIN &amp; TP'!$A$3:$M$10005,MATCH(('Reg 85'!$AQ$6&amp;'Reg 85'!$AQ$10&amp;'Reg 85'!$B57),('DMR 001C TIN &amp; TP'!$E$3:$E$10005&amp;'DMR 001C TIN &amp; TP'!$B$3:$B$10005&amp;'DMR 001C TIN &amp; TP'!$A$3:$A$10005),0),MATCH('Reg 85'!$AS$11,'DMR 001C TIN &amp; TP'!$A$2:$M$2,0))),"")</f>
        <v/>
      </c>
      <c r="AT57" s="53" t="str">
        <f t="shared" si="15"/>
        <v/>
      </c>
      <c r="AV57" s="6" t="str">
        <f t="array" ref="AV57">_xlfn.IFNA((INDEX('DMR 001C TIN &amp; TP'!$A$3:$M$10005,MATCH(('Reg 85'!$AQ$6&amp;'Reg 85'!$AU$10&amp;'Reg 85'!$B57),('DMR 001C TIN &amp; TP'!$E$3:$E$10005&amp;'DMR 001C TIN &amp; TP'!$B$3:$B$10005&amp;'DMR 001C TIN &amp; TP'!$A$3:$A$10005),0),MATCH('Reg 85'!$AV$11,'DMR 001C TIN &amp; TP'!$A$2:$M$2,0))),"")</f>
        <v/>
      </c>
      <c r="AW57" s="6" t="str">
        <f t="array" ref="AW57">_xlfn.IFNA((INDEX('DMR 001C TIN &amp; TP'!$A$3:$M$10005,MATCH(('Reg 85'!$AQ$6&amp;'Reg 85'!$AU$10&amp;'Reg 85'!$B57),('DMR 001C TIN &amp; TP'!$E$3:$E$10005&amp;'DMR 001C TIN &amp; TP'!$B$3:$B$10005&amp;'DMR 001C TIN &amp; TP'!$A$3:$A$10005),0),MATCH('Reg 85'!$AW$11,'DMR 001C TIN &amp; TP'!$A$2:$M$2,0))),"")</f>
        <v/>
      </c>
      <c r="AX57" s="53" t="str">
        <f t="shared" si="16"/>
        <v/>
      </c>
      <c r="AY57" s="55" t="str">
        <f t="shared" si="17"/>
        <v/>
      </c>
      <c r="AZ57" s="77" t="str">
        <f t="shared" si="37"/>
        <v/>
      </c>
      <c r="BA57" s="6" t="str">
        <f t="array" ref="BA57">_xlfn.IFNA((INDEX('DMR 001C TIN &amp; TP'!$A$3:$M$10005,MATCH(('Reg 85'!$AQ$6&amp;'Reg 85'!BA$10&amp;'Reg 85'!$B57),('DMR 001C TIN &amp; TP'!$E$3:$E$10005&amp;'DMR 001C TIN &amp; TP'!$B$3:$B$10005&amp;'DMR 001C TIN &amp; TP'!$A$3:$A$10005),0),MATCH('Reg 85'!$AG$11,'DMR 001C TIN &amp; TP'!$A$2:$M$2,0))),"")</f>
        <v/>
      </c>
      <c r="BB57" s="6" t="str">
        <f t="array" ref="BB57">_xlfn.IFNA((INDEX('DMR 001C TIN &amp; TP'!$A$3:$M$10005,MATCH(('Reg 85'!$AQ$6&amp;'Reg 85'!BB$10&amp;'Reg 85'!$B57),('DMR 001C TIN &amp; TP'!$E$3:$E$10005&amp;'DMR 001C TIN &amp; TP'!$B$3:$B$10005&amp;'DMR 001C TIN &amp; TP'!$A$3:$A$10005),0),MATCH('Reg 85'!$AG$11,'DMR 001C TIN &amp; TP'!$A$2:$M$2,0))),"")</f>
        <v/>
      </c>
      <c r="BC57" s="6" t="str">
        <f t="array" ref="BC57">_xlfn.IFNA((INDEX('DMR 001C TIN &amp; TP'!$A$3:$M$10005,MATCH(('Reg 85'!$AQ$6&amp;'Reg 85'!BC$10&amp;'Reg 85'!$B57),('DMR 001C TIN &amp; TP'!$E$3:$E$10005&amp;'DMR 001C TIN &amp; TP'!$B$3:$B$10005&amp;'DMR 001C TIN &amp; TP'!$A$3:$A$10005),0),MATCH('Reg 85'!$AG$11,'DMR 001C TIN &amp; TP'!$A$2:$M$2,0))),"")</f>
        <v/>
      </c>
      <c r="BD57" s="6" t="str">
        <f t="array" ref="BD57">_xlfn.IFNA((INDEX('DMR 001C TIN &amp; TP'!$A$3:$M$10005,MATCH(('Reg 85'!$AQ$6&amp;'Reg 85'!BD$10&amp;'Reg 85'!$B57),('DMR 001C TIN &amp; TP'!$E$3:$E$10005&amp;'DMR 001C TIN &amp; TP'!$B$3:$B$10005&amp;'DMR 001C TIN &amp; TP'!$A$3:$A$10005),0),MATCH('Reg 85'!$AG$11,'DMR 001C TIN &amp; TP'!$A$2:$M$2,0))),"")</f>
        <v/>
      </c>
      <c r="BE57" s="6" t="str">
        <f t="array" ref="BE57">_xlfn.IFNA((INDEX('DMR 001C TIN &amp; TP'!$A$3:$M$10005,MATCH(('Reg 85'!$AQ$6&amp;'Reg 85'!BE$10&amp;'Reg 85'!$B57),('DMR 001C TIN &amp; TP'!$E$3:$E$10005&amp;'DMR 001C TIN &amp; TP'!$B$3:$B$10005&amp;'DMR 001C TIN &amp; TP'!$A$3:$A$10005),0),MATCH('Reg 85'!$AG$11,'DMR 001C TIN &amp; TP'!$A$2:$M$2,0))),"")</f>
        <v/>
      </c>
      <c r="BF57" s="6" t="str">
        <f t="array" ref="BF57">_xlfn.IFNA((INDEX('DMR 001C TIN &amp; TP'!$A$3:$M$10005,MATCH(('Reg 85'!$AQ$6&amp;'Reg 85'!BF$10&amp;'Reg 85'!$B57),('DMR 001C TIN &amp; TP'!$E$3:$E$10005&amp;'DMR 001C TIN &amp; TP'!$B$3:$B$10005&amp;'DMR 001C TIN &amp; TP'!$A$3:$A$10005),0),MATCH('Reg 85'!$AG$11,'DMR 001C TIN &amp; TP'!$A$2:$M$2,0))),"")</f>
        <v/>
      </c>
    </row>
    <row r="58" spans="1:58">
      <c r="A58" s="3" t="str">
        <f t="shared" si="2"/>
        <v>Wed</v>
      </c>
      <c r="B58" s="96">
        <f t="shared" si="19"/>
        <v>43390</v>
      </c>
      <c r="C58" s="96">
        <f t="shared" si="3"/>
        <v>43404</v>
      </c>
      <c r="D58" s="96">
        <f t="shared" si="4"/>
        <v>43374</v>
      </c>
      <c r="E58" s="95">
        <f t="shared" si="5"/>
        <v>31</v>
      </c>
      <c r="F58" s="7">
        <f t="array" ref="F58">_xlfn.IFNA(INDEX('DMR Flows-Effluent'!$A$3:$F$9999,MATCH(($F$10&amp;$B58),('DMR Flows-Effluent'!$B$3:$B$9999&amp;'DMR Flows-Effluent'!$A$3:$A$9999),0),MATCH($F$8,'DMR Flows-Effluent'!$A$2:$F$2,0)),"")</f>
        <v>41.103299999999997</v>
      </c>
      <c r="G58" s="7">
        <f t="array" ref="G58">_xlfn.IFNA(INDEX('DMR Flows-Effluent'!$A$3:$F$9999,MATCH(($G$10&amp;$B58),('DMR Flows-Effluent'!$B$3:$B$9999&amp;'DMR Flows-Effluent'!$A$3:$A$9999),0),MATCH($F$8,'DMR Flows-Effluent'!$A$2:$F$2,0)),"")</f>
        <v>81.749399999999994</v>
      </c>
      <c r="H58" s="7">
        <f t="shared" si="6"/>
        <v>122.8527</v>
      </c>
      <c r="I58" s="45" t="str">
        <f t="shared" si="7"/>
        <v/>
      </c>
      <c r="J58" s="6" t="str">
        <f t="array" ref="J58">_xlfn.IFNA((INDEX('DMR 001C TIN &amp; TP'!$A$3:$M$10005,MATCH(('Reg 85'!$I$6:$Q$6&amp;'Reg 85'!$I$10:$K$10&amp;'Reg 85'!$B58),('DMR 001C TIN &amp; TP'!$E$3:$E$10005&amp;'DMR 001C TIN &amp; TP'!$B$3:$B$10005&amp;'DMR 001C TIN &amp; TP'!$A$3:$A$10005),0),MATCH('Reg 85'!$J$11,'DMR 001C TIN &amp; TP'!$A$2:$M$2,0))),"")</f>
        <v>0.15</v>
      </c>
      <c r="K58" s="6">
        <f t="array" ref="K58">_xlfn.IFNA((INDEX('DMR 001C TIN &amp; TP'!$A$3:$M$10005,MATCH(('Reg 85'!$I$6:$Q$6&amp;'Reg 85'!$I$10:$K$10&amp;'Reg 85'!$B58),('DMR 001C TIN &amp; TP'!$E$3:$E$10005&amp;'DMR 001C TIN &amp; TP'!$B$3:$B$10005&amp;'DMR 001C TIN &amp; TP'!$A$3:$A$10005),0),MATCH('Reg 85'!$K$11,'DMR 001C TIN &amp; TP'!$A$2:$M$2,0))),"")</f>
        <v>0.23</v>
      </c>
      <c r="L58" s="53">
        <f t="shared" si="21"/>
        <v>0.23</v>
      </c>
      <c r="M58" s="5" t="str">
        <f t="shared" si="8"/>
        <v/>
      </c>
      <c r="N58" s="6" t="str">
        <f t="array" ref="N58">_xlfn.IFNA((INDEX('DMR 001C TIN &amp; TP'!$A$3:$M$10005,MATCH(('Reg 85'!$I$6:$Q$6&amp;'Reg 85'!$M$10&amp;'Reg 85'!$B58),('DMR 001C TIN &amp; TP'!$E$3:$E$10005&amp;'DMR 001C TIN &amp; TP'!$B$3:$B$10005&amp;'DMR 001C TIN &amp; TP'!$A$3:$A$10005),0),MATCH('Reg 85'!$N$11,'DMR 001C TIN &amp; TP'!$A$2:$M$2,0))),"")</f>
        <v>0.15</v>
      </c>
      <c r="O58" s="6">
        <f t="array" ref="O58">_xlfn.IFNA((INDEX('DMR 001C TIN &amp; TP'!$A$3:$M$10005,MATCH(('Reg 85'!$I$6:$Q$6&amp;'Reg 85'!$M$10&amp;'Reg 85'!$B58),('DMR 001C TIN &amp; TP'!$E$3:$E$10005&amp;'DMR 001C TIN &amp; TP'!$B$3:$B$10005&amp;'DMR 001C TIN &amp; TP'!$A$3:$A$10005),0),MATCH('Reg 85'!$O$11,'DMR 001C TIN &amp; TP'!$A$2:$M$2,0))),"")</f>
        <v>0.2</v>
      </c>
      <c r="P58" s="53">
        <f t="shared" si="9"/>
        <v>0.2</v>
      </c>
      <c r="Q58" s="73">
        <f t="array" ref="Q58">IFERROR(((L58*$F58)+(P58*$G58))/($H58),"")</f>
        <v>0.21003721529929742</v>
      </c>
      <c r="R58" s="6" t="str">
        <f t="array" ref="R58">_xlfn.IFNA((INDEX('DMR 001C TIN &amp; TP'!$A$3:$M$10005,MATCH(('Reg 85'!$I$6:$Q$6&amp;'Reg 85'!R$10&amp;'Reg 85'!$B58),('DMR 001C TIN &amp; TP'!$E$3:$E$10005&amp;'DMR 001C TIN &amp; TP'!$B$3:$B$10005&amp;'DMR 001C TIN &amp; TP'!$A$3:$A$10005),0),MATCH('Reg 85'!$O$11,'DMR 001C TIN &amp; TP'!$A$2:$M$2,0))),"")</f>
        <v/>
      </c>
      <c r="S58" s="6" t="str">
        <f t="array" ref="S58">_xlfn.IFNA((INDEX('DMR 001C TIN &amp; TP'!$A$3:$M$10005,MATCH(('Reg 85'!$I$6:$Q$6&amp;'Reg 85'!S$10&amp;'Reg 85'!$B58),('DMR 001C TIN &amp; TP'!$E$3:$E$10005&amp;'DMR 001C TIN &amp; TP'!$B$3:$B$10005&amp;'DMR 001C TIN &amp; TP'!$A$3:$A$10005),0),MATCH('Reg 85'!$O$11,'DMR 001C TIN &amp; TP'!$A$2:$M$2,0))),"")</f>
        <v/>
      </c>
      <c r="T58" s="6" t="str">
        <f t="array" ref="T58">_xlfn.IFNA((INDEX('DMR 001C TIN &amp; TP'!$A$3:$M$10005,MATCH(('Reg 85'!$I$6:$Q$6&amp;'Reg 85'!T$10&amp;'Reg 85'!$B58),('DMR 001C TIN &amp; TP'!$E$3:$E$10005&amp;'DMR 001C TIN &amp; TP'!$B$3:$B$10005&amp;'DMR 001C TIN &amp; TP'!$A$3:$A$10005),0),MATCH('Reg 85'!$O$11,'DMR 001C TIN &amp; TP'!$A$2:$M$2,0))),"")</f>
        <v/>
      </c>
      <c r="U58" s="6" t="str">
        <f t="array" ref="U58">_xlfn.IFNA((INDEX('DMR 001C TIN &amp; TP'!$A$3:$M$10005,MATCH(('Reg 85'!$I$6:$Q$6&amp;'Reg 85'!U$10&amp;'Reg 85'!$B58),('DMR 001C TIN &amp; TP'!$E$3:$E$10005&amp;'DMR 001C TIN &amp; TP'!$B$3:$B$10005&amp;'DMR 001C TIN &amp; TP'!$A$3:$A$10005),0),MATCH('Reg 85'!$O$11,'DMR 001C TIN &amp; TP'!$A$2:$M$2,0))),"")</f>
        <v/>
      </c>
      <c r="V58" s="6" t="str">
        <f t="array" ref="V58">_xlfn.IFNA((INDEX('DMR 001C TIN &amp; TP'!$A$3:$M$10005,MATCH(('Reg 85'!$I$6:$Q$6&amp;'Reg 85'!V$10&amp;'Reg 85'!$B58),('DMR 001C TIN &amp; TP'!$E$3:$E$10005&amp;'DMR 001C TIN &amp; TP'!$B$3:$B$10005&amp;'DMR 001C TIN &amp; TP'!$A$3:$A$10005),0),MATCH('Reg 85'!$O$11,'DMR 001C TIN &amp; TP'!$A$2:$M$2,0))),"")</f>
        <v/>
      </c>
      <c r="W58" s="6" t="str">
        <f t="array" ref="W58">_xlfn.IFNA((INDEX('DMR 001C TIN &amp; TP'!$A$3:$M$10005,MATCH(('Reg 85'!$I$6:$Q$6&amp;'Reg 85'!W$10&amp;'Reg 85'!$B58),('DMR 001C TIN &amp; TP'!$E$3:$E$10005&amp;'DMR 001C TIN &amp; TP'!$B$3:$B$10005&amp;'DMR 001C TIN &amp; TP'!$A$3:$A$10005),0),MATCH('Reg 85'!$O$11,'DMR 001C TIN &amp; TP'!$A$2:$M$2,0))),"")</f>
        <v/>
      </c>
      <c r="X58" s="5" t="str">
        <f t="shared" si="10"/>
        <v/>
      </c>
      <c r="Y58" s="6" t="str">
        <f t="array" ref="Y58">_xlfn.IFNA((INDEX('DMR 001C TIN &amp; TP'!$A$3:$M$10005,MATCH(('Reg 85'!$X$6&amp;'Reg 85'!$X$10&amp;'Reg 85'!$B58),('DMR 001C TIN &amp; TP'!$E$3:$E$10005&amp;'DMR 001C TIN &amp; TP'!$B$3:$B$10005&amp;'DMR 001C TIN &amp; TP'!$A$3:$A$10005),0),MATCH('Reg 85'!$Y$11,'DMR 001C TIN &amp; TP'!$A$2:$M$2,0))),"")</f>
        <v>0.06</v>
      </c>
      <c r="Z58" s="6">
        <f t="array" ref="Z58">_xlfn.IFNA((INDEX('DMR 001C TIN &amp; TP'!$A$3:$M$10005,MATCH(('Reg 85'!$X$6&amp;'Reg 85'!$X$10&amp;'Reg 85'!$B58),('DMR 001C TIN &amp; TP'!$E$3:$E$10005&amp;'DMR 001C TIN &amp; TP'!$B$3:$B$10005&amp;'DMR 001C TIN &amp; TP'!$A$3:$A$10005),0),MATCH('Reg 85'!$Z$11,'DMR 001C TIN &amp; TP'!$A$2:$M$2,0))),"")</f>
        <v>4.8099999999999996</v>
      </c>
      <c r="AA58" s="53">
        <f t="shared" si="11"/>
        <v>4.8099999999999996</v>
      </c>
      <c r="AB58" s="5" t="str">
        <f t="shared" si="12"/>
        <v/>
      </c>
      <c r="AC58" s="6" t="str">
        <f t="array" ref="AC58">_xlfn.IFNA((INDEX('DMR 001C TIN &amp; TP'!$A$3:$M$10005,MATCH(('Reg 85'!$X$6&amp;'Reg 85'!$AB$10&amp;'Reg 85'!$B58),('DMR 001C TIN &amp; TP'!$E$3:$E$10005&amp;'DMR 001C TIN &amp; TP'!$B$3:$B$10005&amp;'DMR 001C TIN &amp; TP'!$A$3:$A$10005),0),MATCH('Reg 85'!$AC$11,'DMR 001C TIN &amp; TP'!$A$2:$M$2,0))),"")</f>
        <v>0.06</v>
      </c>
      <c r="AD58" s="6">
        <f t="array" ref="AD58">_xlfn.IFNA((INDEX('DMR 001C TIN &amp; TP'!$A$3:$M$10005,MATCH(('Reg 85'!$X$6&amp;'Reg 85'!$AB$10&amp;'Reg 85'!$B58),('DMR 001C TIN &amp; TP'!$E$3:$E$10005&amp;'DMR 001C TIN &amp; TP'!$B$3:$B$10005&amp;'DMR 001C TIN &amp; TP'!$A$3:$A$10005),0),MATCH('Reg 85'!$AD$11,'DMR 001C TIN &amp; TP'!$A$2:$M$2,0))),"")</f>
        <v>5.77</v>
      </c>
      <c r="AE58" s="53">
        <f t="shared" si="13"/>
        <v>5.77</v>
      </c>
      <c r="AF58" s="7">
        <f t="shared" si="14"/>
        <v>5.4488091104224816</v>
      </c>
      <c r="AG58" s="6" t="str">
        <f t="array" ref="AG58">_xlfn.IFNA((INDEX('DMR 001C TIN &amp; TP'!$A$3:$M$10005,MATCH(('Reg 85'!$X$6&amp;'Reg 85'!AG$10&amp;'Reg 85'!$B58),('DMR 001C TIN &amp; TP'!$E$3:$E$10005&amp;'DMR 001C TIN &amp; TP'!$B$3:$B$10005&amp;'DMR 001C TIN &amp; TP'!$A$3:$A$10005),0),MATCH('Reg 85'!$AG$11,'DMR 001C TIN &amp; TP'!$A$2:$M$2,0))),"")</f>
        <v/>
      </c>
      <c r="AH58" s="6" t="str">
        <f t="array" ref="AH58">_xlfn.IFNA((INDEX('DMR 001C TIN &amp; TP'!$A$3:$M$10005,MATCH(('Reg 85'!$X$6&amp;'Reg 85'!AH$10&amp;'Reg 85'!$B58),('DMR 001C TIN &amp; TP'!$E$3:$E$10005&amp;'DMR 001C TIN &amp; TP'!$B$3:$B$10005&amp;'DMR 001C TIN &amp; TP'!$A$3:$A$10005),0),MATCH('Reg 85'!$AG$11,'DMR 001C TIN &amp; TP'!$A$2:$M$2,0))),"")</f>
        <v/>
      </c>
      <c r="AI58" s="6" t="str">
        <f t="array" ref="AI58">_xlfn.IFNA((INDEX('DMR 001C TIN &amp; TP'!$A$3:$M$10005,MATCH(('Reg 85'!$X$6&amp;'Reg 85'!AI$10&amp;'Reg 85'!$B58),('DMR 001C TIN &amp; TP'!$E$3:$E$10005&amp;'DMR 001C TIN &amp; TP'!$B$3:$B$10005&amp;'DMR 001C TIN &amp; TP'!$A$3:$A$10005),0),MATCH('Reg 85'!$AG$11,'DMR 001C TIN &amp; TP'!$A$2:$M$2,0))),"")</f>
        <v/>
      </c>
      <c r="AJ58" s="6" t="str">
        <f t="array" ref="AJ58">_xlfn.IFNA((INDEX('DMR 001C TIN &amp; TP'!$A$3:$M$10005,MATCH(('Reg 85'!$X$6&amp;'Reg 85'!AJ$10&amp;'Reg 85'!$B58),('DMR 001C TIN &amp; TP'!$E$3:$E$10005&amp;'DMR 001C TIN &amp; TP'!$B$3:$B$10005&amp;'DMR 001C TIN &amp; TP'!$A$3:$A$10005),0),MATCH('Reg 85'!$AG$11,'DMR 001C TIN &amp; TP'!$A$2:$M$2,0))),"")</f>
        <v/>
      </c>
      <c r="AK58" s="6" t="str">
        <f t="array" ref="AK58">_xlfn.IFNA((INDEX('DMR 001C TIN &amp; TP'!$A$3:$M$10005,MATCH(('Reg 85'!$X$6&amp;'Reg 85'!AK$10&amp;'Reg 85'!$B58),('DMR 001C TIN &amp; TP'!$E$3:$E$10005&amp;'DMR 001C TIN &amp; TP'!$B$3:$B$10005&amp;'DMR 001C TIN &amp; TP'!$A$3:$A$10005),0),MATCH('Reg 85'!$AG$11,'DMR 001C TIN &amp; TP'!$A$2:$M$2,0))),"")</f>
        <v/>
      </c>
      <c r="AL58" s="6" t="str">
        <f t="array" ref="AL58">_xlfn.IFNA((INDEX('DMR 001C TIN &amp; TP'!$A$3:$M$10005,MATCH(('Reg 85'!$X$6&amp;'Reg 85'!AL$10&amp;'Reg 85'!$B58),('DMR 001C TIN &amp; TP'!$E$3:$E$10005&amp;'DMR 001C TIN &amp; TP'!$B$3:$B$10005&amp;'DMR 001C TIN &amp; TP'!$A$3:$A$10005),0),MATCH('Reg 85'!$AG$11,'DMR 001C TIN &amp; TP'!$A$2:$M$2,0))),"")</f>
        <v/>
      </c>
      <c r="AM58" s="76"/>
      <c r="AN58" s="6"/>
      <c r="AO58" s="54">
        <f t="shared" si="0"/>
        <v>5.6588463257217789</v>
      </c>
      <c r="AP58" s="77" t="str">
        <f t="shared" si="39"/>
        <v/>
      </c>
      <c r="AQ58" s="47"/>
      <c r="AR58" s="6" t="str">
        <f t="array" ref="AR58">_xlfn.IFNA((INDEX('DMR 001C TIN &amp; TP'!$A$3:$M$10005,MATCH(('Reg 85'!$AQ$6&amp;'Reg 85'!$AQ$10&amp;'Reg 85'!$B58),('DMR 001C TIN &amp; TP'!$E$3:$E$10005&amp;'DMR 001C TIN &amp; TP'!$B$3:$B$10005&amp;'DMR 001C TIN &amp; TP'!$A$3:$A$10005),0),MATCH('Reg 85'!$AR$11,'DMR 001C TIN &amp; TP'!$A$2:$M$2,0))),"")</f>
        <v/>
      </c>
      <c r="AS58" s="6" t="str">
        <f t="array" ref="AS58">_xlfn.IFNA((INDEX('DMR 001C TIN &amp; TP'!$A$3:$M$10005,MATCH(('Reg 85'!$AQ$6&amp;'Reg 85'!$AQ$10&amp;'Reg 85'!$B58),('DMR 001C TIN &amp; TP'!$E$3:$E$10005&amp;'DMR 001C TIN &amp; TP'!$B$3:$B$10005&amp;'DMR 001C TIN &amp; TP'!$A$3:$A$10005),0),MATCH('Reg 85'!$AS$11,'DMR 001C TIN &amp; TP'!$A$2:$M$2,0))),"")</f>
        <v/>
      </c>
      <c r="AT58" s="53" t="str">
        <f t="shared" si="15"/>
        <v/>
      </c>
      <c r="AV58" s="6" t="str">
        <f t="array" ref="AV58">_xlfn.IFNA((INDEX('DMR 001C TIN &amp; TP'!$A$3:$M$10005,MATCH(('Reg 85'!$AQ$6&amp;'Reg 85'!$AU$10&amp;'Reg 85'!$B58),('DMR 001C TIN &amp; TP'!$E$3:$E$10005&amp;'DMR 001C TIN &amp; TP'!$B$3:$B$10005&amp;'DMR 001C TIN &amp; TP'!$A$3:$A$10005),0),MATCH('Reg 85'!$AV$11,'DMR 001C TIN &amp; TP'!$A$2:$M$2,0))),"")</f>
        <v/>
      </c>
      <c r="AW58" s="6" t="str">
        <f t="array" ref="AW58">_xlfn.IFNA((INDEX('DMR 001C TIN &amp; TP'!$A$3:$M$10005,MATCH(('Reg 85'!$AQ$6&amp;'Reg 85'!$AU$10&amp;'Reg 85'!$B58),('DMR 001C TIN &amp; TP'!$E$3:$E$10005&amp;'DMR 001C TIN &amp; TP'!$B$3:$B$10005&amp;'DMR 001C TIN &amp; TP'!$A$3:$A$10005),0),MATCH('Reg 85'!$AW$11,'DMR 001C TIN &amp; TP'!$A$2:$M$2,0))),"")</f>
        <v/>
      </c>
      <c r="AX58" s="53" t="str">
        <f t="shared" si="16"/>
        <v/>
      </c>
      <c r="AY58" s="55" t="str">
        <f t="shared" si="17"/>
        <v/>
      </c>
      <c r="AZ58" s="77" t="str">
        <f t="shared" si="37"/>
        <v/>
      </c>
      <c r="BA58" s="6" t="str">
        <f t="array" ref="BA58">_xlfn.IFNA((INDEX('DMR 001C TIN &amp; TP'!$A$3:$M$10005,MATCH(('Reg 85'!$AQ$6&amp;'Reg 85'!BA$10&amp;'Reg 85'!$B58),('DMR 001C TIN &amp; TP'!$E$3:$E$10005&amp;'DMR 001C TIN &amp; TP'!$B$3:$B$10005&amp;'DMR 001C TIN &amp; TP'!$A$3:$A$10005),0),MATCH('Reg 85'!$AG$11,'DMR 001C TIN &amp; TP'!$A$2:$M$2,0))),"")</f>
        <v/>
      </c>
      <c r="BB58" s="6" t="str">
        <f t="array" ref="BB58">_xlfn.IFNA((INDEX('DMR 001C TIN &amp; TP'!$A$3:$M$10005,MATCH(('Reg 85'!$AQ$6&amp;'Reg 85'!BB$10&amp;'Reg 85'!$B58),('DMR 001C TIN &amp; TP'!$E$3:$E$10005&amp;'DMR 001C TIN &amp; TP'!$B$3:$B$10005&amp;'DMR 001C TIN &amp; TP'!$A$3:$A$10005),0),MATCH('Reg 85'!$AG$11,'DMR 001C TIN &amp; TP'!$A$2:$M$2,0))),"")</f>
        <v/>
      </c>
      <c r="BC58" s="6" t="str">
        <f t="array" ref="BC58">_xlfn.IFNA((INDEX('DMR 001C TIN &amp; TP'!$A$3:$M$10005,MATCH(('Reg 85'!$AQ$6&amp;'Reg 85'!BC$10&amp;'Reg 85'!$B58),('DMR 001C TIN &amp; TP'!$E$3:$E$10005&amp;'DMR 001C TIN &amp; TP'!$B$3:$B$10005&amp;'DMR 001C TIN &amp; TP'!$A$3:$A$10005),0),MATCH('Reg 85'!$AG$11,'DMR 001C TIN &amp; TP'!$A$2:$M$2,0))),"")</f>
        <v/>
      </c>
      <c r="BD58" s="6" t="str">
        <f t="array" ref="BD58">_xlfn.IFNA((INDEX('DMR 001C TIN &amp; TP'!$A$3:$M$10005,MATCH(('Reg 85'!$AQ$6&amp;'Reg 85'!BD$10&amp;'Reg 85'!$B58),('DMR 001C TIN &amp; TP'!$E$3:$E$10005&amp;'DMR 001C TIN &amp; TP'!$B$3:$B$10005&amp;'DMR 001C TIN &amp; TP'!$A$3:$A$10005),0),MATCH('Reg 85'!$AG$11,'DMR 001C TIN &amp; TP'!$A$2:$M$2,0))),"")</f>
        <v/>
      </c>
      <c r="BE58" s="6" t="str">
        <f t="array" ref="BE58">_xlfn.IFNA((INDEX('DMR 001C TIN &amp; TP'!$A$3:$M$10005,MATCH(('Reg 85'!$AQ$6&amp;'Reg 85'!BE$10&amp;'Reg 85'!$B58),('DMR 001C TIN &amp; TP'!$E$3:$E$10005&amp;'DMR 001C TIN &amp; TP'!$B$3:$B$10005&amp;'DMR 001C TIN &amp; TP'!$A$3:$A$10005),0),MATCH('Reg 85'!$AG$11,'DMR 001C TIN &amp; TP'!$A$2:$M$2,0))),"")</f>
        <v/>
      </c>
      <c r="BF58" s="6" t="str">
        <f t="array" ref="BF58">_xlfn.IFNA((INDEX('DMR 001C TIN &amp; TP'!$A$3:$M$10005,MATCH(('Reg 85'!$AQ$6&amp;'Reg 85'!BF$10&amp;'Reg 85'!$B58),('DMR 001C TIN &amp; TP'!$E$3:$E$10005&amp;'DMR 001C TIN &amp; TP'!$B$3:$B$10005&amp;'DMR 001C TIN &amp; TP'!$A$3:$A$10005),0),MATCH('Reg 85'!$AG$11,'DMR 001C TIN &amp; TP'!$A$2:$M$2,0))),"")</f>
        <v/>
      </c>
    </row>
    <row r="59" spans="1:58">
      <c r="A59" s="3" t="str">
        <f t="shared" si="2"/>
        <v>Thu</v>
      </c>
      <c r="B59" s="96">
        <f t="shared" si="19"/>
        <v>43391</v>
      </c>
      <c r="C59" s="96">
        <f t="shared" si="3"/>
        <v>43404</v>
      </c>
      <c r="D59" s="96">
        <f t="shared" si="4"/>
        <v>43374</v>
      </c>
      <c r="E59" s="95">
        <f t="shared" si="5"/>
        <v>31</v>
      </c>
      <c r="F59" s="7">
        <f t="array" ref="F59">_xlfn.IFNA(INDEX('DMR Flows-Effluent'!$A$3:$F$9999,MATCH(($F$10&amp;$B59),('DMR Flows-Effluent'!$B$3:$B$9999&amp;'DMR Flows-Effluent'!$A$3:$A$9999),0),MATCH($F$8,'DMR Flows-Effluent'!$A$2:$F$2,0)),"")</f>
        <v>41.2637</v>
      </c>
      <c r="G59" s="7">
        <f t="array" ref="G59">_xlfn.IFNA(INDEX('DMR Flows-Effluent'!$A$3:$F$9999,MATCH(($G$10&amp;$B59),('DMR Flows-Effluent'!$B$3:$B$9999&amp;'DMR Flows-Effluent'!$A$3:$A$9999),0),MATCH($F$8,'DMR Flows-Effluent'!$A$2:$F$2,0)),"")</f>
        <v>79.098100000000002</v>
      </c>
      <c r="H59" s="7">
        <f t="shared" si="6"/>
        <v>120.3618</v>
      </c>
      <c r="I59" s="45" t="str">
        <f t="shared" si="7"/>
        <v/>
      </c>
      <c r="J59" s="6" t="str">
        <f t="array" ref="J59">_xlfn.IFNA((INDEX('DMR 001C TIN &amp; TP'!$A$3:$M$10005,MATCH(('Reg 85'!$I$6:$Q$6&amp;'Reg 85'!$I$10:$K$10&amp;'Reg 85'!$B59),('DMR 001C TIN &amp; TP'!$E$3:$E$10005&amp;'DMR 001C TIN &amp; TP'!$B$3:$B$10005&amp;'DMR 001C TIN &amp; TP'!$A$3:$A$10005),0),MATCH('Reg 85'!$J$11,'DMR 001C TIN &amp; TP'!$A$2:$M$2,0))),"")</f>
        <v/>
      </c>
      <c r="K59" s="6" t="str">
        <f t="array" ref="K59">_xlfn.IFNA((INDEX('DMR 001C TIN &amp; TP'!$A$3:$M$10005,MATCH(('Reg 85'!$I$6:$Q$6&amp;'Reg 85'!$I$10:$K$10&amp;'Reg 85'!$B59),('DMR 001C TIN &amp; TP'!$E$3:$E$10005&amp;'DMR 001C TIN &amp; TP'!$B$3:$B$10005&amp;'DMR 001C TIN &amp; TP'!$A$3:$A$10005),0),MATCH('Reg 85'!$K$11,'DMR 001C TIN &amp; TP'!$A$2:$M$2,0))),"")</f>
        <v/>
      </c>
      <c r="L59" s="53" t="str">
        <f t="shared" si="21"/>
        <v/>
      </c>
      <c r="M59" s="5" t="str">
        <f t="shared" si="8"/>
        <v/>
      </c>
      <c r="N59" s="6" t="str">
        <f t="array" ref="N59">_xlfn.IFNA((INDEX('DMR 001C TIN &amp; TP'!$A$3:$M$10005,MATCH(('Reg 85'!$I$6:$Q$6&amp;'Reg 85'!$M$10&amp;'Reg 85'!$B59),('DMR 001C TIN &amp; TP'!$E$3:$E$10005&amp;'DMR 001C TIN &amp; TP'!$B$3:$B$10005&amp;'DMR 001C TIN &amp; TP'!$A$3:$A$10005),0),MATCH('Reg 85'!$N$11,'DMR 001C TIN &amp; TP'!$A$2:$M$2,0))),"")</f>
        <v/>
      </c>
      <c r="O59" s="6" t="str">
        <f t="array" ref="O59">_xlfn.IFNA((INDEX('DMR 001C TIN &amp; TP'!$A$3:$M$10005,MATCH(('Reg 85'!$I$6:$Q$6&amp;'Reg 85'!$M$10&amp;'Reg 85'!$B59),('DMR 001C TIN &amp; TP'!$E$3:$E$10005&amp;'DMR 001C TIN &amp; TP'!$B$3:$B$10005&amp;'DMR 001C TIN &amp; TP'!$A$3:$A$10005),0),MATCH('Reg 85'!$O$11,'DMR 001C TIN &amp; TP'!$A$2:$M$2,0))),"")</f>
        <v/>
      </c>
      <c r="P59" s="53" t="str">
        <f t="shared" si="9"/>
        <v/>
      </c>
      <c r="Q59" s="73" t="str">
        <f t="array" ref="Q59">IFERROR(((L59*$F59)+(P59*$G59))/($H59),"")</f>
        <v/>
      </c>
      <c r="R59" s="6" t="str">
        <f t="array" ref="R59">_xlfn.IFNA((INDEX('DMR 001C TIN &amp; TP'!$A$3:$M$10005,MATCH(('Reg 85'!$I$6:$Q$6&amp;'Reg 85'!R$10&amp;'Reg 85'!$B59),('DMR 001C TIN &amp; TP'!$E$3:$E$10005&amp;'DMR 001C TIN &amp; TP'!$B$3:$B$10005&amp;'DMR 001C TIN &amp; TP'!$A$3:$A$10005),0),MATCH('Reg 85'!$O$11,'DMR 001C TIN &amp; TP'!$A$2:$M$2,0))),"")</f>
        <v/>
      </c>
      <c r="S59" s="6" t="str">
        <f t="array" ref="S59">_xlfn.IFNA((INDEX('DMR 001C TIN &amp; TP'!$A$3:$M$10005,MATCH(('Reg 85'!$I$6:$Q$6&amp;'Reg 85'!S$10&amp;'Reg 85'!$B59),('DMR 001C TIN &amp; TP'!$E$3:$E$10005&amp;'DMR 001C TIN &amp; TP'!$B$3:$B$10005&amp;'DMR 001C TIN &amp; TP'!$A$3:$A$10005),0),MATCH('Reg 85'!$O$11,'DMR 001C TIN &amp; TP'!$A$2:$M$2,0))),"")</f>
        <v/>
      </c>
      <c r="T59" s="6" t="str">
        <f t="array" ref="T59">_xlfn.IFNA((INDEX('DMR 001C TIN &amp; TP'!$A$3:$M$10005,MATCH(('Reg 85'!$I$6:$Q$6&amp;'Reg 85'!T$10&amp;'Reg 85'!$B59),('DMR 001C TIN &amp; TP'!$E$3:$E$10005&amp;'DMR 001C TIN &amp; TP'!$B$3:$B$10005&amp;'DMR 001C TIN &amp; TP'!$A$3:$A$10005),0),MATCH('Reg 85'!$O$11,'DMR 001C TIN &amp; TP'!$A$2:$M$2,0))),"")</f>
        <v/>
      </c>
      <c r="U59" s="6" t="str">
        <f t="array" ref="U59">_xlfn.IFNA((INDEX('DMR 001C TIN &amp; TP'!$A$3:$M$10005,MATCH(('Reg 85'!$I$6:$Q$6&amp;'Reg 85'!U$10&amp;'Reg 85'!$B59),('DMR 001C TIN &amp; TP'!$E$3:$E$10005&amp;'DMR 001C TIN &amp; TP'!$B$3:$B$10005&amp;'DMR 001C TIN &amp; TP'!$A$3:$A$10005),0),MATCH('Reg 85'!$O$11,'DMR 001C TIN &amp; TP'!$A$2:$M$2,0))),"")</f>
        <v/>
      </c>
      <c r="V59" s="6" t="str">
        <f t="array" ref="V59">_xlfn.IFNA((INDEX('DMR 001C TIN &amp; TP'!$A$3:$M$10005,MATCH(('Reg 85'!$I$6:$Q$6&amp;'Reg 85'!V$10&amp;'Reg 85'!$B59),('DMR 001C TIN &amp; TP'!$E$3:$E$10005&amp;'DMR 001C TIN &amp; TP'!$B$3:$B$10005&amp;'DMR 001C TIN &amp; TP'!$A$3:$A$10005),0),MATCH('Reg 85'!$O$11,'DMR 001C TIN &amp; TP'!$A$2:$M$2,0))),"")</f>
        <v/>
      </c>
      <c r="W59" s="6" t="str">
        <f t="array" ref="W59">_xlfn.IFNA((INDEX('DMR 001C TIN &amp; TP'!$A$3:$M$10005,MATCH(('Reg 85'!$I$6:$Q$6&amp;'Reg 85'!W$10&amp;'Reg 85'!$B59),('DMR 001C TIN &amp; TP'!$E$3:$E$10005&amp;'DMR 001C TIN &amp; TP'!$B$3:$B$10005&amp;'DMR 001C TIN &amp; TP'!$A$3:$A$10005),0),MATCH('Reg 85'!$O$11,'DMR 001C TIN &amp; TP'!$A$2:$M$2,0))),"")</f>
        <v/>
      </c>
      <c r="X59" s="5" t="str">
        <f t="shared" si="10"/>
        <v/>
      </c>
      <c r="Y59" s="6" t="str">
        <f t="array" ref="Y59">_xlfn.IFNA((INDEX('DMR 001C TIN &amp; TP'!$A$3:$M$10005,MATCH(('Reg 85'!$X$6&amp;'Reg 85'!$X$10&amp;'Reg 85'!$B59),('DMR 001C TIN &amp; TP'!$E$3:$E$10005&amp;'DMR 001C TIN &amp; TP'!$B$3:$B$10005&amp;'DMR 001C TIN &amp; TP'!$A$3:$A$10005),0),MATCH('Reg 85'!$Y$11,'DMR 001C TIN &amp; TP'!$A$2:$M$2,0))),"")</f>
        <v/>
      </c>
      <c r="Z59" s="6" t="str">
        <f t="array" ref="Z59">_xlfn.IFNA((INDEX('DMR 001C TIN &amp; TP'!$A$3:$M$10005,MATCH(('Reg 85'!$X$6&amp;'Reg 85'!$X$10&amp;'Reg 85'!$B59),('DMR 001C TIN &amp; TP'!$E$3:$E$10005&amp;'DMR 001C TIN &amp; TP'!$B$3:$B$10005&amp;'DMR 001C TIN &amp; TP'!$A$3:$A$10005),0),MATCH('Reg 85'!$Z$11,'DMR 001C TIN &amp; TP'!$A$2:$M$2,0))),"")</f>
        <v/>
      </c>
      <c r="AA59" s="53" t="str">
        <f t="shared" si="11"/>
        <v/>
      </c>
      <c r="AB59" s="5" t="str">
        <f t="shared" si="12"/>
        <v/>
      </c>
      <c r="AC59" s="6" t="str">
        <f t="array" ref="AC59">_xlfn.IFNA((INDEX('DMR 001C TIN &amp; TP'!$A$3:$M$10005,MATCH(('Reg 85'!$X$6&amp;'Reg 85'!$AB$10&amp;'Reg 85'!$B59),('DMR 001C TIN &amp; TP'!$E$3:$E$10005&amp;'DMR 001C TIN &amp; TP'!$B$3:$B$10005&amp;'DMR 001C TIN &amp; TP'!$A$3:$A$10005),0),MATCH('Reg 85'!$AC$11,'DMR 001C TIN &amp; TP'!$A$2:$M$2,0))),"")</f>
        <v/>
      </c>
      <c r="AD59" s="6" t="str">
        <f t="array" ref="AD59">_xlfn.IFNA((INDEX('DMR 001C TIN &amp; TP'!$A$3:$M$10005,MATCH(('Reg 85'!$X$6&amp;'Reg 85'!$AB$10&amp;'Reg 85'!$B59),('DMR 001C TIN &amp; TP'!$E$3:$E$10005&amp;'DMR 001C TIN &amp; TP'!$B$3:$B$10005&amp;'DMR 001C TIN &amp; TP'!$A$3:$A$10005),0),MATCH('Reg 85'!$AD$11,'DMR 001C TIN &amp; TP'!$A$2:$M$2,0))),"")</f>
        <v/>
      </c>
      <c r="AE59" s="53" t="str">
        <f t="shared" si="13"/>
        <v/>
      </c>
      <c r="AF59" s="7" t="str">
        <f t="shared" si="14"/>
        <v/>
      </c>
      <c r="AG59" s="6" t="str">
        <f t="array" ref="AG59">_xlfn.IFNA((INDEX('DMR 001C TIN &amp; TP'!$A$3:$M$10005,MATCH(('Reg 85'!$X$6&amp;'Reg 85'!AG$10&amp;'Reg 85'!$B59),('DMR 001C TIN &amp; TP'!$E$3:$E$10005&amp;'DMR 001C TIN &amp; TP'!$B$3:$B$10005&amp;'DMR 001C TIN &amp; TP'!$A$3:$A$10005),0),MATCH('Reg 85'!$AG$11,'DMR 001C TIN &amp; TP'!$A$2:$M$2,0))),"")</f>
        <v/>
      </c>
      <c r="AH59" s="6" t="str">
        <f t="array" ref="AH59">_xlfn.IFNA((INDEX('DMR 001C TIN &amp; TP'!$A$3:$M$10005,MATCH(('Reg 85'!$X$6&amp;'Reg 85'!AH$10&amp;'Reg 85'!$B59),('DMR 001C TIN &amp; TP'!$E$3:$E$10005&amp;'DMR 001C TIN &amp; TP'!$B$3:$B$10005&amp;'DMR 001C TIN &amp; TP'!$A$3:$A$10005),0),MATCH('Reg 85'!$AG$11,'DMR 001C TIN &amp; TP'!$A$2:$M$2,0))),"")</f>
        <v/>
      </c>
      <c r="AI59" s="6" t="str">
        <f t="array" ref="AI59">_xlfn.IFNA((INDEX('DMR 001C TIN &amp; TP'!$A$3:$M$10005,MATCH(('Reg 85'!$X$6&amp;'Reg 85'!AI$10&amp;'Reg 85'!$B59),('DMR 001C TIN &amp; TP'!$E$3:$E$10005&amp;'DMR 001C TIN &amp; TP'!$B$3:$B$10005&amp;'DMR 001C TIN &amp; TP'!$A$3:$A$10005),0),MATCH('Reg 85'!$AG$11,'DMR 001C TIN &amp; TP'!$A$2:$M$2,0))),"")</f>
        <v/>
      </c>
      <c r="AJ59" s="6" t="str">
        <f t="array" ref="AJ59">_xlfn.IFNA((INDEX('DMR 001C TIN &amp; TP'!$A$3:$M$10005,MATCH(('Reg 85'!$X$6&amp;'Reg 85'!AJ$10&amp;'Reg 85'!$B59),('DMR 001C TIN &amp; TP'!$E$3:$E$10005&amp;'DMR 001C TIN &amp; TP'!$B$3:$B$10005&amp;'DMR 001C TIN &amp; TP'!$A$3:$A$10005),0),MATCH('Reg 85'!$AG$11,'DMR 001C TIN &amp; TP'!$A$2:$M$2,0))),"")</f>
        <v/>
      </c>
      <c r="AK59" s="6" t="str">
        <f t="array" ref="AK59">_xlfn.IFNA((INDEX('DMR 001C TIN &amp; TP'!$A$3:$M$10005,MATCH(('Reg 85'!$X$6&amp;'Reg 85'!AK$10&amp;'Reg 85'!$B59),('DMR 001C TIN &amp; TP'!$E$3:$E$10005&amp;'DMR 001C TIN &amp; TP'!$B$3:$B$10005&amp;'DMR 001C TIN &amp; TP'!$A$3:$A$10005),0),MATCH('Reg 85'!$AG$11,'DMR 001C TIN &amp; TP'!$A$2:$M$2,0))),"")</f>
        <v/>
      </c>
      <c r="AL59" s="6" t="str">
        <f t="array" ref="AL59">_xlfn.IFNA((INDEX('DMR 001C TIN &amp; TP'!$A$3:$M$10005,MATCH(('Reg 85'!$X$6&amp;'Reg 85'!AL$10&amp;'Reg 85'!$B59),('DMR 001C TIN &amp; TP'!$E$3:$E$10005&amp;'DMR 001C TIN &amp; TP'!$B$3:$B$10005&amp;'DMR 001C TIN &amp; TP'!$A$3:$A$10005),0),MATCH('Reg 85'!$AG$11,'DMR 001C TIN &amp; TP'!$A$2:$M$2,0))),"")</f>
        <v/>
      </c>
      <c r="AM59" s="76"/>
      <c r="AN59" s="6"/>
      <c r="AO59" s="54" t="str">
        <f t="shared" si="0"/>
        <v/>
      </c>
      <c r="AP59" s="77" t="str">
        <f t="shared" si="39"/>
        <v/>
      </c>
      <c r="AQ59" s="47"/>
      <c r="AR59" s="6" t="str">
        <f t="array" ref="AR59">_xlfn.IFNA((INDEX('DMR 001C TIN &amp; TP'!$A$3:$M$10005,MATCH(('Reg 85'!$AQ$6&amp;'Reg 85'!$AQ$10&amp;'Reg 85'!$B59),('DMR 001C TIN &amp; TP'!$E$3:$E$10005&amp;'DMR 001C TIN &amp; TP'!$B$3:$B$10005&amp;'DMR 001C TIN &amp; TP'!$A$3:$A$10005),0),MATCH('Reg 85'!$AR$11,'DMR 001C TIN &amp; TP'!$A$2:$M$2,0))),"")</f>
        <v>0.03</v>
      </c>
      <c r="AS59" s="6">
        <f t="array" ref="AS59">_xlfn.IFNA((INDEX('DMR 001C TIN &amp; TP'!$A$3:$M$10005,MATCH(('Reg 85'!$AQ$6&amp;'Reg 85'!$AQ$10&amp;'Reg 85'!$B59),('DMR 001C TIN &amp; TP'!$E$3:$E$10005&amp;'DMR 001C TIN &amp; TP'!$B$3:$B$10005&amp;'DMR 001C TIN &amp; TP'!$A$3:$A$10005),0),MATCH('Reg 85'!$AS$11,'DMR 001C TIN &amp; TP'!$A$2:$M$2,0))),"")</f>
        <v>0.28000000000000003</v>
      </c>
      <c r="AT59" s="53">
        <f t="shared" si="15"/>
        <v>0.28000000000000003</v>
      </c>
      <c r="AV59" s="6" t="str">
        <f t="array" ref="AV59">_xlfn.IFNA((INDEX('DMR 001C TIN &amp; TP'!$A$3:$M$10005,MATCH(('Reg 85'!$AQ$6&amp;'Reg 85'!$AU$10&amp;'Reg 85'!$B59),('DMR 001C TIN &amp; TP'!$E$3:$E$10005&amp;'DMR 001C TIN &amp; TP'!$B$3:$B$10005&amp;'DMR 001C TIN &amp; TP'!$A$3:$A$10005),0),MATCH('Reg 85'!$AV$11,'DMR 001C TIN &amp; TP'!$A$2:$M$2,0))),"")</f>
        <v>0.03</v>
      </c>
      <c r="AW59" s="6">
        <f t="array" ref="AW59">_xlfn.IFNA((INDEX('DMR 001C TIN &amp; TP'!$A$3:$M$10005,MATCH(('Reg 85'!$AQ$6&amp;'Reg 85'!$AU$10&amp;'Reg 85'!$B59),('DMR 001C TIN &amp; TP'!$E$3:$E$10005&amp;'DMR 001C TIN &amp; TP'!$B$3:$B$10005&amp;'DMR 001C TIN &amp; TP'!$A$3:$A$10005),0),MATCH('Reg 85'!$AW$11,'DMR 001C TIN &amp; TP'!$A$2:$M$2,0))),"")</f>
        <v>3.04</v>
      </c>
      <c r="AX59" s="53">
        <f t="shared" si="16"/>
        <v>3.04</v>
      </c>
      <c r="AY59" s="55">
        <f t="shared" si="17"/>
        <v>2.0937877299940677</v>
      </c>
      <c r="AZ59" s="77" t="str">
        <f t="shared" si="37"/>
        <v/>
      </c>
      <c r="BA59" s="6" t="str">
        <f t="array" ref="BA59">_xlfn.IFNA((INDEX('DMR 001C TIN &amp; TP'!$A$3:$M$10005,MATCH(('Reg 85'!$AQ$6&amp;'Reg 85'!BA$10&amp;'Reg 85'!$B59),('DMR 001C TIN &amp; TP'!$E$3:$E$10005&amp;'DMR 001C TIN &amp; TP'!$B$3:$B$10005&amp;'DMR 001C TIN &amp; TP'!$A$3:$A$10005),0),MATCH('Reg 85'!$AG$11,'DMR 001C TIN &amp; TP'!$A$2:$M$2,0))),"")</f>
        <v/>
      </c>
      <c r="BB59" s="6" t="str">
        <f t="array" ref="BB59">_xlfn.IFNA((INDEX('DMR 001C TIN &amp; TP'!$A$3:$M$10005,MATCH(('Reg 85'!$AQ$6&amp;'Reg 85'!BB$10&amp;'Reg 85'!$B59),('DMR 001C TIN &amp; TP'!$E$3:$E$10005&amp;'DMR 001C TIN &amp; TP'!$B$3:$B$10005&amp;'DMR 001C TIN &amp; TP'!$A$3:$A$10005),0),MATCH('Reg 85'!$AG$11,'DMR 001C TIN &amp; TP'!$A$2:$M$2,0))),"")</f>
        <v/>
      </c>
      <c r="BC59" s="6" t="str">
        <f t="array" ref="BC59">_xlfn.IFNA((INDEX('DMR 001C TIN &amp; TP'!$A$3:$M$10005,MATCH(('Reg 85'!$AQ$6&amp;'Reg 85'!BC$10&amp;'Reg 85'!$B59),('DMR 001C TIN &amp; TP'!$E$3:$E$10005&amp;'DMR 001C TIN &amp; TP'!$B$3:$B$10005&amp;'DMR 001C TIN &amp; TP'!$A$3:$A$10005),0),MATCH('Reg 85'!$AG$11,'DMR 001C TIN &amp; TP'!$A$2:$M$2,0))),"")</f>
        <v/>
      </c>
      <c r="BD59" s="6" t="str">
        <f t="array" ref="BD59">_xlfn.IFNA((INDEX('DMR 001C TIN &amp; TP'!$A$3:$M$10005,MATCH(('Reg 85'!$AQ$6&amp;'Reg 85'!BD$10&amp;'Reg 85'!$B59),('DMR 001C TIN &amp; TP'!$E$3:$E$10005&amp;'DMR 001C TIN &amp; TP'!$B$3:$B$10005&amp;'DMR 001C TIN &amp; TP'!$A$3:$A$10005),0),MATCH('Reg 85'!$AG$11,'DMR 001C TIN &amp; TP'!$A$2:$M$2,0))),"")</f>
        <v/>
      </c>
      <c r="BE59" s="6" t="str">
        <f t="array" ref="BE59">_xlfn.IFNA((INDEX('DMR 001C TIN &amp; TP'!$A$3:$M$10005,MATCH(('Reg 85'!$AQ$6&amp;'Reg 85'!BE$10&amp;'Reg 85'!$B59),('DMR 001C TIN &amp; TP'!$E$3:$E$10005&amp;'DMR 001C TIN &amp; TP'!$B$3:$B$10005&amp;'DMR 001C TIN &amp; TP'!$A$3:$A$10005),0),MATCH('Reg 85'!$AG$11,'DMR 001C TIN &amp; TP'!$A$2:$M$2,0))),"")</f>
        <v/>
      </c>
      <c r="BF59" s="6" t="str">
        <f t="array" ref="BF59">_xlfn.IFNA((INDEX('DMR 001C TIN &amp; TP'!$A$3:$M$10005,MATCH(('Reg 85'!$AQ$6&amp;'Reg 85'!BF$10&amp;'Reg 85'!$B59),('DMR 001C TIN &amp; TP'!$E$3:$E$10005&amp;'DMR 001C TIN &amp; TP'!$B$3:$B$10005&amp;'DMR 001C TIN &amp; TP'!$A$3:$A$10005),0),MATCH('Reg 85'!$AG$11,'DMR 001C TIN &amp; TP'!$A$2:$M$2,0))),"")</f>
        <v/>
      </c>
    </row>
    <row r="60" spans="1:58">
      <c r="A60" s="3" t="str">
        <f t="shared" si="2"/>
        <v>Fri</v>
      </c>
      <c r="B60" s="96">
        <f t="shared" si="19"/>
        <v>43392</v>
      </c>
      <c r="C60" s="96">
        <f t="shared" si="3"/>
        <v>43404</v>
      </c>
      <c r="D60" s="96">
        <f t="shared" si="4"/>
        <v>43374</v>
      </c>
      <c r="E60" s="95">
        <f t="shared" si="5"/>
        <v>31</v>
      </c>
      <c r="F60" s="7">
        <f t="array" ref="F60">_xlfn.IFNA(INDEX('DMR Flows-Effluent'!$A$3:$F$9999,MATCH(($F$10&amp;$B60),('DMR Flows-Effluent'!$B$3:$B$9999&amp;'DMR Flows-Effluent'!$A$3:$A$9999),0),MATCH($F$8,'DMR Flows-Effluent'!$A$2:$F$2,0)),"")</f>
        <v>37.477699999999999</v>
      </c>
      <c r="G60" s="7">
        <f t="array" ref="G60">_xlfn.IFNA(INDEX('DMR Flows-Effluent'!$A$3:$F$9999,MATCH(($G$10&amp;$B60),('DMR Flows-Effluent'!$B$3:$B$9999&amp;'DMR Flows-Effluent'!$A$3:$A$9999),0),MATCH($F$8,'DMR Flows-Effluent'!$A$2:$F$2,0)),"")</f>
        <v>80.262500000000003</v>
      </c>
      <c r="H60" s="7">
        <f t="shared" si="6"/>
        <v>117.7402</v>
      </c>
      <c r="I60" s="45" t="str">
        <f t="shared" si="7"/>
        <v/>
      </c>
      <c r="J60" s="6" t="str">
        <f t="array" ref="J60">_xlfn.IFNA((INDEX('DMR 001C TIN &amp; TP'!$A$3:$M$10005,MATCH(('Reg 85'!$I$6:$Q$6&amp;'Reg 85'!$I$10:$K$10&amp;'Reg 85'!$B60),('DMR 001C TIN &amp; TP'!$E$3:$E$10005&amp;'DMR 001C TIN &amp; TP'!$B$3:$B$10005&amp;'DMR 001C TIN &amp; TP'!$A$3:$A$10005),0),MATCH('Reg 85'!$J$11,'DMR 001C TIN &amp; TP'!$A$2:$M$2,0))),"")</f>
        <v/>
      </c>
      <c r="K60" s="6" t="str">
        <f t="array" ref="K60">_xlfn.IFNA((INDEX('DMR 001C TIN &amp; TP'!$A$3:$M$10005,MATCH(('Reg 85'!$I$6:$Q$6&amp;'Reg 85'!$I$10:$K$10&amp;'Reg 85'!$B60),('DMR 001C TIN &amp; TP'!$E$3:$E$10005&amp;'DMR 001C TIN &amp; TP'!$B$3:$B$10005&amp;'DMR 001C TIN &amp; TP'!$A$3:$A$10005),0),MATCH('Reg 85'!$K$11,'DMR 001C TIN &amp; TP'!$A$2:$M$2,0))),"")</f>
        <v/>
      </c>
      <c r="L60" s="53" t="str">
        <f t="shared" si="21"/>
        <v/>
      </c>
      <c r="M60" s="5" t="str">
        <f t="shared" si="8"/>
        <v/>
      </c>
      <c r="N60" s="6" t="str">
        <f t="array" ref="N60">_xlfn.IFNA((INDEX('DMR 001C TIN &amp; TP'!$A$3:$M$10005,MATCH(('Reg 85'!$I$6:$Q$6&amp;'Reg 85'!$M$10&amp;'Reg 85'!$B60),('DMR 001C TIN &amp; TP'!$E$3:$E$10005&amp;'DMR 001C TIN &amp; TP'!$B$3:$B$10005&amp;'DMR 001C TIN &amp; TP'!$A$3:$A$10005),0),MATCH('Reg 85'!$N$11,'DMR 001C TIN &amp; TP'!$A$2:$M$2,0))),"")</f>
        <v/>
      </c>
      <c r="O60" s="6" t="str">
        <f t="array" ref="O60">_xlfn.IFNA((INDEX('DMR 001C TIN &amp; TP'!$A$3:$M$10005,MATCH(('Reg 85'!$I$6:$Q$6&amp;'Reg 85'!$M$10&amp;'Reg 85'!$B60),('DMR 001C TIN &amp; TP'!$E$3:$E$10005&amp;'DMR 001C TIN &amp; TP'!$B$3:$B$10005&amp;'DMR 001C TIN &amp; TP'!$A$3:$A$10005),0),MATCH('Reg 85'!$O$11,'DMR 001C TIN &amp; TP'!$A$2:$M$2,0))),"")</f>
        <v/>
      </c>
      <c r="P60" s="53" t="str">
        <f t="shared" si="9"/>
        <v/>
      </c>
      <c r="Q60" s="73" t="str">
        <f t="array" ref="Q60">IFERROR(((L60*$F60)+(P60*$G60))/($H60),"")</f>
        <v/>
      </c>
      <c r="R60" s="6" t="str">
        <f t="array" ref="R60">_xlfn.IFNA((INDEX('DMR 001C TIN &amp; TP'!$A$3:$M$10005,MATCH(('Reg 85'!$I$6:$Q$6&amp;'Reg 85'!R$10&amp;'Reg 85'!$B60),('DMR 001C TIN &amp; TP'!$E$3:$E$10005&amp;'DMR 001C TIN &amp; TP'!$B$3:$B$10005&amp;'DMR 001C TIN &amp; TP'!$A$3:$A$10005),0),MATCH('Reg 85'!$O$11,'DMR 001C TIN &amp; TP'!$A$2:$M$2,0))),"")</f>
        <v/>
      </c>
      <c r="S60" s="6" t="str">
        <f t="array" ref="S60">_xlfn.IFNA((INDEX('DMR 001C TIN &amp; TP'!$A$3:$M$10005,MATCH(('Reg 85'!$I$6:$Q$6&amp;'Reg 85'!S$10&amp;'Reg 85'!$B60),('DMR 001C TIN &amp; TP'!$E$3:$E$10005&amp;'DMR 001C TIN &amp; TP'!$B$3:$B$10005&amp;'DMR 001C TIN &amp; TP'!$A$3:$A$10005),0),MATCH('Reg 85'!$O$11,'DMR 001C TIN &amp; TP'!$A$2:$M$2,0))),"")</f>
        <v/>
      </c>
      <c r="T60" s="6" t="str">
        <f t="array" ref="T60">_xlfn.IFNA((INDEX('DMR 001C TIN &amp; TP'!$A$3:$M$10005,MATCH(('Reg 85'!$I$6:$Q$6&amp;'Reg 85'!T$10&amp;'Reg 85'!$B60),('DMR 001C TIN &amp; TP'!$E$3:$E$10005&amp;'DMR 001C TIN &amp; TP'!$B$3:$B$10005&amp;'DMR 001C TIN &amp; TP'!$A$3:$A$10005),0),MATCH('Reg 85'!$O$11,'DMR 001C TIN &amp; TP'!$A$2:$M$2,0))),"")</f>
        <v/>
      </c>
      <c r="U60" s="6" t="str">
        <f t="array" ref="U60">_xlfn.IFNA((INDEX('DMR 001C TIN &amp; TP'!$A$3:$M$10005,MATCH(('Reg 85'!$I$6:$Q$6&amp;'Reg 85'!U$10&amp;'Reg 85'!$B60),('DMR 001C TIN &amp; TP'!$E$3:$E$10005&amp;'DMR 001C TIN &amp; TP'!$B$3:$B$10005&amp;'DMR 001C TIN &amp; TP'!$A$3:$A$10005),0),MATCH('Reg 85'!$O$11,'DMR 001C TIN &amp; TP'!$A$2:$M$2,0))),"")</f>
        <v/>
      </c>
      <c r="V60" s="6" t="str">
        <f t="array" ref="V60">_xlfn.IFNA((INDEX('DMR 001C TIN &amp; TP'!$A$3:$M$10005,MATCH(('Reg 85'!$I$6:$Q$6&amp;'Reg 85'!V$10&amp;'Reg 85'!$B60),('DMR 001C TIN &amp; TP'!$E$3:$E$10005&amp;'DMR 001C TIN &amp; TP'!$B$3:$B$10005&amp;'DMR 001C TIN &amp; TP'!$A$3:$A$10005),0),MATCH('Reg 85'!$O$11,'DMR 001C TIN &amp; TP'!$A$2:$M$2,0))),"")</f>
        <v/>
      </c>
      <c r="W60" s="6" t="str">
        <f t="array" ref="W60">_xlfn.IFNA((INDEX('DMR 001C TIN &amp; TP'!$A$3:$M$10005,MATCH(('Reg 85'!$I$6:$Q$6&amp;'Reg 85'!W$10&amp;'Reg 85'!$B60),('DMR 001C TIN &amp; TP'!$E$3:$E$10005&amp;'DMR 001C TIN &amp; TP'!$B$3:$B$10005&amp;'DMR 001C TIN &amp; TP'!$A$3:$A$10005),0),MATCH('Reg 85'!$O$11,'DMR 001C TIN &amp; TP'!$A$2:$M$2,0))),"")</f>
        <v/>
      </c>
      <c r="X60" s="5" t="str">
        <f t="shared" si="10"/>
        <v/>
      </c>
      <c r="Y60" s="6" t="str">
        <f t="array" ref="Y60">_xlfn.IFNA((INDEX('DMR 001C TIN &amp; TP'!$A$3:$M$10005,MATCH(('Reg 85'!$X$6&amp;'Reg 85'!$X$10&amp;'Reg 85'!$B60),('DMR 001C TIN &amp; TP'!$E$3:$E$10005&amp;'DMR 001C TIN &amp; TP'!$B$3:$B$10005&amp;'DMR 001C TIN &amp; TP'!$A$3:$A$10005),0),MATCH('Reg 85'!$Y$11,'DMR 001C TIN &amp; TP'!$A$2:$M$2,0))),"")</f>
        <v/>
      </c>
      <c r="Z60" s="6" t="str">
        <f t="array" ref="Z60">_xlfn.IFNA((INDEX('DMR 001C TIN &amp; TP'!$A$3:$M$10005,MATCH(('Reg 85'!$X$6&amp;'Reg 85'!$X$10&amp;'Reg 85'!$B60),('DMR 001C TIN &amp; TP'!$E$3:$E$10005&amp;'DMR 001C TIN &amp; TP'!$B$3:$B$10005&amp;'DMR 001C TIN &amp; TP'!$A$3:$A$10005),0),MATCH('Reg 85'!$Z$11,'DMR 001C TIN &amp; TP'!$A$2:$M$2,0))),"")</f>
        <v/>
      </c>
      <c r="AA60" s="53" t="str">
        <f t="shared" si="11"/>
        <v/>
      </c>
      <c r="AB60" s="5" t="str">
        <f t="shared" si="12"/>
        <v/>
      </c>
      <c r="AC60" s="6" t="str">
        <f t="array" ref="AC60">_xlfn.IFNA((INDEX('DMR 001C TIN &amp; TP'!$A$3:$M$10005,MATCH(('Reg 85'!$X$6&amp;'Reg 85'!$AB$10&amp;'Reg 85'!$B60),('DMR 001C TIN &amp; TP'!$E$3:$E$10005&amp;'DMR 001C TIN &amp; TP'!$B$3:$B$10005&amp;'DMR 001C TIN &amp; TP'!$A$3:$A$10005),0),MATCH('Reg 85'!$AC$11,'DMR 001C TIN &amp; TP'!$A$2:$M$2,0))),"")</f>
        <v/>
      </c>
      <c r="AD60" s="6" t="str">
        <f t="array" ref="AD60">_xlfn.IFNA((INDEX('DMR 001C TIN &amp; TP'!$A$3:$M$10005,MATCH(('Reg 85'!$X$6&amp;'Reg 85'!$AB$10&amp;'Reg 85'!$B60),('DMR 001C TIN &amp; TP'!$E$3:$E$10005&amp;'DMR 001C TIN &amp; TP'!$B$3:$B$10005&amp;'DMR 001C TIN &amp; TP'!$A$3:$A$10005),0),MATCH('Reg 85'!$AD$11,'DMR 001C TIN &amp; TP'!$A$2:$M$2,0))),"")</f>
        <v/>
      </c>
      <c r="AE60" s="53" t="str">
        <f t="shared" si="13"/>
        <v/>
      </c>
      <c r="AF60" s="7" t="str">
        <f t="shared" si="14"/>
        <v/>
      </c>
      <c r="AG60" s="6" t="str">
        <f t="array" ref="AG60">_xlfn.IFNA((INDEX('DMR 001C TIN &amp; TP'!$A$3:$M$10005,MATCH(('Reg 85'!$X$6&amp;'Reg 85'!AG$10&amp;'Reg 85'!$B60),('DMR 001C TIN &amp; TP'!$E$3:$E$10005&amp;'DMR 001C TIN &amp; TP'!$B$3:$B$10005&amp;'DMR 001C TIN &amp; TP'!$A$3:$A$10005),0),MATCH('Reg 85'!$AG$11,'DMR 001C TIN &amp; TP'!$A$2:$M$2,0))),"")</f>
        <v/>
      </c>
      <c r="AH60" s="6" t="str">
        <f t="array" ref="AH60">_xlfn.IFNA((INDEX('DMR 001C TIN &amp; TP'!$A$3:$M$10005,MATCH(('Reg 85'!$X$6&amp;'Reg 85'!AH$10&amp;'Reg 85'!$B60),('DMR 001C TIN &amp; TP'!$E$3:$E$10005&amp;'DMR 001C TIN &amp; TP'!$B$3:$B$10005&amp;'DMR 001C TIN &amp; TP'!$A$3:$A$10005),0),MATCH('Reg 85'!$AG$11,'DMR 001C TIN &amp; TP'!$A$2:$M$2,0))),"")</f>
        <v/>
      </c>
      <c r="AI60" s="6" t="str">
        <f t="array" ref="AI60">_xlfn.IFNA((INDEX('DMR 001C TIN &amp; TP'!$A$3:$M$10005,MATCH(('Reg 85'!$X$6&amp;'Reg 85'!AI$10&amp;'Reg 85'!$B60),('DMR 001C TIN &amp; TP'!$E$3:$E$10005&amp;'DMR 001C TIN &amp; TP'!$B$3:$B$10005&amp;'DMR 001C TIN &amp; TP'!$A$3:$A$10005),0),MATCH('Reg 85'!$AG$11,'DMR 001C TIN &amp; TP'!$A$2:$M$2,0))),"")</f>
        <v/>
      </c>
      <c r="AJ60" s="6" t="str">
        <f t="array" ref="AJ60">_xlfn.IFNA((INDEX('DMR 001C TIN &amp; TP'!$A$3:$M$10005,MATCH(('Reg 85'!$X$6&amp;'Reg 85'!AJ$10&amp;'Reg 85'!$B60),('DMR 001C TIN &amp; TP'!$E$3:$E$10005&amp;'DMR 001C TIN &amp; TP'!$B$3:$B$10005&amp;'DMR 001C TIN &amp; TP'!$A$3:$A$10005),0),MATCH('Reg 85'!$AG$11,'DMR 001C TIN &amp; TP'!$A$2:$M$2,0))),"")</f>
        <v/>
      </c>
      <c r="AK60" s="6" t="str">
        <f t="array" ref="AK60">_xlfn.IFNA((INDEX('DMR 001C TIN &amp; TP'!$A$3:$M$10005,MATCH(('Reg 85'!$X$6&amp;'Reg 85'!AK$10&amp;'Reg 85'!$B60),('DMR 001C TIN &amp; TP'!$E$3:$E$10005&amp;'DMR 001C TIN &amp; TP'!$B$3:$B$10005&amp;'DMR 001C TIN &amp; TP'!$A$3:$A$10005),0),MATCH('Reg 85'!$AG$11,'DMR 001C TIN &amp; TP'!$A$2:$M$2,0))),"")</f>
        <v/>
      </c>
      <c r="AL60" s="6" t="str">
        <f t="array" ref="AL60">_xlfn.IFNA((INDEX('DMR 001C TIN &amp; TP'!$A$3:$M$10005,MATCH(('Reg 85'!$X$6&amp;'Reg 85'!AL$10&amp;'Reg 85'!$B60),('DMR 001C TIN &amp; TP'!$E$3:$E$10005&amp;'DMR 001C TIN &amp; TP'!$B$3:$B$10005&amp;'DMR 001C TIN &amp; TP'!$A$3:$A$10005),0),MATCH('Reg 85'!$AG$11,'DMR 001C TIN &amp; TP'!$A$2:$M$2,0))),"")</f>
        <v/>
      </c>
      <c r="AM60" s="76"/>
      <c r="AN60" s="6"/>
      <c r="AO60" s="54" t="str">
        <f t="shared" si="0"/>
        <v/>
      </c>
      <c r="AP60" s="77" t="str">
        <f t="shared" si="39"/>
        <v/>
      </c>
      <c r="AQ60" s="47"/>
      <c r="AR60" s="6" t="str">
        <f t="array" ref="AR60">_xlfn.IFNA((INDEX('DMR 001C TIN &amp; TP'!$A$3:$M$10005,MATCH(('Reg 85'!$AQ$6&amp;'Reg 85'!$AQ$10&amp;'Reg 85'!$B60),('DMR 001C TIN &amp; TP'!$E$3:$E$10005&amp;'DMR 001C TIN &amp; TP'!$B$3:$B$10005&amp;'DMR 001C TIN &amp; TP'!$A$3:$A$10005),0),MATCH('Reg 85'!$AR$11,'DMR 001C TIN &amp; TP'!$A$2:$M$2,0))),"")</f>
        <v/>
      </c>
      <c r="AS60" s="6" t="str">
        <f t="array" ref="AS60">_xlfn.IFNA((INDEX('DMR 001C TIN &amp; TP'!$A$3:$M$10005,MATCH(('Reg 85'!$AQ$6&amp;'Reg 85'!$AQ$10&amp;'Reg 85'!$B60),('DMR 001C TIN &amp; TP'!$E$3:$E$10005&amp;'DMR 001C TIN &amp; TP'!$B$3:$B$10005&amp;'DMR 001C TIN &amp; TP'!$A$3:$A$10005),0),MATCH('Reg 85'!$AS$11,'DMR 001C TIN &amp; TP'!$A$2:$M$2,0))),"")</f>
        <v/>
      </c>
      <c r="AT60" s="53" t="str">
        <f t="shared" si="15"/>
        <v/>
      </c>
      <c r="AV60" s="6" t="str">
        <f t="array" ref="AV60">_xlfn.IFNA((INDEX('DMR 001C TIN &amp; TP'!$A$3:$M$10005,MATCH(('Reg 85'!$AQ$6&amp;'Reg 85'!$AU$10&amp;'Reg 85'!$B60),('DMR 001C TIN &amp; TP'!$E$3:$E$10005&amp;'DMR 001C TIN &amp; TP'!$B$3:$B$10005&amp;'DMR 001C TIN &amp; TP'!$A$3:$A$10005),0),MATCH('Reg 85'!$AV$11,'DMR 001C TIN &amp; TP'!$A$2:$M$2,0))),"")</f>
        <v/>
      </c>
      <c r="AW60" s="6" t="str">
        <f t="array" ref="AW60">_xlfn.IFNA((INDEX('DMR 001C TIN &amp; TP'!$A$3:$M$10005,MATCH(('Reg 85'!$AQ$6&amp;'Reg 85'!$AU$10&amp;'Reg 85'!$B60),('DMR 001C TIN &amp; TP'!$E$3:$E$10005&amp;'DMR 001C TIN &amp; TP'!$B$3:$B$10005&amp;'DMR 001C TIN &amp; TP'!$A$3:$A$10005),0),MATCH('Reg 85'!$AW$11,'DMR 001C TIN &amp; TP'!$A$2:$M$2,0))),"")</f>
        <v/>
      </c>
      <c r="AX60" s="53" t="str">
        <f t="shared" si="16"/>
        <v/>
      </c>
      <c r="AY60" s="55" t="str">
        <f t="shared" si="17"/>
        <v/>
      </c>
      <c r="AZ60" s="77" t="str">
        <f t="shared" si="37"/>
        <v/>
      </c>
      <c r="BA60" s="6" t="str">
        <f t="array" ref="BA60">_xlfn.IFNA((INDEX('DMR 001C TIN &amp; TP'!$A$3:$M$10005,MATCH(('Reg 85'!$AQ$6&amp;'Reg 85'!BA$10&amp;'Reg 85'!$B60),('DMR 001C TIN &amp; TP'!$E$3:$E$10005&amp;'DMR 001C TIN &amp; TP'!$B$3:$B$10005&amp;'DMR 001C TIN &amp; TP'!$A$3:$A$10005),0),MATCH('Reg 85'!$AG$11,'DMR 001C TIN &amp; TP'!$A$2:$M$2,0))),"")</f>
        <v/>
      </c>
      <c r="BB60" s="6" t="str">
        <f t="array" ref="BB60">_xlfn.IFNA((INDEX('DMR 001C TIN &amp; TP'!$A$3:$M$10005,MATCH(('Reg 85'!$AQ$6&amp;'Reg 85'!BB$10&amp;'Reg 85'!$B60),('DMR 001C TIN &amp; TP'!$E$3:$E$10005&amp;'DMR 001C TIN &amp; TP'!$B$3:$B$10005&amp;'DMR 001C TIN &amp; TP'!$A$3:$A$10005),0),MATCH('Reg 85'!$AG$11,'DMR 001C TIN &amp; TP'!$A$2:$M$2,0))),"")</f>
        <v/>
      </c>
      <c r="BC60" s="6" t="str">
        <f t="array" ref="BC60">_xlfn.IFNA((INDEX('DMR 001C TIN &amp; TP'!$A$3:$M$10005,MATCH(('Reg 85'!$AQ$6&amp;'Reg 85'!BC$10&amp;'Reg 85'!$B60),('DMR 001C TIN &amp; TP'!$E$3:$E$10005&amp;'DMR 001C TIN &amp; TP'!$B$3:$B$10005&amp;'DMR 001C TIN &amp; TP'!$A$3:$A$10005),0),MATCH('Reg 85'!$AG$11,'DMR 001C TIN &amp; TP'!$A$2:$M$2,0))),"")</f>
        <v/>
      </c>
      <c r="BD60" s="6" t="str">
        <f t="array" ref="BD60">_xlfn.IFNA((INDEX('DMR 001C TIN &amp; TP'!$A$3:$M$10005,MATCH(('Reg 85'!$AQ$6&amp;'Reg 85'!BD$10&amp;'Reg 85'!$B60),('DMR 001C TIN &amp; TP'!$E$3:$E$10005&amp;'DMR 001C TIN &amp; TP'!$B$3:$B$10005&amp;'DMR 001C TIN &amp; TP'!$A$3:$A$10005),0),MATCH('Reg 85'!$AG$11,'DMR 001C TIN &amp; TP'!$A$2:$M$2,0))),"")</f>
        <v/>
      </c>
      <c r="BE60" s="6" t="str">
        <f t="array" ref="BE60">_xlfn.IFNA((INDEX('DMR 001C TIN &amp; TP'!$A$3:$M$10005,MATCH(('Reg 85'!$AQ$6&amp;'Reg 85'!BE$10&amp;'Reg 85'!$B60),('DMR 001C TIN &amp; TP'!$E$3:$E$10005&amp;'DMR 001C TIN &amp; TP'!$B$3:$B$10005&amp;'DMR 001C TIN &amp; TP'!$A$3:$A$10005),0),MATCH('Reg 85'!$AG$11,'DMR 001C TIN &amp; TP'!$A$2:$M$2,0))),"")</f>
        <v/>
      </c>
      <c r="BF60" s="6" t="str">
        <f t="array" ref="BF60">_xlfn.IFNA((INDEX('DMR 001C TIN &amp; TP'!$A$3:$M$10005,MATCH(('Reg 85'!$AQ$6&amp;'Reg 85'!BF$10&amp;'Reg 85'!$B60),('DMR 001C TIN &amp; TP'!$E$3:$E$10005&amp;'DMR 001C TIN &amp; TP'!$B$3:$B$10005&amp;'DMR 001C TIN &amp; TP'!$A$3:$A$10005),0),MATCH('Reg 85'!$AG$11,'DMR 001C TIN &amp; TP'!$A$2:$M$2,0))),"")</f>
        <v/>
      </c>
    </row>
    <row r="61" spans="1:58">
      <c r="A61" s="3" t="str">
        <f t="shared" si="2"/>
        <v>Sat</v>
      </c>
      <c r="B61" s="96">
        <f t="shared" si="19"/>
        <v>43393</v>
      </c>
      <c r="C61" s="96">
        <f t="shared" si="3"/>
        <v>43404</v>
      </c>
      <c r="D61" s="96">
        <f t="shared" si="4"/>
        <v>43374</v>
      </c>
      <c r="E61" s="95">
        <f t="shared" si="5"/>
        <v>31</v>
      </c>
      <c r="F61" s="7">
        <f t="array" ref="F61">_xlfn.IFNA(INDEX('DMR Flows-Effluent'!$A$3:$F$9999,MATCH(($F$10&amp;$B61),('DMR Flows-Effluent'!$B$3:$B$9999&amp;'DMR Flows-Effluent'!$A$3:$A$9999),0),MATCH($F$8,'DMR Flows-Effluent'!$A$2:$F$2,0)),"")</f>
        <v>41.198500000000003</v>
      </c>
      <c r="G61" s="7">
        <f t="array" ref="G61">_xlfn.IFNA(INDEX('DMR Flows-Effluent'!$A$3:$F$9999,MATCH(($G$10&amp;$B61),('DMR Flows-Effluent'!$B$3:$B$9999&amp;'DMR Flows-Effluent'!$A$3:$A$9999),0),MATCH($F$8,'DMR Flows-Effluent'!$A$2:$F$2,0)),"")</f>
        <v>76.728499999999997</v>
      </c>
      <c r="H61" s="7">
        <f t="shared" si="6"/>
        <v>117.92699999999999</v>
      </c>
      <c r="I61" s="45" t="str">
        <f t="shared" si="7"/>
        <v/>
      </c>
      <c r="J61" s="6" t="str">
        <f t="array" ref="J61">_xlfn.IFNA((INDEX('DMR 001C TIN &amp; TP'!$A$3:$M$10005,MATCH(('Reg 85'!$I$6:$Q$6&amp;'Reg 85'!$I$10:$K$10&amp;'Reg 85'!$B61),('DMR 001C TIN &amp; TP'!$E$3:$E$10005&amp;'DMR 001C TIN &amp; TP'!$B$3:$B$10005&amp;'DMR 001C TIN &amp; TP'!$A$3:$A$10005),0),MATCH('Reg 85'!$J$11,'DMR 001C TIN &amp; TP'!$A$2:$M$2,0))),"")</f>
        <v/>
      </c>
      <c r="K61" s="6" t="str">
        <f t="array" ref="K61">_xlfn.IFNA((INDEX('DMR 001C TIN &amp; TP'!$A$3:$M$10005,MATCH(('Reg 85'!$I$6:$Q$6&amp;'Reg 85'!$I$10:$K$10&amp;'Reg 85'!$B61),('DMR 001C TIN &amp; TP'!$E$3:$E$10005&amp;'DMR 001C TIN &amp; TP'!$B$3:$B$10005&amp;'DMR 001C TIN &amp; TP'!$A$3:$A$10005),0),MATCH('Reg 85'!$K$11,'DMR 001C TIN &amp; TP'!$A$2:$M$2,0))),"")</f>
        <v/>
      </c>
      <c r="L61" s="53" t="str">
        <f t="shared" si="21"/>
        <v/>
      </c>
      <c r="M61" s="5" t="str">
        <f t="shared" si="8"/>
        <v/>
      </c>
      <c r="N61" s="6" t="str">
        <f t="array" ref="N61">_xlfn.IFNA((INDEX('DMR 001C TIN &amp; TP'!$A$3:$M$10005,MATCH(('Reg 85'!$I$6:$Q$6&amp;'Reg 85'!$M$10&amp;'Reg 85'!$B61),('DMR 001C TIN &amp; TP'!$E$3:$E$10005&amp;'DMR 001C TIN &amp; TP'!$B$3:$B$10005&amp;'DMR 001C TIN &amp; TP'!$A$3:$A$10005),0),MATCH('Reg 85'!$N$11,'DMR 001C TIN &amp; TP'!$A$2:$M$2,0))),"")</f>
        <v/>
      </c>
      <c r="O61" s="6" t="str">
        <f t="array" ref="O61">_xlfn.IFNA((INDEX('DMR 001C TIN &amp; TP'!$A$3:$M$10005,MATCH(('Reg 85'!$I$6:$Q$6&amp;'Reg 85'!$M$10&amp;'Reg 85'!$B61),('DMR 001C TIN &amp; TP'!$E$3:$E$10005&amp;'DMR 001C TIN &amp; TP'!$B$3:$B$10005&amp;'DMR 001C TIN &amp; TP'!$A$3:$A$10005),0),MATCH('Reg 85'!$O$11,'DMR 001C TIN &amp; TP'!$A$2:$M$2,0))),"")</f>
        <v/>
      </c>
      <c r="P61" s="53" t="str">
        <f t="shared" si="9"/>
        <v/>
      </c>
      <c r="Q61" s="73" t="str">
        <f t="array" ref="Q61">IFERROR(((L61*$F61)+(P61*$G61))/($H61),"")</f>
        <v/>
      </c>
      <c r="R61" s="6" t="str">
        <f t="array" ref="R61">_xlfn.IFNA((INDEX('DMR 001C TIN &amp; TP'!$A$3:$M$10005,MATCH(('Reg 85'!$I$6:$Q$6&amp;'Reg 85'!R$10&amp;'Reg 85'!$B61),('DMR 001C TIN &amp; TP'!$E$3:$E$10005&amp;'DMR 001C TIN &amp; TP'!$B$3:$B$10005&amp;'DMR 001C TIN &amp; TP'!$A$3:$A$10005),0),MATCH('Reg 85'!$O$11,'DMR 001C TIN &amp; TP'!$A$2:$M$2,0))),"")</f>
        <v/>
      </c>
      <c r="S61" s="6" t="str">
        <f t="array" ref="S61">_xlfn.IFNA((INDEX('DMR 001C TIN &amp; TP'!$A$3:$M$10005,MATCH(('Reg 85'!$I$6:$Q$6&amp;'Reg 85'!S$10&amp;'Reg 85'!$B61),('DMR 001C TIN &amp; TP'!$E$3:$E$10005&amp;'DMR 001C TIN &amp; TP'!$B$3:$B$10005&amp;'DMR 001C TIN &amp; TP'!$A$3:$A$10005),0),MATCH('Reg 85'!$O$11,'DMR 001C TIN &amp; TP'!$A$2:$M$2,0))),"")</f>
        <v/>
      </c>
      <c r="T61" s="6" t="str">
        <f t="array" ref="T61">_xlfn.IFNA((INDEX('DMR 001C TIN &amp; TP'!$A$3:$M$10005,MATCH(('Reg 85'!$I$6:$Q$6&amp;'Reg 85'!T$10&amp;'Reg 85'!$B61),('DMR 001C TIN &amp; TP'!$E$3:$E$10005&amp;'DMR 001C TIN &amp; TP'!$B$3:$B$10005&amp;'DMR 001C TIN &amp; TP'!$A$3:$A$10005),0),MATCH('Reg 85'!$O$11,'DMR 001C TIN &amp; TP'!$A$2:$M$2,0))),"")</f>
        <v/>
      </c>
      <c r="U61" s="6" t="str">
        <f t="array" ref="U61">_xlfn.IFNA((INDEX('DMR 001C TIN &amp; TP'!$A$3:$M$10005,MATCH(('Reg 85'!$I$6:$Q$6&amp;'Reg 85'!U$10&amp;'Reg 85'!$B61),('DMR 001C TIN &amp; TP'!$E$3:$E$10005&amp;'DMR 001C TIN &amp; TP'!$B$3:$B$10005&amp;'DMR 001C TIN &amp; TP'!$A$3:$A$10005),0),MATCH('Reg 85'!$O$11,'DMR 001C TIN &amp; TP'!$A$2:$M$2,0))),"")</f>
        <v/>
      </c>
      <c r="V61" s="6" t="str">
        <f t="array" ref="V61">_xlfn.IFNA((INDEX('DMR 001C TIN &amp; TP'!$A$3:$M$10005,MATCH(('Reg 85'!$I$6:$Q$6&amp;'Reg 85'!V$10&amp;'Reg 85'!$B61),('DMR 001C TIN &amp; TP'!$E$3:$E$10005&amp;'DMR 001C TIN &amp; TP'!$B$3:$B$10005&amp;'DMR 001C TIN &amp; TP'!$A$3:$A$10005),0),MATCH('Reg 85'!$O$11,'DMR 001C TIN &amp; TP'!$A$2:$M$2,0))),"")</f>
        <v/>
      </c>
      <c r="W61" s="6" t="str">
        <f t="array" ref="W61">_xlfn.IFNA((INDEX('DMR 001C TIN &amp; TP'!$A$3:$M$10005,MATCH(('Reg 85'!$I$6:$Q$6&amp;'Reg 85'!W$10&amp;'Reg 85'!$B61),('DMR 001C TIN &amp; TP'!$E$3:$E$10005&amp;'DMR 001C TIN &amp; TP'!$B$3:$B$10005&amp;'DMR 001C TIN &amp; TP'!$A$3:$A$10005),0),MATCH('Reg 85'!$O$11,'DMR 001C TIN &amp; TP'!$A$2:$M$2,0))),"")</f>
        <v/>
      </c>
      <c r="X61" s="5" t="str">
        <f t="shared" si="10"/>
        <v/>
      </c>
      <c r="Y61" s="6" t="str">
        <f t="array" ref="Y61">_xlfn.IFNA((INDEX('DMR 001C TIN &amp; TP'!$A$3:$M$10005,MATCH(('Reg 85'!$X$6&amp;'Reg 85'!$X$10&amp;'Reg 85'!$B61),('DMR 001C TIN &amp; TP'!$E$3:$E$10005&amp;'DMR 001C TIN &amp; TP'!$B$3:$B$10005&amp;'DMR 001C TIN &amp; TP'!$A$3:$A$10005),0),MATCH('Reg 85'!$Y$11,'DMR 001C TIN &amp; TP'!$A$2:$M$2,0))),"")</f>
        <v/>
      </c>
      <c r="Z61" s="6" t="str">
        <f t="array" ref="Z61">_xlfn.IFNA((INDEX('DMR 001C TIN &amp; TP'!$A$3:$M$10005,MATCH(('Reg 85'!$X$6&amp;'Reg 85'!$X$10&amp;'Reg 85'!$B61),('DMR 001C TIN &amp; TP'!$E$3:$E$10005&amp;'DMR 001C TIN &amp; TP'!$B$3:$B$10005&amp;'DMR 001C TIN &amp; TP'!$A$3:$A$10005),0),MATCH('Reg 85'!$Z$11,'DMR 001C TIN &amp; TP'!$A$2:$M$2,0))),"")</f>
        <v/>
      </c>
      <c r="AA61" s="53" t="str">
        <f t="shared" si="11"/>
        <v/>
      </c>
      <c r="AB61" s="5" t="str">
        <f t="shared" si="12"/>
        <v/>
      </c>
      <c r="AC61" s="6" t="str">
        <f t="array" ref="AC61">_xlfn.IFNA((INDEX('DMR 001C TIN &amp; TP'!$A$3:$M$10005,MATCH(('Reg 85'!$X$6&amp;'Reg 85'!$AB$10&amp;'Reg 85'!$B61),('DMR 001C TIN &amp; TP'!$E$3:$E$10005&amp;'DMR 001C TIN &amp; TP'!$B$3:$B$10005&amp;'DMR 001C TIN &amp; TP'!$A$3:$A$10005),0),MATCH('Reg 85'!$AC$11,'DMR 001C TIN &amp; TP'!$A$2:$M$2,0))),"")</f>
        <v/>
      </c>
      <c r="AD61" s="6" t="str">
        <f t="array" ref="AD61">_xlfn.IFNA((INDEX('DMR 001C TIN &amp; TP'!$A$3:$M$10005,MATCH(('Reg 85'!$X$6&amp;'Reg 85'!$AB$10&amp;'Reg 85'!$B61),('DMR 001C TIN &amp; TP'!$E$3:$E$10005&amp;'DMR 001C TIN &amp; TP'!$B$3:$B$10005&amp;'DMR 001C TIN &amp; TP'!$A$3:$A$10005),0),MATCH('Reg 85'!$AD$11,'DMR 001C TIN &amp; TP'!$A$2:$M$2,0))),"")</f>
        <v/>
      </c>
      <c r="AE61" s="53" t="str">
        <f t="shared" si="13"/>
        <v/>
      </c>
      <c r="AF61" s="7" t="str">
        <f t="shared" si="14"/>
        <v/>
      </c>
      <c r="AG61" s="6" t="str">
        <f t="array" ref="AG61">_xlfn.IFNA((INDEX('DMR 001C TIN &amp; TP'!$A$3:$M$10005,MATCH(('Reg 85'!$X$6&amp;'Reg 85'!AG$10&amp;'Reg 85'!$B61),('DMR 001C TIN &amp; TP'!$E$3:$E$10005&amp;'DMR 001C TIN &amp; TP'!$B$3:$B$10005&amp;'DMR 001C TIN &amp; TP'!$A$3:$A$10005),0),MATCH('Reg 85'!$AG$11,'DMR 001C TIN &amp; TP'!$A$2:$M$2,0))),"")</f>
        <v/>
      </c>
      <c r="AH61" s="6" t="str">
        <f t="array" ref="AH61">_xlfn.IFNA((INDEX('DMR 001C TIN &amp; TP'!$A$3:$M$10005,MATCH(('Reg 85'!$X$6&amp;'Reg 85'!AH$10&amp;'Reg 85'!$B61),('DMR 001C TIN &amp; TP'!$E$3:$E$10005&amp;'DMR 001C TIN &amp; TP'!$B$3:$B$10005&amp;'DMR 001C TIN &amp; TP'!$A$3:$A$10005),0),MATCH('Reg 85'!$AG$11,'DMR 001C TIN &amp; TP'!$A$2:$M$2,0))),"")</f>
        <v/>
      </c>
      <c r="AI61" s="6" t="str">
        <f t="array" ref="AI61">_xlfn.IFNA((INDEX('DMR 001C TIN &amp; TP'!$A$3:$M$10005,MATCH(('Reg 85'!$X$6&amp;'Reg 85'!AI$10&amp;'Reg 85'!$B61),('DMR 001C TIN &amp; TP'!$E$3:$E$10005&amp;'DMR 001C TIN &amp; TP'!$B$3:$B$10005&amp;'DMR 001C TIN &amp; TP'!$A$3:$A$10005),0),MATCH('Reg 85'!$AG$11,'DMR 001C TIN &amp; TP'!$A$2:$M$2,0))),"")</f>
        <v/>
      </c>
      <c r="AJ61" s="6" t="str">
        <f t="array" ref="AJ61">_xlfn.IFNA((INDEX('DMR 001C TIN &amp; TP'!$A$3:$M$10005,MATCH(('Reg 85'!$X$6&amp;'Reg 85'!AJ$10&amp;'Reg 85'!$B61),('DMR 001C TIN &amp; TP'!$E$3:$E$10005&amp;'DMR 001C TIN &amp; TP'!$B$3:$B$10005&amp;'DMR 001C TIN &amp; TP'!$A$3:$A$10005),0),MATCH('Reg 85'!$AG$11,'DMR 001C TIN &amp; TP'!$A$2:$M$2,0))),"")</f>
        <v/>
      </c>
      <c r="AK61" s="6" t="str">
        <f t="array" ref="AK61">_xlfn.IFNA((INDEX('DMR 001C TIN &amp; TP'!$A$3:$M$10005,MATCH(('Reg 85'!$X$6&amp;'Reg 85'!AK$10&amp;'Reg 85'!$B61),('DMR 001C TIN &amp; TP'!$E$3:$E$10005&amp;'DMR 001C TIN &amp; TP'!$B$3:$B$10005&amp;'DMR 001C TIN &amp; TP'!$A$3:$A$10005),0),MATCH('Reg 85'!$AG$11,'DMR 001C TIN &amp; TP'!$A$2:$M$2,0))),"")</f>
        <v/>
      </c>
      <c r="AL61" s="6" t="str">
        <f t="array" ref="AL61">_xlfn.IFNA((INDEX('DMR 001C TIN &amp; TP'!$A$3:$M$10005,MATCH(('Reg 85'!$X$6&amp;'Reg 85'!AL$10&amp;'Reg 85'!$B61),('DMR 001C TIN &amp; TP'!$E$3:$E$10005&amp;'DMR 001C TIN &amp; TP'!$B$3:$B$10005&amp;'DMR 001C TIN &amp; TP'!$A$3:$A$10005),0),MATCH('Reg 85'!$AG$11,'DMR 001C TIN &amp; TP'!$A$2:$M$2,0))),"")</f>
        <v/>
      </c>
      <c r="AM61" s="76"/>
      <c r="AN61" s="6"/>
      <c r="AO61" s="54" t="str">
        <f t="shared" si="0"/>
        <v/>
      </c>
      <c r="AP61" s="77" t="str">
        <f t="shared" si="39"/>
        <v/>
      </c>
      <c r="AQ61" s="47"/>
      <c r="AR61" s="6" t="str">
        <f t="array" ref="AR61">_xlfn.IFNA((INDEX('DMR 001C TIN &amp; TP'!$A$3:$M$10005,MATCH(('Reg 85'!$AQ$6&amp;'Reg 85'!$AQ$10&amp;'Reg 85'!$B61),('DMR 001C TIN &amp; TP'!$E$3:$E$10005&amp;'DMR 001C TIN &amp; TP'!$B$3:$B$10005&amp;'DMR 001C TIN &amp; TP'!$A$3:$A$10005),0),MATCH('Reg 85'!$AR$11,'DMR 001C TIN &amp; TP'!$A$2:$M$2,0))),"")</f>
        <v/>
      </c>
      <c r="AS61" s="6" t="str">
        <f t="array" ref="AS61">_xlfn.IFNA((INDEX('DMR 001C TIN &amp; TP'!$A$3:$M$10005,MATCH(('Reg 85'!$AQ$6&amp;'Reg 85'!$AQ$10&amp;'Reg 85'!$B61),('DMR 001C TIN &amp; TP'!$E$3:$E$10005&amp;'DMR 001C TIN &amp; TP'!$B$3:$B$10005&amp;'DMR 001C TIN &amp; TP'!$A$3:$A$10005),0),MATCH('Reg 85'!$AS$11,'DMR 001C TIN &amp; TP'!$A$2:$M$2,0))),"")</f>
        <v/>
      </c>
      <c r="AT61" s="53" t="str">
        <f t="shared" si="15"/>
        <v/>
      </c>
      <c r="AV61" s="6" t="str">
        <f t="array" ref="AV61">_xlfn.IFNA((INDEX('DMR 001C TIN &amp; TP'!$A$3:$M$10005,MATCH(('Reg 85'!$AQ$6&amp;'Reg 85'!$AU$10&amp;'Reg 85'!$B61),('DMR 001C TIN &amp; TP'!$E$3:$E$10005&amp;'DMR 001C TIN &amp; TP'!$B$3:$B$10005&amp;'DMR 001C TIN &amp; TP'!$A$3:$A$10005),0),MATCH('Reg 85'!$AV$11,'DMR 001C TIN &amp; TP'!$A$2:$M$2,0))),"")</f>
        <v/>
      </c>
      <c r="AW61" s="6" t="str">
        <f t="array" ref="AW61">_xlfn.IFNA((INDEX('DMR 001C TIN &amp; TP'!$A$3:$M$10005,MATCH(('Reg 85'!$AQ$6&amp;'Reg 85'!$AU$10&amp;'Reg 85'!$B61),('DMR 001C TIN &amp; TP'!$E$3:$E$10005&amp;'DMR 001C TIN &amp; TP'!$B$3:$B$10005&amp;'DMR 001C TIN &amp; TP'!$A$3:$A$10005),0),MATCH('Reg 85'!$AW$11,'DMR 001C TIN &amp; TP'!$A$2:$M$2,0))),"")</f>
        <v/>
      </c>
      <c r="AX61" s="53" t="str">
        <f t="shared" si="16"/>
        <v/>
      </c>
      <c r="AY61" s="55" t="str">
        <f t="shared" si="17"/>
        <v/>
      </c>
      <c r="AZ61" s="77" t="str">
        <f t="shared" si="37"/>
        <v/>
      </c>
      <c r="BA61" s="6" t="str">
        <f t="array" ref="BA61">_xlfn.IFNA((INDEX('DMR 001C TIN &amp; TP'!$A$3:$M$10005,MATCH(('Reg 85'!$AQ$6&amp;'Reg 85'!BA$10&amp;'Reg 85'!$B61),('DMR 001C TIN &amp; TP'!$E$3:$E$10005&amp;'DMR 001C TIN &amp; TP'!$B$3:$B$10005&amp;'DMR 001C TIN &amp; TP'!$A$3:$A$10005),0),MATCH('Reg 85'!$AG$11,'DMR 001C TIN &amp; TP'!$A$2:$M$2,0))),"")</f>
        <v/>
      </c>
      <c r="BB61" s="6" t="str">
        <f t="array" ref="BB61">_xlfn.IFNA((INDEX('DMR 001C TIN &amp; TP'!$A$3:$M$10005,MATCH(('Reg 85'!$AQ$6&amp;'Reg 85'!BB$10&amp;'Reg 85'!$B61),('DMR 001C TIN &amp; TP'!$E$3:$E$10005&amp;'DMR 001C TIN &amp; TP'!$B$3:$B$10005&amp;'DMR 001C TIN &amp; TP'!$A$3:$A$10005),0),MATCH('Reg 85'!$AG$11,'DMR 001C TIN &amp; TP'!$A$2:$M$2,0))),"")</f>
        <v/>
      </c>
      <c r="BC61" s="6" t="str">
        <f t="array" ref="BC61">_xlfn.IFNA((INDEX('DMR 001C TIN &amp; TP'!$A$3:$M$10005,MATCH(('Reg 85'!$AQ$6&amp;'Reg 85'!BC$10&amp;'Reg 85'!$B61),('DMR 001C TIN &amp; TP'!$E$3:$E$10005&amp;'DMR 001C TIN &amp; TP'!$B$3:$B$10005&amp;'DMR 001C TIN &amp; TP'!$A$3:$A$10005),0),MATCH('Reg 85'!$AG$11,'DMR 001C TIN &amp; TP'!$A$2:$M$2,0))),"")</f>
        <v/>
      </c>
      <c r="BD61" s="6" t="str">
        <f t="array" ref="BD61">_xlfn.IFNA((INDEX('DMR 001C TIN &amp; TP'!$A$3:$M$10005,MATCH(('Reg 85'!$AQ$6&amp;'Reg 85'!BD$10&amp;'Reg 85'!$B61),('DMR 001C TIN &amp; TP'!$E$3:$E$10005&amp;'DMR 001C TIN &amp; TP'!$B$3:$B$10005&amp;'DMR 001C TIN &amp; TP'!$A$3:$A$10005),0),MATCH('Reg 85'!$AG$11,'DMR 001C TIN &amp; TP'!$A$2:$M$2,0))),"")</f>
        <v/>
      </c>
      <c r="BE61" s="6" t="str">
        <f t="array" ref="BE61">_xlfn.IFNA((INDEX('DMR 001C TIN &amp; TP'!$A$3:$M$10005,MATCH(('Reg 85'!$AQ$6&amp;'Reg 85'!BE$10&amp;'Reg 85'!$B61),('DMR 001C TIN &amp; TP'!$E$3:$E$10005&amp;'DMR 001C TIN &amp; TP'!$B$3:$B$10005&amp;'DMR 001C TIN &amp; TP'!$A$3:$A$10005),0),MATCH('Reg 85'!$AG$11,'DMR 001C TIN &amp; TP'!$A$2:$M$2,0))),"")</f>
        <v/>
      </c>
      <c r="BF61" s="6" t="str">
        <f t="array" ref="BF61">_xlfn.IFNA((INDEX('DMR 001C TIN &amp; TP'!$A$3:$M$10005,MATCH(('Reg 85'!$AQ$6&amp;'Reg 85'!BF$10&amp;'Reg 85'!$B61),('DMR 001C TIN &amp; TP'!$E$3:$E$10005&amp;'DMR 001C TIN &amp; TP'!$B$3:$B$10005&amp;'DMR 001C TIN &amp; TP'!$A$3:$A$10005),0),MATCH('Reg 85'!$AG$11,'DMR 001C TIN &amp; TP'!$A$2:$M$2,0))),"")</f>
        <v/>
      </c>
    </row>
    <row r="62" spans="1:58">
      <c r="A62" s="3" t="str">
        <f t="shared" si="2"/>
        <v>Sun</v>
      </c>
      <c r="B62" s="96">
        <f t="shared" si="19"/>
        <v>43394</v>
      </c>
      <c r="C62" s="96">
        <f t="shared" si="3"/>
        <v>43404</v>
      </c>
      <c r="D62" s="96">
        <f t="shared" si="4"/>
        <v>43374</v>
      </c>
      <c r="E62" s="95">
        <f t="shared" si="5"/>
        <v>31</v>
      </c>
      <c r="F62" s="7">
        <f t="array" ref="F62">_xlfn.IFNA(INDEX('DMR Flows-Effluent'!$A$3:$F$9999,MATCH(($F$10&amp;$B62),('DMR Flows-Effluent'!$B$3:$B$9999&amp;'DMR Flows-Effluent'!$A$3:$A$9999),0),MATCH($F$8,'DMR Flows-Effluent'!$A$2:$F$2,0)),"")</f>
        <v>44.615099999999998</v>
      </c>
      <c r="G62" s="7">
        <f t="array" ref="G62">_xlfn.IFNA(INDEX('DMR Flows-Effluent'!$A$3:$F$9999,MATCH(($G$10&amp;$B62),('DMR Flows-Effluent'!$B$3:$B$9999&amp;'DMR Flows-Effluent'!$A$3:$A$9999),0),MATCH($F$8,'DMR Flows-Effluent'!$A$2:$F$2,0)),"")</f>
        <v>74.740600000000001</v>
      </c>
      <c r="H62" s="7">
        <f t="shared" si="6"/>
        <v>119.3557</v>
      </c>
      <c r="I62" s="45" t="str">
        <f t="shared" si="7"/>
        <v/>
      </c>
      <c r="J62" s="6" t="str">
        <f t="array" ref="J62">_xlfn.IFNA((INDEX('DMR 001C TIN &amp; TP'!$A$3:$M$10005,MATCH(('Reg 85'!$I$6:$Q$6&amp;'Reg 85'!$I$10:$K$10&amp;'Reg 85'!$B62),('DMR 001C TIN &amp; TP'!$E$3:$E$10005&amp;'DMR 001C TIN &amp; TP'!$B$3:$B$10005&amp;'DMR 001C TIN &amp; TP'!$A$3:$A$10005),0),MATCH('Reg 85'!$J$11,'DMR 001C TIN &amp; TP'!$A$2:$M$2,0))),"")</f>
        <v/>
      </c>
      <c r="K62" s="6" t="str">
        <f t="array" ref="K62">_xlfn.IFNA((INDEX('DMR 001C TIN &amp; TP'!$A$3:$M$10005,MATCH(('Reg 85'!$I$6:$Q$6&amp;'Reg 85'!$I$10:$K$10&amp;'Reg 85'!$B62),('DMR 001C TIN &amp; TP'!$E$3:$E$10005&amp;'DMR 001C TIN &amp; TP'!$B$3:$B$10005&amp;'DMR 001C TIN &amp; TP'!$A$3:$A$10005),0),MATCH('Reg 85'!$K$11,'DMR 001C TIN &amp; TP'!$A$2:$M$2,0))),"")</f>
        <v/>
      </c>
      <c r="L62" s="53" t="str">
        <f t="shared" si="21"/>
        <v/>
      </c>
      <c r="M62" s="5" t="str">
        <f t="shared" si="8"/>
        <v/>
      </c>
      <c r="N62" s="6" t="str">
        <f t="array" ref="N62">_xlfn.IFNA((INDEX('DMR 001C TIN &amp; TP'!$A$3:$M$10005,MATCH(('Reg 85'!$I$6:$Q$6&amp;'Reg 85'!$M$10&amp;'Reg 85'!$B62),('DMR 001C TIN &amp; TP'!$E$3:$E$10005&amp;'DMR 001C TIN &amp; TP'!$B$3:$B$10005&amp;'DMR 001C TIN &amp; TP'!$A$3:$A$10005),0),MATCH('Reg 85'!$N$11,'DMR 001C TIN &amp; TP'!$A$2:$M$2,0))),"")</f>
        <v/>
      </c>
      <c r="O62" s="6" t="str">
        <f t="array" ref="O62">_xlfn.IFNA((INDEX('DMR 001C TIN &amp; TP'!$A$3:$M$10005,MATCH(('Reg 85'!$I$6:$Q$6&amp;'Reg 85'!$M$10&amp;'Reg 85'!$B62),('DMR 001C TIN &amp; TP'!$E$3:$E$10005&amp;'DMR 001C TIN &amp; TP'!$B$3:$B$10005&amp;'DMR 001C TIN &amp; TP'!$A$3:$A$10005),0),MATCH('Reg 85'!$O$11,'DMR 001C TIN &amp; TP'!$A$2:$M$2,0))),"")</f>
        <v/>
      </c>
      <c r="P62" s="53" t="str">
        <f t="shared" si="9"/>
        <v/>
      </c>
      <c r="Q62" s="73" t="str">
        <f t="array" ref="Q62">IFERROR(((L62*$F62)+(P62*$G62))/($H62),"")</f>
        <v/>
      </c>
      <c r="R62" s="6" t="str">
        <f t="array" ref="R62">_xlfn.IFNA((INDEX('DMR 001C TIN &amp; TP'!$A$3:$M$10005,MATCH(('Reg 85'!$I$6:$Q$6&amp;'Reg 85'!R$10&amp;'Reg 85'!$B62),('DMR 001C TIN &amp; TP'!$E$3:$E$10005&amp;'DMR 001C TIN &amp; TP'!$B$3:$B$10005&amp;'DMR 001C TIN &amp; TP'!$A$3:$A$10005),0),MATCH('Reg 85'!$O$11,'DMR 001C TIN &amp; TP'!$A$2:$M$2,0))),"")</f>
        <v/>
      </c>
      <c r="S62" s="6" t="str">
        <f t="array" ref="S62">_xlfn.IFNA((INDEX('DMR 001C TIN &amp; TP'!$A$3:$M$10005,MATCH(('Reg 85'!$I$6:$Q$6&amp;'Reg 85'!S$10&amp;'Reg 85'!$B62),('DMR 001C TIN &amp; TP'!$E$3:$E$10005&amp;'DMR 001C TIN &amp; TP'!$B$3:$B$10005&amp;'DMR 001C TIN &amp; TP'!$A$3:$A$10005),0),MATCH('Reg 85'!$O$11,'DMR 001C TIN &amp; TP'!$A$2:$M$2,0))),"")</f>
        <v/>
      </c>
      <c r="T62" s="6" t="str">
        <f t="array" ref="T62">_xlfn.IFNA((INDEX('DMR 001C TIN &amp; TP'!$A$3:$M$10005,MATCH(('Reg 85'!$I$6:$Q$6&amp;'Reg 85'!T$10&amp;'Reg 85'!$B62),('DMR 001C TIN &amp; TP'!$E$3:$E$10005&amp;'DMR 001C TIN &amp; TP'!$B$3:$B$10005&amp;'DMR 001C TIN &amp; TP'!$A$3:$A$10005),0),MATCH('Reg 85'!$O$11,'DMR 001C TIN &amp; TP'!$A$2:$M$2,0))),"")</f>
        <v/>
      </c>
      <c r="U62" s="6" t="str">
        <f t="array" ref="U62">_xlfn.IFNA((INDEX('DMR 001C TIN &amp; TP'!$A$3:$M$10005,MATCH(('Reg 85'!$I$6:$Q$6&amp;'Reg 85'!U$10&amp;'Reg 85'!$B62),('DMR 001C TIN &amp; TP'!$E$3:$E$10005&amp;'DMR 001C TIN &amp; TP'!$B$3:$B$10005&amp;'DMR 001C TIN &amp; TP'!$A$3:$A$10005),0),MATCH('Reg 85'!$O$11,'DMR 001C TIN &amp; TP'!$A$2:$M$2,0))),"")</f>
        <v/>
      </c>
      <c r="V62" s="6" t="str">
        <f t="array" ref="V62">_xlfn.IFNA((INDEX('DMR 001C TIN &amp; TP'!$A$3:$M$10005,MATCH(('Reg 85'!$I$6:$Q$6&amp;'Reg 85'!V$10&amp;'Reg 85'!$B62),('DMR 001C TIN &amp; TP'!$E$3:$E$10005&amp;'DMR 001C TIN &amp; TP'!$B$3:$B$10005&amp;'DMR 001C TIN &amp; TP'!$A$3:$A$10005),0),MATCH('Reg 85'!$O$11,'DMR 001C TIN &amp; TP'!$A$2:$M$2,0))),"")</f>
        <v/>
      </c>
      <c r="W62" s="6" t="str">
        <f t="array" ref="W62">_xlfn.IFNA((INDEX('DMR 001C TIN &amp; TP'!$A$3:$M$10005,MATCH(('Reg 85'!$I$6:$Q$6&amp;'Reg 85'!W$10&amp;'Reg 85'!$B62),('DMR 001C TIN &amp; TP'!$E$3:$E$10005&amp;'DMR 001C TIN &amp; TP'!$B$3:$B$10005&amp;'DMR 001C TIN &amp; TP'!$A$3:$A$10005),0),MATCH('Reg 85'!$O$11,'DMR 001C TIN &amp; TP'!$A$2:$M$2,0))),"")</f>
        <v/>
      </c>
      <c r="X62" s="5" t="str">
        <f t="shared" si="10"/>
        <v/>
      </c>
      <c r="Y62" s="6" t="str">
        <f t="array" ref="Y62">_xlfn.IFNA((INDEX('DMR 001C TIN &amp; TP'!$A$3:$M$10005,MATCH(('Reg 85'!$X$6&amp;'Reg 85'!$X$10&amp;'Reg 85'!$B62),('DMR 001C TIN &amp; TP'!$E$3:$E$10005&amp;'DMR 001C TIN &amp; TP'!$B$3:$B$10005&amp;'DMR 001C TIN &amp; TP'!$A$3:$A$10005),0),MATCH('Reg 85'!$Y$11,'DMR 001C TIN &amp; TP'!$A$2:$M$2,0))),"")</f>
        <v/>
      </c>
      <c r="Z62" s="6" t="str">
        <f t="array" ref="Z62">_xlfn.IFNA((INDEX('DMR 001C TIN &amp; TP'!$A$3:$M$10005,MATCH(('Reg 85'!$X$6&amp;'Reg 85'!$X$10&amp;'Reg 85'!$B62),('DMR 001C TIN &amp; TP'!$E$3:$E$10005&amp;'DMR 001C TIN &amp; TP'!$B$3:$B$10005&amp;'DMR 001C TIN &amp; TP'!$A$3:$A$10005),0),MATCH('Reg 85'!$Z$11,'DMR 001C TIN &amp; TP'!$A$2:$M$2,0))),"")</f>
        <v/>
      </c>
      <c r="AA62" s="53" t="str">
        <f t="shared" si="11"/>
        <v/>
      </c>
      <c r="AB62" s="5" t="str">
        <f t="shared" si="12"/>
        <v/>
      </c>
      <c r="AC62" s="6" t="str">
        <f t="array" ref="AC62">_xlfn.IFNA((INDEX('DMR 001C TIN &amp; TP'!$A$3:$M$10005,MATCH(('Reg 85'!$X$6&amp;'Reg 85'!$AB$10&amp;'Reg 85'!$B62),('DMR 001C TIN &amp; TP'!$E$3:$E$10005&amp;'DMR 001C TIN &amp; TP'!$B$3:$B$10005&amp;'DMR 001C TIN &amp; TP'!$A$3:$A$10005),0),MATCH('Reg 85'!$AC$11,'DMR 001C TIN &amp; TP'!$A$2:$M$2,0))),"")</f>
        <v/>
      </c>
      <c r="AD62" s="6" t="str">
        <f t="array" ref="AD62">_xlfn.IFNA((INDEX('DMR 001C TIN &amp; TP'!$A$3:$M$10005,MATCH(('Reg 85'!$X$6&amp;'Reg 85'!$AB$10&amp;'Reg 85'!$B62),('DMR 001C TIN &amp; TP'!$E$3:$E$10005&amp;'DMR 001C TIN &amp; TP'!$B$3:$B$10005&amp;'DMR 001C TIN &amp; TP'!$A$3:$A$10005),0),MATCH('Reg 85'!$AD$11,'DMR 001C TIN &amp; TP'!$A$2:$M$2,0))),"")</f>
        <v/>
      </c>
      <c r="AE62" s="53" t="str">
        <f t="shared" si="13"/>
        <v/>
      </c>
      <c r="AF62" s="7" t="str">
        <f t="shared" si="14"/>
        <v/>
      </c>
      <c r="AG62" s="6" t="str">
        <f t="array" ref="AG62">_xlfn.IFNA((INDEX('DMR 001C TIN &amp; TP'!$A$3:$M$10005,MATCH(('Reg 85'!$X$6&amp;'Reg 85'!AG$10&amp;'Reg 85'!$B62),('DMR 001C TIN &amp; TP'!$E$3:$E$10005&amp;'DMR 001C TIN &amp; TP'!$B$3:$B$10005&amp;'DMR 001C TIN &amp; TP'!$A$3:$A$10005),0),MATCH('Reg 85'!$AG$11,'DMR 001C TIN &amp; TP'!$A$2:$M$2,0))),"")</f>
        <v/>
      </c>
      <c r="AH62" s="6" t="str">
        <f t="array" ref="AH62">_xlfn.IFNA((INDEX('DMR 001C TIN &amp; TP'!$A$3:$M$10005,MATCH(('Reg 85'!$X$6&amp;'Reg 85'!AH$10&amp;'Reg 85'!$B62),('DMR 001C TIN &amp; TP'!$E$3:$E$10005&amp;'DMR 001C TIN &amp; TP'!$B$3:$B$10005&amp;'DMR 001C TIN &amp; TP'!$A$3:$A$10005),0),MATCH('Reg 85'!$AG$11,'DMR 001C TIN &amp; TP'!$A$2:$M$2,0))),"")</f>
        <v/>
      </c>
      <c r="AI62" s="6" t="str">
        <f t="array" ref="AI62">_xlfn.IFNA((INDEX('DMR 001C TIN &amp; TP'!$A$3:$M$10005,MATCH(('Reg 85'!$X$6&amp;'Reg 85'!AI$10&amp;'Reg 85'!$B62),('DMR 001C TIN &amp; TP'!$E$3:$E$10005&amp;'DMR 001C TIN &amp; TP'!$B$3:$B$10005&amp;'DMR 001C TIN &amp; TP'!$A$3:$A$10005),0),MATCH('Reg 85'!$AG$11,'DMR 001C TIN &amp; TP'!$A$2:$M$2,0))),"")</f>
        <v/>
      </c>
      <c r="AJ62" s="6" t="str">
        <f t="array" ref="AJ62">_xlfn.IFNA((INDEX('DMR 001C TIN &amp; TP'!$A$3:$M$10005,MATCH(('Reg 85'!$X$6&amp;'Reg 85'!AJ$10&amp;'Reg 85'!$B62),('DMR 001C TIN &amp; TP'!$E$3:$E$10005&amp;'DMR 001C TIN &amp; TP'!$B$3:$B$10005&amp;'DMR 001C TIN &amp; TP'!$A$3:$A$10005),0),MATCH('Reg 85'!$AG$11,'DMR 001C TIN &amp; TP'!$A$2:$M$2,0))),"")</f>
        <v/>
      </c>
      <c r="AK62" s="6" t="str">
        <f t="array" ref="AK62">_xlfn.IFNA((INDEX('DMR 001C TIN &amp; TP'!$A$3:$M$10005,MATCH(('Reg 85'!$X$6&amp;'Reg 85'!AK$10&amp;'Reg 85'!$B62),('DMR 001C TIN &amp; TP'!$E$3:$E$10005&amp;'DMR 001C TIN &amp; TP'!$B$3:$B$10005&amp;'DMR 001C TIN &amp; TP'!$A$3:$A$10005),0),MATCH('Reg 85'!$AG$11,'DMR 001C TIN &amp; TP'!$A$2:$M$2,0))),"")</f>
        <v/>
      </c>
      <c r="AL62" s="6" t="str">
        <f t="array" ref="AL62">_xlfn.IFNA((INDEX('DMR 001C TIN &amp; TP'!$A$3:$M$10005,MATCH(('Reg 85'!$X$6&amp;'Reg 85'!AL$10&amp;'Reg 85'!$B62),('DMR 001C TIN &amp; TP'!$E$3:$E$10005&amp;'DMR 001C TIN &amp; TP'!$B$3:$B$10005&amp;'DMR 001C TIN &amp; TP'!$A$3:$A$10005),0),MATCH('Reg 85'!$AG$11,'DMR 001C TIN &amp; TP'!$A$2:$M$2,0))),"")</f>
        <v/>
      </c>
      <c r="AM62" s="76"/>
      <c r="AN62" s="6"/>
      <c r="AO62" s="54" t="str">
        <f t="shared" si="0"/>
        <v/>
      </c>
      <c r="AP62" s="77" t="str">
        <f t="shared" si="39"/>
        <v/>
      </c>
      <c r="AQ62" s="47"/>
      <c r="AR62" s="6" t="str">
        <f t="array" ref="AR62">_xlfn.IFNA((INDEX('DMR 001C TIN &amp; TP'!$A$3:$M$10005,MATCH(('Reg 85'!$AQ$6&amp;'Reg 85'!$AQ$10&amp;'Reg 85'!$B62),('DMR 001C TIN &amp; TP'!$E$3:$E$10005&amp;'DMR 001C TIN &amp; TP'!$B$3:$B$10005&amp;'DMR 001C TIN &amp; TP'!$A$3:$A$10005),0),MATCH('Reg 85'!$AR$11,'DMR 001C TIN &amp; TP'!$A$2:$M$2,0))),"")</f>
        <v>0.03</v>
      </c>
      <c r="AS62" s="6">
        <f t="array" ref="AS62">_xlfn.IFNA((INDEX('DMR 001C TIN &amp; TP'!$A$3:$M$10005,MATCH(('Reg 85'!$AQ$6&amp;'Reg 85'!$AQ$10&amp;'Reg 85'!$B62),('DMR 001C TIN &amp; TP'!$E$3:$E$10005&amp;'DMR 001C TIN &amp; TP'!$B$3:$B$10005&amp;'DMR 001C TIN &amp; TP'!$A$3:$A$10005),0),MATCH('Reg 85'!$AS$11,'DMR 001C TIN &amp; TP'!$A$2:$M$2,0))),"")</f>
        <v>0.28000000000000003</v>
      </c>
      <c r="AT62" s="53">
        <f t="shared" si="15"/>
        <v>0.28000000000000003</v>
      </c>
      <c r="AV62" s="6" t="str">
        <f t="array" ref="AV62">_xlfn.IFNA((INDEX('DMR 001C TIN &amp; TP'!$A$3:$M$10005,MATCH(('Reg 85'!$AQ$6&amp;'Reg 85'!$AU$10&amp;'Reg 85'!$B62),('DMR 001C TIN &amp; TP'!$E$3:$E$10005&amp;'DMR 001C TIN &amp; TP'!$B$3:$B$10005&amp;'DMR 001C TIN &amp; TP'!$A$3:$A$10005),0),MATCH('Reg 85'!$AV$11,'DMR 001C TIN &amp; TP'!$A$2:$M$2,0))),"")</f>
        <v>0.03</v>
      </c>
      <c r="AW62" s="6">
        <f t="array" ref="AW62">_xlfn.IFNA((INDEX('DMR 001C TIN &amp; TP'!$A$3:$M$10005,MATCH(('Reg 85'!$AQ$6&amp;'Reg 85'!$AU$10&amp;'Reg 85'!$B62),('DMR 001C TIN &amp; TP'!$E$3:$E$10005&amp;'DMR 001C TIN &amp; TP'!$B$3:$B$10005&amp;'DMR 001C TIN &amp; TP'!$A$3:$A$10005),0),MATCH('Reg 85'!$AW$11,'DMR 001C TIN &amp; TP'!$A$2:$M$2,0))),"")</f>
        <v>3.59</v>
      </c>
      <c r="AX62" s="53">
        <f t="shared" si="16"/>
        <v>3.59</v>
      </c>
      <c r="AY62" s="55">
        <f t="shared" si="17"/>
        <v>2.3527236822372122</v>
      </c>
      <c r="AZ62" s="77" t="str">
        <f t="shared" si="37"/>
        <v/>
      </c>
      <c r="BA62" s="6" t="str">
        <f t="array" ref="BA62">_xlfn.IFNA((INDEX('DMR 001C TIN &amp; TP'!$A$3:$M$10005,MATCH(('Reg 85'!$AQ$6&amp;'Reg 85'!BA$10&amp;'Reg 85'!$B62),('DMR 001C TIN &amp; TP'!$E$3:$E$10005&amp;'DMR 001C TIN &amp; TP'!$B$3:$B$10005&amp;'DMR 001C TIN &amp; TP'!$A$3:$A$10005),0),MATCH('Reg 85'!$AG$11,'DMR 001C TIN &amp; TP'!$A$2:$M$2,0))),"")</f>
        <v/>
      </c>
      <c r="BB62" s="6" t="str">
        <f t="array" ref="BB62">_xlfn.IFNA((INDEX('DMR 001C TIN &amp; TP'!$A$3:$M$10005,MATCH(('Reg 85'!$AQ$6&amp;'Reg 85'!BB$10&amp;'Reg 85'!$B62),('DMR 001C TIN &amp; TP'!$E$3:$E$10005&amp;'DMR 001C TIN &amp; TP'!$B$3:$B$10005&amp;'DMR 001C TIN &amp; TP'!$A$3:$A$10005),0),MATCH('Reg 85'!$AG$11,'DMR 001C TIN &amp; TP'!$A$2:$M$2,0))),"")</f>
        <v/>
      </c>
      <c r="BC62" s="6" t="str">
        <f t="array" ref="BC62">_xlfn.IFNA((INDEX('DMR 001C TIN &amp; TP'!$A$3:$M$10005,MATCH(('Reg 85'!$AQ$6&amp;'Reg 85'!BC$10&amp;'Reg 85'!$B62),('DMR 001C TIN &amp; TP'!$E$3:$E$10005&amp;'DMR 001C TIN &amp; TP'!$B$3:$B$10005&amp;'DMR 001C TIN &amp; TP'!$A$3:$A$10005),0),MATCH('Reg 85'!$AG$11,'DMR 001C TIN &amp; TP'!$A$2:$M$2,0))),"")</f>
        <v/>
      </c>
      <c r="BD62" s="6" t="str">
        <f t="array" ref="BD62">_xlfn.IFNA((INDEX('DMR 001C TIN &amp; TP'!$A$3:$M$10005,MATCH(('Reg 85'!$AQ$6&amp;'Reg 85'!BD$10&amp;'Reg 85'!$B62),('DMR 001C TIN &amp; TP'!$E$3:$E$10005&amp;'DMR 001C TIN &amp; TP'!$B$3:$B$10005&amp;'DMR 001C TIN &amp; TP'!$A$3:$A$10005),0),MATCH('Reg 85'!$AG$11,'DMR 001C TIN &amp; TP'!$A$2:$M$2,0))),"")</f>
        <v/>
      </c>
      <c r="BE62" s="6" t="str">
        <f t="array" ref="BE62">_xlfn.IFNA((INDEX('DMR 001C TIN &amp; TP'!$A$3:$M$10005,MATCH(('Reg 85'!$AQ$6&amp;'Reg 85'!BE$10&amp;'Reg 85'!$B62),('DMR 001C TIN &amp; TP'!$E$3:$E$10005&amp;'DMR 001C TIN &amp; TP'!$B$3:$B$10005&amp;'DMR 001C TIN &amp; TP'!$A$3:$A$10005),0),MATCH('Reg 85'!$AG$11,'DMR 001C TIN &amp; TP'!$A$2:$M$2,0))),"")</f>
        <v/>
      </c>
      <c r="BF62" s="6" t="str">
        <f t="array" ref="BF62">_xlfn.IFNA((INDEX('DMR 001C TIN &amp; TP'!$A$3:$M$10005,MATCH(('Reg 85'!$AQ$6&amp;'Reg 85'!BF$10&amp;'Reg 85'!$B62),('DMR 001C TIN &amp; TP'!$E$3:$E$10005&amp;'DMR 001C TIN &amp; TP'!$B$3:$B$10005&amp;'DMR 001C TIN &amp; TP'!$A$3:$A$10005),0),MATCH('Reg 85'!$AG$11,'DMR 001C TIN &amp; TP'!$A$2:$M$2,0))),"")</f>
        <v/>
      </c>
    </row>
    <row r="63" spans="1:58">
      <c r="A63" s="3" t="str">
        <f t="shared" si="2"/>
        <v>Mon</v>
      </c>
      <c r="B63" s="96">
        <f t="shared" si="19"/>
        <v>43395</v>
      </c>
      <c r="C63" s="96">
        <f t="shared" si="3"/>
        <v>43404</v>
      </c>
      <c r="D63" s="96">
        <f t="shared" si="4"/>
        <v>43374</v>
      </c>
      <c r="E63" s="95">
        <f t="shared" si="5"/>
        <v>31</v>
      </c>
      <c r="F63" s="7">
        <f t="array" ref="F63">_xlfn.IFNA(INDEX('DMR Flows-Effluent'!$A$3:$F$9999,MATCH(($F$10&amp;$B63),('DMR Flows-Effluent'!$B$3:$B$9999&amp;'DMR Flows-Effluent'!$A$3:$A$9999),0),MATCH($F$8,'DMR Flows-Effluent'!$A$2:$F$2,0)),"")</f>
        <v>41.922600000000003</v>
      </c>
      <c r="G63" s="7">
        <f t="array" ref="G63">_xlfn.IFNA(INDEX('DMR Flows-Effluent'!$A$3:$F$9999,MATCH(($G$10&amp;$B63),('DMR Flows-Effluent'!$B$3:$B$9999&amp;'DMR Flows-Effluent'!$A$3:$A$9999),0),MATCH($F$8,'DMR Flows-Effluent'!$A$2:$F$2,0)),"")</f>
        <v>79.671599999999998</v>
      </c>
      <c r="H63" s="7">
        <f t="shared" si="6"/>
        <v>121.5942</v>
      </c>
      <c r="I63" s="45" t="str">
        <f t="shared" si="7"/>
        <v/>
      </c>
      <c r="J63" s="6" t="str">
        <f t="array" ref="J63">_xlfn.IFNA((INDEX('DMR 001C TIN &amp; TP'!$A$3:$M$10005,MATCH(('Reg 85'!$I$6:$Q$6&amp;'Reg 85'!$I$10:$K$10&amp;'Reg 85'!$B63),('DMR 001C TIN &amp; TP'!$E$3:$E$10005&amp;'DMR 001C TIN &amp; TP'!$B$3:$B$10005&amp;'DMR 001C TIN &amp; TP'!$A$3:$A$10005),0),MATCH('Reg 85'!$J$11,'DMR 001C TIN &amp; TP'!$A$2:$M$2,0))),"")</f>
        <v>0.15</v>
      </c>
      <c r="K63" s="6">
        <f t="array" ref="K63">_xlfn.IFNA((INDEX('DMR 001C TIN &amp; TP'!$A$3:$M$10005,MATCH(('Reg 85'!$I$6:$Q$6&amp;'Reg 85'!$I$10:$K$10&amp;'Reg 85'!$B63),('DMR 001C TIN &amp; TP'!$E$3:$E$10005&amp;'DMR 001C TIN &amp; TP'!$B$3:$B$10005&amp;'DMR 001C TIN &amp; TP'!$A$3:$A$10005),0),MATCH('Reg 85'!$K$11,'DMR 001C TIN &amp; TP'!$A$2:$M$2,0))),"")</f>
        <v>0.24</v>
      </c>
      <c r="L63" s="53">
        <f t="shared" si="21"/>
        <v>0.24</v>
      </c>
      <c r="M63" s="5" t="str">
        <f t="shared" si="8"/>
        <v/>
      </c>
      <c r="N63" s="6" t="str">
        <f t="array" ref="N63">_xlfn.IFNA((INDEX('DMR 001C TIN &amp; TP'!$A$3:$M$10005,MATCH(('Reg 85'!$I$6:$Q$6&amp;'Reg 85'!$M$10&amp;'Reg 85'!$B63),('DMR 001C TIN &amp; TP'!$E$3:$E$10005&amp;'DMR 001C TIN &amp; TP'!$B$3:$B$10005&amp;'DMR 001C TIN &amp; TP'!$A$3:$A$10005),0),MATCH('Reg 85'!$N$11,'DMR 001C TIN &amp; TP'!$A$2:$M$2,0))),"")</f>
        <v>0.15</v>
      </c>
      <c r="O63" s="6">
        <f t="array" ref="O63">_xlfn.IFNA((INDEX('DMR 001C TIN &amp; TP'!$A$3:$M$10005,MATCH(('Reg 85'!$I$6:$Q$6&amp;'Reg 85'!$M$10&amp;'Reg 85'!$B63),('DMR 001C TIN &amp; TP'!$E$3:$E$10005&amp;'DMR 001C TIN &amp; TP'!$B$3:$B$10005&amp;'DMR 001C TIN &amp; TP'!$A$3:$A$10005),0),MATCH('Reg 85'!$O$11,'DMR 001C TIN &amp; TP'!$A$2:$M$2,0))),"")</f>
        <v>1.0900000000000001</v>
      </c>
      <c r="P63" s="53">
        <f t="shared" si="9"/>
        <v>1.0900000000000001</v>
      </c>
      <c r="Q63" s="73">
        <f t="array" ref="Q63">IFERROR(((L63*$F63)+(P63*$G63))/($H63),"")</f>
        <v>0.79694153175069204</v>
      </c>
      <c r="R63" s="6" t="str">
        <f t="array" ref="R63">_xlfn.IFNA((INDEX('DMR 001C TIN &amp; TP'!$A$3:$M$10005,MATCH(('Reg 85'!$I$6:$Q$6&amp;'Reg 85'!R$10&amp;'Reg 85'!$B63),('DMR 001C TIN &amp; TP'!$E$3:$E$10005&amp;'DMR 001C TIN &amp; TP'!$B$3:$B$10005&amp;'DMR 001C TIN &amp; TP'!$A$3:$A$10005),0),MATCH('Reg 85'!$O$11,'DMR 001C TIN &amp; TP'!$A$2:$M$2,0))),"")</f>
        <v/>
      </c>
      <c r="S63" s="6" t="str">
        <f t="array" ref="S63">_xlfn.IFNA((INDEX('DMR 001C TIN &amp; TP'!$A$3:$M$10005,MATCH(('Reg 85'!$I$6:$Q$6&amp;'Reg 85'!S$10&amp;'Reg 85'!$B63),('DMR 001C TIN &amp; TP'!$E$3:$E$10005&amp;'DMR 001C TIN &amp; TP'!$B$3:$B$10005&amp;'DMR 001C TIN &amp; TP'!$A$3:$A$10005),0),MATCH('Reg 85'!$O$11,'DMR 001C TIN &amp; TP'!$A$2:$M$2,0))),"")</f>
        <v/>
      </c>
      <c r="T63" s="6" t="str">
        <f t="array" ref="T63">_xlfn.IFNA((INDEX('DMR 001C TIN &amp; TP'!$A$3:$M$10005,MATCH(('Reg 85'!$I$6:$Q$6&amp;'Reg 85'!T$10&amp;'Reg 85'!$B63),('DMR 001C TIN &amp; TP'!$E$3:$E$10005&amp;'DMR 001C TIN &amp; TP'!$B$3:$B$10005&amp;'DMR 001C TIN &amp; TP'!$A$3:$A$10005),0),MATCH('Reg 85'!$O$11,'DMR 001C TIN &amp; TP'!$A$2:$M$2,0))),"")</f>
        <v/>
      </c>
      <c r="U63" s="6" t="str">
        <f t="array" ref="U63">_xlfn.IFNA((INDEX('DMR 001C TIN &amp; TP'!$A$3:$M$10005,MATCH(('Reg 85'!$I$6:$Q$6&amp;'Reg 85'!U$10&amp;'Reg 85'!$B63),('DMR 001C TIN &amp; TP'!$E$3:$E$10005&amp;'DMR 001C TIN &amp; TP'!$B$3:$B$10005&amp;'DMR 001C TIN &amp; TP'!$A$3:$A$10005),0),MATCH('Reg 85'!$O$11,'DMR 001C TIN &amp; TP'!$A$2:$M$2,0))),"")</f>
        <v/>
      </c>
      <c r="V63" s="6" t="str">
        <f t="array" ref="V63">_xlfn.IFNA((INDEX('DMR 001C TIN &amp; TP'!$A$3:$M$10005,MATCH(('Reg 85'!$I$6:$Q$6&amp;'Reg 85'!V$10&amp;'Reg 85'!$B63),('DMR 001C TIN &amp; TP'!$E$3:$E$10005&amp;'DMR 001C TIN &amp; TP'!$B$3:$B$10005&amp;'DMR 001C TIN &amp; TP'!$A$3:$A$10005),0),MATCH('Reg 85'!$O$11,'DMR 001C TIN &amp; TP'!$A$2:$M$2,0))),"")</f>
        <v/>
      </c>
      <c r="W63" s="6" t="str">
        <f t="array" ref="W63">_xlfn.IFNA((INDEX('DMR 001C TIN &amp; TP'!$A$3:$M$10005,MATCH(('Reg 85'!$I$6:$Q$6&amp;'Reg 85'!W$10&amp;'Reg 85'!$B63),('DMR 001C TIN &amp; TP'!$E$3:$E$10005&amp;'DMR 001C TIN &amp; TP'!$B$3:$B$10005&amp;'DMR 001C TIN &amp; TP'!$A$3:$A$10005),0),MATCH('Reg 85'!$O$11,'DMR 001C TIN &amp; TP'!$A$2:$M$2,0))),"")</f>
        <v/>
      </c>
      <c r="X63" s="5" t="str">
        <f t="shared" si="10"/>
        <v/>
      </c>
      <c r="Y63" s="6" t="str">
        <f t="array" ref="Y63">_xlfn.IFNA((INDEX('DMR 001C TIN &amp; TP'!$A$3:$M$10005,MATCH(('Reg 85'!$X$6&amp;'Reg 85'!$X$10&amp;'Reg 85'!$B63),('DMR 001C TIN &amp; TP'!$E$3:$E$10005&amp;'DMR 001C TIN &amp; TP'!$B$3:$B$10005&amp;'DMR 001C TIN &amp; TP'!$A$3:$A$10005),0),MATCH('Reg 85'!$Y$11,'DMR 001C TIN &amp; TP'!$A$2:$M$2,0))),"")</f>
        <v>0.06</v>
      </c>
      <c r="Z63" s="6">
        <f t="array" ref="Z63">_xlfn.IFNA((INDEX('DMR 001C TIN &amp; TP'!$A$3:$M$10005,MATCH(('Reg 85'!$X$6&amp;'Reg 85'!$X$10&amp;'Reg 85'!$B63),('DMR 001C TIN &amp; TP'!$E$3:$E$10005&amp;'DMR 001C TIN &amp; TP'!$B$3:$B$10005&amp;'DMR 001C TIN &amp; TP'!$A$3:$A$10005),0),MATCH('Reg 85'!$Z$11,'DMR 001C TIN &amp; TP'!$A$2:$M$2,0))),"")</f>
        <v>4.53</v>
      </c>
      <c r="AA63" s="53">
        <f t="shared" si="11"/>
        <v>4.53</v>
      </c>
      <c r="AB63" s="5" t="str">
        <f t="shared" si="12"/>
        <v/>
      </c>
      <c r="AC63" s="6" t="str">
        <f t="array" ref="AC63">_xlfn.IFNA((INDEX('DMR 001C TIN &amp; TP'!$A$3:$M$10005,MATCH(('Reg 85'!$X$6&amp;'Reg 85'!$AB$10&amp;'Reg 85'!$B63),('DMR 001C TIN &amp; TP'!$E$3:$E$10005&amp;'DMR 001C TIN &amp; TP'!$B$3:$B$10005&amp;'DMR 001C TIN &amp; TP'!$A$3:$A$10005),0),MATCH('Reg 85'!$AC$11,'DMR 001C TIN &amp; TP'!$A$2:$M$2,0))),"")</f>
        <v>0.06</v>
      </c>
      <c r="AD63" s="6">
        <f t="array" ref="AD63">_xlfn.IFNA((INDEX('DMR 001C TIN &amp; TP'!$A$3:$M$10005,MATCH(('Reg 85'!$X$6&amp;'Reg 85'!$AB$10&amp;'Reg 85'!$B63),('DMR 001C TIN &amp; TP'!$E$3:$E$10005&amp;'DMR 001C TIN &amp; TP'!$B$3:$B$10005&amp;'DMR 001C TIN &amp; TP'!$A$3:$A$10005),0),MATCH('Reg 85'!$AD$11,'DMR 001C TIN &amp; TP'!$A$2:$M$2,0))),"")</f>
        <v>4.45</v>
      </c>
      <c r="AE63" s="53">
        <f t="shared" si="13"/>
        <v>4.45</v>
      </c>
      <c r="AF63" s="7">
        <f t="shared" si="14"/>
        <v>4.4775819734822875</v>
      </c>
      <c r="AG63" s="6" t="str">
        <f t="array" ref="AG63">_xlfn.IFNA((INDEX('DMR 001C TIN &amp; TP'!$A$3:$M$10005,MATCH(('Reg 85'!$X$6&amp;'Reg 85'!AG$10&amp;'Reg 85'!$B63),('DMR 001C TIN &amp; TP'!$E$3:$E$10005&amp;'DMR 001C TIN &amp; TP'!$B$3:$B$10005&amp;'DMR 001C TIN &amp; TP'!$A$3:$A$10005),0),MATCH('Reg 85'!$AG$11,'DMR 001C TIN &amp; TP'!$A$2:$M$2,0))),"")</f>
        <v/>
      </c>
      <c r="AH63" s="6" t="str">
        <f t="array" ref="AH63">_xlfn.IFNA((INDEX('DMR 001C TIN &amp; TP'!$A$3:$M$10005,MATCH(('Reg 85'!$X$6&amp;'Reg 85'!AH$10&amp;'Reg 85'!$B63),('DMR 001C TIN &amp; TP'!$E$3:$E$10005&amp;'DMR 001C TIN &amp; TP'!$B$3:$B$10005&amp;'DMR 001C TIN &amp; TP'!$A$3:$A$10005),0),MATCH('Reg 85'!$AG$11,'DMR 001C TIN &amp; TP'!$A$2:$M$2,0))),"")</f>
        <v/>
      </c>
      <c r="AI63" s="6" t="str">
        <f t="array" ref="AI63">_xlfn.IFNA((INDEX('DMR 001C TIN &amp; TP'!$A$3:$M$10005,MATCH(('Reg 85'!$X$6&amp;'Reg 85'!AI$10&amp;'Reg 85'!$B63),('DMR 001C TIN &amp; TP'!$E$3:$E$10005&amp;'DMR 001C TIN &amp; TP'!$B$3:$B$10005&amp;'DMR 001C TIN &amp; TP'!$A$3:$A$10005),0),MATCH('Reg 85'!$AG$11,'DMR 001C TIN &amp; TP'!$A$2:$M$2,0))),"")</f>
        <v/>
      </c>
      <c r="AJ63" s="6" t="str">
        <f t="array" ref="AJ63">_xlfn.IFNA((INDEX('DMR 001C TIN &amp; TP'!$A$3:$M$10005,MATCH(('Reg 85'!$X$6&amp;'Reg 85'!AJ$10&amp;'Reg 85'!$B63),('DMR 001C TIN &amp; TP'!$E$3:$E$10005&amp;'DMR 001C TIN &amp; TP'!$B$3:$B$10005&amp;'DMR 001C TIN &amp; TP'!$A$3:$A$10005),0),MATCH('Reg 85'!$AG$11,'DMR 001C TIN &amp; TP'!$A$2:$M$2,0))),"")</f>
        <v/>
      </c>
      <c r="AK63" s="6" t="str">
        <f t="array" ref="AK63">_xlfn.IFNA((INDEX('DMR 001C TIN &amp; TP'!$A$3:$M$10005,MATCH(('Reg 85'!$X$6&amp;'Reg 85'!AK$10&amp;'Reg 85'!$B63),('DMR 001C TIN &amp; TP'!$E$3:$E$10005&amp;'DMR 001C TIN &amp; TP'!$B$3:$B$10005&amp;'DMR 001C TIN &amp; TP'!$A$3:$A$10005),0),MATCH('Reg 85'!$AG$11,'DMR 001C TIN &amp; TP'!$A$2:$M$2,0))),"")</f>
        <v/>
      </c>
      <c r="AL63" s="6" t="str">
        <f t="array" ref="AL63">_xlfn.IFNA((INDEX('DMR 001C TIN &amp; TP'!$A$3:$M$10005,MATCH(('Reg 85'!$X$6&amp;'Reg 85'!AL$10&amp;'Reg 85'!$B63),('DMR 001C TIN &amp; TP'!$E$3:$E$10005&amp;'DMR 001C TIN &amp; TP'!$B$3:$B$10005&amp;'DMR 001C TIN &amp; TP'!$A$3:$A$10005),0),MATCH('Reg 85'!$AG$11,'DMR 001C TIN &amp; TP'!$A$2:$M$2,0))),"")</f>
        <v/>
      </c>
      <c r="AM63" s="76"/>
      <c r="AN63" s="6"/>
      <c r="AO63" s="54">
        <f t="shared" si="0"/>
        <v>5.2745235052329793</v>
      </c>
      <c r="AP63" s="77" t="str">
        <f t="shared" si="39"/>
        <v/>
      </c>
      <c r="AQ63" s="47"/>
      <c r="AR63" s="6" t="str">
        <f t="array" ref="AR63">_xlfn.IFNA((INDEX('DMR 001C TIN &amp; TP'!$A$3:$M$10005,MATCH(('Reg 85'!$AQ$6&amp;'Reg 85'!$AQ$10&amp;'Reg 85'!$B63),('DMR 001C TIN &amp; TP'!$E$3:$E$10005&amp;'DMR 001C TIN &amp; TP'!$B$3:$B$10005&amp;'DMR 001C TIN &amp; TP'!$A$3:$A$10005),0),MATCH('Reg 85'!$AR$11,'DMR 001C TIN &amp; TP'!$A$2:$M$2,0))),"")</f>
        <v/>
      </c>
      <c r="AS63" s="6" t="str">
        <f t="array" ref="AS63">_xlfn.IFNA((INDEX('DMR 001C TIN &amp; TP'!$A$3:$M$10005,MATCH(('Reg 85'!$AQ$6&amp;'Reg 85'!$AQ$10&amp;'Reg 85'!$B63),('DMR 001C TIN &amp; TP'!$E$3:$E$10005&amp;'DMR 001C TIN &amp; TP'!$B$3:$B$10005&amp;'DMR 001C TIN &amp; TP'!$A$3:$A$10005),0),MATCH('Reg 85'!$AS$11,'DMR 001C TIN &amp; TP'!$A$2:$M$2,0))),"")</f>
        <v/>
      </c>
      <c r="AT63" s="53" t="str">
        <f t="shared" si="15"/>
        <v/>
      </c>
      <c r="AV63" s="6" t="str">
        <f t="array" ref="AV63">_xlfn.IFNA((INDEX('DMR 001C TIN &amp; TP'!$A$3:$M$10005,MATCH(('Reg 85'!$AQ$6&amp;'Reg 85'!$AU$10&amp;'Reg 85'!$B63),('DMR 001C TIN &amp; TP'!$E$3:$E$10005&amp;'DMR 001C TIN &amp; TP'!$B$3:$B$10005&amp;'DMR 001C TIN &amp; TP'!$A$3:$A$10005),0),MATCH('Reg 85'!$AV$11,'DMR 001C TIN &amp; TP'!$A$2:$M$2,0))),"")</f>
        <v/>
      </c>
      <c r="AW63" s="6" t="str">
        <f t="array" ref="AW63">_xlfn.IFNA((INDEX('DMR 001C TIN &amp; TP'!$A$3:$M$10005,MATCH(('Reg 85'!$AQ$6&amp;'Reg 85'!$AU$10&amp;'Reg 85'!$B63),('DMR 001C TIN &amp; TP'!$E$3:$E$10005&amp;'DMR 001C TIN &amp; TP'!$B$3:$B$10005&amp;'DMR 001C TIN &amp; TP'!$A$3:$A$10005),0),MATCH('Reg 85'!$AW$11,'DMR 001C TIN &amp; TP'!$A$2:$M$2,0))),"")</f>
        <v/>
      </c>
      <c r="AX63" s="53" t="str">
        <f t="shared" si="16"/>
        <v/>
      </c>
      <c r="AY63" s="55" t="str">
        <f t="shared" si="17"/>
        <v/>
      </c>
      <c r="AZ63" s="77" t="str">
        <f t="shared" si="37"/>
        <v/>
      </c>
      <c r="BA63" s="6" t="str">
        <f t="array" ref="BA63">_xlfn.IFNA((INDEX('DMR 001C TIN &amp; TP'!$A$3:$M$10005,MATCH(('Reg 85'!$AQ$6&amp;'Reg 85'!BA$10&amp;'Reg 85'!$B63),('DMR 001C TIN &amp; TP'!$E$3:$E$10005&amp;'DMR 001C TIN &amp; TP'!$B$3:$B$10005&amp;'DMR 001C TIN &amp; TP'!$A$3:$A$10005),0),MATCH('Reg 85'!$AG$11,'DMR 001C TIN &amp; TP'!$A$2:$M$2,0))),"")</f>
        <v/>
      </c>
      <c r="BB63" s="6" t="str">
        <f t="array" ref="BB63">_xlfn.IFNA((INDEX('DMR 001C TIN &amp; TP'!$A$3:$M$10005,MATCH(('Reg 85'!$AQ$6&amp;'Reg 85'!BB$10&amp;'Reg 85'!$B63),('DMR 001C TIN &amp; TP'!$E$3:$E$10005&amp;'DMR 001C TIN &amp; TP'!$B$3:$B$10005&amp;'DMR 001C TIN &amp; TP'!$A$3:$A$10005),0),MATCH('Reg 85'!$AG$11,'DMR 001C TIN &amp; TP'!$A$2:$M$2,0))),"")</f>
        <v/>
      </c>
      <c r="BC63" s="6" t="str">
        <f t="array" ref="BC63">_xlfn.IFNA((INDEX('DMR 001C TIN &amp; TP'!$A$3:$M$10005,MATCH(('Reg 85'!$AQ$6&amp;'Reg 85'!BC$10&amp;'Reg 85'!$B63),('DMR 001C TIN &amp; TP'!$E$3:$E$10005&amp;'DMR 001C TIN &amp; TP'!$B$3:$B$10005&amp;'DMR 001C TIN &amp; TP'!$A$3:$A$10005),0),MATCH('Reg 85'!$AG$11,'DMR 001C TIN &amp; TP'!$A$2:$M$2,0))),"")</f>
        <v/>
      </c>
      <c r="BD63" s="6" t="str">
        <f t="array" ref="BD63">_xlfn.IFNA((INDEX('DMR 001C TIN &amp; TP'!$A$3:$M$10005,MATCH(('Reg 85'!$AQ$6&amp;'Reg 85'!BD$10&amp;'Reg 85'!$B63),('DMR 001C TIN &amp; TP'!$E$3:$E$10005&amp;'DMR 001C TIN &amp; TP'!$B$3:$B$10005&amp;'DMR 001C TIN &amp; TP'!$A$3:$A$10005),0),MATCH('Reg 85'!$AG$11,'DMR 001C TIN &amp; TP'!$A$2:$M$2,0))),"")</f>
        <v/>
      </c>
      <c r="BE63" s="6" t="str">
        <f t="array" ref="BE63">_xlfn.IFNA((INDEX('DMR 001C TIN &amp; TP'!$A$3:$M$10005,MATCH(('Reg 85'!$AQ$6&amp;'Reg 85'!BE$10&amp;'Reg 85'!$B63),('DMR 001C TIN &amp; TP'!$E$3:$E$10005&amp;'DMR 001C TIN &amp; TP'!$B$3:$B$10005&amp;'DMR 001C TIN &amp; TP'!$A$3:$A$10005),0),MATCH('Reg 85'!$AG$11,'DMR 001C TIN &amp; TP'!$A$2:$M$2,0))),"")</f>
        <v/>
      </c>
      <c r="BF63" s="6" t="str">
        <f t="array" ref="BF63">_xlfn.IFNA((INDEX('DMR 001C TIN &amp; TP'!$A$3:$M$10005,MATCH(('Reg 85'!$AQ$6&amp;'Reg 85'!BF$10&amp;'Reg 85'!$B63),('DMR 001C TIN &amp; TP'!$E$3:$E$10005&amp;'DMR 001C TIN &amp; TP'!$B$3:$B$10005&amp;'DMR 001C TIN &amp; TP'!$A$3:$A$10005),0),MATCH('Reg 85'!$AG$11,'DMR 001C TIN &amp; TP'!$A$2:$M$2,0))),"")</f>
        <v/>
      </c>
    </row>
    <row r="64" spans="1:58">
      <c r="A64" s="3" t="str">
        <f t="shared" si="2"/>
        <v>Tue</v>
      </c>
      <c r="B64" s="96">
        <f t="shared" si="19"/>
        <v>43396</v>
      </c>
      <c r="C64" s="96">
        <f t="shared" si="3"/>
        <v>43404</v>
      </c>
      <c r="D64" s="96">
        <f t="shared" si="4"/>
        <v>43374</v>
      </c>
      <c r="E64" s="95">
        <f t="shared" si="5"/>
        <v>31</v>
      </c>
      <c r="F64" s="7">
        <f t="array" ref="F64">_xlfn.IFNA(INDEX('DMR Flows-Effluent'!$A$3:$F$9999,MATCH(($F$10&amp;$B64),('DMR Flows-Effluent'!$B$3:$B$9999&amp;'DMR Flows-Effluent'!$A$3:$A$9999),0),MATCH($F$8,'DMR Flows-Effluent'!$A$2:$F$2,0)),"")</f>
        <v>38.872100000000003</v>
      </c>
      <c r="G64" s="7">
        <f t="array" ref="G64">_xlfn.IFNA(INDEX('DMR Flows-Effluent'!$A$3:$F$9999,MATCH(($G$10&amp;$B64),('DMR Flows-Effluent'!$B$3:$B$9999&amp;'DMR Flows-Effluent'!$A$3:$A$9999),0),MATCH($F$8,'DMR Flows-Effluent'!$A$2:$F$2,0)),"")</f>
        <v>78.357699999999994</v>
      </c>
      <c r="H64" s="7">
        <f t="shared" si="6"/>
        <v>117.2298</v>
      </c>
      <c r="I64" s="45" t="str">
        <f t="shared" si="7"/>
        <v/>
      </c>
      <c r="J64" s="6" t="str">
        <f t="array" ref="J64">_xlfn.IFNA((INDEX('DMR 001C TIN &amp; TP'!$A$3:$M$10005,MATCH(('Reg 85'!$I$6:$Q$6&amp;'Reg 85'!$I$10:$K$10&amp;'Reg 85'!$B64),('DMR 001C TIN &amp; TP'!$E$3:$E$10005&amp;'DMR 001C TIN &amp; TP'!$B$3:$B$10005&amp;'DMR 001C TIN &amp; TP'!$A$3:$A$10005),0),MATCH('Reg 85'!$J$11,'DMR 001C TIN &amp; TP'!$A$2:$M$2,0))),"")</f>
        <v>0.15</v>
      </c>
      <c r="K64" s="6">
        <f t="array" ref="K64">_xlfn.IFNA((INDEX('DMR 001C TIN &amp; TP'!$A$3:$M$10005,MATCH(('Reg 85'!$I$6:$Q$6&amp;'Reg 85'!$I$10:$K$10&amp;'Reg 85'!$B64),('DMR 001C TIN &amp; TP'!$E$3:$E$10005&amp;'DMR 001C TIN &amp; TP'!$B$3:$B$10005&amp;'DMR 001C TIN &amp; TP'!$A$3:$A$10005),0),MATCH('Reg 85'!$K$11,'DMR 001C TIN &amp; TP'!$A$2:$M$2,0))),"")</f>
        <v>0.28000000000000003</v>
      </c>
      <c r="L64" s="53">
        <f t="shared" si="21"/>
        <v>0.28000000000000003</v>
      </c>
      <c r="M64" s="5" t="str">
        <f t="shared" si="8"/>
        <v/>
      </c>
      <c r="N64" s="6" t="str">
        <f t="array" ref="N64">_xlfn.IFNA((INDEX('DMR 001C TIN &amp; TP'!$A$3:$M$10005,MATCH(('Reg 85'!$I$6:$Q$6&amp;'Reg 85'!$M$10&amp;'Reg 85'!$B64),('DMR 001C TIN &amp; TP'!$E$3:$E$10005&amp;'DMR 001C TIN &amp; TP'!$B$3:$B$10005&amp;'DMR 001C TIN &amp; TP'!$A$3:$A$10005),0),MATCH('Reg 85'!$N$11,'DMR 001C TIN &amp; TP'!$A$2:$M$2,0))),"")</f>
        <v>0.15</v>
      </c>
      <c r="O64" s="6">
        <f t="array" ref="O64">_xlfn.IFNA((INDEX('DMR 001C TIN &amp; TP'!$A$3:$M$10005,MATCH(('Reg 85'!$I$6:$Q$6&amp;'Reg 85'!$M$10&amp;'Reg 85'!$B64),('DMR 001C TIN &amp; TP'!$E$3:$E$10005&amp;'DMR 001C TIN &amp; TP'!$B$3:$B$10005&amp;'DMR 001C TIN &amp; TP'!$A$3:$A$10005),0),MATCH('Reg 85'!$O$11,'DMR 001C TIN &amp; TP'!$A$2:$M$2,0))),"")</f>
        <v>1.27</v>
      </c>
      <c r="P64" s="53">
        <f t="shared" si="9"/>
        <v>1.27</v>
      </c>
      <c r="Q64" s="73">
        <f t="array" ref="Q64">IFERROR(((L64*$F64)+(P64*$G64))/($H64),"")</f>
        <v>0.94172699262474202</v>
      </c>
      <c r="R64" s="6" t="str">
        <f t="array" ref="R64">_xlfn.IFNA((INDEX('DMR 001C TIN &amp; TP'!$A$3:$M$10005,MATCH(('Reg 85'!$I$6:$Q$6&amp;'Reg 85'!R$10&amp;'Reg 85'!$B64),('DMR 001C TIN &amp; TP'!$E$3:$E$10005&amp;'DMR 001C TIN &amp; TP'!$B$3:$B$10005&amp;'DMR 001C TIN &amp; TP'!$A$3:$A$10005),0),MATCH('Reg 85'!$O$11,'DMR 001C TIN &amp; TP'!$A$2:$M$2,0))),"")</f>
        <v/>
      </c>
      <c r="S64" s="6" t="str">
        <f t="array" ref="S64">_xlfn.IFNA((INDEX('DMR 001C TIN &amp; TP'!$A$3:$M$10005,MATCH(('Reg 85'!$I$6:$Q$6&amp;'Reg 85'!S$10&amp;'Reg 85'!$B64),('DMR 001C TIN &amp; TP'!$E$3:$E$10005&amp;'DMR 001C TIN &amp; TP'!$B$3:$B$10005&amp;'DMR 001C TIN &amp; TP'!$A$3:$A$10005),0),MATCH('Reg 85'!$O$11,'DMR 001C TIN &amp; TP'!$A$2:$M$2,0))),"")</f>
        <v/>
      </c>
      <c r="T64" s="6" t="str">
        <f t="array" ref="T64">_xlfn.IFNA((INDEX('DMR 001C TIN &amp; TP'!$A$3:$M$10005,MATCH(('Reg 85'!$I$6:$Q$6&amp;'Reg 85'!T$10&amp;'Reg 85'!$B64),('DMR 001C TIN &amp; TP'!$E$3:$E$10005&amp;'DMR 001C TIN &amp; TP'!$B$3:$B$10005&amp;'DMR 001C TIN &amp; TP'!$A$3:$A$10005),0),MATCH('Reg 85'!$O$11,'DMR 001C TIN &amp; TP'!$A$2:$M$2,0))),"")</f>
        <v/>
      </c>
      <c r="U64" s="6" t="str">
        <f t="array" ref="U64">_xlfn.IFNA((INDEX('DMR 001C TIN &amp; TP'!$A$3:$M$10005,MATCH(('Reg 85'!$I$6:$Q$6&amp;'Reg 85'!U$10&amp;'Reg 85'!$B64),('DMR 001C TIN &amp; TP'!$E$3:$E$10005&amp;'DMR 001C TIN &amp; TP'!$B$3:$B$10005&amp;'DMR 001C TIN &amp; TP'!$A$3:$A$10005),0),MATCH('Reg 85'!$O$11,'DMR 001C TIN &amp; TP'!$A$2:$M$2,0))),"")</f>
        <v/>
      </c>
      <c r="V64" s="6" t="str">
        <f t="array" ref="V64">_xlfn.IFNA((INDEX('DMR 001C TIN &amp; TP'!$A$3:$M$10005,MATCH(('Reg 85'!$I$6:$Q$6&amp;'Reg 85'!V$10&amp;'Reg 85'!$B64),('DMR 001C TIN &amp; TP'!$E$3:$E$10005&amp;'DMR 001C TIN &amp; TP'!$B$3:$B$10005&amp;'DMR 001C TIN &amp; TP'!$A$3:$A$10005),0),MATCH('Reg 85'!$O$11,'DMR 001C TIN &amp; TP'!$A$2:$M$2,0))),"")</f>
        <v/>
      </c>
      <c r="W64" s="6" t="str">
        <f t="array" ref="W64">_xlfn.IFNA((INDEX('DMR 001C TIN &amp; TP'!$A$3:$M$10005,MATCH(('Reg 85'!$I$6:$Q$6&amp;'Reg 85'!W$10&amp;'Reg 85'!$B64),('DMR 001C TIN &amp; TP'!$E$3:$E$10005&amp;'DMR 001C TIN &amp; TP'!$B$3:$B$10005&amp;'DMR 001C TIN &amp; TP'!$A$3:$A$10005),0),MATCH('Reg 85'!$O$11,'DMR 001C TIN &amp; TP'!$A$2:$M$2,0))),"")</f>
        <v/>
      </c>
      <c r="X64" s="5" t="str">
        <f t="shared" si="10"/>
        <v/>
      </c>
      <c r="Y64" s="6" t="str">
        <f t="array" ref="Y64">_xlfn.IFNA((INDEX('DMR 001C TIN &amp; TP'!$A$3:$M$10005,MATCH(('Reg 85'!$X$6&amp;'Reg 85'!$X$10&amp;'Reg 85'!$B64),('DMR 001C TIN &amp; TP'!$E$3:$E$10005&amp;'DMR 001C TIN &amp; TP'!$B$3:$B$10005&amp;'DMR 001C TIN &amp; TP'!$A$3:$A$10005),0),MATCH('Reg 85'!$Y$11,'DMR 001C TIN &amp; TP'!$A$2:$M$2,0))),"")</f>
        <v>0.18</v>
      </c>
      <c r="Z64" s="6">
        <f t="array" ref="Z64">_xlfn.IFNA((INDEX('DMR 001C TIN &amp; TP'!$A$3:$M$10005,MATCH(('Reg 85'!$X$6&amp;'Reg 85'!$X$10&amp;'Reg 85'!$B64),('DMR 001C TIN &amp; TP'!$E$3:$E$10005&amp;'DMR 001C TIN &amp; TP'!$B$3:$B$10005&amp;'DMR 001C TIN &amp; TP'!$A$3:$A$10005),0),MATCH('Reg 85'!$Z$11,'DMR 001C TIN &amp; TP'!$A$2:$M$2,0))),"")</f>
        <v>4.2699999999999996</v>
      </c>
      <c r="AA64" s="53">
        <f t="shared" si="11"/>
        <v>4.2699999999999996</v>
      </c>
      <c r="AB64" s="5" t="str">
        <f t="shared" si="12"/>
        <v/>
      </c>
      <c r="AC64" s="6" t="str">
        <f t="array" ref="AC64">_xlfn.IFNA((INDEX('DMR 001C TIN &amp; TP'!$A$3:$M$10005,MATCH(('Reg 85'!$X$6&amp;'Reg 85'!$AB$10&amp;'Reg 85'!$B64),('DMR 001C TIN &amp; TP'!$E$3:$E$10005&amp;'DMR 001C TIN &amp; TP'!$B$3:$B$10005&amp;'DMR 001C TIN &amp; TP'!$A$3:$A$10005),0),MATCH('Reg 85'!$AC$11,'DMR 001C TIN &amp; TP'!$A$2:$M$2,0))),"")</f>
        <v>0.06</v>
      </c>
      <c r="AD64" s="6">
        <f t="array" ref="AD64">_xlfn.IFNA((INDEX('DMR 001C TIN &amp; TP'!$A$3:$M$10005,MATCH(('Reg 85'!$X$6&amp;'Reg 85'!$AB$10&amp;'Reg 85'!$B64),('DMR 001C TIN &amp; TP'!$E$3:$E$10005&amp;'DMR 001C TIN &amp; TP'!$B$3:$B$10005&amp;'DMR 001C TIN &amp; TP'!$A$3:$A$10005),0),MATCH('Reg 85'!$AD$11,'DMR 001C TIN &amp; TP'!$A$2:$M$2,0))),"")</f>
        <v>5.04</v>
      </c>
      <c r="AE64" s="53">
        <f t="shared" si="13"/>
        <v>5.04</v>
      </c>
      <c r="AF64" s="7">
        <f t="shared" si="14"/>
        <v>4.7846765498192436</v>
      </c>
      <c r="AG64" s="6" t="str">
        <f t="array" ref="AG64">_xlfn.IFNA((INDEX('DMR 001C TIN &amp; TP'!$A$3:$M$10005,MATCH(('Reg 85'!$X$6&amp;'Reg 85'!AG$10&amp;'Reg 85'!$B64),('DMR 001C TIN &amp; TP'!$E$3:$E$10005&amp;'DMR 001C TIN &amp; TP'!$B$3:$B$10005&amp;'DMR 001C TIN &amp; TP'!$A$3:$A$10005),0),MATCH('Reg 85'!$AG$11,'DMR 001C TIN &amp; TP'!$A$2:$M$2,0))),"")</f>
        <v/>
      </c>
      <c r="AH64" s="6" t="str">
        <f t="array" ref="AH64">_xlfn.IFNA((INDEX('DMR 001C TIN &amp; TP'!$A$3:$M$10005,MATCH(('Reg 85'!$X$6&amp;'Reg 85'!AH$10&amp;'Reg 85'!$B64),('DMR 001C TIN &amp; TP'!$E$3:$E$10005&amp;'DMR 001C TIN &amp; TP'!$B$3:$B$10005&amp;'DMR 001C TIN &amp; TP'!$A$3:$A$10005),0),MATCH('Reg 85'!$AG$11,'DMR 001C TIN &amp; TP'!$A$2:$M$2,0))),"")</f>
        <v/>
      </c>
      <c r="AI64" s="6" t="str">
        <f t="array" ref="AI64">_xlfn.IFNA((INDEX('DMR 001C TIN &amp; TP'!$A$3:$M$10005,MATCH(('Reg 85'!$X$6&amp;'Reg 85'!AI$10&amp;'Reg 85'!$B64),('DMR 001C TIN &amp; TP'!$E$3:$E$10005&amp;'DMR 001C TIN &amp; TP'!$B$3:$B$10005&amp;'DMR 001C TIN &amp; TP'!$A$3:$A$10005),0),MATCH('Reg 85'!$AG$11,'DMR 001C TIN &amp; TP'!$A$2:$M$2,0))),"")</f>
        <v/>
      </c>
      <c r="AJ64" s="6" t="str">
        <f t="array" ref="AJ64">_xlfn.IFNA((INDEX('DMR 001C TIN &amp; TP'!$A$3:$M$10005,MATCH(('Reg 85'!$X$6&amp;'Reg 85'!AJ$10&amp;'Reg 85'!$B64),('DMR 001C TIN &amp; TP'!$E$3:$E$10005&amp;'DMR 001C TIN &amp; TP'!$B$3:$B$10005&amp;'DMR 001C TIN &amp; TP'!$A$3:$A$10005),0),MATCH('Reg 85'!$AG$11,'DMR 001C TIN &amp; TP'!$A$2:$M$2,0))),"")</f>
        <v/>
      </c>
      <c r="AK64" s="6" t="str">
        <f t="array" ref="AK64">_xlfn.IFNA((INDEX('DMR 001C TIN &amp; TP'!$A$3:$M$10005,MATCH(('Reg 85'!$X$6&amp;'Reg 85'!AK$10&amp;'Reg 85'!$B64),('DMR 001C TIN &amp; TP'!$E$3:$E$10005&amp;'DMR 001C TIN &amp; TP'!$B$3:$B$10005&amp;'DMR 001C TIN &amp; TP'!$A$3:$A$10005),0),MATCH('Reg 85'!$AG$11,'DMR 001C TIN &amp; TP'!$A$2:$M$2,0))),"")</f>
        <v/>
      </c>
      <c r="AL64" s="6" t="str">
        <f t="array" ref="AL64">_xlfn.IFNA((INDEX('DMR 001C TIN &amp; TP'!$A$3:$M$10005,MATCH(('Reg 85'!$X$6&amp;'Reg 85'!AL$10&amp;'Reg 85'!$B64),('DMR 001C TIN &amp; TP'!$E$3:$E$10005&amp;'DMR 001C TIN &amp; TP'!$B$3:$B$10005&amp;'DMR 001C TIN &amp; TP'!$A$3:$A$10005),0),MATCH('Reg 85'!$AG$11,'DMR 001C TIN &amp; TP'!$A$2:$M$2,0))),"")</f>
        <v/>
      </c>
      <c r="AM64" s="76"/>
      <c r="AN64" s="6"/>
      <c r="AO64" s="54">
        <f t="shared" si="0"/>
        <v>5.7264035424439861</v>
      </c>
      <c r="AP64" s="77" t="str">
        <f t="shared" si="39"/>
        <v/>
      </c>
      <c r="AQ64" s="47"/>
      <c r="AR64" s="6" t="str">
        <f t="array" ref="AR64">_xlfn.IFNA((INDEX('DMR 001C TIN &amp; TP'!$A$3:$M$10005,MATCH(('Reg 85'!$AQ$6&amp;'Reg 85'!$AQ$10&amp;'Reg 85'!$B64),('DMR 001C TIN &amp; TP'!$E$3:$E$10005&amp;'DMR 001C TIN &amp; TP'!$B$3:$B$10005&amp;'DMR 001C TIN &amp; TP'!$A$3:$A$10005),0),MATCH('Reg 85'!$AR$11,'DMR 001C TIN &amp; TP'!$A$2:$M$2,0))),"")</f>
        <v/>
      </c>
      <c r="AS64" s="6" t="str">
        <f t="array" ref="AS64">_xlfn.IFNA((INDEX('DMR 001C TIN &amp; TP'!$A$3:$M$10005,MATCH(('Reg 85'!$AQ$6&amp;'Reg 85'!$AQ$10&amp;'Reg 85'!$B64),('DMR 001C TIN &amp; TP'!$E$3:$E$10005&amp;'DMR 001C TIN &amp; TP'!$B$3:$B$10005&amp;'DMR 001C TIN &amp; TP'!$A$3:$A$10005),0),MATCH('Reg 85'!$AS$11,'DMR 001C TIN &amp; TP'!$A$2:$M$2,0))),"")</f>
        <v/>
      </c>
      <c r="AT64" s="53" t="str">
        <f t="shared" si="15"/>
        <v/>
      </c>
      <c r="AV64" s="6" t="str">
        <f t="array" ref="AV64">_xlfn.IFNA((INDEX('DMR 001C TIN &amp; TP'!$A$3:$M$10005,MATCH(('Reg 85'!$AQ$6&amp;'Reg 85'!$AU$10&amp;'Reg 85'!$B64),('DMR 001C TIN &amp; TP'!$E$3:$E$10005&amp;'DMR 001C TIN &amp; TP'!$B$3:$B$10005&amp;'DMR 001C TIN &amp; TP'!$A$3:$A$10005),0),MATCH('Reg 85'!$AV$11,'DMR 001C TIN &amp; TP'!$A$2:$M$2,0))),"")</f>
        <v/>
      </c>
      <c r="AW64" s="6" t="str">
        <f t="array" ref="AW64">_xlfn.IFNA((INDEX('DMR 001C TIN &amp; TP'!$A$3:$M$10005,MATCH(('Reg 85'!$AQ$6&amp;'Reg 85'!$AU$10&amp;'Reg 85'!$B64),('DMR 001C TIN &amp; TP'!$E$3:$E$10005&amp;'DMR 001C TIN &amp; TP'!$B$3:$B$10005&amp;'DMR 001C TIN &amp; TP'!$A$3:$A$10005),0),MATCH('Reg 85'!$AW$11,'DMR 001C TIN &amp; TP'!$A$2:$M$2,0))),"")</f>
        <v/>
      </c>
      <c r="AX64" s="53" t="str">
        <f t="shared" si="16"/>
        <v/>
      </c>
      <c r="AY64" s="55" t="str">
        <f t="shared" si="17"/>
        <v/>
      </c>
      <c r="AZ64" s="77" t="str">
        <f t="shared" si="37"/>
        <v/>
      </c>
      <c r="BA64" s="6" t="str">
        <f t="array" ref="BA64">_xlfn.IFNA((INDEX('DMR 001C TIN &amp; TP'!$A$3:$M$10005,MATCH(('Reg 85'!$AQ$6&amp;'Reg 85'!BA$10&amp;'Reg 85'!$B64),('DMR 001C TIN &amp; TP'!$E$3:$E$10005&amp;'DMR 001C TIN &amp; TP'!$B$3:$B$10005&amp;'DMR 001C TIN &amp; TP'!$A$3:$A$10005),0),MATCH('Reg 85'!$AG$11,'DMR 001C TIN &amp; TP'!$A$2:$M$2,0))),"")</f>
        <v/>
      </c>
      <c r="BB64" s="6" t="str">
        <f t="array" ref="BB64">_xlfn.IFNA((INDEX('DMR 001C TIN &amp; TP'!$A$3:$M$10005,MATCH(('Reg 85'!$AQ$6&amp;'Reg 85'!BB$10&amp;'Reg 85'!$B64),('DMR 001C TIN &amp; TP'!$E$3:$E$10005&amp;'DMR 001C TIN &amp; TP'!$B$3:$B$10005&amp;'DMR 001C TIN &amp; TP'!$A$3:$A$10005),0),MATCH('Reg 85'!$AG$11,'DMR 001C TIN &amp; TP'!$A$2:$M$2,0))),"")</f>
        <v/>
      </c>
      <c r="BC64" s="6" t="str">
        <f t="array" ref="BC64">_xlfn.IFNA((INDEX('DMR 001C TIN &amp; TP'!$A$3:$M$10005,MATCH(('Reg 85'!$AQ$6&amp;'Reg 85'!BC$10&amp;'Reg 85'!$B64),('DMR 001C TIN &amp; TP'!$E$3:$E$10005&amp;'DMR 001C TIN &amp; TP'!$B$3:$B$10005&amp;'DMR 001C TIN &amp; TP'!$A$3:$A$10005),0),MATCH('Reg 85'!$AG$11,'DMR 001C TIN &amp; TP'!$A$2:$M$2,0))),"")</f>
        <v/>
      </c>
      <c r="BD64" s="6" t="str">
        <f t="array" ref="BD64">_xlfn.IFNA((INDEX('DMR 001C TIN &amp; TP'!$A$3:$M$10005,MATCH(('Reg 85'!$AQ$6&amp;'Reg 85'!BD$10&amp;'Reg 85'!$B64),('DMR 001C TIN &amp; TP'!$E$3:$E$10005&amp;'DMR 001C TIN &amp; TP'!$B$3:$B$10005&amp;'DMR 001C TIN &amp; TP'!$A$3:$A$10005),0),MATCH('Reg 85'!$AG$11,'DMR 001C TIN &amp; TP'!$A$2:$M$2,0))),"")</f>
        <v/>
      </c>
      <c r="BE64" s="6" t="str">
        <f t="array" ref="BE64">_xlfn.IFNA((INDEX('DMR 001C TIN &amp; TP'!$A$3:$M$10005,MATCH(('Reg 85'!$AQ$6&amp;'Reg 85'!BE$10&amp;'Reg 85'!$B64),('DMR 001C TIN &amp; TP'!$E$3:$E$10005&amp;'DMR 001C TIN &amp; TP'!$B$3:$B$10005&amp;'DMR 001C TIN &amp; TP'!$A$3:$A$10005),0),MATCH('Reg 85'!$AG$11,'DMR 001C TIN &amp; TP'!$A$2:$M$2,0))),"")</f>
        <v/>
      </c>
      <c r="BF64" s="6" t="str">
        <f t="array" ref="BF64">_xlfn.IFNA((INDEX('DMR 001C TIN &amp; TP'!$A$3:$M$10005,MATCH(('Reg 85'!$AQ$6&amp;'Reg 85'!BF$10&amp;'Reg 85'!$B64),('DMR 001C TIN &amp; TP'!$E$3:$E$10005&amp;'DMR 001C TIN &amp; TP'!$B$3:$B$10005&amp;'DMR 001C TIN &amp; TP'!$A$3:$A$10005),0),MATCH('Reg 85'!$AG$11,'DMR 001C TIN &amp; TP'!$A$2:$M$2,0))),"")</f>
        <v/>
      </c>
    </row>
    <row r="65" spans="1:58">
      <c r="A65" s="3" t="str">
        <f t="shared" si="2"/>
        <v>Wed</v>
      </c>
      <c r="B65" s="96">
        <f t="shared" si="19"/>
        <v>43397</v>
      </c>
      <c r="C65" s="96">
        <f t="shared" si="3"/>
        <v>43404</v>
      </c>
      <c r="D65" s="96">
        <f t="shared" si="4"/>
        <v>43374</v>
      </c>
      <c r="E65" s="95">
        <f t="shared" si="5"/>
        <v>31</v>
      </c>
      <c r="F65" s="7">
        <f t="array" ref="F65">_xlfn.IFNA(INDEX('DMR Flows-Effluent'!$A$3:$F$9999,MATCH(($F$10&amp;$B65),('DMR Flows-Effluent'!$B$3:$B$9999&amp;'DMR Flows-Effluent'!$A$3:$A$9999),0),MATCH($F$8,'DMR Flows-Effluent'!$A$2:$F$2,0)),"")</f>
        <v>38.726500000000001</v>
      </c>
      <c r="G65" s="7">
        <f t="array" ref="G65">_xlfn.IFNA(INDEX('DMR Flows-Effluent'!$A$3:$F$9999,MATCH(($G$10&amp;$B65),('DMR Flows-Effluent'!$B$3:$B$9999&amp;'DMR Flows-Effluent'!$A$3:$A$9999),0),MATCH($F$8,'DMR Flows-Effluent'!$A$2:$F$2,0)),"")</f>
        <v>78.510400000000004</v>
      </c>
      <c r="H65" s="7">
        <f t="shared" si="6"/>
        <v>117.23690000000001</v>
      </c>
      <c r="I65" s="45" t="str">
        <f t="shared" si="7"/>
        <v/>
      </c>
      <c r="J65" s="6" t="str">
        <f t="array" ref="J65">_xlfn.IFNA((INDEX('DMR 001C TIN &amp; TP'!$A$3:$M$10005,MATCH(('Reg 85'!$I$6:$Q$6&amp;'Reg 85'!$I$10:$K$10&amp;'Reg 85'!$B65),('DMR 001C TIN &amp; TP'!$E$3:$E$10005&amp;'DMR 001C TIN &amp; TP'!$B$3:$B$10005&amp;'DMR 001C TIN &amp; TP'!$A$3:$A$10005),0),MATCH('Reg 85'!$J$11,'DMR 001C TIN &amp; TP'!$A$2:$M$2,0))),"")</f>
        <v>0.15</v>
      </c>
      <c r="K65" s="6">
        <f t="array" ref="K65">_xlfn.IFNA((INDEX('DMR 001C TIN &amp; TP'!$A$3:$M$10005,MATCH(('Reg 85'!$I$6:$Q$6&amp;'Reg 85'!$I$10:$K$10&amp;'Reg 85'!$B65),('DMR 001C TIN &amp; TP'!$E$3:$E$10005&amp;'DMR 001C TIN &amp; TP'!$B$3:$B$10005&amp;'DMR 001C TIN &amp; TP'!$A$3:$A$10005),0),MATCH('Reg 85'!$K$11,'DMR 001C TIN &amp; TP'!$A$2:$M$2,0))),"")</f>
        <v>0.28000000000000003</v>
      </c>
      <c r="L65" s="53">
        <f t="shared" si="21"/>
        <v>0.28000000000000003</v>
      </c>
      <c r="M65" s="5" t="str">
        <f t="shared" si="8"/>
        <v/>
      </c>
      <c r="N65" s="6" t="str">
        <f t="array" ref="N65">_xlfn.IFNA((INDEX('DMR 001C TIN &amp; TP'!$A$3:$M$10005,MATCH(('Reg 85'!$I$6:$Q$6&amp;'Reg 85'!$M$10&amp;'Reg 85'!$B65),('DMR 001C TIN &amp; TP'!$E$3:$E$10005&amp;'DMR 001C TIN &amp; TP'!$B$3:$B$10005&amp;'DMR 001C TIN &amp; TP'!$A$3:$A$10005),0),MATCH('Reg 85'!$N$11,'DMR 001C TIN &amp; TP'!$A$2:$M$2,0))),"")</f>
        <v>0.15</v>
      </c>
      <c r="O65" s="6">
        <f t="array" ref="O65">_xlfn.IFNA((INDEX('DMR 001C TIN &amp; TP'!$A$3:$M$10005,MATCH(('Reg 85'!$I$6:$Q$6&amp;'Reg 85'!$M$10&amp;'Reg 85'!$B65),('DMR 001C TIN &amp; TP'!$E$3:$E$10005&amp;'DMR 001C TIN &amp; TP'!$B$3:$B$10005&amp;'DMR 001C TIN &amp; TP'!$A$3:$A$10005),0),MATCH('Reg 85'!$O$11,'DMR 001C TIN &amp; TP'!$A$2:$M$2,0))),"")</f>
        <v>1.45</v>
      </c>
      <c r="P65" s="53">
        <f t="shared" si="9"/>
        <v>1.45</v>
      </c>
      <c r="Q65" s="73">
        <f t="array" ref="Q65">IFERROR(((L65*$F65)+(P65*$G65))/($H65),"")</f>
        <v>1.0635175443908873</v>
      </c>
      <c r="R65" s="6" t="str">
        <f t="array" ref="R65">_xlfn.IFNA((INDEX('DMR 001C TIN &amp; TP'!$A$3:$M$10005,MATCH(('Reg 85'!$I$6:$Q$6&amp;'Reg 85'!R$10&amp;'Reg 85'!$B65),('DMR 001C TIN &amp; TP'!$E$3:$E$10005&amp;'DMR 001C TIN &amp; TP'!$B$3:$B$10005&amp;'DMR 001C TIN &amp; TP'!$A$3:$A$10005),0),MATCH('Reg 85'!$O$11,'DMR 001C TIN &amp; TP'!$A$2:$M$2,0))),"")</f>
        <v/>
      </c>
      <c r="S65" s="6" t="str">
        <f t="array" ref="S65">_xlfn.IFNA((INDEX('DMR 001C TIN &amp; TP'!$A$3:$M$10005,MATCH(('Reg 85'!$I$6:$Q$6&amp;'Reg 85'!S$10&amp;'Reg 85'!$B65),('DMR 001C TIN &amp; TP'!$E$3:$E$10005&amp;'DMR 001C TIN &amp; TP'!$B$3:$B$10005&amp;'DMR 001C TIN &amp; TP'!$A$3:$A$10005),0),MATCH('Reg 85'!$O$11,'DMR 001C TIN &amp; TP'!$A$2:$M$2,0))),"")</f>
        <v/>
      </c>
      <c r="T65" s="6" t="str">
        <f t="array" ref="T65">_xlfn.IFNA((INDEX('DMR 001C TIN &amp; TP'!$A$3:$M$10005,MATCH(('Reg 85'!$I$6:$Q$6&amp;'Reg 85'!T$10&amp;'Reg 85'!$B65),('DMR 001C TIN &amp; TP'!$E$3:$E$10005&amp;'DMR 001C TIN &amp; TP'!$B$3:$B$10005&amp;'DMR 001C TIN &amp; TP'!$A$3:$A$10005),0),MATCH('Reg 85'!$O$11,'DMR 001C TIN &amp; TP'!$A$2:$M$2,0))),"")</f>
        <v/>
      </c>
      <c r="U65" s="6" t="str">
        <f t="array" ref="U65">_xlfn.IFNA((INDEX('DMR 001C TIN &amp; TP'!$A$3:$M$10005,MATCH(('Reg 85'!$I$6:$Q$6&amp;'Reg 85'!U$10&amp;'Reg 85'!$B65),('DMR 001C TIN &amp; TP'!$E$3:$E$10005&amp;'DMR 001C TIN &amp; TP'!$B$3:$B$10005&amp;'DMR 001C TIN &amp; TP'!$A$3:$A$10005),0),MATCH('Reg 85'!$O$11,'DMR 001C TIN &amp; TP'!$A$2:$M$2,0))),"")</f>
        <v/>
      </c>
      <c r="V65" s="6" t="str">
        <f t="array" ref="V65">_xlfn.IFNA((INDEX('DMR 001C TIN &amp; TP'!$A$3:$M$10005,MATCH(('Reg 85'!$I$6:$Q$6&amp;'Reg 85'!V$10&amp;'Reg 85'!$B65),('DMR 001C TIN &amp; TP'!$E$3:$E$10005&amp;'DMR 001C TIN &amp; TP'!$B$3:$B$10005&amp;'DMR 001C TIN &amp; TP'!$A$3:$A$10005),0),MATCH('Reg 85'!$O$11,'DMR 001C TIN &amp; TP'!$A$2:$M$2,0))),"")</f>
        <v/>
      </c>
      <c r="W65" s="6" t="str">
        <f t="array" ref="W65">_xlfn.IFNA((INDEX('DMR 001C TIN &amp; TP'!$A$3:$M$10005,MATCH(('Reg 85'!$I$6:$Q$6&amp;'Reg 85'!W$10&amp;'Reg 85'!$B65),('DMR 001C TIN &amp; TP'!$E$3:$E$10005&amp;'DMR 001C TIN &amp; TP'!$B$3:$B$10005&amp;'DMR 001C TIN &amp; TP'!$A$3:$A$10005),0),MATCH('Reg 85'!$O$11,'DMR 001C TIN &amp; TP'!$A$2:$M$2,0))),"")</f>
        <v/>
      </c>
      <c r="X65" s="5" t="str">
        <f t="shared" si="10"/>
        <v/>
      </c>
      <c r="Y65" s="6" t="str">
        <f t="array" ref="Y65">_xlfn.IFNA((INDEX('DMR 001C TIN &amp; TP'!$A$3:$M$10005,MATCH(('Reg 85'!$X$6&amp;'Reg 85'!$X$10&amp;'Reg 85'!$B65),('DMR 001C TIN &amp; TP'!$E$3:$E$10005&amp;'DMR 001C TIN &amp; TP'!$B$3:$B$10005&amp;'DMR 001C TIN &amp; TP'!$A$3:$A$10005),0),MATCH('Reg 85'!$Y$11,'DMR 001C TIN &amp; TP'!$A$2:$M$2,0))),"")</f>
        <v>0.06</v>
      </c>
      <c r="Z65" s="6">
        <f t="array" ref="Z65">_xlfn.IFNA((INDEX('DMR 001C TIN &amp; TP'!$A$3:$M$10005,MATCH(('Reg 85'!$X$6&amp;'Reg 85'!$X$10&amp;'Reg 85'!$B65),('DMR 001C TIN &amp; TP'!$E$3:$E$10005&amp;'DMR 001C TIN &amp; TP'!$B$3:$B$10005&amp;'DMR 001C TIN &amp; TP'!$A$3:$A$10005),0),MATCH('Reg 85'!$Z$11,'DMR 001C TIN &amp; TP'!$A$2:$M$2,0))),"")</f>
        <v>4.76</v>
      </c>
      <c r="AA65" s="53">
        <f t="shared" si="11"/>
        <v>4.76</v>
      </c>
      <c r="AB65" s="5" t="str">
        <f t="shared" si="12"/>
        <v/>
      </c>
      <c r="AC65" s="6" t="str">
        <f t="array" ref="AC65">_xlfn.IFNA((INDEX('DMR 001C TIN &amp; TP'!$A$3:$M$10005,MATCH(('Reg 85'!$X$6&amp;'Reg 85'!$AB$10&amp;'Reg 85'!$B65),('DMR 001C TIN &amp; TP'!$E$3:$E$10005&amp;'DMR 001C TIN &amp; TP'!$B$3:$B$10005&amp;'DMR 001C TIN &amp; TP'!$A$3:$A$10005),0),MATCH('Reg 85'!$AC$11,'DMR 001C TIN &amp; TP'!$A$2:$M$2,0))),"")</f>
        <v>0.06</v>
      </c>
      <c r="AD65" s="6">
        <f t="array" ref="AD65">_xlfn.IFNA((INDEX('DMR 001C TIN &amp; TP'!$A$3:$M$10005,MATCH(('Reg 85'!$X$6&amp;'Reg 85'!$AB$10&amp;'Reg 85'!$B65),('DMR 001C TIN &amp; TP'!$E$3:$E$10005&amp;'DMR 001C TIN &amp; TP'!$B$3:$B$10005&amp;'DMR 001C TIN &amp; TP'!$A$3:$A$10005),0),MATCH('Reg 85'!$AD$11,'DMR 001C TIN &amp; TP'!$A$2:$M$2,0))),"")</f>
        <v>4.79</v>
      </c>
      <c r="AE65" s="53">
        <f t="shared" si="13"/>
        <v>4.79</v>
      </c>
      <c r="AF65" s="7">
        <f t="shared" si="14"/>
        <v>4.7800901934459201</v>
      </c>
      <c r="AG65" s="6" t="str">
        <f t="array" ref="AG65">_xlfn.IFNA((INDEX('DMR 001C TIN &amp; TP'!$A$3:$M$10005,MATCH(('Reg 85'!$X$6&amp;'Reg 85'!AG$10&amp;'Reg 85'!$B65),('DMR 001C TIN &amp; TP'!$E$3:$E$10005&amp;'DMR 001C TIN &amp; TP'!$B$3:$B$10005&amp;'DMR 001C TIN &amp; TP'!$A$3:$A$10005),0),MATCH('Reg 85'!$AG$11,'DMR 001C TIN &amp; TP'!$A$2:$M$2,0))),"")</f>
        <v/>
      </c>
      <c r="AH65" s="6" t="str">
        <f t="array" ref="AH65">_xlfn.IFNA((INDEX('DMR 001C TIN &amp; TP'!$A$3:$M$10005,MATCH(('Reg 85'!$X$6&amp;'Reg 85'!AH$10&amp;'Reg 85'!$B65),('DMR 001C TIN &amp; TP'!$E$3:$E$10005&amp;'DMR 001C TIN &amp; TP'!$B$3:$B$10005&amp;'DMR 001C TIN &amp; TP'!$A$3:$A$10005),0),MATCH('Reg 85'!$AG$11,'DMR 001C TIN &amp; TP'!$A$2:$M$2,0))),"")</f>
        <v/>
      </c>
      <c r="AI65" s="6" t="str">
        <f t="array" ref="AI65">_xlfn.IFNA((INDEX('DMR 001C TIN &amp; TP'!$A$3:$M$10005,MATCH(('Reg 85'!$X$6&amp;'Reg 85'!AI$10&amp;'Reg 85'!$B65),('DMR 001C TIN &amp; TP'!$E$3:$E$10005&amp;'DMR 001C TIN &amp; TP'!$B$3:$B$10005&amp;'DMR 001C TIN &amp; TP'!$A$3:$A$10005),0),MATCH('Reg 85'!$AG$11,'DMR 001C TIN &amp; TP'!$A$2:$M$2,0))),"")</f>
        <v/>
      </c>
      <c r="AJ65" s="6" t="str">
        <f t="array" ref="AJ65">_xlfn.IFNA((INDEX('DMR 001C TIN &amp; TP'!$A$3:$M$10005,MATCH(('Reg 85'!$X$6&amp;'Reg 85'!AJ$10&amp;'Reg 85'!$B65),('DMR 001C TIN &amp; TP'!$E$3:$E$10005&amp;'DMR 001C TIN &amp; TP'!$B$3:$B$10005&amp;'DMR 001C TIN &amp; TP'!$A$3:$A$10005),0),MATCH('Reg 85'!$AG$11,'DMR 001C TIN &amp; TP'!$A$2:$M$2,0))),"")</f>
        <v/>
      </c>
      <c r="AK65" s="6" t="str">
        <f t="array" ref="AK65">_xlfn.IFNA((INDEX('DMR 001C TIN &amp; TP'!$A$3:$M$10005,MATCH(('Reg 85'!$X$6&amp;'Reg 85'!AK$10&amp;'Reg 85'!$B65),('DMR 001C TIN &amp; TP'!$E$3:$E$10005&amp;'DMR 001C TIN &amp; TP'!$B$3:$B$10005&amp;'DMR 001C TIN &amp; TP'!$A$3:$A$10005),0),MATCH('Reg 85'!$AG$11,'DMR 001C TIN &amp; TP'!$A$2:$M$2,0))),"")</f>
        <v/>
      </c>
      <c r="AL65" s="6" t="str">
        <f t="array" ref="AL65">_xlfn.IFNA((INDEX('DMR 001C TIN &amp; TP'!$A$3:$M$10005,MATCH(('Reg 85'!$X$6&amp;'Reg 85'!AL$10&amp;'Reg 85'!$B65),('DMR 001C TIN &amp; TP'!$E$3:$E$10005&amp;'DMR 001C TIN &amp; TP'!$B$3:$B$10005&amp;'DMR 001C TIN &amp; TP'!$A$3:$A$10005),0),MATCH('Reg 85'!$AG$11,'DMR 001C TIN &amp; TP'!$A$2:$M$2,0))),"")</f>
        <v/>
      </c>
      <c r="AM65" s="76"/>
      <c r="AN65" s="6"/>
      <c r="AO65" s="54">
        <f t="shared" si="0"/>
        <v>5.8436077378368072</v>
      </c>
      <c r="AP65" s="77" t="str">
        <f t="shared" si="39"/>
        <v/>
      </c>
      <c r="AQ65" s="47"/>
      <c r="AR65" s="6" t="str">
        <f t="array" ref="AR65">_xlfn.IFNA((INDEX('DMR 001C TIN &amp; TP'!$A$3:$M$10005,MATCH(('Reg 85'!$AQ$6&amp;'Reg 85'!$AQ$10&amp;'Reg 85'!$B65),('DMR 001C TIN &amp; TP'!$E$3:$E$10005&amp;'DMR 001C TIN &amp; TP'!$B$3:$B$10005&amp;'DMR 001C TIN &amp; TP'!$A$3:$A$10005),0),MATCH('Reg 85'!$AR$11,'DMR 001C TIN &amp; TP'!$A$2:$M$2,0))),"")</f>
        <v/>
      </c>
      <c r="AS65" s="6" t="str">
        <f t="array" ref="AS65">_xlfn.IFNA((INDEX('DMR 001C TIN &amp; TP'!$A$3:$M$10005,MATCH(('Reg 85'!$AQ$6&amp;'Reg 85'!$AQ$10&amp;'Reg 85'!$B65),('DMR 001C TIN &amp; TP'!$E$3:$E$10005&amp;'DMR 001C TIN &amp; TP'!$B$3:$B$10005&amp;'DMR 001C TIN &amp; TP'!$A$3:$A$10005),0),MATCH('Reg 85'!$AS$11,'DMR 001C TIN &amp; TP'!$A$2:$M$2,0))),"")</f>
        <v/>
      </c>
      <c r="AT65" s="53" t="str">
        <f t="shared" si="15"/>
        <v/>
      </c>
      <c r="AV65" s="6" t="str">
        <f t="array" ref="AV65">_xlfn.IFNA((INDEX('DMR 001C TIN &amp; TP'!$A$3:$M$10005,MATCH(('Reg 85'!$AQ$6&amp;'Reg 85'!$AU$10&amp;'Reg 85'!$B65),('DMR 001C TIN &amp; TP'!$E$3:$E$10005&amp;'DMR 001C TIN &amp; TP'!$B$3:$B$10005&amp;'DMR 001C TIN &amp; TP'!$A$3:$A$10005),0),MATCH('Reg 85'!$AV$11,'DMR 001C TIN &amp; TP'!$A$2:$M$2,0))),"")</f>
        <v/>
      </c>
      <c r="AW65" s="6" t="str">
        <f t="array" ref="AW65">_xlfn.IFNA((INDEX('DMR 001C TIN &amp; TP'!$A$3:$M$10005,MATCH(('Reg 85'!$AQ$6&amp;'Reg 85'!$AU$10&amp;'Reg 85'!$B65),('DMR 001C TIN &amp; TP'!$E$3:$E$10005&amp;'DMR 001C TIN &amp; TP'!$B$3:$B$10005&amp;'DMR 001C TIN &amp; TP'!$A$3:$A$10005),0),MATCH('Reg 85'!$AW$11,'DMR 001C TIN &amp; TP'!$A$2:$M$2,0))),"")</f>
        <v/>
      </c>
      <c r="AX65" s="53" t="str">
        <f t="shared" si="16"/>
        <v/>
      </c>
      <c r="AY65" s="55" t="str">
        <f t="shared" si="17"/>
        <v/>
      </c>
      <c r="AZ65" s="77" t="str">
        <f t="shared" si="37"/>
        <v/>
      </c>
      <c r="BA65" s="6" t="str">
        <f t="array" ref="BA65">_xlfn.IFNA((INDEX('DMR 001C TIN &amp; TP'!$A$3:$M$10005,MATCH(('Reg 85'!$AQ$6&amp;'Reg 85'!BA$10&amp;'Reg 85'!$B65),('DMR 001C TIN &amp; TP'!$E$3:$E$10005&amp;'DMR 001C TIN &amp; TP'!$B$3:$B$10005&amp;'DMR 001C TIN &amp; TP'!$A$3:$A$10005),0),MATCH('Reg 85'!$AG$11,'DMR 001C TIN &amp; TP'!$A$2:$M$2,0))),"")</f>
        <v/>
      </c>
      <c r="BB65" s="6" t="str">
        <f t="array" ref="BB65">_xlfn.IFNA((INDEX('DMR 001C TIN &amp; TP'!$A$3:$M$10005,MATCH(('Reg 85'!$AQ$6&amp;'Reg 85'!BB$10&amp;'Reg 85'!$B65),('DMR 001C TIN &amp; TP'!$E$3:$E$10005&amp;'DMR 001C TIN &amp; TP'!$B$3:$B$10005&amp;'DMR 001C TIN &amp; TP'!$A$3:$A$10005),0),MATCH('Reg 85'!$AG$11,'DMR 001C TIN &amp; TP'!$A$2:$M$2,0))),"")</f>
        <v/>
      </c>
      <c r="BC65" s="6" t="str">
        <f t="array" ref="BC65">_xlfn.IFNA((INDEX('DMR 001C TIN &amp; TP'!$A$3:$M$10005,MATCH(('Reg 85'!$AQ$6&amp;'Reg 85'!BC$10&amp;'Reg 85'!$B65),('DMR 001C TIN &amp; TP'!$E$3:$E$10005&amp;'DMR 001C TIN &amp; TP'!$B$3:$B$10005&amp;'DMR 001C TIN &amp; TP'!$A$3:$A$10005),0),MATCH('Reg 85'!$AG$11,'DMR 001C TIN &amp; TP'!$A$2:$M$2,0))),"")</f>
        <v/>
      </c>
      <c r="BD65" s="6" t="str">
        <f t="array" ref="BD65">_xlfn.IFNA((INDEX('DMR 001C TIN &amp; TP'!$A$3:$M$10005,MATCH(('Reg 85'!$AQ$6&amp;'Reg 85'!BD$10&amp;'Reg 85'!$B65),('DMR 001C TIN &amp; TP'!$E$3:$E$10005&amp;'DMR 001C TIN &amp; TP'!$B$3:$B$10005&amp;'DMR 001C TIN &amp; TP'!$A$3:$A$10005),0),MATCH('Reg 85'!$AG$11,'DMR 001C TIN &amp; TP'!$A$2:$M$2,0))),"")</f>
        <v/>
      </c>
      <c r="BE65" s="6" t="str">
        <f t="array" ref="BE65">_xlfn.IFNA((INDEX('DMR 001C TIN &amp; TP'!$A$3:$M$10005,MATCH(('Reg 85'!$AQ$6&amp;'Reg 85'!BE$10&amp;'Reg 85'!$B65),('DMR 001C TIN &amp; TP'!$E$3:$E$10005&amp;'DMR 001C TIN &amp; TP'!$B$3:$B$10005&amp;'DMR 001C TIN &amp; TP'!$A$3:$A$10005),0),MATCH('Reg 85'!$AG$11,'DMR 001C TIN &amp; TP'!$A$2:$M$2,0))),"")</f>
        <v/>
      </c>
      <c r="BF65" s="6" t="str">
        <f t="array" ref="BF65">_xlfn.IFNA((INDEX('DMR 001C TIN &amp; TP'!$A$3:$M$10005,MATCH(('Reg 85'!$AQ$6&amp;'Reg 85'!BF$10&amp;'Reg 85'!$B65),('DMR 001C TIN &amp; TP'!$E$3:$E$10005&amp;'DMR 001C TIN &amp; TP'!$B$3:$B$10005&amp;'DMR 001C TIN &amp; TP'!$A$3:$A$10005),0),MATCH('Reg 85'!$AG$11,'DMR 001C TIN &amp; TP'!$A$2:$M$2,0))),"")</f>
        <v/>
      </c>
    </row>
    <row r="66" spans="1:58">
      <c r="A66" s="3" t="str">
        <f t="shared" si="2"/>
        <v>Thu</v>
      </c>
      <c r="B66" s="96">
        <f t="shared" si="19"/>
        <v>43398</v>
      </c>
      <c r="C66" s="96">
        <f t="shared" si="3"/>
        <v>43404</v>
      </c>
      <c r="D66" s="96">
        <f t="shared" si="4"/>
        <v>43374</v>
      </c>
      <c r="E66" s="95">
        <f t="shared" si="5"/>
        <v>31</v>
      </c>
      <c r="F66" s="7">
        <f t="array" ref="F66">_xlfn.IFNA(INDEX('DMR Flows-Effluent'!$A$3:$F$9999,MATCH(($F$10&amp;$B66),('DMR Flows-Effluent'!$B$3:$B$9999&amp;'DMR Flows-Effluent'!$A$3:$A$9999),0),MATCH($F$8,'DMR Flows-Effluent'!$A$2:$F$2,0)),"")</f>
        <v>38.0486</v>
      </c>
      <c r="G66" s="7">
        <f t="array" ref="G66">_xlfn.IFNA(INDEX('DMR Flows-Effluent'!$A$3:$F$9999,MATCH(($G$10&amp;$B66),('DMR Flows-Effluent'!$B$3:$B$9999&amp;'DMR Flows-Effluent'!$A$3:$A$9999),0),MATCH($F$8,'DMR Flows-Effluent'!$A$2:$F$2,0)),"")</f>
        <v>78.025700000000001</v>
      </c>
      <c r="H66" s="7">
        <f t="shared" si="6"/>
        <v>116.07429999999999</v>
      </c>
      <c r="I66" s="45" t="str">
        <f t="shared" si="7"/>
        <v/>
      </c>
      <c r="J66" s="6" t="str">
        <f t="array" ref="J66">_xlfn.IFNA((INDEX('DMR 001C TIN &amp; TP'!$A$3:$M$10005,MATCH(('Reg 85'!$I$6:$Q$6&amp;'Reg 85'!$I$10:$K$10&amp;'Reg 85'!$B66),('DMR 001C TIN &amp; TP'!$E$3:$E$10005&amp;'DMR 001C TIN &amp; TP'!$B$3:$B$10005&amp;'DMR 001C TIN &amp; TP'!$A$3:$A$10005),0),MATCH('Reg 85'!$J$11,'DMR 001C TIN &amp; TP'!$A$2:$M$2,0))),"")</f>
        <v/>
      </c>
      <c r="K66" s="6" t="str">
        <f t="array" ref="K66">_xlfn.IFNA((INDEX('DMR 001C TIN &amp; TP'!$A$3:$M$10005,MATCH(('Reg 85'!$I$6:$Q$6&amp;'Reg 85'!$I$10:$K$10&amp;'Reg 85'!$B66),('DMR 001C TIN &amp; TP'!$E$3:$E$10005&amp;'DMR 001C TIN &amp; TP'!$B$3:$B$10005&amp;'DMR 001C TIN &amp; TP'!$A$3:$A$10005),0),MATCH('Reg 85'!$K$11,'DMR 001C TIN &amp; TP'!$A$2:$M$2,0))),"")</f>
        <v/>
      </c>
      <c r="L66" s="53" t="str">
        <f t="shared" si="21"/>
        <v/>
      </c>
      <c r="M66" s="5" t="str">
        <f t="shared" si="8"/>
        <v/>
      </c>
      <c r="N66" s="6" t="str">
        <f t="array" ref="N66">_xlfn.IFNA((INDEX('DMR 001C TIN &amp; TP'!$A$3:$M$10005,MATCH(('Reg 85'!$I$6:$Q$6&amp;'Reg 85'!$M$10&amp;'Reg 85'!$B66),('DMR 001C TIN &amp; TP'!$E$3:$E$10005&amp;'DMR 001C TIN &amp; TP'!$B$3:$B$10005&amp;'DMR 001C TIN &amp; TP'!$A$3:$A$10005),0),MATCH('Reg 85'!$N$11,'DMR 001C TIN &amp; TP'!$A$2:$M$2,0))),"")</f>
        <v/>
      </c>
      <c r="O66" s="6" t="str">
        <f t="array" ref="O66">_xlfn.IFNA((INDEX('DMR 001C TIN &amp; TP'!$A$3:$M$10005,MATCH(('Reg 85'!$I$6:$Q$6&amp;'Reg 85'!$M$10&amp;'Reg 85'!$B66),('DMR 001C TIN &amp; TP'!$E$3:$E$10005&amp;'DMR 001C TIN &amp; TP'!$B$3:$B$10005&amp;'DMR 001C TIN &amp; TP'!$A$3:$A$10005),0),MATCH('Reg 85'!$O$11,'DMR 001C TIN &amp; TP'!$A$2:$M$2,0))),"")</f>
        <v/>
      </c>
      <c r="P66" s="53" t="str">
        <f t="shared" si="9"/>
        <v/>
      </c>
      <c r="Q66" s="73" t="str">
        <f t="array" ref="Q66">IFERROR(((L66*$F66)+(P66*$G66))/($H66),"")</f>
        <v/>
      </c>
      <c r="R66" s="6" t="str">
        <f t="array" ref="R66">_xlfn.IFNA((INDEX('DMR 001C TIN &amp; TP'!$A$3:$M$10005,MATCH(('Reg 85'!$I$6:$Q$6&amp;'Reg 85'!R$10&amp;'Reg 85'!$B66),('DMR 001C TIN &amp; TP'!$E$3:$E$10005&amp;'DMR 001C TIN &amp; TP'!$B$3:$B$10005&amp;'DMR 001C TIN &amp; TP'!$A$3:$A$10005),0),MATCH('Reg 85'!$O$11,'DMR 001C TIN &amp; TP'!$A$2:$M$2,0))),"")</f>
        <v/>
      </c>
      <c r="S66" s="6" t="str">
        <f t="array" ref="S66">_xlfn.IFNA((INDEX('DMR 001C TIN &amp; TP'!$A$3:$M$10005,MATCH(('Reg 85'!$I$6:$Q$6&amp;'Reg 85'!S$10&amp;'Reg 85'!$B66),('DMR 001C TIN &amp; TP'!$E$3:$E$10005&amp;'DMR 001C TIN &amp; TP'!$B$3:$B$10005&amp;'DMR 001C TIN &amp; TP'!$A$3:$A$10005),0),MATCH('Reg 85'!$O$11,'DMR 001C TIN &amp; TP'!$A$2:$M$2,0))),"")</f>
        <v/>
      </c>
      <c r="T66" s="6" t="str">
        <f t="array" ref="T66">_xlfn.IFNA((INDEX('DMR 001C TIN &amp; TP'!$A$3:$M$10005,MATCH(('Reg 85'!$I$6:$Q$6&amp;'Reg 85'!T$10&amp;'Reg 85'!$B66),('DMR 001C TIN &amp; TP'!$E$3:$E$10005&amp;'DMR 001C TIN &amp; TP'!$B$3:$B$10005&amp;'DMR 001C TIN &amp; TP'!$A$3:$A$10005),0),MATCH('Reg 85'!$O$11,'DMR 001C TIN &amp; TP'!$A$2:$M$2,0))),"")</f>
        <v/>
      </c>
      <c r="U66" s="6" t="str">
        <f t="array" ref="U66">_xlfn.IFNA((INDEX('DMR 001C TIN &amp; TP'!$A$3:$M$10005,MATCH(('Reg 85'!$I$6:$Q$6&amp;'Reg 85'!U$10&amp;'Reg 85'!$B66),('DMR 001C TIN &amp; TP'!$E$3:$E$10005&amp;'DMR 001C TIN &amp; TP'!$B$3:$B$10005&amp;'DMR 001C TIN &amp; TP'!$A$3:$A$10005),0),MATCH('Reg 85'!$O$11,'DMR 001C TIN &amp; TP'!$A$2:$M$2,0))),"")</f>
        <v/>
      </c>
      <c r="V66" s="6" t="str">
        <f t="array" ref="V66">_xlfn.IFNA((INDEX('DMR 001C TIN &amp; TP'!$A$3:$M$10005,MATCH(('Reg 85'!$I$6:$Q$6&amp;'Reg 85'!V$10&amp;'Reg 85'!$B66),('DMR 001C TIN &amp; TP'!$E$3:$E$10005&amp;'DMR 001C TIN &amp; TP'!$B$3:$B$10005&amp;'DMR 001C TIN &amp; TP'!$A$3:$A$10005),0),MATCH('Reg 85'!$O$11,'DMR 001C TIN &amp; TP'!$A$2:$M$2,0))),"")</f>
        <v/>
      </c>
      <c r="W66" s="6" t="str">
        <f t="array" ref="W66">_xlfn.IFNA((INDEX('DMR 001C TIN &amp; TP'!$A$3:$M$10005,MATCH(('Reg 85'!$I$6:$Q$6&amp;'Reg 85'!W$10&amp;'Reg 85'!$B66),('DMR 001C TIN &amp; TP'!$E$3:$E$10005&amp;'DMR 001C TIN &amp; TP'!$B$3:$B$10005&amp;'DMR 001C TIN &amp; TP'!$A$3:$A$10005),0),MATCH('Reg 85'!$O$11,'DMR 001C TIN &amp; TP'!$A$2:$M$2,0))),"")</f>
        <v/>
      </c>
      <c r="X66" s="5" t="str">
        <f t="shared" si="10"/>
        <v/>
      </c>
      <c r="Y66" s="6" t="str">
        <f t="array" ref="Y66">_xlfn.IFNA((INDEX('DMR 001C TIN &amp; TP'!$A$3:$M$10005,MATCH(('Reg 85'!$X$6&amp;'Reg 85'!$X$10&amp;'Reg 85'!$B66),('DMR 001C TIN &amp; TP'!$E$3:$E$10005&amp;'DMR 001C TIN &amp; TP'!$B$3:$B$10005&amp;'DMR 001C TIN &amp; TP'!$A$3:$A$10005),0),MATCH('Reg 85'!$Y$11,'DMR 001C TIN &amp; TP'!$A$2:$M$2,0))),"")</f>
        <v/>
      </c>
      <c r="Z66" s="6" t="str">
        <f t="array" ref="Z66">_xlfn.IFNA((INDEX('DMR 001C TIN &amp; TP'!$A$3:$M$10005,MATCH(('Reg 85'!$X$6&amp;'Reg 85'!$X$10&amp;'Reg 85'!$B66),('DMR 001C TIN &amp; TP'!$E$3:$E$10005&amp;'DMR 001C TIN &amp; TP'!$B$3:$B$10005&amp;'DMR 001C TIN &amp; TP'!$A$3:$A$10005),0),MATCH('Reg 85'!$Z$11,'DMR 001C TIN &amp; TP'!$A$2:$M$2,0))),"")</f>
        <v/>
      </c>
      <c r="AA66" s="53" t="str">
        <f t="shared" si="11"/>
        <v/>
      </c>
      <c r="AB66" s="5" t="str">
        <f t="shared" si="12"/>
        <v/>
      </c>
      <c r="AC66" s="6" t="str">
        <f t="array" ref="AC66">_xlfn.IFNA((INDEX('DMR 001C TIN &amp; TP'!$A$3:$M$10005,MATCH(('Reg 85'!$X$6&amp;'Reg 85'!$AB$10&amp;'Reg 85'!$B66),('DMR 001C TIN &amp; TP'!$E$3:$E$10005&amp;'DMR 001C TIN &amp; TP'!$B$3:$B$10005&amp;'DMR 001C TIN &amp; TP'!$A$3:$A$10005),0),MATCH('Reg 85'!$AC$11,'DMR 001C TIN &amp; TP'!$A$2:$M$2,0))),"")</f>
        <v/>
      </c>
      <c r="AD66" s="6" t="str">
        <f t="array" ref="AD66">_xlfn.IFNA((INDEX('DMR 001C TIN &amp; TP'!$A$3:$M$10005,MATCH(('Reg 85'!$X$6&amp;'Reg 85'!$AB$10&amp;'Reg 85'!$B66),('DMR 001C TIN &amp; TP'!$E$3:$E$10005&amp;'DMR 001C TIN &amp; TP'!$B$3:$B$10005&amp;'DMR 001C TIN &amp; TP'!$A$3:$A$10005),0),MATCH('Reg 85'!$AD$11,'DMR 001C TIN &amp; TP'!$A$2:$M$2,0))),"")</f>
        <v/>
      </c>
      <c r="AE66" s="53" t="str">
        <f t="shared" si="13"/>
        <v/>
      </c>
      <c r="AF66" s="7" t="str">
        <f t="shared" si="14"/>
        <v/>
      </c>
      <c r="AG66" s="6" t="str">
        <f t="array" ref="AG66">_xlfn.IFNA((INDEX('DMR 001C TIN &amp; TP'!$A$3:$M$10005,MATCH(('Reg 85'!$X$6&amp;'Reg 85'!AG$10&amp;'Reg 85'!$B66),('DMR 001C TIN &amp; TP'!$E$3:$E$10005&amp;'DMR 001C TIN &amp; TP'!$B$3:$B$10005&amp;'DMR 001C TIN &amp; TP'!$A$3:$A$10005),0),MATCH('Reg 85'!$AG$11,'DMR 001C TIN &amp; TP'!$A$2:$M$2,0))),"")</f>
        <v/>
      </c>
      <c r="AH66" s="6" t="str">
        <f t="array" ref="AH66">_xlfn.IFNA((INDEX('DMR 001C TIN &amp; TP'!$A$3:$M$10005,MATCH(('Reg 85'!$X$6&amp;'Reg 85'!AH$10&amp;'Reg 85'!$B66),('DMR 001C TIN &amp; TP'!$E$3:$E$10005&amp;'DMR 001C TIN &amp; TP'!$B$3:$B$10005&amp;'DMR 001C TIN &amp; TP'!$A$3:$A$10005),0),MATCH('Reg 85'!$AG$11,'DMR 001C TIN &amp; TP'!$A$2:$M$2,0))),"")</f>
        <v/>
      </c>
      <c r="AI66" s="6" t="str">
        <f t="array" ref="AI66">_xlfn.IFNA((INDEX('DMR 001C TIN &amp; TP'!$A$3:$M$10005,MATCH(('Reg 85'!$X$6&amp;'Reg 85'!AI$10&amp;'Reg 85'!$B66),('DMR 001C TIN &amp; TP'!$E$3:$E$10005&amp;'DMR 001C TIN &amp; TP'!$B$3:$B$10005&amp;'DMR 001C TIN &amp; TP'!$A$3:$A$10005),0),MATCH('Reg 85'!$AG$11,'DMR 001C TIN &amp; TP'!$A$2:$M$2,0))),"")</f>
        <v/>
      </c>
      <c r="AJ66" s="6" t="str">
        <f t="array" ref="AJ66">_xlfn.IFNA((INDEX('DMR 001C TIN &amp; TP'!$A$3:$M$10005,MATCH(('Reg 85'!$X$6&amp;'Reg 85'!AJ$10&amp;'Reg 85'!$B66),('DMR 001C TIN &amp; TP'!$E$3:$E$10005&amp;'DMR 001C TIN &amp; TP'!$B$3:$B$10005&amp;'DMR 001C TIN &amp; TP'!$A$3:$A$10005),0),MATCH('Reg 85'!$AG$11,'DMR 001C TIN &amp; TP'!$A$2:$M$2,0))),"")</f>
        <v/>
      </c>
      <c r="AK66" s="6" t="str">
        <f t="array" ref="AK66">_xlfn.IFNA((INDEX('DMR 001C TIN &amp; TP'!$A$3:$M$10005,MATCH(('Reg 85'!$X$6&amp;'Reg 85'!AK$10&amp;'Reg 85'!$B66),('DMR 001C TIN &amp; TP'!$E$3:$E$10005&amp;'DMR 001C TIN &amp; TP'!$B$3:$B$10005&amp;'DMR 001C TIN &amp; TP'!$A$3:$A$10005),0),MATCH('Reg 85'!$AG$11,'DMR 001C TIN &amp; TP'!$A$2:$M$2,0))),"")</f>
        <v/>
      </c>
      <c r="AL66" s="6" t="str">
        <f t="array" ref="AL66">_xlfn.IFNA((INDEX('DMR 001C TIN &amp; TP'!$A$3:$M$10005,MATCH(('Reg 85'!$X$6&amp;'Reg 85'!AL$10&amp;'Reg 85'!$B66),('DMR 001C TIN &amp; TP'!$E$3:$E$10005&amp;'DMR 001C TIN &amp; TP'!$B$3:$B$10005&amp;'DMR 001C TIN &amp; TP'!$A$3:$A$10005),0),MATCH('Reg 85'!$AG$11,'DMR 001C TIN &amp; TP'!$A$2:$M$2,0))),"")</f>
        <v/>
      </c>
      <c r="AM66" s="76"/>
      <c r="AN66" s="6"/>
      <c r="AO66" s="54" t="str">
        <f t="shared" si="0"/>
        <v/>
      </c>
      <c r="AP66" s="77" t="str">
        <f t="shared" si="39"/>
        <v/>
      </c>
      <c r="AQ66" s="47"/>
      <c r="AR66" s="6" t="str">
        <f t="array" ref="AR66">_xlfn.IFNA((INDEX('DMR 001C TIN &amp; TP'!$A$3:$M$10005,MATCH(('Reg 85'!$AQ$6&amp;'Reg 85'!$AQ$10&amp;'Reg 85'!$B66),('DMR 001C TIN &amp; TP'!$E$3:$E$10005&amp;'DMR 001C TIN &amp; TP'!$B$3:$B$10005&amp;'DMR 001C TIN &amp; TP'!$A$3:$A$10005),0),MATCH('Reg 85'!$AR$11,'DMR 001C TIN &amp; TP'!$A$2:$M$2,0))),"")</f>
        <v>0.03</v>
      </c>
      <c r="AS66" s="6">
        <f t="array" ref="AS66">_xlfn.IFNA((INDEX('DMR 001C TIN &amp; TP'!$A$3:$M$10005,MATCH(('Reg 85'!$AQ$6&amp;'Reg 85'!$AQ$10&amp;'Reg 85'!$B66),('DMR 001C TIN &amp; TP'!$E$3:$E$10005&amp;'DMR 001C TIN &amp; TP'!$B$3:$B$10005&amp;'DMR 001C TIN &amp; TP'!$A$3:$A$10005),0),MATCH('Reg 85'!$AS$11,'DMR 001C TIN &amp; TP'!$A$2:$M$2,0))),"")</f>
        <v>0.31</v>
      </c>
      <c r="AT66" s="53">
        <f t="shared" si="15"/>
        <v>0.31</v>
      </c>
      <c r="AV66" s="6" t="str">
        <f t="array" ref="AV66">_xlfn.IFNA((INDEX('DMR 001C TIN &amp; TP'!$A$3:$M$10005,MATCH(('Reg 85'!$AQ$6&amp;'Reg 85'!$AU$10&amp;'Reg 85'!$B66),('DMR 001C TIN &amp; TP'!$E$3:$E$10005&amp;'DMR 001C TIN &amp; TP'!$B$3:$B$10005&amp;'DMR 001C TIN &amp; TP'!$A$3:$A$10005),0),MATCH('Reg 85'!$AV$11,'DMR 001C TIN &amp; TP'!$A$2:$M$2,0))),"")</f>
        <v>0.03</v>
      </c>
      <c r="AW66" s="6">
        <f t="array" ref="AW66">_xlfn.IFNA((INDEX('DMR 001C TIN &amp; TP'!$A$3:$M$10005,MATCH(('Reg 85'!$AQ$6&amp;'Reg 85'!$AU$10&amp;'Reg 85'!$B66),('DMR 001C TIN &amp; TP'!$E$3:$E$10005&amp;'DMR 001C TIN &amp; TP'!$B$3:$B$10005&amp;'DMR 001C TIN &amp; TP'!$A$3:$A$10005),0),MATCH('Reg 85'!$AW$11,'DMR 001C TIN &amp; TP'!$A$2:$M$2,0))),"")</f>
        <v>0.74</v>
      </c>
      <c r="AX66" s="53">
        <f t="shared" si="16"/>
        <v>0.74</v>
      </c>
      <c r="AY66" s="55">
        <f t="shared" si="17"/>
        <v>0.59904805801111882</v>
      </c>
      <c r="AZ66" s="77" t="str">
        <f t="shared" si="37"/>
        <v/>
      </c>
      <c r="BA66" s="6" t="str">
        <f t="array" ref="BA66">_xlfn.IFNA((INDEX('DMR 001C TIN &amp; TP'!$A$3:$M$10005,MATCH(('Reg 85'!$AQ$6&amp;'Reg 85'!BA$10&amp;'Reg 85'!$B66),('DMR 001C TIN &amp; TP'!$E$3:$E$10005&amp;'DMR 001C TIN &amp; TP'!$B$3:$B$10005&amp;'DMR 001C TIN &amp; TP'!$A$3:$A$10005),0),MATCH('Reg 85'!$AG$11,'DMR 001C TIN &amp; TP'!$A$2:$M$2,0))),"")</f>
        <v/>
      </c>
      <c r="BB66" s="6" t="str">
        <f t="array" ref="BB66">_xlfn.IFNA((INDEX('DMR 001C TIN &amp; TP'!$A$3:$M$10005,MATCH(('Reg 85'!$AQ$6&amp;'Reg 85'!BB$10&amp;'Reg 85'!$B66),('DMR 001C TIN &amp; TP'!$E$3:$E$10005&amp;'DMR 001C TIN &amp; TP'!$B$3:$B$10005&amp;'DMR 001C TIN &amp; TP'!$A$3:$A$10005),0),MATCH('Reg 85'!$AG$11,'DMR 001C TIN &amp; TP'!$A$2:$M$2,0))),"")</f>
        <v/>
      </c>
      <c r="BC66" s="6" t="str">
        <f t="array" ref="BC66">_xlfn.IFNA((INDEX('DMR 001C TIN &amp; TP'!$A$3:$M$10005,MATCH(('Reg 85'!$AQ$6&amp;'Reg 85'!BC$10&amp;'Reg 85'!$B66),('DMR 001C TIN &amp; TP'!$E$3:$E$10005&amp;'DMR 001C TIN &amp; TP'!$B$3:$B$10005&amp;'DMR 001C TIN &amp; TP'!$A$3:$A$10005),0),MATCH('Reg 85'!$AG$11,'DMR 001C TIN &amp; TP'!$A$2:$M$2,0))),"")</f>
        <v/>
      </c>
      <c r="BD66" s="6" t="str">
        <f t="array" ref="BD66">_xlfn.IFNA((INDEX('DMR 001C TIN &amp; TP'!$A$3:$M$10005,MATCH(('Reg 85'!$AQ$6&amp;'Reg 85'!BD$10&amp;'Reg 85'!$B66),('DMR 001C TIN &amp; TP'!$E$3:$E$10005&amp;'DMR 001C TIN &amp; TP'!$B$3:$B$10005&amp;'DMR 001C TIN &amp; TP'!$A$3:$A$10005),0),MATCH('Reg 85'!$AG$11,'DMR 001C TIN &amp; TP'!$A$2:$M$2,0))),"")</f>
        <v/>
      </c>
      <c r="BE66" s="6" t="str">
        <f t="array" ref="BE66">_xlfn.IFNA((INDEX('DMR 001C TIN &amp; TP'!$A$3:$M$10005,MATCH(('Reg 85'!$AQ$6&amp;'Reg 85'!BE$10&amp;'Reg 85'!$B66),('DMR 001C TIN &amp; TP'!$E$3:$E$10005&amp;'DMR 001C TIN &amp; TP'!$B$3:$B$10005&amp;'DMR 001C TIN &amp; TP'!$A$3:$A$10005),0),MATCH('Reg 85'!$AG$11,'DMR 001C TIN &amp; TP'!$A$2:$M$2,0))),"")</f>
        <v/>
      </c>
      <c r="BF66" s="6" t="str">
        <f t="array" ref="BF66">_xlfn.IFNA((INDEX('DMR 001C TIN &amp; TP'!$A$3:$M$10005,MATCH(('Reg 85'!$AQ$6&amp;'Reg 85'!BF$10&amp;'Reg 85'!$B66),('DMR 001C TIN &amp; TP'!$E$3:$E$10005&amp;'DMR 001C TIN &amp; TP'!$B$3:$B$10005&amp;'DMR 001C TIN &amp; TP'!$A$3:$A$10005),0),MATCH('Reg 85'!$AG$11,'DMR 001C TIN &amp; TP'!$A$2:$M$2,0))),"")</f>
        <v/>
      </c>
    </row>
    <row r="67" spans="1:58">
      <c r="A67" s="3" t="str">
        <f t="shared" si="2"/>
        <v>Fri</v>
      </c>
      <c r="B67" s="96">
        <f t="shared" si="19"/>
        <v>43399</v>
      </c>
      <c r="C67" s="96">
        <f t="shared" si="3"/>
        <v>43404</v>
      </c>
      <c r="D67" s="96">
        <f t="shared" si="4"/>
        <v>43374</v>
      </c>
      <c r="E67" s="95">
        <f t="shared" si="5"/>
        <v>31</v>
      </c>
      <c r="F67" s="7">
        <f t="array" ref="F67">_xlfn.IFNA(INDEX('DMR Flows-Effluent'!$A$3:$F$9999,MATCH(($F$10&amp;$B67),('DMR Flows-Effluent'!$B$3:$B$9999&amp;'DMR Flows-Effluent'!$A$3:$A$9999),0),MATCH($F$8,'DMR Flows-Effluent'!$A$2:$F$2,0)),"")</f>
        <v>36.963299999999997</v>
      </c>
      <c r="G67" s="7">
        <f t="array" ref="G67">_xlfn.IFNA(INDEX('DMR Flows-Effluent'!$A$3:$F$9999,MATCH(($G$10&amp;$B67),('DMR Flows-Effluent'!$B$3:$B$9999&amp;'DMR Flows-Effluent'!$A$3:$A$9999),0),MATCH($F$8,'DMR Flows-Effluent'!$A$2:$F$2,0)),"")</f>
        <v>75.820599999999999</v>
      </c>
      <c r="H67" s="7">
        <f t="shared" si="6"/>
        <v>112.78389999999999</v>
      </c>
      <c r="I67" s="45" t="str">
        <f t="shared" si="7"/>
        <v/>
      </c>
      <c r="J67" s="6" t="str">
        <f t="array" ref="J67">_xlfn.IFNA((INDEX('DMR 001C TIN &amp; TP'!$A$3:$M$10005,MATCH(('Reg 85'!$I$6:$Q$6&amp;'Reg 85'!$I$10:$K$10&amp;'Reg 85'!$B67),('DMR 001C TIN &amp; TP'!$E$3:$E$10005&amp;'DMR 001C TIN &amp; TP'!$B$3:$B$10005&amp;'DMR 001C TIN &amp; TP'!$A$3:$A$10005),0),MATCH('Reg 85'!$J$11,'DMR 001C TIN &amp; TP'!$A$2:$M$2,0))),"")</f>
        <v/>
      </c>
      <c r="K67" s="6" t="str">
        <f t="array" ref="K67">_xlfn.IFNA((INDEX('DMR 001C TIN &amp; TP'!$A$3:$M$10005,MATCH(('Reg 85'!$I$6:$Q$6&amp;'Reg 85'!$I$10:$K$10&amp;'Reg 85'!$B67),('DMR 001C TIN &amp; TP'!$E$3:$E$10005&amp;'DMR 001C TIN &amp; TP'!$B$3:$B$10005&amp;'DMR 001C TIN &amp; TP'!$A$3:$A$10005),0),MATCH('Reg 85'!$K$11,'DMR 001C TIN &amp; TP'!$A$2:$M$2,0))),"")</f>
        <v/>
      </c>
      <c r="L67" s="53" t="str">
        <f t="shared" si="21"/>
        <v/>
      </c>
      <c r="M67" s="5" t="str">
        <f t="shared" si="8"/>
        <v/>
      </c>
      <c r="N67" s="6" t="str">
        <f t="array" ref="N67">_xlfn.IFNA((INDEX('DMR 001C TIN &amp; TP'!$A$3:$M$10005,MATCH(('Reg 85'!$I$6:$Q$6&amp;'Reg 85'!$M$10&amp;'Reg 85'!$B67),('DMR 001C TIN &amp; TP'!$E$3:$E$10005&amp;'DMR 001C TIN &amp; TP'!$B$3:$B$10005&amp;'DMR 001C TIN &amp; TP'!$A$3:$A$10005),0),MATCH('Reg 85'!$N$11,'DMR 001C TIN &amp; TP'!$A$2:$M$2,0))),"")</f>
        <v/>
      </c>
      <c r="O67" s="6" t="str">
        <f t="array" ref="O67">_xlfn.IFNA((INDEX('DMR 001C TIN &amp; TP'!$A$3:$M$10005,MATCH(('Reg 85'!$I$6:$Q$6&amp;'Reg 85'!$M$10&amp;'Reg 85'!$B67),('DMR 001C TIN &amp; TP'!$E$3:$E$10005&amp;'DMR 001C TIN &amp; TP'!$B$3:$B$10005&amp;'DMR 001C TIN &amp; TP'!$A$3:$A$10005),0),MATCH('Reg 85'!$O$11,'DMR 001C TIN &amp; TP'!$A$2:$M$2,0))),"")</f>
        <v/>
      </c>
      <c r="P67" s="53" t="str">
        <f t="shared" si="9"/>
        <v/>
      </c>
      <c r="Q67" s="73" t="str">
        <f t="array" ref="Q67">IFERROR(((L67*$F67)+(P67*$G67))/($H67),"")</f>
        <v/>
      </c>
      <c r="R67" s="6" t="str">
        <f t="array" ref="R67">_xlfn.IFNA((INDEX('DMR 001C TIN &amp; TP'!$A$3:$M$10005,MATCH(('Reg 85'!$I$6:$Q$6&amp;'Reg 85'!R$10&amp;'Reg 85'!$B67),('DMR 001C TIN &amp; TP'!$E$3:$E$10005&amp;'DMR 001C TIN &amp; TP'!$B$3:$B$10005&amp;'DMR 001C TIN &amp; TP'!$A$3:$A$10005),0),MATCH('Reg 85'!$O$11,'DMR 001C TIN &amp; TP'!$A$2:$M$2,0))),"")</f>
        <v/>
      </c>
      <c r="S67" s="6" t="str">
        <f t="array" ref="S67">_xlfn.IFNA((INDEX('DMR 001C TIN &amp; TP'!$A$3:$M$10005,MATCH(('Reg 85'!$I$6:$Q$6&amp;'Reg 85'!S$10&amp;'Reg 85'!$B67),('DMR 001C TIN &amp; TP'!$E$3:$E$10005&amp;'DMR 001C TIN &amp; TP'!$B$3:$B$10005&amp;'DMR 001C TIN &amp; TP'!$A$3:$A$10005),0),MATCH('Reg 85'!$O$11,'DMR 001C TIN &amp; TP'!$A$2:$M$2,0))),"")</f>
        <v/>
      </c>
      <c r="T67" s="6" t="str">
        <f t="array" ref="T67">_xlfn.IFNA((INDEX('DMR 001C TIN &amp; TP'!$A$3:$M$10005,MATCH(('Reg 85'!$I$6:$Q$6&amp;'Reg 85'!T$10&amp;'Reg 85'!$B67),('DMR 001C TIN &amp; TP'!$E$3:$E$10005&amp;'DMR 001C TIN &amp; TP'!$B$3:$B$10005&amp;'DMR 001C TIN &amp; TP'!$A$3:$A$10005),0),MATCH('Reg 85'!$O$11,'DMR 001C TIN &amp; TP'!$A$2:$M$2,0))),"")</f>
        <v/>
      </c>
      <c r="U67" s="6" t="str">
        <f t="array" ref="U67">_xlfn.IFNA((INDEX('DMR 001C TIN &amp; TP'!$A$3:$M$10005,MATCH(('Reg 85'!$I$6:$Q$6&amp;'Reg 85'!U$10&amp;'Reg 85'!$B67),('DMR 001C TIN &amp; TP'!$E$3:$E$10005&amp;'DMR 001C TIN &amp; TP'!$B$3:$B$10005&amp;'DMR 001C TIN &amp; TP'!$A$3:$A$10005),0),MATCH('Reg 85'!$O$11,'DMR 001C TIN &amp; TP'!$A$2:$M$2,0))),"")</f>
        <v/>
      </c>
      <c r="V67" s="6" t="str">
        <f t="array" ref="V67">_xlfn.IFNA((INDEX('DMR 001C TIN &amp; TP'!$A$3:$M$10005,MATCH(('Reg 85'!$I$6:$Q$6&amp;'Reg 85'!V$10&amp;'Reg 85'!$B67),('DMR 001C TIN &amp; TP'!$E$3:$E$10005&amp;'DMR 001C TIN &amp; TP'!$B$3:$B$10005&amp;'DMR 001C TIN &amp; TP'!$A$3:$A$10005),0),MATCH('Reg 85'!$O$11,'DMR 001C TIN &amp; TP'!$A$2:$M$2,0))),"")</f>
        <v/>
      </c>
      <c r="W67" s="6" t="str">
        <f t="array" ref="W67">_xlfn.IFNA((INDEX('DMR 001C TIN &amp; TP'!$A$3:$M$10005,MATCH(('Reg 85'!$I$6:$Q$6&amp;'Reg 85'!W$10&amp;'Reg 85'!$B67),('DMR 001C TIN &amp; TP'!$E$3:$E$10005&amp;'DMR 001C TIN &amp; TP'!$B$3:$B$10005&amp;'DMR 001C TIN &amp; TP'!$A$3:$A$10005),0),MATCH('Reg 85'!$O$11,'DMR 001C TIN &amp; TP'!$A$2:$M$2,0))),"")</f>
        <v/>
      </c>
      <c r="X67" s="5" t="str">
        <f t="shared" si="10"/>
        <v/>
      </c>
      <c r="Y67" s="6" t="str">
        <f t="array" ref="Y67">_xlfn.IFNA((INDEX('DMR 001C TIN &amp; TP'!$A$3:$M$10005,MATCH(('Reg 85'!$X$6&amp;'Reg 85'!$X$10&amp;'Reg 85'!$B67),('DMR 001C TIN &amp; TP'!$E$3:$E$10005&amp;'DMR 001C TIN &amp; TP'!$B$3:$B$10005&amp;'DMR 001C TIN &amp; TP'!$A$3:$A$10005),0),MATCH('Reg 85'!$Y$11,'DMR 001C TIN &amp; TP'!$A$2:$M$2,0))),"")</f>
        <v/>
      </c>
      <c r="Z67" s="6" t="str">
        <f t="array" ref="Z67">_xlfn.IFNA((INDEX('DMR 001C TIN &amp; TP'!$A$3:$M$10005,MATCH(('Reg 85'!$X$6&amp;'Reg 85'!$X$10&amp;'Reg 85'!$B67),('DMR 001C TIN &amp; TP'!$E$3:$E$10005&amp;'DMR 001C TIN &amp; TP'!$B$3:$B$10005&amp;'DMR 001C TIN &amp; TP'!$A$3:$A$10005),0),MATCH('Reg 85'!$Z$11,'DMR 001C TIN &amp; TP'!$A$2:$M$2,0))),"")</f>
        <v/>
      </c>
      <c r="AA67" s="53" t="str">
        <f t="shared" si="11"/>
        <v/>
      </c>
      <c r="AB67" s="5" t="str">
        <f t="shared" si="12"/>
        <v/>
      </c>
      <c r="AC67" s="6" t="str">
        <f t="array" ref="AC67">_xlfn.IFNA((INDEX('DMR 001C TIN &amp; TP'!$A$3:$M$10005,MATCH(('Reg 85'!$X$6&amp;'Reg 85'!$AB$10&amp;'Reg 85'!$B67),('DMR 001C TIN &amp; TP'!$E$3:$E$10005&amp;'DMR 001C TIN &amp; TP'!$B$3:$B$10005&amp;'DMR 001C TIN &amp; TP'!$A$3:$A$10005),0),MATCH('Reg 85'!$AC$11,'DMR 001C TIN &amp; TP'!$A$2:$M$2,0))),"")</f>
        <v/>
      </c>
      <c r="AD67" s="6" t="str">
        <f t="array" ref="AD67">_xlfn.IFNA((INDEX('DMR 001C TIN &amp; TP'!$A$3:$M$10005,MATCH(('Reg 85'!$X$6&amp;'Reg 85'!$AB$10&amp;'Reg 85'!$B67),('DMR 001C TIN &amp; TP'!$E$3:$E$10005&amp;'DMR 001C TIN &amp; TP'!$B$3:$B$10005&amp;'DMR 001C TIN &amp; TP'!$A$3:$A$10005),0),MATCH('Reg 85'!$AD$11,'DMR 001C TIN &amp; TP'!$A$2:$M$2,0))),"")</f>
        <v/>
      </c>
      <c r="AE67" s="53" t="str">
        <f t="shared" si="13"/>
        <v/>
      </c>
      <c r="AF67" s="7" t="str">
        <f t="shared" si="14"/>
        <v/>
      </c>
      <c r="AG67" s="6" t="str">
        <f t="array" ref="AG67">_xlfn.IFNA((INDEX('DMR 001C TIN &amp; TP'!$A$3:$M$10005,MATCH(('Reg 85'!$X$6&amp;'Reg 85'!AG$10&amp;'Reg 85'!$B67),('DMR 001C TIN &amp; TP'!$E$3:$E$10005&amp;'DMR 001C TIN &amp; TP'!$B$3:$B$10005&amp;'DMR 001C TIN &amp; TP'!$A$3:$A$10005),0),MATCH('Reg 85'!$AG$11,'DMR 001C TIN &amp; TP'!$A$2:$M$2,0))),"")</f>
        <v/>
      </c>
      <c r="AH67" s="6" t="str">
        <f t="array" ref="AH67">_xlfn.IFNA((INDEX('DMR 001C TIN &amp; TP'!$A$3:$M$10005,MATCH(('Reg 85'!$X$6&amp;'Reg 85'!AH$10&amp;'Reg 85'!$B67),('DMR 001C TIN &amp; TP'!$E$3:$E$10005&amp;'DMR 001C TIN &amp; TP'!$B$3:$B$10005&amp;'DMR 001C TIN &amp; TP'!$A$3:$A$10005),0),MATCH('Reg 85'!$AG$11,'DMR 001C TIN &amp; TP'!$A$2:$M$2,0))),"")</f>
        <v/>
      </c>
      <c r="AI67" s="6" t="str">
        <f t="array" ref="AI67">_xlfn.IFNA((INDEX('DMR 001C TIN &amp; TP'!$A$3:$M$10005,MATCH(('Reg 85'!$X$6&amp;'Reg 85'!AI$10&amp;'Reg 85'!$B67),('DMR 001C TIN &amp; TP'!$E$3:$E$10005&amp;'DMR 001C TIN &amp; TP'!$B$3:$B$10005&amp;'DMR 001C TIN &amp; TP'!$A$3:$A$10005),0),MATCH('Reg 85'!$AG$11,'DMR 001C TIN &amp; TP'!$A$2:$M$2,0))),"")</f>
        <v/>
      </c>
      <c r="AJ67" s="6" t="str">
        <f t="array" ref="AJ67">_xlfn.IFNA((INDEX('DMR 001C TIN &amp; TP'!$A$3:$M$10005,MATCH(('Reg 85'!$X$6&amp;'Reg 85'!AJ$10&amp;'Reg 85'!$B67),('DMR 001C TIN &amp; TP'!$E$3:$E$10005&amp;'DMR 001C TIN &amp; TP'!$B$3:$B$10005&amp;'DMR 001C TIN &amp; TP'!$A$3:$A$10005),0),MATCH('Reg 85'!$AG$11,'DMR 001C TIN &amp; TP'!$A$2:$M$2,0))),"")</f>
        <v/>
      </c>
      <c r="AK67" s="6" t="str">
        <f t="array" ref="AK67">_xlfn.IFNA((INDEX('DMR 001C TIN &amp; TP'!$A$3:$M$10005,MATCH(('Reg 85'!$X$6&amp;'Reg 85'!AK$10&amp;'Reg 85'!$B67),('DMR 001C TIN &amp; TP'!$E$3:$E$10005&amp;'DMR 001C TIN &amp; TP'!$B$3:$B$10005&amp;'DMR 001C TIN &amp; TP'!$A$3:$A$10005),0),MATCH('Reg 85'!$AG$11,'DMR 001C TIN &amp; TP'!$A$2:$M$2,0))),"")</f>
        <v/>
      </c>
      <c r="AL67" s="6" t="str">
        <f t="array" ref="AL67">_xlfn.IFNA((INDEX('DMR 001C TIN &amp; TP'!$A$3:$M$10005,MATCH(('Reg 85'!$X$6&amp;'Reg 85'!AL$10&amp;'Reg 85'!$B67),('DMR 001C TIN &amp; TP'!$E$3:$E$10005&amp;'DMR 001C TIN &amp; TP'!$B$3:$B$10005&amp;'DMR 001C TIN &amp; TP'!$A$3:$A$10005),0),MATCH('Reg 85'!$AG$11,'DMR 001C TIN &amp; TP'!$A$2:$M$2,0))),"")</f>
        <v/>
      </c>
      <c r="AM67" s="76"/>
      <c r="AN67" s="6"/>
      <c r="AO67" s="54" t="str">
        <f t="shared" si="0"/>
        <v/>
      </c>
      <c r="AP67" s="77" t="str">
        <f t="shared" si="39"/>
        <v/>
      </c>
      <c r="AQ67" s="47"/>
      <c r="AR67" s="6" t="str">
        <f t="array" ref="AR67">_xlfn.IFNA((INDEX('DMR 001C TIN &amp; TP'!$A$3:$M$10005,MATCH(('Reg 85'!$AQ$6&amp;'Reg 85'!$AQ$10&amp;'Reg 85'!$B67),('DMR 001C TIN &amp; TP'!$E$3:$E$10005&amp;'DMR 001C TIN &amp; TP'!$B$3:$B$10005&amp;'DMR 001C TIN &amp; TP'!$A$3:$A$10005),0),MATCH('Reg 85'!$AR$11,'DMR 001C TIN &amp; TP'!$A$2:$M$2,0))),"")</f>
        <v/>
      </c>
      <c r="AS67" s="6" t="str">
        <f t="array" ref="AS67">_xlfn.IFNA((INDEX('DMR 001C TIN &amp; TP'!$A$3:$M$10005,MATCH(('Reg 85'!$AQ$6&amp;'Reg 85'!$AQ$10&amp;'Reg 85'!$B67),('DMR 001C TIN &amp; TP'!$E$3:$E$10005&amp;'DMR 001C TIN &amp; TP'!$B$3:$B$10005&amp;'DMR 001C TIN &amp; TP'!$A$3:$A$10005),0),MATCH('Reg 85'!$AS$11,'DMR 001C TIN &amp; TP'!$A$2:$M$2,0))),"")</f>
        <v/>
      </c>
      <c r="AT67" s="53" t="str">
        <f t="shared" si="15"/>
        <v/>
      </c>
      <c r="AV67" s="6" t="str">
        <f t="array" ref="AV67">_xlfn.IFNA((INDEX('DMR 001C TIN &amp; TP'!$A$3:$M$10005,MATCH(('Reg 85'!$AQ$6&amp;'Reg 85'!$AU$10&amp;'Reg 85'!$B67),('DMR 001C TIN &amp; TP'!$E$3:$E$10005&amp;'DMR 001C TIN &amp; TP'!$B$3:$B$10005&amp;'DMR 001C TIN &amp; TP'!$A$3:$A$10005),0),MATCH('Reg 85'!$AV$11,'DMR 001C TIN &amp; TP'!$A$2:$M$2,0))),"")</f>
        <v/>
      </c>
      <c r="AW67" s="6" t="str">
        <f t="array" ref="AW67">_xlfn.IFNA((INDEX('DMR 001C TIN &amp; TP'!$A$3:$M$10005,MATCH(('Reg 85'!$AQ$6&amp;'Reg 85'!$AU$10&amp;'Reg 85'!$B67),('DMR 001C TIN &amp; TP'!$E$3:$E$10005&amp;'DMR 001C TIN &amp; TP'!$B$3:$B$10005&amp;'DMR 001C TIN &amp; TP'!$A$3:$A$10005),0),MATCH('Reg 85'!$AW$11,'DMR 001C TIN &amp; TP'!$A$2:$M$2,0))),"")</f>
        <v/>
      </c>
      <c r="AX67" s="53" t="str">
        <f t="shared" si="16"/>
        <v/>
      </c>
      <c r="AY67" s="55" t="str">
        <f t="shared" si="17"/>
        <v/>
      </c>
      <c r="AZ67" s="77" t="str">
        <f t="shared" si="37"/>
        <v/>
      </c>
      <c r="BA67" s="6" t="str">
        <f t="array" ref="BA67">_xlfn.IFNA((INDEX('DMR 001C TIN &amp; TP'!$A$3:$M$10005,MATCH(('Reg 85'!$AQ$6&amp;'Reg 85'!BA$10&amp;'Reg 85'!$B67),('DMR 001C TIN &amp; TP'!$E$3:$E$10005&amp;'DMR 001C TIN &amp; TP'!$B$3:$B$10005&amp;'DMR 001C TIN &amp; TP'!$A$3:$A$10005),0),MATCH('Reg 85'!$AG$11,'DMR 001C TIN &amp; TP'!$A$2:$M$2,0))),"")</f>
        <v/>
      </c>
      <c r="BB67" s="6" t="str">
        <f t="array" ref="BB67">_xlfn.IFNA((INDEX('DMR 001C TIN &amp; TP'!$A$3:$M$10005,MATCH(('Reg 85'!$AQ$6&amp;'Reg 85'!BB$10&amp;'Reg 85'!$B67),('DMR 001C TIN &amp; TP'!$E$3:$E$10005&amp;'DMR 001C TIN &amp; TP'!$B$3:$B$10005&amp;'DMR 001C TIN &amp; TP'!$A$3:$A$10005),0),MATCH('Reg 85'!$AG$11,'DMR 001C TIN &amp; TP'!$A$2:$M$2,0))),"")</f>
        <v/>
      </c>
      <c r="BC67" s="6" t="str">
        <f t="array" ref="BC67">_xlfn.IFNA((INDEX('DMR 001C TIN &amp; TP'!$A$3:$M$10005,MATCH(('Reg 85'!$AQ$6&amp;'Reg 85'!BC$10&amp;'Reg 85'!$B67),('DMR 001C TIN &amp; TP'!$E$3:$E$10005&amp;'DMR 001C TIN &amp; TP'!$B$3:$B$10005&amp;'DMR 001C TIN &amp; TP'!$A$3:$A$10005),0),MATCH('Reg 85'!$AG$11,'DMR 001C TIN &amp; TP'!$A$2:$M$2,0))),"")</f>
        <v/>
      </c>
      <c r="BD67" s="6" t="str">
        <f t="array" ref="BD67">_xlfn.IFNA((INDEX('DMR 001C TIN &amp; TP'!$A$3:$M$10005,MATCH(('Reg 85'!$AQ$6&amp;'Reg 85'!BD$10&amp;'Reg 85'!$B67),('DMR 001C TIN &amp; TP'!$E$3:$E$10005&amp;'DMR 001C TIN &amp; TP'!$B$3:$B$10005&amp;'DMR 001C TIN &amp; TP'!$A$3:$A$10005),0),MATCH('Reg 85'!$AG$11,'DMR 001C TIN &amp; TP'!$A$2:$M$2,0))),"")</f>
        <v/>
      </c>
      <c r="BE67" s="6" t="str">
        <f t="array" ref="BE67">_xlfn.IFNA((INDEX('DMR 001C TIN &amp; TP'!$A$3:$M$10005,MATCH(('Reg 85'!$AQ$6&amp;'Reg 85'!BE$10&amp;'Reg 85'!$B67),('DMR 001C TIN &amp; TP'!$E$3:$E$10005&amp;'DMR 001C TIN &amp; TP'!$B$3:$B$10005&amp;'DMR 001C TIN &amp; TP'!$A$3:$A$10005),0),MATCH('Reg 85'!$AG$11,'DMR 001C TIN &amp; TP'!$A$2:$M$2,0))),"")</f>
        <v/>
      </c>
      <c r="BF67" s="6" t="str">
        <f t="array" ref="BF67">_xlfn.IFNA((INDEX('DMR 001C TIN &amp; TP'!$A$3:$M$10005,MATCH(('Reg 85'!$AQ$6&amp;'Reg 85'!BF$10&amp;'Reg 85'!$B67),('DMR 001C TIN &amp; TP'!$E$3:$E$10005&amp;'DMR 001C TIN &amp; TP'!$B$3:$B$10005&amp;'DMR 001C TIN &amp; TP'!$A$3:$A$10005),0),MATCH('Reg 85'!$AG$11,'DMR 001C TIN &amp; TP'!$A$2:$M$2,0))),"")</f>
        <v/>
      </c>
    </row>
    <row r="68" spans="1:58">
      <c r="A68" s="3" t="str">
        <f t="shared" si="2"/>
        <v>Sat</v>
      </c>
      <c r="B68" s="96">
        <f t="shared" si="19"/>
        <v>43400</v>
      </c>
      <c r="C68" s="96">
        <f t="shared" si="3"/>
        <v>43404</v>
      </c>
      <c r="D68" s="96">
        <f t="shared" si="4"/>
        <v>43374</v>
      </c>
      <c r="E68" s="95">
        <f t="shared" si="5"/>
        <v>31</v>
      </c>
      <c r="F68" s="7">
        <f t="array" ref="F68">_xlfn.IFNA(INDEX('DMR Flows-Effluent'!$A$3:$F$9999,MATCH(($F$10&amp;$B68),('DMR Flows-Effluent'!$B$3:$B$9999&amp;'DMR Flows-Effluent'!$A$3:$A$9999),0),MATCH($F$8,'DMR Flows-Effluent'!$A$2:$F$2,0)),"")</f>
        <v>43.724699999999999</v>
      </c>
      <c r="G68" s="7">
        <f t="array" ref="G68">_xlfn.IFNA(INDEX('DMR Flows-Effluent'!$A$3:$F$9999,MATCH(($G$10&amp;$B68),('DMR Flows-Effluent'!$B$3:$B$9999&amp;'DMR Flows-Effluent'!$A$3:$A$9999),0),MATCH($F$8,'DMR Flows-Effluent'!$A$2:$F$2,0)),"")</f>
        <v>71.854100000000003</v>
      </c>
      <c r="H68" s="7">
        <f t="shared" si="6"/>
        <v>115.5788</v>
      </c>
      <c r="I68" s="45" t="str">
        <f t="shared" si="7"/>
        <v/>
      </c>
      <c r="J68" s="6" t="str">
        <f t="array" ref="J68">_xlfn.IFNA((INDEX('DMR 001C TIN &amp; TP'!$A$3:$M$10005,MATCH(('Reg 85'!$I$6:$Q$6&amp;'Reg 85'!$I$10:$K$10&amp;'Reg 85'!$B68),('DMR 001C TIN &amp; TP'!$E$3:$E$10005&amp;'DMR 001C TIN &amp; TP'!$B$3:$B$10005&amp;'DMR 001C TIN &amp; TP'!$A$3:$A$10005),0),MATCH('Reg 85'!$J$11,'DMR 001C TIN &amp; TP'!$A$2:$M$2,0))),"")</f>
        <v/>
      </c>
      <c r="K68" s="6" t="str">
        <f t="array" ref="K68">_xlfn.IFNA((INDEX('DMR 001C TIN &amp; TP'!$A$3:$M$10005,MATCH(('Reg 85'!$I$6:$Q$6&amp;'Reg 85'!$I$10:$K$10&amp;'Reg 85'!$B68),('DMR 001C TIN &amp; TP'!$E$3:$E$10005&amp;'DMR 001C TIN &amp; TP'!$B$3:$B$10005&amp;'DMR 001C TIN &amp; TP'!$A$3:$A$10005),0),MATCH('Reg 85'!$K$11,'DMR 001C TIN &amp; TP'!$A$2:$M$2,0))),"")</f>
        <v/>
      </c>
      <c r="L68" s="53" t="str">
        <f t="shared" si="21"/>
        <v/>
      </c>
      <c r="M68" s="5" t="str">
        <f t="shared" si="8"/>
        <v/>
      </c>
      <c r="N68" s="6" t="str">
        <f t="array" ref="N68">_xlfn.IFNA((INDEX('DMR 001C TIN &amp; TP'!$A$3:$M$10005,MATCH(('Reg 85'!$I$6:$Q$6&amp;'Reg 85'!$M$10&amp;'Reg 85'!$B68),('DMR 001C TIN &amp; TP'!$E$3:$E$10005&amp;'DMR 001C TIN &amp; TP'!$B$3:$B$10005&amp;'DMR 001C TIN &amp; TP'!$A$3:$A$10005),0),MATCH('Reg 85'!$N$11,'DMR 001C TIN &amp; TP'!$A$2:$M$2,0))),"")</f>
        <v/>
      </c>
      <c r="O68" s="6" t="str">
        <f t="array" ref="O68">_xlfn.IFNA((INDEX('DMR 001C TIN &amp; TP'!$A$3:$M$10005,MATCH(('Reg 85'!$I$6:$Q$6&amp;'Reg 85'!$M$10&amp;'Reg 85'!$B68),('DMR 001C TIN &amp; TP'!$E$3:$E$10005&amp;'DMR 001C TIN &amp; TP'!$B$3:$B$10005&amp;'DMR 001C TIN &amp; TP'!$A$3:$A$10005),0),MATCH('Reg 85'!$O$11,'DMR 001C TIN &amp; TP'!$A$2:$M$2,0))),"")</f>
        <v/>
      </c>
      <c r="P68" s="53" t="str">
        <f t="shared" si="9"/>
        <v/>
      </c>
      <c r="Q68" s="73" t="str">
        <f t="array" ref="Q68">IFERROR(((L68*$F68)+(P68*$G68))/($H68),"")</f>
        <v/>
      </c>
      <c r="R68" s="6" t="str">
        <f t="array" ref="R68">_xlfn.IFNA((INDEX('DMR 001C TIN &amp; TP'!$A$3:$M$10005,MATCH(('Reg 85'!$I$6:$Q$6&amp;'Reg 85'!R$10&amp;'Reg 85'!$B68),('DMR 001C TIN &amp; TP'!$E$3:$E$10005&amp;'DMR 001C TIN &amp; TP'!$B$3:$B$10005&amp;'DMR 001C TIN &amp; TP'!$A$3:$A$10005),0),MATCH('Reg 85'!$O$11,'DMR 001C TIN &amp; TP'!$A$2:$M$2,0))),"")</f>
        <v/>
      </c>
      <c r="S68" s="6" t="str">
        <f t="array" ref="S68">_xlfn.IFNA((INDEX('DMR 001C TIN &amp; TP'!$A$3:$M$10005,MATCH(('Reg 85'!$I$6:$Q$6&amp;'Reg 85'!S$10&amp;'Reg 85'!$B68),('DMR 001C TIN &amp; TP'!$E$3:$E$10005&amp;'DMR 001C TIN &amp; TP'!$B$3:$B$10005&amp;'DMR 001C TIN &amp; TP'!$A$3:$A$10005),0),MATCH('Reg 85'!$O$11,'DMR 001C TIN &amp; TP'!$A$2:$M$2,0))),"")</f>
        <v/>
      </c>
      <c r="T68" s="6" t="str">
        <f t="array" ref="T68">_xlfn.IFNA((INDEX('DMR 001C TIN &amp; TP'!$A$3:$M$10005,MATCH(('Reg 85'!$I$6:$Q$6&amp;'Reg 85'!T$10&amp;'Reg 85'!$B68),('DMR 001C TIN &amp; TP'!$E$3:$E$10005&amp;'DMR 001C TIN &amp; TP'!$B$3:$B$10005&amp;'DMR 001C TIN &amp; TP'!$A$3:$A$10005),0),MATCH('Reg 85'!$O$11,'DMR 001C TIN &amp; TP'!$A$2:$M$2,0))),"")</f>
        <v/>
      </c>
      <c r="U68" s="6" t="str">
        <f t="array" ref="U68">_xlfn.IFNA((INDEX('DMR 001C TIN &amp; TP'!$A$3:$M$10005,MATCH(('Reg 85'!$I$6:$Q$6&amp;'Reg 85'!U$10&amp;'Reg 85'!$B68),('DMR 001C TIN &amp; TP'!$E$3:$E$10005&amp;'DMR 001C TIN &amp; TP'!$B$3:$B$10005&amp;'DMR 001C TIN &amp; TP'!$A$3:$A$10005),0),MATCH('Reg 85'!$O$11,'DMR 001C TIN &amp; TP'!$A$2:$M$2,0))),"")</f>
        <v/>
      </c>
      <c r="V68" s="6" t="str">
        <f t="array" ref="V68">_xlfn.IFNA((INDEX('DMR 001C TIN &amp; TP'!$A$3:$M$10005,MATCH(('Reg 85'!$I$6:$Q$6&amp;'Reg 85'!V$10&amp;'Reg 85'!$B68),('DMR 001C TIN &amp; TP'!$E$3:$E$10005&amp;'DMR 001C TIN &amp; TP'!$B$3:$B$10005&amp;'DMR 001C TIN &amp; TP'!$A$3:$A$10005),0),MATCH('Reg 85'!$O$11,'DMR 001C TIN &amp; TP'!$A$2:$M$2,0))),"")</f>
        <v/>
      </c>
      <c r="W68" s="6" t="str">
        <f t="array" ref="W68">_xlfn.IFNA((INDEX('DMR 001C TIN &amp; TP'!$A$3:$M$10005,MATCH(('Reg 85'!$I$6:$Q$6&amp;'Reg 85'!W$10&amp;'Reg 85'!$B68),('DMR 001C TIN &amp; TP'!$E$3:$E$10005&amp;'DMR 001C TIN &amp; TP'!$B$3:$B$10005&amp;'DMR 001C TIN &amp; TP'!$A$3:$A$10005),0),MATCH('Reg 85'!$O$11,'DMR 001C TIN &amp; TP'!$A$2:$M$2,0))),"")</f>
        <v/>
      </c>
      <c r="X68" s="5" t="str">
        <f t="shared" si="10"/>
        <v/>
      </c>
      <c r="Y68" s="6" t="str">
        <f t="array" ref="Y68">_xlfn.IFNA((INDEX('DMR 001C TIN &amp; TP'!$A$3:$M$10005,MATCH(('Reg 85'!$X$6&amp;'Reg 85'!$X$10&amp;'Reg 85'!$B68),('DMR 001C TIN &amp; TP'!$E$3:$E$10005&amp;'DMR 001C TIN &amp; TP'!$B$3:$B$10005&amp;'DMR 001C TIN &amp; TP'!$A$3:$A$10005),0),MATCH('Reg 85'!$Y$11,'DMR 001C TIN &amp; TP'!$A$2:$M$2,0))),"")</f>
        <v/>
      </c>
      <c r="Z68" s="6" t="str">
        <f t="array" ref="Z68">_xlfn.IFNA((INDEX('DMR 001C TIN &amp; TP'!$A$3:$M$10005,MATCH(('Reg 85'!$X$6&amp;'Reg 85'!$X$10&amp;'Reg 85'!$B68),('DMR 001C TIN &amp; TP'!$E$3:$E$10005&amp;'DMR 001C TIN &amp; TP'!$B$3:$B$10005&amp;'DMR 001C TIN &amp; TP'!$A$3:$A$10005),0),MATCH('Reg 85'!$Z$11,'DMR 001C TIN &amp; TP'!$A$2:$M$2,0))),"")</f>
        <v/>
      </c>
      <c r="AA68" s="53" t="str">
        <f t="shared" si="11"/>
        <v/>
      </c>
      <c r="AB68" s="5" t="str">
        <f t="shared" si="12"/>
        <v/>
      </c>
      <c r="AC68" s="6" t="str">
        <f t="array" ref="AC68">_xlfn.IFNA((INDEX('DMR 001C TIN &amp; TP'!$A$3:$M$10005,MATCH(('Reg 85'!$X$6&amp;'Reg 85'!$AB$10&amp;'Reg 85'!$B68),('DMR 001C TIN &amp; TP'!$E$3:$E$10005&amp;'DMR 001C TIN &amp; TP'!$B$3:$B$10005&amp;'DMR 001C TIN &amp; TP'!$A$3:$A$10005),0),MATCH('Reg 85'!$AC$11,'DMR 001C TIN &amp; TP'!$A$2:$M$2,0))),"")</f>
        <v/>
      </c>
      <c r="AD68" s="6" t="str">
        <f t="array" ref="AD68">_xlfn.IFNA((INDEX('DMR 001C TIN &amp; TP'!$A$3:$M$10005,MATCH(('Reg 85'!$X$6&amp;'Reg 85'!$AB$10&amp;'Reg 85'!$B68),('DMR 001C TIN &amp; TP'!$E$3:$E$10005&amp;'DMR 001C TIN &amp; TP'!$B$3:$B$10005&amp;'DMR 001C TIN &amp; TP'!$A$3:$A$10005),0),MATCH('Reg 85'!$AD$11,'DMR 001C TIN &amp; TP'!$A$2:$M$2,0))),"")</f>
        <v/>
      </c>
      <c r="AE68" s="53" t="str">
        <f t="shared" si="13"/>
        <v/>
      </c>
      <c r="AF68" s="7" t="str">
        <f t="shared" si="14"/>
        <v/>
      </c>
      <c r="AG68" s="6" t="str">
        <f t="array" ref="AG68">_xlfn.IFNA((INDEX('DMR 001C TIN &amp; TP'!$A$3:$M$10005,MATCH(('Reg 85'!$X$6&amp;'Reg 85'!AG$10&amp;'Reg 85'!$B68),('DMR 001C TIN &amp; TP'!$E$3:$E$10005&amp;'DMR 001C TIN &amp; TP'!$B$3:$B$10005&amp;'DMR 001C TIN &amp; TP'!$A$3:$A$10005),0),MATCH('Reg 85'!$AG$11,'DMR 001C TIN &amp; TP'!$A$2:$M$2,0))),"")</f>
        <v/>
      </c>
      <c r="AH68" s="6" t="str">
        <f t="array" ref="AH68">_xlfn.IFNA((INDEX('DMR 001C TIN &amp; TP'!$A$3:$M$10005,MATCH(('Reg 85'!$X$6&amp;'Reg 85'!AH$10&amp;'Reg 85'!$B68),('DMR 001C TIN &amp; TP'!$E$3:$E$10005&amp;'DMR 001C TIN &amp; TP'!$B$3:$B$10005&amp;'DMR 001C TIN &amp; TP'!$A$3:$A$10005),0),MATCH('Reg 85'!$AG$11,'DMR 001C TIN &amp; TP'!$A$2:$M$2,0))),"")</f>
        <v/>
      </c>
      <c r="AI68" s="6" t="str">
        <f t="array" ref="AI68">_xlfn.IFNA((INDEX('DMR 001C TIN &amp; TP'!$A$3:$M$10005,MATCH(('Reg 85'!$X$6&amp;'Reg 85'!AI$10&amp;'Reg 85'!$B68),('DMR 001C TIN &amp; TP'!$E$3:$E$10005&amp;'DMR 001C TIN &amp; TP'!$B$3:$B$10005&amp;'DMR 001C TIN &amp; TP'!$A$3:$A$10005),0),MATCH('Reg 85'!$AG$11,'DMR 001C TIN &amp; TP'!$A$2:$M$2,0))),"")</f>
        <v/>
      </c>
      <c r="AJ68" s="6" t="str">
        <f t="array" ref="AJ68">_xlfn.IFNA((INDEX('DMR 001C TIN &amp; TP'!$A$3:$M$10005,MATCH(('Reg 85'!$X$6&amp;'Reg 85'!AJ$10&amp;'Reg 85'!$B68),('DMR 001C TIN &amp; TP'!$E$3:$E$10005&amp;'DMR 001C TIN &amp; TP'!$B$3:$B$10005&amp;'DMR 001C TIN &amp; TP'!$A$3:$A$10005),0),MATCH('Reg 85'!$AG$11,'DMR 001C TIN &amp; TP'!$A$2:$M$2,0))),"")</f>
        <v/>
      </c>
      <c r="AK68" s="6" t="str">
        <f t="array" ref="AK68">_xlfn.IFNA((INDEX('DMR 001C TIN &amp; TP'!$A$3:$M$10005,MATCH(('Reg 85'!$X$6&amp;'Reg 85'!AK$10&amp;'Reg 85'!$B68),('DMR 001C TIN &amp; TP'!$E$3:$E$10005&amp;'DMR 001C TIN &amp; TP'!$B$3:$B$10005&amp;'DMR 001C TIN &amp; TP'!$A$3:$A$10005),0),MATCH('Reg 85'!$AG$11,'DMR 001C TIN &amp; TP'!$A$2:$M$2,0))),"")</f>
        <v/>
      </c>
      <c r="AL68" s="6" t="str">
        <f t="array" ref="AL68">_xlfn.IFNA((INDEX('DMR 001C TIN &amp; TP'!$A$3:$M$10005,MATCH(('Reg 85'!$X$6&amp;'Reg 85'!AL$10&amp;'Reg 85'!$B68),('DMR 001C TIN &amp; TP'!$E$3:$E$10005&amp;'DMR 001C TIN &amp; TP'!$B$3:$B$10005&amp;'DMR 001C TIN &amp; TP'!$A$3:$A$10005),0),MATCH('Reg 85'!$AG$11,'DMR 001C TIN &amp; TP'!$A$2:$M$2,0))),"")</f>
        <v/>
      </c>
      <c r="AM68" s="76"/>
      <c r="AN68" s="6"/>
      <c r="AO68" s="54" t="str">
        <f t="shared" si="0"/>
        <v/>
      </c>
      <c r="AP68" s="77" t="str">
        <f t="shared" si="39"/>
        <v/>
      </c>
      <c r="AQ68" s="47"/>
      <c r="AR68" s="6" t="str">
        <f t="array" ref="AR68">_xlfn.IFNA((INDEX('DMR 001C TIN &amp; TP'!$A$3:$M$10005,MATCH(('Reg 85'!$AQ$6&amp;'Reg 85'!$AQ$10&amp;'Reg 85'!$B68),('DMR 001C TIN &amp; TP'!$E$3:$E$10005&amp;'DMR 001C TIN &amp; TP'!$B$3:$B$10005&amp;'DMR 001C TIN &amp; TP'!$A$3:$A$10005),0),MATCH('Reg 85'!$AR$11,'DMR 001C TIN &amp; TP'!$A$2:$M$2,0))),"")</f>
        <v/>
      </c>
      <c r="AS68" s="6" t="str">
        <f t="array" ref="AS68">_xlfn.IFNA((INDEX('DMR 001C TIN &amp; TP'!$A$3:$M$10005,MATCH(('Reg 85'!$AQ$6&amp;'Reg 85'!$AQ$10&amp;'Reg 85'!$B68),('DMR 001C TIN &amp; TP'!$E$3:$E$10005&amp;'DMR 001C TIN &amp; TP'!$B$3:$B$10005&amp;'DMR 001C TIN &amp; TP'!$A$3:$A$10005),0),MATCH('Reg 85'!$AS$11,'DMR 001C TIN &amp; TP'!$A$2:$M$2,0))),"")</f>
        <v/>
      </c>
      <c r="AT68" s="53" t="str">
        <f t="shared" si="15"/>
        <v/>
      </c>
      <c r="AV68" s="6" t="str">
        <f t="array" ref="AV68">_xlfn.IFNA((INDEX('DMR 001C TIN &amp; TP'!$A$3:$M$10005,MATCH(('Reg 85'!$AQ$6&amp;'Reg 85'!$AU$10&amp;'Reg 85'!$B68),('DMR 001C TIN &amp; TP'!$E$3:$E$10005&amp;'DMR 001C TIN &amp; TP'!$B$3:$B$10005&amp;'DMR 001C TIN &amp; TP'!$A$3:$A$10005),0),MATCH('Reg 85'!$AV$11,'DMR 001C TIN &amp; TP'!$A$2:$M$2,0))),"")</f>
        <v/>
      </c>
      <c r="AW68" s="6" t="str">
        <f t="array" ref="AW68">_xlfn.IFNA((INDEX('DMR 001C TIN &amp; TP'!$A$3:$M$10005,MATCH(('Reg 85'!$AQ$6&amp;'Reg 85'!$AU$10&amp;'Reg 85'!$B68),('DMR 001C TIN &amp; TP'!$E$3:$E$10005&amp;'DMR 001C TIN &amp; TP'!$B$3:$B$10005&amp;'DMR 001C TIN &amp; TP'!$A$3:$A$10005),0),MATCH('Reg 85'!$AW$11,'DMR 001C TIN &amp; TP'!$A$2:$M$2,0))),"")</f>
        <v/>
      </c>
      <c r="AX68" s="53" t="str">
        <f t="shared" si="16"/>
        <v/>
      </c>
      <c r="AY68" s="55" t="str">
        <f t="shared" si="17"/>
        <v/>
      </c>
      <c r="AZ68" s="77" t="str">
        <f t="shared" si="37"/>
        <v/>
      </c>
      <c r="BA68" s="6" t="str">
        <f t="array" ref="BA68">_xlfn.IFNA((INDEX('DMR 001C TIN &amp; TP'!$A$3:$M$10005,MATCH(('Reg 85'!$AQ$6&amp;'Reg 85'!BA$10&amp;'Reg 85'!$B68),('DMR 001C TIN &amp; TP'!$E$3:$E$10005&amp;'DMR 001C TIN &amp; TP'!$B$3:$B$10005&amp;'DMR 001C TIN &amp; TP'!$A$3:$A$10005),0),MATCH('Reg 85'!$AG$11,'DMR 001C TIN &amp; TP'!$A$2:$M$2,0))),"")</f>
        <v/>
      </c>
      <c r="BB68" s="6" t="str">
        <f t="array" ref="BB68">_xlfn.IFNA((INDEX('DMR 001C TIN &amp; TP'!$A$3:$M$10005,MATCH(('Reg 85'!$AQ$6&amp;'Reg 85'!BB$10&amp;'Reg 85'!$B68),('DMR 001C TIN &amp; TP'!$E$3:$E$10005&amp;'DMR 001C TIN &amp; TP'!$B$3:$B$10005&amp;'DMR 001C TIN &amp; TP'!$A$3:$A$10005),0),MATCH('Reg 85'!$AG$11,'DMR 001C TIN &amp; TP'!$A$2:$M$2,0))),"")</f>
        <v/>
      </c>
      <c r="BC68" s="6" t="str">
        <f t="array" ref="BC68">_xlfn.IFNA((INDEX('DMR 001C TIN &amp; TP'!$A$3:$M$10005,MATCH(('Reg 85'!$AQ$6&amp;'Reg 85'!BC$10&amp;'Reg 85'!$B68),('DMR 001C TIN &amp; TP'!$E$3:$E$10005&amp;'DMR 001C TIN &amp; TP'!$B$3:$B$10005&amp;'DMR 001C TIN &amp; TP'!$A$3:$A$10005),0),MATCH('Reg 85'!$AG$11,'DMR 001C TIN &amp; TP'!$A$2:$M$2,0))),"")</f>
        <v/>
      </c>
      <c r="BD68" s="6" t="str">
        <f t="array" ref="BD68">_xlfn.IFNA((INDEX('DMR 001C TIN &amp; TP'!$A$3:$M$10005,MATCH(('Reg 85'!$AQ$6&amp;'Reg 85'!BD$10&amp;'Reg 85'!$B68),('DMR 001C TIN &amp; TP'!$E$3:$E$10005&amp;'DMR 001C TIN &amp; TP'!$B$3:$B$10005&amp;'DMR 001C TIN &amp; TP'!$A$3:$A$10005),0),MATCH('Reg 85'!$AG$11,'DMR 001C TIN &amp; TP'!$A$2:$M$2,0))),"")</f>
        <v/>
      </c>
      <c r="BE68" s="6" t="str">
        <f t="array" ref="BE68">_xlfn.IFNA((INDEX('DMR 001C TIN &amp; TP'!$A$3:$M$10005,MATCH(('Reg 85'!$AQ$6&amp;'Reg 85'!BE$10&amp;'Reg 85'!$B68),('DMR 001C TIN &amp; TP'!$E$3:$E$10005&amp;'DMR 001C TIN &amp; TP'!$B$3:$B$10005&amp;'DMR 001C TIN &amp; TP'!$A$3:$A$10005),0),MATCH('Reg 85'!$AG$11,'DMR 001C TIN &amp; TP'!$A$2:$M$2,0))),"")</f>
        <v/>
      </c>
      <c r="BF68" s="6" t="str">
        <f t="array" ref="BF68">_xlfn.IFNA((INDEX('DMR 001C TIN &amp; TP'!$A$3:$M$10005,MATCH(('Reg 85'!$AQ$6&amp;'Reg 85'!BF$10&amp;'Reg 85'!$B68),('DMR 001C TIN &amp; TP'!$E$3:$E$10005&amp;'DMR 001C TIN &amp; TP'!$B$3:$B$10005&amp;'DMR 001C TIN &amp; TP'!$A$3:$A$10005),0),MATCH('Reg 85'!$AG$11,'DMR 001C TIN &amp; TP'!$A$2:$M$2,0))),"")</f>
        <v/>
      </c>
    </row>
    <row r="69" spans="1:58">
      <c r="A69" s="3" t="str">
        <f t="shared" si="2"/>
        <v>Sun</v>
      </c>
      <c r="B69" s="96">
        <f t="shared" si="19"/>
        <v>43401</v>
      </c>
      <c r="C69" s="96">
        <f t="shared" si="3"/>
        <v>43404</v>
      </c>
      <c r="D69" s="96">
        <f t="shared" si="4"/>
        <v>43374</v>
      </c>
      <c r="E69" s="95">
        <f t="shared" si="5"/>
        <v>31</v>
      </c>
      <c r="F69" s="7">
        <f t="array" ref="F69">_xlfn.IFNA(INDEX('DMR Flows-Effluent'!$A$3:$F$9999,MATCH(($F$10&amp;$B69),('DMR Flows-Effluent'!$B$3:$B$9999&amp;'DMR Flows-Effluent'!$A$3:$A$9999),0),MATCH($F$8,'DMR Flows-Effluent'!$A$2:$F$2,0)),"")</f>
        <v>46.322699999999998</v>
      </c>
      <c r="G69" s="7">
        <f t="array" ref="G69">_xlfn.IFNA(INDEX('DMR Flows-Effluent'!$A$3:$F$9999,MATCH(($G$10&amp;$B69),('DMR Flows-Effluent'!$B$3:$B$9999&amp;'DMR Flows-Effluent'!$A$3:$A$9999),0),MATCH($F$8,'DMR Flows-Effluent'!$A$2:$F$2,0)),"")</f>
        <v>69.920199999999994</v>
      </c>
      <c r="H69" s="7">
        <f t="shared" si="6"/>
        <v>116.24289999999999</v>
      </c>
      <c r="I69" s="45" t="str">
        <f t="shared" si="7"/>
        <v/>
      </c>
      <c r="J69" s="6" t="str">
        <f t="array" ref="J69">_xlfn.IFNA((INDEX('DMR 001C TIN &amp; TP'!$A$3:$M$10005,MATCH(('Reg 85'!$I$6:$Q$6&amp;'Reg 85'!$I$10:$K$10&amp;'Reg 85'!$B69),('DMR 001C TIN &amp; TP'!$E$3:$E$10005&amp;'DMR 001C TIN &amp; TP'!$B$3:$B$10005&amp;'DMR 001C TIN &amp; TP'!$A$3:$A$10005),0),MATCH('Reg 85'!$J$11,'DMR 001C TIN &amp; TP'!$A$2:$M$2,0))),"")</f>
        <v/>
      </c>
      <c r="K69" s="6" t="str">
        <f t="array" ref="K69">_xlfn.IFNA((INDEX('DMR 001C TIN &amp; TP'!$A$3:$M$10005,MATCH(('Reg 85'!$I$6:$Q$6&amp;'Reg 85'!$I$10:$K$10&amp;'Reg 85'!$B69),('DMR 001C TIN &amp; TP'!$E$3:$E$10005&amp;'DMR 001C TIN &amp; TP'!$B$3:$B$10005&amp;'DMR 001C TIN &amp; TP'!$A$3:$A$10005),0),MATCH('Reg 85'!$K$11,'DMR 001C TIN &amp; TP'!$A$2:$M$2,0))),"")</f>
        <v/>
      </c>
      <c r="L69" s="53" t="str">
        <f t="shared" si="21"/>
        <v/>
      </c>
      <c r="M69" s="5" t="str">
        <f t="shared" si="8"/>
        <v/>
      </c>
      <c r="N69" s="6" t="str">
        <f t="array" ref="N69">_xlfn.IFNA((INDEX('DMR 001C TIN &amp; TP'!$A$3:$M$10005,MATCH(('Reg 85'!$I$6:$Q$6&amp;'Reg 85'!$M$10&amp;'Reg 85'!$B69),('DMR 001C TIN &amp; TP'!$E$3:$E$10005&amp;'DMR 001C TIN &amp; TP'!$B$3:$B$10005&amp;'DMR 001C TIN &amp; TP'!$A$3:$A$10005),0),MATCH('Reg 85'!$N$11,'DMR 001C TIN &amp; TP'!$A$2:$M$2,0))),"")</f>
        <v/>
      </c>
      <c r="O69" s="6" t="str">
        <f t="array" ref="O69">_xlfn.IFNA((INDEX('DMR 001C TIN &amp; TP'!$A$3:$M$10005,MATCH(('Reg 85'!$I$6:$Q$6&amp;'Reg 85'!$M$10&amp;'Reg 85'!$B69),('DMR 001C TIN &amp; TP'!$E$3:$E$10005&amp;'DMR 001C TIN &amp; TP'!$B$3:$B$10005&amp;'DMR 001C TIN &amp; TP'!$A$3:$A$10005),0),MATCH('Reg 85'!$O$11,'DMR 001C TIN &amp; TP'!$A$2:$M$2,0))),"")</f>
        <v/>
      </c>
      <c r="P69" s="53" t="str">
        <f t="shared" si="9"/>
        <v/>
      </c>
      <c r="Q69" s="73" t="str">
        <f t="array" ref="Q69">IFERROR(((L69*$F69)+(P69*$G69))/($H69),"")</f>
        <v/>
      </c>
      <c r="R69" s="6" t="str">
        <f t="array" ref="R69">_xlfn.IFNA((INDEX('DMR 001C TIN &amp; TP'!$A$3:$M$10005,MATCH(('Reg 85'!$I$6:$Q$6&amp;'Reg 85'!R$10&amp;'Reg 85'!$B69),('DMR 001C TIN &amp; TP'!$E$3:$E$10005&amp;'DMR 001C TIN &amp; TP'!$B$3:$B$10005&amp;'DMR 001C TIN &amp; TP'!$A$3:$A$10005),0),MATCH('Reg 85'!$O$11,'DMR 001C TIN &amp; TP'!$A$2:$M$2,0))),"")</f>
        <v/>
      </c>
      <c r="S69" s="6" t="str">
        <f t="array" ref="S69">_xlfn.IFNA((INDEX('DMR 001C TIN &amp; TP'!$A$3:$M$10005,MATCH(('Reg 85'!$I$6:$Q$6&amp;'Reg 85'!S$10&amp;'Reg 85'!$B69),('DMR 001C TIN &amp; TP'!$E$3:$E$10005&amp;'DMR 001C TIN &amp; TP'!$B$3:$B$10005&amp;'DMR 001C TIN &amp; TP'!$A$3:$A$10005),0),MATCH('Reg 85'!$O$11,'DMR 001C TIN &amp; TP'!$A$2:$M$2,0))),"")</f>
        <v/>
      </c>
      <c r="T69" s="6" t="str">
        <f t="array" ref="T69">_xlfn.IFNA((INDEX('DMR 001C TIN &amp; TP'!$A$3:$M$10005,MATCH(('Reg 85'!$I$6:$Q$6&amp;'Reg 85'!T$10&amp;'Reg 85'!$B69),('DMR 001C TIN &amp; TP'!$E$3:$E$10005&amp;'DMR 001C TIN &amp; TP'!$B$3:$B$10005&amp;'DMR 001C TIN &amp; TP'!$A$3:$A$10005),0),MATCH('Reg 85'!$O$11,'DMR 001C TIN &amp; TP'!$A$2:$M$2,0))),"")</f>
        <v/>
      </c>
      <c r="U69" s="6" t="str">
        <f t="array" ref="U69">_xlfn.IFNA((INDEX('DMR 001C TIN &amp; TP'!$A$3:$M$10005,MATCH(('Reg 85'!$I$6:$Q$6&amp;'Reg 85'!U$10&amp;'Reg 85'!$B69),('DMR 001C TIN &amp; TP'!$E$3:$E$10005&amp;'DMR 001C TIN &amp; TP'!$B$3:$B$10005&amp;'DMR 001C TIN &amp; TP'!$A$3:$A$10005),0),MATCH('Reg 85'!$O$11,'DMR 001C TIN &amp; TP'!$A$2:$M$2,0))),"")</f>
        <v/>
      </c>
      <c r="V69" s="6" t="str">
        <f t="array" ref="V69">_xlfn.IFNA((INDEX('DMR 001C TIN &amp; TP'!$A$3:$M$10005,MATCH(('Reg 85'!$I$6:$Q$6&amp;'Reg 85'!V$10&amp;'Reg 85'!$B69),('DMR 001C TIN &amp; TP'!$E$3:$E$10005&amp;'DMR 001C TIN &amp; TP'!$B$3:$B$10005&amp;'DMR 001C TIN &amp; TP'!$A$3:$A$10005),0),MATCH('Reg 85'!$O$11,'DMR 001C TIN &amp; TP'!$A$2:$M$2,0))),"")</f>
        <v/>
      </c>
      <c r="W69" s="6" t="str">
        <f t="array" ref="W69">_xlfn.IFNA((INDEX('DMR 001C TIN &amp; TP'!$A$3:$M$10005,MATCH(('Reg 85'!$I$6:$Q$6&amp;'Reg 85'!W$10&amp;'Reg 85'!$B69),('DMR 001C TIN &amp; TP'!$E$3:$E$10005&amp;'DMR 001C TIN &amp; TP'!$B$3:$B$10005&amp;'DMR 001C TIN &amp; TP'!$A$3:$A$10005),0),MATCH('Reg 85'!$O$11,'DMR 001C TIN &amp; TP'!$A$2:$M$2,0))),"")</f>
        <v/>
      </c>
      <c r="X69" s="5" t="str">
        <f t="shared" si="10"/>
        <v/>
      </c>
      <c r="Y69" s="6" t="str">
        <f t="array" ref="Y69">_xlfn.IFNA((INDEX('DMR 001C TIN &amp; TP'!$A$3:$M$10005,MATCH(('Reg 85'!$X$6&amp;'Reg 85'!$X$10&amp;'Reg 85'!$B69),('DMR 001C TIN &amp; TP'!$E$3:$E$10005&amp;'DMR 001C TIN &amp; TP'!$B$3:$B$10005&amp;'DMR 001C TIN &amp; TP'!$A$3:$A$10005),0),MATCH('Reg 85'!$Y$11,'DMR 001C TIN &amp; TP'!$A$2:$M$2,0))),"")</f>
        <v/>
      </c>
      <c r="Z69" s="6" t="str">
        <f t="array" ref="Z69">_xlfn.IFNA((INDEX('DMR 001C TIN &amp; TP'!$A$3:$M$10005,MATCH(('Reg 85'!$X$6&amp;'Reg 85'!$X$10&amp;'Reg 85'!$B69),('DMR 001C TIN &amp; TP'!$E$3:$E$10005&amp;'DMR 001C TIN &amp; TP'!$B$3:$B$10005&amp;'DMR 001C TIN &amp; TP'!$A$3:$A$10005),0),MATCH('Reg 85'!$Z$11,'DMR 001C TIN &amp; TP'!$A$2:$M$2,0))),"")</f>
        <v/>
      </c>
      <c r="AA69" s="53" t="str">
        <f t="shared" si="11"/>
        <v/>
      </c>
      <c r="AB69" s="5" t="str">
        <f t="shared" si="12"/>
        <v/>
      </c>
      <c r="AC69" s="6" t="str">
        <f t="array" ref="AC69">_xlfn.IFNA((INDEX('DMR 001C TIN &amp; TP'!$A$3:$M$10005,MATCH(('Reg 85'!$X$6&amp;'Reg 85'!$AB$10&amp;'Reg 85'!$B69),('DMR 001C TIN &amp; TP'!$E$3:$E$10005&amp;'DMR 001C TIN &amp; TP'!$B$3:$B$10005&amp;'DMR 001C TIN &amp; TP'!$A$3:$A$10005),0),MATCH('Reg 85'!$AC$11,'DMR 001C TIN &amp; TP'!$A$2:$M$2,0))),"")</f>
        <v/>
      </c>
      <c r="AD69" s="6" t="str">
        <f t="array" ref="AD69">_xlfn.IFNA((INDEX('DMR 001C TIN &amp; TP'!$A$3:$M$10005,MATCH(('Reg 85'!$X$6&amp;'Reg 85'!$AB$10&amp;'Reg 85'!$B69),('DMR 001C TIN &amp; TP'!$E$3:$E$10005&amp;'DMR 001C TIN &amp; TP'!$B$3:$B$10005&amp;'DMR 001C TIN &amp; TP'!$A$3:$A$10005),0),MATCH('Reg 85'!$AD$11,'DMR 001C TIN &amp; TP'!$A$2:$M$2,0))),"")</f>
        <v/>
      </c>
      <c r="AE69" s="53" t="str">
        <f t="shared" si="13"/>
        <v/>
      </c>
      <c r="AF69" s="7" t="str">
        <f t="shared" si="14"/>
        <v/>
      </c>
      <c r="AG69" s="6" t="str">
        <f t="array" ref="AG69">_xlfn.IFNA((INDEX('DMR 001C TIN &amp; TP'!$A$3:$M$10005,MATCH(('Reg 85'!$X$6&amp;'Reg 85'!AG$10&amp;'Reg 85'!$B69),('DMR 001C TIN &amp; TP'!$E$3:$E$10005&amp;'DMR 001C TIN &amp; TP'!$B$3:$B$10005&amp;'DMR 001C TIN &amp; TP'!$A$3:$A$10005),0),MATCH('Reg 85'!$AG$11,'DMR 001C TIN &amp; TP'!$A$2:$M$2,0))),"")</f>
        <v/>
      </c>
      <c r="AH69" s="6" t="str">
        <f t="array" ref="AH69">_xlfn.IFNA((INDEX('DMR 001C TIN &amp; TP'!$A$3:$M$10005,MATCH(('Reg 85'!$X$6&amp;'Reg 85'!AH$10&amp;'Reg 85'!$B69),('DMR 001C TIN &amp; TP'!$E$3:$E$10005&amp;'DMR 001C TIN &amp; TP'!$B$3:$B$10005&amp;'DMR 001C TIN &amp; TP'!$A$3:$A$10005),0),MATCH('Reg 85'!$AG$11,'DMR 001C TIN &amp; TP'!$A$2:$M$2,0))),"")</f>
        <v/>
      </c>
      <c r="AI69" s="6" t="str">
        <f t="array" ref="AI69">_xlfn.IFNA((INDEX('DMR 001C TIN &amp; TP'!$A$3:$M$10005,MATCH(('Reg 85'!$X$6&amp;'Reg 85'!AI$10&amp;'Reg 85'!$B69),('DMR 001C TIN &amp; TP'!$E$3:$E$10005&amp;'DMR 001C TIN &amp; TP'!$B$3:$B$10005&amp;'DMR 001C TIN &amp; TP'!$A$3:$A$10005),0),MATCH('Reg 85'!$AG$11,'DMR 001C TIN &amp; TP'!$A$2:$M$2,0))),"")</f>
        <v/>
      </c>
      <c r="AJ69" s="6" t="str">
        <f t="array" ref="AJ69">_xlfn.IFNA((INDEX('DMR 001C TIN &amp; TP'!$A$3:$M$10005,MATCH(('Reg 85'!$X$6&amp;'Reg 85'!AJ$10&amp;'Reg 85'!$B69),('DMR 001C TIN &amp; TP'!$E$3:$E$10005&amp;'DMR 001C TIN &amp; TP'!$B$3:$B$10005&amp;'DMR 001C TIN &amp; TP'!$A$3:$A$10005),0),MATCH('Reg 85'!$AG$11,'DMR 001C TIN &amp; TP'!$A$2:$M$2,0))),"")</f>
        <v/>
      </c>
      <c r="AK69" s="6" t="str">
        <f t="array" ref="AK69">_xlfn.IFNA((INDEX('DMR 001C TIN &amp; TP'!$A$3:$M$10005,MATCH(('Reg 85'!$X$6&amp;'Reg 85'!AK$10&amp;'Reg 85'!$B69),('DMR 001C TIN &amp; TP'!$E$3:$E$10005&amp;'DMR 001C TIN &amp; TP'!$B$3:$B$10005&amp;'DMR 001C TIN &amp; TP'!$A$3:$A$10005),0),MATCH('Reg 85'!$AG$11,'DMR 001C TIN &amp; TP'!$A$2:$M$2,0))),"")</f>
        <v/>
      </c>
      <c r="AL69" s="6" t="str">
        <f t="array" ref="AL69">_xlfn.IFNA((INDEX('DMR 001C TIN &amp; TP'!$A$3:$M$10005,MATCH(('Reg 85'!$X$6&amp;'Reg 85'!AL$10&amp;'Reg 85'!$B69),('DMR 001C TIN &amp; TP'!$E$3:$E$10005&amp;'DMR 001C TIN &amp; TP'!$B$3:$B$10005&amp;'DMR 001C TIN &amp; TP'!$A$3:$A$10005),0),MATCH('Reg 85'!$AG$11,'DMR 001C TIN &amp; TP'!$A$2:$M$2,0))),"")</f>
        <v/>
      </c>
      <c r="AM69" s="76"/>
      <c r="AN69" s="6"/>
      <c r="AO69" s="54" t="str">
        <f t="shared" si="0"/>
        <v/>
      </c>
      <c r="AP69" s="77" t="str">
        <f t="shared" si="39"/>
        <v/>
      </c>
      <c r="AQ69" s="47"/>
      <c r="AR69" s="6" t="str">
        <f t="array" ref="AR69">_xlfn.IFNA((INDEX('DMR 001C TIN &amp; TP'!$A$3:$M$10005,MATCH(('Reg 85'!$AQ$6&amp;'Reg 85'!$AQ$10&amp;'Reg 85'!$B69),('DMR 001C TIN &amp; TP'!$E$3:$E$10005&amp;'DMR 001C TIN &amp; TP'!$B$3:$B$10005&amp;'DMR 001C TIN &amp; TP'!$A$3:$A$10005),0),MATCH('Reg 85'!$AR$11,'DMR 001C TIN &amp; TP'!$A$2:$M$2,0))),"")</f>
        <v>0.03</v>
      </c>
      <c r="AS69" s="6">
        <f t="array" ref="AS69">_xlfn.IFNA((INDEX('DMR 001C TIN &amp; TP'!$A$3:$M$10005,MATCH(('Reg 85'!$AQ$6&amp;'Reg 85'!$AQ$10&amp;'Reg 85'!$B69),('DMR 001C TIN &amp; TP'!$E$3:$E$10005&amp;'DMR 001C TIN &amp; TP'!$B$3:$B$10005&amp;'DMR 001C TIN &amp; TP'!$A$3:$A$10005),0),MATCH('Reg 85'!$AS$11,'DMR 001C TIN &amp; TP'!$A$2:$M$2,0))),"")</f>
        <v>0.31</v>
      </c>
      <c r="AT69" s="53">
        <f t="shared" si="15"/>
        <v>0.31</v>
      </c>
      <c r="AV69" s="6" t="str">
        <f t="array" ref="AV69">_xlfn.IFNA((INDEX('DMR 001C TIN &amp; TP'!$A$3:$M$10005,MATCH(('Reg 85'!$AQ$6&amp;'Reg 85'!$AU$10&amp;'Reg 85'!$B69),('DMR 001C TIN &amp; TP'!$E$3:$E$10005&amp;'DMR 001C TIN &amp; TP'!$B$3:$B$10005&amp;'DMR 001C TIN &amp; TP'!$A$3:$A$10005),0),MATCH('Reg 85'!$AV$11,'DMR 001C TIN &amp; TP'!$A$2:$M$2,0))),"")</f>
        <v>0.03</v>
      </c>
      <c r="AW69" s="6">
        <f t="array" ref="AW69">_xlfn.IFNA((INDEX('DMR 001C TIN &amp; TP'!$A$3:$M$10005,MATCH(('Reg 85'!$AQ$6&amp;'Reg 85'!$AU$10&amp;'Reg 85'!$B69),('DMR 001C TIN &amp; TP'!$E$3:$E$10005&amp;'DMR 001C TIN &amp; TP'!$B$3:$B$10005&amp;'DMR 001C TIN &amp; TP'!$A$3:$A$10005),0),MATCH('Reg 85'!$AW$11,'DMR 001C TIN &amp; TP'!$A$2:$M$2,0))),"")</f>
        <v>0.86</v>
      </c>
      <c r="AX69" s="53">
        <f t="shared" si="16"/>
        <v>0.86</v>
      </c>
      <c r="AY69" s="55">
        <f t="shared" si="17"/>
        <v>0.6408254525652749</v>
      </c>
      <c r="AZ69" s="77" t="str">
        <f t="shared" si="37"/>
        <v/>
      </c>
      <c r="BA69" s="6" t="str">
        <f t="array" ref="BA69">_xlfn.IFNA((INDEX('DMR 001C TIN &amp; TP'!$A$3:$M$10005,MATCH(('Reg 85'!$AQ$6&amp;'Reg 85'!BA$10&amp;'Reg 85'!$B69),('DMR 001C TIN &amp; TP'!$E$3:$E$10005&amp;'DMR 001C TIN &amp; TP'!$B$3:$B$10005&amp;'DMR 001C TIN &amp; TP'!$A$3:$A$10005),0),MATCH('Reg 85'!$AG$11,'DMR 001C TIN &amp; TP'!$A$2:$M$2,0))),"")</f>
        <v/>
      </c>
      <c r="BB69" s="6" t="str">
        <f t="array" ref="BB69">_xlfn.IFNA((INDEX('DMR 001C TIN &amp; TP'!$A$3:$M$10005,MATCH(('Reg 85'!$AQ$6&amp;'Reg 85'!BB$10&amp;'Reg 85'!$B69),('DMR 001C TIN &amp; TP'!$E$3:$E$10005&amp;'DMR 001C TIN &amp; TP'!$B$3:$B$10005&amp;'DMR 001C TIN &amp; TP'!$A$3:$A$10005),0),MATCH('Reg 85'!$AG$11,'DMR 001C TIN &amp; TP'!$A$2:$M$2,0))),"")</f>
        <v/>
      </c>
      <c r="BC69" s="6" t="str">
        <f t="array" ref="BC69">_xlfn.IFNA((INDEX('DMR 001C TIN &amp; TP'!$A$3:$M$10005,MATCH(('Reg 85'!$AQ$6&amp;'Reg 85'!BC$10&amp;'Reg 85'!$B69),('DMR 001C TIN &amp; TP'!$E$3:$E$10005&amp;'DMR 001C TIN &amp; TP'!$B$3:$B$10005&amp;'DMR 001C TIN &amp; TP'!$A$3:$A$10005),0),MATCH('Reg 85'!$AG$11,'DMR 001C TIN &amp; TP'!$A$2:$M$2,0))),"")</f>
        <v/>
      </c>
      <c r="BD69" s="6" t="str">
        <f t="array" ref="BD69">_xlfn.IFNA((INDEX('DMR 001C TIN &amp; TP'!$A$3:$M$10005,MATCH(('Reg 85'!$AQ$6&amp;'Reg 85'!BD$10&amp;'Reg 85'!$B69),('DMR 001C TIN &amp; TP'!$E$3:$E$10005&amp;'DMR 001C TIN &amp; TP'!$B$3:$B$10005&amp;'DMR 001C TIN &amp; TP'!$A$3:$A$10005),0),MATCH('Reg 85'!$AG$11,'DMR 001C TIN &amp; TP'!$A$2:$M$2,0))),"")</f>
        <v/>
      </c>
      <c r="BE69" s="6" t="str">
        <f t="array" ref="BE69">_xlfn.IFNA((INDEX('DMR 001C TIN &amp; TP'!$A$3:$M$10005,MATCH(('Reg 85'!$AQ$6&amp;'Reg 85'!BE$10&amp;'Reg 85'!$B69),('DMR 001C TIN &amp; TP'!$E$3:$E$10005&amp;'DMR 001C TIN &amp; TP'!$B$3:$B$10005&amp;'DMR 001C TIN &amp; TP'!$A$3:$A$10005),0),MATCH('Reg 85'!$AG$11,'DMR 001C TIN &amp; TP'!$A$2:$M$2,0))),"")</f>
        <v/>
      </c>
      <c r="BF69" s="6" t="str">
        <f t="array" ref="BF69">_xlfn.IFNA((INDEX('DMR 001C TIN &amp; TP'!$A$3:$M$10005,MATCH(('Reg 85'!$AQ$6&amp;'Reg 85'!BF$10&amp;'Reg 85'!$B69),('DMR 001C TIN &amp; TP'!$E$3:$E$10005&amp;'DMR 001C TIN &amp; TP'!$B$3:$B$10005&amp;'DMR 001C TIN &amp; TP'!$A$3:$A$10005),0),MATCH('Reg 85'!$AG$11,'DMR 001C TIN &amp; TP'!$A$2:$M$2,0))),"")</f>
        <v/>
      </c>
    </row>
    <row r="70" spans="1:58">
      <c r="A70" s="3" t="str">
        <f t="shared" si="2"/>
        <v>Mon</v>
      </c>
      <c r="B70" s="96">
        <f t="shared" si="19"/>
        <v>43402</v>
      </c>
      <c r="C70" s="96">
        <f t="shared" si="3"/>
        <v>43404</v>
      </c>
      <c r="D70" s="96">
        <f t="shared" si="4"/>
        <v>43374</v>
      </c>
      <c r="E70" s="95">
        <f t="shared" si="5"/>
        <v>31</v>
      </c>
      <c r="F70" s="7">
        <f t="array" ref="F70">_xlfn.IFNA(INDEX('DMR Flows-Effluent'!$A$3:$F$9999,MATCH(($F$10&amp;$B70),('DMR Flows-Effluent'!$B$3:$B$9999&amp;'DMR Flows-Effluent'!$A$3:$A$9999),0),MATCH($F$8,'DMR Flows-Effluent'!$A$2:$F$2,0)),"")</f>
        <v>45.790100000000002</v>
      </c>
      <c r="G70" s="7">
        <f t="array" ref="G70">_xlfn.IFNA(INDEX('DMR Flows-Effluent'!$A$3:$F$9999,MATCH(($G$10&amp;$B70),('DMR Flows-Effluent'!$B$3:$B$9999&amp;'DMR Flows-Effluent'!$A$3:$A$9999),0),MATCH($F$8,'DMR Flows-Effluent'!$A$2:$F$2,0)),"")</f>
        <v>70.314899999999994</v>
      </c>
      <c r="H70" s="7">
        <f t="shared" si="6"/>
        <v>116.10499999999999</v>
      </c>
      <c r="I70" s="45" t="str">
        <f t="shared" si="7"/>
        <v/>
      </c>
      <c r="J70" s="6" t="str">
        <f t="array" ref="J70">_xlfn.IFNA((INDEX('DMR 001C TIN &amp; TP'!$A$3:$M$10005,MATCH(('Reg 85'!$I$6:$Q$6&amp;'Reg 85'!$I$10:$K$10&amp;'Reg 85'!$B70),('DMR 001C TIN &amp; TP'!$E$3:$E$10005&amp;'DMR 001C TIN &amp; TP'!$B$3:$B$10005&amp;'DMR 001C TIN &amp; TP'!$A$3:$A$10005),0),MATCH('Reg 85'!$J$11,'DMR 001C TIN &amp; TP'!$A$2:$M$2,0))),"")</f>
        <v>0.15</v>
      </c>
      <c r="K70" s="6">
        <f t="array" ref="K70">_xlfn.IFNA((INDEX('DMR 001C TIN &amp; TP'!$A$3:$M$10005,MATCH(('Reg 85'!$I$6:$Q$6&amp;'Reg 85'!$I$10:$K$10&amp;'Reg 85'!$B70),('DMR 001C TIN &amp; TP'!$E$3:$E$10005&amp;'DMR 001C TIN &amp; TP'!$B$3:$B$10005&amp;'DMR 001C TIN &amp; TP'!$A$3:$A$10005),0),MATCH('Reg 85'!$K$11,'DMR 001C TIN &amp; TP'!$A$2:$M$2,0))),"")</f>
        <v>0.24</v>
      </c>
      <c r="L70" s="53">
        <f t="shared" si="21"/>
        <v>0.24</v>
      </c>
      <c r="M70" s="5" t="str">
        <f t="shared" si="8"/>
        <v/>
      </c>
      <c r="N70" s="6" t="str">
        <f t="array" ref="N70">_xlfn.IFNA((INDEX('DMR 001C TIN &amp; TP'!$A$3:$M$10005,MATCH(('Reg 85'!$I$6:$Q$6&amp;'Reg 85'!$M$10&amp;'Reg 85'!$B70),('DMR 001C TIN &amp; TP'!$E$3:$E$10005&amp;'DMR 001C TIN &amp; TP'!$B$3:$B$10005&amp;'DMR 001C TIN &amp; TP'!$A$3:$A$10005),0),MATCH('Reg 85'!$N$11,'DMR 001C TIN &amp; TP'!$A$2:$M$2,0))),"")</f>
        <v>0.15</v>
      </c>
      <c r="O70" s="6">
        <f t="array" ref="O70">_xlfn.IFNA((INDEX('DMR 001C TIN &amp; TP'!$A$3:$M$10005,MATCH(('Reg 85'!$I$6:$Q$6&amp;'Reg 85'!$M$10&amp;'Reg 85'!$B70),('DMR 001C TIN &amp; TP'!$E$3:$E$10005&amp;'DMR 001C TIN &amp; TP'!$B$3:$B$10005&amp;'DMR 001C TIN &amp; TP'!$A$3:$A$10005),0),MATCH('Reg 85'!$O$11,'DMR 001C TIN &amp; TP'!$A$2:$M$2,0))),"")</f>
        <v>1.75</v>
      </c>
      <c r="P70" s="53">
        <f t="shared" si="9"/>
        <v>1.75</v>
      </c>
      <c r="Q70" s="73">
        <f t="array" ref="Q70">IFERROR(((L70*$F70)+(P70*$G70))/($H70),"")</f>
        <v>1.1544782653632488</v>
      </c>
      <c r="R70" s="6" t="str">
        <f t="array" ref="R70">_xlfn.IFNA((INDEX('DMR 001C TIN &amp; TP'!$A$3:$M$10005,MATCH(('Reg 85'!$I$6:$Q$6&amp;'Reg 85'!R$10&amp;'Reg 85'!$B70),('DMR 001C TIN &amp; TP'!$E$3:$E$10005&amp;'DMR 001C TIN &amp; TP'!$B$3:$B$10005&amp;'DMR 001C TIN &amp; TP'!$A$3:$A$10005),0),MATCH('Reg 85'!$O$11,'DMR 001C TIN &amp; TP'!$A$2:$M$2,0))),"")</f>
        <v/>
      </c>
      <c r="S70" s="6" t="str">
        <f t="array" ref="S70">_xlfn.IFNA((INDEX('DMR 001C TIN &amp; TP'!$A$3:$M$10005,MATCH(('Reg 85'!$I$6:$Q$6&amp;'Reg 85'!S$10&amp;'Reg 85'!$B70),('DMR 001C TIN &amp; TP'!$E$3:$E$10005&amp;'DMR 001C TIN &amp; TP'!$B$3:$B$10005&amp;'DMR 001C TIN &amp; TP'!$A$3:$A$10005),0),MATCH('Reg 85'!$O$11,'DMR 001C TIN &amp; TP'!$A$2:$M$2,0))),"")</f>
        <v/>
      </c>
      <c r="T70" s="6" t="str">
        <f t="array" ref="T70">_xlfn.IFNA((INDEX('DMR 001C TIN &amp; TP'!$A$3:$M$10005,MATCH(('Reg 85'!$I$6:$Q$6&amp;'Reg 85'!T$10&amp;'Reg 85'!$B70),('DMR 001C TIN &amp; TP'!$E$3:$E$10005&amp;'DMR 001C TIN &amp; TP'!$B$3:$B$10005&amp;'DMR 001C TIN &amp; TP'!$A$3:$A$10005),0),MATCH('Reg 85'!$O$11,'DMR 001C TIN &amp; TP'!$A$2:$M$2,0))),"")</f>
        <v/>
      </c>
      <c r="U70" s="6" t="str">
        <f t="array" ref="U70">_xlfn.IFNA((INDEX('DMR 001C TIN &amp; TP'!$A$3:$M$10005,MATCH(('Reg 85'!$I$6:$Q$6&amp;'Reg 85'!U$10&amp;'Reg 85'!$B70),('DMR 001C TIN &amp; TP'!$E$3:$E$10005&amp;'DMR 001C TIN &amp; TP'!$B$3:$B$10005&amp;'DMR 001C TIN &amp; TP'!$A$3:$A$10005),0),MATCH('Reg 85'!$O$11,'DMR 001C TIN &amp; TP'!$A$2:$M$2,0))),"")</f>
        <v/>
      </c>
      <c r="V70" s="6" t="str">
        <f t="array" ref="V70">_xlfn.IFNA((INDEX('DMR 001C TIN &amp; TP'!$A$3:$M$10005,MATCH(('Reg 85'!$I$6:$Q$6&amp;'Reg 85'!V$10&amp;'Reg 85'!$B70),('DMR 001C TIN &amp; TP'!$E$3:$E$10005&amp;'DMR 001C TIN &amp; TP'!$B$3:$B$10005&amp;'DMR 001C TIN &amp; TP'!$A$3:$A$10005),0),MATCH('Reg 85'!$O$11,'DMR 001C TIN &amp; TP'!$A$2:$M$2,0))),"")</f>
        <v/>
      </c>
      <c r="W70" s="6" t="str">
        <f t="array" ref="W70">_xlfn.IFNA((INDEX('DMR 001C TIN &amp; TP'!$A$3:$M$10005,MATCH(('Reg 85'!$I$6:$Q$6&amp;'Reg 85'!W$10&amp;'Reg 85'!$B70),('DMR 001C TIN &amp; TP'!$E$3:$E$10005&amp;'DMR 001C TIN &amp; TP'!$B$3:$B$10005&amp;'DMR 001C TIN &amp; TP'!$A$3:$A$10005),0),MATCH('Reg 85'!$O$11,'DMR 001C TIN &amp; TP'!$A$2:$M$2,0))),"")</f>
        <v/>
      </c>
      <c r="X70" s="5" t="str">
        <f t="shared" si="10"/>
        <v/>
      </c>
      <c r="Y70" s="6" t="str">
        <f t="array" ref="Y70">_xlfn.IFNA((INDEX('DMR 001C TIN &amp; TP'!$A$3:$M$10005,MATCH(('Reg 85'!$X$6&amp;'Reg 85'!$X$10&amp;'Reg 85'!$B70),('DMR 001C TIN &amp; TP'!$E$3:$E$10005&amp;'DMR 001C TIN &amp; TP'!$B$3:$B$10005&amp;'DMR 001C TIN &amp; TP'!$A$3:$A$10005),0),MATCH('Reg 85'!$Y$11,'DMR 001C TIN &amp; TP'!$A$2:$M$2,0))),"")</f>
        <v>0.06</v>
      </c>
      <c r="Z70" s="6">
        <f t="array" ref="Z70">_xlfn.IFNA((INDEX('DMR 001C TIN &amp; TP'!$A$3:$M$10005,MATCH(('Reg 85'!$X$6&amp;'Reg 85'!$X$10&amp;'Reg 85'!$B70),('DMR 001C TIN &amp; TP'!$E$3:$E$10005&amp;'DMR 001C TIN &amp; TP'!$B$3:$B$10005&amp;'DMR 001C TIN &amp; TP'!$A$3:$A$10005),0),MATCH('Reg 85'!$Z$11,'DMR 001C TIN &amp; TP'!$A$2:$M$2,0))),"")</f>
        <v>5.05</v>
      </c>
      <c r="AA70" s="53">
        <f t="shared" si="11"/>
        <v>5.05</v>
      </c>
      <c r="AB70" s="5" t="str">
        <f t="shared" si="12"/>
        <v/>
      </c>
      <c r="AC70" s="6" t="str">
        <f t="array" ref="AC70">_xlfn.IFNA((INDEX('DMR 001C TIN &amp; TP'!$A$3:$M$10005,MATCH(('Reg 85'!$X$6&amp;'Reg 85'!$AB$10&amp;'Reg 85'!$B70),('DMR 001C TIN &amp; TP'!$E$3:$E$10005&amp;'DMR 001C TIN &amp; TP'!$B$3:$B$10005&amp;'DMR 001C TIN &amp; TP'!$A$3:$A$10005),0),MATCH('Reg 85'!$AC$11,'DMR 001C TIN &amp; TP'!$A$2:$M$2,0))),"")</f>
        <v>0.06</v>
      </c>
      <c r="AD70" s="6">
        <f t="array" ref="AD70">_xlfn.IFNA((INDEX('DMR 001C TIN &amp; TP'!$A$3:$M$10005,MATCH(('Reg 85'!$X$6&amp;'Reg 85'!$AB$10&amp;'Reg 85'!$B70),('DMR 001C TIN &amp; TP'!$E$3:$E$10005&amp;'DMR 001C TIN &amp; TP'!$B$3:$B$10005&amp;'DMR 001C TIN &amp; TP'!$A$3:$A$10005),0),MATCH('Reg 85'!$AD$11,'DMR 001C TIN &amp; TP'!$A$2:$M$2,0))),"")</f>
        <v>4.88</v>
      </c>
      <c r="AE70" s="53">
        <f t="shared" si="13"/>
        <v>4.88</v>
      </c>
      <c r="AF70" s="7">
        <f t="shared" si="14"/>
        <v>4.9470454933034755</v>
      </c>
      <c r="AG70" s="6" t="str">
        <f t="array" ref="AG70">_xlfn.IFNA((INDEX('DMR 001C TIN &amp; TP'!$A$3:$M$10005,MATCH(('Reg 85'!$X$6&amp;'Reg 85'!AG$10&amp;'Reg 85'!$B70),('DMR 001C TIN &amp; TP'!$E$3:$E$10005&amp;'DMR 001C TIN &amp; TP'!$B$3:$B$10005&amp;'DMR 001C TIN &amp; TP'!$A$3:$A$10005),0),MATCH('Reg 85'!$AG$11,'DMR 001C TIN &amp; TP'!$A$2:$M$2,0))),"")</f>
        <v/>
      </c>
      <c r="AH70" s="6" t="str">
        <f t="array" ref="AH70">_xlfn.IFNA((INDEX('DMR 001C TIN &amp; TP'!$A$3:$M$10005,MATCH(('Reg 85'!$X$6&amp;'Reg 85'!AH$10&amp;'Reg 85'!$B70),('DMR 001C TIN &amp; TP'!$E$3:$E$10005&amp;'DMR 001C TIN &amp; TP'!$B$3:$B$10005&amp;'DMR 001C TIN &amp; TP'!$A$3:$A$10005),0),MATCH('Reg 85'!$AG$11,'DMR 001C TIN &amp; TP'!$A$2:$M$2,0))),"")</f>
        <v/>
      </c>
      <c r="AI70" s="6" t="str">
        <f t="array" ref="AI70">_xlfn.IFNA((INDEX('DMR 001C TIN &amp; TP'!$A$3:$M$10005,MATCH(('Reg 85'!$X$6&amp;'Reg 85'!AI$10&amp;'Reg 85'!$B70),('DMR 001C TIN &amp; TP'!$E$3:$E$10005&amp;'DMR 001C TIN &amp; TP'!$B$3:$B$10005&amp;'DMR 001C TIN &amp; TP'!$A$3:$A$10005),0),MATCH('Reg 85'!$AG$11,'DMR 001C TIN &amp; TP'!$A$2:$M$2,0))),"")</f>
        <v/>
      </c>
      <c r="AJ70" s="6" t="str">
        <f t="array" ref="AJ70">_xlfn.IFNA((INDEX('DMR 001C TIN &amp; TP'!$A$3:$M$10005,MATCH(('Reg 85'!$X$6&amp;'Reg 85'!AJ$10&amp;'Reg 85'!$B70),('DMR 001C TIN &amp; TP'!$E$3:$E$10005&amp;'DMR 001C TIN &amp; TP'!$B$3:$B$10005&amp;'DMR 001C TIN &amp; TP'!$A$3:$A$10005),0),MATCH('Reg 85'!$AG$11,'DMR 001C TIN &amp; TP'!$A$2:$M$2,0))),"")</f>
        <v/>
      </c>
      <c r="AK70" s="6" t="str">
        <f t="array" ref="AK70">_xlfn.IFNA((INDEX('DMR 001C TIN &amp; TP'!$A$3:$M$10005,MATCH(('Reg 85'!$X$6&amp;'Reg 85'!AK$10&amp;'Reg 85'!$B70),('DMR 001C TIN &amp; TP'!$E$3:$E$10005&amp;'DMR 001C TIN &amp; TP'!$B$3:$B$10005&amp;'DMR 001C TIN &amp; TP'!$A$3:$A$10005),0),MATCH('Reg 85'!$AG$11,'DMR 001C TIN &amp; TP'!$A$2:$M$2,0))),"")</f>
        <v/>
      </c>
      <c r="AL70" s="6" t="str">
        <f t="array" ref="AL70">_xlfn.IFNA((INDEX('DMR 001C TIN &amp; TP'!$A$3:$M$10005,MATCH(('Reg 85'!$X$6&amp;'Reg 85'!AL$10&amp;'Reg 85'!$B70),('DMR 001C TIN &amp; TP'!$E$3:$E$10005&amp;'DMR 001C TIN &amp; TP'!$B$3:$B$10005&amp;'DMR 001C TIN &amp; TP'!$A$3:$A$10005),0),MATCH('Reg 85'!$AG$11,'DMR 001C TIN &amp; TP'!$A$2:$M$2,0))),"")</f>
        <v/>
      </c>
      <c r="AM70" s="76"/>
      <c r="AN70" s="6"/>
      <c r="AO70" s="54">
        <f t="shared" si="0"/>
        <v>6.1015237586667244</v>
      </c>
      <c r="AP70" s="77" t="str">
        <f t="shared" si="39"/>
        <v/>
      </c>
      <c r="AQ70" s="47"/>
      <c r="AR70" s="6" t="str">
        <f t="array" ref="AR70">_xlfn.IFNA((INDEX('DMR 001C TIN &amp; TP'!$A$3:$M$10005,MATCH(('Reg 85'!$AQ$6&amp;'Reg 85'!$AQ$10&amp;'Reg 85'!$B70),('DMR 001C TIN &amp; TP'!$E$3:$E$10005&amp;'DMR 001C TIN &amp; TP'!$B$3:$B$10005&amp;'DMR 001C TIN &amp; TP'!$A$3:$A$10005),0),MATCH('Reg 85'!$AR$11,'DMR 001C TIN &amp; TP'!$A$2:$M$2,0))),"")</f>
        <v/>
      </c>
      <c r="AS70" s="6" t="str">
        <f t="array" ref="AS70">_xlfn.IFNA((INDEX('DMR 001C TIN &amp; TP'!$A$3:$M$10005,MATCH(('Reg 85'!$AQ$6&amp;'Reg 85'!$AQ$10&amp;'Reg 85'!$B70),('DMR 001C TIN &amp; TP'!$E$3:$E$10005&amp;'DMR 001C TIN &amp; TP'!$B$3:$B$10005&amp;'DMR 001C TIN &amp; TP'!$A$3:$A$10005),0),MATCH('Reg 85'!$AS$11,'DMR 001C TIN &amp; TP'!$A$2:$M$2,0))),"")</f>
        <v/>
      </c>
      <c r="AT70" s="53" t="str">
        <f t="shared" si="15"/>
        <v/>
      </c>
      <c r="AV70" s="6" t="str">
        <f t="array" ref="AV70">_xlfn.IFNA((INDEX('DMR 001C TIN &amp; TP'!$A$3:$M$10005,MATCH(('Reg 85'!$AQ$6&amp;'Reg 85'!$AU$10&amp;'Reg 85'!$B70),('DMR 001C TIN &amp; TP'!$E$3:$E$10005&amp;'DMR 001C TIN &amp; TP'!$B$3:$B$10005&amp;'DMR 001C TIN &amp; TP'!$A$3:$A$10005),0),MATCH('Reg 85'!$AV$11,'DMR 001C TIN &amp; TP'!$A$2:$M$2,0))),"")</f>
        <v/>
      </c>
      <c r="AW70" s="6" t="str">
        <f t="array" ref="AW70">_xlfn.IFNA((INDEX('DMR 001C TIN &amp; TP'!$A$3:$M$10005,MATCH(('Reg 85'!$AQ$6&amp;'Reg 85'!$AU$10&amp;'Reg 85'!$B70),('DMR 001C TIN &amp; TP'!$E$3:$E$10005&amp;'DMR 001C TIN &amp; TP'!$B$3:$B$10005&amp;'DMR 001C TIN &amp; TP'!$A$3:$A$10005),0),MATCH('Reg 85'!$AW$11,'DMR 001C TIN &amp; TP'!$A$2:$M$2,0))),"")</f>
        <v/>
      </c>
      <c r="AX70" s="53" t="str">
        <f t="shared" si="16"/>
        <v/>
      </c>
      <c r="AY70" s="55" t="str">
        <f t="shared" si="17"/>
        <v/>
      </c>
      <c r="AZ70" s="77" t="str">
        <f t="shared" si="37"/>
        <v/>
      </c>
      <c r="BA70" s="6" t="str">
        <f t="array" ref="BA70">_xlfn.IFNA((INDEX('DMR 001C TIN &amp; TP'!$A$3:$M$10005,MATCH(('Reg 85'!$AQ$6&amp;'Reg 85'!BA$10&amp;'Reg 85'!$B70),('DMR 001C TIN &amp; TP'!$E$3:$E$10005&amp;'DMR 001C TIN &amp; TP'!$B$3:$B$10005&amp;'DMR 001C TIN &amp; TP'!$A$3:$A$10005),0),MATCH('Reg 85'!$AG$11,'DMR 001C TIN &amp; TP'!$A$2:$M$2,0))),"")</f>
        <v/>
      </c>
      <c r="BB70" s="6" t="str">
        <f t="array" ref="BB70">_xlfn.IFNA((INDEX('DMR 001C TIN &amp; TP'!$A$3:$M$10005,MATCH(('Reg 85'!$AQ$6&amp;'Reg 85'!BB$10&amp;'Reg 85'!$B70),('DMR 001C TIN &amp; TP'!$E$3:$E$10005&amp;'DMR 001C TIN &amp; TP'!$B$3:$B$10005&amp;'DMR 001C TIN &amp; TP'!$A$3:$A$10005),0),MATCH('Reg 85'!$AG$11,'DMR 001C TIN &amp; TP'!$A$2:$M$2,0))),"")</f>
        <v/>
      </c>
      <c r="BC70" s="6" t="str">
        <f t="array" ref="BC70">_xlfn.IFNA((INDEX('DMR 001C TIN &amp; TP'!$A$3:$M$10005,MATCH(('Reg 85'!$AQ$6&amp;'Reg 85'!BC$10&amp;'Reg 85'!$B70),('DMR 001C TIN &amp; TP'!$E$3:$E$10005&amp;'DMR 001C TIN &amp; TP'!$B$3:$B$10005&amp;'DMR 001C TIN &amp; TP'!$A$3:$A$10005),0),MATCH('Reg 85'!$AG$11,'DMR 001C TIN &amp; TP'!$A$2:$M$2,0))),"")</f>
        <v/>
      </c>
      <c r="BD70" s="6" t="str">
        <f t="array" ref="BD70">_xlfn.IFNA((INDEX('DMR 001C TIN &amp; TP'!$A$3:$M$10005,MATCH(('Reg 85'!$AQ$6&amp;'Reg 85'!BD$10&amp;'Reg 85'!$B70),('DMR 001C TIN &amp; TP'!$E$3:$E$10005&amp;'DMR 001C TIN &amp; TP'!$B$3:$B$10005&amp;'DMR 001C TIN &amp; TP'!$A$3:$A$10005),0),MATCH('Reg 85'!$AG$11,'DMR 001C TIN &amp; TP'!$A$2:$M$2,0))),"")</f>
        <v/>
      </c>
      <c r="BE70" s="6" t="str">
        <f t="array" ref="BE70">_xlfn.IFNA((INDEX('DMR 001C TIN &amp; TP'!$A$3:$M$10005,MATCH(('Reg 85'!$AQ$6&amp;'Reg 85'!BE$10&amp;'Reg 85'!$B70),('DMR 001C TIN &amp; TP'!$E$3:$E$10005&amp;'DMR 001C TIN &amp; TP'!$B$3:$B$10005&amp;'DMR 001C TIN &amp; TP'!$A$3:$A$10005),0),MATCH('Reg 85'!$AG$11,'DMR 001C TIN &amp; TP'!$A$2:$M$2,0))),"")</f>
        <v/>
      </c>
      <c r="BF70" s="6" t="str">
        <f t="array" ref="BF70">_xlfn.IFNA((INDEX('DMR 001C TIN &amp; TP'!$A$3:$M$10005,MATCH(('Reg 85'!$AQ$6&amp;'Reg 85'!BF$10&amp;'Reg 85'!$B70),('DMR 001C TIN &amp; TP'!$E$3:$E$10005&amp;'DMR 001C TIN &amp; TP'!$B$3:$B$10005&amp;'DMR 001C TIN &amp; TP'!$A$3:$A$10005),0),MATCH('Reg 85'!$AG$11,'DMR 001C TIN &amp; TP'!$A$2:$M$2,0))),"")</f>
        <v/>
      </c>
    </row>
    <row r="71" spans="1:58">
      <c r="A71" s="3" t="str">
        <f t="shared" si="2"/>
        <v>Tue</v>
      </c>
      <c r="B71" s="96">
        <f t="shared" si="19"/>
        <v>43403</v>
      </c>
      <c r="C71" s="96">
        <f t="shared" si="3"/>
        <v>43404</v>
      </c>
      <c r="D71" s="96">
        <f t="shared" si="4"/>
        <v>43374</v>
      </c>
      <c r="E71" s="95">
        <f t="shared" si="5"/>
        <v>31</v>
      </c>
      <c r="F71" s="7">
        <f t="array" ref="F71">_xlfn.IFNA(INDEX('DMR Flows-Effluent'!$A$3:$F$9999,MATCH(($F$10&amp;$B71),('DMR Flows-Effluent'!$B$3:$B$9999&amp;'DMR Flows-Effluent'!$A$3:$A$9999),0),MATCH($F$8,'DMR Flows-Effluent'!$A$2:$F$2,0)),"")</f>
        <v>43.946899999999999</v>
      </c>
      <c r="G71" s="7">
        <f t="array" ref="G71">_xlfn.IFNA(INDEX('DMR Flows-Effluent'!$A$3:$F$9999,MATCH(($G$10&amp;$B71),('DMR Flows-Effluent'!$B$3:$B$9999&amp;'DMR Flows-Effluent'!$A$3:$A$9999),0),MATCH($F$8,'DMR Flows-Effluent'!$A$2:$F$2,0)),"")</f>
        <v>70.069699999999997</v>
      </c>
      <c r="H71" s="7">
        <f t="shared" si="6"/>
        <v>114.0166</v>
      </c>
      <c r="I71" s="45" t="str">
        <f t="shared" si="7"/>
        <v/>
      </c>
      <c r="J71" s="6" t="str">
        <f t="array" ref="J71">_xlfn.IFNA((INDEX('DMR 001C TIN &amp; TP'!$A$3:$M$10005,MATCH(('Reg 85'!$I$6:$Q$6&amp;'Reg 85'!$I$10:$K$10&amp;'Reg 85'!$B71),('DMR 001C TIN &amp; TP'!$E$3:$E$10005&amp;'DMR 001C TIN &amp; TP'!$B$3:$B$10005&amp;'DMR 001C TIN &amp; TP'!$A$3:$A$10005),0),MATCH('Reg 85'!$J$11,'DMR 001C TIN &amp; TP'!$A$2:$M$2,0))),"")</f>
        <v>0.15</v>
      </c>
      <c r="K71" s="6">
        <f t="array" ref="K71">_xlfn.IFNA((INDEX('DMR 001C TIN &amp; TP'!$A$3:$M$10005,MATCH(('Reg 85'!$I$6:$Q$6&amp;'Reg 85'!$I$10:$K$10&amp;'Reg 85'!$B71),('DMR 001C TIN &amp; TP'!$E$3:$E$10005&amp;'DMR 001C TIN &amp; TP'!$B$3:$B$10005&amp;'DMR 001C TIN &amp; TP'!$A$3:$A$10005),0),MATCH('Reg 85'!$K$11,'DMR 001C TIN &amp; TP'!$A$2:$M$2,0))),"")</f>
        <v>0.5</v>
      </c>
      <c r="L71" s="53">
        <f t="shared" si="21"/>
        <v>0.5</v>
      </c>
      <c r="M71" s="5" t="str">
        <f t="shared" si="8"/>
        <v/>
      </c>
      <c r="N71" s="6" t="str">
        <f t="array" ref="N71">_xlfn.IFNA((INDEX('DMR 001C TIN &amp; TP'!$A$3:$M$10005,MATCH(('Reg 85'!$I$6:$Q$6&amp;'Reg 85'!$M$10&amp;'Reg 85'!$B71),('DMR 001C TIN &amp; TP'!$E$3:$E$10005&amp;'DMR 001C TIN &amp; TP'!$B$3:$B$10005&amp;'DMR 001C TIN &amp; TP'!$A$3:$A$10005),0),MATCH('Reg 85'!$N$11,'DMR 001C TIN &amp; TP'!$A$2:$M$2,0))),"")</f>
        <v>0.15</v>
      </c>
      <c r="O71" s="6">
        <f t="array" ref="O71">_xlfn.IFNA((INDEX('DMR 001C TIN &amp; TP'!$A$3:$M$10005,MATCH(('Reg 85'!$I$6:$Q$6&amp;'Reg 85'!$M$10&amp;'Reg 85'!$B71),('DMR 001C TIN &amp; TP'!$E$3:$E$10005&amp;'DMR 001C TIN &amp; TP'!$B$3:$B$10005&amp;'DMR 001C TIN &amp; TP'!$A$3:$A$10005),0),MATCH('Reg 85'!$O$11,'DMR 001C TIN &amp; TP'!$A$2:$M$2,0))),"")</f>
        <v>1.51</v>
      </c>
      <c r="P71" s="53">
        <f t="shared" si="9"/>
        <v>1.51</v>
      </c>
      <c r="Q71" s="73">
        <f t="array" ref="Q71">IFERROR(((L71*$F71)+(P71*$G71))/($H71),"")</f>
        <v>1.1207025731340874</v>
      </c>
      <c r="R71" s="6" t="str">
        <f t="array" ref="R71">_xlfn.IFNA((INDEX('DMR 001C TIN &amp; TP'!$A$3:$M$10005,MATCH(('Reg 85'!$I$6:$Q$6&amp;'Reg 85'!R$10&amp;'Reg 85'!$B71),('DMR 001C TIN &amp; TP'!$E$3:$E$10005&amp;'DMR 001C TIN &amp; TP'!$B$3:$B$10005&amp;'DMR 001C TIN &amp; TP'!$A$3:$A$10005),0),MATCH('Reg 85'!$O$11,'DMR 001C TIN &amp; TP'!$A$2:$M$2,0))),"")</f>
        <v/>
      </c>
      <c r="S71" s="6" t="str">
        <f t="array" ref="S71">_xlfn.IFNA((INDEX('DMR 001C TIN &amp; TP'!$A$3:$M$10005,MATCH(('Reg 85'!$I$6:$Q$6&amp;'Reg 85'!S$10&amp;'Reg 85'!$B71),('DMR 001C TIN &amp; TP'!$E$3:$E$10005&amp;'DMR 001C TIN &amp; TP'!$B$3:$B$10005&amp;'DMR 001C TIN &amp; TP'!$A$3:$A$10005),0),MATCH('Reg 85'!$O$11,'DMR 001C TIN &amp; TP'!$A$2:$M$2,0))),"")</f>
        <v/>
      </c>
      <c r="T71" s="6" t="str">
        <f t="array" ref="T71">_xlfn.IFNA((INDEX('DMR 001C TIN &amp; TP'!$A$3:$M$10005,MATCH(('Reg 85'!$I$6:$Q$6&amp;'Reg 85'!T$10&amp;'Reg 85'!$B71),('DMR 001C TIN &amp; TP'!$E$3:$E$10005&amp;'DMR 001C TIN &amp; TP'!$B$3:$B$10005&amp;'DMR 001C TIN &amp; TP'!$A$3:$A$10005),0),MATCH('Reg 85'!$O$11,'DMR 001C TIN &amp; TP'!$A$2:$M$2,0))),"")</f>
        <v/>
      </c>
      <c r="U71" s="6" t="str">
        <f t="array" ref="U71">_xlfn.IFNA((INDEX('DMR 001C TIN &amp; TP'!$A$3:$M$10005,MATCH(('Reg 85'!$I$6:$Q$6&amp;'Reg 85'!U$10&amp;'Reg 85'!$B71),('DMR 001C TIN &amp; TP'!$E$3:$E$10005&amp;'DMR 001C TIN &amp; TP'!$B$3:$B$10005&amp;'DMR 001C TIN &amp; TP'!$A$3:$A$10005),0),MATCH('Reg 85'!$O$11,'DMR 001C TIN &amp; TP'!$A$2:$M$2,0))),"")</f>
        <v/>
      </c>
      <c r="V71" s="6" t="str">
        <f t="array" ref="V71">_xlfn.IFNA((INDEX('DMR 001C TIN &amp; TP'!$A$3:$M$10005,MATCH(('Reg 85'!$I$6:$Q$6&amp;'Reg 85'!V$10&amp;'Reg 85'!$B71),('DMR 001C TIN &amp; TP'!$E$3:$E$10005&amp;'DMR 001C TIN &amp; TP'!$B$3:$B$10005&amp;'DMR 001C TIN &amp; TP'!$A$3:$A$10005),0),MATCH('Reg 85'!$O$11,'DMR 001C TIN &amp; TP'!$A$2:$M$2,0))),"")</f>
        <v/>
      </c>
      <c r="W71" s="6" t="str">
        <f t="array" ref="W71">_xlfn.IFNA((INDEX('DMR 001C TIN &amp; TP'!$A$3:$M$10005,MATCH(('Reg 85'!$I$6:$Q$6&amp;'Reg 85'!W$10&amp;'Reg 85'!$B71),('DMR 001C TIN &amp; TP'!$E$3:$E$10005&amp;'DMR 001C TIN &amp; TP'!$B$3:$B$10005&amp;'DMR 001C TIN &amp; TP'!$A$3:$A$10005),0),MATCH('Reg 85'!$O$11,'DMR 001C TIN &amp; TP'!$A$2:$M$2,0))),"")</f>
        <v/>
      </c>
      <c r="X71" s="5" t="str">
        <f t="shared" si="10"/>
        <v/>
      </c>
      <c r="Y71" s="6" t="str">
        <f t="array" ref="Y71">_xlfn.IFNA((INDEX('DMR 001C TIN &amp; TP'!$A$3:$M$10005,MATCH(('Reg 85'!$X$6&amp;'Reg 85'!$X$10&amp;'Reg 85'!$B71),('DMR 001C TIN &amp; TP'!$E$3:$E$10005&amp;'DMR 001C TIN &amp; TP'!$B$3:$B$10005&amp;'DMR 001C TIN &amp; TP'!$A$3:$A$10005),0),MATCH('Reg 85'!$Y$11,'DMR 001C TIN &amp; TP'!$A$2:$M$2,0))),"")</f>
        <v>0.06</v>
      </c>
      <c r="Z71" s="6">
        <f t="array" ref="Z71">_xlfn.IFNA((INDEX('DMR 001C TIN &amp; TP'!$A$3:$M$10005,MATCH(('Reg 85'!$X$6&amp;'Reg 85'!$X$10&amp;'Reg 85'!$B71),('DMR 001C TIN &amp; TP'!$E$3:$E$10005&amp;'DMR 001C TIN &amp; TP'!$B$3:$B$10005&amp;'DMR 001C TIN &amp; TP'!$A$3:$A$10005),0),MATCH('Reg 85'!$Z$11,'DMR 001C TIN &amp; TP'!$A$2:$M$2,0))),"")</f>
        <v>4.87</v>
      </c>
      <c r="AA71" s="53">
        <f t="shared" si="11"/>
        <v>4.87</v>
      </c>
      <c r="AB71" s="5" t="str">
        <f t="shared" si="12"/>
        <v/>
      </c>
      <c r="AC71" s="6" t="str">
        <f t="array" ref="AC71">_xlfn.IFNA((INDEX('DMR 001C TIN &amp; TP'!$A$3:$M$10005,MATCH(('Reg 85'!$X$6&amp;'Reg 85'!$AB$10&amp;'Reg 85'!$B71),('DMR 001C TIN &amp; TP'!$E$3:$E$10005&amp;'DMR 001C TIN &amp; TP'!$B$3:$B$10005&amp;'DMR 001C TIN &amp; TP'!$A$3:$A$10005),0),MATCH('Reg 85'!$AC$11,'DMR 001C TIN &amp; TP'!$A$2:$M$2,0))),"")</f>
        <v>0.06</v>
      </c>
      <c r="AD71" s="6">
        <f t="array" ref="AD71">_xlfn.IFNA((INDEX('DMR 001C TIN &amp; TP'!$A$3:$M$10005,MATCH(('Reg 85'!$X$6&amp;'Reg 85'!$AB$10&amp;'Reg 85'!$B71),('DMR 001C TIN &amp; TP'!$E$3:$E$10005&amp;'DMR 001C TIN &amp; TP'!$B$3:$B$10005&amp;'DMR 001C TIN &amp; TP'!$A$3:$A$10005),0),MATCH('Reg 85'!$AD$11,'DMR 001C TIN &amp; TP'!$A$2:$M$2,0))),"")</f>
        <v>4.99</v>
      </c>
      <c r="AE71" s="53">
        <f t="shared" si="13"/>
        <v>4.99</v>
      </c>
      <c r="AF71" s="7">
        <f t="shared" si="14"/>
        <v>4.9437468403723672</v>
      </c>
      <c r="AG71" s="6" t="str">
        <f t="array" ref="AG71">_xlfn.IFNA((INDEX('DMR 001C TIN &amp; TP'!$A$3:$M$10005,MATCH(('Reg 85'!$X$6&amp;'Reg 85'!AG$10&amp;'Reg 85'!$B71),('DMR 001C TIN &amp; TP'!$E$3:$E$10005&amp;'DMR 001C TIN &amp; TP'!$B$3:$B$10005&amp;'DMR 001C TIN &amp; TP'!$A$3:$A$10005),0),MATCH('Reg 85'!$AG$11,'DMR 001C TIN &amp; TP'!$A$2:$M$2,0))),"")</f>
        <v/>
      </c>
      <c r="AH71" s="6" t="str">
        <f t="array" ref="AH71">_xlfn.IFNA((INDEX('DMR 001C TIN &amp; TP'!$A$3:$M$10005,MATCH(('Reg 85'!$X$6&amp;'Reg 85'!AH$10&amp;'Reg 85'!$B71),('DMR 001C TIN &amp; TP'!$E$3:$E$10005&amp;'DMR 001C TIN &amp; TP'!$B$3:$B$10005&amp;'DMR 001C TIN &amp; TP'!$A$3:$A$10005),0),MATCH('Reg 85'!$AG$11,'DMR 001C TIN &amp; TP'!$A$2:$M$2,0))),"")</f>
        <v/>
      </c>
      <c r="AI71" s="6" t="str">
        <f t="array" ref="AI71">_xlfn.IFNA((INDEX('DMR 001C TIN &amp; TP'!$A$3:$M$10005,MATCH(('Reg 85'!$X$6&amp;'Reg 85'!AI$10&amp;'Reg 85'!$B71),('DMR 001C TIN &amp; TP'!$E$3:$E$10005&amp;'DMR 001C TIN &amp; TP'!$B$3:$B$10005&amp;'DMR 001C TIN &amp; TP'!$A$3:$A$10005),0),MATCH('Reg 85'!$AG$11,'DMR 001C TIN &amp; TP'!$A$2:$M$2,0))),"")</f>
        <v/>
      </c>
      <c r="AJ71" s="6" t="str">
        <f t="array" ref="AJ71">_xlfn.IFNA((INDEX('DMR 001C TIN &amp; TP'!$A$3:$M$10005,MATCH(('Reg 85'!$X$6&amp;'Reg 85'!AJ$10&amp;'Reg 85'!$B71),('DMR 001C TIN &amp; TP'!$E$3:$E$10005&amp;'DMR 001C TIN &amp; TP'!$B$3:$B$10005&amp;'DMR 001C TIN &amp; TP'!$A$3:$A$10005),0),MATCH('Reg 85'!$AG$11,'DMR 001C TIN &amp; TP'!$A$2:$M$2,0))),"")</f>
        <v/>
      </c>
      <c r="AK71" s="6" t="str">
        <f t="array" ref="AK71">_xlfn.IFNA((INDEX('DMR 001C TIN &amp; TP'!$A$3:$M$10005,MATCH(('Reg 85'!$X$6&amp;'Reg 85'!AK$10&amp;'Reg 85'!$B71),('DMR 001C TIN &amp; TP'!$E$3:$E$10005&amp;'DMR 001C TIN &amp; TP'!$B$3:$B$10005&amp;'DMR 001C TIN &amp; TP'!$A$3:$A$10005),0),MATCH('Reg 85'!$AG$11,'DMR 001C TIN &amp; TP'!$A$2:$M$2,0))),"")</f>
        <v/>
      </c>
      <c r="AL71" s="6" t="str">
        <f t="array" ref="AL71">_xlfn.IFNA((INDEX('DMR 001C TIN &amp; TP'!$A$3:$M$10005,MATCH(('Reg 85'!$X$6&amp;'Reg 85'!AL$10&amp;'Reg 85'!$B71),('DMR 001C TIN &amp; TP'!$E$3:$E$10005&amp;'DMR 001C TIN &amp; TP'!$B$3:$B$10005&amp;'DMR 001C TIN &amp; TP'!$A$3:$A$10005),0),MATCH('Reg 85'!$AG$11,'DMR 001C TIN &amp; TP'!$A$2:$M$2,0))),"")</f>
        <v/>
      </c>
      <c r="AM71" s="76"/>
      <c r="AN71" s="6"/>
      <c r="AO71" s="54">
        <f t="shared" si="0"/>
        <v>6.0644494135064546</v>
      </c>
      <c r="AP71" s="77" t="str">
        <f t="shared" si="39"/>
        <v/>
      </c>
      <c r="AQ71" s="47"/>
      <c r="AR71" s="6" t="str">
        <f t="array" ref="AR71">_xlfn.IFNA((INDEX('DMR 001C TIN &amp; TP'!$A$3:$M$10005,MATCH(('Reg 85'!$AQ$6&amp;'Reg 85'!$AQ$10&amp;'Reg 85'!$B71),('DMR 001C TIN &amp; TP'!$E$3:$E$10005&amp;'DMR 001C TIN &amp; TP'!$B$3:$B$10005&amp;'DMR 001C TIN &amp; TP'!$A$3:$A$10005),0),MATCH('Reg 85'!$AR$11,'DMR 001C TIN &amp; TP'!$A$2:$M$2,0))),"")</f>
        <v/>
      </c>
      <c r="AS71" s="6" t="str">
        <f t="array" ref="AS71">_xlfn.IFNA((INDEX('DMR 001C TIN &amp; TP'!$A$3:$M$10005,MATCH(('Reg 85'!$AQ$6&amp;'Reg 85'!$AQ$10&amp;'Reg 85'!$B71),('DMR 001C TIN &amp; TP'!$E$3:$E$10005&amp;'DMR 001C TIN &amp; TP'!$B$3:$B$10005&amp;'DMR 001C TIN &amp; TP'!$A$3:$A$10005),0),MATCH('Reg 85'!$AS$11,'DMR 001C TIN &amp; TP'!$A$2:$M$2,0))),"")</f>
        <v/>
      </c>
      <c r="AT71" s="53" t="str">
        <f t="shared" si="15"/>
        <v/>
      </c>
      <c r="AV71" s="6" t="str">
        <f t="array" ref="AV71">_xlfn.IFNA((INDEX('DMR 001C TIN &amp; TP'!$A$3:$M$10005,MATCH(('Reg 85'!$AQ$6&amp;'Reg 85'!$AU$10&amp;'Reg 85'!$B71),('DMR 001C TIN &amp; TP'!$E$3:$E$10005&amp;'DMR 001C TIN &amp; TP'!$B$3:$B$10005&amp;'DMR 001C TIN &amp; TP'!$A$3:$A$10005),0),MATCH('Reg 85'!$AV$11,'DMR 001C TIN &amp; TP'!$A$2:$M$2,0))),"")</f>
        <v/>
      </c>
      <c r="AW71" s="6" t="str">
        <f t="array" ref="AW71">_xlfn.IFNA((INDEX('DMR 001C TIN &amp; TP'!$A$3:$M$10005,MATCH(('Reg 85'!$AQ$6&amp;'Reg 85'!$AU$10&amp;'Reg 85'!$B71),('DMR 001C TIN &amp; TP'!$E$3:$E$10005&amp;'DMR 001C TIN &amp; TP'!$B$3:$B$10005&amp;'DMR 001C TIN &amp; TP'!$A$3:$A$10005),0),MATCH('Reg 85'!$AW$11,'DMR 001C TIN &amp; TP'!$A$2:$M$2,0))),"")</f>
        <v/>
      </c>
      <c r="AX71" s="53" t="str">
        <f t="shared" si="16"/>
        <v/>
      </c>
      <c r="AY71" s="55" t="str">
        <f t="shared" si="17"/>
        <v/>
      </c>
      <c r="AZ71" s="77" t="str">
        <f t="shared" si="37"/>
        <v/>
      </c>
      <c r="BA71" s="6" t="str">
        <f t="array" ref="BA71">_xlfn.IFNA((INDEX('DMR 001C TIN &amp; TP'!$A$3:$M$10005,MATCH(('Reg 85'!$AQ$6&amp;'Reg 85'!BA$10&amp;'Reg 85'!$B71),('DMR 001C TIN &amp; TP'!$E$3:$E$10005&amp;'DMR 001C TIN &amp; TP'!$B$3:$B$10005&amp;'DMR 001C TIN &amp; TP'!$A$3:$A$10005),0),MATCH('Reg 85'!$AG$11,'DMR 001C TIN &amp; TP'!$A$2:$M$2,0))),"")</f>
        <v/>
      </c>
      <c r="BB71" s="6" t="str">
        <f t="array" ref="BB71">_xlfn.IFNA((INDEX('DMR 001C TIN &amp; TP'!$A$3:$M$10005,MATCH(('Reg 85'!$AQ$6&amp;'Reg 85'!BB$10&amp;'Reg 85'!$B71),('DMR 001C TIN &amp; TP'!$E$3:$E$10005&amp;'DMR 001C TIN &amp; TP'!$B$3:$B$10005&amp;'DMR 001C TIN &amp; TP'!$A$3:$A$10005),0),MATCH('Reg 85'!$AG$11,'DMR 001C TIN &amp; TP'!$A$2:$M$2,0))),"")</f>
        <v/>
      </c>
      <c r="BC71" s="6" t="str">
        <f t="array" ref="BC71">_xlfn.IFNA((INDEX('DMR 001C TIN &amp; TP'!$A$3:$M$10005,MATCH(('Reg 85'!$AQ$6&amp;'Reg 85'!BC$10&amp;'Reg 85'!$B71),('DMR 001C TIN &amp; TP'!$E$3:$E$10005&amp;'DMR 001C TIN &amp; TP'!$B$3:$B$10005&amp;'DMR 001C TIN &amp; TP'!$A$3:$A$10005),0),MATCH('Reg 85'!$AG$11,'DMR 001C TIN &amp; TP'!$A$2:$M$2,0))),"")</f>
        <v/>
      </c>
      <c r="BD71" s="6" t="str">
        <f t="array" ref="BD71">_xlfn.IFNA((INDEX('DMR 001C TIN &amp; TP'!$A$3:$M$10005,MATCH(('Reg 85'!$AQ$6&amp;'Reg 85'!BD$10&amp;'Reg 85'!$B71),('DMR 001C TIN &amp; TP'!$E$3:$E$10005&amp;'DMR 001C TIN &amp; TP'!$B$3:$B$10005&amp;'DMR 001C TIN &amp; TP'!$A$3:$A$10005),0),MATCH('Reg 85'!$AG$11,'DMR 001C TIN &amp; TP'!$A$2:$M$2,0))),"")</f>
        <v/>
      </c>
      <c r="BE71" s="6" t="str">
        <f t="array" ref="BE71">_xlfn.IFNA((INDEX('DMR 001C TIN &amp; TP'!$A$3:$M$10005,MATCH(('Reg 85'!$AQ$6&amp;'Reg 85'!BE$10&amp;'Reg 85'!$B71),('DMR 001C TIN &amp; TP'!$E$3:$E$10005&amp;'DMR 001C TIN &amp; TP'!$B$3:$B$10005&amp;'DMR 001C TIN &amp; TP'!$A$3:$A$10005),0),MATCH('Reg 85'!$AG$11,'DMR 001C TIN &amp; TP'!$A$2:$M$2,0))),"")</f>
        <v/>
      </c>
      <c r="BF71" s="6" t="str">
        <f t="array" ref="BF71">_xlfn.IFNA((INDEX('DMR 001C TIN &amp; TP'!$A$3:$M$10005,MATCH(('Reg 85'!$AQ$6&amp;'Reg 85'!BF$10&amp;'Reg 85'!$B71),('DMR 001C TIN &amp; TP'!$E$3:$E$10005&amp;'DMR 001C TIN &amp; TP'!$B$3:$B$10005&amp;'DMR 001C TIN &amp; TP'!$A$3:$A$10005),0),MATCH('Reg 85'!$AG$11,'DMR 001C TIN &amp; TP'!$A$2:$M$2,0))),"")</f>
        <v/>
      </c>
    </row>
    <row r="72" spans="1:58">
      <c r="A72" s="3" t="str">
        <f t="shared" si="2"/>
        <v>Wed</v>
      </c>
      <c r="B72" s="96">
        <f t="shared" si="19"/>
        <v>43404</v>
      </c>
      <c r="C72" s="96">
        <f t="shared" si="3"/>
        <v>43404</v>
      </c>
      <c r="D72" s="96">
        <f t="shared" si="4"/>
        <v>43374</v>
      </c>
      <c r="E72" s="95">
        <f t="shared" si="5"/>
        <v>31</v>
      </c>
      <c r="F72" s="7">
        <f t="array" ref="F72">_xlfn.IFNA(INDEX('DMR Flows-Effluent'!$A$3:$F$9999,MATCH(($F$10&amp;$B72),('DMR Flows-Effluent'!$B$3:$B$9999&amp;'DMR Flows-Effluent'!$A$3:$A$9999),0),MATCH($F$8,'DMR Flows-Effluent'!$A$2:$F$2,0)),"")</f>
        <v>35.644300000000001</v>
      </c>
      <c r="G72" s="7">
        <f t="array" ref="G72">_xlfn.IFNA(INDEX('DMR Flows-Effluent'!$A$3:$F$9999,MATCH(($G$10&amp;$B72),('DMR Flows-Effluent'!$B$3:$B$9999&amp;'DMR Flows-Effluent'!$A$3:$A$9999),0),MATCH($F$8,'DMR Flows-Effluent'!$A$2:$F$2,0)),"")</f>
        <v>83.991500000000002</v>
      </c>
      <c r="H72" s="7">
        <f t="shared" si="6"/>
        <v>119.6358</v>
      </c>
      <c r="I72" s="45" t="str">
        <f t="shared" si="7"/>
        <v/>
      </c>
      <c r="J72" s="6" t="str">
        <f t="array" ref="J72">_xlfn.IFNA((INDEX('DMR 001C TIN &amp; TP'!$A$3:$M$10005,MATCH(('Reg 85'!$I$6:$Q$6&amp;'Reg 85'!$I$10:$K$10&amp;'Reg 85'!$B72),('DMR 001C TIN &amp; TP'!$E$3:$E$10005&amp;'DMR 001C TIN &amp; TP'!$B$3:$B$10005&amp;'DMR 001C TIN &amp; TP'!$A$3:$A$10005),0),MATCH('Reg 85'!$J$11,'DMR 001C TIN &amp; TP'!$A$2:$M$2,0))),"")</f>
        <v>0.15</v>
      </c>
      <c r="K72" s="6">
        <f t="array" ref="K72">_xlfn.IFNA((INDEX('DMR 001C TIN &amp; TP'!$A$3:$M$10005,MATCH(('Reg 85'!$I$6:$Q$6&amp;'Reg 85'!$I$10:$K$10&amp;'Reg 85'!$B72),('DMR 001C TIN &amp; TP'!$E$3:$E$10005&amp;'DMR 001C TIN &amp; TP'!$B$3:$B$10005&amp;'DMR 001C TIN &amp; TP'!$A$3:$A$10005),0),MATCH('Reg 85'!$K$11,'DMR 001C TIN &amp; TP'!$A$2:$M$2,0))),"")</f>
        <v>0.21</v>
      </c>
      <c r="L72" s="53">
        <f t="shared" si="21"/>
        <v>0.21</v>
      </c>
      <c r="M72" s="5" t="str">
        <f t="shared" si="8"/>
        <v/>
      </c>
      <c r="N72" s="6" t="str">
        <f t="array" ref="N72">_xlfn.IFNA((INDEX('DMR 001C TIN &amp; TP'!$A$3:$M$10005,MATCH(('Reg 85'!$I$6:$Q$6&amp;'Reg 85'!$M$10&amp;'Reg 85'!$B72),('DMR 001C TIN &amp; TP'!$E$3:$E$10005&amp;'DMR 001C TIN &amp; TP'!$B$3:$B$10005&amp;'DMR 001C TIN &amp; TP'!$A$3:$A$10005),0),MATCH('Reg 85'!$N$11,'DMR 001C TIN &amp; TP'!$A$2:$M$2,0))),"")</f>
        <v>0.15</v>
      </c>
      <c r="O72" s="6">
        <f t="array" ref="O72">_xlfn.IFNA((INDEX('DMR 001C TIN &amp; TP'!$A$3:$M$10005,MATCH(('Reg 85'!$I$6:$Q$6&amp;'Reg 85'!$M$10&amp;'Reg 85'!$B72),('DMR 001C TIN &amp; TP'!$E$3:$E$10005&amp;'DMR 001C TIN &amp; TP'!$B$3:$B$10005&amp;'DMR 001C TIN &amp; TP'!$A$3:$A$10005),0),MATCH('Reg 85'!$O$11,'DMR 001C TIN &amp; TP'!$A$2:$M$2,0))),"")</f>
        <v>1.82</v>
      </c>
      <c r="P72" s="53">
        <f t="shared" si="9"/>
        <v>1.82</v>
      </c>
      <c r="Q72" s="73">
        <f t="array" ref="Q72">IFERROR(((L72*$F72)+(P72*$G72))/($H72),"")</f>
        <v>1.3403164688161904</v>
      </c>
      <c r="R72" s="6" t="str">
        <f t="array" ref="R72">_xlfn.IFNA((INDEX('DMR 001C TIN &amp; TP'!$A$3:$M$10005,MATCH(('Reg 85'!$I$6:$Q$6&amp;'Reg 85'!R$10&amp;'Reg 85'!$B72),('DMR 001C TIN &amp; TP'!$E$3:$E$10005&amp;'DMR 001C TIN &amp; TP'!$B$3:$B$10005&amp;'DMR 001C TIN &amp; TP'!$A$3:$A$10005),0),MATCH('Reg 85'!$O$11,'DMR 001C TIN &amp; TP'!$A$2:$M$2,0))),"")</f>
        <v/>
      </c>
      <c r="S72" s="6" t="str">
        <f t="array" ref="S72">_xlfn.IFNA((INDEX('DMR 001C TIN &amp; TP'!$A$3:$M$10005,MATCH(('Reg 85'!$I$6:$Q$6&amp;'Reg 85'!S$10&amp;'Reg 85'!$B72),('DMR 001C TIN &amp; TP'!$E$3:$E$10005&amp;'DMR 001C TIN &amp; TP'!$B$3:$B$10005&amp;'DMR 001C TIN &amp; TP'!$A$3:$A$10005),0),MATCH('Reg 85'!$O$11,'DMR 001C TIN &amp; TP'!$A$2:$M$2,0))),"")</f>
        <v/>
      </c>
      <c r="T72" s="6" t="str">
        <f t="array" ref="T72">_xlfn.IFNA((INDEX('DMR 001C TIN &amp; TP'!$A$3:$M$10005,MATCH(('Reg 85'!$I$6:$Q$6&amp;'Reg 85'!T$10&amp;'Reg 85'!$B72),('DMR 001C TIN &amp; TP'!$E$3:$E$10005&amp;'DMR 001C TIN &amp; TP'!$B$3:$B$10005&amp;'DMR 001C TIN &amp; TP'!$A$3:$A$10005),0),MATCH('Reg 85'!$O$11,'DMR 001C TIN &amp; TP'!$A$2:$M$2,0))),"")</f>
        <v/>
      </c>
      <c r="U72" s="6" t="str">
        <f t="array" ref="U72">_xlfn.IFNA((INDEX('DMR 001C TIN &amp; TP'!$A$3:$M$10005,MATCH(('Reg 85'!$I$6:$Q$6&amp;'Reg 85'!U$10&amp;'Reg 85'!$B72),('DMR 001C TIN &amp; TP'!$E$3:$E$10005&amp;'DMR 001C TIN &amp; TP'!$B$3:$B$10005&amp;'DMR 001C TIN &amp; TP'!$A$3:$A$10005),0),MATCH('Reg 85'!$O$11,'DMR 001C TIN &amp; TP'!$A$2:$M$2,0))),"")</f>
        <v/>
      </c>
      <c r="V72" s="6" t="str">
        <f t="array" ref="V72">_xlfn.IFNA((INDEX('DMR 001C TIN &amp; TP'!$A$3:$M$10005,MATCH(('Reg 85'!$I$6:$Q$6&amp;'Reg 85'!V$10&amp;'Reg 85'!$B72),('DMR 001C TIN &amp; TP'!$E$3:$E$10005&amp;'DMR 001C TIN &amp; TP'!$B$3:$B$10005&amp;'DMR 001C TIN &amp; TP'!$A$3:$A$10005),0),MATCH('Reg 85'!$O$11,'DMR 001C TIN &amp; TP'!$A$2:$M$2,0))),"")</f>
        <v/>
      </c>
      <c r="W72" s="6" t="str">
        <f t="array" ref="W72">_xlfn.IFNA((INDEX('DMR 001C TIN &amp; TP'!$A$3:$M$10005,MATCH(('Reg 85'!$I$6:$Q$6&amp;'Reg 85'!W$10&amp;'Reg 85'!$B72),('DMR 001C TIN &amp; TP'!$E$3:$E$10005&amp;'DMR 001C TIN &amp; TP'!$B$3:$B$10005&amp;'DMR 001C TIN &amp; TP'!$A$3:$A$10005),0),MATCH('Reg 85'!$O$11,'DMR 001C TIN &amp; TP'!$A$2:$M$2,0))),"")</f>
        <v/>
      </c>
      <c r="X72" s="5" t="str">
        <f t="shared" si="10"/>
        <v/>
      </c>
      <c r="Y72" s="6" t="str">
        <f t="array" ref="Y72">_xlfn.IFNA((INDEX('DMR 001C TIN &amp; TP'!$A$3:$M$10005,MATCH(('Reg 85'!$X$6&amp;'Reg 85'!$X$10&amp;'Reg 85'!$B72),('DMR 001C TIN &amp; TP'!$E$3:$E$10005&amp;'DMR 001C TIN &amp; TP'!$B$3:$B$10005&amp;'DMR 001C TIN &amp; TP'!$A$3:$A$10005),0),MATCH('Reg 85'!$Y$11,'DMR 001C TIN &amp; TP'!$A$2:$M$2,0))),"")</f>
        <v>0.06</v>
      </c>
      <c r="Z72" s="6">
        <f t="array" ref="Z72">_xlfn.IFNA((INDEX('DMR 001C TIN &amp; TP'!$A$3:$M$10005,MATCH(('Reg 85'!$X$6&amp;'Reg 85'!$X$10&amp;'Reg 85'!$B72),('DMR 001C TIN &amp; TP'!$E$3:$E$10005&amp;'DMR 001C TIN &amp; TP'!$B$3:$B$10005&amp;'DMR 001C TIN &amp; TP'!$A$3:$A$10005),0),MATCH('Reg 85'!$Z$11,'DMR 001C TIN &amp; TP'!$A$2:$M$2,0))),"")</f>
        <v>4.32</v>
      </c>
      <c r="AA72" s="53">
        <f t="shared" si="11"/>
        <v>4.32</v>
      </c>
      <c r="AB72" s="5" t="str">
        <f t="shared" si="12"/>
        <v/>
      </c>
      <c r="AC72" s="6" t="str">
        <f t="array" ref="AC72">_xlfn.IFNA((INDEX('DMR 001C TIN &amp; TP'!$A$3:$M$10005,MATCH(('Reg 85'!$X$6&amp;'Reg 85'!$AB$10&amp;'Reg 85'!$B72),('DMR 001C TIN &amp; TP'!$E$3:$E$10005&amp;'DMR 001C TIN &amp; TP'!$B$3:$B$10005&amp;'DMR 001C TIN &amp; TP'!$A$3:$A$10005),0),MATCH('Reg 85'!$AC$11,'DMR 001C TIN &amp; TP'!$A$2:$M$2,0))),"")</f>
        <v>0.06</v>
      </c>
      <c r="AD72" s="6">
        <f t="array" ref="AD72">_xlfn.IFNA((INDEX('DMR 001C TIN &amp; TP'!$A$3:$M$10005,MATCH(('Reg 85'!$X$6&amp;'Reg 85'!$AB$10&amp;'Reg 85'!$B72),('DMR 001C TIN &amp; TP'!$E$3:$E$10005&amp;'DMR 001C TIN &amp; TP'!$B$3:$B$10005&amp;'DMR 001C TIN &amp; TP'!$A$3:$A$10005),0),MATCH('Reg 85'!$AD$11,'DMR 001C TIN &amp; TP'!$A$2:$M$2,0))),"")</f>
        <v>6.52</v>
      </c>
      <c r="AE72" s="53">
        <f t="shared" si="13"/>
        <v>6.52</v>
      </c>
      <c r="AF72" s="7">
        <f t="shared" si="14"/>
        <v>5.86453182074262</v>
      </c>
      <c r="AG72" s="6" t="str">
        <f t="array" ref="AG72">_xlfn.IFNA((INDEX('DMR 001C TIN &amp; TP'!$A$3:$M$10005,MATCH(('Reg 85'!$X$6&amp;'Reg 85'!AG$10&amp;'Reg 85'!$B72),('DMR 001C TIN &amp; TP'!$E$3:$E$10005&amp;'DMR 001C TIN &amp; TP'!$B$3:$B$10005&amp;'DMR 001C TIN &amp; TP'!$A$3:$A$10005),0),MATCH('Reg 85'!$AG$11,'DMR 001C TIN &amp; TP'!$A$2:$M$2,0))),"")</f>
        <v/>
      </c>
      <c r="AH72" s="6" t="str">
        <f t="array" ref="AH72">_xlfn.IFNA((INDEX('DMR 001C TIN &amp; TP'!$A$3:$M$10005,MATCH(('Reg 85'!$X$6&amp;'Reg 85'!AH$10&amp;'Reg 85'!$B72),('DMR 001C TIN &amp; TP'!$E$3:$E$10005&amp;'DMR 001C TIN &amp; TP'!$B$3:$B$10005&amp;'DMR 001C TIN &amp; TP'!$A$3:$A$10005),0),MATCH('Reg 85'!$AG$11,'DMR 001C TIN &amp; TP'!$A$2:$M$2,0))),"")</f>
        <v/>
      </c>
      <c r="AI72" s="6" t="str">
        <f t="array" ref="AI72">_xlfn.IFNA((INDEX('DMR 001C TIN &amp; TP'!$A$3:$M$10005,MATCH(('Reg 85'!$X$6&amp;'Reg 85'!AI$10&amp;'Reg 85'!$B72),('DMR 001C TIN &amp; TP'!$E$3:$E$10005&amp;'DMR 001C TIN &amp; TP'!$B$3:$B$10005&amp;'DMR 001C TIN &amp; TP'!$A$3:$A$10005),0),MATCH('Reg 85'!$AG$11,'DMR 001C TIN &amp; TP'!$A$2:$M$2,0))),"")</f>
        <v/>
      </c>
      <c r="AJ72" s="6" t="str">
        <f t="array" ref="AJ72">_xlfn.IFNA((INDEX('DMR 001C TIN &amp; TP'!$A$3:$M$10005,MATCH(('Reg 85'!$X$6&amp;'Reg 85'!AJ$10&amp;'Reg 85'!$B72),('DMR 001C TIN &amp; TP'!$E$3:$E$10005&amp;'DMR 001C TIN &amp; TP'!$B$3:$B$10005&amp;'DMR 001C TIN &amp; TP'!$A$3:$A$10005),0),MATCH('Reg 85'!$AG$11,'DMR 001C TIN &amp; TP'!$A$2:$M$2,0))),"")</f>
        <v/>
      </c>
      <c r="AK72" s="6" t="str">
        <f t="array" ref="AK72">_xlfn.IFNA((INDEX('DMR 001C TIN &amp; TP'!$A$3:$M$10005,MATCH(('Reg 85'!$X$6&amp;'Reg 85'!AK$10&amp;'Reg 85'!$B72),('DMR 001C TIN &amp; TP'!$E$3:$E$10005&amp;'DMR 001C TIN &amp; TP'!$B$3:$B$10005&amp;'DMR 001C TIN &amp; TP'!$A$3:$A$10005),0),MATCH('Reg 85'!$AG$11,'DMR 001C TIN &amp; TP'!$A$2:$M$2,0))),"")</f>
        <v/>
      </c>
      <c r="AL72" s="6" t="str">
        <f t="array" ref="AL72">_xlfn.IFNA((INDEX('DMR 001C TIN &amp; TP'!$A$3:$M$10005,MATCH(('Reg 85'!$X$6&amp;'Reg 85'!AL$10&amp;'Reg 85'!$B72),('DMR 001C TIN &amp; TP'!$E$3:$E$10005&amp;'DMR 001C TIN &amp; TP'!$B$3:$B$10005&amp;'DMR 001C TIN &amp; TP'!$A$3:$A$10005),0),MATCH('Reg 85'!$AG$11,'DMR 001C TIN &amp; TP'!$A$2:$M$2,0))),"")</f>
        <v/>
      </c>
      <c r="AM72" s="76"/>
      <c r="AN72" s="6"/>
      <c r="AO72" s="54">
        <f t="shared" si="0"/>
        <v>7.2048482895588108</v>
      </c>
      <c r="AP72" s="77">
        <v>15</v>
      </c>
      <c r="AQ72" s="47"/>
      <c r="AR72" s="6" t="str">
        <f t="array" ref="AR72">_xlfn.IFNA((INDEX('DMR 001C TIN &amp; TP'!$A$3:$M$10005,MATCH(('Reg 85'!$AQ$6&amp;'Reg 85'!$AQ$10&amp;'Reg 85'!$B72),('DMR 001C TIN &amp; TP'!$E$3:$E$10005&amp;'DMR 001C TIN &amp; TP'!$B$3:$B$10005&amp;'DMR 001C TIN &amp; TP'!$A$3:$A$10005),0),MATCH('Reg 85'!$AR$11,'DMR 001C TIN &amp; TP'!$A$2:$M$2,0))),"")</f>
        <v/>
      </c>
      <c r="AS72" s="6" t="str">
        <f t="array" ref="AS72">_xlfn.IFNA((INDEX('DMR 001C TIN &amp; TP'!$A$3:$M$10005,MATCH(('Reg 85'!$AQ$6&amp;'Reg 85'!$AQ$10&amp;'Reg 85'!$B72),('DMR 001C TIN &amp; TP'!$E$3:$E$10005&amp;'DMR 001C TIN &amp; TP'!$B$3:$B$10005&amp;'DMR 001C TIN &amp; TP'!$A$3:$A$10005),0),MATCH('Reg 85'!$AS$11,'DMR 001C TIN &amp; TP'!$A$2:$M$2,0))),"")</f>
        <v/>
      </c>
      <c r="AT72" s="53" t="str">
        <f t="shared" si="15"/>
        <v/>
      </c>
      <c r="AV72" s="6" t="str">
        <f t="array" ref="AV72">_xlfn.IFNA((INDEX('DMR 001C TIN &amp; TP'!$A$3:$M$10005,MATCH(('Reg 85'!$AQ$6&amp;'Reg 85'!$AU$10&amp;'Reg 85'!$B72),('DMR 001C TIN &amp; TP'!$E$3:$E$10005&amp;'DMR 001C TIN &amp; TP'!$B$3:$B$10005&amp;'DMR 001C TIN &amp; TP'!$A$3:$A$10005),0),MATCH('Reg 85'!$AV$11,'DMR 001C TIN &amp; TP'!$A$2:$M$2,0))),"")</f>
        <v/>
      </c>
      <c r="AW72" s="6" t="str">
        <f t="array" ref="AW72">_xlfn.IFNA((INDEX('DMR 001C TIN &amp; TP'!$A$3:$M$10005,MATCH(('Reg 85'!$AQ$6&amp;'Reg 85'!$AU$10&amp;'Reg 85'!$B72),('DMR 001C TIN &amp; TP'!$E$3:$E$10005&amp;'DMR 001C TIN &amp; TP'!$B$3:$B$10005&amp;'DMR 001C TIN &amp; TP'!$A$3:$A$10005),0),MATCH('Reg 85'!$AW$11,'DMR 001C TIN &amp; TP'!$A$2:$M$2,0))),"")</f>
        <v/>
      </c>
      <c r="AX72" s="53" t="str">
        <f t="shared" si="16"/>
        <v/>
      </c>
      <c r="AY72" s="55" t="str">
        <f t="shared" si="17"/>
        <v/>
      </c>
      <c r="AZ72" s="77">
        <f t="shared" ref="AZ72:AZ106" si="40">IF(COUNT(IF((B42:B72&lt;=C72)*(B42:B72&gt;=D72)*(B72=EOMONTH(B72,0)),AY42:AY72,""))=0,"",COUNT(IF((B42:B72&lt;=C72)*(B42:B72&gt;=D72)*(B72=EOMONTH(B72,0)),AY42:AY72,"")))</f>
        <v>8</v>
      </c>
      <c r="BA72" s="6" t="str">
        <f t="array" ref="BA72">_xlfn.IFNA((INDEX('DMR 001C TIN &amp; TP'!$A$3:$M$10005,MATCH(('Reg 85'!$AQ$6&amp;'Reg 85'!BA$10&amp;'Reg 85'!$B72),('DMR 001C TIN &amp; TP'!$E$3:$E$10005&amp;'DMR 001C TIN &amp; TP'!$B$3:$B$10005&amp;'DMR 001C TIN &amp; TP'!$A$3:$A$10005),0),MATCH('Reg 85'!$AG$11,'DMR 001C TIN &amp; TP'!$A$2:$M$2,0))),"")</f>
        <v/>
      </c>
      <c r="BB72" s="6" t="str">
        <f t="array" ref="BB72">_xlfn.IFNA((INDEX('DMR 001C TIN &amp; TP'!$A$3:$M$10005,MATCH(('Reg 85'!$AQ$6&amp;'Reg 85'!BB$10&amp;'Reg 85'!$B72),('DMR 001C TIN &amp; TP'!$E$3:$E$10005&amp;'DMR 001C TIN &amp; TP'!$B$3:$B$10005&amp;'DMR 001C TIN &amp; TP'!$A$3:$A$10005),0),MATCH('Reg 85'!$AG$11,'DMR 001C TIN &amp; TP'!$A$2:$M$2,0))),"")</f>
        <v/>
      </c>
      <c r="BC72" s="6" t="str">
        <f t="array" ref="BC72">_xlfn.IFNA((INDEX('DMR 001C TIN &amp; TP'!$A$3:$M$10005,MATCH(('Reg 85'!$AQ$6&amp;'Reg 85'!BC$10&amp;'Reg 85'!$B72),('DMR 001C TIN &amp; TP'!$E$3:$E$10005&amp;'DMR 001C TIN &amp; TP'!$B$3:$B$10005&amp;'DMR 001C TIN &amp; TP'!$A$3:$A$10005),0),MATCH('Reg 85'!$AG$11,'DMR 001C TIN &amp; TP'!$A$2:$M$2,0))),"")</f>
        <v/>
      </c>
      <c r="BD72" s="6" t="str">
        <f t="array" ref="BD72">_xlfn.IFNA((INDEX('DMR 001C TIN &amp; TP'!$A$3:$M$10005,MATCH(('Reg 85'!$AQ$6&amp;'Reg 85'!BD$10&amp;'Reg 85'!$B72),('DMR 001C TIN &amp; TP'!$E$3:$E$10005&amp;'DMR 001C TIN &amp; TP'!$B$3:$B$10005&amp;'DMR 001C TIN &amp; TP'!$A$3:$A$10005),0),MATCH('Reg 85'!$AG$11,'DMR 001C TIN &amp; TP'!$A$2:$M$2,0))),"")</f>
        <v/>
      </c>
      <c r="BE72" s="6" t="str">
        <f t="array" ref="BE72">_xlfn.IFNA((INDEX('DMR 001C TIN &amp; TP'!$A$3:$M$10005,MATCH(('Reg 85'!$AQ$6&amp;'Reg 85'!BE$10&amp;'Reg 85'!$B72),('DMR 001C TIN &amp; TP'!$E$3:$E$10005&amp;'DMR 001C TIN &amp; TP'!$B$3:$B$10005&amp;'DMR 001C TIN &amp; TP'!$A$3:$A$10005),0),MATCH('Reg 85'!$AG$11,'DMR 001C TIN &amp; TP'!$A$2:$M$2,0))),"")</f>
        <v/>
      </c>
      <c r="BF72" s="6" t="str">
        <f t="array" ref="BF72">_xlfn.IFNA((INDEX('DMR 001C TIN &amp; TP'!$A$3:$M$10005,MATCH(('Reg 85'!$AQ$6&amp;'Reg 85'!BF$10&amp;'Reg 85'!$B72),('DMR 001C TIN &amp; TP'!$E$3:$E$10005&amp;'DMR 001C TIN &amp; TP'!$B$3:$B$10005&amp;'DMR 001C TIN &amp; TP'!$A$3:$A$10005),0),MATCH('Reg 85'!$AG$11,'DMR 001C TIN &amp; TP'!$A$2:$M$2,0))),"")</f>
        <v/>
      </c>
    </row>
    <row r="73" spans="1:58">
      <c r="A73" s="3" t="str">
        <f t="shared" si="2"/>
        <v>Thu</v>
      </c>
      <c r="B73" s="96">
        <f t="shared" si="19"/>
        <v>43405</v>
      </c>
      <c r="C73" s="96">
        <f t="shared" si="3"/>
        <v>43434</v>
      </c>
      <c r="D73" s="96">
        <f t="shared" si="4"/>
        <v>43405</v>
      </c>
      <c r="E73" s="95">
        <f t="shared" si="5"/>
        <v>30</v>
      </c>
      <c r="F73" s="7">
        <f t="array" ref="F73">_xlfn.IFNA(INDEX('DMR Flows-Effluent'!$A$3:$F$9999,MATCH(($F$10&amp;$B73),('DMR Flows-Effluent'!$B$3:$B$9999&amp;'DMR Flows-Effluent'!$A$3:$A$9999),0),MATCH($F$8,'DMR Flows-Effluent'!$A$2:$F$2,0)),"")</f>
        <v>34.808399999999999</v>
      </c>
      <c r="G73" s="7">
        <f t="array" ref="G73">_xlfn.IFNA(INDEX('DMR Flows-Effluent'!$A$3:$F$9999,MATCH(($G$10&amp;$B73),('DMR Flows-Effluent'!$B$3:$B$9999&amp;'DMR Flows-Effluent'!$A$3:$A$9999),0),MATCH($F$8,'DMR Flows-Effluent'!$A$2:$F$2,0)),"")</f>
        <v>84.501400000000004</v>
      </c>
      <c r="H73" s="7">
        <f t="shared" si="6"/>
        <v>119.3098</v>
      </c>
      <c r="I73" s="45" t="str">
        <f t="shared" si="7"/>
        <v/>
      </c>
      <c r="J73" s="6" t="str">
        <f t="array" ref="J73">_xlfn.IFNA((INDEX('DMR 001C TIN &amp; TP'!$A$3:$M$10005,MATCH(('Reg 85'!$I$6:$Q$6&amp;'Reg 85'!$I$10:$K$10&amp;'Reg 85'!$B73),('DMR 001C TIN &amp; TP'!$E$3:$E$10005&amp;'DMR 001C TIN &amp; TP'!$B$3:$B$10005&amp;'DMR 001C TIN &amp; TP'!$A$3:$A$10005),0),MATCH('Reg 85'!$J$11,'DMR 001C TIN &amp; TP'!$A$2:$M$2,0))),"")</f>
        <v/>
      </c>
      <c r="K73" s="6" t="str">
        <f t="array" ref="K73">_xlfn.IFNA((INDEX('DMR 001C TIN &amp; TP'!$A$3:$M$10005,MATCH(('Reg 85'!$I$6:$Q$6&amp;'Reg 85'!$I$10:$K$10&amp;'Reg 85'!$B73),('DMR 001C TIN &amp; TP'!$E$3:$E$10005&amp;'DMR 001C TIN &amp; TP'!$B$3:$B$10005&amp;'DMR 001C TIN &amp; TP'!$A$3:$A$10005),0),MATCH('Reg 85'!$K$11,'DMR 001C TIN &amp; TP'!$A$2:$M$2,0))),"")</f>
        <v/>
      </c>
      <c r="L73" s="53" t="str">
        <f t="shared" si="21"/>
        <v/>
      </c>
      <c r="M73" s="5" t="str">
        <f t="shared" si="8"/>
        <v/>
      </c>
      <c r="N73" s="6" t="str">
        <f t="array" ref="N73">_xlfn.IFNA((INDEX('DMR 001C TIN &amp; TP'!$A$3:$M$10005,MATCH(('Reg 85'!$I$6:$Q$6&amp;'Reg 85'!$M$10&amp;'Reg 85'!$B73),('DMR 001C TIN &amp; TP'!$E$3:$E$10005&amp;'DMR 001C TIN &amp; TP'!$B$3:$B$10005&amp;'DMR 001C TIN &amp; TP'!$A$3:$A$10005),0),MATCH('Reg 85'!$N$11,'DMR 001C TIN &amp; TP'!$A$2:$M$2,0))),"")</f>
        <v/>
      </c>
      <c r="O73" s="6" t="str">
        <f t="array" ref="O73">_xlfn.IFNA((INDEX('DMR 001C TIN &amp; TP'!$A$3:$M$10005,MATCH(('Reg 85'!$I$6:$Q$6&amp;'Reg 85'!$M$10&amp;'Reg 85'!$B73),('DMR 001C TIN &amp; TP'!$E$3:$E$10005&amp;'DMR 001C TIN &amp; TP'!$B$3:$B$10005&amp;'DMR 001C TIN &amp; TP'!$A$3:$A$10005),0),MATCH('Reg 85'!$O$11,'DMR 001C TIN &amp; TP'!$A$2:$M$2,0))),"")</f>
        <v/>
      </c>
      <c r="P73" s="53" t="str">
        <f t="shared" si="9"/>
        <v/>
      </c>
      <c r="Q73" s="73" t="str">
        <f t="array" ref="Q73">IFERROR(((L73*$F73)+(P73*$G73))/($H73),"")</f>
        <v/>
      </c>
      <c r="R73" s="6" t="str">
        <f t="array" ref="R73">_xlfn.IFNA((INDEX('DMR 001C TIN &amp; TP'!$A$3:$M$10005,MATCH(('Reg 85'!$I$6:$Q$6&amp;'Reg 85'!R$10&amp;'Reg 85'!$B73),('DMR 001C TIN &amp; TP'!$E$3:$E$10005&amp;'DMR 001C TIN &amp; TP'!$B$3:$B$10005&amp;'DMR 001C TIN &amp; TP'!$A$3:$A$10005),0),MATCH('Reg 85'!$O$11,'DMR 001C TIN &amp; TP'!$A$2:$M$2,0))),"")</f>
        <v/>
      </c>
      <c r="S73" s="6" t="str">
        <f t="array" ref="S73">_xlfn.IFNA((INDEX('DMR 001C TIN &amp; TP'!$A$3:$M$10005,MATCH(('Reg 85'!$I$6:$Q$6&amp;'Reg 85'!S$10&amp;'Reg 85'!$B73),('DMR 001C TIN &amp; TP'!$E$3:$E$10005&amp;'DMR 001C TIN &amp; TP'!$B$3:$B$10005&amp;'DMR 001C TIN &amp; TP'!$A$3:$A$10005),0),MATCH('Reg 85'!$O$11,'DMR 001C TIN &amp; TP'!$A$2:$M$2,0))),"")</f>
        <v/>
      </c>
      <c r="T73" s="6" t="str">
        <f t="array" ref="T73">_xlfn.IFNA((INDEX('DMR 001C TIN &amp; TP'!$A$3:$M$10005,MATCH(('Reg 85'!$I$6:$Q$6&amp;'Reg 85'!T$10&amp;'Reg 85'!$B73),('DMR 001C TIN &amp; TP'!$E$3:$E$10005&amp;'DMR 001C TIN &amp; TP'!$B$3:$B$10005&amp;'DMR 001C TIN &amp; TP'!$A$3:$A$10005),0),MATCH('Reg 85'!$O$11,'DMR 001C TIN &amp; TP'!$A$2:$M$2,0))),"")</f>
        <v/>
      </c>
      <c r="U73" s="6" t="str">
        <f t="array" ref="U73">_xlfn.IFNA((INDEX('DMR 001C TIN &amp; TP'!$A$3:$M$10005,MATCH(('Reg 85'!$I$6:$Q$6&amp;'Reg 85'!U$10&amp;'Reg 85'!$B73),('DMR 001C TIN &amp; TP'!$E$3:$E$10005&amp;'DMR 001C TIN &amp; TP'!$B$3:$B$10005&amp;'DMR 001C TIN &amp; TP'!$A$3:$A$10005),0),MATCH('Reg 85'!$O$11,'DMR 001C TIN &amp; TP'!$A$2:$M$2,0))),"")</f>
        <v/>
      </c>
      <c r="V73" s="6" t="str">
        <f t="array" ref="V73">_xlfn.IFNA((INDEX('DMR 001C TIN &amp; TP'!$A$3:$M$10005,MATCH(('Reg 85'!$I$6:$Q$6&amp;'Reg 85'!V$10&amp;'Reg 85'!$B73),('DMR 001C TIN &amp; TP'!$E$3:$E$10005&amp;'DMR 001C TIN &amp; TP'!$B$3:$B$10005&amp;'DMR 001C TIN &amp; TP'!$A$3:$A$10005),0),MATCH('Reg 85'!$O$11,'DMR 001C TIN &amp; TP'!$A$2:$M$2,0))),"")</f>
        <v/>
      </c>
      <c r="W73" s="6" t="str">
        <f t="array" ref="W73">_xlfn.IFNA((INDEX('DMR 001C TIN &amp; TP'!$A$3:$M$10005,MATCH(('Reg 85'!$I$6:$Q$6&amp;'Reg 85'!W$10&amp;'Reg 85'!$B73),('DMR 001C TIN &amp; TP'!$E$3:$E$10005&amp;'DMR 001C TIN &amp; TP'!$B$3:$B$10005&amp;'DMR 001C TIN &amp; TP'!$A$3:$A$10005),0),MATCH('Reg 85'!$O$11,'DMR 001C TIN &amp; TP'!$A$2:$M$2,0))),"")</f>
        <v/>
      </c>
      <c r="X73" s="5" t="str">
        <f t="shared" si="10"/>
        <v/>
      </c>
      <c r="Y73" s="6" t="str">
        <f t="array" ref="Y73">_xlfn.IFNA((INDEX('DMR 001C TIN &amp; TP'!$A$3:$M$10005,MATCH(('Reg 85'!$X$6&amp;'Reg 85'!$X$10&amp;'Reg 85'!$B73),('DMR 001C TIN &amp; TP'!$E$3:$E$10005&amp;'DMR 001C TIN &amp; TP'!$B$3:$B$10005&amp;'DMR 001C TIN &amp; TP'!$A$3:$A$10005),0),MATCH('Reg 85'!$Y$11,'DMR 001C TIN &amp; TP'!$A$2:$M$2,0))),"")</f>
        <v/>
      </c>
      <c r="Z73" s="6" t="str">
        <f t="array" ref="Z73">_xlfn.IFNA((INDEX('DMR 001C TIN &amp; TP'!$A$3:$M$10005,MATCH(('Reg 85'!$X$6&amp;'Reg 85'!$X$10&amp;'Reg 85'!$B73),('DMR 001C TIN &amp; TP'!$E$3:$E$10005&amp;'DMR 001C TIN &amp; TP'!$B$3:$B$10005&amp;'DMR 001C TIN &amp; TP'!$A$3:$A$10005),0),MATCH('Reg 85'!$Z$11,'DMR 001C TIN &amp; TP'!$A$2:$M$2,0))),"")</f>
        <v/>
      </c>
      <c r="AA73" s="53" t="str">
        <f t="shared" si="11"/>
        <v/>
      </c>
      <c r="AB73" s="5" t="str">
        <f t="shared" si="12"/>
        <v/>
      </c>
      <c r="AC73" s="6" t="str">
        <f t="array" ref="AC73">_xlfn.IFNA((INDEX('DMR 001C TIN &amp; TP'!$A$3:$M$10005,MATCH(('Reg 85'!$X$6&amp;'Reg 85'!$AB$10&amp;'Reg 85'!$B73),('DMR 001C TIN &amp; TP'!$E$3:$E$10005&amp;'DMR 001C TIN &amp; TP'!$B$3:$B$10005&amp;'DMR 001C TIN &amp; TP'!$A$3:$A$10005),0),MATCH('Reg 85'!$AC$11,'DMR 001C TIN &amp; TP'!$A$2:$M$2,0))),"")</f>
        <v/>
      </c>
      <c r="AD73" s="6" t="str">
        <f t="array" ref="AD73">_xlfn.IFNA((INDEX('DMR 001C TIN &amp; TP'!$A$3:$M$10005,MATCH(('Reg 85'!$X$6&amp;'Reg 85'!$AB$10&amp;'Reg 85'!$B73),('DMR 001C TIN &amp; TP'!$E$3:$E$10005&amp;'DMR 001C TIN &amp; TP'!$B$3:$B$10005&amp;'DMR 001C TIN &amp; TP'!$A$3:$A$10005),0),MATCH('Reg 85'!$AD$11,'DMR 001C TIN &amp; TP'!$A$2:$M$2,0))),"")</f>
        <v/>
      </c>
      <c r="AE73" s="53" t="str">
        <f t="shared" si="13"/>
        <v/>
      </c>
      <c r="AF73" s="7" t="str">
        <f t="shared" si="14"/>
        <v/>
      </c>
      <c r="AG73" s="6" t="str">
        <f t="array" ref="AG73">_xlfn.IFNA((INDEX('DMR 001C TIN &amp; TP'!$A$3:$M$10005,MATCH(('Reg 85'!$X$6&amp;'Reg 85'!AG$10&amp;'Reg 85'!$B73),('DMR 001C TIN &amp; TP'!$E$3:$E$10005&amp;'DMR 001C TIN &amp; TP'!$B$3:$B$10005&amp;'DMR 001C TIN &amp; TP'!$A$3:$A$10005),0),MATCH('Reg 85'!$AG$11,'DMR 001C TIN &amp; TP'!$A$2:$M$2,0))),"")</f>
        <v/>
      </c>
      <c r="AH73" s="6" t="str">
        <f t="array" ref="AH73">_xlfn.IFNA((INDEX('DMR 001C TIN &amp; TP'!$A$3:$M$10005,MATCH(('Reg 85'!$X$6&amp;'Reg 85'!AH$10&amp;'Reg 85'!$B73),('DMR 001C TIN &amp; TP'!$E$3:$E$10005&amp;'DMR 001C TIN &amp; TP'!$B$3:$B$10005&amp;'DMR 001C TIN &amp; TP'!$A$3:$A$10005),0),MATCH('Reg 85'!$AG$11,'DMR 001C TIN &amp; TP'!$A$2:$M$2,0))),"")</f>
        <v/>
      </c>
      <c r="AI73" s="6" t="str">
        <f t="array" ref="AI73">_xlfn.IFNA((INDEX('DMR 001C TIN &amp; TP'!$A$3:$M$10005,MATCH(('Reg 85'!$X$6&amp;'Reg 85'!AI$10&amp;'Reg 85'!$B73),('DMR 001C TIN &amp; TP'!$E$3:$E$10005&amp;'DMR 001C TIN &amp; TP'!$B$3:$B$10005&amp;'DMR 001C TIN &amp; TP'!$A$3:$A$10005),0),MATCH('Reg 85'!$AG$11,'DMR 001C TIN &amp; TP'!$A$2:$M$2,0))),"")</f>
        <v/>
      </c>
      <c r="AJ73" s="6" t="str">
        <f t="array" ref="AJ73">_xlfn.IFNA((INDEX('DMR 001C TIN &amp; TP'!$A$3:$M$10005,MATCH(('Reg 85'!$X$6&amp;'Reg 85'!AJ$10&amp;'Reg 85'!$B73),('DMR 001C TIN &amp; TP'!$E$3:$E$10005&amp;'DMR 001C TIN &amp; TP'!$B$3:$B$10005&amp;'DMR 001C TIN &amp; TP'!$A$3:$A$10005),0),MATCH('Reg 85'!$AG$11,'DMR 001C TIN &amp; TP'!$A$2:$M$2,0))),"")</f>
        <v/>
      </c>
      <c r="AK73" s="6" t="str">
        <f t="array" ref="AK73">_xlfn.IFNA((INDEX('DMR 001C TIN &amp; TP'!$A$3:$M$10005,MATCH(('Reg 85'!$X$6&amp;'Reg 85'!AK$10&amp;'Reg 85'!$B73),('DMR 001C TIN &amp; TP'!$E$3:$E$10005&amp;'DMR 001C TIN &amp; TP'!$B$3:$B$10005&amp;'DMR 001C TIN &amp; TP'!$A$3:$A$10005),0),MATCH('Reg 85'!$AG$11,'DMR 001C TIN &amp; TP'!$A$2:$M$2,0))),"")</f>
        <v/>
      </c>
      <c r="AL73" s="6" t="str">
        <f t="array" ref="AL73">_xlfn.IFNA((INDEX('DMR 001C TIN &amp; TP'!$A$3:$M$10005,MATCH(('Reg 85'!$X$6&amp;'Reg 85'!AL$10&amp;'Reg 85'!$B73),('DMR 001C TIN &amp; TP'!$E$3:$E$10005&amp;'DMR 001C TIN &amp; TP'!$B$3:$B$10005&amp;'DMR 001C TIN &amp; TP'!$A$3:$A$10005),0),MATCH('Reg 85'!$AG$11,'DMR 001C TIN &amp; TP'!$A$2:$M$2,0))),"")</f>
        <v/>
      </c>
      <c r="AM73" s="76"/>
      <c r="AN73" s="6"/>
      <c r="AO73" s="54" t="str">
        <f t="shared" si="0"/>
        <v/>
      </c>
      <c r="AP73" s="77" t="str">
        <f t="shared" si="39"/>
        <v/>
      </c>
      <c r="AQ73" s="47"/>
      <c r="AR73" s="6" t="str">
        <f t="array" ref="AR73">_xlfn.IFNA((INDEX('DMR 001C TIN &amp; TP'!$A$3:$M$10005,MATCH(('Reg 85'!$AQ$6&amp;'Reg 85'!$AQ$10&amp;'Reg 85'!$B73),('DMR 001C TIN &amp; TP'!$E$3:$E$10005&amp;'DMR 001C TIN &amp; TP'!$B$3:$B$10005&amp;'DMR 001C TIN &amp; TP'!$A$3:$A$10005),0),MATCH('Reg 85'!$AR$11,'DMR 001C TIN &amp; TP'!$A$2:$M$2,0))),"")</f>
        <v>0.03</v>
      </c>
      <c r="AS73" s="6">
        <f t="array" ref="AS73">_xlfn.IFNA((INDEX('DMR 001C TIN &amp; TP'!$A$3:$M$10005,MATCH(('Reg 85'!$AQ$6&amp;'Reg 85'!$AQ$10&amp;'Reg 85'!$B73),('DMR 001C TIN &amp; TP'!$E$3:$E$10005&amp;'DMR 001C TIN &amp; TP'!$B$3:$B$10005&amp;'DMR 001C TIN &amp; TP'!$A$3:$A$10005),0),MATCH('Reg 85'!$AS$11,'DMR 001C TIN &amp; TP'!$A$2:$M$2,0))),"")</f>
        <v>0.31</v>
      </c>
      <c r="AT73" s="53">
        <f t="shared" si="15"/>
        <v>0.31</v>
      </c>
      <c r="AV73" s="6" t="str">
        <f t="array" ref="AV73">_xlfn.IFNA((INDEX('DMR 001C TIN &amp; TP'!$A$3:$M$10005,MATCH(('Reg 85'!$AQ$6&amp;'Reg 85'!$AU$10&amp;'Reg 85'!$B73),('DMR 001C TIN &amp; TP'!$E$3:$E$10005&amp;'DMR 001C TIN &amp; TP'!$B$3:$B$10005&amp;'DMR 001C TIN &amp; TP'!$A$3:$A$10005),0),MATCH('Reg 85'!$AV$11,'DMR 001C TIN &amp; TP'!$A$2:$M$2,0))),"")</f>
        <v>0.03</v>
      </c>
      <c r="AW73" s="6">
        <f t="array" ref="AW73">_xlfn.IFNA((INDEX('DMR 001C TIN &amp; TP'!$A$3:$M$10005,MATCH(('Reg 85'!$AQ$6&amp;'Reg 85'!$AU$10&amp;'Reg 85'!$B73),('DMR 001C TIN &amp; TP'!$E$3:$E$10005&amp;'DMR 001C TIN &amp; TP'!$B$3:$B$10005&amp;'DMR 001C TIN &amp; TP'!$A$3:$A$10005),0),MATCH('Reg 85'!$AW$11,'DMR 001C TIN &amp; TP'!$A$2:$M$2,0))),"")</f>
        <v>1.79</v>
      </c>
      <c r="AX73" s="53">
        <f t="shared" si="16"/>
        <v>1.79</v>
      </c>
      <c r="AY73" s="55">
        <f t="shared" si="17"/>
        <v>1.3582129045560383</v>
      </c>
      <c r="AZ73" s="77" t="str">
        <f t="shared" si="40"/>
        <v/>
      </c>
      <c r="BA73" s="6" t="str">
        <f t="array" ref="BA73">_xlfn.IFNA((INDEX('DMR 001C TIN &amp; TP'!$A$3:$M$10005,MATCH(('Reg 85'!$AQ$6&amp;'Reg 85'!BA$10&amp;'Reg 85'!$B73),('DMR 001C TIN &amp; TP'!$E$3:$E$10005&amp;'DMR 001C TIN &amp; TP'!$B$3:$B$10005&amp;'DMR 001C TIN &amp; TP'!$A$3:$A$10005),0),MATCH('Reg 85'!$AG$11,'DMR 001C TIN &amp; TP'!$A$2:$M$2,0))),"")</f>
        <v/>
      </c>
      <c r="BB73" s="6" t="str">
        <f t="array" ref="BB73">_xlfn.IFNA((INDEX('DMR 001C TIN &amp; TP'!$A$3:$M$10005,MATCH(('Reg 85'!$AQ$6&amp;'Reg 85'!BB$10&amp;'Reg 85'!$B73),('DMR 001C TIN &amp; TP'!$E$3:$E$10005&amp;'DMR 001C TIN &amp; TP'!$B$3:$B$10005&amp;'DMR 001C TIN &amp; TP'!$A$3:$A$10005),0),MATCH('Reg 85'!$AG$11,'DMR 001C TIN &amp; TP'!$A$2:$M$2,0))),"")</f>
        <v/>
      </c>
      <c r="BC73" s="6" t="str">
        <f t="array" ref="BC73">_xlfn.IFNA((INDEX('DMR 001C TIN &amp; TP'!$A$3:$M$10005,MATCH(('Reg 85'!$AQ$6&amp;'Reg 85'!BC$10&amp;'Reg 85'!$B73),('DMR 001C TIN &amp; TP'!$E$3:$E$10005&amp;'DMR 001C TIN &amp; TP'!$B$3:$B$10005&amp;'DMR 001C TIN &amp; TP'!$A$3:$A$10005),0),MATCH('Reg 85'!$AG$11,'DMR 001C TIN &amp; TP'!$A$2:$M$2,0))),"")</f>
        <v/>
      </c>
      <c r="BD73" s="6" t="str">
        <f t="array" ref="BD73">_xlfn.IFNA((INDEX('DMR 001C TIN &amp; TP'!$A$3:$M$10005,MATCH(('Reg 85'!$AQ$6&amp;'Reg 85'!BD$10&amp;'Reg 85'!$B73),('DMR 001C TIN &amp; TP'!$E$3:$E$10005&amp;'DMR 001C TIN &amp; TP'!$B$3:$B$10005&amp;'DMR 001C TIN &amp; TP'!$A$3:$A$10005),0),MATCH('Reg 85'!$AG$11,'DMR 001C TIN &amp; TP'!$A$2:$M$2,0))),"")</f>
        <v/>
      </c>
      <c r="BE73" s="6" t="str">
        <f t="array" ref="BE73">_xlfn.IFNA((INDEX('DMR 001C TIN &amp; TP'!$A$3:$M$10005,MATCH(('Reg 85'!$AQ$6&amp;'Reg 85'!BE$10&amp;'Reg 85'!$B73),('DMR 001C TIN &amp; TP'!$E$3:$E$10005&amp;'DMR 001C TIN &amp; TP'!$B$3:$B$10005&amp;'DMR 001C TIN &amp; TP'!$A$3:$A$10005),0),MATCH('Reg 85'!$AG$11,'DMR 001C TIN &amp; TP'!$A$2:$M$2,0))),"")</f>
        <v/>
      </c>
      <c r="BF73" s="6" t="str">
        <f t="array" ref="BF73">_xlfn.IFNA((INDEX('DMR 001C TIN &amp; TP'!$A$3:$M$10005,MATCH(('Reg 85'!$AQ$6&amp;'Reg 85'!BF$10&amp;'Reg 85'!$B73),('DMR 001C TIN &amp; TP'!$E$3:$E$10005&amp;'DMR 001C TIN &amp; TP'!$B$3:$B$10005&amp;'DMR 001C TIN &amp; TP'!$A$3:$A$10005),0),MATCH('Reg 85'!$AG$11,'DMR 001C TIN &amp; TP'!$A$2:$M$2,0))),"")</f>
        <v/>
      </c>
    </row>
    <row r="74" spans="1:58">
      <c r="A74" s="3" t="str">
        <f t="shared" si="2"/>
        <v>Fri</v>
      </c>
      <c r="B74" s="96">
        <f t="shared" si="19"/>
        <v>43406</v>
      </c>
      <c r="C74" s="96">
        <f t="shared" si="3"/>
        <v>43434</v>
      </c>
      <c r="D74" s="96">
        <f t="shared" si="4"/>
        <v>43405</v>
      </c>
      <c r="E74" s="95">
        <f t="shared" si="5"/>
        <v>30</v>
      </c>
      <c r="F74" s="7">
        <f t="array" ref="F74">_xlfn.IFNA(INDEX('DMR Flows-Effluent'!$A$3:$F$9999,MATCH(($F$10&amp;$B74),('DMR Flows-Effluent'!$B$3:$B$9999&amp;'DMR Flows-Effluent'!$A$3:$A$9999),0),MATCH($F$8,'DMR Flows-Effluent'!$A$2:$F$2,0)),"")</f>
        <v>40.557899999999997</v>
      </c>
      <c r="G74" s="7">
        <f t="array" ref="G74">_xlfn.IFNA(INDEX('DMR Flows-Effluent'!$A$3:$F$9999,MATCH(($G$10&amp;$B74),('DMR Flows-Effluent'!$B$3:$B$9999&amp;'DMR Flows-Effluent'!$A$3:$A$9999),0),MATCH($F$8,'DMR Flows-Effluent'!$A$2:$F$2,0)),"")</f>
        <v>78.728399999999993</v>
      </c>
      <c r="H74" s="7">
        <f t="shared" si="6"/>
        <v>119.28629999999998</v>
      </c>
      <c r="I74" s="45" t="str">
        <f t="shared" si="7"/>
        <v/>
      </c>
      <c r="J74" s="6" t="str">
        <f t="array" ref="J74">_xlfn.IFNA((INDEX('DMR 001C TIN &amp; TP'!$A$3:$M$10005,MATCH(('Reg 85'!$I$6:$Q$6&amp;'Reg 85'!$I$10:$K$10&amp;'Reg 85'!$B74),('DMR 001C TIN &amp; TP'!$E$3:$E$10005&amp;'DMR 001C TIN &amp; TP'!$B$3:$B$10005&amp;'DMR 001C TIN &amp; TP'!$A$3:$A$10005),0),MATCH('Reg 85'!$J$11,'DMR 001C TIN &amp; TP'!$A$2:$M$2,0))),"")</f>
        <v/>
      </c>
      <c r="K74" s="6" t="str">
        <f t="array" ref="K74">_xlfn.IFNA((INDEX('DMR 001C TIN &amp; TP'!$A$3:$M$10005,MATCH(('Reg 85'!$I$6:$Q$6&amp;'Reg 85'!$I$10:$K$10&amp;'Reg 85'!$B74),('DMR 001C TIN &amp; TP'!$E$3:$E$10005&amp;'DMR 001C TIN &amp; TP'!$B$3:$B$10005&amp;'DMR 001C TIN &amp; TP'!$A$3:$A$10005),0),MATCH('Reg 85'!$K$11,'DMR 001C TIN &amp; TP'!$A$2:$M$2,0))),"")</f>
        <v/>
      </c>
      <c r="L74" s="53" t="str">
        <f t="shared" si="21"/>
        <v/>
      </c>
      <c r="M74" s="5" t="str">
        <f t="shared" si="8"/>
        <v/>
      </c>
      <c r="N74" s="6" t="str">
        <f t="array" ref="N74">_xlfn.IFNA((INDEX('DMR 001C TIN &amp; TP'!$A$3:$M$10005,MATCH(('Reg 85'!$I$6:$Q$6&amp;'Reg 85'!$M$10&amp;'Reg 85'!$B74),('DMR 001C TIN &amp; TP'!$E$3:$E$10005&amp;'DMR 001C TIN &amp; TP'!$B$3:$B$10005&amp;'DMR 001C TIN &amp; TP'!$A$3:$A$10005),0),MATCH('Reg 85'!$N$11,'DMR 001C TIN &amp; TP'!$A$2:$M$2,0))),"")</f>
        <v/>
      </c>
      <c r="O74" s="6" t="str">
        <f t="array" ref="O74">_xlfn.IFNA((INDEX('DMR 001C TIN &amp; TP'!$A$3:$M$10005,MATCH(('Reg 85'!$I$6:$Q$6&amp;'Reg 85'!$M$10&amp;'Reg 85'!$B74),('DMR 001C TIN &amp; TP'!$E$3:$E$10005&amp;'DMR 001C TIN &amp; TP'!$B$3:$B$10005&amp;'DMR 001C TIN &amp; TP'!$A$3:$A$10005),0),MATCH('Reg 85'!$O$11,'DMR 001C TIN &amp; TP'!$A$2:$M$2,0))),"")</f>
        <v/>
      </c>
      <c r="P74" s="53" t="str">
        <f t="shared" si="9"/>
        <v/>
      </c>
      <c r="Q74" s="73" t="str">
        <f t="array" ref="Q74">IFERROR(((L74*$F74)+(P74*$G74))/($H74),"")</f>
        <v/>
      </c>
      <c r="R74" s="6" t="str">
        <f t="array" ref="R74">_xlfn.IFNA((INDEX('DMR 001C TIN &amp; TP'!$A$3:$M$10005,MATCH(('Reg 85'!$I$6:$Q$6&amp;'Reg 85'!R$10&amp;'Reg 85'!$B74),('DMR 001C TIN &amp; TP'!$E$3:$E$10005&amp;'DMR 001C TIN &amp; TP'!$B$3:$B$10005&amp;'DMR 001C TIN &amp; TP'!$A$3:$A$10005),0),MATCH('Reg 85'!$O$11,'DMR 001C TIN &amp; TP'!$A$2:$M$2,0))),"")</f>
        <v/>
      </c>
      <c r="S74" s="6" t="str">
        <f t="array" ref="S74">_xlfn.IFNA((INDEX('DMR 001C TIN &amp; TP'!$A$3:$M$10005,MATCH(('Reg 85'!$I$6:$Q$6&amp;'Reg 85'!S$10&amp;'Reg 85'!$B74),('DMR 001C TIN &amp; TP'!$E$3:$E$10005&amp;'DMR 001C TIN &amp; TP'!$B$3:$B$10005&amp;'DMR 001C TIN &amp; TP'!$A$3:$A$10005),0),MATCH('Reg 85'!$O$11,'DMR 001C TIN &amp; TP'!$A$2:$M$2,0))),"")</f>
        <v/>
      </c>
      <c r="T74" s="6" t="str">
        <f t="array" ref="T74">_xlfn.IFNA((INDEX('DMR 001C TIN &amp; TP'!$A$3:$M$10005,MATCH(('Reg 85'!$I$6:$Q$6&amp;'Reg 85'!T$10&amp;'Reg 85'!$B74),('DMR 001C TIN &amp; TP'!$E$3:$E$10005&amp;'DMR 001C TIN &amp; TP'!$B$3:$B$10005&amp;'DMR 001C TIN &amp; TP'!$A$3:$A$10005),0),MATCH('Reg 85'!$O$11,'DMR 001C TIN &amp; TP'!$A$2:$M$2,0))),"")</f>
        <v/>
      </c>
      <c r="U74" s="6" t="str">
        <f t="array" ref="U74">_xlfn.IFNA((INDEX('DMR 001C TIN &amp; TP'!$A$3:$M$10005,MATCH(('Reg 85'!$I$6:$Q$6&amp;'Reg 85'!U$10&amp;'Reg 85'!$B74),('DMR 001C TIN &amp; TP'!$E$3:$E$10005&amp;'DMR 001C TIN &amp; TP'!$B$3:$B$10005&amp;'DMR 001C TIN &amp; TP'!$A$3:$A$10005),0),MATCH('Reg 85'!$O$11,'DMR 001C TIN &amp; TP'!$A$2:$M$2,0))),"")</f>
        <v/>
      </c>
      <c r="V74" s="6" t="str">
        <f t="array" ref="V74">_xlfn.IFNA((INDEX('DMR 001C TIN &amp; TP'!$A$3:$M$10005,MATCH(('Reg 85'!$I$6:$Q$6&amp;'Reg 85'!V$10&amp;'Reg 85'!$B74),('DMR 001C TIN &amp; TP'!$E$3:$E$10005&amp;'DMR 001C TIN &amp; TP'!$B$3:$B$10005&amp;'DMR 001C TIN &amp; TP'!$A$3:$A$10005),0),MATCH('Reg 85'!$O$11,'DMR 001C TIN &amp; TP'!$A$2:$M$2,0))),"")</f>
        <v/>
      </c>
      <c r="W74" s="6" t="str">
        <f t="array" ref="W74">_xlfn.IFNA((INDEX('DMR 001C TIN &amp; TP'!$A$3:$M$10005,MATCH(('Reg 85'!$I$6:$Q$6&amp;'Reg 85'!W$10&amp;'Reg 85'!$B74),('DMR 001C TIN &amp; TP'!$E$3:$E$10005&amp;'DMR 001C TIN &amp; TP'!$B$3:$B$10005&amp;'DMR 001C TIN &amp; TP'!$A$3:$A$10005),0),MATCH('Reg 85'!$O$11,'DMR 001C TIN &amp; TP'!$A$2:$M$2,0))),"")</f>
        <v/>
      </c>
      <c r="X74" s="5" t="str">
        <f t="shared" si="10"/>
        <v/>
      </c>
      <c r="Y74" s="6" t="str">
        <f t="array" ref="Y74">_xlfn.IFNA((INDEX('DMR 001C TIN &amp; TP'!$A$3:$M$10005,MATCH(('Reg 85'!$X$6&amp;'Reg 85'!$X$10&amp;'Reg 85'!$B74),('DMR 001C TIN &amp; TP'!$E$3:$E$10005&amp;'DMR 001C TIN &amp; TP'!$B$3:$B$10005&amp;'DMR 001C TIN &amp; TP'!$A$3:$A$10005),0),MATCH('Reg 85'!$Y$11,'DMR 001C TIN &amp; TP'!$A$2:$M$2,0))),"")</f>
        <v/>
      </c>
      <c r="Z74" s="6" t="str">
        <f t="array" ref="Z74">_xlfn.IFNA((INDEX('DMR 001C TIN &amp; TP'!$A$3:$M$10005,MATCH(('Reg 85'!$X$6&amp;'Reg 85'!$X$10&amp;'Reg 85'!$B74),('DMR 001C TIN &amp; TP'!$E$3:$E$10005&amp;'DMR 001C TIN &amp; TP'!$B$3:$B$10005&amp;'DMR 001C TIN &amp; TP'!$A$3:$A$10005),0),MATCH('Reg 85'!$Z$11,'DMR 001C TIN &amp; TP'!$A$2:$M$2,0))),"")</f>
        <v/>
      </c>
      <c r="AA74" s="53" t="str">
        <f t="shared" si="11"/>
        <v/>
      </c>
      <c r="AB74" s="5" t="str">
        <f t="shared" si="12"/>
        <v/>
      </c>
      <c r="AC74" s="6" t="str">
        <f t="array" ref="AC74">_xlfn.IFNA((INDEX('DMR 001C TIN &amp; TP'!$A$3:$M$10005,MATCH(('Reg 85'!$X$6&amp;'Reg 85'!$AB$10&amp;'Reg 85'!$B74),('DMR 001C TIN &amp; TP'!$E$3:$E$10005&amp;'DMR 001C TIN &amp; TP'!$B$3:$B$10005&amp;'DMR 001C TIN &amp; TP'!$A$3:$A$10005),0),MATCH('Reg 85'!$AC$11,'DMR 001C TIN &amp; TP'!$A$2:$M$2,0))),"")</f>
        <v/>
      </c>
      <c r="AD74" s="6" t="str">
        <f t="array" ref="AD74">_xlfn.IFNA((INDEX('DMR 001C TIN &amp; TP'!$A$3:$M$10005,MATCH(('Reg 85'!$X$6&amp;'Reg 85'!$AB$10&amp;'Reg 85'!$B74),('DMR 001C TIN &amp; TP'!$E$3:$E$10005&amp;'DMR 001C TIN &amp; TP'!$B$3:$B$10005&amp;'DMR 001C TIN &amp; TP'!$A$3:$A$10005),0),MATCH('Reg 85'!$AD$11,'DMR 001C TIN &amp; TP'!$A$2:$M$2,0))),"")</f>
        <v/>
      </c>
      <c r="AE74" s="53" t="str">
        <f t="shared" si="13"/>
        <v/>
      </c>
      <c r="AF74" s="7" t="str">
        <f t="shared" si="14"/>
        <v/>
      </c>
      <c r="AG74" s="6" t="str">
        <f t="array" ref="AG74">_xlfn.IFNA((INDEX('DMR 001C TIN &amp; TP'!$A$3:$M$10005,MATCH(('Reg 85'!$X$6&amp;'Reg 85'!AG$10&amp;'Reg 85'!$B74),('DMR 001C TIN &amp; TP'!$E$3:$E$10005&amp;'DMR 001C TIN &amp; TP'!$B$3:$B$10005&amp;'DMR 001C TIN &amp; TP'!$A$3:$A$10005),0),MATCH('Reg 85'!$AG$11,'DMR 001C TIN &amp; TP'!$A$2:$M$2,0))),"")</f>
        <v/>
      </c>
      <c r="AH74" s="6" t="str">
        <f t="array" ref="AH74">_xlfn.IFNA((INDEX('DMR 001C TIN &amp; TP'!$A$3:$M$10005,MATCH(('Reg 85'!$X$6&amp;'Reg 85'!AH$10&amp;'Reg 85'!$B74),('DMR 001C TIN &amp; TP'!$E$3:$E$10005&amp;'DMR 001C TIN &amp; TP'!$B$3:$B$10005&amp;'DMR 001C TIN &amp; TP'!$A$3:$A$10005),0),MATCH('Reg 85'!$AG$11,'DMR 001C TIN &amp; TP'!$A$2:$M$2,0))),"")</f>
        <v/>
      </c>
      <c r="AI74" s="6" t="str">
        <f t="array" ref="AI74">_xlfn.IFNA((INDEX('DMR 001C TIN &amp; TP'!$A$3:$M$10005,MATCH(('Reg 85'!$X$6&amp;'Reg 85'!AI$10&amp;'Reg 85'!$B74),('DMR 001C TIN &amp; TP'!$E$3:$E$10005&amp;'DMR 001C TIN &amp; TP'!$B$3:$B$10005&amp;'DMR 001C TIN &amp; TP'!$A$3:$A$10005),0),MATCH('Reg 85'!$AG$11,'DMR 001C TIN &amp; TP'!$A$2:$M$2,0))),"")</f>
        <v/>
      </c>
      <c r="AJ74" s="6" t="str">
        <f t="array" ref="AJ74">_xlfn.IFNA((INDEX('DMR 001C TIN &amp; TP'!$A$3:$M$10005,MATCH(('Reg 85'!$X$6&amp;'Reg 85'!AJ$10&amp;'Reg 85'!$B74),('DMR 001C TIN &amp; TP'!$E$3:$E$10005&amp;'DMR 001C TIN &amp; TP'!$B$3:$B$10005&amp;'DMR 001C TIN &amp; TP'!$A$3:$A$10005),0),MATCH('Reg 85'!$AG$11,'DMR 001C TIN &amp; TP'!$A$2:$M$2,0))),"")</f>
        <v/>
      </c>
      <c r="AK74" s="6" t="str">
        <f t="array" ref="AK74">_xlfn.IFNA((INDEX('DMR 001C TIN &amp; TP'!$A$3:$M$10005,MATCH(('Reg 85'!$X$6&amp;'Reg 85'!AK$10&amp;'Reg 85'!$B74),('DMR 001C TIN &amp; TP'!$E$3:$E$10005&amp;'DMR 001C TIN &amp; TP'!$B$3:$B$10005&amp;'DMR 001C TIN &amp; TP'!$A$3:$A$10005),0),MATCH('Reg 85'!$AG$11,'DMR 001C TIN &amp; TP'!$A$2:$M$2,0))),"")</f>
        <v/>
      </c>
      <c r="AL74" s="6" t="str">
        <f t="array" ref="AL74">_xlfn.IFNA((INDEX('DMR 001C TIN &amp; TP'!$A$3:$M$10005,MATCH(('Reg 85'!$X$6&amp;'Reg 85'!AL$10&amp;'Reg 85'!$B74),('DMR 001C TIN &amp; TP'!$E$3:$E$10005&amp;'DMR 001C TIN &amp; TP'!$B$3:$B$10005&amp;'DMR 001C TIN &amp; TP'!$A$3:$A$10005),0),MATCH('Reg 85'!$AG$11,'DMR 001C TIN &amp; TP'!$A$2:$M$2,0))),"")</f>
        <v/>
      </c>
      <c r="AM74" s="76"/>
      <c r="AN74" s="6"/>
      <c r="AO74" s="54" t="str">
        <f t="shared" si="0"/>
        <v/>
      </c>
      <c r="AP74" s="77" t="str">
        <f t="shared" si="39"/>
        <v/>
      </c>
      <c r="AQ74" s="47"/>
      <c r="AR74" s="6" t="str">
        <f t="array" ref="AR74">_xlfn.IFNA((INDEX('DMR 001C TIN &amp; TP'!$A$3:$M$10005,MATCH(('Reg 85'!$AQ$6&amp;'Reg 85'!$AQ$10&amp;'Reg 85'!$B74),('DMR 001C TIN &amp; TP'!$E$3:$E$10005&amp;'DMR 001C TIN &amp; TP'!$B$3:$B$10005&amp;'DMR 001C TIN &amp; TP'!$A$3:$A$10005),0),MATCH('Reg 85'!$AR$11,'DMR 001C TIN &amp; TP'!$A$2:$M$2,0))),"")</f>
        <v/>
      </c>
      <c r="AS74" s="6" t="str">
        <f t="array" ref="AS74">_xlfn.IFNA((INDEX('DMR 001C TIN &amp; TP'!$A$3:$M$10005,MATCH(('Reg 85'!$AQ$6&amp;'Reg 85'!$AQ$10&amp;'Reg 85'!$B74),('DMR 001C TIN &amp; TP'!$E$3:$E$10005&amp;'DMR 001C TIN &amp; TP'!$B$3:$B$10005&amp;'DMR 001C TIN &amp; TP'!$A$3:$A$10005),0),MATCH('Reg 85'!$AS$11,'DMR 001C TIN &amp; TP'!$A$2:$M$2,0))),"")</f>
        <v/>
      </c>
      <c r="AT74" s="53" t="str">
        <f t="shared" si="15"/>
        <v/>
      </c>
      <c r="AV74" s="6" t="str">
        <f t="array" ref="AV74">_xlfn.IFNA((INDEX('DMR 001C TIN &amp; TP'!$A$3:$M$10005,MATCH(('Reg 85'!$AQ$6&amp;'Reg 85'!$AU$10&amp;'Reg 85'!$B74),('DMR 001C TIN &amp; TP'!$E$3:$E$10005&amp;'DMR 001C TIN &amp; TP'!$B$3:$B$10005&amp;'DMR 001C TIN &amp; TP'!$A$3:$A$10005),0),MATCH('Reg 85'!$AV$11,'DMR 001C TIN &amp; TP'!$A$2:$M$2,0))),"")</f>
        <v/>
      </c>
      <c r="AW74" s="6" t="str">
        <f t="array" ref="AW74">_xlfn.IFNA((INDEX('DMR 001C TIN &amp; TP'!$A$3:$M$10005,MATCH(('Reg 85'!$AQ$6&amp;'Reg 85'!$AU$10&amp;'Reg 85'!$B74),('DMR 001C TIN &amp; TP'!$E$3:$E$10005&amp;'DMR 001C TIN &amp; TP'!$B$3:$B$10005&amp;'DMR 001C TIN &amp; TP'!$A$3:$A$10005),0),MATCH('Reg 85'!$AW$11,'DMR 001C TIN &amp; TP'!$A$2:$M$2,0))),"")</f>
        <v/>
      </c>
      <c r="AX74" s="53" t="str">
        <f t="shared" si="16"/>
        <v/>
      </c>
      <c r="AY74" s="55" t="str">
        <f t="shared" si="17"/>
        <v/>
      </c>
      <c r="AZ74" s="77" t="str">
        <f t="shared" si="40"/>
        <v/>
      </c>
      <c r="BA74" s="6" t="str">
        <f t="array" ref="BA74">_xlfn.IFNA((INDEX('DMR 001C TIN &amp; TP'!$A$3:$M$10005,MATCH(('Reg 85'!$AQ$6&amp;'Reg 85'!BA$10&amp;'Reg 85'!$B74),('DMR 001C TIN &amp; TP'!$E$3:$E$10005&amp;'DMR 001C TIN &amp; TP'!$B$3:$B$10005&amp;'DMR 001C TIN &amp; TP'!$A$3:$A$10005),0),MATCH('Reg 85'!$AG$11,'DMR 001C TIN &amp; TP'!$A$2:$M$2,0))),"")</f>
        <v/>
      </c>
      <c r="BB74" s="6" t="str">
        <f t="array" ref="BB74">_xlfn.IFNA((INDEX('DMR 001C TIN &amp; TP'!$A$3:$M$10005,MATCH(('Reg 85'!$AQ$6&amp;'Reg 85'!BB$10&amp;'Reg 85'!$B74),('DMR 001C TIN &amp; TP'!$E$3:$E$10005&amp;'DMR 001C TIN &amp; TP'!$B$3:$B$10005&amp;'DMR 001C TIN &amp; TP'!$A$3:$A$10005),0),MATCH('Reg 85'!$AG$11,'DMR 001C TIN &amp; TP'!$A$2:$M$2,0))),"")</f>
        <v/>
      </c>
      <c r="BC74" s="6" t="str">
        <f t="array" ref="BC74">_xlfn.IFNA((INDEX('DMR 001C TIN &amp; TP'!$A$3:$M$10005,MATCH(('Reg 85'!$AQ$6&amp;'Reg 85'!BC$10&amp;'Reg 85'!$B74),('DMR 001C TIN &amp; TP'!$E$3:$E$10005&amp;'DMR 001C TIN &amp; TP'!$B$3:$B$10005&amp;'DMR 001C TIN &amp; TP'!$A$3:$A$10005),0),MATCH('Reg 85'!$AG$11,'DMR 001C TIN &amp; TP'!$A$2:$M$2,0))),"")</f>
        <v/>
      </c>
      <c r="BD74" s="6" t="str">
        <f t="array" ref="BD74">_xlfn.IFNA((INDEX('DMR 001C TIN &amp; TP'!$A$3:$M$10005,MATCH(('Reg 85'!$AQ$6&amp;'Reg 85'!BD$10&amp;'Reg 85'!$B74),('DMR 001C TIN &amp; TP'!$E$3:$E$10005&amp;'DMR 001C TIN &amp; TP'!$B$3:$B$10005&amp;'DMR 001C TIN &amp; TP'!$A$3:$A$10005),0),MATCH('Reg 85'!$AG$11,'DMR 001C TIN &amp; TP'!$A$2:$M$2,0))),"")</f>
        <v/>
      </c>
      <c r="BE74" s="6" t="str">
        <f t="array" ref="BE74">_xlfn.IFNA((INDEX('DMR 001C TIN &amp; TP'!$A$3:$M$10005,MATCH(('Reg 85'!$AQ$6&amp;'Reg 85'!BE$10&amp;'Reg 85'!$B74),('DMR 001C TIN &amp; TP'!$E$3:$E$10005&amp;'DMR 001C TIN &amp; TP'!$B$3:$B$10005&amp;'DMR 001C TIN &amp; TP'!$A$3:$A$10005),0),MATCH('Reg 85'!$AG$11,'DMR 001C TIN &amp; TP'!$A$2:$M$2,0))),"")</f>
        <v/>
      </c>
      <c r="BF74" s="6" t="str">
        <f t="array" ref="BF74">_xlfn.IFNA((INDEX('DMR 001C TIN &amp; TP'!$A$3:$M$10005,MATCH(('Reg 85'!$AQ$6&amp;'Reg 85'!BF$10&amp;'Reg 85'!$B74),('DMR 001C TIN &amp; TP'!$E$3:$E$10005&amp;'DMR 001C TIN &amp; TP'!$B$3:$B$10005&amp;'DMR 001C TIN &amp; TP'!$A$3:$A$10005),0),MATCH('Reg 85'!$AG$11,'DMR 001C TIN &amp; TP'!$A$2:$M$2,0))),"")</f>
        <v/>
      </c>
    </row>
    <row r="75" spans="1:58">
      <c r="A75" s="3" t="str">
        <f t="shared" si="2"/>
        <v>Sat</v>
      </c>
      <c r="B75" s="96">
        <f t="shared" si="19"/>
        <v>43407</v>
      </c>
      <c r="C75" s="96">
        <f t="shared" si="3"/>
        <v>43434</v>
      </c>
      <c r="D75" s="96">
        <f t="shared" si="4"/>
        <v>43405</v>
      </c>
      <c r="E75" s="95">
        <f t="shared" si="5"/>
        <v>30</v>
      </c>
      <c r="F75" s="7">
        <f t="array" ref="F75">_xlfn.IFNA(INDEX('DMR Flows-Effluent'!$A$3:$F$9999,MATCH(($F$10&amp;$B75),('DMR Flows-Effluent'!$B$3:$B$9999&amp;'DMR Flows-Effluent'!$A$3:$A$9999),0),MATCH($F$8,'DMR Flows-Effluent'!$A$2:$F$2,0)),"")</f>
        <v>44.818100000000001</v>
      </c>
      <c r="G75" s="7">
        <f t="array" ref="G75">_xlfn.IFNA(INDEX('DMR Flows-Effluent'!$A$3:$F$9999,MATCH(($G$10&amp;$B75),('DMR Flows-Effluent'!$B$3:$B$9999&amp;'DMR Flows-Effluent'!$A$3:$A$9999),0),MATCH($F$8,'DMR Flows-Effluent'!$A$2:$F$2,0)),"")</f>
        <v>73.792599999999993</v>
      </c>
      <c r="H75" s="7">
        <f t="shared" si="6"/>
        <v>118.61069999999999</v>
      </c>
      <c r="I75" s="45" t="str">
        <f t="shared" si="7"/>
        <v/>
      </c>
      <c r="J75" s="6" t="str">
        <f t="array" ref="J75">_xlfn.IFNA((INDEX('DMR 001C TIN &amp; TP'!$A$3:$M$10005,MATCH(('Reg 85'!$I$6:$Q$6&amp;'Reg 85'!$I$10:$K$10&amp;'Reg 85'!$B75),('DMR 001C TIN &amp; TP'!$E$3:$E$10005&amp;'DMR 001C TIN &amp; TP'!$B$3:$B$10005&amp;'DMR 001C TIN &amp; TP'!$A$3:$A$10005),0),MATCH('Reg 85'!$J$11,'DMR 001C TIN &amp; TP'!$A$2:$M$2,0))),"")</f>
        <v/>
      </c>
      <c r="K75" s="6" t="str">
        <f t="array" ref="K75">_xlfn.IFNA((INDEX('DMR 001C TIN &amp; TP'!$A$3:$M$10005,MATCH(('Reg 85'!$I$6:$Q$6&amp;'Reg 85'!$I$10:$K$10&amp;'Reg 85'!$B75),('DMR 001C TIN &amp; TP'!$E$3:$E$10005&amp;'DMR 001C TIN &amp; TP'!$B$3:$B$10005&amp;'DMR 001C TIN &amp; TP'!$A$3:$A$10005),0),MATCH('Reg 85'!$K$11,'DMR 001C TIN &amp; TP'!$A$2:$M$2,0))),"")</f>
        <v/>
      </c>
      <c r="L75" s="53" t="str">
        <f t="shared" si="21"/>
        <v/>
      </c>
      <c r="M75" s="5" t="str">
        <f t="shared" si="8"/>
        <v/>
      </c>
      <c r="N75" s="6" t="str">
        <f t="array" ref="N75">_xlfn.IFNA((INDEX('DMR 001C TIN &amp; TP'!$A$3:$M$10005,MATCH(('Reg 85'!$I$6:$Q$6&amp;'Reg 85'!$M$10&amp;'Reg 85'!$B75),('DMR 001C TIN &amp; TP'!$E$3:$E$10005&amp;'DMR 001C TIN &amp; TP'!$B$3:$B$10005&amp;'DMR 001C TIN &amp; TP'!$A$3:$A$10005),0),MATCH('Reg 85'!$N$11,'DMR 001C TIN &amp; TP'!$A$2:$M$2,0))),"")</f>
        <v/>
      </c>
      <c r="O75" s="6" t="str">
        <f t="array" ref="O75">_xlfn.IFNA((INDEX('DMR 001C TIN &amp; TP'!$A$3:$M$10005,MATCH(('Reg 85'!$I$6:$Q$6&amp;'Reg 85'!$M$10&amp;'Reg 85'!$B75),('DMR 001C TIN &amp; TP'!$E$3:$E$10005&amp;'DMR 001C TIN &amp; TP'!$B$3:$B$10005&amp;'DMR 001C TIN &amp; TP'!$A$3:$A$10005),0),MATCH('Reg 85'!$O$11,'DMR 001C TIN &amp; TP'!$A$2:$M$2,0))),"")</f>
        <v/>
      </c>
      <c r="P75" s="53" t="str">
        <f t="shared" si="9"/>
        <v/>
      </c>
      <c r="Q75" s="73" t="str">
        <f t="array" ref="Q75">IFERROR(((L75*$F75)+(P75*$G75))/($H75),"")</f>
        <v/>
      </c>
      <c r="R75" s="6" t="str">
        <f t="array" ref="R75">_xlfn.IFNA((INDEX('DMR 001C TIN &amp; TP'!$A$3:$M$10005,MATCH(('Reg 85'!$I$6:$Q$6&amp;'Reg 85'!R$10&amp;'Reg 85'!$B75),('DMR 001C TIN &amp; TP'!$E$3:$E$10005&amp;'DMR 001C TIN &amp; TP'!$B$3:$B$10005&amp;'DMR 001C TIN &amp; TP'!$A$3:$A$10005),0),MATCH('Reg 85'!$O$11,'DMR 001C TIN &amp; TP'!$A$2:$M$2,0))),"")</f>
        <v/>
      </c>
      <c r="S75" s="6" t="str">
        <f t="array" ref="S75">_xlfn.IFNA((INDEX('DMR 001C TIN &amp; TP'!$A$3:$M$10005,MATCH(('Reg 85'!$I$6:$Q$6&amp;'Reg 85'!S$10&amp;'Reg 85'!$B75),('DMR 001C TIN &amp; TP'!$E$3:$E$10005&amp;'DMR 001C TIN &amp; TP'!$B$3:$B$10005&amp;'DMR 001C TIN &amp; TP'!$A$3:$A$10005),0),MATCH('Reg 85'!$O$11,'DMR 001C TIN &amp; TP'!$A$2:$M$2,0))),"")</f>
        <v/>
      </c>
      <c r="T75" s="6" t="str">
        <f t="array" ref="T75">_xlfn.IFNA((INDEX('DMR 001C TIN &amp; TP'!$A$3:$M$10005,MATCH(('Reg 85'!$I$6:$Q$6&amp;'Reg 85'!T$10&amp;'Reg 85'!$B75),('DMR 001C TIN &amp; TP'!$E$3:$E$10005&amp;'DMR 001C TIN &amp; TP'!$B$3:$B$10005&amp;'DMR 001C TIN &amp; TP'!$A$3:$A$10005),0),MATCH('Reg 85'!$O$11,'DMR 001C TIN &amp; TP'!$A$2:$M$2,0))),"")</f>
        <v/>
      </c>
      <c r="U75" s="6" t="str">
        <f t="array" ref="U75">_xlfn.IFNA((INDEX('DMR 001C TIN &amp; TP'!$A$3:$M$10005,MATCH(('Reg 85'!$I$6:$Q$6&amp;'Reg 85'!U$10&amp;'Reg 85'!$B75),('DMR 001C TIN &amp; TP'!$E$3:$E$10005&amp;'DMR 001C TIN &amp; TP'!$B$3:$B$10005&amp;'DMR 001C TIN &amp; TP'!$A$3:$A$10005),0),MATCH('Reg 85'!$O$11,'DMR 001C TIN &amp; TP'!$A$2:$M$2,0))),"")</f>
        <v/>
      </c>
      <c r="V75" s="6" t="str">
        <f t="array" ref="V75">_xlfn.IFNA((INDEX('DMR 001C TIN &amp; TP'!$A$3:$M$10005,MATCH(('Reg 85'!$I$6:$Q$6&amp;'Reg 85'!V$10&amp;'Reg 85'!$B75),('DMR 001C TIN &amp; TP'!$E$3:$E$10005&amp;'DMR 001C TIN &amp; TP'!$B$3:$B$10005&amp;'DMR 001C TIN &amp; TP'!$A$3:$A$10005),0),MATCH('Reg 85'!$O$11,'DMR 001C TIN &amp; TP'!$A$2:$M$2,0))),"")</f>
        <v/>
      </c>
      <c r="W75" s="6" t="str">
        <f t="array" ref="W75">_xlfn.IFNA((INDEX('DMR 001C TIN &amp; TP'!$A$3:$M$10005,MATCH(('Reg 85'!$I$6:$Q$6&amp;'Reg 85'!W$10&amp;'Reg 85'!$B75),('DMR 001C TIN &amp; TP'!$E$3:$E$10005&amp;'DMR 001C TIN &amp; TP'!$B$3:$B$10005&amp;'DMR 001C TIN &amp; TP'!$A$3:$A$10005),0),MATCH('Reg 85'!$O$11,'DMR 001C TIN &amp; TP'!$A$2:$M$2,0))),"")</f>
        <v/>
      </c>
      <c r="X75" s="5" t="str">
        <f t="shared" si="10"/>
        <v/>
      </c>
      <c r="Y75" s="6" t="str">
        <f t="array" ref="Y75">_xlfn.IFNA((INDEX('DMR 001C TIN &amp; TP'!$A$3:$M$10005,MATCH(('Reg 85'!$X$6&amp;'Reg 85'!$X$10&amp;'Reg 85'!$B75),('DMR 001C TIN &amp; TP'!$E$3:$E$10005&amp;'DMR 001C TIN &amp; TP'!$B$3:$B$10005&amp;'DMR 001C TIN &amp; TP'!$A$3:$A$10005),0),MATCH('Reg 85'!$Y$11,'DMR 001C TIN &amp; TP'!$A$2:$M$2,0))),"")</f>
        <v/>
      </c>
      <c r="Z75" s="6" t="str">
        <f t="array" ref="Z75">_xlfn.IFNA((INDEX('DMR 001C TIN &amp; TP'!$A$3:$M$10005,MATCH(('Reg 85'!$X$6&amp;'Reg 85'!$X$10&amp;'Reg 85'!$B75),('DMR 001C TIN &amp; TP'!$E$3:$E$10005&amp;'DMR 001C TIN &amp; TP'!$B$3:$B$10005&amp;'DMR 001C TIN &amp; TP'!$A$3:$A$10005),0),MATCH('Reg 85'!$Z$11,'DMR 001C TIN &amp; TP'!$A$2:$M$2,0))),"")</f>
        <v/>
      </c>
      <c r="AA75" s="53" t="str">
        <f t="shared" si="11"/>
        <v/>
      </c>
      <c r="AB75" s="5" t="str">
        <f t="shared" si="12"/>
        <v/>
      </c>
      <c r="AC75" s="6" t="str">
        <f t="array" ref="AC75">_xlfn.IFNA((INDEX('DMR 001C TIN &amp; TP'!$A$3:$M$10005,MATCH(('Reg 85'!$X$6&amp;'Reg 85'!$AB$10&amp;'Reg 85'!$B75),('DMR 001C TIN &amp; TP'!$E$3:$E$10005&amp;'DMR 001C TIN &amp; TP'!$B$3:$B$10005&amp;'DMR 001C TIN &amp; TP'!$A$3:$A$10005),0),MATCH('Reg 85'!$AC$11,'DMR 001C TIN &amp; TP'!$A$2:$M$2,0))),"")</f>
        <v/>
      </c>
      <c r="AD75" s="6" t="str">
        <f t="array" ref="AD75">_xlfn.IFNA((INDEX('DMR 001C TIN &amp; TP'!$A$3:$M$10005,MATCH(('Reg 85'!$X$6&amp;'Reg 85'!$AB$10&amp;'Reg 85'!$B75),('DMR 001C TIN &amp; TP'!$E$3:$E$10005&amp;'DMR 001C TIN &amp; TP'!$B$3:$B$10005&amp;'DMR 001C TIN &amp; TP'!$A$3:$A$10005),0),MATCH('Reg 85'!$AD$11,'DMR 001C TIN &amp; TP'!$A$2:$M$2,0))),"")</f>
        <v/>
      </c>
      <c r="AE75" s="53" t="str">
        <f t="shared" si="13"/>
        <v/>
      </c>
      <c r="AF75" s="7" t="str">
        <f t="shared" si="14"/>
        <v/>
      </c>
      <c r="AG75" s="6" t="str">
        <f t="array" ref="AG75">_xlfn.IFNA((INDEX('DMR 001C TIN &amp; TP'!$A$3:$M$10005,MATCH(('Reg 85'!$X$6&amp;'Reg 85'!AG$10&amp;'Reg 85'!$B75),('DMR 001C TIN &amp; TP'!$E$3:$E$10005&amp;'DMR 001C TIN &amp; TP'!$B$3:$B$10005&amp;'DMR 001C TIN &amp; TP'!$A$3:$A$10005),0),MATCH('Reg 85'!$AG$11,'DMR 001C TIN &amp; TP'!$A$2:$M$2,0))),"")</f>
        <v/>
      </c>
      <c r="AH75" s="6" t="str">
        <f t="array" ref="AH75">_xlfn.IFNA((INDEX('DMR 001C TIN &amp; TP'!$A$3:$M$10005,MATCH(('Reg 85'!$X$6&amp;'Reg 85'!AH$10&amp;'Reg 85'!$B75),('DMR 001C TIN &amp; TP'!$E$3:$E$10005&amp;'DMR 001C TIN &amp; TP'!$B$3:$B$10005&amp;'DMR 001C TIN &amp; TP'!$A$3:$A$10005),0),MATCH('Reg 85'!$AG$11,'DMR 001C TIN &amp; TP'!$A$2:$M$2,0))),"")</f>
        <v/>
      </c>
      <c r="AI75" s="6" t="str">
        <f t="array" ref="AI75">_xlfn.IFNA((INDEX('DMR 001C TIN &amp; TP'!$A$3:$M$10005,MATCH(('Reg 85'!$X$6&amp;'Reg 85'!AI$10&amp;'Reg 85'!$B75),('DMR 001C TIN &amp; TP'!$E$3:$E$10005&amp;'DMR 001C TIN &amp; TP'!$B$3:$B$10005&amp;'DMR 001C TIN &amp; TP'!$A$3:$A$10005),0),MATCH('Reg 85'!$AG$11,'DMR 001C TIN &amp; TP'!$A$2:$M$2,0))),"")</f>
        <v/>
      </c>
      <c r="AJ75" s="6" t="str">
        <f t="array" ref="AJ75">_xlfn.IFNA((INDEX('DMR 001C TIN &amp; TP'!$A$3:$M$10005,MATCH(('Reg 85'!$X$6&amp;'Reg 85'!AJ$10&amp;'Reg 85'!$B75),('DMR 001C TIN &amp; TP'!$E$3:$E$10005&amp;'DMR 001C TIN &amp; TP'!$B$3:$B$10005&amp;'DMR 001C TIN &amp; TP'!$A$3:$A$10005),0),MATCH('Reg 85'!$AG$11,'DMR 001C TIN &amp; TP'!$A$2:$M$2,0))),"")</f>
        <v/>
      </c>
      <c r="AK75" s="6" t="str">
        <f t="array" ref="AK75">_xlfn.IFNA((INDEX('DMR 001C TIN &amp; TP'!$A$3:$M$10005,MATCH(('Reg 85'!$X$6&amp;'Reg 85'!AK$10&amp;'Reg 85'!$B75),('DMR 001C TIN &amp; TP'!$E$3:$E$10005&amp;'DMR 001C TIN &amp; TP'!$B$3:$B$10005&amp;'DMR 001C TIN &amp; TP'!$A$3:$A$10005),0),MATCH('Reg 85'!$AG$11,'DMR 001C TIN &amp; TP'!$A$2:$M$2,0))),"")</f>
        <v/>
      </c>
      <c r="AL75" s="6" t="str">
        <f t="array" ref="AL75">_xlfn.IFNA((INDEX('DMR 001C TIN &amp; TP'!$A$3:$M$10005,MATCH(('Reg 85'!$X$6&amp;'Reg 85'!AL$10&amp;'Reg 85'!$B75),('DMR 001C TIN &amp; TP'!$E$3:$E$10005&amp;'DMR 001C TIN &amp; TP'!$B$3:$B$10005&amp;'DMR 001C TIN &amp; TP'!$A$3:$A$10005),0),MATCH('Reg 85'!$AG$11,'DMR 001C TIN &amp; TP'!$A$2:$M$2,0))),"")</f>
        <v/>
      </c>
      <c r="AM75" s="76"/>
      <c r="AN75" s="6"/>
      <c r="AO75" s="54" t="str">
        <f t="shared" si="0"/>
        <v/>
      </c>
      <c r="AP75" s="77" t="str">
        <f t="shared" si="39"/>
        <v/>
      </c>
      <c r="AQ75" s="47"/>
      <c r="AR75" s="6" t="str">
        <f t="array" ref="AR75">_xlfn.IFNA((INDEX('DMR 001C TIN &amp; TP'!$A$3:$M$10005,MATCH(('Reg 85'!$AQ$6&amp;'Reg 85'!$AQ$10&amp;'Reg 85'!$B75),('DMR 001C TIN &amp; TP'!$E$3:$E$10005&amp;'DMR 001C TIN &amp; TP'!$B$3:$B$10005&amp;'DMR 001C TIN &amp; TP'!$A$3:$A$10005),0),MATCH('Reg 85'!$AR$11,'DMR 001C TIN &amp; TP'!$A$2:$M$2,0))),"")</f>
        <v/>
      </c>
      <c r="AS75" s="6" t="str">
        <f t="array" ref="AS75">_xlfn.IFNA((INDEX('DMR 001C TIN &amp; TP'!$A$3:$M$10005,MATCH(('Reg 85'!$AQ$6&amp;'Reg 85'!$AQ$10&amp;'Reg 85'!$B75),('DMR 001C TIN &amp; TP'!$E$3:$E$10005&amp;'DMR 001C TIN &amp; TP'!$B$3:$B$10005&amp;'DMR 001C TIN &amp; TP'!$A$3:$A$10005),0),MATCH('Reg 85'!$AS$11,'DMR 001C TIN &amp; TP'!$A$2:$M$2,0))),"")</f>
        <v/>
      </c>
      <c r="AT75" s="53" t="str">
        <f t="shared" si="15"/>
        <v/>
      </c>
      <c r="AV75" s="6" t="str">
        <f t="array" ref="AV75">_xlfn.IFNA((INDEX('DMR 001C TIN &amp; TP'!$A$3:$M$10005,MATCH(('Reg 85'!$AQ$6&amp;'Reg 85'!$AU$10&amp;'Reg 85'!$B75),('DMR 001C TIN &amp; TP'!$E$3:$E$10005&amp;'DMR 001C TIN &amp; TP'!$B$3:$B$10005&amp;'DMR 001C TIN &amp; TP'!$A$3:$A$10005),0),MATCH('Reg 85'!$AV$11,'DMR 001C TIN &amp; TP'!$A$2:$M$2,0))),"")</f>
        <v/>
      </c>
      <c r="AW75" s="6" t="str">
        <f t="array" ref="AW75">_xlfn.IFNA((INDEX('DMR 001C TIN &amp; TP'!$A$3:$M$10005,MATCH(('Reg 85'!$AQ$6&amp;'Reg 85'!$AU$10&amp;'Reg 85'!$B75),('DMR 001C TIN &amp; TP'!$E$3:$E$10005&amp;'DMR 001C TIN &amp; TP'!$B$3:$B$10005&amp;'DMR 001C TIN &amp; TP'!$A$3:$A$10005),0),MATCH('Reg 85'!$AW$11,'DMR 001C TIN &amp; TP'!$A$2:$M$2,0))),"")</f>
        <v/>
      </c>
      <c r="AX75" s="53" t="str">
        <f t="shared" si="16"/>
        <v/>
      </c>
      <c r="AY75" s="55" t="str">
        <f t="shared" si="17"/>
        <v/>
      </c>
      <c r="AZ75" s="77" t="str">
        <f t="shared" si="40"/>
        <v/>
      </c>
      <c r="BA75" s="6" t="str">
        <f t="array" ref="BA75">_xlfn.IFNA((INDEX('DMR 001C TIN &amp; TP'!$A$3:$M$10005,MATCH(('Reg 85'!$AQ$6&amp;'Reg 85'!BA$10&amp;'Reg 85'!$B75),('DMR 001C TIN &amp; TP'!$E$3:$E$10005&amp;'DMR 001C TIN &amp; TP'!$B$3:$B$10005&amp;'DMR 001C TIN &amp; TP'!$A$3:$A$10005),0),MATCH('Reg 85'!$AG$11,'DMR 001C TIN &amp; TP'!$A$2:$M$2,0))),"")</f>
        <v/>
      </c>
      <c r="BB75" s="6" t="str">
        <f t="array" ref="BB75">_xlfn.IFNA((INDEX('DMR 001C TIN &amp; TP'!$A$3:$M$10005,MATCH(('Reg 85'!$AQ$6&amp;'Reg 85'!BB$10&amp;'Reg 85'!$B75),('DMR 001C TIN &amp; TP'!$E$3:$E$10005&amp;'DMR 001C TIN &amp; TP'!$B$3:$B$10005&amp;'DMR 001C TIN &amp; TP'!$A$3:$A$10005),0),MATCH('Reg 85'!$AG$11,'DMR 001C TIN &amp; TP'!$A$2:$M$2,0))),"")</f>
        <v/>
      </c>
      <c r="BC75" s="6" t="str">
        <f t="array" ref="BC75">_xlfn.IFNA((INDEX('DMR 001C TIN &amp; TP'!$A$3:$M$10005,MATCH(('Reg 85'!$AQ$6&amp;'Reg 85'!BC$10&amp;'Reg 85'!$B75),('DMR 001C TIN &amp; TP'!$E$3:$E$10005&amp;'DMR 001C TIN &amp; TP'!$B$3:$B$10005&amp;'DMR 001C TIN &amp; TP'!$A$3:$A$10005),0),MATCH('Reg 85'!$AG$11,'DMR 001C TIN &amp; TP'!$A$2:$M$2,0))),"")</f>
        <v/>
      </c>
      <c r="BD75" s="6" t="str">
        <f t="array" ref="BD75">_xlfn.IFNA((INDEX('DMR 001C TIN &amp; TP'!$A$3:$M$10005,MATCH(('Reg 85'!$AQ$6&amp;'Reg 85'!BD$10&amp;'Reg 85'!$B75),('DMR 001C TIN &amp; TP'!$E$3:$E$10005&amp;'DMR 001C TIN &amp; TP'!$B$3:$B$10005&amp;'DMR 001C TIN &amp; TP'!$A$3:$A$10005),0),MATCH('Reg 85'!$AG$11,'DMR 001C TIN &amp; TP'!$A$2:$M$2,0))),"")</f>
        <v/>
      </c>
      <c r="BE75" s="6" t="str">
        <f t="array" ref="BE75">_xlfn.IFNA((INDEX('DMR 001C TIN &amp; TP'!$A$3:$M$10005,MATCH(('Reg 85'!$AQ$6&amp;'Reg 85'!BE$10&amp;'Reg 85'!$B75),('DMR 001C TIN &amp; TP'!$E$3:$E$10005&amp;'DMR 001C TIN &amp; TP'!$B$3:$B$10005&amp;'DMR 001C TIN &amp; TP'!$A$3:$A$10005),0),MATCH('Reg 85'!$AG$11,'DMR 001C TIN &amp; TP'!$A$2:$M$2,0))),"")</f>
        <v/>
      </c>
      <c r="BF75" s="6" t="str">
        <f t="array" ref="BF75">_xlfn.IFNA((INDEX('DMR 001C TIN &amp; TP'!$A$3:$M$10005,MATCH(('Reg 85'!$AQ$6&amp;'Reg 85'!BF$10&amp;'Reg 85'!$B75),('DMR 001C TIN &amp; TP'!$E$3:$E$10005&amp;'DMR 001C TIN &amp; TP'!$B$3:$B$10005&amp;'DMR 001C TIN &amp; TP'!$A$3:$A$10005),0),MATCH('Reg 85'!$AG$11,'DMR 001C TIN &amp; TP'!$A$2:$M$2,0))),"")</f>
        <v/>
      </c>
    </row>
    <row r="76" spans="1:58">
      <c r="A76" s="3" t="str">
        <f t="shared" si="2"/>
        <v>Sun</v>
      </c>
      <c r="B76" s="96">
        <f t="shared" si="19"/>
        <v>43408</v>
      </c>
      <c r="C76" s="96">
        <f t="shared" si="3"/>
        <v>43434</v>
      </c>
      <c r="D76" s="96">
        <f t="shared" si="4"/>
        <v>43405</v>
      </c>
      <c r="E76" s="95">
        <f t="shared" si="5"/>
        <v>30</v>
      </c>
      <c r="F76" s="7">
        <f t="array" ref="F76">_xlfn.IFNA(INDEX('DMR Flows-Effluent'!$A$3:$F$9999,MATCH(($F$10&amp;$B76),('DMR Flows-Effluent'!$B$3:$B$9999&amp;'DMR Flows-Effluent'!$A$3:$A$9999),0),MATCH($F$8,'DMR Flows-Effluent'!$A$2:$F$2,0)),"")</f>
        <v>50.976700000000001</v>
      </c>
      <c r="G76" s="7">
        <f t="array" ref="G76">_xlfn.IFNA(INDEX('DMR Flows-Effluent'!$A$3:$F$9999,MATCH(($G$10&amp;$B76),('DMR Flows-Effluent'!$B$3:$B$9999&amp;'DMR Flows-Effluent'!$A$3:$A$9999),0),MATCH($F$8,'DMR Flows-Effluent'!$A$2:$F$2,0)),"")</f>
        <v>72.596100000000007</v>
      </c>
      <c r="H76" s="7">
        <f t="shared" si="6"/>
        <v>123.5728</v>
      </c>
      <c r="I76" s="45" t="str">
        <f t="shared" si="7"/>
        <v/>
      </c>
      <c r="J76" s="6" t="str">
        <f t="array" ref="J76">_xlfn.IFNA((INDEX('DMR 001C TIN &amp; TP'!$A$3:$M$10005,MATCH(('Reg 85'!$I$6:$Q$6&amp;'Reg 85'!$I$10:$K$10&amp;'Reg 85'!$B76),('DMR 001C TIN &amp; TP'!$E$3:$E$10005&amp;'DMR 001C TIN &amp; TP'!$B$3:$B$10005&amp;'DMR 001C TIN &amp; TP'!$A$3:$A$10005),0),MATCH('Reg 85'!$J$11,'DMR 001C TIN &amp; TP'!$A$2:$M$2,0))),"")</f>
        <v/>
      </c>
      <c r="K76" s="6" t="str">
        <f t="array" ref="K76">_xlfn.IFNA((INDEX('DMR 001C TIN &amp; TP'!$A$3:$M$10005,MATCH(('Reg 85'!$I$6:$Q$6&amp;'Reg 85'!$I$10:$K$10&amp;'Reg 85'!$B76),('DMR 001C TIN &amp; TP'!$E$3:$E$10005&amp;'DMR 001C TIN &amp; TP'!$B$3:$B$10005&amp;'DMR 001C TIN &amp; TP'!$A$3:$A$10005),0),MATCH('Reg 85'!$K$11,'DMR 001C TIN &amp; TP'!$A$2:$M$2,0))),"")</f>
        <v/>
      </c>
      <c r="L76" s="53" t="str">
        <f t="shared" si="21"/>
        <v/>
      </c>
      <c r="M76" s="5" t="str">
        <f t="shared" si="8"/>
        <v/>
      </c>
      <c r="N76" s="6" t="str">
        <f t="array" ref="N76">_xlfn.IFNA((INDEX('DMR 001C TIN &amp; TP'!$A$3:$M$10005,MATCH(('Reg 85'!$I$6:$Q$6&amp;'Reg 85'!$M$10&amp;'Reg 85'!$B76),('DMR 001C TIN &amp; TP'!$E$3:$E$10005&amp;'DMR 001C TIN &amp; TP'!$B$3:$B$10005&amp;'DMR 001C TIN &amp; TP'!$A$3:$A$10005),0),MATCH('Reg 85'!$N$11,'DMR 001C TIN &amp; TP'!$A$2:$M$2,0))),"")</f>
        <v/>
      </c>
      <c r="O76" s="6" t="str">
        <f t="array" ref="O76">_xlfn.IFNA((INDEX('DMR 001C TIN &amp; TP'!$A$3:$M$10005,MATCH(('Reg 85'!$I$6:$Q$6&amp;'Reg 85'!$M$10&amp;'Reg 85'!$B76),('DMR 001C TIN &amp; TP'!$E$3:$E$10005&amp;'DMR 001C TIN &amp; TP'!$B$3:$B$10005&amp;'DMR 001C TIN &amp; TP'!$A$3:$A$10005),0),MATCH('Reg 85'!$O$11,'DMR 001C TIN &amp; TP'!$A$2:$M$2,0))),"")</f>
        <v/>
      </c>
      <c r="P76" s="53" t="str">
        <f t="shared" si="9"/>
        <v/>
      </c>
      <c r="Q76" s="73" t="str">
        <f t="array" ref="Q76">IFERROR(((L76*$F76)+(P76*$G76))/($H76),"")</f>
        <v/>
      </c>
      <c r="R76" s="6" t="str">
        <f t="array" ref="R76">_xlfn.IFNA((INDEX('DMR 001C TIN &amp; TP'!$A$3:$M$10005,MATCH(('Reg 85'!$I$6:$Q$6&amp;'Reg 85'!R$10&amp;'Reg 85'!$B76),('DMR 001C TIN &amp; TP'!$E$3:$E$10005&amp;'DMR 001C TIN &amp; TP'!$B$3:$B$10005&amp;'DMR 001C TIN &amp; TP'!$A$3:$A$10005),0),MATCH('Reg 85'!$O$11,'DMR 001C TIN &amp; TP'!$A$2:$M$2,0))),"")</f>
        <v/>
      </c>
      <c r="S76" s="6" t="str">
        <f t="array" ref="S76">_xlfn.IFNA((INDEX('DMR 001C TIN &amp; TP'!$A$3:$M$10005,MATCH(('Reg 85'!$I$6:$Q$6&amp;'Reg 85'!S$10&amp;'Reg 85'!$B76),('DMR 001C TIN &amp; TP'!$E$3:$E$10005&amp;'DMR 001C TIN &amp; TP'!$B$3:$B$10005&amp;'DMR 001C TIN &amp; TP'!$A$3:$A$10005),0),MATCH('Reg 85'!$O$11,'DMR 001C TIN &amp; TP'!$A$2:$M$2,0))),"")</f>
        <v/>
      </c>
      <c r="T76" s="6" t="str">
        <f t="array" ref="T76">_xlfn.IFNA((INDEX('DMR 001C TIN &amp; TP'!$A$3:$M$10005,MATCH(('Reg 85'!$I$6:$Q$6&amp;'Reg 85'!T$10&amp;'Reg 85'!$B76),('DMR 001C TIN &amp; TP'!$E$3:$E$10005&amp;'DMR 001C TIN &amp; TP'!$B$3:$B$10005&amp;'DMR 001C TIN &amp; TP'!$A$3:$A$10005),0),MATCH('Reg 85'!$O$11,'DMR 001C TIN &amp; TP'!$A$2:$M$2,0))),"")</f>
        <v/>
      </c>
      <c r="U76" s="6" t="str">
        <f t="array" ref="U76">_xlfn.IFNA((INDEX('DMR 001C TIN &amp; TP'!$A$3:$M$10005,MATCH(('Reg 85'!$I$6:$Q$6&amp;'Reg 85'!U$10&amp;'Reg 85'!$B76),('DMR 001C TIN &amp; TP'!$E$3:$E$10005&amp;'DMR 001C TIN &amp; TP'!$B$3:$B$10005&amp;'DMR 001C TIN &amp; TP'!$A$3:$A$10005),0),MATCH('Reg 85'!$O$11,'DMR 001C TIN &amp; TP'!$A$2:$M$2,0))),"")</f>
        <v/>
      </c>
      <c r="V76" s="6" t="str">
        <f t="array" ref="V76">_xlfn.IFNA((INDEX('DMR 001C TIN &amp; TP'!$A$3:$M$10005,MATCH(('Reg 85'!$I$6:$Q$6&amp;'Reg 85'!V$10&amp;'Reg 85'!$B76),('DMR 001C TIN &amp; TP'!$E$3:$E$10005&amp;'DMR 001C TIN &amp; TP'!$B$3:$B$10005&amp;'DMR 001C TIN &amp; TP'!$A$3:$A$10005),0),MATCH('Reg 85'!$O$11,'DMR 001C TIN &amp; TP'!$A$2:$M$2,0))),"")</f>
        <v/>
      </c>
      <c r="W76" s="6" t="str">
        <f t="array" ref="W76">_xlfn.IFNA((INDEX('DMR 001C TIN &amp; TP'!$A$3:$M$10005,MATCH(('Reg 85'!$I$6:$Q$6&amp;'Reg 85'!W$10&amp;'Reg 85'!$B76),('DMR 001C TIN &amp; TP'!$E$3:$E$10005&amp;'DMR 001C TIN &amp; TP'!$B$3:$B$10005&amp;'DMR 001C TIN &amp; TP'!$A$3:$A$10005),0),MATCH('Reg 85'!$O$11,'DMR 001C TIN &amp; TP'!$A$2:$M$2,0))),"")</f>
        <v/>
      </c>
      <c r="X76" s="5" t="str">
        <f t="shared" si="10"/>
        <v/>
      </c>
      <c r="Y76" s="6" t="str">
        <f t="array" ref="Y76">_xlfn.IFNA((INDEX('DMR 001C TIN &amp; TP'!$A$3:$M$10005,MATCH(('Reg 85'!$X$6&amp;'Reg 85'!$X$10&amp;'Reg 85'!$B76),('DMR 001C TIN &amp; TP'!$E$3:$E$10005&amp;'DMR 001C TIN &amp; TP'!$B$3:$B$10005&amp;'DMR 001C TIN &amp; TP'!$A$3:$A$10005),0),MATCH('Reg 85'!$Y$11,'DMR 001C TIN &amp; TP'!$A$2:$M$2,0))),"")</f>
        <v/>
      </c>
      <c r="Z76" s="6" t="str">
        <f t="array" ref="Z76">_xlfn.IFNA((INDEX('DMR 001C TIN &amp; TP'!$A$3:$M$10005,MATCH(('Reg 85'!$X$6&amp;'Reg 85'!$X$10&amp;'Reg 85'!$B76),('DMR 001C TIN &amp; TP'!$E$3:$E$10005&amp;'DMR 001C TIN &amp; TP'!$B$3:$B$10005&amp;'DMR 001C TIN &amp; TP'!$A$3:$A$10005),0),MATCH('Reg 85'!$Z$11,'DMR 001C TIN &amp; TP'!$A$2:$M$2,0))),"")</f>
        <v/>
      </c>
      <c r="AA76" s="53" t="str">
        <f t="shared" si="11"/>
        <v/>
      </c>
      <c r="AB76" s="5" t="str">
        <f t="shared" si="12"/>
        <v/>
      </c>
      <c r="AC76" s="6" t="str">
        <f t="array" ref="AC76">_xlfn.IFNA((INDEX('DMR 001C TIN &amp; TP'!$A$3:$M$10005,MATCH(('Reg 85'!$X$6&amp;'Reg 85'!$AB$10&amp;'Reg 85'!$B76),('DMR 001C TIN &amp; TP'!$E$3:$E$10005&amp;'DMR 001C TIN &amp; TP'!$B$3:$B$10005&amp;'DMR 001C TIN &amp; TP'!$A$3:$A$10005),0),MATCH('Reg 85'!$AC$11,'DMR 001C TIN &amp; TP'!$A$2:$M$2,0))),"")</f>
        <v/>
      </c>
      <c r="AD76" s="6" t="str">
        <f t="array" ref="AD76">_xlfn.IFNA((INDEX('DMR 001C TIN &amp; TP'!$A$3:$M$10005,MATCH(('Reg 85'!$X$6&amp;'Reg 85'!$AB$10&amp;'Reg 85'!$B76),('DMR 001C TIN &amp; TP'!$E$3:$E$10005&amp;'DMR 001C TIN &amp; TP'!$B$3:$B$10005&amp;'DMR 001C TIN &amp; TP'!$A$3:$A$10005),0),MATCH('Reg 85'!$AD$11,'DMR 001C TIN &amp; TP'!$A$2:$M$2,0))),"")</f>
        <v/>
      </c>
      <c r="AE76" s="53" t="str">
        <f t="shared" si="13"/>
        <v/>
      </c>
      <c r="AF76" s="7" t="str">
        <f t="shared" si="14"/>
        <v/>
      </c>
      <c r="AG76" s="6" t="str">
        <f t="array" ref="AG76">_xlfn.IFNA((INDEX('DMR 001C TIN &amp; TP'!$A$3:$M$10005,MATCH(('Reg 85'!$X$6&amp;'Reg 85'!AG$10&amp;'Reg 85'!$B76),('DMR 001C TIN &amp; TP'!$E$3:$E$10005&amp;'DMR 001C TIN &amp; TP'!$B$3:$B$10005&amp;'DMR 001C TIN &amp; TP'!$A$3:$A$10005),0),MATCH('Reg 85'!$AG$11,'DMR 001C TIN &amp; TP'!$A$2:$M$2,0))),"")</f>
        <v/>
      </c>
      <c r="AH76" s="6" t="str">
        <f t="array" ref="AH76">_xlfn.IFNA((INDEX('DMR 001C TIN &amp; TP'!$A$3:$M$10005,MATCH(('Reg 85'!$X$6&amp;'Reg 85'!AH$10&amp;'Reg 85'!$B76),('DMR 001C TIN &amp; TP'!$E$3:$E$10005&amp;'DMR 001C TIN &amp; TP'!$B$3:$B$10005&amp;'DMR 001C TIN &amp; TP'!$A$3:$A$10005),0),MATCH('Reg 85'!$AG$11,'DMR 001C TIN &amp; TP'!$A$2:$M$2,0))),"")</f>
        <v/>
      </c>
      <c r="AI76" s="6" t="str">
        <f t="array" ref="AI76">_xlfn.IFNA((INDEX('DMR 001C TIN &amp; TP'!$A$3:$M$10005,MATCH(('Reg 85'!$X$6&amp;'Reg 85'!AI$10&amp;'Reg 85'!$B76),('DMR 001C TIN &amp; TP'!$E$3:$E$10005&amp;'DMR 001C TIN &amp; TP'!$B$3:$B$10005&amp;'DMR 001C TIN &amp; TP'!$A$3:$A$10005),0),MATCH('Reg 85'!$AG$11,'DMR 001C TIN &amp; TP'!$A$2:$M$2,0))),"")</f>
        <v/>
      </c>
      <c r="AJ76" s="6" t="str">
        <f t="array" ref="AJ76">_xlfn.IFNA((INDEX('DMR 001C TIN &amp; TP'!$A$3:$M$10005,MATCH(('Reg 85'!$X$6&amp;'Reg 85'!AJ$10&amp;'Reg 85'!$B76),('DMR 001C TIN &amp; TP'!$E$3:$E$10005&amp;'DMR 001C TIN &amp; TP'!$B$3:$B$10005&amp;'DMR 001C TIN &amp; TP'!$A$3:$A$10005),0),MATCH('Reg 85'!$AG$11,'DMR 001C TIN &amp; TP'!$A$2:$M$2,0))),"")</f>
        <v/>
      </c>
      <c r="AK76" s="6" t="str">
        <f t="array" ref="AK76">_xlfn.IFNA((INDEX('DMR 001C TIN &amp; TP'!$A$3:$M$10005,MATCH(('Reg 85'!$X$6&amp;'Reg 85'!AK$10&amp;'Reg 85'!$B76),('DMR 001C TIN &amp; TP'!$E$3:$E$10005&amp;'DMR 001C TIN &amp; TP'!$B$3:$B$10005&amp;'DMR 001C TIN &amp; TP'!$A$3:$A$10005),0),MATCH('Reg 85'!$AG$11,'DMR 001C TIN &amp; TP'!$A$2:$M$2,0))),"")</f>
        <v/>
      </c>
      <c r="AL76" s="6" t="str">
        <f t="array" ref="AL76">_xlfn.IFNA((INDEX('DMR 001C TIN &amp; TP'!$A$3:$M$10005,MATCH(('Reg 85'!$X$6&amp;'Reg 85'!AL$10&amp;'Reg 85'!$B76),('DMR 001C TIN &amp; TP'!$E$3:$E$10005&amp;'DMR 001C TIN &amp; TP'!$B$3:$B$10005&amp;'DMR 001C TIN &amp; TP'!$A$3:$A$10005),0),MATCH('Reg 85'!$AG$11,'DMR 001C TIN &amp; TP'!$A$2:$M$2,0))),"")</f>
        <v/>
      </c>
      <c r="AM76" s="76"/>
      <c r="AN76" s="6"/>
      <c r="AO76" s="54" t="str">
        <f t="shared" ref="AO76:AO139" si="41">IFERROR(Q76+AF76,"")</f>
        <v/>
      </c>
      <c r="AP76" s="77" t="str">
        <f t="shared" si="39"/>
        <v/>
      </c>
      <c r="AQ76" s="47"/>
      <c r="AR76" s="6" t="str">
        <f t="array" ref="AR76">_xlfn.IFNA((INDEX('DMR 001C TIN &amp; TP'!$A$3:$M$10005,MATCH(('Reg 85'!$AQ$6&amp;'Reg 85'!$AQ$10&amp;'Reg 85'!$B76),('DMR 001C TIN &amp; TP'!$E$3:$E$10005&amp;'DMR 001C TIN &amp; TP'!$B$3:$B$10005&amp;'DMR 001C TIN &amp; TP'!$A$3:$A$10005),0),MATCH('Reg 85'!$AR$11,'DMR 001C TIN &amp; TP'!$A$2:$M$2,0))),"")</f>
        <v>0.03</v>
      </c>
      <c r="AS76" s="6">
        <f t="array" ref="AS76">_xlfn.IFNA((INDEX('DMR 001C TIN &amp; TP'!$A$3:$M$10005,MATCH(('Reg 85'!$AQ$6&amp;'Reg 85'!$AQ$10&amp;'Reg 85'!$B76),('DMR 001C TIN &amp; TP'!$E$3:$E$10005&amp;'DMR 001C TIN &amp; TP'!$B$3:$B$10005&amp;'DMR 001C TIN &amp; TP'!$A$3:$A$10005),0),MATCH('Reg 85'!$AS$11,'DMR 001C TIN &amp; TP'!$A$2:$M$2,0))),"")</f>
        <v>0.37</v>
      </c>
      <c r="AT76" s="53">
        <f t="shared" si="15"/>
        <v>0.37</v>
      </c>
      <c r="AV76" s="6" t="str">
        <f t="array" ref="AV76">_xlfn.IFNA((INDEX('DMR 001C TIN &amp; TP'!$A$3:$M$10005,MATCH(('Reg 85'!$AQ$6&amp;'Reg 85'!$AU$10&amp;'Reg 85'!$B76),('DMR 001C TIN &amp; TP'!$E$3:$E$10005&amp;'DMR 001C TIN &amp; TP'!$B$3:$B$10005&amp;'DMR 001C TIN &amp; TP'!$A$3:$A$10005),0),MATCH('Reg 85'!$AV$11,'DMR 001C TIN &amp; TP'!$A$2:$M$2,0))),"")</f>
        <v>0.03</v>
      </c>
      <c r="AW76" s="6">
        <f t="array" ref="AW76">_xlfn.IFNA((INDEX('DMR 001C TIN &amp; TP'!$A$3:$M$10005,MATCH(('Reg 85'!$AQ$6&amp;'Reg 85'!$AU$10&amp;'Reg 85'!$B76),('DMR 001C TIN &amp; TP'!$E$3:$E$10005&amp;'DMR 001C TIN &amp; TP'!$B$3:$B$10005&amp;'DMR 001C TIN &amp; TP'!$A$3:$A$10005),0),MATCH('Reg 85'!$AW$11,'DMR 001C TIN &amp; TP'!$A$2:$M$2,0))),"")</f>
        <v>2.23</v>
      </c>
      <c r="AX76" s="53">
        <f t="shared" si="16"/>
        <v>2.23</v>
      </c>
      <c r="AY76" s="55">
        <f t="shared" si="17"/>
        <v>1.4627060485802701</v>
      </c>
      <c r="AZ76" s="77" t="str">
        <f t="shared" si="40"/>
        <v/>
      </c>
      <c r="BA76" s="6" t="str">
        <f t="array" ref="BA76">_xlfn.IFNA((INDEX('DMR 001C TIN &amp; TP'!$A$3:$M$10005,MATCH(('Reg 85'!$AQ$6&amp;'Reg 85'!BA$10&amp;'Reg 85'!$B76),('DMR 001C TIN &amp; TP'!$E$3:$E$10005&amp;'DMR 001C TIN &amp; TP'!$B$3:$B$10005&amp;'DMR 001C TIN &amp; TP'!$A$3:$A$10005),0),MATCH('Reg 85'!$AG$11,'DMR 001C TIN &amp; TP'!$A$2:$M$2,0))),"")</f>
        <v/>
      </c>
      <c r="BB76" s="6" t="str">
        <f t="array" ref="BB76">_xlfn.IFNA((INDEX('DMR 001C TIN &amp; TP'!$A$3:$M$10005,MATCH(('Reg 85'!$AQ$6&amp;'Reg 85'!BB$10&amp;'Reg 85'!$B76),('DMR 001C TIN &amp; TP'!$E$3:$E$10005&amp;'DMR 001C TIN &amp; TP'!$B$3:$B$10005&amp;'DMR 001C TIN &amp; TP'!$A$3:$A$10005),0),MATCH('Reg 85'!$AG$11,'DMR 001C TIN &amp; TP'!$A$2:$M$2,0))),"")</f>
        <v/>
      </c>
      <c r="BC76" s="6" t="str">
        <f t="array" ref="BC76">_xlfn.IFNA((INDEX('DMR 001C TIN &amp; TP'!$A$3:$M$10005,MATCH(('Reg 85'!$AQ$6&amp;'Reg 85'!BC$10&amp;'Reg 85'!$B76),('DMR 001C TIN &amp; TP'!$E$3:$E$10005&amp;'DMR 001C TIN &amp; TP'!$B$3:$B$10005&amp;'DMR 001C TIN &amp; TP'!$A$3:$A$10005),0),MATCH('Reg 85'!$AG$11,'DMR 001C TIN &amp; TP'!$A$2:$M$2,0))),"")</f>
        <v/>
      </c>
      <c r="BD76" s="6" t="str">
        <f t="array" ref="BD76">_xlfn.IFNA((INDEX('DMR 001C TIN &amp; TP'!$A$3:$M$10005,MATCH(('Reg 85'!$AQ$6&amp;'Reg 85'!BD$10&amp;'Reg 85'!$B76),('DMR 001C TIN &amp; TP'!$E$3:$E$10005&amp;'DMR 001C TIN &amp; TP'!$B$3:$B$10005&amp;'DMR 001C TIN &amp; TP'!$A$3:$A$10005),0),MATCH('Reg 85'!$AG$11,'DMR 001C TIN &amp; TP'!$A$2:$M$2,0))),"")</f>
        <v/>
      </c>
      <c r="BE76" s="6" t="str">
        <f t="array" ref="BE76">_xlfn.IFNA((INDEX('DMR 001C TIN &amp; TP'!$A$3:$M$10005,MATCH(('Reg 85'!$AQ$6&amp;'Reg 85'!BE$10&amp;'Reg 85'!$B76),('DMR 001C TIN &amp; TP'!$E$3:$E$10005&amp;'DMR 001C TIN &amp; TP'!$B$3:$B$10005&amp;'DMR 001C TIN &amp; TP'!$A$3:$A$10005),0),MATCH('Reg 85'!$AG$11,'DMR 001C TIN &amp; TP'!$A$2:$M$2,0))),"")</f>
        <v/>
      </c>
      <c r="BF76" s="6" t="str">
        <f t="array" ref="BF76">_xlfn.IFNA((INDEX('DMR 001C TIN &amp; TP'!$A$3:$M$10005,MATCH(('Reg 85'!$AQ$6&amp;'Reg 85'!BF$10&amp;'Reg 85'!$B76),('DMR 001C TIN &amp; TP'!$E$3:$E$10005&amp;'DMR 001C TIN &amp; TP'!$B$3:$B$10005&amp;'DMR 001C TIN &amp; TP'!$A$3:$A$10005),0),MATCH('Reg 85'!$AG$11,'DMR 001C TIN &amp; TP'!$A$2:$M$2,0))),"")</f>
        <v/>
      </c>
    </row>
    <row r="77" spans="1:58">
      <c r="A77" s="3" t="str">
        <f t="shared" ref="A77:A140" si="42">TEXT(B77,"ddd")</f>
        <v>Mon</v>
      </c>
      <c r="B77" s="96">
        <f t="shared" si="19"/>
        <v>43409</v>
      </c>
      <c r="C77" s="96">
        <f t="shared" ref="C77:C140" si="43">EOMONTH(B77,0)</f>
        <v>43434</v>
      </c>
      <c r="D77" s="96">
        <f t="shared" ref="D77:D140" si="44">EOMONTH(B77,-1)+1</f>
        <v>43405</v>
      </c>
      <c r="E77" s="95">
        <f t="shared" ref="E77:E140" si="45">DAY(EOMONTH(B77,0))</f>
        <v>30</v>
      </c>
      <c r="F77" s="7">
        <f t="array" ref="F77">_xlfn.IFNA(INDEX('DMR Flows-Effluent'!$A$3:$F$9999,MATCH(($F$10&amp;$B77),('DMR Flows-Effluent'!$B$3:$B$9999&amp;'DMR Flows-Effluent'!$A$3:$A$9999),0),MATCH($F$8,'DMR Flows-Effluent'!$A$2:$F$2,0)),"")</f>
        <v>42.243299999999998</v>
      </c>
      <c r="G77" s="7">
        <f t="array" ref="G77">_xlfn.IFNA(INDEX('DMR Flows-Effluent'!$A$3:$F$9999,MATCH(($G$10&amp;$B77),('DMR Flows-Effluent'!$B$3:$B$9999&amp;'DMR Flows-Effluent'!$A$3:$A$9999),0),MATCH($F$8,'DMR Flows-Effluent'!$A$2:$F$2,0)),"")</f>
        <v>75.619299999999996</v>
      </c>
      <c r="H77" s="7">
        <f t="shared" ref="H77:H140" si="46">SUM(F77:G77)</f>
        <v>117.86259999999999</v>
      </c>
      <c r="I77" s="45" t="str">
        <f t="shared" ref="I77:I140" si="47">IFERROR(IF(L77&lt;VALUE(J77),"&lt;",""),"")</f>
        <v/>
      </c>
      <c r="J77" s="6" t="str">
        <f t="array" ref="J77">_xlfn.IFNA((INDEX('DMR 001C TIN &amp; TP'!$A$3:$M$10005,MATCH(('Reg 85'!$I$6:$Q$6&amp;'Reg 85'!$I$10:$K$10&amp;'Reg 85'!$B77),('DMR 001C TIN &amp; TP'!$E$3:$E$10005&amp;'DMR 001C TIN &amp; TP'!$B$3:$B$10005&amp;'DMR 001C TIN &amp; TP'!$A$3:$A$10005),0),MATCH('Reg 85'!$J$11,'DMR 001C TIN &amp; TP'!$A$2:$M$2,0))),"")</f>
        <v>0.15</v>
      </c>
      <c r="K77" s="6">
        <f t="array" ref="K77">_xlfn.IFNA((INDEX('DMR 001C TIN &amp; TP'!$A$3:$M$10005,MATCH(('Reg 85'!$I$6:$Q$6&amp;'Reg 85'!$I$10:$K$10&amp;'Reg 85'!$B77),('DMR 001C TIN &amp; TP'!$E$3:$E$10005&amp;'DMR 001C TIN &amp; TP'!$B$3:$B$10005&amp;'DMR 001C TIN &amp; TP'!$A$3:$A$10005),0),MATCH('Reg 85'!$K$11,'DMR 001C TIN &amp; TP'!$A$2:$M$2,0))),"")</f>
        <v>0.91</v>
      </c>
      <c r="L77" s="53">
        <f t="shared" si="21"/>
        <v>0.91</v>
      </c>
      <c r="M77" s="5" t="str">
        <f t="shared" ref="M77:M140" si="48">IFERROR(IF(P77&lt;VALUE(N77),"&lt;",""),"")</f>
        <v/>
      </c>
      <c r="N77" s="6" t="str">
        <f t="array" ref="N77">_xlfn.IFNA((INDEX('DMR 001C TIN &amp; TP'!$A$3:$M$10005,MATCH(('Reg 85'!$I$6:$Q$6&amp;'Reg 85'!$M$10&amp;'Reg 85'!$B77),('DMR 001C TIN &amp; TP'!$E$3:$E$10005&amp;'DMR 001C TIN &amp; TP'!$B$3:$B$10005&amp;'DMR 001C TIN &amp; TP'!$A$3:$A$10005),0),MATCH('Reg 85'!$N$11,'DMR 001C TIN &amp; TP'!$A$2:$M$2,0))),"")</f>
        <v>0.15</v>
      </c>
      <c r="O77" s="6">
        <f t="array" ref="O77">_xlfn.IFNA((INDEX('DMR 001C TIN &amp; TP'!$A$3:$M$10005,MATCH(('Reg 85'!$I$6:$Q$6&amp;'Reg 85'!$M$10&amp;'Reg 85'!$B77),('DMR 001C TIN &amp; TP'!$E$3:$E$10005&amp;'DMR 001C TIN &amp; TP'!$B$3:$B$10005&amp;'DMR 001C TIN &amp; TP'!$A$3:$A$10005),0),MATCH('Reg 85'!$O$11,'DMR 001C TIN &amp; TP'!$A$2:$M$2,0))),"")</f>
        <v>2.77</v>
      </c>
      <c r="P77" s="53">
        <f t="shared" ref="P77:P140" si="49">IFERROR(IF(VALUE(O77)&lt;VALUE(N77),0,VALUE(O77)),"")</f>
        <v>2.77</v>
      </c>
      <c r="Q77" s="73">
        <f t="array" ref="Q77">IFERROR(((L77*$F77)+(P77*$G77))/($H77),"")</f>
        <v>2.1033547876934668</v>
      </c>
      <c r="R77" s="6" t="str">
        <f t="array" ref="R77">_xlfn.IFNA((INDEX('DMR 001C TIN &amp; TP'!$A$3:$M$10005,MATCH(('Reg 85'!$I$6:$Q$6&amp;'Reg 85'!R$10&amp;'Reg 85'!$B77),('DMR 001C TIN &amp; TP'!$E$3:$E$10005&amp;'DMR 001C TIN &amp; TP'!$B$3:$B$10005&amp;'DMR 001C TIN &amp; TP'!$A$3:$A$10005),0),MATCH('Reg 85'!$O$11,'DMR 001C TIN &amp; TP'!$A$2:$M$2,0))),"")</f>
        <v/>
      </c>
      <c r="S77" s="6" t="str">
        <f t="array" ref="S77">_xlfn.IFNA((INDEX('DMR 001C TIN &amp; TP'!$A$3:$M$10005,MATCH(('Reg 85'!$I$6:$Q$6&amp;'Reg 85'!S$10&amp;'Reg 85'!$B77),('DMR 001C TIN &amp; TP'!$E$3:$E$10005&amp;'DMR 001C TIN &amp; TP'!$B$3:$B$10005&amp;'DMR 001C TIN &amp; TP'!$A$3:$A$10005),0),MATCH('Reg 85'!$O$11,'DMR 001C TIN &amp; TP'!$A$2:$M$2,0))),"")</f>
        <v/>
      </c>
      <c r="T77" s="6" t="str">
        <f t="array" ref="T77">_xlfn.IFNA((INDEX('DMR 001C TIN &amp; TP'!$A$3:$M$10005,MATCH(('Reg 85'!$I$6:$Q$6&amp;'Reg 85'!T$10&amp;'Reg 85'!$B77),('DMR 001C TIN &amp; TP'!$E$3:$E$10005&amp;'DMR 001C TIN &amp; TP'!$B$3:$B$10005&amp;'DMR 001C TIN &amp; TP'!$A$3:$A$10005),0),MATCH('Reg 85'!$O$11,'DMR 001C TIN &amp; TP'!$A$2:$M$2,0))),"")</f>
        <v/>
      </c>
      <c r="U77" s="6" t="str">
        <f t="array" ref="U77">_xlfn.IFNA((INDEX('DMR 001C TIN &amp; TP'!$A$3:$M$10005,MATCH(('Reg 85'!$I$6:$Q$6&amp;'Reg 85'!U$10&amp;'Reg 85'!$B77),('DMR 001C TIN &amp; TP'!$E$3:$E$10005&amp;'DMR 001C TIN &amp; TP'!$B$3:$B$10005&amp;'DMR 001C TIN &amp; TP'!$A$3:$A$10005),0),MATCH('Reg 85'!$O$11,'DMR 001C TIN &amp; TP'!$A$2:$M$2,0))),"")</f>
        <v/>
      </c>
      <c r="V77" s="6" t="str">
        <f t="array" ref="V77">_xlfn.IFNA((INDEX('DMR 001C TIN &amp; TP'!$A$3:$M$10005,MATCH(('Reg 85'!$I$6:$Q$6&amp;'Reg 85'!V$10&amp;'Reg 85'!$B77),('DMR 001C TIN &amp; TP'!$E$3:$E$10005&amp;'DMR 001C TIN &amp; TP'!$B$3:$B$10005&amp;'DMR 001C TIN &amp; TP'!$A$3:$A$10005),0),MATCH('Reg 85'!$O$11,'DMR 001C TIN &amp; TP'!$A$2:$M$2,0))),"")</f>
        <v/>
      </c>
      <c r="W77" s="6" t="str">
        <f t="array" ref="W77">_xlfn.IFNA((INDEX('DMR 001C TIN &amp; TP'!$A$3:$M$10005,MATCH(('Reg 85'!$I$6:$Q$6&amp;'Reg 85'!W$10&amp;'Reg 85'!$B77),('DMR 001C TIN &amp; TP'!$E$3:$E$10005&amp;'DMR 001C TIN &amp; TP'!$B$3:$B$10005&amp;'DMR 001C TIN &amp; TP'!$A$3:$A$10005),0),MATCH('Reg 85'!$O$11,'DMR 001C TIN &amp; TP'!$A$2:$M$2,0))),"")</f>
        <v/>
      </c>
      <c r="X77" s="5" t="str">
        <f t="shared" ref="X77:X140" si="50">IFERROR(IF(AA77&lt;VALUE(Y77),"&lt;",""),"")</f>
        <v/>
      </c>
      <c r="Y77" s="6" t="str">
        <f t="array" ref="Y77">_xlfn.IFNA((INDEX('DMR 001C TIN &amp; TP'!$A$3:$M$10005,MATCH(('Reg 85'!$X$6&amp;'Reg 85'!$X$10&amp;'Reg 85'!$B77),('DMR 001C TIN &amp; TP'!$E$3:$E$10005&amp;'DMR 001C TIN &amp; TP'!$B$3:$B$10005&amp;'DMR 001C TIN &amp; TP'!$A$3:$A$10005),0),MATCH('Reg 85'!$Y$11,'DMR 001C TIN &amp; TP'!$A$2:$M$2,0))),"")</f>
        <v>0.06</v>
      </c>
      <c r="Z77" s="6">
        <f t="array" ref="Z77">_xlfn.IFNA((INDEX('DMR 001C TIN &amp; TP'!$A$3:$M$10005,MATCH(('Reg 85'!$X$6&amp;'Reg 85'!$X$10&amp;'Reg 85'!$B77),('DMR 001C TIN &amp; TP'!$E$3:$E$10005&amp;'DMR 001C TIN &amp; TP'!$B$3:$B$10005&amp;'DMR 001C TIN &amp; TP'!$A$3:$A$10005),0),MATCH('Reg 85'!$Z$11,'DMR 001C TIN &amp; TP'!$A$2:$M$2,0))),"")</f>
        <v>4.08</v>
      </c>
      <c r="AA77" s="53">
        <f t="shared" ref="AA77:AA140" si="51">IFERROR(IF(VALUE(Z77)&lt;VALUE(Y77),0,VALUE(Z77)),"")</f>
        <v>4.08</v>
      </c>
      <c r="AB77" s="5" t="str">
        <f t="shared" ref="AB77:AB140" si="52">IFERROR(IF(AE77&lt;VALUE(AC77),"&lt;",""),"")</f>
        <v/>
      </c>
      <c r="AC77" s="6" t="str">
        <f t="array" ref="AC77">_xlfn.IFNA((INDEX('DMR 001C TIN &amp; TP'!$A$3:$M$10005,MATCH(('Reg 85'!$X$6&amp;'Reg 85'!$AB$10&amp;'Reg 85'!$B77),('DMR 001C TIN &amp; TP'!$E$3:$E$10005&amp;'DMR 001C TIN &amp; TP'!$B$3:$B$10005&amp;'DMR 001C TIN &amp; TP'!$A$3:$A$10005),0),MATCH('Reg 85'!$AC$11,'DMR 001C TIN &amp; TP'!$A$2:$M$2,0))),"")</f>
        <v>0.06</v>
      </c>
      <c r="AD77" s="6">
        <f t="array" ref="AD77">_xlfn.IFNA((INDEX('DMR 001C TIN &amp; TP'!$A$3:$M$10005,MATCH(('Reg 85'!$X$6&amp;'Reg 85'!$AB$10&amp;'Reg 85'!$B77),('DMR 001C TIN &amp; TP'!$E$3:$E$10005&amp;'DMR 001C TIN &amp; TP'!$B$3:$B$10005&amp;'DMR 001C TIN &amp; TP'!$A$3:$A$10005),0),MATCH('Reg 85'!$AD$11,'DMR 001C TIN &amp; TP'!$A$2:$M$2,0))),"")</f>
        <v>5.55</v>
      </c>
      <c r="AE77" s="53">
        <f t="shared" ref="AE77:AE140" si="53">IFERROR(IF(VALUE(AD77)&lt;VALUE(AC77),0,VALUE(AD77)),"")</f>
        <v>5.55</v>
      </c>
      <c r="AF77" s="7">
        <f t="shared" ref="AF77:AF140" si="54">IFERROR(((AA77*$F77)+(AE77*$G77))/($H77),"")</f>
        <v>5.0231352354351593</v>
      </c>
      <c r="AG77" s="6" t="str">
        <f t="array" ref="AG77">_xlfn.IFNA((INDEX('DMR 001C TIN &amp; TP'!$A$3:$M$10005,MATCH(('Reg 85'!$X$6&amp;'Reg 85'!AG$10&amp;'Reg 85'!$B77),('DMR 001C TIN &amp; TP'!$E$3:$E$10005&amp;'DMR 001C TIN &amp; TP'!$B$3:$B$10005&amp;'DMR 001C TIN &amp; TP'!$A$3:$A$10005),0),MATCH('Reg 85'!$AG$11,'DMR 001C TIN &amp; TP'!$A$2:$M$2,0))),"")</f>
        <v/>
      </c>
      <c r="AH77" s="6" t="str">
        <f t="array" ref="AH77">_xlfn.IFNA((INDEX('DMR 001C TIN &amp; TP'!$A$3:$M$10005,MATCH(('Reg 85'!$X$6&amp;'Reg 85'!AH$10&amp;'Reg 85'!$B77),('DMR 001C TIN &amp; TP'!$E$3:$E$10005&amp;'DMR 001C TIN &amp; TP'!$B$3:$B$10005&amp;'DMR 001C TIN &amp; TP'!$A$3:$A$10005),0),MATCH('Reg 85'!$AG$11,'DMR 001C TIN &amp; TP'!$A$2:$M$2,0))),"")</f>
        <v/>
      </c>
      <c r="AI77" s="6" t="str">
        <f t="array" ref="AI77">_xlfn.IFNA((INDEX('DMR 001C TIN &amp; TP'!$A$3:$M$10005,MATCH(('Reg 85'!$X$6&amp;'Reg 85'!AI$10&amp;'Reg 85'!$B77),('DMR 001C TIN &amp; TP'!$E$3:$E$10005&amp;'DMR 001C TIN &amp; TP'!$B$3:$B$10005&amp;'DMR 001C TIN &amp; TP'!$A$3:$A$10005),0),MATCH('Reg 85'!$AG$11,'DMR 001C TIN &amp; TP'!$A$2:$M$2,0))),"")</f>
        <v/>
      </c>
      <c r="AJ77" s="6" t="str">
        <f t="array" ref="AJ77">_xlfn.IFNA((INDEX('DMR 001C TIN &amp; TP'!$A$3:$M$10005,MATCH(('Reg 85'!$X$6&amp;'Reg 85'!AJ$10&amp;'Reg 85'!$B77),('DMR 001C TIN &amp; TP'!$E$3:$E$10005&amp;'DMR 001C TIN &amp; TP'!$B$3:$B$10005&amp;'DMR 001C TIN &amp; TP'!$A$3:$A$10005),0),MATCH('Reg 85'!$AG$11,'DMR 001C TIN &amp; TP'!$A$2:$M$2,0))),"")</f>
        <v/>
      </c>
      <c r="AK77" s="6" t="str">
        <f t="array" ref="AK77">_xlfn.IFNA((INDEX('DMR 001C TIN &amp; TP'!$A$3:$M$10005,MATCH(('Reg 85'!$X$6&amp;'Reg 85'!AK$10&amp;'Reg 85'!$B77),('DMR 001C TIN &amp; TP'!$E$3:$E$10005&amp;'DMR 001C TIN &amp; TP'!$B$3:$B$10005&amp;'DMR 001C TIN &amp; TP'!$A$3:$A$10005),0),MATCH('Reg 85'!$AG$11,'DMR 001C TIN &amp; TP'!$A$2:$M$2,0))),"")</f>
        <v/>
      </c>
      <c r="AL77" s="6" t="str">
        <f t="array" ref="AL77">_xlfn.IFNA((INDEX('DMR 001C TIN &amp; TP'!$A$3:$M$10005,MATCH(('Reg 85'!$X$6&amp;'Reg 85'!AL$10&amp;'Reg 85'!$B77),('DMR 001C TIN &amp; TP'!$E$3:$E$10005&amp;'DMR 001C TIN &amp; TP'!$B$3:$B$10005&amp;'DMR 001C TIN &amp; TP'!$A$3:$A$10005),0),MATCH('Reg 85'!$AG$11,'DMR 001C TIN &amp; TP'!$A$2:$M$2,0))),"")</f>
        <v/>
      </c>
      <c r="AM77" s="76"/>
      <c r="AN77" s="6"/>
      <c r="AO77" s="54">
        <f t="shared" si="41"/>
        <v>7.1264900231286266</v>
      </c>
      <c r="AP77" s="77" t="str">
        <f t="shared" si="39"/>
        <v/>
      </c>
      <c r="AQ77" s="47"/>
      <c r="AR77" s="6" t="str">
        <f t="array" ref="AR77">_xlfn.IFNA((INDEX('DMR 001C TIN &amp; TP'!$A$3:$M$10005,MATCH(('Reg 85'!$AQ$6&amp;'Reg 85'!$AQ$10&amp;'Reg 85'!$B77),('DMR 001C TIN &amp; TP'!$E$3:$E$10005&amp;'DMR 001C TIN &amp; TP'!$B$3:$B$10005&amp;'DMR 001C TIN &amp; TP'!$A$3:$A$10005),0),MATCH('Reg 85'!$AR$11,'DMR 001C TIN &amp; TP'!$A$2:$M$2,0))),"")</f>
        <v/>
      </c>
      <c r="AS77" s="6" t="str">
        <f t="array" ref="AS77">_xlfn.IFNA((INDEX('DMR 001C TIN &amp; TP'!$A$3:$M$10005,MATCH(('Reg 85'!$AQ$6&amp;'Reg 85'!$AQ$10&amp;'Reg 85'!$B77),('DMR 001C TIN &amp; TP'!$E$3:$E$10005&amp;'DMR 001C TIN &amp; TP'!$B$3:$B$10005&amp;'DMR 001C TIN &amp; TP'!$A$3:$A$10005),0),MATCH('Reg 85'!$AS$11,'DMR 001C TIN &amp; TP'!$A$2:$M$2,0))),"")</f>
        <v/>
      </c>
      <c r="AT77" s="53" t="str">
        <f t="shared" ref="AT77:AT140" si="55">IFERROR(IF(VALUE(AS77)&lt;VALUE(AR77),0,VALUE(AS77)),"")</f>
        <v/>
      </c>
      <c r="AV77" s="6" t="str">
        <f t="array" ref="AV77">_xlfn.IFNA((INDEX('DMR 001C TIN &amp; TP'!$A$3:$M$10005,MATCH(('Reg 85'!$AQ$6&amp;'Reg 85'!$AU$10&amp;'Reg 85'!$B77),('DMR 001C TIN &amp; TP'!$E$3:$E$10005&amp;'DMR 001C TIN &amp; TP'!$B$3:$B$10005&amp;'DMR 001C TIN &amp; TP'!$A$3:$A$10005),0),MATCH('Reg 85'!$AV$11,'DMR 001C TIN &amp; TP'!$A$2:$M$2,0))),"")</f>
        <v/>
      </c>
      <c r="AW77" s="6" t="str">
        <f t="array" ref="AW77">_xlfn.IFNA((INDEX('DMR 001C TIN &amp; TP'!$A$3:$M$10005,MATCH(('Reg 85'!$AQ$6&amp;'Reg 85'!$AU$10&amp;'Reg 85'!$B77),('DMR 001C TIN &amp; TP'!$E$3:$E$10005&amp;'DMR 001C TIN &amp; TP'!$B$3:$B$10005&amp;'DMR 001C TIN &amp; TP'!$A$3:$A$10005),0),MATCH('Reg 85'!$AW$11,'DMR 001C TIN &amp; TP'!$A$2:$M$2,0))),"")</f>
        <v/>
      </c>
      <c r="AX77" s="53" t="str">
        <f t="shared" ref="AX77:AX140" si="56">IFERROR(IF(VALUE(AW77)&lt;VALUE(AV77),0,VALUE(AW77)),"")</f>
        <v/>
      </c>
      <c r="AY77" s="55" t="str">
        <f t="shared" ref="AY77:AY140" si="57">IFERROR(((AT77*$F77)+(AX77*$G77))/($H77),"")</f>
        <v/>
      </c>
      <c r="AZ77" s="77" t="str">
        <f t="shared" si="40"/>
        <v/>
      </c>
      <c r="BA77" s="6" t="str">
        <f t="array" ref="BA77">_xlfn.IFNA((INDEX('DMR 001C TIN &amp; TP'!$A$3:$M$10005,MATCH(('Reg 85'!$AQ$6&amp;'Reg 85'!BA$10&amp;'Reg 85'!$B77),('DMR 001C TIN &amp; TP'!$E$3:$E$10005&amp;'DMR 001C TIN &amp; TP'!$B$3:$B$10005&amp;'DMR 001C TIN &amp; TP'!$A$3:$A$10005),0),MATCH('Reg 85'!$AG$11,'DMR 001C TIN &amp; TP'!$A$2:$M$2,0))),"")</f>
        <v/>
      </c>
      <c r="BB77" s="6" t="str">
        <f t="array" ref="BB77">_xlfn.IFNA((INDEX('DMR 001C TIN &amp; TP'!$A$3:$M$10005,MATCH(('Reg 85'!$AQ$6&amp;'Reg 85'!BB$10&amp;'Reg 85'!$B77),('DMR 001C TIN &amp; TP'!$E$3:$E$10005&amp;'DMR 001C TIN &amp; TP'!$B$3:$B$10005&amp;'DMR 001C TIN &amp; TP'!$A$3:$A$10005),0),MATCH('Reg 85'!$AG$11,'DMR 001C TIN &amp; TP'!$A$2:$M$2,0))),"")</f>
        <v/>
      </c>
      <c r="BC77" s="6" t="str">
        <f t="array" ref="BC77">_xlfn.IFNA((INDEX('DMR 001C TIN &amp; TP'!$A$3:$M$10005,MATCH(('Reg 85'!$AQ$6&amp;'Reg 85'!BC$10&amp;'Reg 85'!$B77),('DMR 001C TIN &amp; TP'!$E$3:$E$10005&amp;'DMR 001C TIN &amp; TP'!$B$3:$B$10005&amp;'DMR 001C TIN &amp; TP'!$A$3:$A$10005),0),MATCH('Reg 85'!$AG$11,'DMR 001C TIN &amp; TP'!$A$2:$M$2,0))),"")</f>
        <v/>
      </c>
      <c r="BD77" s="6" t="str">
        <f t="array" ref="BD77">_xlfn.IFNA((INDEX('DMR 001C TIN &amp; TP'!$A$3:$M$10005,MATCH(('Reg 85'!$AQ$6&amp;'Reg 85'!BD$10&amp;'Reg 85'!$B77),('DMR 001C TIN &amp; TP'!$E$3:$E$10005&amp;'DMR 001C TIN &amp; TP'!$B$3:$B$10005&amp;'DMR 001C TIN &amp; TP'!$A$3:$A$10005),0),MATCH('Reg 85'!$AG$11,'DMR 001C TIN &amp; TP'!$A$2:$M$2,0))),"")</f>
        <v/>
      </c>
      <c r="BE77" s="6" t="str">
        <f t="array" ref="BE77">_xlfn.IFNA((INDEX('DMR 001C TIN &amp; TP'!$A$3:$M$10005,MATCH(('Reg 85'!$AQ$6&amp;'Reg 85'!BE$10&amp;'Reg 85'!$B77),('DMR 001C TIN &amp; TP'!$E$3:$E$10005&amp;'DMR 001C TIN &amp; TP'!$B$3:$B$10005&amp;'DMR 001C TIN &amp; TP'!$A$3:$A$10005),0),MATCH('Reg 85'!$AG$11,'DMR 001C TIN &amp; TP'!$A$2:$M$2,0))),"")</f>
        <v/>
      </c>
      <c r="BF77" s="6" t="str">
        <f t="array" ref="BF77">_xlfn.IFNA((INDEX('DMR 001C TIN &amp; TP'!$A$3:$M$10005,MATCH(('Reg 85'!$AQ$6&amp;'Reg 85'!BF$10&amp;'Reg 85'!$B77),('DMR 001C TIN &amp; TP'!$E$3:$E$10005&amp;'DMR 001C TIN &amp; TP'!$B$3:$B$10005&amp;'DMR 001C TIN &amp; TP'!$A$3:$A$10005),0),MATCH('Reg 85'!$AG$11,'DMR 001C TIN &amp; TP'!$A$2:$M$2,0))),"")</f>
        <v/>
      </c>
    </row>
    <row r="78" spans="1:58">
      <c r="A78" s="3" t="str">
        <f t="shared" si="42"/>
        <v>Tue</v>
      </c>
      <c r="B78" s="96">
        <f t="shared" ref="B78:B141" si="58">B77+1</f>
        <v>43410</v>
      </c>
      <c r="C78" s="96">
        <f t="shared" si="43"/>
        <v>43434</v>
      </c>
      <c r="D78" s="96">
        <f t="shared" si="44"/>
        <v>43405</v>
      </c>
      <c r="E78" s="95">
        <f t="shared" si="45"/>
        <v>30</v>
      </c>
      <c r="F78" s="7">
        <f t="array" ref="F78">_xlfn.IFNA(INDEX('DMR Flows-Effluent'!$A$3:$F$9999,MATCH(($F$10&amp;$B78),('DMR Flows-Effluent'!$B$3:$B$9999&amp;'DMR Flows-Effluent'!$A$3:$A$9999),0),MATCH($F$8,'DMR Flows-Effluent'!$A$2:$F$2,0)),"")</f>
        <v>47.473100000000002</v>
      </c>
      <c r="G78" s="7">
        <f t="array" ref="G78">_xlfn.IFNA(INDEX('DMR Flows-Effluent'!$A$3:$F$9999,MATCH(($G$10&amp;$B78),('DMR Flows-Effluent'!$B$3:$B$9999&amp;'DMR Flows-Effluent'!$A$3:$A$9999),0),MATCH($F$8,'DMR Flows-Effluent'!$A$2:$F$2,0)),"")</f>
        <v>72.6511</v>
      </c>
      <c r="H78" s="7">
        <f t="shared" si="46"/>
        <v>120.1242</v>
      </c>
      <c r="I78" s="45" t="str">
        <f t="shared" si="47"/>
        <v/>
      </c>
      <c r="J78" s="6" t="str">
        <f t="array" ref="J78">_xlfn.IFNA((INDEX('DMR 001C TIN &amp; TP'!$A$3:$M$10005,MATCH(('Reg 85'!$I$6:$Q$6&amp;'Reg 85'!$I$10:$K$10&amp;'Reg 85'!$B78),('DMR 001C TIN &amp; TP'!$E$3:$E$10005&amp;'DMR 001C TIN &amp; TP'!$B$3:$B$10005&amp;'DMR 001C TIN &amp; TP'!$A$3:$A$10005),0),MATCH('Reg 85'!$J$11,'DMR 001C TIN &amp; TP'!$A$2:$M$2,0))),"")</f>
        <v>0.15</v>
      </c>
      <c r="K78" s="6">
        <f t="array" ref="K78">_xlfn.IFNA((INDEX('DMR 001C TIN &amp; TP'!$A$3:$M$10005,MATCH(('Reg 85'!$I$6:$Q$6&amp;'Reg 85'!$I$10:$K$10&amp;'Reg 85'!$B78),('DMR 001C TIN &amp; TP'!$E$3:$E$10005&amp;'DMR 001C TIN &amp; TP'!$B$3:$B$10005&amp;'DMR 001C TIN &amp; TP'!$A$3:$A$10005),0),MATCH('Reg 85'!$K$11,'DMR 001C TIN &amp; TP'!$A$2:$M$2,0))),"")</f>
        <v>0.76</v>
      </c>
      <c r="L78" s="53">
        <f t="shared" si="21"/>
        <v>0.76</v>
      </c>
      <c r="M78" s="5" t="str">
        <f t="shared" si="48"/>
        <v/>
      </c>
      <c r="N78" s="6" t="str">
        <f t="array" ref="N78">_xlfn.IFNA((INDEX('DMR 001C TIN &amp; TP'!$A$3:$M$10005,MATCH(('Reg 85'!$I$6:$Q$6&amp;'Reg 85'!$M$10&amp;'Reg 85'!$B78),('DMR 001C TIN &amp; TP'!$E$3:$E$10005&amp;'DMR 001C TIN &amp; TP'!$B$3:$B$10005&amp;'DMR 001C TIN &amp; TP'!$A$3:$A$10005),0),MATCH('Reg 85'!$N$11,'DMR 001C TIN &amp; TP'!$A$2:$M$2,0))),"")</f>
        <v>0.15</v>
      </c>
      <c r="O78" s="6">
        <f t="array" ref="O78">_xlfn.IFNA((INDEX('DMR 001C TIN &amp; TP'!$A$3:$M$10005,MATCH(('Reg 85'!$I$6:$Q$6&amp;'Reg 85'!$M$10&amp;'Reg 85'!$B78),('DMR 001C TIN &amp; TP'!$E$3:$E$10005&amp;'DMR 001C TIN &amp; TP'!$B$3:$B$10005&amp;'DMR 001C TIN &amp; TP'!$A$3:$A$10005),0),MATCH('Reg 85'!$O$11,'DMR 001C TIN &amp; TP'!$A$2:$M$2,0))),"")</f>
        <v>2.97</v>
      </c>
      <c r="P78" s="53">
        <f t="shared" si="49"/>
        <v>2.97</v>
      </c>
      <c r="Q78" s="73">
        <f t="array" ref="Q78">IFERROR(((L78*$F78)+(P78*$G78))/($H78),"")</f>
        <v>2.0966077026943779</v>
      </c>
      <c r="R78" s="6" t="str">
        <f t="array" ref="R78">_xlfn.IFNA((INDEX('DMR 001C TIN &amp; TP'!$A$3:$M$10005,MATCH(('Reg 85'!$I$6:$Q$6&amp;'Reg 85'!R$10&amp;'Reg 85'!$B78),('DMR 001C TIN &amp; TP'!$E$3:$E$10005&amp;'DMR 001C TIN &amp; TP'!$B$3:$B$10005&amp;'DMR 001C TIN &amp; TP'!$A$3:$A$10005),0),MATCH('Reg 85'!$O$11,'DMR 001C TIN &amp; TP'!$A$2:$M$2,0))),"")</f>
        <v/>
      </c>
      <c r="S78" s="6" t="str">
        <f t="array" ref="S78">_xlfn.IFNA((INDEX('DMR 001C TIN &amp; TP'!$A$3:$M$10005,MATCH(('Reg 85'!$I$6:$Q$6&amp;'Reg 85'!S$10&amp;'Reg 85'!$B78),('DMR 001C TIN &amp; TP'!$E$3:$E$10005&amp;'DMR 001C TIN &amp; TP'!$B$3:$B$10005&amp;'DMR 001C TIN &amp; TP'!$A$3:$A$10005),0),MATCH('Reg 85'!$O$11,'DMR 001C TIN &amp; TP'!$A$2:$M$2,0))),"")</f>
        <v/>
      </c>
      <c r="T78" s="6" t="str">
        <f t="array" ref="T78">_xlfn.IFNA((INDEX('DMR 001C TIN &amp; TP'!$A$3:$M$10005,MATCH(('Reg 85'!$I$6:$Q$6&amp;'Reg 85'!T$10&amp;'Reg 85'!$B78),('DMR 001C TIN &amp; TP'!$E$3:$E$10005&amp;'DMR 001C TIN &amp; TP'!$B$3:$B$10005&amp;'DMR 001C TIN &amp; TP'!$A$3:$A$10005),0),MATCH('Reg 85'!$O$11,'DMR 001C TIN &amp; TP'!$A$2:$M$2,0))),"")</f>
        <v/>
      </c>
      <c r="U78" s="6" t="str">
        <f t="array" ref="U78">_xlfn.IFNA((INDEX('DMR 001C TIN &amp; TP'!$A$3:$M$10005,MATCH(('Reg 85'!$I$6:$Q$6&amp;'Reg 85'!U$10&amp;'Reg 85'!$B78),('DMR 001C TIN &amp; TP'!$E$3:$E$10005&amp;'DMR 001C TIN &amp; TP'!$B$3:$B$10005&amp;'DMR 001C TIN &amp; TP'!$A$3:$A$10005),0),MATCH('Reg 85'!$O$11,'DMR 001C TIN &amp; TP'!$A$2:$M$2,0))),"")</f>
        <v/>
      </c>
      <c r="V78" s="6" t="str">
        <f t="array" ref="V78">_xlfn.IFNA((INDEX('DMR 001C TIN &amp; TP'!$A$3:$M$10005,MATCH(('Reg 85'!$I$6:$Q$6&amp;'Reg 85'!V$10&amp;'Reg 85'!$B78),('DMR 001C TIN &amp; TP'!$E$3:$E$10005&amp;'DMR 001C TIN &amp; TP'!$B$3:$B$10005&amp;'DMR 001C TIN &amp; TP'!$A$3:$A$10005),0),MATCH('Reg 85'!$O$11,'DMR 001C TIN &amp; TP'!$A$2:$M$2,0))),"")</f>
        <v/>
      </c>
      <c r="W78" s="6" t="str">
        <f t="array" ref="W78">_xlfn.IFNA((INDEX('DMR 001C TIN &amp; TP'!$A$3:$M$10005,MATCH(('Reg 85'!$I$6:$Q$6&amp;'Reg 85'!W$10&amp;'Reg 85'!$B78),('DMR 001C TIN &amp; TP'!$E$3:$E$10005&amp;'DMR 001C TIN &amp; TP'!$B$3:$B$10005&amp;'DMR 001C TIN &amp; TP'!$A$3:$A$10005),0),MATCH('Reg 85'!$O$11,'DMR 001C TIN &amp; TP'!$A$2:$M$2,0))),"")</f>
        <v/>
      </c>
      <c r="X78" s="5" t="str">
        <f t="shared" si="50"/>
        <v/>
      </c>
      <c r="Y78" s="6" t="str">
        <f t="array" ref="Y78">_xlfn.IFNA((INDEX('DMR 001C TIN &amp; TP'!$A$3:$M$10005,MATCH(('Reg 85'!$X$6&amp;'Reg 85'!$X$10&amp;'Reg 85'!$B78),('DMR 001C TIN &amp; TP'!$E$3:$E$10005&amp;'DMR 001C TIN &amp; TP'!$B$3:$B$10005&amp;'DMR 001C TIN &amp; TP'!$A$3:$A$10005),0),MATCH('Reg 85'!$Y$11,'DMR 001C TIN &amp; TP'!$A$2:$M$2,0))),"")</f>
        <v>0.06</v>
      </c>
      <c r="Z78" s="6">
        <f t="array" ref="Z78">_xlfn.IFNA((INDEX('DMR 001C TIN &amp; TP'!$A$3:$M$10005,MATCH(('Reg 85'!$X$6&amp;'Reg 85'!$X$10&amp;'Reg 85'!$B78),('DMR 001C TIN &amp; TP'!$E$3:$E$10005&amp;'DMR 001C TIN &amp; TP'!$B$3:$B$10005&amp;'DMR 001C TIN &amp; TP'!$A$3:$A$10005),0),MATCH('Reg 85'!$Z$11,'DMR 001C TIN &amp; TP'!$A$2:$M$2,0))),"")</f>
        <v>5.14</v>
      </c>
      <c r="AA78" s="53">
        <f t="shared" si="51"/>
        <v>5.14</v>
      </c>
      <c r="AB78" s="5" t="str">
        <f t="shared" si="52"/>
        <v/>
      </c>
      <c r="AC78" s="6" t="str">
        <f t="array" ref="AC78">_xlfn.IFNA((INDEX('DMR 001C TIN &amp; TP'!$A$3:$M$10005,MATCH(('Reg 85'!$X$6&amp;'Reg 85'!$AB$10&amp;'Reg 85'!$B78),('DMR 001C TIN &amp; TP'!$E$3:$E$10005&amp;'DMR 001C TIN &amp; TP'!$B$3:$B$10005&amp;'DMR 001C TIN &amp; TP'!$A$3:$A$10005),0),MATCH('Reg 85'!$AC$11,'DMR 001C TIN &amp; TP'!$A$2:$M$2,0))),"")</f>
        <v>0.06</v>
      </c>
      <c r="AD78" s="6">
        <f t="array" ref="AD78">_xlfn.IFNA((INDEX('DMR 001C TIN &amp; TP'!$A$3:$M$10005,MATCH(('Reg 85'!$X$6&amp;'Reg 85'!$AB$10&amp;'Reg 85'!$B78),('DMR 001C TIN &amp; TP'!$E$3:$E$10005&amp;'DMR 001C TIN &amp; TP'!$B$3:$B$10005&amp;'DMR 001C TIN &amp; TP'!$A$3:$A$10005),0),MATCH('Reg 85'!$AD$11,'DMR 001C TIN &amp; TP'!$A$2:$M$2,0))),"")</f>
        <v>5.97</v>
      </c>
      <c r="AE78" s="53">
        <f t="shared" si="53"/>
        <v>5.97</v>
      </c>
      <c r="AF78" s="7">
        <f t="shared" si="54"/>
        <v>5.6419838883422324</v>
      </c>
      <c r="AG78" s="6" t="str">
        <f t="array" ref="AG78">_xlfn.IFNA((INDEX('DMR 001C TIN &amp; TP'!$A$3:$M$10005,MATCH(('Reg 85'!$X$6&amp;'Reg 85'!AG$10&amp;'Reg 85'!$B78),('DMR 001C TIN &amp; TP'!$E$3:$E$10005&amp;'DMR 001C TIN &amp; TP'!$B$3:$B$10005&amp;'DMR 001C TIN &amp; TP'!$A$3:$A$10005),0),MATCH('Reg 85'!$AG$11,'DMR 001C TIN &amp; TP'!$A$2:$M$2,0))),"")</f>
        <v/>
      </c>
      <c r="AH78" s="6" t="str">
        <f t="array" ref="AH78">_xlfn.IFNA((INDEX('DMR 001C TIN &amp; TP'!$A$3:$M$10005,MATCH(('Reg 85'!$X$6&amp;'Reg 85'!AH$10&amp;'Reg 85'!$B78),('DMR 001C TIN &amp; TP'!$E$3:$E$10005&amp;'DMR 001C TIN &amp; TP'!$B$3:$B$10005&amp;'DMR 001C TIN &amp; TP'!$A$3:$A$10005),0),MATCH('Reg 85'!$AG$11,'DMR 001C TIN &amp; TP'!$A$2:$M$2,0))),"")</f>
        <v/>
      </c>
      <c r="AI78" s="6" t="str">
        <f t="array" ref="AI78">_xlfn.IFNA((INDEX('DMR 001C TIN &amp; TP'!$A$3:$M$10005,MATCH(('Reg 85'!$X$6&amp;'Reg 85'!AI$10&amp;'Reg 85'!$B78),('DMR 001C TIN &amp; TP'!$E$3:$E$10005&amp;'DMR 001C TIN &amp; TP'!$B$3:$B$10005&amp;'DMR 001C TIN &amp; TP'!$A$3:$A$10005),0),MATCH('Reg 85'!$AG$11,'DMR 001C TIN &amp; TP'!$A$2:$M$2,0))),"")</f>
        <v/>
      </c>
      <c r="AJ78" s="6" t="str">
        <f t="array" ref="AJ78">_xlfn.IFNA((INDEX('DMR 001C TIN &amp; TP'!$A$3:$M$10005,MATCH(('Reg 85'!$X$6&amp;'Reg 85'!AJ$10&amp;'Reg 85'!$B78),('DMR 001C TIN &amp; TP'!$E$3:$E$10005&amp;'DMR 001C TIN &amp; TP'!$B$3:$B$10005&amp;'DMR 001C TIN &amp; TP'!$A$3:$A$10005),0),MATCH('Reg 85'!$AG$11,'DMR 001C TIN &amp; TP'!$A$2:$M$2,0))),"")</f>
        <v/>
      </c>
      <c r="AK78" s="6" t="str">
        <f t="array" ref="AK78">_xlfn.IFNA((INDEX('DMR 001C TIN &amp; TP'!$A$3:$M$10005,MATCH(('Reg 85'!$X$6&amp;'Reg 85'!AK$10&amp;'Reg 85'!$B78),('DMR 001C TIN &amp; TP'!$E$3:$E$10005&amp;'DMR 001C TIN &amp; TP'!$B$3:$B$10005&amp;'DMR 001C TIN &amp; TP'!$A$3:$A$10005),0),MATCH('Reg 85'!$AG$11,'DMR 001C TIN &amp; TP'!$A$2:$M$2,0))),"")</f>
        <v/>
      </c>
      <c r="AL78" s="6" t="str">
        <f t="array" ref="AL78">_xlfn.IFNA((INDEX('DMR 001C TIN &amp; TP'!$A$3:$M$10005,MATCH(('Reg 85'!$X$6&amp;'Reg 85'!AL$10&amp;'Reg 85'!$B78),('DMR 001C TIN &amp; TP'!$E$3:$E$10005&amp;'DMR 001C TIN &amp; TP'!$B$3:$B$10005&amp;'DMR 001C TIN &amp; TP'!$A$3:$A$10005),0),MATCH('Reg 85'!$AG$11,'DMR 001C TIN &amp; TP'!$A$2:$M$2,0))),"")</f>
        <v/>
      </c>
      <c r="AM78" s="76"/>
      <c r="AN78" s="6"/>
      <c r="AO78" s="54">
        <f t="shared" si="41"/>
        <v>7.7385915910366103</v>
      </c>
      <c r="AP78" s="77" t="str">
        <f t="shared" si="39"/>
        <v/>
      </c>
      <c r="AQ78" s="47"/>
      <c r="AR78" s="6" t="str">
        <f t="array" ref="AR78">_xlfn.IFNA((INDEX('DMR 001C TIN &amp; TP'!$A$3:$M$10005,MATCH(('Reg 85'!$AQ$6&amp;'Reg 85'!$AQ$10&amp;'Reg 85'!$B78),('DMR 001C TIN &amp; TP'!$E$3:$E$10005&amp;'DMR 001C TIN &amp; TP'!$B$3:$B$10005&amp;'DMR 001C TIN &amp; TP'!$A$3:$A$10005),0),MATCH('Reg 85'!$AR$11,'DMR 001C TIN &amp; TP'!$A$2:$M$2,0))),"")</f>
        <v/>
      </c>
      <c r="AS78" s="6" t="str">
        <f t="array" ref="AS78">_xlfn.IFNA((INDEX('DMR 001C TIN &amp; TP'!$A$3:$M$10005,MATCH(('Reg 85'!$AQ$6&amp;'Reg 85'!$AQ$10&amp;'Reg 85'!$B78),('DMR 001C TIN &amp; TP'!$E$3:$E$10005&amp;'DMR 001C TIN &amp; TP'!$B$3:$B$10005&amp;'DMR 001C TIN &amp; TP'!$A$3:$A$10005),0),MATCH('Reg 85'!$AS$11,'DMR 001C TIN &amp; TP'!$A$2:$M$2,0))),"")</f>
        <v/>
      </c>
      <c r="AT78" s="53" t="str">
        <f t="shared" si="55"/>
        <v/>
      </c>
      <c r="AV78" s="6" t="str">
        <f t="array" ref="AV78">_xlfn.IFNA((INDEX('DMR 001C TIN &amp; TP'!$A$3:$M$10005,MATCH(('Reg 85'!$AQ$6&amp;'Reg 85'!$AU$10&amp;'Reg 85'!$B78),('DMR 001C TIN &amp; TP'!$E$3:$E$10005&amp;'DMR 001C TIN &amp; TP'!$B$3:$B$10005&amp;'DMR 001C TIN &amp; TP'!$A$3:$A$10005),0),MATCH('Reg 85'!$AV$11,'DMR 001C TIN &amp; TP'!$A$2:$M$2,0))),"")</f>
        <v/>
      </c>
      <c r="AW78" s="6" t="str">
        <f t="array" ref="AW78">_xlfn.IFNA((INDEX('DMR 001C TIN &amp; TP'!$A$3:$M$10005,MATCH(('Reg 85'!$AQ$6&amp;'Reg 85'!$AU$10&amp;'Reg 85'!$B78),('DMR 001C TIN &amp; TP'!$E$3:$E$10005&amp;'DMR 001C TIN &amp; TP'!$B$3:$B$10005&amp;'DMR 001C TIN &amp; TP'!$A$3:$A$10005),0),MATCH('Reg 85'!$AW$11,'DMR 001C TIN &amp; TP'!$A$2:$M$2,0))),"")</f>
        <v/>
      </c>
      <c r="AX78" s="53" t="str">
        <f t="shared" si="56"/>
        <v/>
      </c>
      <c r="AY78" s="55" t="str">
        <f t="shared" si="57"/>
        <v/>
      </c>
      <c r="AZ78" s="77" t="str">
        <f t="shared" si="40"/>
        <v/>
      </c>
      <c r="BA78" s="6" t="str">
        <f t="array" ref="BA78">_xlfn.IFNA((INDEX('DMR 001C TIN &amp; TP'!$A$3:$M$10005,MATCH(('Reg 85'!$AQ$6&amp;'Reg 85'!BA$10&amp;'Reg 85'!$B78),('DMR 001C TIN &amp; TP'!$E$3:$E$10005&amp;'DMR 001C TIN &amp; TP'!$B$3:$B$10005&amp;'DMR 001C TIN &amp; TP'!$A$3:$A$10005),0),MATCH('Reg 85'!$AG$11,'DMR 001C TIN &amp; TP'!$A$2:$M$2,0))),"")</f>
        <v/>
      </c>
      <c r="BB78" s="6" t="str">
        <f t="array" ref="BB78">_xlfn.IFNA((INDEX('DMR 001C TIN &amp; TP'!$A$3:$M$10005,MATCH(('Reg 85'!$AQ$6&amp;'Reg 85'!BB$10&amp;'Reg 85'!$B78),('DMR 001C TIN &amp; TP'!$E$3:$E$10005&amp;'DMR 001C TIN &amp; TP'!$B$3:$B$10005&amp;'DMR 001C TIN &amp; TP'!$A$3:$A$10005),0),MATCH('Reg 85'!$AG$11,'DMR 001C TIN &amp; TP'!$A$2:$M$2,0))),"")</f>
        <v/>
      </c>
      <c r="BC78" s="6" t="str">
        <f t="array" ref="BC78">_xlfn.IFNA((INDEX('DMR 001C TIN &amp; TP'!$A$3:$M$10005,MATCH(('Reg 85'!$AQ$6&amp;'Reg 85'!BC$10&amp;'Reg 85'!$B78),('DMR 001C TIN &amp; TP'!$E$3:$E$10005&amp;'DMR 001C TIN &amp; TP'!$B$3:$B$10005&amp;'DMR 001C TIN &amp; TP'!$A$3:$A$10005),0),MATCH('Reg 85'!$AG$11,'DMR 001C TIN &amp; TP'!$A$2:$M$2,0))),"")</f>
        <v/>
      </c>
      <c r="BD78" s="6" t="str">
        <f t="array" ref="BD78">_xlfn.IFNA((INDEX('DMR 001C TIN &amp; TP'!$A$3:$M$10005,MATCH(('Reg 85'!$AQ$6&amp;'Reg 85'!BD$10&amp;'Reg 85'!$B78),('DMR 001C TIN &amp; TP'!$E$3:$E$10005&amp;'DMR 001C TIN &amp; TP'!$B$3:$B$10005&amp;'DMR 001C TIN &amp; TP'!$A$3:$A$10005),0),MATCH('Reg 85'!$AG$11,'DMR 001C TIN &amp; TP'!$A$2:$M$2,0))),"")</f>
        <v/>
      </c>
      <c r="BE78" s="6" t="str">
        <f t="array" ref="BE78">_xlfn.IFNA((INDEX('DMR 001C TIN &amp; TP'!$A$3:$M$10005,MATCH(('Reg 85'!$AQ$6&amp;'Reg 85'!BE$10&amp;'Reg 85'!$B78),('DMR 001C TIN &amp; TP'!$E$3:$E$10005&amp;'DMR 001C TIN &amp; TP'!$B$3:$B$10005&amp;'DMR 001C TIN &amp; TP'!$A$3:$A$10005),0),MATCH('Reg 85'!$AG$11,'DMR 001C TIN &amp; TP'!$A$2:$M$2,0))),"")</f>
        <v/>
      </c>
      <c r="BF78" s="6" t="str">
        <f t="array" ref="BF78">_xlfn.IFNA((INDEX('DMR 001C TIN &amp; TP'!$A$3:$M$10005,MATCH(('Reg 85'!$AQ$6&amp;'Reg 85'!BF$10&amp;'Reg 85'!$B78),('DMR 001C TIN &amp; TP'!$E$3:$E$10005&amp;'DMR 001C TIN &amp; TP'!$B$3:$B$10005&amp;'DMR 001C TIN &amp; TP'!$A$3:$A$10005),0),MATCH('Reg 85'!$AG$11,'DMR 001C TIN &amp; TP'!$A$2:$M$2,0))),"")</f>
        <v/>
      </c>
    </row>
    <row r="79" spans="1:58">
      <c r="A79" s="3" t="str">
        <f t="shared" si="42"/>
        <v>Wed</v>
      </c>
      <c r="B79" s="96">
        <f t="shared" si="58"/>
        <v>43411</v>
      </c>
      <c r="C79" s="96">
        <f t="shared" si="43"/>
        <v>43434</v>
      </c>
      <c r="D79" s="96">
        <f t="shared" si="44"/>
        <v>43405</v>
      </c>
      <c r="E79" s="95">
        <f t="shared" si="45"/>
        <v>30</v>
      </c>
      <c r="F79" s="7">
        <f t="array" ref="F79">_xlfn.IFNA(INDEX('DMR Flows-Effluent'!$A$3:$F$9999,MATCH(($F$10&amp;$B79),('DMR Flows-Effluent'!$B$3:$B$9999&amp;'DMR Flows-Effluent'!$A$3:$A$9999),0),MATCH($F$8,'DMR Flows-Effluent'!$A$2:$F$2,0)),"")</f>
        <v>47.221299999999999</v>
      </c>
      <c r="G79" s="7">
        <f t="array" ref="G79">_xlfn.IFNA(INDEX('DMR Flows-Effluent'!$A$3:$F$9999,MATCH(($G$10&amp;$B79),('DMR Flows-Effluent'!$B$3:$B$9999&amp;'DMR Flows-Effluent'!$A$3:$A$9999),0),MATCH($F$8,'DMR Flows-Effluent'!$A$2:$F$2,0)),"")</f>
        <v>71.267700000000005</v>
      </c>
      <c r="H79" s="7">
        <f t="shared" si="46"/>
        <v>118.489</v>
      </c>
      <c r="I79" s="45" t="str">
        <f t="shared" si="47"/>
        <v/>
      </c>
      <c r="J79" s="6" t="str">
        <f t="array" ref="J79">_xlfn.IFNA((INDEX('DMR 001C TIN &amp; TP'!$A$3:$M$10005,MATCH(('Reg 85'!$I$6:$Q$6&amp;'Reg 85'!$I$10:$K$10&amp;'Reg 85'!$B79),('DMR 001C TIN &amp; TP'!$E$3:$E$10005&amp;'DMR 001C TIN &amp; TP'!$B$3:$B$10005&amp;'DMR 001C TIN &amp; TP'!$A$3:$A$10005),0),MATCH('Reg 85'!$J$11,'DMR 001C TIN &amp; TP'!$A$2:$M$2,0))),"")</f>
        <v>0.15</v>
      </c>
      <c r="K79" s="6">
        <f t="array" ref="K79">_xlfn.IFNA((INDEX('DMR 001C TIN &amp; TP'!$A$3:$M$10005,MATCH(('Reg 85'!$I$6:$Q$6&amp;'Reg 85'!$I$10:$K$10&amp;'Reg 85'!$B79),('DMR 001C TIN &amp; TP'!$E$3:$E$10005&amp;'DMR 001C TIN &amp; TP'!$B$3:$B$10005&amp;'DMR 001C TIN &amp; TP'!$A$3:$A$10005),0),MATCH('Reg 85'!$K$11,'DMR 001C TIN &amp; TP'!$A$2:$M$2,0))),"")</f>
        <v>0.44</v>
      </c>
      <c r="L79" s="53">
        <f t="shared" ref="L79:L142" si="59">IFERROR(IF(VALUE(K79)&lt;VALUE(J79),0,VALUE(K79)),"")</f>
        <v>0.44</v>
      </c>
      <c r="M79" s="5" t="str">
        <f t="shared" si="48"/>
        <v/>
      </c>
      <c r="N79" s="6" t="str">
        <f t="array" ref="N79">_xlfn.IFNA((INDEX('DMR 001C TIN &amp; TP'!$A$3:$M$10005,MATCH(('Reg 85'!$I$6:$Q$6&amp;'Reg 85'!$M$10&amp;'Reg 85'!$B79),('DMR 001C TIN &amp; TP'!$E$3:$E$10005&amp;'DMR 001C TIN &amp; TP'!$B$3:$B$10005&amp;'DMR 001C TIN &amp; TP'!$A$3:$A$10005),0),MATCH('Reg 85'!$N$11,'DMR 001C TIN &amp; TP'!$A$2:$M$2,0))),"")</f>
        <v>0.15</v>
      </c>
      <c r="O79" s="6">
        <f t="array" ref="O79">_xlfn.IFNA((INDEX('DMR 001C TIN &amp; TP'!$A$3:$M$10005,MATCH(('Reg 85'!$I$6:$Q$6&amp;'Reg 85'!$M$10&amp;'Reg 85'!$B79),('DMR 001C TIN &amp; TP'!$E$3:$E$10005&amp;'DMR 001C TIN &amp; TP'!$B$3:$B$10005&amp;'DMR 001C TIN &amp; TP'!$A$3:$A$10005),0),MATCH('Reg 85'!$O$11,'DMR 001C TIN &amp; TP'!$A$2:$M$2,0))),"")</f>
        <v>2.5299999999999998</v>
      </c>
      <c r="P79" s="53">
        <f t="shared" si="49"/>
        <v>2.5299999999999998</v>
      </c>
      <c r="Q79" s="73">
        <f t="array" ref="Q79">IFERROR(((L79*$F79)+(P79*$G79))/($H79),"")</f>
        <v>1.6970744372895374</v>
      </c>
      <c r="R79" s="6" t="str">
        <f t="array" ref="R79">_xlfn.IFNA((INDEX('DMR 001C TIN &amp; TP'!$A$3:$M$10005,MATCH(('Reg 85'!$I$6:$Q$6&amp;'Reg 85'!R$10&amp;'Reg 85'!$B79),('DMR 001C TIN &amp; TP'!$E$3:$E$10005&amp;'DMR 001C TIN &amp; TP'!$B$3:$B$10005&amp;'DMR 001C TIN &amp; TP'!$A$3:$A$10005),0),MATCH('Reg 85'!$O$11,'DMR 001C TIN &amp; TP'!$A$2:$M$2,0))),"")</f>
        <v/>
      </c>
      <c r="S79" s="6" t="str">
        <f t="array" ref="S79">_xlfn.IFNA((INDEX('DMR 001C TIN &amp; TP'!$A$3:$M$10005,MATCH(('Reg 85'!$I$6:$Q$6&amp;'Reg 85'!S$10&amp;'Reg 85'!$B79),('DMR 001C TIN &amp; TP'!$E$3:$E$10005&amp;'DMR 001C TIN &amp; TP'!$B$3:$B$10005&amp;'DMR 001C TIN &amp; TP'!$A$3:$A$10005),0),MATCH('Reg 85'!$O$11,'DMR 001C TIN &amp; TP'!$A$2:$M$2,0))),"")</f>
        <v/>
      </c>
      <c r="T79" s="6" t="str">
        <f t="array" ref="T79">_xlfn.IFNA((INDEX('DMR 001C TIN &amp; TP'!$A$3:$M$10005,MATCH(('Reg 85'!$I$6:$Q$6&amp;'Reg 85'!T$10&amp;'Reg 85'!$B79),('DMR 001C TIN &amp; TP'!$E$3:$E$10005&amp;'DMR 001C TIN &amp; TP'!$B$3:$B$10005&amp;'DMR 001C TIN &amp; TP'!$A$3:$A$10005),0),MATCH('Reg 85'!$O$11,'DMR 001C TIN &amp; TP'!$A$2:$M$2,0))),"")</f>
        <v/>
      </c>
      <c r="U79" s="6" t="str">
        <f t="array" ref="U79">_xlfn.IFNA((INDEX('DMR 001C TIN &amp; TP'!$A$3:$M$10005,MATCH(('Reg 85'!$I$6:$Q$6&amp;'Reg 85'!U$10&amp;'Reg 85'!$B79),('DMR 001C TIN &amp; TP'!$E$3:$E$10005&amp;'DMR 001C TIN &amp; TP'!$B$3:$B$10005&amp;'DMR 001C TIN &amp; TP'!$A$3:$A$10005),0),MATCH('Reg 85'!$O$11,'DMR 001C TIN &amp; TP'!$A$2:$M$2,0))),"")</f>
        <v/>
      </c>
      <c r="V79" s="6" t="str">
        <f t="array" ref="V79">_xlfn.IFNA((INDEX('DMR 001C TIN &amp; TP'!$A$3:$M$10005,MATCH(('Reg 85'!$I$6:$Q$6&amp;'Reg 85'!V$10&amp;'Reg 85'!$B79),('DMR 001C TIN &amp; TP'!$E$3:$E$10005&amp;'DMR 001C TIN &amp; TP'!$B$3:$B$10005&amp;'DMR 001C TIN &amp; TP'!$A$3:$A$10005),0),MATCH('Reg 85'!$O$11,'DMR 001C TIN &amp; TP'!$A$2:$M$2,0))),"")</f>
        <v/>
      </c>
      <c r="W79" s="6" t="str">
        <f t="array" ref="W79">_xlfn.IFNA((INDEX('DMR 001C TIN &amp; TP'!$A$3:$M$10005,MATCH(('Reg 85'!$I$6:$Q$6&amp;'Reg 85'!W$10&amp;'Reg 85'!$B79),('DMR 001C TIN &amp; TP'!$E$3:$E$10005&amp;'DMR 001C TIN &amp; TP'!$B$3:$B$10005&amp;'DMR 001C TIN &amp; TP'!$A$3:$A$10005),0),MATCH('Reg 85'!$O$11,'DMR 001C TIN &amp; TP'!$A$2:$M$2,0))),"")</f>
        <v/>
      </c>
      <c r="X79" s="5" t="str">
        <f t="shared" si="50"/>
        <v/>
      </c>
      <c r="Y79" s="6" t="str">
        <f t="array" ref="Y79">_xlfn.IFNA((INDEX('DMR 001C TIN &amp; TP'!$A$3:$M$10005,MATCH(('Reg 85'!$X$6&amp;'Reg 85'!$X$10&amp;'Reg 85'!$B79),('DMR 001C TIN &amp; TP'!$E$3:$E$10005&amp;'DMR 001C TIN &amp; TP'!$B$3:$B$10005&amp;'DMR 001C TIN &amp; TP'!$A$3:$A$10005),0),MATCH('Reg 85'!$Y$11,'DMR 001C TIN &amp; TP'!$A$2:$M$2,0))),"")</f>
        <v>0.06</v>
      </c>
      <c r="Z79" s="6">
        <f t="array" ref="Z79">_xlfn.IFNA((INDEX('DMR 001C TIN &amp; TP'!$A$3:$M$10005,MATCH(('Reg 85'!$X$6&amp;'Reg 85'!$X$10&amp;'Reg 85'!$B79),('DMR 001C TIN &amp; TP'!$E$3:$E$10005&amp;'DMR 001C TIN &amp; TP'!$B$3:$B$10005&amp;'DMR 001C TIN &amp; TP'!$A$3:$A$10005),0),MATCH('Reg 85'!$Z$11,'DMR 001C TIN &amp; TP'!$A$2:$M$2,0))),"")</f>
        <v>5.28</v>
      </c>
      <c r="AA79" s="53">
        <f t="shared" si="51"/>
        <v>5.28</v>
      </c>
      <c r="AB79" s="5" t="str">
        <f t="shared" si="52"/>
        <v/>
      </c>
      <c r="AC79" s="6" t="str">
        <f t="array" ref="AC79">_xlfn.IFNA((INDEX('DMR 001C TIN &amp; TP'!$A$3:$M$10005,MATCH(('Reg 85'!$X$6&amp;'Reg 85'!$AB$10&amp;'Reg 85'!$B79),('DMR 001C TIN &amp; TP'!$E$3:$E$10005&amp;'DMR 001C TIN &amp; TP'!$B$3:$B$10005&amp;'DMR 001C TIN &amp; TP'!$A$3:$A$10005),0),MATCH('Reg 85'!$AC$11,'DMR 001C TIN &amp; TP'!$A$2:$M$2,0))),"")</f>
        <v>0.06</v>
      </c>
      <c r="AD79" s="6">
        <f t="array" ref="AD79">_xlfn.IFNA((INDEX('DMR 001C TIN &amp; TP'!$A$3:$M$10005,MATCH(('Reg 85'!$X$6&amp;'Reg 85'!$AB$10&amp;'Reg 85'!$B79),('DMR 001C TIN &amp; TP'!$E$3:$E$10005&amp;'DMR 001C TIN &amp; TP'!$B$3:$B$10005&amp;'DMR 001C TIN &amp; TP'!$A$3:$A$10005),0),MATCH('Reg 85'!$AD$11,'DMR 001C TIN &amp; TP'!$A$2:$M$2,0))),"")</f>
        <v>5.64</v>
      </c>
      <c r="AE79" s="53">
        <f t="shared" si="53"/>
        <v>5.64</v>
      </c>
      <c r="AF79" s="7">
        <f t="shared" si="54"/>
        <v>5.4965295681455659</v>
      </c>
      <c r="AG79" s="6" t="str">
        <f t="array" ref="AG79">_xlfn.IFNA((INDEX('DMR 001C TIN &amp; TP'!$A$3:$M$10005,MATCH(('Reg 85'!$X$6&amp;'Reg 85'!AG$10&amp;'Reg 85'!$B79),('DMR 001C TIN &amp; TP'!$E$3:$E$10005&amp;'DMR 001C TIN &amp; TP'!$B$3:$B$10005&amp;'DMR 001C TIN &amp; TP'!$A$3:$A$10005),0),MATCH('Reg 85'!$AG$11,'DMR 001C TIN &amp; TP'!$A$2:$M$2,0))),"")</f>
        <v/>
      </c>
      <c r="AH79" s="6" t="str">
        <f t="array" ref="AH79">_xlfn.IFNA((INDEX('DMR 001C TIN &amp; TP'!$A$3:$M$10005,MATCH(('Reg 85'!$X$6&amp;'Reg 85'!AH$10&amp;'Reg 85'!$B79),('DMR 001C TIN &amp; TP'!$E$3:$E$10005&amp;'DMR 001C TIN &amp; TP'!$B$3:$B$10005&amp;'DMR 001C TIN &amp; TP'!$A$3:$A$10005),0),MATCH('Reg 85'!$AG$11,'DMR 001C TIN &amp; TP'!$A$2:$M$2,0))),"")</f>
        <v/>
      </c>
      <c r="AI79" s="6" t="str">
        <f t="array" ref="AI79">_xlfn.IFNA((INDEX('DMR 001C TIN &amp; TP'!$A$3:$M$10005,MATCH(('Reg 85'!$X$6&amp;'Reg 85'!AI$10&amp;'Reg 85'!$B79),('DMR 001C TIN &amp; TP'!$E$3:$E$10005&amp;'DMR 001C TIN &amp; TP'!$B$3:$B$10005&amp;'DMR 001C TIN &amp; TP'!$A$3:$A$10005),0),MATCH('Reg 85'!$AG$11,'DMR 001C TIN &amp; TP'!$A$2:$M$2,0))),"")</f>
        <v/>
      </c>
      <c r="AJ79" s="6" t="str">
        <f t="array" ref="AJ79">_xlfn.IFNA((INDEX('DMR 001C TIN &amp; TP'!$A$3:$M$10005,MATCH(('Reg 85'!$X$6&amp;'Reg 85'!AJ$10&amp;'Reg 85'!$B79),('DMR 001C TIN &amp; TP'!$E$3:$E$10005&amp;'DMR 001C TIN &amp; TP'!$B$3:$B$10005&amp;'DMR 001C TIN &amp; TP'!$A$3:$A$10005),0),MATCH('Reg 85'!$AG$11,'DMR 001C TIN &amp; TP'!$A$2:$M$2,0))),"")</f>
        <v/>
      </c>
      <c r="AK79" s="6" t="str">
        <f t="array" ref="AK79">_xlfn.IFNA((INDEX('DMR 001C TIN &amp; TP'!$A$3:$M$10005,MATCH(('Reg 85'!$X$6&amp;'Reg 85'!AK$10&amp;'Reg 85'!$B79),('DMR 001C TIN &amp; TP'!$E$3:$E$10005&amp;'DMR 001C TIN &amp; TP'!$B$3:$B$10005&amp;'DMR 001C TIN &amp; TP'!$A$3:$A$10005),0),MATCH('Reg 85'!$AG$11,'DMR 001C TIN &amp; TP'!$A$2:$M$2,0))),"")</f>
        <v/>
      </c>
      <c r="AL79" s="6" t="str">
        <f t="array" ref="AL79">_xlfn.IFNA((INDEX('DMR 001C TIN &amp; TP'!$A$3:$M$10005,MATCH(('Reg 85'!$X$6&amp;'Reg 85'!AL$10&amp;'Reg 85'!$B79),('DMR 001C TIN &amp; TP'!$E$3:$E$10005&amp;'DMR 001C TIN &amp; TP'!$B$3:$B$10005&amp;'DMR 001C TIN &amp; TP'!$A$3:$A$10005),0),MATCH('Reg 85'!$AG$11,'DMR 001C TIN &amp; TP'!$A$2:$M$2,0))),"")</f>
        <v/>
      </c>
      <c r="AM79" s="76"/>
      <c r="AN79" s="6"/>
      <c r="AO79" s="54">
        <f t="shared" si="41"/>
        <v>7.1936040054351036</v>
      </c>
      <c r="AP79" s="77" t="str">
        <f t="shared" si="39"/>
        <v/>
      </c>
      <c r="AQ79" s="47"/>
      <c r="AR79" s="6" t="str">
        <f t="array" ref="AR79">_xlfn.IFNA((INDEX('DMR 001C TIN &amp; TP'!$A$3:$M$10005,MATCH(('Reg 85'!$AQ$6&amp;'Reg 85'!$AQ$10&amp;'Reg 85'!$B79),('DMR 001C TIN &amp; TP'!$E$3:$E$10005&amp;'DMR 001C TIN &amp; TP'!$B$3:$B$10005&amp;'DMR 001C TIN &amp; TP'!$A$3:$A$10005),0),MATCH('Reg 85'!$AR$11,'DMR 001C TIN &amp; TP'!$A$2:$M$2,0))),"")</f>
        <v/>
      </c>
      <c r="AS79" s="6" t="str">
        <f t="array" ref="AS79">_xlfn.IFNA((INDEX('DMR 001C TIN &amp; TP'!$A$3:$M$10005,MATCH(('Reg 85'!$AQ$6&amp;'Reg 85'!$AQ$10&amp;'Reg 85'!$B79),('DMR 001C TIN &amp; TP'!$E$3:$E$10005&amp;'DMR 001C TIN &amp; TP'!$B$3:$B$10005&amp;'DMR 001C TIN &amp; TP'!$A$3:$A$10005),0),MATCH('Reg 85'!$AS$11,'DMR 001C TIN &amp; TP'!$A$2:$M$2,0))),"")</f>
        <v/>
      </c>
      <c r="AT79" s="53" t="str">
        <f t="shared" si="55"/>
        <v/>
      </c>
      <c r="AV79" s="6" t="str">
        <f t="array" ref="AV79">_xlfn.IFNA((INDEX('DMR 001C TIN &amp; TP'!$A$3:$M$10005,MATCH(('Reg 85'!$AQ$6&amp;'Reg 85'!$AU$10&amp;'Reg 85'!$B79),('DMR 001C TIN &amp; TP'!$E$3:$E$10005&amp;'DMR 001C TIN &amp; TP'!$B$3:$B$10005&amp;'DMR 001C TIN &amp; TP'!$A$3:$A$10005),0),MATCH('Reg 85'!$AV$11,'DMR 001C TIN &amp; TP'!$A$2:$M$2,0))),"")</f>
        <v/>
      </c>
      <c r="AW79" s="6" t="str">
        <f t="array" ref="AW79">_xlfn.IFNA((INDEX('DMR 001C TIN &amp; TP'!$A$3:$M$10005,MATCH(('Reg 85'!$AQ$6&amp;'Reg 85'!$AU$10&amp;'Reg 85'!$B79),('DMR 001C TIN &amp; TP'!$E$3:$E$10005&amp;'DMR 001C TIN &amp; TP'!$B$3:$B$10005&amp;'DMR 001C TIN &amp; TP'!$A$3:$A$10005),0),MATCH('Reg 85'!$AW$11,'DMR 001C TIN &amp; TP'!$A$2:$M$2,0))),"")</f>
        <v/>
      </c>
      <c r="AX79" s="53" t="str">
        <f t="shared" si="56"/>
        <v/>
      </c>
      <c r="AY79" s="55" t="str">
        <f t="shared" si="57"/>
        <v/>
      </c>
      <c r="AZ79" s="77" t="str">
        <f t="shared" si="40"/>
        <v/>
      </c>
      <c r="BA79" s="6" t="str">
        <f t="array" ref="BA79">_xlfn.IFNA((INDEX('DMR 001C TIN &amp; TP'!$A$3:$M$10005,MATCH(('Reg 85'!$AQ$6&amp;'Reg 85'!BA$10&amp;'Reg 85'!$B79),('DMR 001C TIN &amp; TP'!$E$3:$E$10005&amp;'DMR 001C TIN &amp; TP'!$B$3:$B$10005&amp;'DMR 001C TIN &amp; TP'!$A$3:$A$10005),0),MATCH('Reg 85'!$AG$11,'DMR 001C TIN &amp; TP'!$A$2:$M$2,0))),"")</f>
        <v/>
      </c>
      <c r="BB79" s="6" t="str">
        <f t="array" ref="BB79">_xlfn.IFNA((INDEX('DMR 001C TIN &amp; TP'!$A$3:$M$10005,MATCH(('Reg 85'!$AQ$6&amp;'Reg 85'!BB$10&amp;'Reg 85'!$B79),('DMR 001C TIN &amp; TP'!$E$3:$E$10005&amp;'DMR 001C TIN &amp; TP'!$B$3:$B$10005&amp;'DMR 001C TIN &amp; TP'!$A$3:$A$10005),0),MATCH('Reg 85'!$AG$11,'DMR 001C TIN &amp; TP'!$A$2:$M$2,0))),"")</f>
        <v/>
      </c>
      <c r="BC79" s="6" t="str">
        <f t="array" ref="BC79">_xlfn.IFNA((INDEX('DMR 001C TIN &amp; TP'!$A$3:$M$10005,MATCH(('Reg 85'!$AQ$6&amp;'Reg 85'!BC$10&amp;'Reg 85'!$B79),('DMR 001C TIN &amp; TP'!$E$3:$E$10005&amp;'DMR 001C TIN &amp; TP'!$B$3:$B$10005&amp;'DMR 001C TIN &amp; TP'!$A$3:$A$10005),0),MATCH('Reg 85'!$AG$11,'DMR 001C TIN &amp; TP'!$A$2:$M$2,0))),"")</f>
        <v/>
      </c>
      <c r="BD79" s="6" t="str">
        <f t="array" ref="BD79">_xlfn.IFNA((INDEX('DMR 001C TIN &amp; TP'!$A$3:$M$10005,MATCH(('Reg 85'!$AQ$6&amp;'Reg 85'!BD$10&amp;'Reg 85'!$B79),('DMR 001C TIN &amp; TP'!$E$3:$E$10005&amp;'DMR 001C TIN &amp; TP'!$B$3:$B$10005&amp;'DMR 001C TIN &amp; TP'!$A$3:$A$10005),0),MATCH('Reg 85'!$AG$11,'DMR 001C TIN &amp; TP'!$A$2:$M$2,0))),"")</f>
        <v/>
      </c>
      <c r="BE79" s="6" t="str">
        <f t="array" ref="BE79">_xlfn.IFNA((INDEX('DMR 001C TIN &amp; TP'!$A$3:$M$10005,MATCH(('Reg 85'!$AQ$6&amp;'Reg 85'!BE$10&amp;'Reg 85'!$B79),('DMR 001C TIN &amp; TP'!$E$3:$E$10005&amp;'DMR 001C TIN &amp; TP'!$B$3:$B$10005&amp;'DMR 001C TIN &amp; TP'!$A$3:$A$10005),0),MATCH('Reg 85'!$AG$11,'DMR 001C TIN &amp; TP'!$A$2:$M$2,0))),"")</f>
        <v/>
      </c>
      <c r="BF79" s="6" t="str">
        <f t="array" ref="BF79">_xlfn.IFNA((INDEX('DMR 001C TIN &amp; TP'!$A$3:$M$10005,MATCH(('Reg 85'!$AQ$6&amp;'Reg 85'!BF$10&amp;'Reg 85'!$B79),('DMR 001C TIN &amp; TP'!$E$3:$E$10005&amp;'DMR 001C TIN &amp; TP'!$B$3:$B$10005&amp;'DMR 001C TIN &amp; TP'!$A$3:$A$10005),0),MATCH('Reg 85'!$AG$11,'DMR 001C TIN &amp; TP'!$A$2:$M$2,0))),"")</f>
        <v/>
      </c>
    </row>
    <row r="80" spans="1:58">
      <c r="A80" s="3" t="str">
        <f t="shared" si="42"/>
        <v>Thu</v>
      </c>
      <c r="B80" s="96">
        <f t="shared" si="58"/>
        <v>43412</v>
      </c>
      <c r="C80" s="96">
        <f t="shared" si="43"/>
        <v>43434</v>
      </c>
      <c r="D80" s="96">
        <f t="shared" si="44"/>
        <v>43405</v>
      </c>
      <c r="E80" s="95">
        <f t="shared" si="45"/>
        <v>30</v>
      </c>
      <c r="F80" s="7">
        <f t="array" ref="F80">_xlfn.IFNA(INDEX('DMR Flows-Effluent'!$A$3:$F$9999,MATCH(($F$10&amp;$B80),('DMR Flows-Effluent'!$B$3:$B$9999&amp;'DMR Flows-Effluent'!$A$3:$A$9999),0),MATCH($F$8,'DMR Flows-Effluent'!$A$2:$F$2,0)),"")</f>
        <v>44.816600000000001</v>
      </c>
      <c r="G80" s="7">
        <f t="array" ref="G80">_xlfn.IFNA(INDEX('DMR Flows-Effluent'!$A$3:$F$9999,MATCH(($G$10&amp;$B80),('DMR Flows-Effluent'!$B$3:$B$9999&amp;'DMR Flows-Effluent'!$A$3:$A$9999),0),MATCH($F$8,'DMR Flows-Effluent'!$A$2:$F$2,0)),"")</f>
        <v>72.866299999999995</v>
      </c>
      <c r="H80" s="7">
        <f t="shared" si="46"/>
        <v>117.68289999999999</v>
      </c>
      <c r="I80" s="45" t="str">
        <f t="shared" si="47"/>
        <v/>
      </c>
      <c r="J80" s="6" t="str">
        <f t="array" ref="J80">_xlfn.IFNA((INDEX('DMR 001C TIN &amp; TP'!$A$3:$M$10005,MATCH(('Reg 85'!$I$6:$Q$6&amp;'Reg 85'!$I$10:$K$10&amp;'Reg 85'!$B80),('DMR 001C TIN &amp; TP'!$E$3:$E$10005&amp;'DMR 001C TIN &amp; TP'!$B$3:$B$10005&amp;'DMR 001C TIN &amp; TP'!$A$3:$A$10005),0),MATCH('Reg 85'!$J$11,'DMR 001C TIN &amp; TP'!$A$2:$M$2,0))),"")</f>
        <v/>
      </c>
      <c r="K80" s="6" t="str">
        <f t="array" ref="K80">_xlfn.IFNA((INDEX('DMR 001C TIN &amp; TP'!$A$3:$M$10005,MATCH(('Reg 85'!$I$6:$Q$6&amp;'Reg 85'!$I$10:$K$10&amp;'Reg 85'!$B80),('DMR 001C TIN &amp; TP'!$E$3:$E$10005&amp;'DMR 001C TIN &amp; TP'!$B$3:$B$10005&amp;'DMR 001C TIN &amp; TP'!$A$3:$A$10005),0),MATCH('Reg 85'!$K$11,'DMR 001C TIN &amp; TP'!$A$2:$M$2,0))),"")</f>
        <v/>
      </c>
      <c r="L80" s="53" t="str">
        <f t="shared" si="59"/>
        <v/>
      </c>
      <c r="M80" s="5" t="str">
        <f t="shared" si="48"/>
        <v/>
      </c>
      <c r="N80" s="6" t="str">
        <f t="array" ref="N80">_xlfn.IFNA((INDEX('DMR 001C TIN &amp; TP'!$A$3:$M$10005,MATCH(('Reg 85'!$I$6:$Q$6&amp;'Reg 85'!$M$10&amp;'Reg 85'!$B80),('DMR 001C TIN &amp; TP'!$E$3:$E$10005&amp;'DMR 001C TIN &amp; TP'!$B$3:$B$10005&amp;'DMR 001C TIN &amp; TP'!$A$3:$A$10005),0),MATCH('Reg 85'!$N$11,'DMR 001C TIN &amp; TP'!$A$2:$M$2,0))),"")</f>
        <v/>
      </c>
      <c r="O80" s="6" t="str">
        <f t="array" ref="O80">_xlfn.IFNA((INDEX('DMR 001C TIN &amp; TP'!$A$3:$M$10005,MATCH(('Reg 85'!$I$6:$Q$6&amp;'Reg 85'!$M$10&amp;'Reg 85'!$B80),('DMR 001C TIN &amp; TP'!$E$3:$E$10005&amp;'DMR 001C TIN &amp; TP'!$B$3:$B$10005&amp;'DMR 001C TIN &amp; TP'!$A$3:$A$10005),0),MATCH('Reg 85'!$O$11,'DMR 001C TIN &amp; TP'!$A$2:$M$2,0))),"")</f>
        <v/>
      </c>
      <c r="P80" s="53" t="str">
        <f t="shared" si="49"/>
        <v/>
      </c>
      <c r="Q80" s="73" t="str">
        <f t="array" ref="Q80">IFERROR(((L80*$F80)+(P80*$G80))/($H80),"")</f>
        <v/>
      </c>
      <c r="R80" s="6" t="str">
        <f t="array" ref="R80">_xlfn.IFNA((INDEX('DMR 001C TIN &amp; TP'!$A$3:$M$10005,MATCH(('Reg 85'!$I$6:$Q$6&amp;'Reg 85'!R$10&amp;'Reg 85'!$B80),('DMR 001C TIN &amp; TP'!$E$3:$E$10005&amp;'DMR 001C TIN &amp; TP'!$B$3:$B$10005&amp;'DMR 001C TIN &amp; TP'!$A$3:$A$10005),0),MATCH('Reg 85'!$O$11,'DMR 001C TIN &amp; TP'!$A$2:$M$2,0))),"")</f>
        <v/>
      </c>
      <c r="S80" s="6" t="str">
        <f t="array" ref="S80">_xlfn.IFNA((INDEX('DMR 001C TIN &amp; TP'!$A$3:$M$10005,MATCH(('Reg 85'!$I$6:$Q$6&amp;'Reg 85'!S$10&amp;'Reg 85'!$B80),('DMR 001C TIN &amp; TP'!$E$3:$E$10005&amp;'DMR 001C TIN &amp; TP'!$B$3:$B$10005&amp;'DMR 001C TIN &amp; TP'!$A$3:$A$10005),0),MATCH('Reg 85'!$O$11,'DMR 001C TIN &amp; TP'!$A$2:$M$2,0))),"")</f>
        <v/>
      </c>
      <c r="T80" s="6" t="str">
        <f t="array" ref="T80">_xlfn.IFNA((INDEX('DMR 001C TIN &amp; TP'!$A$3:$M$10005,MATCH(('Reg 85'!$I$6:$Q$6&amp;'Reg 85'!T$10&amp;'Reg 85'!$B80),('DMR 001C TIN &amp; TP'!$E$3:$E$10005&amp;'DMR 001C TIN &amp; TP'!$B$3:$B$10005&amp;'DMR 001C TIN &amp; TP'!$A$3:$A$10005),0),MATCH('Reg 85'!$O$11,'DMR 001C TIN &amp; TP'!$A$2:$M$2,0))),"")</f>
        <v/>
      </c>
      <c r="U80" s="6" t="str">
        <f t="array" ref="U80">_xlfn.IFNA((INDEX('DMR 001C TIN &amp; TP'!$A$3:$M$10005,MATCH(('Reg 85'!$I$6:$Q$6&amp;'Reg 85'!U$10&amp;'Reg 85'!$B80),('DMR 001C TIN &amp; TP'!$E$3:$E$10005&amp;'DMR 001C TIN &amp; TP'!$B$3:$B$10005&amp;'DMR 001C TIN &amp; TP'!$A$3:$A$10005),0),MATCH('Reg 85'!$O$11,'DMR 001C TIN &amp; TP'!$A$2:$M$2,0))),"")</f>
        <v/>
      </c>
      <c r="V80" s="6" t="str">
        <f t="array" ref="V80">_xlfn.IFNA((INDEX('DMR 001C TIN &amp; TP'!$A$3:$M$10005,MATCH(('Reg 85'!$I$6:$Q$6&amp;'Reg 85'!V$10&amp;'Reg 85'!$B80),('DMR 001C TIN &amp; TP'!$E$3:$E$10005&amp;'DMR 001C TIN &amp; TP'!$B$3:$B$10005&amp;'DMR 001C TIN &amp; TP'!$A$3:$A$10005),0),MATCH('Reg 85'!$O$11,'DMR 001C TIN &amp; TP'!$A$2:$M$2,0))),"")</f>
        <v/>
      </c>
      <c r="W80" s="6" t="str">
        <f t="array" ref="W80">_xlfn.IFNA((INDEX('DMR 001C TIN &amp; TP'!$A$3:$M$10005,MATCH(('Reg 85'!$I$6:$Q$6&amp;'Reg 85'!W$10&amp;'Reg 85'!$B80),('DMR 001C TIN &amp; TP'!$E$3:$E$10005&amp;'DMR 001C TIN &amp; TP'!$B$3:$B$10005&amp;'DMR 001C TIN &amp; TP'!$A$3:$A$10005),0),MATCH('Reg 85'!$O$11,'DMR 001C TIN &amp; TP'!$A$2:$M$2,0))),"")</f>
        <v/>
      </c>
      <c r="X80" s="5" t="str">
        <f t="shared" si="50"/>
        <v/>
      </c>
      <c r="Y80" s="6" t="str">
        <f t="array" ref="Y80">_xlfn.IFNA((INDEX('DMR 001C TIN &amp; TP'!$A$3:$M$10005,MATCH(('Reg 85'!$X$6&amp;'Reg 85'!$X$10&amp;'Reg 85'!$B80),('DMR 001C TIN &amp; TP'!$E$3:$E$10005&amp;'DMR 001C TIN &amp; TP'!$B$3:$B$10005&amp;'DMR 001C TIN &amp; TP'!$A$3:$A$10005),0),MATCH('Reg 85'!$Y$11,'DMR 001C TIN &amp; TP'!$A$2:$M$2,0))),"")</f>
        <v/>
      </c>
      <c r="Z80" s="6" t="str">
        <f t="array" ref="Z80">_xlfn.IFNA((INDEX('DMR 001C TIN &amp; TP'!$A$3:$M$10005,MATCH(('Reg 85'!$X$6&amp;'Reg 85'!$X$10&amp;'Reg 85'!$B80),('DMR 001C TIN &amp; TP'!$E$3:$E$10005&amp;'DMR 001C TIN &amp; TP'!$B$3:$B$10005&amp;'DMR 001C TIN &amp; TP'!$A$3:$A$10005),0),MATCH('Reg 85'!$Z$11,'DMR 001C TIN &amp; TP'!$A$2:$M$2,0))),"")</f>
        <v/>
      </c>
      <c r="AA80" s="53" t="str">
        <f t="shared" si="51"/>
        <v/>
      </c>
      <c r="AB80" s="5" t="str">
        <f t="shared" si="52"/>
        <v/>
      </c>
      <c r="AC80" s="6" t="str">
        <f t="array" ref="AC80">_xlfn.IFNA((INDEX('DMR 001C TIN &amp; TP'!$A$3:$M$10005,MATCH(('Reg 85'!$X$6&amp;'Reg 85'!$AB$10&amp;'Reg 85'!$B80),('DMR 001C TIN &amp; TP'!$E$3:$E$10005&amp;'DMR 001C TIN &amp; TP'!$B$3:$B$10005&amp;'DMR 001C TIN &amp; TP'!$A$3:$A$10005),0),MATCH('Reg 85'!$AC$11,'DMR 001C TIN &amp; TP'!$A$2:$M$2,0))),"")</f>
        <v/>
      </c>
      <c r="AD80" s="6" t="str">
        <f t="array" ref="AD80">_xlfn.IFNA((INDEX('DMR 001C TIN &amp; TP'!$A$3:$M$10005,MATCH(('Reg 85'!$X$6&amp;'Reg 85'!$AB$10&amp;'Reg 85'!$B80),('DMR 001C TIN &amp; TP'!$E$3:$E$10005&amp;'DMR 001C TIN &amp; TP'!$B$3:$B$10005&amp;'DMR 001C TIN &amp; TP'!$A$3:$A$10005),0),MATCH('Reg 85'!$AD$11,'DMR 001C TIN &amp; TP'!$A$2:$M$2,0))),"")</f>
        <v/>
      </c>
      <c r="AE80" s="53" t="str">
        <f t="shared" si="53"/>
        <v/>
      </c>
      <c r="AF80" s="7" t="str">
        <f t="shared" si="54"/>
        <v/>
      </c>
      <c r="AG80" s="6" t="str">
        <f t="array" ref="AG80">_xlfn.IFNA((INDEX('DMR 001C TIN &amp; TP'!$A$3:$M$10005,MATCH(('Reg 85'!$X$6&amp;'Reg 85'!AG$10&amp;'Reg 85'!$B80),('DMR 001C TIN &amp; TP'!$E$3:$E$10005&amp;'DMR 001C TIN &amp; TP'!$B$3:$B$10005&amp;'DMR 001C TIN &amp; TP'!$A$3:$A$10005),0),MATCH('Reg 85'!$AG$11,'DMR 001C TIN &amp; TP'!$A$2:$M$2,0))),"")</f>
        <v/>
      </c>
      <c r="AH80" s="6" t="str">
        <f t="array" ref="AH80">_xlfn.IFNA((INDEX('DMR 001C TIN &amp; TP'!$A$3:$M$10005,MATCH(('Reg 85'!$X$6&amp;'Reg 85'!AH$10&amp;'Reg 85'!$B80),('DMR 001C TIN &amp; TP'!$E$3:$E$10005&amp;'DMR 001C TIN &amp; TP'!$B$3:$B$10005&amp;'DMR 001C TIN &amp; TP'!$A$3:$A$10005),0),MATCH('Reg 85'!$AG$11,'DMR 001C TIN &amp; TP'!$A$2:$M$2,0))),"")</f>
        <v/>
      </c>
      <c r="AI80" s="6" t="str">
        <f t="array" ref="AI80">_xlfn.IFNA((INDEX('DMR 001C TIN &amp; TP'!$A$3:$M$10005,MATCH(('Reg 85'!$X$6&amp;'Reg 85'!AI$10&amp;'Reg 85'!$B80),('DMR 001C TIN &amp; TP'!$E$3:$E$10005&amp;'DMR 001C TIN &amp; TP'!$B$3:$B$10005&amp;'DMR 001C TIN &amp; TP'!$A$3:$A$10005),0),MATCH('Reg 85'!$AG$11,'DMR 001C TIN &amp; TP'!$A$2:$M$2,0))),"")</f>
        <v/>
      </c>
      <c r="AJ80" s="6" t="str">
        <f t="array" ref="AJ80">_xlfn.IFNA((INDEX('DMR 001C TIN &amp; TP'!$A$3:$M$10005,MATCH(('Reg 85'!$X$6&amp;'Reg 85'!AJ$10&amp;'Reg 85'!$B80),('DMR 001C TIN &amp; TP'!$E$3:$E$10005&amp;'DMR 001C TIN &amp; TP'!$B$3:$B$10005&amp;'DMR 001C TIN &amp; TP'!$A$3:$A$10005),0),MATCH('Reg 85'!$AG$11,'DMR 001C TIN &amp; TP'!$A$2:$M$2,0))),"")</f>
        <v/>
      </c>
      <c r="AK80" s="6" t="str">
        <f t="array" ref="AK80">_xlfn.IFNA((INDEX('DMR 001C TIN &amp; TP'!$A$3:$M$10005,MATCH(('Reg 85'!$X$6&amp;'Reg 85'!AK$10&amp;'Reg 85'!$B80),('DMR 001C TIN &amp; TP'!$E$3:$E$10005&amp;'DMR 001C TIN &amp; TP'!$B$3:$B$10005&amp;'DMR 001C TIN &amp; TP'!$A$3:$A$10005),0),MATCH('Reg 85'!$AG$11,'DMR 001C TIN &amp; TP'!$A$2:$M$2,0))),"")</f>
        <v/>
      </c>
      <c r="AL80" s="6" t="str">
        <f t="array" ref="AL80">_xlfn.IFNA((INDEX('DMR 001C TIN &amp; TP'!$A$3:$M$10005,MATCH(('Reg 85'!$X$6&amp;'Reg 85'!AL$10&amp;'Reg 85'!$B80),('DMR 001C TIN &amp; TP'!$E$3:$E$10005&amp;'DMR 001C TIN &amp; TP'!$B$3:$B$10005&amp;'DMR 001C TIN &amp; TP'!$A$3:$A$10005),0),MATCH('Reg 85'!$AG$11,'DMR 001C TIN &amp; TP'!$A$2:$M$2,0))),"")</f>
        <v/>
      </c>
      <c r="AM80" s="76"/>
      <c r="AN80" s="6"/>
      <c r="AO80" s="54" t="str">
        <f t="shared" si="41"/>
        <v/>
      </c>
      <c r="AP80" s="77" t="str">
        <f t="shared" si="39"/>
        <v/>
      </c>
      <c r="AQ80" s="47"/>
      <c r="AR80" s="6" t="str">
        <f t="array" ref="AR80">_xlfn.IFNA((INDEX('DMR 001C TIN &amp; TP'!$A$3:$M$10005,MATCH(('Reg 85'!$AQ$6&amp;'Reg 85'!$AQ$10&amp;'Reg 85'!$B80),('DMR 001C TIN &amp; TP'!$E$3:$E$10005&amp;'DMR 001C TIN &amp; TP'!$B$3:$B$10005&amp;'DMR 001C TIN &amp; TP'!$A$3:$A$10005),0),MATCH('Reg 85'!$AR$11,'DMR 001C TIN &amp; TP'!$A$2:$M$2,0))),"")</f>
        <v>0.03</v>
      </c>
      <c r="AS80" s="6">
        <f t="array" ref="AS80">_xlfn.IFNA((INDEX('DMR 001C TIN &amp; TP'!$A$3:$M$10005,MATCH(('Reg 85'!$AQ$6&amp;'Reg 85'!$AQ$10&amp;'Reg 85'!$B80),('DMR 001C TIN &amp; TP'!$E$3:$E$10005&amp;'DMR 001C TIN &amp; TP'!$B$3:$B$10005&amp;'DMR 001C TIN &amp; TP'!$A$3:$A$10005),0),MATCH('Reg 85'!$AS$11,'DMR 001C TIN &amp; TP'!$A$2:$M$2,0))),"")</f>
        <v>0.3</v>
      </c>
      <c r="AT80" s="53">
        <f t="shared" si="55"/>
        <v>0.3</v>
      </c>
      <c r="AV80" s="6" t="str">
        <f t="array" ref="AV80">_xlfn.IFNA((INDEX('DMR 001C TIN &amp; TP'!$A$3:$M$10005,MATCH(('Reg 85'!$AQ$6&amp;'Reg 85'!$AU$10&amp;'Reg 85'!$B80),('DMR 001C TIN &amp; TP'!$E$3:$E$10005&amp;'DMR 001C TIN &amp; TP'!$B$3:$B$10005&amp;'DMR 001C TIN &amp; TP'!$A$3:$A$10005),0),MATCH('Reg 85'!$AV$11,'DMR 001C TIN &amp; TP'!$A$2:$M$2,0))),"")</f>
        <v>0.03</v>
      </c>
      <c r="AW80" s="6">
        <f t="array" ref="AW80">_xlfn.IFNA((INDEX('DMR 001C TIN &amp; TP'!$A$3:$M$10005,MATCH(('Reg 85'!$AQ$6&amp;'Reg 85'!$AU$10&amp;'Reg 85'!$B80),('DMR 001C TIN &amp; TP'!$E$3:$E$10005&amp;'DMR 001C TIN &amp; TP'!$B$3:$B$10005&amp;'DMR 001C TIN &amp; TP'!$A$3:$A$10005),0),MATCH('Reg 85'!$AW$11,'DMR 001C TIN &amp; TP'!$A$2:$M$2,0))),"")</f>
        <v>1.6</v>
      </c>
      <c r="AX80" s="53">
        <f t="shared" si="56"/>
        <v>1.6</v>
      </c>
      <c r="AY80" s="55">
        <f t="shared" si="57"/>
        <v>1.1049273938694577</v>
      </c>
      <c r="AZ80" s="77" t="str">
        <f t="shared" si="40"/>
        <v/>
      </c>
      <c r="BA80" s="6" t="str">
        <f t="array" ref="BA80">_xlfn.IFNA((INDEX('DMR 001C TIN &amp; TP'!$A$3:$M$10005,MATCH(('Reg 85'!$AQ$6&amp;'Reg 85'!BA$10&amp;'Reg 85'!$B80),('DMR 001C TIN &amp; TP'!$E$3:$E$10005&amp;'DMR 001C TIN &amp; TP'!$B$3:$B$10005&amp;'DMR 001C TIN &amp; TP'!$A$3:$A$10005),0),MATCH('Reg 85'!$AG$11,'DMR 001C TIN &amp; TP'!$A$2:$M$2,0))),"")</f>
        <v/>
      </c>
      <c r="BB80" s="6" t="str">
        <f t="array" ref="BB80">_xlfn.IFNA((INDEX('DMR 001C TIN &amp; TP'!$A$3:$M$10005,MATCH(('Reg 85'!$AQ$6&amp;'Reg 85'!BB$10&amp;'Reg 85'!$B80),('DMR 001C TIN &amp; TP'!$E$3:$E$10005&amp;'DMR 001C TIN &amp; TP'!$B$3:$B$10005&amp;'DMR 001C TIN &amp; TP'!$A$3:$A$10005),0),MATCH('Reg 85'!$AG$11,'DMR 001C TIN &amp; TP'!$A$2:$M$2,0))),"")</f>
        <v/>
      </c>
      <c r="BC80" s="6" t="str">
        <f t="array" ref="BC80">_xlfn.IFNA((INDEX('DMR 001C TIN &amp; TP'!$A$3:$M$10005,MATCH(('Reg 85'!$AQ$6&amp;'Reg 85'!BC$10&amp;'Reg 85'!$B80),('DMR 001C TIN &amp; TP'!$E$3:$E$10005&amp;'DMR 001C TIN &amp; TP'!$B$3:$B$10005&amp;'DMR 001C TIN &amp; TP'!$A$3:$A$10005),0),MATCH('Reg 85'!$AG$11,'DMR 001C TIN &amp; TP'!$A$2:$M$2,0))),"")</f>
        <v/>
      </c>
      <c r="BD80" s="6" t="str">
        <f t="array" ref="BD80">_xlfn.IFNA((INDEX('DMR 001C TIN &amp; TP'!$A$3:$M$10005,MATCH(('Reg 85'!$AQ$6&amp;'Reg 85'!BD$10&amp;'Reg 85'!$B80),('DMR 001C TIN &amp; TP'!$E$3:$E$10005&amp;'DMR 001C TIN &amp; TP'!$B$3:$B$10005&amp;'DMR 001C TIN &amp; TP'!$A$3:$A$10005),0),MATCH('Reg 85'!$AG$11,'DMR 001C TIN &amp; TP'!$A$2:$M$2,0))),"")</f>
        <v/>
      </c>
      <c r="BE80" s="6" t="str">
        <f t="array" ref="BE80">_xlfn.IFNA((INDEX('DMR 001C TIN &amp; TP'!$A$3:$M$10005,MATCH(('Reg 85'!$AQ$6&amp;'Reg 85'!BE$10&amp;'Reg 85'!$B80),('DMR 001C TIN &amp; TP'!$E$3:$E$10005&amp;'DMR 001C TIN &amp; TP'!$B$3:$B$10005&amp;'DMR 001C TIN &amp; TP'!$A$3:$A$10005),0),MATCH('Reg 85'!$AG$11,'DMR 001C TIN &amp; TP'!$A$2:$M$2,0))),"")</f>
        <v/>
      </c>
      <c r="BF80" s="6" t="str">
        <f t="array" ref="BF80">_xlfn.IFNA((INDEX('DMR 001C TIN &amp; TP'!$A$3:$M$10005,MATCH(('Reg 85'!$AQ$6&amp;'Reg 85'!BF$10&amp;'Reg 85'!$B80),('DMR 001C TIN &amp; TP'!$E$3:$E$10005&amp;'DMR 001C TIN &amp; TP'!$B$3:$B$10005&amp;'DMR 001C TIN &amp; TP'!$A$3:$A$10005),0),MATCH('Reg 85'!$AG$11,'DMR 001C TIN &amp; TP'!$A$2:$M$2,0))),"")</f>
        <v/>
      </c>
    </row>
    <row r="81" spans="1:58">
      <c r="A81" s="3" t="str">
        <f t="shared" si="42"/>
        <v>Fri</v>
      </c>
      <c r="B81" s="96">
        <f t="shared" si="58"/>
        <v>43413</v>
      </c>
      <c r="C81" s="96">
        <f t="shared" si="43"/>
        <v>43434</v>
      </c>
      <c r="D81" s="96">
        <f t="shared" si="44"/>
        <v>43405</v>
      </c>
      <c r="E81" s="95">
        <f t="shared" si="45"/>
        <v>30</v>
      </c>
      <c r="F81" s="7">
        <f t="array" ref="F81">_xlfn.IFNA(INDEX('DMR Flows-Effluent'!$A$3:$F$9999,MATCH(($F$10&amp;$B81),('DMR Flows-Effluent'!$B$3:$B$9999&amp;'DMR Flows-Effluent'!$A$3:$A$9999),0),MATCH($F$8,'DMR Flows-Effluent'!$A$2:$F$2,0)),"")</f>
        <v>48.896099999999997</v>
      </c>
      <c r="G81" s="7">
        <f t="array" ref="G81">_xlfn.IFNA(INDEX('DMR Flows-Effluent'!$A$3:$F$9999,MATCH(($G$10&amp;$B81),('DMR Flows-Effluent'!$B$3:$B$9999&amp;'DMR Flows-Effluent'!$A$3:$A$9999),0),MATCH($F$8,'DMR Flows-Effluent'!$A$2:$F$2,0)),"")</f>
        <v>67.832999999999998</v>
      </c>
      <c r="H81" s="7">
        <f t="shared" si="46"/>
        <v>116.72909999999999</v>
      </c>
      <c r="I81" s="45" t="str">
        <f t="shared" si="47"/>
        <v/>
      </c>
      <c r="J81" s="6" t="str">
        <f t="array" ref="J81">_xlfn.IFNA((INDEX('DMR 001C TIN &amp; TP'!$A$3:$M$10005,MATCH(('Reg 85'!$I$6:$Q$6&amp;'Reg 85'!$I$10:$K$10&amp;'Reg 85'!$B81),('DMR 001C TIN &amp; TP'!$E$3:$E$10005&amp;'DMR 001C TIN &amp; TP'!$B$3:$B$10005&amp;'DMR 001C TIN &amp; TP'!$A$3:$A$10005),0),MATCH('Reg 85'!$J$11,'DMR 001C TIN &amp; TP'!$A$2:$M$2,0))),"")</f>
        <v/>
      </c>
      <c r="K81" s="6" t="str">
        <f t="array" ref="K81">_xlfn.IFNA((INDEX('DMR 001C TIN &amp; TP'!$A$3:$M$10005,MATCH(('Reg 85'!$I$6:$Q$6&amp;'Reg 85'!$I$10:$K$10&amp;'Reg 85'!$B81),('DMR 001C TIN &amp; TP'!$E$3:$E$10005&amp;'DMR 001C TIN &amp; TP'!$B$3:$B$10005&amp;'DMR 001C TIN &amp; TP'!$A$3:$A$10005),0),MATCH('Reg 85'!$K$11,'DMR 001C TIN &amp; TP'!$A$2:$M$2,0))),"")</f>
        <v/>
      </c>
      <c r="L81" s="53" t="str">
        <f t="shared" si="59"/>
        <v/>
      </c>
      <c r="M81" s="5" t="str">
        <f t="shared" si="48"/>
        <v/>
      </c>
      <c r="N81" s="6" t="str">
        <f t="array" ref="N81">_xlfn.IFNA((INDEX('DMR 001C TIN &amp; TP'!$A$3:$M$10005,MATCH(('Reg 85'!$I$6:$Q$6&amp;'Reg 85'!$M$10&amp;'Reg 85'!$B81),('DMR 001C TIN &amp; TP'!$E$3:$E$10005&amp;'DMR 001C TIN &amp; TP'!$B$3:$B$10005&amp;'DMR 001C TIN &amp; TP'!$A$3:$A$10005),0),MATCH('Reg 85'!$N$11,'DMR 001C TIN &amp; TP'!$A$2:$M$2,0))),"")</f>
        <v/>
      </c>
      <c r="O81" s="6" t="str">
        <f t="array" ref="O81">_xlfn.IFNA((INDEX('DMR 001C TIN &amp; TP'!$A$3:$M$10005,MATCH(('Reg 85'!$I$6:$Q$6&amp;'Reg 85'!$M$10&amp;'Reg 85'!$B81),('DMR 001C TIN &amp; TP'!$E$3:$E$10005&amp;'DMR 001C TIN &amp; TP'!$B$3:$B$10005&amp;'DMR 001C TIN &amp; TP'!$A$3:$A$10005),0),MATCH('Reg 85'!$O$11,'DMR 001C TIN &amp; TP'!$A$2:$M$2,0))),"")</f>
        <v/>
      </c>
      <c r="P81" s="53" t="str">
        <f t="shared" si="49"/>
        <v/>
      </c>
      <c r="Q81" s="73" t="str">
        <f t="array" ref="Q81">IFERROR(((L81*$F81)+(P81*$G81))/($H81),"")</f>
        <v/>
      </c>
      <c r="R81" s="6" t="str">
        <f t="array" ref="R81">_xlfn.IFNA((INDEX('DMR 001C TIN &amp; TP'!$A$3:$M$10005,MATCH(('Reg 85'!$I$6:$Q$6&amp;'Reg 85'!R$10&amp;'Reg 85'!$B81),('DMR 001C TIN &amp; TP'!$E$3:$E$10005&amp;'DMR 001C TIN &amp; TP'!$B$3:$B$10005&amp;'DMR 001C TIN &amp; TP'!$A$3:$A$10005),0),MATCH('Reg 85'!$O$11,'DMR 001C TIN &amp; TP'!$A$2:$M$2,0))),"")</f>
        <v/>
      </c>
      <c r="S81" s="6" t="str">
        <f t="array" ref="S81">_xlfn.IFNA((INDEX('DMR 001C TIN &amp; TP'!$A$3:$M$10005,MATCH(('Reg 85'!$I$6:$Q$6&amp;'Reg 85'!S$10&amp;'Reg 85'!$B81),('DMR 001C TIN &amp; TP'!$E$3:$E$10005&amp;'DMR 001C TIN &amp; TP'!$B$3:$B$10005&amp;'DMR 001C TIN &amp; TP'!$A$3:$A$10005),0),MATCH('Reg 85'!$O$11,'DMR 001C TIN &amp; TP'!$A$2:$M$2,0))),"")</f>
        <v/>
      </c>
      <c r="T81" s="6" t="str">
        <f t="array" ref="T81">_xlfn.IFNA((INDEX('DMR 001C TIN &amp; TP'!$A$3:$M$10005,MATCH(('Reg 85'!$I$6:$Q$6&amp;'Reg 85'!T$10&amp;'Reg 85'!$B81),('DMR 001C TIN &amp; TP'!$E$3:$E$10005&amp;'DMR 001C TIN &amp; TP'!$B$3:$B$10005&amp;'DMR 001C TIN &amp; TP'!$A$3:$A$10005),0),MATCH('Reg 85'!$O$11,'DMR 001C TIN &amp; TP'!$A$2:$M$2,0))),"")</f>
        <v/>
      </c>
      <c r="U81" s="6" t="str">
        <f t="array" ref="U81">_xlfn.IFNA((INDEX('DMR 001C TIN &amp; TP'!$A$3:$M$10005,MATCH(('Reg 85'!$I$6:$Q$6&amp;'Reg 85'!U$10&amp;'Reg 85'!$B81),('DMR 001C TIN &amp; TP'!$E$3:$E$10005&amp;'DMR 001C TIN &amp; TP'!$B$3:$B$10005&amp;'DMR 001C TIN &amp; TP'!$A$3:$A$10005),0),MATCH('Reg 85'!$O$11,'DMR 001C TIN &amp; TP'!$A$2:$M$2,0))),"")</f>
        <v/>
      </c>
      <c r="V81" s="6" t="str">
        <f t="array" ref="V81">_xlfn.IFNA((INDEX('DMR 001C TIN &amp; TP'!$A$3:$M$10005,MATCH(('Reg 85'!$I$6:$Q$6&amp;'Reg 85'!V$10&amp;'Reg 85'!$B81),('DMR 001C TIN &amp; TP'!$E$3:$E$10005&amp;'DMR 001C TIN &amp; TP'!$B$3:$B$10005&amp;'DMR 001C TIN &amp; TP'!$A$3:$A$10005),0),MATCH('Reg 85'!$O$11,'DMR 001C TIN &amp; TP'!$A$2:$M$2,0))),"")</f>
        <v/>
      </c>
      <c r="W81" s="6" t="str">
        <f t="array" ref="W81">_xlfn.IFNA((INDEX('DMR 001C TIN &amp; TP'!$A$3:$M$10005,MATCH(('Reg 85'!$I$6:$Q$6&amp;'Reg 85'!W$10&amp;'Reg 85'!$B81),('DMR 001C TIN &amp; TP'!$E$3:$E$10005&amp;'DMR 001C TIN &amp; TP'!$B$3:$B$10005&amp;'DMR 001C TIN &amp; TP'!$A$3:$A$10005),0),MATCH('Reg 85'!$O$11,'DMR 001C TIN &amp; TP'!$A$2:$M$2,0))),"")</f>
        <v/>
      </c>
      <c r="X81" s="5" t="str">
        <f t="shared" si="50"/>
        <v/>
      </c>
      <c r="Y81" s="6" t="str">
        <f t="array" ref="Y81">_xlfn.IFNA((INDEX('DMR 001C TIN &amp; TP'!$A$3:$M$10005,MATCH(('Reg 85'!$X$6&amp;'Reg 85'!$X$10&amp;'Reg 85'!$B81),('DMR 001C TIN &amp; TP'!$E$3:$E$10005&amp;'DMR 001C TIN &amp; TP'!$B$3:$B$10005&amp;'DMR 001C TIN &amp; TP'!$A$3:$A$10005),0),MATCH('Reg 85'!$Y$11,'DMR 001C TIN &amp; TP'!$A$2:$M$2,0))),"")</f>
        <v/>
      </c>
      <c r="Z81" s="6" t="str">
        <f t="array" ref="Z81">_xlfn.IFNA((INDEX('DMR 001C TIN &amp; TP'!$A$3:$M$10005,MATCH(('Reg 85'!$X$6&amp;'Reg 85'!$X$10&amp;'Reg 85'!$B81),('DMR 001C TIN &amp; TP'!$E$3:$E$10005&amp;'DMR 001C TIN &amp; TP'!$B$3:$B$10005&amp;'DMR 001C TIN &amp; TP'!$A$3:$A$10005),0),MATCH('Reg 85'!$Z$11,'DMR 001C TIN &amp; TP'!$A$2:$M$2,0))),"")</f>
        <v/>
      </c>
      <c r="AA81" s="53" t="str">
        <f t="shared" si="51"/>
        <v/>
      </c>
      <c r="AB81" s="5" t="str">
        <f t="shared" si="52"/>
        <v/>
      </c>
      <c r="AC81" s="6" t="str">
        <f t="array" ref="AC81">_xlfn.IFNA((INDEX('DMR 001C TIN &amp; TP'!$A$3:$M$10005,MATCH(('Reg 85'!$X$6&amp;'Reg 85'!$AB$10&amp;'Reg 85'!$B81),('DMR 001C TIN &amp; TP'!$E$3:$E$10005&amp;'DMR 001C TIN &amp; TP'!$B$3:$B$10005&amp;'DMR 001C TIN &amp; TP'!$A$3:$A$10005),0),MATCH('Reg 85'!$AC$11,'DMR 001C TIN &amp; TP'!$A$2:$M$2,0))),"")</f>
        <v/>
      </c>
      <c r="AD81" s="6" t="str">
        <f t="array" ref="AD81">_xlfn.IFNA((INDEX('DMR 001C TIN &amp; TP'!$A$3:$M$10005,MATCH(('Reg 85'!$X$6&amp;'Reg 85'!$AB$10&amp;'Reg 85'!$B81),('DMR 001C TIN &amp; TP'!$E$3:$E$10005&amp;'DMR 001C TIN &amp; TP'!$B$3:$B$10005&amp;'DMR 001C TIN &amp; TP'!$A$3:$A$10005),0),MATCH('Reg 85'!$AD$11,'DMR 001C TIN &amp; TP'!$A$2:$M$2,0))),"")</f>
        <v/>
      </c>
      <c r="AE81" s="53" t="str">
        <f t="shared" si="53"/>
        <v/>
      </c>
      <c r="AF81" s="7" t="str">
        <f t="shared" si="54"/>
        <v/>
      </c>
      <c r="AG81" s="6" t="str">
        <f t="array" ref="AG81">_xlfn.IFNA((INDEX('DMR 001C TIN &amp; TP'!$A$3:$M$10005,MATCH(('Reg 85'!$X$6&amp;'Reg 85'!AG$10&amp;'Reg 85'!$B81),('DMR 001C TIN &amp; TP'!$E$3:$E$10005&amp;'DMR 001C TIN &amp; TP'!$B$3:$B$10005&amp;'DMR 001C TIN &amp; TP'!$A$3:$A$10005),0),MATCH('Reg 85'!$AG$11,'DMR 001C TIN &amp; TP'!$A$2:$M$2,0))),"")</f>
        <v/>
      </c>
      <c r="AH81" s="6" t="str">
        <f t="array" ref="AH81">_xlfn.IFNA((INDEX('DMR 001C TIN &amp; TP'!$A$3:$M$10005,MATCH(('Reg 85'!$X$6&amp;'Reg 85'!AH$10&amp;'Reg 85'!$B81),('DMR 001C TIN &amp; TP'!$E$3:$E$10005&amp;'DMR 001C TIN &amp; TP'!$B$3:$B$10005&amp;'DMR 001C TIN &amp; TP'!$A$3:$A$10005),0),MATCH('Reg 85'!$AG$11,'DMR 001C TIN &amp; TP'!$A$2:$M$2,0))),"")</f>
        <v/>
      </c>
      <c r="AI81" s="6" t="str">
        <f t="array" ref="AI81">_xlfn.IFNA((INDEX('DMR 001C TIN &amp; TP'!$A$3:$M$10005,MATCH(('Reg 85'!$X$6&amp;'Reg 85'!AI$10&amp;'Reg 85'!$B81),('DMR 001C TIN &amp; TP'!$E$3:$E$10005&amp;'DMR 001C TIN &amp; TP'!$B$3:$B$10005&amp;'DMR 001C TIN &amp; TP'!$A$3:$A$10005),0),MATCH('Reg 85'!$AG$11,'DMR 001C TIN &amp; TP'!$A$2:$M$2,0))),"")</f>
        <v/>
      </c>
      <c r="AJ81" s="6" t="str">
        <f t="array" ref="AJ81">_xlfn.IFNA((INDEX('DMR 001C TIN &amp; TP'!$A$3:$M$10005,MATCH(('Reg 85'!$X$6&amp;'Reg 85'!AJ$10&amp;'Reg 85'!$B81),('DMR 001C TIN &amp; TP'!$E$3:$E$10005&amp;'DMR 001C TIN &amp; TP'!$B$3:$B$10005&amp;'DMR 001C TIN &amp; TP'!$A$3:$A$10005),0),MATCH('Reg 85'!$AG$11,'DMR 001C TIN &amp; TP'!$A$2:$M$2,0))),"")</f>
        <v/>
      </c>
      <c r="AK81" s="6" t="str">
        <f t="array" ref="AK81">_xlfn.IFNA((INDEX('DMR 001C TIN &amp; TP'!$A$3:$M$10005,MATCH(('Reg 85'!$X$6&amp;'Reg 85'!AK$10&amp;'Reg 85'!$B81),('DMR 001C TIN &amp; TP'!$E$3:$E$10005&amp;'DMR 001C TIN &amp; TP'!$B$3:$B$10005&amp;'DMR 001C TIN &amp; TP'!$A$3:$A$10005),0),MATCH('Reg 85'!$AG$11,'DMR 001C TIN &amp; TP'!$A$2:$M$2,0))),"")</f>
        <v/>
      </c>
      <c r="AL81" s="6" t="str">
        <f t="array" ref="AL81">_xlfn.IFNA((INDEX('DMR 001C TIN &amp; TP'!$A$3:$M$10005,MATCH(('Reg 85'!$X$6&amp;'Reg 85'!AL$10&amp;'Reg 85'!$B81),('DMR 001C TIN &amp; TP'!$E$3:$E$10005&amp;'DMR 001C TIN &amp; TP'!$B$3:$B$10005&amp;'DMR 001C TIN &amp; TP'!$A$3:$A$10005),0),MATCH('Reg 85'!$AG$11,'DMR 001C TIN &amp; TP'!$A$2:$M$2,0))),"")</f>
        <v/>
      </c>
      <c r="AM81" s="76"/>
      <c r="AN81" s="6"/>
      <c r="AO81" s="54" t="str">
        <f t="shared" si="41"/>
        <v/>
      </c>
      <c r="AP81" s="77" t="str">
        <f t="shared" si="39"/>
        <v/>
      </c>
      <c r="AQ81" s="47"/>
      <c r="AR81" s="6" t="str">
        <f t="array" ref="AR81">_xlfn.IFNA((INDEX('DMR 001C TIN &amp; TP'!$A$3:$M$10005,MATCH(('Reg 85'!$AQ$6&amp;'Reg 85'!$AQ$10&amp;'Reg 85'!$B81),('DMR 001C TIN &amp; TP'!$E$3:$E$10005&amp;'DMR 001C TIN &amp; TP'!$B$3:$B$10005&amp;'DMR 001C TIN &amp; TP'!$A$3:$A$10005),0),MATCH('Reg 85'!$AR$11,'DMR 001C TIN &amp; TP'!$A$2:$M$2,0))),"")</f>
        <v/>
      </c>
      <c r="AS81" s="6" t="str">
        <f t="array" ref="AS81">_xlfn.IFNA((INDEX('DMR 001C TIN &amp; TP'!$A$3:$M$10005,MATCH(('Reg 85'!$AQ$6&amp;'Reg 85'!$AQ$10&amp;'Reg 85'!$B81),('DMR 001C TIN &amp; TP'!$E$3:$E$10005&amp;'DMR 001C TIN &amp; TP'!$B$3:$B$10005&amp;'DMR 001C TIN &amp; TP'!$A$3:$A$10005),0),MATCH('Reg 85'!$AS$11,'DMR 001C TIN &amp; TP'!$A$2:$M$2,0))),"")</f>
        <v/>
      </c>
      <c r="AT81" s="53" t="str">
        <f t="shared" si="55"/>
        <v/>
      </c>
      <c r="AV81" s="6" t="str">
        <f t="array" ref="AV81">_xlfn.IFNA((INDEX('DMR 001C TIN &amp; TP'!$A$3:$M$10005,MATCH(('Reg 85'!$AQ$6&amp;'Reg 85'!$AU$10&amp;'Reg 85'!$B81),('DMR 001C TIN &amp; TP'!$E$3:$E$10005&amp;'DMR 001C TIN &amp; TP'!$B$3:$B$10005&amp;'DMR 001C TIN &amp; TP'!$A$3:$A$10005),0),MATCH('Reg 85'!$AV$11,'DMR 001C TIN &amp; TP'!$A$2:$M$2,0))),"")</f>
        <v/>
      </c>
      <c r="AW81" s="6" t="str">
        <f t="array" ref="AW81">_xlfn.IFNA((INDEX('DMR 001C TIN &amp; TP'!$A$3:$M$10005,MATCH(('Reg 85'!$AQ$6&amp;'Reg 85'!$AU$10&amp;'Reg 85'!$B81),('DMR 001C TIN &amp; TP'!$E$3:$E$10005&amp;'DMR 001C TIN &amp; TP'!$B$3:$B$10005&amp;'DMR 001C TIN &amp; TP'!$A$3:$A$10005),0),MATCH('Reg 85'!$AW$11,'DMR 001C TIN &amp; TP'!$A$2:$M$2,0))),"")</f>
        <v/>
      </c>
      <c r="AX81" s="53" t="str">
        <f t="shared" si="56"/>
        <v/>
      </c>
      <c r="AY81" s="55" t="str">
        <f t="shared" si="57"/>
        <v/>
      </c>
      <c r="AZ81" s="77" t="str">
        <f t="shared" si="40"/>
        <v/>
      </c>
      <c r="BA81" s="6" t="str">
        <f t="array" ref="BA81">_xlfn.IFNA((INDEX('DMR 001C TIN &amp; TP'!$A$3:$M$10005,MATCH(('Reg 85'!$AQ$6&amp;'Reg 85'!BA$10&amp;'Reg 85'!$B81),('DMR 001C TIN &amp; TP'!$E$3:$E$10005&amp;'DMR 001C TIN &amp; TP'!$B$3:$B$10005&amp;'DMR 001C TIN &amp; TP'!$A$3:$A$10005),0),MATCH('Reg 85'!$AG$11,'DMR 001C TIN &amp; TP'!$A$2:$M$2,0))),"")</f>
        <v/>
      </c>
      <c r="BB81" s="6" t="str">
        <f t="array" ref="BB81">_xlfn.IFNA((INDEX('DMR 001C TIN &amp; TP'!$A$3:$M$10005,MATCH(('Reg 85'!$AQ$6&amp;'Reg 85'!BB$10&amp;'Reg 85'!$B81),('DMR 001C TIN &amp; TP'!$E$3:$E$10005&amp;'DMR 001C TIN &amp; TP'!$B$3:$B$10005&amp;'DMR 001C TIN &amp; TP'!$A$3:$A$10005),0),MATCH('Reg 85'!$AG$11,'DMR 001C TIN &amp; TP'!$A$2:$M$2,0))),"")</f>
        <v/>
      </c>
      <c r="BC81" s="6" t="str">
        <f t="array" ref="BC81">_xlfn.IFNA((INDEX('DMR 001C TIN &amp; TP'!$A$3:$M$10005,MATCH(('Reg 85'!$AQ$6&amp;'Reg 85'!BC$10&amp;'Reg 85'!$B81),('DMR 001C TIN &amp; TP'!$E$3:$E$10005&amp;'DMR 001C TIN &amp; TP'!$B$3:$B$10005&amp;'DMR 001C TIN &amp; TP'!$A$3:$A$10005),0),MATCH('Reg 85'!$AG$11,'DMR 001C TIN &amp; TP'!$A$2:$M$2,0))),"")</f>
        <v/>
      </c>
      <c r="BD81" s="6" t="str">
        <f t="array" ref="BD81">_xlfn.IFNA((INDEX('DMR 001C TIN &amp; TP'!$A$3:$M$10005,MATCH(('Reg 85'!$AQ$6&amp;'Reg 85'!BD$10&amp;'Reg 85'!$B81),('DMR 001C TIN &amp; TP'!$E$3:$E$10005&amp;'DMR 001C TIN &amp; TP'!$B$3:$B$10005&amp;'DMR 001C TIN &amp; TP'!$A$3:$A$10005),0),MATCH('Reg 85'!$AG$11,'DMR 001C TIN &amp; TP'!$A$2:$M$2,0))),"")</f>
        <v/>
      </c>
      <c r="BE81" s="6" t="str">
        <f t="array" ref="BE81">_xlfn.IFNA((INDEX('DMR 001C TIN &amp; TP'!$A$3:$M$10005,MATCH(('Reg 85'!$AQ$6&amp;'Reg 85'!BE$10&amp;'Reg 85'!$B81),('DMR 001C TIN &amp; TP'!$E$3:$E$10005&amp;'DMR 001C TIN &amp; TP'!$B$3:$B$10005&amp;'DMR 001C TIN &amp; TP'!$A$3:$A$10005),0),MATCH('Reg 85'!$AG$11,'DMR 001C TIN &amp; TP'!$A$2:$M$2,0))),"")</f>
        <v/>
      </c>
      <c r="BF81" s="6" t="str">
        <f t="array" ref="BF81">_xlfn.IFNA((INDEX('DMR 001C TIN &amp; TP'!$A$3:$M$10005,MATCH(('Reg 85'!$AQ$6&amp;'Reg 85'!BF$10&amp;'Reg 85'!$B81),('DMR 001C TIN &amp; TP'!$E$3:$E$10005&amp;'DMR 001C TIN &amp; TP'!$B$3:$B$10005&amp;'DMR 001C TIN &amp; TP'!$A$3:$A$10005),0),MATCH('Reg 85'!$AG$11,'DMR 001C TIN &amp; TP'!$A$2:$M$2,0))),"")</f>
        <v/>
      </c>
    </row>
    <row r="82" spans="1:58">
      <c r="A82" s="3" t="str">
        <f t="shared" si="42"/>
        <v>Sat</v>
      </c>
      <c r="B82" s="96">
        <f t="shared" si="58"/>
        <v>43414</v>
      </c>
      <c r="C82" s="96">
        <f t="shared" si="43"/>
        <v>43434</v>
      </c>
      <c r="D82" s="96">
        <f t="shared" si="44"/>
        <v>43405</v>
      </c>
      <c r="E82" s="95">
        <f t="shared" si="45"/>
        <v>30</v>
      </c>
      <c r="F82" s="7">
        <f t="array" ref="F82">_xlfn.IFNA(INDEX('DMR Flows-Effluent'!$A$3:$F$9999,MATCH(($F$10&amp;$B82),('DMR Flows-Effluent'!$B$3:$B$9999&amp;'DMR Flows-Effluent'!$A$3:$A$9999),0),MATCH($F$8,'DMR Flows-Effluent'!$A$2:$F$2,0)),"")</f>
        <v>56.231400000000001</v>
      </c>
      <c r="G82" s="7">
        <f t="array" ref="G82">_xlfn.IFNA(INDEX('DMR Flows-Effluent'!$A$3:$F$9999,MATCH(($G$10&amp;$B82),('DMR Flows-Effluent'!$B$3:$B$9999&amp;'DMR Flows-Effluent'!$A$3:$A$9999),0),MATCH($F$8,'DMR Flows-Effluent'!$A$2:$F$2,0)),"")</f>
        <v>64.6999</v>
      </c>
      <c r="H82" s="7">
        <f t="shared" si="46"/>
        <v>120.93129999999999</v>
      </c>
      <c r="I82" s="45" t="str">
        <f t="shared" si="47"/>
        <v/>
      </c>
      <c r="J82" s="6" t="str">
        <f t="array" ref="J82">_xlfn.IFNA((INDEX('DMR 001C TIN &amp; TP'!$A$3:$M$10005,MATCH(('Reg 85'!$I$6:$Q$6&amp;'Reg 85'!$I$10:$K$10&amp;'Reg 85'!$B82),('DMR 001C TIN &amp; TP'!$E$3:$E$10005&amp;'DMR 001C TIN &amp; TP'!$B$3:$B$10005&amp;'DMR 001C TIN &amp; TP'!$A$3:$A$10005),0),MATCH('Reg 85'!$J$11,'DMR 001C TIN &amp; TP'!$A$2:$M$2,0))),"")</f>
        <v/>
      </c>
      <c r="K82" s="6" t="str">
        <f t="array" ref="K82">_xlfn.IFNA((INDEX('DMR 001C TIN &amp; TP'!$A$3:$M$10005,MATCH(('Reg 85'!$I$6:$Q$6&amp;'Reg 85'!$I$10:$K$10&amp;'Reg 85'!$B82),('DMR 001C TIN &amp; TP'!$E$3:$E$10005&amp;'DMR 001C TIN &amp; TP'!$B$3:$B$10005&amp;'DMR 001C TIN &amp; TP'!$A$3:$A$10005),0),MATCH('Reg 85'!$K$11,'DMR 001C TIN &amp; TP'!$A$2:$M$2,0))),"")</f>
        <v/>
      </c>
      <c r="L82" s="53" t="str">
        <f t="shared" si="59"/>
        <v/>
      </c>
      <c r="M82" s="5" t="str">
        <f t="shared" si="48"/>
        <v/>
      </c>
      <c r="N82" s="6" t="str">
        <f t="array" ref="N82">_xlfn.IFNA((INDEX('DMR 001C TIN &amp; TP'!$A$3:$M$10005,MATCH(('Reg 85'!$I$6:$Q$6&amp;'Reg 85'!$M$10&amp;'Reg 85'!$B82),('DMR 001C TIN &amp; TP'!$E$3:$E$10005&amp;'DMR 001C TIN &amp; TP'!$B$3:$B$10005&amp;'DMR 001C TIN &amp; TP'!$A$3:$A$10005),0),MATCH('Reg 85'!$N$11,'DMR 001C TIN &amp; TP'!$A$2:$M$2,0))),"")</f>
        <v/>
      </c>
      <c r="O82" s="6" t="str">
        <f t="array" ref="O82">_xlfn.IFNA((INDEX('DMR 001C TIN &amp; TP'!$A$3:$M$10005,MATCH(('Reg 85'!$I$6:$Q$6&amp;'Reg 85'!$M$10&amp;'Reg 85'!$B82),('DMR 001C TIN &amp; TP'!$E$3:$E$10005&amp;'DMR 001C TIN &amp; TP'!$B$3:$B$10005&amp;'DMR 001C TIN &amp; TP'!$A$3:$A$10005),0),MATCH('Reg 85'!$O$11,'DMR 001C TIN &amp; TP'!$A$2:$M$2,0))),"")</f>
        <v/>
      </c>
      <c r="P82" s="53" t="str">
        <f t="shared" si="49"/>
        <v/>
      </c>
      <c r="Q82" s="73" t="str">
        <f t="array" ref="Q82">IFERROR(((L82*$F82)+(P82*$G82))/($H82),"")</f>
        <v/>
      </c>
      <c r="R82" s="6" t="str">
        <f t="array" ref="R82">_xlfn.IFNA((INDEX('DMR 001C TIN &amp; TP'!$A$3:$M$10005,MATCH(('Reg 85'!$I$6:$Q$6&amp;'Reg 85'!R$10&amp;'Reg 85'!$B82),('DMR 001C TIN &amp; TP'!$E$3:$E$10005&amp;'DMR 001C TIN &amp; TP'!$B$3:$B$10005&amp;'DMR 001C TIN &amp; TP'!$A$3:$A$10005),0),MATCH('Reg 85'!$O$11,'DMR 001C TIN &amp; TP'!$A$2:$M$2,0))),"")</f>
        <v/>
      </c>
      <c r="S82" s="6" t="str">
        <f t="array" ref="S82">_xlfn.IFNA((INDEX('DMR 001C TIN &amp; TP'!$A$3:$M$10005,MATCH(('Reg 85'!$I$6:$Q$6&amp;'Reg 85'!S$10&amp;'Reg 85'!$B82),('DMR 001C TIN &amp; TP'!$E$3:$E$10005&amp;'DMR 001C TIN &amp; TP'!$B$3:$B$10005&amp;'DMR 001C TIN &amp; TP'!$A$3:$A$10005),0),MATCH('Reg 85'!$O$11,'DMR 001C TIN &amp; TP'!$A$2:$M$2,0))),"")</f>
        <v/>
      </c>
      <c r="T82" s="6" t="str">
        <f t="array" ref="T82">_xlfn.IFNA((INDEX('DMR 001C TIN &amp; TP'!$A$3:$M$10005,MATCH(('Reg 85'!$I$6:$Q$6&amp;'Reg 85'!T$10&amp;'Reg 85'!$B82),('DMR 001C TIN &amp; TP'!$E$3:$E$10005&amp;'DMR 001C TIN &amp; TP'!$B$3:$B$10005&amp;'DMR 001C TIN &amp; TP'!$A$3:$A$10005),0),MATCH('Reg 85'!$O$11,'DMR 001C TIN &amp; TP'!$A$2:$M$2,0))),"")</f>
        <v/>
      </c>
      <c r="U82" s="6" t="str">
        <f t="array" ref="U82">_xlfn.IFNA((INDEX('DMR 001C TIN &amp; TP'!$A$3:$M$10005,MATCH(('Reg 85'!$I$6:$Q$6&amp;'Reg 85'!U$10&amp;'Reg 85'!$B82),('DMR 001C TIN &amp; TP'!$E$3:$E$10005&amp;'DMR 001C TIN &amp; TP'!$B$3:$B$10005&amp;'DMR 001C TIN &amp; TP'!$A$3:$A$10005),0),MATCH('Reg 85'!$O$11,'DMR 001C TIN &amp; TP'!$A$2:$M$2,0))),"")</f>
        <v/>
      </c>
      <c r="V82" s="6" t="str">
        <f t="array" ref="V82">_xlfn.IFNA((INDEX('DMR 001C TIN &amp; TP'!$A$3:$M$10005,MATCH(('Reg 85'!$I$6:$Q$6&amp;'Reg 85'!V$10&amp;'Reg 85'!$B82),('DMR 001C TIN &amp; TP'!$E$3:$E$10005&amp;'DMR 001C TIN &amp; TP'!$B$3:$B$10005&amp;'DMR 001C TIN &amp; TP'!$A$3:$A$10005),0),MATCH('Reg 85'!$O$11,'DMR 001C TIN &amp; TP'!$A$2:$M$2,0))),"")</f>
        <v/>
      </c>
      <c r="W82" s="6" t="str">
        <f t="array" ref="W82">_xlfn.IFNA((INDEX('DMR 001C TIN &amp; TP'!$A$3:$M$10005,MATCH(('Reg 85'!$I$6:$Q$6&amp;'Reg 85'!W$10&amp;'Reg 85'!$B82),('DMR 001C TIN &amp; TP'!$E$3:$E$10005&amp;'DMR 001C TIN &amp; TP'!$B$3:$B$10005&amp;'DMR 001C TIN &amp; TP'!$A$3:$A$10005),0),MATCH('Reg 85'!$O$11,'DMR 001C TIN &amp; TP'!$A$2:$M$2,0))),"")</f>
        <v/>
      </c>
      <c r="X82" s="5" t="str">
        <f t="shared" si="50"/>
        <v/>
      </c>
      <c r="Y82" s="6" t="str">
        <f t="array" ref="Y82">_xlfn.IFNA((INDEX('DMR 001C TIN &amp; TP'!$A$3:$M$10005,MATCH(('Reg 85'!$X$6&amp;'Reg 85'!$X$10&amp;'Reg 85'!$B82),('DMR 001C TIN &amp; TP'!$E$3:$E$10005&amp;'DMR 001C TIN &amp; TP'!$B$3:$B$10005&amp;'DMR 001C TIN &amp; TP'!$A$3:$A$10005),0),MATCH('Reg 85'!$Y$11,'DMR 001C TIN &amp; TP'!$A$2:$M$2,0))),"")</f>
        <v/>
      </c>
      <c r="Z82" s="6" t="str">
        <f t="array" ref="Z82">_xlfn.IFNA((INDEX('DMR 001C TIN &amp; TP'!$A$3:$M$10005,MATCH(('Reg 85'!$X$6&amp;'Reg 85'!$X$10&amp;'Reg 85'!$B82),('DMR 001C TIN &amp; TP'!$E$3:$E$10005&amp;'DMR 001C TIN &amp; TP'!$B$3:$B$10005&amp;'DMR 001C TIN &amp; TP'!$A$3:$A$10005),0),MATCH('Reg 85'!$Z$11,'DMR 001C TIN &amp; TP'!$A$2:$M$2,0))),"")</f>
        <v/>
      </c>
      <c r="AA82" s="53" t="str">
        <f t="shared" si="51"/>
        <v/>
      </c>
      <c r="AB82" s="5" t="str">
        <f t="shared" si="52"/>
        <v/>
      </c>
      <c r="AC82" s="6" t="str">
        <f t="array" ref="AC82">_xlfn.IFNA((INDEX('DMR 001C TIN &amp; TP'!$A$3:$M$10005,MATCH(('Reg 85'!$X$6&amp;'Reg 85'!$AB$10&amp;'Reg 85'!$B82),('DMR 001C TIN &amp; TP'!$E$3:$E$10005&amp;'DMR 001C TIN &amp; TP'!$B$3:$B$10005&amp;'DMR 001C TIN &amp; TP'!$A$3:$A$10005),0),MATCH('Reg 85'!$AC$11,'DMR 001C TIN &amp; TP'!$A$2:$M$2,0))),"")</f>
        <v/>
      </c>
      <c r="AD82" s="6" t="str">
        <f t="array" ref="AD82">_xlfn.IFNA((INDEX('DMR 001C TIN &amp; TP'!$A$3:$M$10005,MATCH(('Reg 85'!$X$6&amp;'Reg 85'!$AB$10&amp;'Reg 85'!$B82),('DMR 001C TIN &amp; TP'!$E$3:$E$10005&amp;'DMR 001C TIN &amp; TP'!$B$3:$B$10005&amp;'DMR 001C TIN &amp; TP'!$A$3:$A$10005),0),MATCH('Reg 85'!$AD$11,'DMR 001C TIN &amp; TP'!$A$2:$M$2,0))),"")</f>
        <v/>
      </c>
      <c r="AE82" s="53" t="str">
        <f t="shared" si="53"/>
        <v/>
      </c>
      <c r="AF82" s="7" t="str">
        <f t="shared" si="54"/>
        <v/>
      </c>
      <c r="AG82" s="6" t="str">
        <f t="array" ref="AG82">_xlfn.IFNA((INDEX('DMR 001C TIN &amp; TP'!$A$3:$M$10005,MATCH(('Reg 85'!$X$6&amp;'Reg 85'!AG$10&amp;'Reg 85'!$B82),('DMR 001C TIN &amp; TP'!$E$3:$E$10005&amp;'DMR 001C TIN &amp; TP'!$B$3:$B$10005&amp;'DMR 001C TIN &amp; TP'!$A$3:$A$10005),0),MATCH('Reg 85'!$AG$11,'DMR 001C TIN &amp; TP'!$A$2:$M$2,0))),"")</f>
        <v/>
      </c>
      <c r="AH82" s="6" t="str">
        <f t="array" ref="AH82">_xlfn.IFNA((INDEX('DMR 001C TIN &amp; TP'!$A$3:$M$10005,MATCH(('Reg 85'!$X$6&amp;'Reg 85'!AH$10&amp;'Reg 85'!$B82),('DMR 001C TIN &amp; TP'!$E$3:$E$10005&amp;'DMR 001C TIN &amp; TP'!$B$3:$B$10005&amp;'DMR 001C TIN &amp; TP'!$A$3:$A$10005),0),MATCH('Reg 85'!$AG$11,'DMR 001C TIN &amp; TP'!$A$2:$M$2,0))),"")</f>
        <v/>
      </c>
      <c r="AI82" s="6" t="str">
        <f t="array" ref="AI82">_xlfn.IFNA((INDEX('DMR 001C TIN &amp; TP'!$A$3:$M$10005,MATCH(('Reg 85'!$X$6&amp;'Reg 85'!AI$10&amp;'Reg 85'!$B82),('DMR 001C TIN &amp; TP'!$E$3:$E$10005&amp;'DMR 001C TIN &amp; TP'!$B$3:$B$10005&amp;'DMR 001C TIN &amp; TP'!$A$3:$A$10005),0),MATCH('Reg 85'!$AG$11,'DMR 001C TIN &amp; TP'!$A$2:$M$2,0))),"")</f>
        <v/>
      </c>
      <c r="AJ82" s="6" t="str">
        <f t="array" ref="AJ82">_xlfn.IFNA((INDEX('DMR 001C TIN &amp; TP'!$A$3:$M$10005,MATCH(('Reg 85'!$X$6&amp;'Reg 85'!AJ$10&amp;'Reg 85'!$B82),('DMR 001C TIN &amp; TP'!$E$3:$E$10005&amp;'DMR 001C TIN &amp; TP'!$B$3:$B$10005&amp;'DMR 001C TIN &amp; TP'!$A$3:$A$10005),0),MATCH('Reg 85'!$AG$11,'DMR 001C TIN &amp; TP'!$A$2:$M$2,0))),"")</f>
        <v/>
      </c>
      <c r="AK82" s="6" t="str">
        <f t="array" ref="AK82">_xlfn.IFNA((INDEX('DMR 001C TIN &amp; TP'!$A$3:$M$10005,MATCH(('Reg 85'!$X$6&amp;'Reg 85'!AK$10&amp;'Reg 85'!$B82),('DMR 001C TIN &amp; TP'!$E$3:$E$10005&amp;'DMR 001C TIN &amp; TP'!$B$3:$B$10005&amp;'DMR 001C TIN &amp; TP'!$A$3:$A$10005),0),MATCH('Reg 85'!$AG$11,'DMR 001C TIN &amp; TP'!$A$2:$M$2,0))),"")</f>
        <v/>
      </c>
      <c r="AL82" s="6" t="str">
        <f t="array" ref="AL82">_xlfn.IFNA((INDEX('DMR 001C TIN &amp; TP'!$A$3:$M$10005,MATCH(('Reg 85'!$X$6&amp;'Reg 85'!AL$10&amp;'Reg 85'!$B82),('DMR 001C TIN &amp; TP'!$E$3:$E$10005&amp;'DMR 001C TIN &amp; TP'!$B$3:$B$10005&amp;'DMR 001C TIN &amp; TP'!$A$3:$A$10005),0),MATCH('Reg 85'!$AG$11,'DMR 001C TIN &amp; TP'!$A$2:$M$2,0))),"")</f>
        <v/>
      </c>
      <c r="AM82" s="76"/>
      <c r="AN82" s="6"/>
      <c r="AO82" s="54" t="str">
        <f t="shared" si="41"/>
        <v/>
      </c>
      <c r="AP82" s="77" t="str">
        <f t="shared" si="39"/>
        <v/>
      </c>
      <c r="AQ82" s="47"/>
      <c r="AR82" s="6" t="str">
        <f t="array" ref="AR82">_xlfn.IFNA((INDEX('DMR 001C TIN &amp; TP'!$A$3:$M$10005,MATCH(('Reg 85'!$AQ$6&amp;'Reg 85'!$AQ$10&amp;'Reg 85'!$B82),('DMR 001C TIN &amp; TP'!$E$3:$E$10005&amp;'DMR 001C TIN &amp; TP'!$B$3:$B$10005&amp;'DMR 001C TIN &amp; TP'!$A$3:$A$10005),0),MATCH('Reg 85'!$AR$11,'DMR 001C TIN &amp; TP'!$A$2:$M$2,0))),"")</f>
        <v/>
      </c>
      <c r="AS82" s="6" t="str">
        <f t="array" ref="AS82">_xlfn.IFNA((INDEX('DMR 001C TIN &amp; TP'!$A$3:$M$10005,MATCH(('Reg 85'!$AQ$6&amp;'Reg 85'!$AQ$10&amp;'Reg 85'!$B82),('DMR 001C TIN &amp; TP'!$E$3:$E$10005&amp;'DMR 001C TIN &amp; TP'!$B$3:$B$10005&amp;'DMR 001C TIN &amp; TP'!$A$3:$A$10005),0),MATCH('Reg 85'!$AS$11,'DMR 001C TIN &amp; TP'!$A$2:$M$2,0))),"")</f>
        <v/>
      </c>
      <c r="AT82" s="53" t="str">
        <f t="shared" si="55"/>
        <v/>
      </c>
      <c r="AV82" s="6" t="str">
        <f t="array" ref="AV82">_xlfn.IFNA((INDEX('DMR 001C TIN &amp; TP'!$A$3:$M$10005,MATCH(('Reg 85'!$AQ$6&amp;'Reg 85'!$AU$10&amp;'Reg 85'!$B82),('DMR 001C TIN &amp; TP'!$E$3:$E$10005&amp;'DMR 001C TIN &amp; TP'!$B$3:$B$10005&amp;'DMR 001C TIN &amp; TP'!$A$3:$A$10005),0),MATCH('Reg 85'!$AV$11,'DMR 001C TIN &amp; TP'!$A$2:$M$2,0))),"")</f>
        <v/>
      </c>
      <c r="AW82" s="6" t="str">
        <f t="array" ref="AW82">_xlfn.IFNA((INDEX('DMR 001C TIN &amp; TP'!$A$3:$M$10005,MATCH(('Reg 85'!$AQ$6&amp;'Reg 85'!$AU$10&amp;'Reg 85'!$B82),('DMR 001C TIN &amp; TP'!$E$3:$E$10005&amp;'DMR 001C TIN &amp; TP'!$B$3:$B$10005&amp;'DMR 001C TIN &amp; TP'!$A$3:$A$10005),0),MATCH('Reg 85'!$AW$11,'DMR 001C TIN &amp; TP'!$A$2:$M$2,0))),"")</f>
        <v/>
      </c>
      <c r="AX82" s="53" t="str">
        <f t="shared" si="56"/>
        <v/>
      </c>
      <c r="AY82" s="55" t="str">
        <f t="shared" si="57"/>
        <v/>
      </c>
      <c r="AZ82" s="77" t="str">
        <f t="shared" si="40"/>
        <v/>
      </c>
      <c r="BA82" s="6" t="str">
        <f t="array" ref="BA82">_xlfn.IFNA((INDEX('DMR 001C TIN &amp; TP'!$A$3:$M$10005,MATCH(('Reg 85'!$AQ$6&amp;'Reg 85'!BA$10&amp;'Reg 85'!$B82),('DMR 001C TIN &amp; TP'!$E$3:$E$10005&amp;'DMR 001C TIN &amp; TP'!$B$3:$B$10005&amp;'DMR 001C TIN &amp; TP'!$A$3:$A$10005),0),MATCH('Reg 85'!$AG$11,'DMR 001C TIN &amp; TP'!$A$2:$M$2,0))),"")</f>
        <v/>
      </c>
      <c r="BB82" s="6" t="str">
        <f t="array" ref="BB82">_xlfn.IFNA((INDEX('DMR 001C TIN &amp; TP'!$A$3:$M$10005,MATCH(('Reg 85'!$AQ$6&amp;'Reg 85'!BB$10&amp;'Reg 85'!$B82),('DMR 001C TIN &amp; TP'!$E$3:$E$10005&amp;'DMR 001C TIN &amp; TP'!$B$3:$B$10005&amp;'DMR 001C TIN &amp; TP'!$A$3:$A$10005),0),MATCH('Reg 85'!$AG$11,'DMR 001C TIN &amp; TP'!$A$2:$M$2,0))),"")</f>
        <v/>
      </c>
      <c r="BC82" s="6" t="str">
        <f t="array" ref="BC82">_xlfn.IFNA((INDEX('DMR 001C TIN &amp; TP'!$A$3:$M$10005,MATCH(('Reg 85'!$AQ$6&amp;'Reg 85'!BC$10&amp;'Reg 85'!$B82),('DMR 001C TIN &amp; TP'!$E$3:$E$10005&amp;'DMR 001C TIN &amp; TP'!$B$3:$B$10005&amp;'DMR 001C TIN &amp; TP'!$A$3:$A$10005),0),MATCH('Reg 85'!$AG$11,'DMR 001C TIN &amp; TP'!$A$2:$M$2,0))),"")</f>
        <v/>
      </c>
      <c r="BD82" s="6" t="str">
        <f t="array" ref="BD82">_xlfn.IFNA((INDEX('DMR 001C TIN &amp; TP'!$A$3:$M$10005,MATCH(('Reg 85'!$AQ$6&amp;'Reg 85'!BD$10&amp;'Reg 85'!$B82),('DMR 001C TIN &amp; TP'!$E$3:$E$10005&amp;'DMR 001C TIN &amp; TP'!$B$3:$B$10005&amp;'DMR 001C TIN &amp; TP'!$A$3:$A$10005),0),MATCH('Reg 85'!$AG$11,'DMR 001C TIN &amp; TP'!$A$2:$M$2,0))),"")</f>
        <v/>
      </c>
      <c r="BE82" s="6" t="str">
        <f t="array" ref="BE82">_xlfn.IFNA((INDEX('DMR 001C TIN &amp; TP'!$A$3:$M$10005,MATCH(('Reg 85'!$AQ$6&amp;'Reg 85'!BE$10&amp;'Reg 85'!$B82),('DMR 001C TIN &amp; TP'!$E$3:$E$10005&amp;'DMR 001C TIN &amp; TP'!$B$3:$B$10005&amp;'DMR 001C TIN &amp; TP'!$A$3:$A$10005),0),MATCH('Reg 85'!$AG$11,'DMR 001C TIN &amp; TP'!$A$2:$M$2,0))),"")</f>
        <v/>
      </c>
      <c r="BF82" s="6" t="str">
        <f t="array" ref="BF82">_xlfn.IFNA((INDEX('DMR 001C TIN &amp; TP'!$A$3:$M$10005,MATCH(('Reg 85'!$AQ$6&amp;'Reg 85'!BF$10&amp;'Reg 85'!$B82),('DMR 001C TIN &amp; TP'!$E$3:$E$10005&amp;'DMR 001C TIN &amp; TP'!$B$3:$B$10005&amp;'DMR 001C TIN &amp; TP'!$A$3:$A$10005),0),MATCH('Reg 85'!$AG$11,'DMR 001C TIN &amp; TP'!$A$2:$M$2,0))),"")</f>
        <v/>
      </c>
    </row>
    <row r="83" spans="1:58">
      <c r="A83" s="3" t="str">
        <f t="shared" si="42"/>
        <v>Sun</v>
      </c>
      <c r="B83" s="96">
        <f t="shared" si="58"/>
        <v>43415</v>
      </c>
      <c r="C83" s="96">
        <f t="shared" si="43"/>
        <v>43434</v>
      </c>
      <c r="D83" s="96">
        <f t="shared" si="44"/>
        <v>43405</v>
      </c>
      <c r="E83" s="95">
        <f t="shared" si="45"/>
        <v>30</v>
      </c>
      <c r="F83" s="7">
        <f t="array" ref="F83">_xlfn.IFNA(INDEX('DMR Flows-Effluent'!$A$3:$F$9999,MATCH(($F$10&amp;$B83),('DMR Flows-Effluent'!$B$3:$B$9999&amp;'DMR Flows-Effluent'!$A$3:$A$9999),0),MATCH($F$8,'DMR Flows-Effluent'!$A$2:$F$2,0)),"")</f>
        <v>55.384700000000002</v>
      </c>
      <c r="G83" s="7">
        <f t="array" ref="G83">_xlfn.IFNA(INDEX('DMR Flows-Effluent'!$A$3:$F$9999,MATCH(($G$10&amp;$B83),('DMR Flows-Effluent'!$B$3:$B$9999&amp;'DMR Flows-Effluent'!$A$3:$A$9999),0),MATCH($F$8,'DMR Flows-Effluent'!$A$2:$F$2,0)),"")</f>
        <v>65.887299999999996</v>
      </c>
      <c r="H83" s="7">
        <f t="shared" si="46"/>
        <v>121.27199999999999</v>
      </c>
      <c r="I83" s="45" t="str">
        <f t="shared" si="47"/>
        <v/>
      </c>
      <c r="J83" s="6" t="str">
        <f t="array" ref="J83">_xlfn.IFNA((INDEX('DMR 001C TIN &amp; TP'!$A$3:$M$10005,MATCH(('Reg 85'!$I$6:$Q$6&amp;'Reg 85'!$I$10:$K$10&amp;'Reg 85'!$B83),('DMR 001C TIN &amp; TP'!$E$3:$E$10005&amp;'DMR 001C TIN &amp; TP'!$B$3:$B$10005&amp;'DMR 001C TIN &amp; TP'!$A$3:$A$10005),0),MATCH('Reg 85'!$J$11,'DMR 001C TIN &amp; TP'!$A$2:$M$2,0))),"")</f>
        <v/>
      </c>
      <c r="K83" s="6" t="str">
        <f t="array" ref="K83">_xlfn.IFNA((INDEX('DMR 001C TIN &amp; TP'!$A$3:$M$10005,MATCH(('Reg 85'!$I$6:$Q$6&amp;'Reg 85'!$I$10:$K$10&amp;'Reg 85'!$B83),('DMR 001C TIN &amp; TP'!$E$3:$E$10005&amp;'DMR 001C TIN &amp; TP'!$B$3:$B$10005&amp;'DMR 001C TIN &amp; TP'!$A$3:$A$10005),0),MATCH('Reg 85'!$K$11,'DMR 001C TIN &amp; TP'!$A$2:$M$2,0))),"")</f>
        <v/>
      </c>
      <c r="L83" s="53" t="str">
        <f t="shared" si="59"/>
        <v/>
      </c>
      <c r="M83" s="5" t="str">
        <f t="shared" si="48"/>
        <v/>
      </c>
      <c r="N83" s="6" t="str">
        <f t="array" ref="N83">_xlfn.IFNA((INDEX('DMR 001C TIN &amp; TP'!$A$3:$M$10005,MATCH(('Reg 85'!$I$6:$Q$6&amp;'Reg 85'!$M$10&amp;'Reg 85'!$B83),('DMR 001C TIN &amp; TP'!$E$3:$E$10005&amp;'DMR 001C TIN &amp; TP'!$B$3:$B$10005&amp;'DMR 001C TIN &amp; TP'!$A$3:$A$10005),0),MATCH('Reg 85'!$N$11,'DMR 001C TIN &amp; TP'!$A$2:$M$2,0))),"")</f>
        <v/>
      </c>
      <c r="O83" s="6" t="str">
        <f t="array" ref="O83">_xlfn.IFNA((INDEX('DMR 001C TIN &amp; TP'!$A$3:$M$10005,MATCH(('Reg 85'!$I$6:$Q$6&amp;'Reg 85'!$M$10&amp;'Reg 85'!$B83),('DMR 001C TIN &amp; TP'!$E$3:$E$10005&amp;'DMR 001C TIN &amp; TP'!$B$3:$B$10005&amp;'DMR 001C TIN &amp; TP'!$A$3:$A$10005),0),MATCH('Reg 85'!$O$11,'DMR 001C TIN &amp; TP'!$A$2:$M$2,0))),"")</f>
        <v/>
      </c>
      <c r="P83" s="53" t="str">
        <f t="shared" si="49"/>
        <v/>
      </c>
      <c r="Q83" s="73" t="str">
        <f t="array" ref="Q83">IFERROR(((L83*$F83)+(P83*$G83))/($H83),"")</f>
        <v/>
      </c>
      <c r="R83" s="6" t="str">
        <f t="array" ref="R83">_xlfn.IFNA((INDEX('DMR 001C TIN &amp; TP'!$A$3:$M$10005,MATCH(('Reg 85'!$I$6:$Q$6&amp;'Reg 85'!R$10&amp;'Reg 85'!$B83),('DMR 001C TIN &amp; TP'!$E$3:$E$10005&amp;'DMR 001C TIN &amp; TP'!$B$3:$B$10005&amp;'DMR 001C TIN &amp; TP'!$A$3:$A$10005),0),MATCH('Reg 85'!$O$11,'DMR 001C TIN &amp; TP'!$A$2:$M$2,0))),"")</f>
        <v/>
      </c>
      <c r="S83" s="6" t="str">
        <f t="array" ref="S83">_xlfn.IFNA((INDEX('DMR 001C TIN &amp; TP'!$A$3:$M$10005,MATCH(('Reg 85'!$I$6:$Q$6&amp;'Reg 85'!S$10&amp;'Reg 85'!$B83),('DMR 001C TIN &amp; TP'!$E$3:$E$10005&amp;'DMR 001C TIN &amp; TP'!$B$3:$B$10005&amp;'DMR 001C TIN &amp; TP'!$A$3:$A$10005),0),MATCH('Reg 85'!$O$11,'DMR 001C TIN &amp; TP'!$A$2:$M$2,0))),"")</f>
        <v/>
      </c>
      <c r="T83" s="6" t="str">
        <f t="array" ref="T83">_xlfn.IFNA((INDEX('DMR 001C TIN &amp; TP'!$A$3:$M$10005,MATCH(('Reg 85'!$I$6:$Q$6&amp;'Reg 85'!T$10&amp;'Reg 85'!$B83),('DMR 001C TIN &amp; TP'!$E$3:$E$10005&amp;'DMR 001C TIN &amp; TP'!$B$3:$B$10005&amp;'DMR 001C TIN &amp; TP'!$A$3:$A$10005),0),MATCH('Reg 85'!$O$11,'DMR 001C TIN &amp; TP'!$A$2:$M$2,0))),"")</f>
        <v/>
      </c>
      <c r="U83" s="6" t="str">
        <f t="array" ref="U83">_xlfn.IFNA((INDEX('DMR 001C TIN &amp; TP'!$A$3:$M$10005,MATCH(('Reg 85'!$I$6:$Q$6&amp;'Reg 85'!U$10&amp;'Reg 85'!$B83),('DMR 001C TIN &amp; TP'!$E$3:$E$10005&amp;'DMR 001C TIN &amp; TP'!$B$3:$B$10005&amp;'DMR 001C TIN &amp; TP'!$A$3:$A$10005),0),MATCH('Reg 85'!$O$11,'DMR 001C TIN &amp; TP'!$A$2:$M$2,0))),"")</f>
        <v/>
      </c>
      <c r="V83" s="6" t="str">
        <f t="array" ref="V83">_xlfn.IFNA((INDEX('DMR 001C TIN &amp; TP'!$A$3:$M$10005,MATCH(('Reg 85'!$I$6:$Q$6&amp;'Reg 85'!V$10&amp;'Reg 85'!$B83),('DMR 001C TIN &amp; TP'!$E$3:$E$10005&amp;'DMR 001C TIN &amp; TP'!$B$3:$B$10005&amp;'DMR 001C TIN &amp; TP'!$A$3:$A$10005),0),MATCH('Reg 85'!$O$11,'DMR 001C TIN &amp; TP'!$A$2:$M$2,0))),"")</f>
        <v/>
      </c>
      <c r="W83" s="6" t="str">
        <f t="array" ref="W83">_xlfn.IFNA((INDEX('DMR 001C TIN &amp; TP'!$A$3:$M$10005,MATCH(('Reg 85'!$I$6:$Q$6&amp;'Reg 85'!W$10&amp;'Reg 85'!$B83),('DMR 001C TIN &amp; TP'!$E$3:$E$10005&amp;'DMR 001C TIN &amp; TP'!$B$3:$B$10005&amp;'DMR 001C TIN &amp; TP'!$A$3:$A$10005),0),MATCH('Reg 85'!$O$11,'DMR 001C TIN &amp; TP'!$A$2:$M$2,0))),"")</f>
        <v/>
      </c>
      <c r="X83" s="5" t="str">
        <f t="shared" si="50"/>
        <v/>
      </c>
      <c r="Y83" s="6" t="str">
        <f t="array" ref="Y83">_xlfn.IFNA((INDEX('DMR 001C TIN &amp; TP'!$A$3:$M$10005,MATCH(('Reg 85'!$X$6&amp;'Reg 85'!$X$10&amp;'Reg 85'!$B83),('DMR 001C TIN &amp; TP'!$E$3:$E$10005&amp;'DMR 001C TIN &amp; TP'!$B$3:$B$10005&amp;'DMR 001C TIN &amp; TP'!$A$3:$A$10005),0),MATCH('Reg 85'!$Y$11,'DMR 001C TIN &amp; TP'!$A$2:$M$2,0))),"")</f>
        <v/>
      </c>
      <c r="Z83" s="6" t="str">
        <f t="array" ref="Z83">_xlfn.IFNA((INDEX('DMR 001C TIN &amp; TP'!$A$3:$M$10005,MATCH(('Reg 85'!$X$6&amp;'Reg 85'!$X$10&amp;'Reg 85'!$B83),('DMR 001C TIN &amp; TP'!$E$3:$E$10005&amp;'DMR 001C TIN &amp; TP'!$B$3:$B$10005&amp;'DMR 001C TIN &amp; TP'!$A$3:$A$10005),0),MATCH('Reg 85'!$Z$11,'DMR 001C TIN &amp; TP'!$A$2:$M$2,0))),"")</f>
        <v/>
      </c>
      <c r="AA83" s="53" t="str">
        <f t="shared" si="51"/>
        <v/>
      </c>
      <c r="AB83" s="5" t="str">
        <f t="shared" si="52"/>
        <v/>
      </c>
      <c r="AC83" s="6" t="str">
        <f t="array" ref="AC83">_xlfn.IFNA((INDEX('DMR 001C TIN &amp; TP'!$A$3:$M$10005,MATCH(('Reg 85'!$X$6&amp;'Reg 85'!$AB$10&amp;'Reg 85'!$B83),('DMR 001C TIN &amp; TP'!$E$3:$E$10005&amp;'DMR 001C TIN &amp; TP'!$B$3:$B$10005&amp;'DMR 001C TIN &amp; TP'!$A$3:$A$10005),0),MATCH('Reg 85'!$AC$11,'DMR 001C TIN &amp; TP'!$A$2:$M$2,0))),"")</f>
        <v/>
      </c>
      <c r="AD83" s="6" t="str">
        <f t="array" ref="AD83">_xlfn.IFNA((INDEX('DMR 001C TIN &amp; TP'!$A$3:$M$10005,MATCH(('Reg 85'!$X$6&amp;'Reg 85'!$AB$10&amp;'Reg 85'!$B83),('DMR 001C TIN &amp; TP'!$E$3:$E$10005&amp;'DMR 001C TIN &amp; TP'!$B$3:$B$10005&amp;'DMR 001C TIN &amp; TP'!$A$3:$A$10005),0),MATCH('Reg 85'!$AD$11,'DMR 001C TIN &amp; TP'!$A$2:$M$2,0))),"")</f>
        <v/>
      </c>
      <c r="AE83" s="53" t="str">
        <f t="shared" si="53"/>
        <v/>
      </c>
      <c r="AF83" s="7" t="str">
        <f t="shared" si="54"/>
        <v/>
      </c>
      <c r="AG83" s="6" t="str">
        <f t="array" ref="AG83">_xlfn.IFNA((INDEX('DMR 001C TIN &amp; TP'!$A$3:$M$10005,MATCH(('Reg 85'!$X$6&amp;'Reg 85'!AG$10&amp;'Reg 85'!$B83),('DMR 001C TIN &amp; TP'!$E$3:$E$10005&amp;'DMR 001C TIN &amp; TP'!$B$3:$B$10005&amp;'DMR 001C TIN &amp; TP'!$A$3:$A$10005),0),MATCH('Reg 85'!$AG$11,'DMR 001C TIN &amp; TP'!$A$2:$M$2,0))),"")</f>
        <v/>
      </c>
      <c r="AH83" s="6" t="str">
        <f t="array" ref="AH83">_xlfn.IFNA((INDEX('DMR 001C TIN &amp; TP'!$A$3:$M$10005,MATCH(('Reg 85'!$X$6&amp;'Reg 85'!AH$10&amp;'Reg 85'!$B83),('DMR 001C TIN &amp; TP'!$E$3:$E$10005&amp;'DMR 001C TIN &amp; TP'!$B$3:$B$10005&amp;'DMR 001C TIN &amp; TP'!$A$3:$A$10005),0),MATCH('Reg 85'!$AG$11,'DMR 001C TIN &amp; TP'!$A$2:$M$2,0))),"")</f>
        <v/>
      </c>
      <c r="AI83" s="6" t="str">
        <f t="array" ref="AI83">_xlfn.IFNA((INDEX('DMR 001C TIN &amp; TP'!$A$3:$M$10005,MATCH(('Reg 85'!$X$6&amp;'Reg 85'!AI$10&amp;'Reg 85'!$B83),('DMR 001C TIN &amp; TP'!$E$3:$E$10005&amp;'DMR 001C TIN &amp; TP'!$B$3:$B$10005&amp;'DMR 001C TIN &amp; TP'!$A$3:$A$10005),0),MATCH('Reg 85'!$AG$11,'DMR 001C TIN &amp; TP'!$A$2:$M$2,0))),"")</f>
        <v/>
      </c>
      <c r="AJ83" s="6" t="str">
        <f t="array" ref="AJ83">_xlfn.IFNA((INDEX('DMR 001C TIN &amp; TP'!$A$3:$M$10005,MATCH(('Reg 85'!$X$6&amp;'Reg 85'!AJ$10&amp;'Reg 85'!$B83),('DMR 001C TIN &amp; TP'!$E$3:$E$10005&amp;'DMR 001C TIN &amp; TP'!$B$3:$B$10005&amp;'DMR 001C TIN &amp; TP'!$A$3:$A$10005),0),MATCH('Reg 85'!$AG$11,'DMR 001C TIN &amp; TP'!$A$2:$M$2,0))),"")</f>
        <v/>
      </c>
      <c r="AK83" s="6" t="str">
        <f t="array" ref="AK83">_xlfn.IFNA((INDEX('DMR 001C TIN &amp; TP'!$A$3:$M$10005,MATCH(('Reg 85'!$X$6&amp;'Reg 85'!AK$10&amp;'Reg 85'!$B83),('DMR 001C TIN &amp; TP'!$E$3:$E$10005&amp;'DMR 001C TIN &amp; TP'!$B$3:$B$10005&amp;'DMR 001C TIN &amp; TP'!$A$3:$A$10005),0),MATCH('Reg 85'!$AG$11,'DMR 001C TIN &amp; TP'!$A$2:$M$2,0))),"")</f>
        <v/>
      </c>
      <c r="AL83" s="6" t="str">
        <f t="array" ref="AL83">_xlfn.IFNA((INDEX('DMR 001C TIN &amp; TP'!$A$3:$M$10005,MATCH(('Reg 85'!$X$6&amp;'Reg 85'!AL$10&amp;'Reg 85'!$B83),('DMR 001C TIN &amp; TP'!$E$3:$E$10005&amp;'DMR 001C TIN &amp; TP'!$B$3:$B$10005&amp;'DMR 001C TIN &amp; TP'!$A$3:$A$10005),0),MATCH('Reg 85'!$AG$11,'DMR 001C TIN &amp; TP'!$A$2:$M$2,0))),"")</f>
        <v/>
      </c>
      <c r="AM83" s="76"/>
      <c r="AN83" s="6"/>
      <c r="AO83" s="54" t="str">
        <f t="shared" si="41"/>
        <v/>
      </c>
      <c r="AP83" s="77" t="str">
        <f t="shared" si="39"/>
        <v/>
      </c>
      <c r="AQ83" s="47"/>
      <c r="AR83" s="6" t="str">
        <f t="array" ref="AR83">_xlfn.IFNA((INDEX('DMR 001C TIN &amp; TP'!$A$3:$M$10005,MATCH(('Reg 85'!$AQ$6&amp;'Reg 85'!$AQ$10&amp;'Reg 85'!$B83),('DMR 001C TIN &amp; TP'!$E$3:$E$10005&amp;'DMR 001C TIN &amp; TP'!$B$3:$B$10005&amp;'DMR 001C TIN &amp; TP'!$A$3:$A$10005),0),MATCH('Reg 85'!$AR$11,'DMR 001C TIN &amp; TP'!$A$2:$M$2,0))),"")</f>
        <v>0.03</v>
      </c>
      <c r="AS83" s="6">
        <f t="array" ref="AS83">_xlfn.IFNA((INDEX('DMR 001C TIN &amp; TP'!$A$3:$M$10005,MATCH(('Reg 85'!$AQ$6&amp;'Reg 85'!$AQ$10&amp;'Reg 85'!$B83),('DMR 001C TIN &amp; TP'!$E$3:$E$10005&amp;'DMR 001C TIN &amp; TP'!$B$3:$B$10005&amp;'DMR 001C TIN &amp; TP'!$A$3:$A$10005),0),MATCH('Reg 85'!$AS$11,'DMR 001C TIN &amp; TP'!$A$2:$M$2,0))),"")</f>
        <v>0.36</v>
      </c>
      <c r="AT83" s="53">
        <f t="shared" si="55"/>
        <v>0.36</v>
      </c>
      <c r="AV83" s="6" t="str">
        <f t="array" ref="AV83">_xlfn.IFNA((INDEX('DMR 001C TIN &amp; TP'!$A$3:$M$10005,MATCH(('Reg 85'!$AQ$6&amp;'Reg 85'!$AU$10&amp;'Reg 85'!$B83),('DMR 001C TIN &amp; TP'!$E$3:$E$10005&amp;'DMR 001C TIN &amp; TP'!$B$3:$B$10005&amp;'DMR 001C TIN &amp; TP'!$A$3:$A$10005),0),MATCH('Reg 85'!$AV$11,'DMR 001C TIN &amp; TP'!$A$2:$M$2,0))),"")</f>
        <v>0.03</v>
      </c>
      <c r="AW83" s="6">
        <f t="array" ref="AW83">_xlfn.IFNA((INDEX('DMR 001C TIN &amp; TP'!$A$3:$M$10005,MATCH(('Reg 85'!$AQ$6&amp;'Reg 85'!$AU$10&amp;'Reg 85'!$B83),('DMR 001C TIN &amp; TP'!$E$3:$E$10005&amp;'DMR 001C TIN &amp; TP'!$B$3:$B$10005&amp;'DMR 001C TIN &amp; TP'!$A$3:$A$10005),0),MATCH('Reg 85'!$AW$11,'DMR 001C TIN &amp; TP'!$A$2:$M$2,0))),"")</f>
        <v>3.75</v>
      </c>
      <c r="AX83" s="53">
        <f t="shared" si="56"/>
        <v>3.75</v>
      </c>
      <c r="AY83" s="55">
        <f t="shared" si="57"/>
        <v>2.2017932169008514</v>
      </c>
      <c r="AZ83" s="77" t="str">
        <f t="shared" si="40"/>
        <v/>
      </c>
      <c r="BA83" s="6" t="str">
        <f t="array" ref="BA83">_xlfn.IFNA((INDEX('DMR 001C TIN &amp; TP'!$A$3:$M$10005,MATCH(('Reg 85'!$AQ$6&amp;'Reg 85'!BA$10&amp;'Reg 85'!$B83),('DMR 001C TIN &amp; TP'!$E$3:$E$10005&amp;'DMR 001C TIN &amp; TP'!$B$3:$B$10005&amp;'DMR 001C TIN &amp; TP'!$A$3:$A$10005),0),MATCH('Reg 85'!$AG$11,'DMR 001C TIN &amp; TP'!$A$2:$M$2,0))),"")</f>
        <v/>
      </c>
      <c r="BB83" s="6" t="str">
        <f t="array" ref="BB83">_xlfn.IFNA((INDEX('DMR 001C TIN &amp; TP'!$A$3:$M$10005,MATCH(('Reg 85'!$AQ$6&amp;'Reg 85'!BB$10&amp;'Reg 85'!$B83),('DMR 001C TIN &amp; TP'!$E$3:$E$10005&amp;'DMR 001C TIN &amp; TP'!$B$3:$B$10005&amp;'DMR 001C TIN &amp; TP'!$A$3:$A$10005),0),MATCH('Reg 85'!$AG$11,'DMR 001C TIN &amp; TP'!$A$2:$M$2,0))),"")</f>
        <v/>
      </c>
      <c r="BC83" s="6" t="str">
        <f t="array" ref="BC83">_xlfn.IFNA((INDEX('DMR 001C TIN &amp; TP'!$A$3:$M$10005,MATCH(('Reg 85'!$AQ$6&amp;'Reg 85'!BC$10&amp;'Reg 85'!$B83),('DMR 001C TIN &amp; TP'!$E$3:$E$10005&amp;'DMR 001C TIN &amp; TP'!$B$3:$B$10005&amp;'DMR 001C TIN &amp; TP'!$A$3:$A$10005),0),MATCH('Reg 85'!$AG$11,'DMR 001C TIN &amp; TP'!$A$2:$M$2,0))),"")</f>
        <v/>
      </c>
      <c r="BD83" s="6" t="str">
        <f t="array" ref="BD83">_xlfn.IFNA((INDEX('DMR 001C TIN &amp; TP'!$A$3:$M$10005,MATCH(('Reg 85'!$AQ$6&amp;'Reg 85'!BD$10&amp;'Reg 85'!$B83),('DMR 001C TIN &amp; TP'!$E$3:$E$10005&amp;'DMR 001C TIN &amp; TP'!$B$3:$B$10005&amp;'DMR 001C TIN &amp; TP'!$A$3:$A$10005),0),MATCH('Reg 85'!$AG$11,'DMR 001C TIN &amp; TP'!$A$2:$M$2,0))),"")</f>
        <v/>
      </c>
      <c r="BE83" s="6" t="str">
        <f t="array" ref="BE83">_xlfn.IFNA((INDEX('DMR 001C TIN &amp; TP'!$A$3:$M$10005,MATCH(('Reg 85'!$AQ$6&amp;'Reg 85'!BE$10&amp;'Reg 85'!$B83),('DMR 001C TIN &amp; TP'!$E$3:$E$10005&amp;'DMR 001C TIN &amp; TP'!$B$3:$B$10005&amp;'DMR 001C TIN &amp; TP'!$A$3:$A$10005),0),MATCH('Reg 85'!$AG$11,'DMR 001C TIN &amp; TP'!$A$2:$M$2,0))),"")</f>
        <v/>
      </c>
      <c r="BF83" s="6" t="str">
        <f t="array" ref="BF83">_xlfn.IFNA((INDEX('DMR 001C TIN &amp; TP'!$A$3:$M$10005,MATCH(('Reg 85'!$AQ$6&amp;'Reg 85'!BF$10&amp;'Reg 85'!$B83),('DMR 001C TIN &amp; TP'!$E$3:$E$10005&amp;'DMR 001C TIN &amp; TP'!$B$3:$B$10005&amp;'DMR 001C TIN &amp; TP'!$A$3:$A$10005),0),MATCH('Reg 85'!$AG$11,'DMR 001C TIN &amp; TP'!$A$2:$M$2,0))),"")</f>
        <v/>
      </c>
    </row>
    <row r="84" spans="1:58">
      <c r="A84" s="3" t="str">
        <f t="shared" si="42"/>
        <v>Mon</v>
      </c>
      <c r="B84" s="96">
        <f t="shared" si="58"/>
        <v>43416</v>
      </c>
      <c r="C84" s="96">
        <f t="shared" si="43"/>
        <v>43434</v>
      </c>
      <c r="D84" s="96">
        <f t="shared" si="44"/>
        <v>43405</v>
      </c>
      <c r="E84" s="95">
        <f t="shared" si="45"/>
        <v>30</v>
      </c>
      <c r="F84" s="7">
        <f t="array" ref="F84">_xlfn.IFNA(INDEX('DMR Flows-Effluent'!$A$3:$F$9999,MATCH(($F$10&amp;$B84),('DMR Flows-Effluent'!$B$3:$B$9999&amp;'DMR Flows-Effluent'!$A$3:$A$9999),0),MATCH($F$8,'DMR Flows-Effluent'!$A$2:$F$2,0)),"")</f>
        <v>54.664000000000001</v>
      </c>
      <c r="G84" s="7">
        <f t="array" ref="G84">_xlfn.IFNA(INDEX('DMR Flows-Effluent'!$A$3:$F$9999,MATCH(($G$10&amp;$B84),('DMR Flows-Effluent'!$B$3:$B$9999&amp;'DMR Flows-Effluent'!$A$3:$A$9999),0),MATCH($F$8,'DMR Flows-Effluent'!$A$2:$F$2,0)),"")</f>
        <v>67.755200000000002</v>
      </c>
      <c r="H84" s="7">
        <f t="shared" si="46"/>
        <v>122.4192</v>
      </c>
      <c r="I84" s="45" t="str">
        <f t="shared" si="47"/>
        <v/>
      </c>
      <c r="J84" s="6" t="str">
        <f t="array" ref="J84">_xlfn.IFNA((INDEX('DMR 001C TIN &amp; TP'!$A$3:$M$10005,MATCH(('Reg 85'!$I$6:$Q$6&amp;'Reg 85'!$I$10:$K$10&amp;'Reg 85'!$B84),('DMR 001C TIN &amp; TP'!$E$3:$E$10005&amp;'DMR 001C TIN &amp; TP'!$B$3:$B$10005&amp;'DMR 001C TIN &amp; TP'!$A$3:$A$10005),0),MATCH('Reg 85'!$J$11,'DMR 001C TIN &amp; TP'!$A$2:$M$2,0))),"")</f>
        <v>0.15</v>
      </c>
      <c r="K84" s="6">
        <f t="array" ref="K84">_xlfn.IFNA((INDEX('DMR 001C TIN &amp; TP'!$A$3:$M$10005,MATCH(('Reg 85'!$I$6:$Q$6&amp;'Reg 85'!$I$10:$K$10&amp;'Reg 85'!$B84),('DMR 001C TIN &amp; TP'!$E$3:$E$10005&amp;'DMR 001C TIN &amp; TP'!$B$3:$B$10005&amp;'DMR 001C TIN &amp; TP'!$A$3:$A$10005),0),MATCH('Reg 85'!$K$11,'DMR 001C TIN &amp; TP'!$A$2:$M$2,0))),"")</f>
        <v>1.35</v>
      </c>
      <c r="L84" s="53">
        <f t="shared" si="59"/>
        <v>1.35</v>
      </c>
      <c r="M84" s="5" t="str">
        <f t="shared" si="48"/>
        <v/>
      </c>
      <c r="N84" s="6" t="str">
        <f t="array" ref="N84">_xlfn.IFNA((INDEX('DMR 001C TIN &amp; TP'!$A$3:$M$10005,MATCH(('Reg 85'!$I$6:$Q$6&amp;'Reg 85'!$M$10&amp;'Reg 85'!$B84),('DMR 001C TIN &amp; TP'!$E$3:$E$10005&amp;'DMR 001C TIN &amp; TP'!$B$3:$B$10005&amp;'DMR 001C TIN &amp; TP'!$A$3:$A$10005),0),MATCH('Reg 85'!$N$11,'DMR 001C TIN &amp; TP'!$A$2:$M$2,0))),"")</f>
        <v>0.15</v>
      </c>
      <c r="O84" s="6">
        <f t="array" ref="O84">_xlfn.IFNA((INDEX('DMR 001C TIN &amp; TP'!$A$3:$M$10005,MATCH(('Reg 85'!$I$6:$Q$6&amp;'Reg 85'!$M$10&amp;'Reg 85'!$B84),('DMR 001C TIN &amp; TP'!$E$3:$E$10005&amp;'DMR 001C TIN &amp; TP'!$B$3:$B$10005&amp;'DMR 001C TIN &amp; TP'!$A$3:$A$10005),0),MATCH('Reg 85'!$O$11,'DMR 001C TIN &amp; TP'!$A$2:$M$2,0))),"")</f>
        <v>2.2000000000000002</v>
      </c>
      <c r="P84" s="53">
        <f t="shared" si="49"/>
        <v>2.2000000000000002</v>
      </c>
      <c r="Q84" s="73">
        <f t="array" ref="Q84">IFERROR(((L84*$F84)+(P84*$G84))/($H84),"")</f>
        <v>1.8204484263906315</v>
      </c>
      <c r="R84" s="6" t="str">
        <f t="array" ref="R84">_xlfn.IFNA((INDEX('DMR 001C TIN &amp; TP'!$A$3:$M$10005,MATCH(('Reg 85'!$I$6:$Q$6&amp;'Reg 85'!R$10&amp;'Reg 85'!$B84),('DMR 001C TIN &amp; TP'!$E$3:$E$10005&amp;'DMR 001C TIN &amp; TP'!$B$3:$B$10005&amp;'DMR 001C TIN &amp; TP'!$A$3:$A$10005),0),MATCH('Reg 85'!$O$11,'DMR 001C TIN &amp; TP'!$A$2:$M$2,0))),"")</f>
        <v/>
      </c>
      <c r="S84" s="6" t="str">
        <f t="array" ref="S84">_xlfn.IFNA((INDEX('DMR 001C TIN &amp; TP'!$A$3:$M$10005,MATCH(('Reg 85'!$I$6:$Q$6&amp;'Reg 85'!S$10&amp;'Reg 85'!$B84),('DMR 001C TIN &amp; TP'!$E$3:$E$10005&amp;'DMR 001C TIN &amp; TP'!$B$3:$B$10005&amp;'DMR 001C TIN &amp; TP'!$A$3:$A$10005),0),MATCH('Reg 85'!$O$11,'DMR 001C TIN &amp; TP'!$A$2:$M$2,0))),"")</f>
        <v/>
      </c>
      <c r="T84" s="6" t="str">
        <f t="array" ref="T84">_xlfn.IFNA((INDEX('DMR 001C TIN &amp; TP'!$A$3:$M$10005,MATCH(('Reg 85'!$I$6:$Q$6&amp;'Reg 85'!T$10&amp;'Reg 85'!$B84),('DMR 001C TIN &amp; TP'!$E$3:$E$10005&amp;'DMR 001C TIN &amp; TP'!$B$3:$B$10005&amp;'DMR 001C TIN &amp; TP'!$A$3:$A$10005),0),MATCH('Reg 85'!$O$11,'DMR 001C TIN &amp; TP'!$A$2:$M$2,0))),"")</f>
        <v/>
      </c>
      <c r="U84" s="6" t="str">
        <f t="array" ref="U84">_xlfn.IFNA((INDEX('DMR 001C TIN &amp; TP'!$A$3:$M$10005,MATCH(('Reg 85'!$I$6:$Q$6&amp;'Reg 85'!U$10&amp;'Reg 85'!$B84),('DMR 001C TIN &amp; TP'!$E$3:$E$10005&amp;'DMR 001C TIN &amp; TP'!$B$3:$B$10005&amp;'DMR 001C TIN &amp; TP'!$A$3:$A$10005),0),MATCH('Reg 85'!$O$11,'DMR 001C TIN &amp; TP'!$A$2:$M$2,0))),"")</f>
        <v/>
      </c>
      <c r="V84" s="6" t="str">
        <f t="array" ref="V84">_xlfn.IFNA((INDEX('DMR 001C TIN &amp; TP'!$A$3:$M$10005,MATCH(('Reg 85'!$I$6:$Q$6&amp;'Reg 85'!V$10&amp;'Reg 85'!$B84),('DMR 001C TIN &amp; TP'!$E$3:$E$10005&amp;'DMR 001C TIN &amp; TP'!$B$3:$B$10005&amp;'DMR 001C TIN &amp; TP'!$A$3:$A$10005),0),MATCH('Reg 85'!$O$11,'DMR 001C TIN &amp; TP'!$A$2:$M$2,0))),"")</f>
        <v/>
      </c>
      <c r="W84" s="6" t="str">
        <f t="array" ref="W84">_xlfn.IFNA((INDEX('DMR 001C TIN &amp; TP'!$A$3:$M$10005,MATCH(('Reg 85'!$I$6:$Q$6&amp;'Reg 85'!W$10&amp;'Reg 85'!$B84),('DMR 001C TIN &amp; TP'!$E$3:$E$10005&amp;'DMR 001C TIN &amp; TP'!$B$3:$B$10005&amp;'DMR 001C TIN &amp; TP'!$A$3:$A$10005),0),MATCH('Reg 85'!$O$11,'DMR 001C TIN &amp; TP'!$A$2:$M$2,0))),"")</f>
        <v/>
      </c>
      <c r="X84" s="5" t="str">
        <f t="shared" si="50"/>
        <v/>
      </c>
      <c r="Y84" s="6" t="str">
        <f t="array" ref="Y84">_xlfn.IFNA((INDEX('DMR 001C TIN &amp; TP'!$A$3:$M$10005,MATCH(('Reg 85'!$X$6&amp;'Reg 85'!$X$10&amp;'Reg 85'!$B84),('DMR 001C TIN &amp; TP'!$E$3:$E$10005&amp;'DMR 001C TIN &amp; TP'!$B$3:$B$10005&amp;'DMR 001C TIN &amp; TP'!$A$3:$A$10005),0),MATCH('Reg 85'!$Y$11,'DMR 001C TIN &amp; TP'!$A$2:$M$2,0))),"")</f>
        <v>0.06</v>
      </c>
      <c r="Z84" s="6">
        <f t="array" ref="Z84">_xlfn.IFNA((INDEX('DMR 001C TIN &amp; TP'!$A$3:$M$10005,MATCH(('Reg 85'!$X$6&amp;'Reg 85'!$X$10&amp;'Reg 85'!$B84),('DMR 001C TIN &amp; TP'!$E$3:$E$10005&amp;'DMR 001C TIN &amp; TP'!$B$3:$B$10005&amp;'DMR 001C TIN &amp; TP'!$A$3:$A$10005),0),MATCH('Reg 85'!$Z$11,'DMR 001C TIN &amp; TP'!$A$2:$M$2,0))),"")</f>
        <v>4.43</v>
      </c>
      <c r="AA84" s="53">
        <f t="shared" si="51"/>
        <v>4.43</v>
      </c>
      <c r="AB84" s="5" t="str">
        <f t="shared" si="52"/>
        <v/>
      </c>
      <c r="AC84" s="6" t="str">
        <f t="array" ref="AC84">_xlfn.IFNA((INDEX('DMR 001C TIN &amp; TP'!$A$3:$M$10005,MATCH(('Reg 85'!$X$6&amp;'Reg 85'!$AB$10&amp;'Reg 85'!$B84),('DMR 001C TIN &amp; TP'!$E$3:$E$10005&amp;'DMR 001C TIN &amp; TP'!$B$3:$B$10005&amp;'DMR 001C TIN &amp; TP'!$A$3:$A$10005),0),MATCH('Reg 85'!$AC$11,'DMR 001C TIN &amp; TP'!$A$2:$M$2,0))),"")</f>
        <v>0.06</v>
      </c>
      <c r="AD84" s="6">
        <f t="array" ref="AD84">_xlfn.IFNA((INDEX('DMR 001C TIN &amp; TP'!$A$3:$M$10005,MATCH(('Reg 85'!$X$6&amp;'Reg 85'!$AB$10&amp;'Reg 85'!$B84),('DMR 001C TIN &amp; TP'!$E$3:$E$10005&amp;'DMR 001C TIN &amp; TP'!$B$3:$B$10005&amp;'DMR 001C TIN &amp; TP'!$A$3:$A$10005),0),MATCH('Reg 85'!$AD$11,'DMR 001C TIN &amp; TP'!$A$2:$M$2,0))),"")</f>
        <v>5.0199999999999996</v>
      </c>
      <c r="AE84" s="53">
        <f t="shared" si="53"/>
        <v>5.0199999999999996</v>
      </c>
      <c r="AF84" s="7">
        <f t="shared" si="54"/>
        <v>4.7565465547887902</v>
      </c>
      <c r="AG84" s="6" t="str">
        <f t="array" ref="AG84">_xlfn.IFNA((INDEX('DMR 001C TIN &amp; TP'!$A$3:$M$10005,MATCH(('Reg 85'!$X$6&amp;'Reg 85'!AG$10&amp;'Reg 85'!$B84),('DMR 001C TIN &amp; TP'!$E$3:$E$10005&amp;'DMR 001C TIN &amp; TP'!$B$3:$B$10005&amp;'DMR 001C TIN &amp; TP'!$A$3:$A$10005),0),MATCH('Reg 85'!$AG$11,'DMR 001C TIN &amp; TP'!$A$2:$M$2,0))),"")</f>
        <v/>
      </c>
      <c r="AH84" s="6" t="str">
        <f t="array" ref="AH84">_xlfn.IFNA((INDEX('DMR 001C TIN &amp; TP'!$A$3:$M$10005,MATCH(('Reg 85'!$X$6&amp;'Reg 85'!AH$10&amp;'Reg 85'!$B84),('DMR 001C TIN &amp; TP'!$E$3:$E$10005&amp;'DMR 001C TIN &amp; TP'!$B$3:$B$10005&amp;'DMR 001C TIN &amp; TP'!$A$3:$A$10005),0),MATCH('Reg 85'!$AG$11,'DMR 001C TIN &amp; TP'!$A$2:$M$2,0))),"")</f>
        <v/>
      </c>
      <c r="AI84" s="6" t="str">
        <f t="array" ref="AI84">_xlfn.IFNA((INDEX('DMR 001C TIN &amp; TP'!$A$3:$M$10005,MATCH(('Reg 85'!$X$6&amp;'Reg 85'!AI$10&amp;'Reg 85'!$B84),('DMR 001C TIN &amp; TP'!$E$3:$E$10005&amp;'DMR 001C TIN &amp; TP'!$B$3:$B$10005&amp;'DMR 001C TIN &amp; TP'!$A$3:$A$10005),0),MATCH('Reg 85'!$AG$11,'DMR 001C TIN &amp; TP'!$A$2:$M$2,0))),"")</f>
        <v/>
      </c>
      <c r="AJ84" s="6" t="str">
        <f t="array" ref="AJ84">_xlfn.IFNA((INDEX('DMR 001C TIN &amp; TP'!$A$3:$M$10005,MATCH(('Reg 85'!$X$6&amp;'Reg 85'!AJ$10&amp;'Reg 85'!$B84),('DMR 001C TIN &amp; TP'!$E$3:$E$10005&amp;'DMR 001C TIN &amp; TP'!$B$3:$B$10005&amp;'DMR 001C TIN &amp; TP'!$A$3:$A$10005),0),MATCH('Reg 85'!$AG$11,'DMR 001C TIN &amp; TP'!$A$2:$M$2,0))),"")</f>
        <v/>
      </c>
      <c r="AK84" s="6" t="str">
        <f t="array" ref="AK84">_xlfn.IFNA((INDEX('DMR 001C TIN &amp; TP'!$A$3:$M$10005,MATCH(('Reg 85'!$X$6&amp;'Reg 85'!AK$10&amp;'Reg 85'!$B84),('DMR 001C TIN &amp; TP'!$E$3:$E$10005&amp;'DMR 001C TIN &amp; TP'!$B$3:$B$10005&amp;'DMR 001C TIN &amp; TP'!$A$3:$A$10005),0),MATCH('Reg 85'!$AG$11,'DMR 001C TIN &amp; TP'!$A$2:$M$2,0))),"")</f>
        <v/>
      </c>
      <c r="AL84" s="6" t="str">
        <f t="array" ref="AL84">_xlfn.IFNA((INDEX('DMR 001C TIN &amp; TP'!$A$3:$M$10005,MATCH(('Reg 85'!$X$6&amp;'Reg 85'!AL$10&amp;'Reg 85'!$B84),('DMR 001C TIN &amp; TP'!$E$3:$E$10005&amp;'DMR 001C TIN &amp; TP'!$B$3:$B$10005&amp;'DMR 001C TIN &amp; TP'!$A$3:$A$10005),0),MATCH('Reg 85'!$AG$11,'DMR 001C TIN &amp; TP'!$A$2:$M$2,0))),"")</f>
        <v/>
      </c>
      <c r="AM84" s="76"/>
      <c r="AN84" s="6"/>
      <c r="AO84" s="54">
        <f t="shared" si="41"/>
        <v>6.5769949811794213</v>
      </c>
      <c r="AP84" s="77" t="str">
        <f t="shared" si="39"/>
        <v/>
      </c>
      <c r="AQ84" s="47"/>
      <c r="AR84" s="6" t="str">
        <f t="array" ref="AR84">_xlfn.IFNA((INDEX('DMR 001C TIN &amp; TP'!$A$3:$M$10005,MATCH(('Reg 85'!$AQ$6&amp;'Reg 85'!$AQ$10&amp;'Reg 85'!$B84),('DMR 001C TIN &amp; TP'!$E$3:$E$10005&amp;'DMR 001C TIN &amp; TP'!$B$3:$B$10005&amp;'DMR 001C TIN &amp; TP'!$A$3:$A$10005),0),MATCH('Reg 85'!$AR$11,'DMR 001C TIN &amp; TP'!$A$2:$M$2,0))),"")</f>
        <v/>
      </c>
      <c r="AS84" s="6" t="str">
        <f t="array" ref="AS84">_xlfn.IFNA((INDEX('DMR 001C TIN &amp; TP'!$A$3:$M$10005,MATCH(('Reg 85'!$AQ$6&amp;'Reg 85'!$AQ$10&amp;'Reg 85'!$B84),('DMR 001C TIN &amp; TP'!$E$3:$E$10005&amp;'DMR 001C TIN &amp; TP'!$B$3:$B$10005&amp;'DMR 001C TIN &amp; TP'!$A$3:$A$10005),0),MATCH('Reg 85'!$AS$11,'DMR 001C TIN &amp; TP'!$A$2:$M$2,0))),"")</f>
        <v/>
      </c>
      <c r="AT84" s="53" t="str">
        <f t="shared" si="55"/>
        <v/>
      </c>
      <c r="AV84" s="6" t="str">
        <f t="array" ref="AV84">_xlfn.IFNA((INDEX('DMR 001C TIN &amp; TP'!$A$3:$M$10005,MATCH(('Reg 85'!$AQ$6&amp;'Reg 85'!$AU$10&amp;'Reg 85'!$B84),('DMR 001C TIN &amp; TP'!$E$3:$E$10005&amp;'DMR 001C TIN &amp; TP'!$B$3:$B$10005&amp;'DMR 001C TIN &amp; TP'!$A$3:$A$10005),0),MATCH('Reg 85'!$AV$11,'DMR 001C TIN &amp; TP'!$A$2:$M$2,0))),"")</f>
        <v/>
      </c>
      <c r="AW84" s="6" t="str">
        <f t="array" ref="AW84">_xlfn.IFNA((INDEX('DMR 001C TIN &amp; TP'!$A$3:$M$10005,MATCH(('Reg 85'!$AQ$6&amp;'Reg 85'!$AU$10&amp;'Reg 85'!$B84),('DMR 001C TIN &amp; TP'!$E$3:$E$10005&amp;'DMR 001C TIN &amp; TP'!$B$3:$B$10005&amp;'DMR 001C TIN &amp; TP'!$A$3:$A$10005),0),MATCH('Reg 85'!$AW$11,'DMR 001C TIN &amp; TP'!$A$2:$M$2,0))),"")</f>
        <v/>
      </c>
      <c r="AX84" s="53" t="str">
        <f t="shared" si="56"/>
        <v/>
      </c>
      <c r="AY84" s="55" t="str">
        <f t="shared" si="57"/>
        <v/>
      </c>
      <c r="AZ84" s="77" t="str">
        <f t="shared" si="40"/>
        <v/>
      </c>
      <c r="BA84" s="6" t="str">
        <f t="array" ref="BA84">_xlfn.IFNA((INDEX('DMR 001C TIN &amp; TP'!$A$3:$M$10005,MATCH(('Reg 85'!$AQ$6&amp;'Reg 85'!BA$10&amp;'Reg 85'!$B84),('DMR 001C TIN &amp; TP'!$E$3:$E$10005&amp;'DMR 001C TIN &amp; TP'!$B$3:$B$10005&amp;'DMR 001C TIN &amp; TP'!$A$3:$A$10005),0),MATCH('Reg 85'!$AG$11,'DMR 001C TIN &amp; TP'!$A$2:$M$2,0))),"")</f>
        <v/>
      </c>
      <c r="BB84" s="6" t="str">
        <f t="array" ref="BB84">_xlfn.IFNA((INDEX('DMR 001C TIN &amp; TP'!$A$3:$M$10005,MATCH(('Reg 85'!$AQ$6&amp;'Reg 85'!BB$10&amp;'Reg 85'!$B84),('DMR 001C TIN &amp; TP'!$E$3:$E$10005&amp;'DMR 001C TIN &amp; TP'!$B$3:$B$10005&amp;'DMR 001C TIN &amp; TP'!$A$3:$A$10005),0),MATCH('Reg 85'!$AG$11,'DMR 001C TIN &amp; TP'!$A$2:$M$2,0))),"")</f>
        <v/>
      </c>
      <c r="BC84" s="6" t="str">
        <f t="array" ref="BC84">_xlfn.IFNA((INDEX('DMR 001C TIN &amp; TP'!$A$3:$M$10005,MATCH(('Reg 85'!$AQ$6&amp;'Reg 85'!BC$10&amp;'Reg 85'!$B84),('DMR 001C TIN &amp; TP'!$E$3:$E$10005&amp;'DMR 001C TIN &amp; TP'!$B$3:$B$10005&amp;'DMR 001C TIN &amp; TP'!$A$3:$A$10005),0),MATCH('Reg 85'!$AG$11,'DMR 001C TIN &amp; TP'!$A$2:$M$2,0))),"")</f>
        <v/>
      </c>
      <c r="BD84" s="6" t="str">
        <f t="array" ref="BD84">_xlfn.IFNA((INDEX('DMR 001C TIN &amp; TP'!$A$3:$M$10005,MATCH(('Reg 85'!$AQ$6&amp;'Reg 85'!BD$10&amp;'Reg 85'!$B84),('DMR 001C TIN &amp; TP'!$E$3:$E$10005&amp;'DMR 001C TIN &amp; TP'!$B$3:$B$10005&amp;'DMR 001C TIN &amp; TP'!$A$3:$A$10005),0),MATCH('Reg 85'!$AG$11,'DMR 001C TIN &amp; TP'!$A$2:$M$2,0))),"")</f>
        <v/>
      </c>
      <c r="BE84" s="6" t="str">
        <f t="array" ref="BE84">_xlfn.IFNA((INDEX('DMR 001C TIN &amp; TP'!$A$3:$M$10005,MATCH(('Reg 85'!$AQ$6&amp;'Reg 85'!BE$10&amp;'Reg 85'!$B84),('DMR 001C TIN &amp; TP'!$E$3:$E$10005&amp;'DMR 001C TIN &amp; TP'!$B$3:$B$10005&amp;'DMR 001C TIN &amp; TP'!$A$3:$A$10005),0),MATCH('Reg 85'!$AG$11,'DMR 001C TIN &amp; TP'!$A$2:$M$2,0))),"")</f>
        <v/>
      </c>
      <c r="BF84" s="6" t="str">
        <f t="array" ref="BF84">_xlfn.IFNA((INDEX('DMR 001C TIN &amp; TP'!$A$3:$M$10005,MATCH(('Reg 85'!$AQ$6&amp;'Reg 85'!BF$10&amp;'Reg 85'!$B84),('DMR 001C TIN &amp; TP'!$E$3:$E$10005&amp;'DMR 001C TIN &amp; TP'!$B$3:$B$10005&amp;'DMR 001C TIN &amp; TP'!$A$3:$A$10005),0),MATCH('Reg 85'!$AG$11,'DMR 001C TIN &amp; TP'!$A$2:$M$2,0))),"")</f>
        <v/>
      </c>
    </row>
    <row r="85" spans="1:58">
      <c r="A85" s="3" t="str">
        <f t="shared" si="42"/>
        <v>Tue</v>
      </c>
      <c r="B85" s="96">
        <f t="shared" si="58"/>
        <v>43417</v>
      </c>
      <c r="C85" s="96">
        <f t="shared" si="43"/>
        <v>43434</v>
      </c>
      <c r="D85" s="96">
        <f t="shared" si="44"/>
        <v>43405</v>
      </c>
      <c r="E85" s="95">
        <f t="shared" si="45"/>
        <v>30</v>
      </c>
      <c r="F85" s="7">
        <f t="array" ref="F85">_xlfn.IFNA(INDEX('DMR Flows-Effluent'!$A$3:$F$9999,MATCH(($F$10&amp;$B85),('DMR Flows-Effluent'!$B$3:$B$9999&amp;'DMR Flows-Effluent'!$A$3:$A$9999),0),MATCH($F$8,'DMR Flows-Effluent'!$A$2:$F$2,0)),"")</f>
        <v>52.963200000000001</v>
      </c>
      <c r="G85" s="7">
        <f t="array" ref="G85">_xlfn.IFNA(INDEX('DMR Flows-Effluent'!$A$3:$F$9999,MATCH(($G$10&amp;$B85),('DMR Flows-Effluent'!$B$3:$B$9999&amp;'DMR Flows-Effluent'!$A$3:$A$9999),0),MATCH($F$8,'DMR Flows-Effluent'!$A$2:$F$2,0)),"")</f>
        <v>68.682000000000002</v>
      </c>
      <c r="H85" s="7">
        <f t="shared" si="46"/>
        <v>121.6452</v>
      </c>
      <c r="I85" s="45" t="str">
        <f t="shared" si="47"/>
        <v/>
      </c>
      <c r="J85" s="6" t="str">
        <f t="array" ref="J85">_xlfn.IFNA((INDEX('DMR 001C TIN &amp; TP'!$A$3:$M$10005,MATCH(('Reg 85'!$I$6:$Q$6&amp;'Reg 85'!$I$10:$K$10&amp;'Reg 85'!$B85),('DMR 001C TIN &amp; TP'!$E$3:$E$10005&amp;'DMR 001C TIN &amp; TP'!$B$3:$B$10005&amp;'DMR 001C TIN &amp; TP'!$A$3:$A$10005),0),MATCH('Reg 85'!$J$11,'DMR 001C TIN &amp; TP'!$A$2:$M$2,0))),"")</f>
        <v>0.15</v>
      </c>
      <c r="K85" s="6">
        <f t="array" ref="K85">_xlfn.IFNA((INDEX('DMR 001C TIN &amp; TP'!$A$3:$M$10005,MATCH(('Reg 85'!$I$6:$Q$6&amp;'Reg 85'!$I$10:$K$10&amp;'Reg 85'!$B85),('DMR 001C TIN &amp; TP'!$E$3:$E$10005&amp;'DMR 001C TIN &amp; TP'!$B$3:$B$10005&amp;'DMR 001C TIN &amp; TP'!$A$3:$A$10005),0),MATCH('Reg 85'!$K$11,'DMR 001C TIN &amp; TP'!$A$2:$M$2,0))),"")</f>
        <v>0.47</v>
      </c>
      <c r="L85" s="53">
        <f t="shared" si="59"/>
        <v>0.47</v>
      </c>
      <c r="M85" s="5" t="str">
        <f t="shared" si="48"/>
        <v/>
      </c>
      <c r="N85" s="6" t="str">
        <f t="array" ref="N85">_xlfn.IFNA((INDEX('DMR 001C TIN &amp; TP'!$A$3:$M$10005,MATCH(('Reg 85'!$I$6:$Q$6&amp;'Reg 85'!$M$10&amp;'Reg 85'!$B85),('DMR 001C TIN &amp; TP'!$E$3:$E$10005&amp;'DMR 001C TIN &amp; TP'!$B$3:$B$10005&amp;'DMR 001C TIN &amp; TP'!$A$3:$A$10005),0),MATCH('Reg 85'!$N$11,'DMR 001C TIN &amp; TP'!$A$2:$M$2,0))),"")</f>
        <v>0.15</v>
      </c>
      <c r="O85" s="6">
        <f t="array" ref="O85">_xlfn.IFNA((INDEX('DMR 001C TIN &amp; TP'!$A$3:$M$10005,MATCH(('Reg 85'!$I$6:$Q$6&amp;'Reg 85'!$M$10&amp;'Reg 85'!$B85),('DMR 001C TIN &amp; TP'!$E$3:$E$10005&amp;'DMR 001C TIN &amp; TP'!$B$3:$B$10005&amp;'DMR 001C TIN &amp; TP'!$A$3:$A$10005),0),MATCH('Reg 85'!$O$11,'DMR 001C TIN &amp; TP'!$A$2:$M$2,0))),"")</f>
        <v>1.02</v>
      </c>
      <c r="P85" s="53">
        <f t="shared" si="49"/>
        <v>1.02</v>
      </c>
      <c r="Q85" s="73">
        <f t="array" ref="Q85">IFERROR(((L85*$F85)+(P85*$G85))/($H85),"")</f>
        <v>0.78053506426887365</v>
      </c>
      <c r="R85" s="6" t="str">
        <f t="array" ref="R85">_xlfn.IFNA((INDEX('DMR 001C TIN &amp; TP'!$A$3:$M$10005,MATCH(('Reg 85'!$I$6:$Q$6&amp;'Reg 85'!R$10&amp;'Reg 85'!$B85),('DMR 001C TIN &amp; TP'!$E$3:$E$10005&amp;'DMR 001C TIN &amp; TP'!$B$3:$B$10005&amp;'DMR 001C TIN &amp; TP'!$A$3:$A$10005),0),MATCH('Reg 85'!$O$11,'DMR 001C TIN &amp; TP'!$A$2:$M$2,0))),"")</f>
        <v/>
      </c>
      <c r="S85" s="6" t="str">
        <f t="array" ref="S85">_xlfn.IFNA((INDEX('DMR 001C TIN &amp; TP'!$A$3:$M$10005,MATCH(('Reg 85'!$I$6:$Q$6&amp;'Reg 85'!S$10&amp;'Reg 85'!$B85),('DMR 001C TIN &amp; TP'!$E$3:$E$10005&amp;'DMR 001C TIN &amp; TP'!$B$3:$B$10005&amp;'DMR 001C TIN &amp; TP'!$A$3:$A$10005),0),MATCH('Reg 85'!$O$11,'DMR 001C TIN &amp; TP'!$A$2:$M$2,0))),"")</f>
        <v/>
      </c>
      <c r="T85" s="6" t="str">
        <f t="array" ref="T85">_xlfn.IFNA((INDEX('DMR 001C TIN &amp; TP'!$A$3:$M$10005,MATCH(('Reg 85'!$I$6:$Q$6&amp;'Reg 85'!T$10&amp;'Reg 85'!$B85),('DMR 001C TIN &amp; TP'!$E$3:$E$10005&amp;'DMR 001C TIN &amp; TP'!$B$3:$B$10005&amp;'DMR 001C TIN &amp; TP'!$A$3:$A$10005),0),MATCH('Reg 85'!$O$11,'DMR 001C TIN &amp; TP'!$A$2:$M$2,0))),"")</f>
        <v/>
      </c>
      <c r="U85" s="6" t="str">
        <f t="array" ref="U85">_xlfn.IFNA((INDEX('DMR 001C TIN &amp; TP'!$A$3:$M$10005,MATCH(('Reg 85'!$I$6:$Q$6&amp;'Reg 85'!U$10&amp;'Reg 85'!$B85),('DMR 001C TIN &amp; TP'!$E$3:$E$10005&amp;'DMR 001C TIN &amp; TP'!$B$3:$B$10005&amp;'DMR 001C TIN &amp; TP'!$A$3:$A$10005),0),MATCH('Reg 85'!$O$11,'DMR 001C TIN &amp; TP'!$A$2:$M$2,0))),"")</f>
        <v/>
      </c>
      <c r="V85" s="6" t="str">
        <f t="array" ref="V85">_xlfn.IFNA((INDEX('DMR 001C TIN &amp; TP'!$A$3:$M$10005,MATCH(('Reg 85'!$I$6:$Q$6&amp;'Reg 85'!V$10&amp;'Reg 85'!$B85),('DMR 001C TIN &amp; TP'!$E$3:$E$10005&amp;'DMR 001C TIN &amp; TP'!$B$3:$B$10005&amp;'DMR 001C TIN &amp; TP'!$A$3:$A$10005),0),MATCH('Reg 85'!$O$11,'DMR 001C TIN &amp; TP'!$A$2:$M$2,0))),"")</f>
        <v/>
      </c>
      <c r="W85" s="6" t="str">
        <f t="array" ref="W85">_xlfn.IFNA((INDEX('DMR 001C TIN &amp; TP'!$A$3:$M$10005,MATCH(('Reg 85'!$I$6:$Q$6&amp;'Reg 85'!W$10&amp;'Reg 85'!$B85),('DMR 001C TIN &amp; TP'!$E$3:$E$10005&amp;'DMR 001C TIN &amp; TP'!$B$3:$B$10005&amp;'DMR 001C TIN &amp; TP'!$A$3:$A$10005),0),MATCH('Reg 85'!$O$11,'DMR 001C TIN &amp; TP'!$A$2:$M$2,0))),"")</f>
        <v/>
      </c>
      <c r="X85" s="5" t="str">
        <f t="shared" si="50"/>
        <v/>
      </c>
      <c r="Y85" s="6" t="str">
        <f t="array" ref="Y85">_xlfn.IFNA((INDEX('DMR 001C TIN &amp; TP'!$A$3:$M$10005,MATCH(('Reg 85'!$X$6&amp;'Reg 85'!$X$10&amp;'Reg 85'!$B85),('DMR 001C TIN &amp; TP'!$E$3:$E$10005&amp;'DMR 001C TIN &amp; TP'!$B$3:$B$10005&amp;'DMR 001C TIN &amp; TP'!$A$3:$A$10005),0),MATCH('Reg 85'!$Y$11,'DMR 001C TIN &amp; TP'!$A$2:$M$2,0))),"")</f>
        <v>0.06</v>
      </c>
      <c r="Z85" s="6">
        <f t="array" ref="Z85">_xlfn.IFNA((INDEX('DMR 001C TIN &amp; TP'!$A$3:$M$10005,MATCH(('Reg 85'!$X$6&amp;'Reg 85'!$X$10&amp;'Reg 85'!$B85),('DMR 001C TIN &amp; TP'!$E$3:$E$10005&amp;'DMR 001C TIN &amp; TP'!$B$3:$B$10005&amp;'DMR 001C TIN &amp; TP'!$A$3:$A$10005),0),MATCH('Reg 85'!$Z$11,'DMR 001C TIN &amp; TP'!$A$2:$M$2,0))),"")</f>
        <v>5.04</v>
      </c>
      <c r="AA85" s="53">
        <f t="shared" si="51"/>
        <v>5.04</v>
      </c>
      <c r="AB85" s="5" t="str">
        <f t="shared" si="52"/>
        <v/>
      </c>
      <c r="AC85" s="6" t="str">
        <f t="array" ref="AC85">_xlfn.IFNA((INDEX('DMR 001C TIN &amp; TP'!$A$3:$M$10005,MATCH(('Reg 85'!$X$6&amp;'Reg 85'!$AB$10&amp;'Reg 85'!$B85),('DMR 001C TIN &amp; TP'!$E$3:$E$10005&amp;'DMR 001C TIN &amp; TP'!$B$3:$B$10005&amp;'DMR 001C TIN &amp; TP'!$A$3:$A$10005),0),MATCH('Reg 85'!$AC$11,'DMR 001C TIN &amp; TP'!$A$2:$M$2,0))),"")</f>
        <v>0.06</v>
      </c>
      <c r="AD85" s="6">
        <f t="array" ref="AD85">_xlfn.IFNA((INDEX('DMR 001C TIN &amp; TP'!$A$3:$M$10005,MATCH(('Reg 85'!$X$6&amp;'Reg 85'!$AB$10&amp;'Reg 85'!$B85),('DMR 001C TIN &amp; TP'!$E$3:$E$10005&amp;'DMR 001C TIN &amp; TP'!$B$3:$B$10005&amp;'DMR 001C TIN &amp; TP'!$A$3:$A$10005),0),MATCH('Reg 85'!$AD$11,'DMR 001C TIN &amp; TP'!$A$2:$M$2,0))),"")</f>
        <v>5.66</v>
      </c>
      <c r="AE85" s="53">
        <f t="shared" si="53"/>
        <v>5.66</v>
      </c>
      <c r="AF85" s="7">
        <f t="shared" si="54"/>
        <v>5.3900577088121855</v>
      </c>
      <c r="AG85" s="6" t="str">
        <f t="array" ref="AG85">_xlfn.IFNA((INDEX('DMR 001C TIN &amp; TP'!$A$3:$M$10005,MATCH(('Reg 85'!$X$6&amp;'Reg 85'!AG$10&amp;'Reg 85'!$B85),('DMR 001C TIN &amp; TP'!$E$3:$E$10005&amp;'DMR 001C TIN &amp; TP'!$B$3:$B$10005&amp;'DMR 001C TIN &amp; TP'!$A$3:$A$10005),0),MATCH('Reg 85'!$AG$11,'DMR 001C TIN &amp; TP'!$A$2:$M$2,0))),"")</f>
        <v/>
      </c>
      <c r="AH85" s="6" t="str">
        <f t="array" ref="AH85">_xlfn.IFNA((INDEX('DMR 001C TIN &amp; TP'!$A$3:$M$10005,MATCH(('Reg 85'!$X$6&amp;'Reg 85'!AH$10&amp;'Reg 85'!$B85),('DMR 001C TIN &amp; TP'!$E$3:$E$10005&amp;'DMR 001C TIN &amp; TP'!$B$3:$B$10005&amp;'DMR 001C TIN &amp; TP'!$A$3:$A$10005),0),MATCH('Reg 85'!$AG$11,'DMR 001C TIN &amp; TP'!$A$2:$M$2,0))),"")</f>
        <v/>
      </c>
      <c r="AI85" s="6" t="str">
        <f t="array" ref="AI85">_xlfn.IFNA((INDEX('DMR 001C TIN &amp; TP'!$A$3:$M$10005,MATCH(('Reg 85'!$X$6&amp;'Reg 85'!AI$10&amp;'Reg 85'!$B85),('DMR 001C TIN &amp; TP'!$E$3:$E$10005&amp;'DMR 001C TIN &amp; TP'!$B$3:$B$10005&amp;'DMR 001C TIN &amp; TP'!$A$3:$A$10005),0),MATCH('Reg 85'!$AG$11,'DMR 001C TIN &amp; TP'!$A$2:$M$2,0))),"")</f>
        <v/>
      </c>
      <c r="AJ85" s="6" t="str">
        <f t="array" ref="AJ85">_xlfn.IFNA((INDEX('DMR 001C TIN &amp; TP'!$A$3:$M$10005,MATCH(('Reg 85'!$X$6&amp;'Reg 85'!AJ$10&amp;'Reg 85'!$B85),('DMR 001C TIN &amp; TP'!$E$3:$E$10005&amp;'DMR 001C TIN &amp; TP'!$B$3:$B$10005&amp;'DMR 001C TIN &amp; TP'!$A$3:$A$10005),0),MATCH('Reg 85'!$AG$11,'DMR 001C TIN &amp; TP'!$A$2:$M$2,0))),"")</f>
        <v/>
      </c>
      <c r="AK85" s="6" t="str">
        <f t="array" ref="AK85">_xlfn.IFNA((INDEX('DMR 001C TIN &amp; TP'!$A$3:$M$10005,MATCH(('Reg 85'!$X$6&amp;'Reg 85'!AK$10&amp;'Reg 85'!$B85),('DMR 001C TIN &amp; TP'!$E$3:$E$10005&amp;'DMR 001C TIN &amp; TP'!$B$3:$B$10005&amp;'DMR 001C TIN &amp; TP'!$A$3:$A$10005),0),MATCH('Reg 85'!$AG$11,'DMR 001C TIN &amp; TP'!$A$2:$M$2,0))),"")</f>
        <v/>
      </c>
      <c r="AL85" s="6" t="str">
        <f t="array" ref="AL85">_xlfn.IFNA((INDEX('DMR 001C TIN &amp; TP'!$A$3:$M$10005,MATCH(('Reg 85'!$X$6&amp;'Reg 85'!AL$10&amp;'Reg 85'!$B85),('DMR 001C TIN &amp; TP'!$E$3:$E$10005&amp;'DMR 001C TIN &amp; TP'!$B$3:$B$10005&amp;'DMR 001C TIN &amp; TP'!$A$3:$A$10005),0),MATCH('Reg 85'!$AG$11,'DMR 001C TIN &amp; TP'!$A$2:$M$2,0))),"")</f>
        <v/>
      </c>
      <c r="AM85" s="76"/>
      <c r="AN85" s="6"/>
      <c r="AO85" s="54">
        <f t="shared" si="41"/>
        <v>6.1705927730810588</v>
      </c>
      <c r="AP85" s="77" t="str">
        <f t="shared" si="39"/>
        <v/>
      </c>
      <c r="AQ85" s="47"/>
      <c r="AR85" s="6" t="str">
        <f t="array" ref="AR85">_xlfn.IFNA((INDEX('DMR 001C TIN &amp; TP'!$A$3:$M$10005,MATCH(('Reg 85'!$AQ$6&amp;'Reg 85'!$AQ$10&amp;'Reg 85'!$B85),('DMR 001C TIN &amp; TP'!$E$3:$E$10005&amp;'DMR 001C TIN &amp; TP'!$B$3:$B$10005&amp;'DMR 001C TIN &amp; TP'!$A$3:$A$10005),0),MATCH('Reg 85'!$AR$11,'DMR 001C TIN &amp; TP'!$A$2:$M$2,0))),"")</f>
        <v/>
      </c>
      <c r="AS85" s="6" t="str">
        <f t="array" ref="AS85">_xlfn.IFNA((INDEX('DMR 001C TIN &amp; TP'!$A$3:$M$10005,MATCH(('Reg 85'!$AQ$6&amp;'Reg 85'!$AQ$10&amp;'Reg 85'!$B85),('DMR 001C TIN &amp; TP'!$E$3:$E$10005&amp;'DMR 001C TIN &amp; TP'!$B$3:$B$10005&amp;'DMR 001C TIN &amp; TP'!$A$3:$A$10005),0),MATCH('Reg 85'!$AS$11,'DMR 001C TIN &amp; TP'!$A$2:$M$2,0))),"")</f>
        <v/>
      </c>
      <c r="AT85" s="53" t="str">
        <f t="shared" si="55"/>
        <v/>
      </c>
      <c r="AV85" s="6" t="str">
        <f t="array" ref="AV85">_xlfn.IFNA((INDEX('DMR 001C TIN &amp; TP'!$A$3:$M$10005,MATCH(('Reg 85'!$AQ$6&amp;'Reg 85'!$AU$10&amp;'Reg 85'!$B85),('DMR 001C TIN &amp; TP'!$E$3:$E$10005&amp;'DMR 001C TIN &amp; TP'!$B$3:$B$10005&amp;'DMR 001C TIN &amp; TP'!$A$3:$A$10005),0),MATCH('Reg 85'!$AV$11,'DMR 001C TIN &amp; TP'!$A$2:$M$2,0))),"")</f>
        <v/>
      </c>
      <c r="AW85" s="6" t="str">
        <f t="array" ref="AW85">_xlfn.IFNA((INDEX('DMR 001C TIN &amp; TP'!$A$3:$M$10005,MATCH(('Reg 85'!$AQ$6&amp;'Reg 85'!$AU$10&amp;'Reg 85'!$B85),('DMR 001C TIN &amp; TP'!$E$3:$E$10005&amp;'DMR 001C TIN &amp; TP'!$B$3:$B$10005&amp;'DMR 001C TIN &amp; TP'!$A$3:$A$10005),0),MATCH('Reg 85'!$AW$11,'DMR 001C TIN &amp; TP'!$A$2:$M$2,0))),"")</f>
        <v/>
      </c>
      <c r="AX85" s="53" t="str">
        <f t="shared" si="56"/>
        <v/>
      </c>
      <c r="AY85" s="55" t="str">
        <f t="shared" si="57"/>
        <v/>
      </c>
      <c r="AZ85" s="77" t="str">
        <f t="shared" si="40"/>
        <v/>
      </c>
      <c r="BA85" s="6" t="str">
        <f t="array" ref="BA85">_xlfn.IFNA((INDEX('DMR 001C TIN &amp; TP'!$A$3:$M$10005,MATCH(('Reg 85'!$AQ$6&amp;'Reg 85'!BA$10&amp;'Reg 85'!$B85),('DMR 001C TIN &amp; TP'!$E$3:$E$10005&amp;'DMR 001C TIN &amp; TP'!$B$3:$B$10005&amp;'DMR 001C TIN &amp; TP'!$A$3:$A$10005),0),MATCH('Reg 85'!$AG$11,'DMR 001C TIN &amp; TP'!$A$2:$M$2,0))),"")</f>
        <v/>
      </c>
      <c r="BB85" s="6" t="str">
        <f t="array" ref="BB85">_xlfn.IFNA((INDEX('DMR 001C TIN &amp; TP'!$A$3:$M$10005,MATCH(('Reg 85'!$AQ$6&amp;'Reg 85'!BB$10&amp;'Reg 85'!$B85),('DMR 001C TIN &amp; TP'!$E$3:$E$10005&amp;'DMR 001C TIN &amp; TP'!$B$3:$B$10005&amp;'DMR 001C TIN &amp; TP'!$A$3:$A$10005),0),MATCH('Reg 85'!$AG$11,'DMR 001C TIN &amp; TP'!$A$2:$M$2,0))),"")</f>
        <v/>
      </c>
      <c r="BC85" s="6" t="str">
        <f t="array" ref="BC85">_xlfn.IFNA((INDEX('DMR 001C TIN &amp; TP'!$A$3:$M$10005,MATCH(('Reg 85'!$AQ$6&amp;'Reg 85'!BC$10&amp;'Reg 85'!$B85),('DMR 001C TIN &amp; TP'!$E$3:$E$10005&amp;'DMR 001C TIN &amp; TP'!$B$3:$B$10005&amp;'DMR 001C TIN &amp; TP'!$A$3:$A$10005),0),MATCH('Reg 85'!$AG$11,'DMR 001C TIN &amp; TP'!$A$2:$M$2,0))),"")</f>
        <v/>
      </c>
      <c r="BD85" s="6" t="str">
        <f t="array" ref="BD85">_xlfn.IFNA((INDEX('DMR 001C TIN &amp; TP'!$A$3:$M$10005,MATCH(('Reg 85'!$AQ$6&amp;'Reg 85'!BD$10&amp;'Reg 85'!$B85),('DMR 001C TIN &amp; TP'!$E$3:$E$10005&amp;'DMR 001C TIN &amp; TP'!$B$3:$B$10005&amp;'DMR 001C TIN &amp; TP'!$A$3:$A$10005),0),MATCH('Reg 85'!$AG$11,'DMR 001C TIN &amp; TP'!$A$2:$M$2,0))),"")</f>
        <v/>
      </c>
      <c r="BE85" s="6" t="str">
        <f t="array" ref="BE85">_xlfn.IFNA((INDEX('DMR 001C TIN &amp; TP'!$A$3:$M$10005,MATCH(('Reg 85'!$AQ$6&amp;'Reg 85'!BE$10&amp;'Reg 85'!$B85),('DMR 001C TIN &amp; TP'!$E$3:$E$10005&amp;'DMR 001C TIN &amp; TP'!$B$3:$B$10005&amp;'DMR 001C TIN &amp; TP'!$A$3:$A$10005),0),MATCH('Reg 85'!$AG$11,'DMR 001C TIN &amp; TP'!$A$2:$M$2,0))),"")</f>
        <v/>
      </c>
      <c r="BF85" s="6" t="str">
        <f t="array" ref="BF85">_xlfn.IFNA((INDEX('DMR 001C TIN &amp; TP'!$A$3:$M$10005,MATCH(('Reg 85'!$AQ$6&amp;'Reg 85'!BF$10&amp;'Reg 85'!$B85),('DMR 001C TIN &amp; TP'!$E$3:$E$10005&amp;'DMR 001C TIN &amp; TP'!$B$3:$B$10005&amp;'DMR 001C TIN &amp; TP'!$A$3:$A$10005),0),MATCH('Reg 85'!$AG$11,'DMR 001C TIN &amp; TP'!$A$2:$M$2,0))),"")</f>
        <v/>
      </c>
    </row>
    <row r="86" spans="1:58">
      <c r="A86" s="3" t="str">
        <f t="shared" si="42"/>
        <v>Wed</v>
      </c>
      <c r="B86" s="96">
        <f t="shared" si="58"/>
        <v>43418</v>
      </c>
      <c r="C86" s="96">
        <f t="shared" si="43"/>
        <v>43434</v>
      </c>
      <c r="D86" s="96">
        <f t="shared" si="44"/>
        <v>43405</v>
      </c>
      <c r="E86" s="95">
        <f t="shared" si="45"/>
        <v>30</v>
      </c>
      <c r="F86" s="7">
        <f t="array" ref="F86">_xlfn.IFNA(INDEX('DMR Flows-Effluent'!$A$3:$F$9999,MATCH(($F$10&amp;$B86),('DMR Flows-Effluent'!$B$3:$B$9999&amp;'DMR Flows-Effluent'!$A$3:$A$9999),0),MATCH($F$8,'DMR Flows-Effluent'!$A$2:$F$2,0)),"")</f>
        <v>53.085999999999999</v>
      </c>
      <c r="G86" s="7">
        <f t="array" ref="G86">_xlfn.IFNA(INDEX('DMR Flows-Effluent'!$A$3:$F$9999,MATCH(($G$10&amp;$B86),('DMR Flows-Effluent'!$B$3:$B$9999&amp;'DMR Flows-Effluent'!$A$3:$A$9999),0),MATCH($F$8,'DMR Flows-Effluent'!$A$2:$F$2,0)),"")</f>
        <v>68.073499999999996</v>
      </c>
      <c r="H86" s="7">
        <f t="shared" si="46"/>
        <v>121.15949999999999</v>
      </c>
      <c r="I86" s="45" t="str">
        <f t="shared" si="47"/>
        <v/>
      </c>
      <c r="J86" s="6" t="str">
        <f t="array" ref="J86">_xlfn.IFNA((INDEX('DMR 001C TIN &amp; TP'!$A$3:$M$10005,MATCH(('Reg 85'!$I$6:$Q$6&amp;'Reg 85'!$I$10:$K$10&amp;'Reg 85'!$B86),('DMR 001C TIN &amp; TP'!$E$3:$E$10005&amp;'DMR 001C TIN &amp; TP'!$B$3:$B$10005&amp;'DMR 001C TIN &amp; TP'!$A$3:$A$10005),0),MATCH('Reg 85'!$J$11,'DMR 001C TIN &amp; TP'!$A$2:$M$2,0))),"")</f>
        <v>0.15</v>
      </c>
      <c r="K86" s="6">
        <f t="array" ref="K86">_xlfn.IFNA((INDEX('DMR 001C TIN &amp; TP'!$A$3:$M$10005,MATCH(('Reg 85'!$I$6:$Q$6&amp;'Reg 85'!$I$10:$K$10&amp;'Reg 85'!$B86),('DMR 001C TIN &amp; TP'!$E$3:$E$10005&amp;'DMR 001C TIN &amp; TP'!$B$3:$B$10005&amp;'DMR 001C TIN &amp; TP'!$A$3:$A$10005),0),MATCH('Reg 85'!$K$11,'DMR 001C TIN &amp; TP'!$A$2:$M$2,0))),"")</f>
        <v>0.93</v>
      </c>
      <c r="L86" s="53">
        <f t="shared" si="59"/>
        <v>0.93</v>
      </c>
      <c r="M86" s="5" t="str">
        <f t="shared" si="48"/>
        <v/>
      </c>
      <c r="N86" s="6" t="str">
        <f t="array" ref="N86">_xlfn.IFNA((INDEX('DMR 001C TIN &amp; TP'!$A$3:$M$10005,MATCH(('Reg 85'!$I$6:$Q$6&amp;'Reg 85'!$M$10&amp;'Reg 85'!$B86),('DMR 001C TIN &amp; TP'!$E$3:$E$10005&amp;'DMR 001C TIN &amp; TP'!$B$3:$B$10005&amp;'DMR 001C TIN &amp; TP'!$A$3:$A$10005),0),MATCH('Reg 85'!$N$11,'DMR 001C TIN &amp; TP'!$A$2:$M$2,0))),"")</f>
        <v>0.15</v>
      </c>
      <c r="O86" s="6">
        <f t="array" ref="O86">_xlfn.IFNA((INDEX('DMR 001C TIN &amp; TP'!$A$3:$M$10005,MATCH(('Reg 85'!$I$6:$Q$6&amp;'Reg 85'!$M$10&amp;'Reg 85'!$B86),('DMR 001C TIN &amp; TP'!$E$3:$E$10005&amp;'DMR 001C TIN &amp; TP'!$B$3:$B$10005&amp;'DMR 001C TIN &amp; TP'!$A$3:$A$10005),0),MATCH('Reg 85'!$O$11,'DMR 001C TIN &amp; TP'!$A$2:$M$2,0))),"")</f>
        <v>0.92</v>
      </c>
      <c r="P86" s="53">
        <f t="shared" si="49"/>
        <v>0.92</v>
      </c>
      <c r="Q86" s="73">
        <f t="array" ref="Q86">IFERROR(((L86*$F86)+(P86*$G86))/($H86),"")</f>
        <v>0.92438149711743622</v>
      </c>
      <c r="R86" s="6" t="str">
        <f t="array" ref="R86">_xlfn.IFNA((INDEX('DMR 001C TIN &amp; TP'!$A$3:$M$10005,MATCH(('Reg 85'!$I$6:$Q$6&amp;'Reg 85'!R$10&amp;'Reg 85'!$B86),('DMR 001C TIN &amp; TP'!$E$3:$E$10005&amp;'DMR 001C TIN &amp; TP'!$B$3:$B$10005&amp;'DMR 001C TIN &amp; TP'!$A$3:$A$10005),0),MATCH('Reg 85'!$O$11,'DMR 001C TIN &amp; TP'!$A$2:$M$2,0))),"")</f>
        <v/>
      </c>
      <c r="S86" s="6" t="str">
        <f t="array" ref="S86">_xlfn.IFNA((INDEX('DMR 001C TIN &amp; TP'!$A$3:$M$10005,MATCH(('Reg 85'!$I$6:$Q$6&amp;'Reg 85'!S$10&amp;'Reg 85'!$B86),('DMR 001C TIN &amp; TP'!$E$3:$E$10005&amp;'DMR 001C TIN &amp; TP'!$B$3:$B$10005&amp;'DMR 001C TIN &amp; TP'!$A$3:$A$10005),0),MATCH('Reg 85'!$O$11,'DMR 001C TIN &amp; TP'!$A$2:$M$2,0))),"")</f>
        <v/>
      </c>
      <c r="T86" s="6" t="str">
        <f t="array" ref="T86">_xlfn.IFNA((INDEX('DMR 001C TIN &amp; TP'!$A$3:$M$10005,MATCH(('Reg 85'!$I$6:$Q$6&amp;'Reg 85'!T$10&amp;'Reg 85'!$B86),('DMR 001C TIN &amp; TP'!$E$3:$E$10005&amp;'DMR 001C TIN &amp; TP'!$B$3:$B$10005&amp;'DMR 001C TIN &amp; TP'!$A$3:$A$10005),0),MATCH('Reg 85'!$O$11,'DMR 001C TIN &amp; TP'!$A$2:$M$2,0))),"")</f>
        <v/>
      </c>
      <c r="U86" s="6" t="str">
        <f t="array" ref="U86">_xlfn.IFNA((INDEX('DMR 001C TIN &amp; TP'!$A$3:$M$10005,MATCH(('Reg 85'!$I$6:$Q$6&amp;'Reg 85'!U$10&amp;'Reg 85'!$B86),('DMR 001C TIN &amp; TP'!$E$3:$E$10005&amp;'DMR 001C TIN &amp; TP'!$B$3:$B$10005&amp;'DMR 001C TIN &amp; TP'!$A$3:$A$10005),0),MATCH('Reg 85'!$O$11,'DMR 001C TIN &amp; TP'!$A$2:$M$2,0))),"")</f>
        <v/>
      </c>
      <c r="V86" s="6" t="str">
        <f t="array" ref="V86">_xlfn.IFNA((INDEX('DMR 001C TIN &amp; TP'!$A$3:$M$10005,MATCH(('Reg 85'!$I$6:$Q$6&amp;'Reg 85'!V$10&amp;'Reg 85'!$B86),('DMR 001C TIN &amp; TP'!$E$3:$E$10005&amp;'DMR 001C TIN &amp; TP'!$B$3:$B$10005&amp;'DMR 001C TIN &amp; TP'!$A$3:$A$10005),0),MATCH('Reg 85'!$O$11,'DMR 001C TIN &amp; TP'!$A$2:$M$2,0))),"")</f>
        <v/>
      </c>
      <c r="W86" s="6" t="str">
        <f t="array" ref="W86">_xlfn.IFNA((INDEX('DMR 001C TIN &amp; TP'!$A$3:$M$10005,MATCH(('Reg 85'!$I$6:$Q$6&amp;'Reg 85'!W$10&amp;'Reg 85'!$B86),('DMR 001C TIN &amp; TP'!$E$3:$E$10005&amp;'DMR 001C TIN &amp; TP'!$B$3:$B$10005&amp;'DMR 001C TIN &amp; TP'!$A$3:$A$10005),0),MATCH('Reg 85'!$O$11,'DMR 001C TIN &amp; TP'!$A$2:$M$2,0))),"")</f>
        <v/>
      </c>
      <c r="X86" s="5" t="str">
        <f t="shared" si="50"/>
        <v/>
      </c>
      <c r="Y86" s="6" t="str">
        <f t="array" ref="Y86">_xlfn.IFNA((INDEX('DMR 001C TIN &amp; TP'!$A$3:$M$10005,MATCH(('Reg 85'!$X$6&amp;'Reg 85'!$X$10&amp;'Reg 85'!$B86),('DMR 001C TIN &amp; TP'!$E$3:$E$10005&amp;'DMR 001C TIN &amp; TP'!$B$3:$B$10005&amp;'DMR 001C TIN &amp; TP'!$A$3:$A$10005),0),MATCH('Reg 85'!$Y$11,'DMR 001C TIN &amp; TP'!$A$2:$M$2,0))),"")</f>
        <v>0.06</v>
      </c>
      <c r="Z86" s="6">
        <f t="array" ref="Z86">_xlfn.IFNA((INDEX('DMR 001C TIN &amp; TP'!$A$3:$M$10005,MATCH(('Reg 85'!$X$6&amp;'Reg 85'!$X$10&amp;'Reg 85'!$B86),('DMR 001C TIN &amp; TP'!$E$3:$E$10005&amp;'DMR 001C TIN &amp; TP'!$B$3:$B$10005&amp;'DMR 001C TIN &amp; TP'!$A$3:$A$10005),0),MATCH('Reg 85'!$Z$11,'DMR 001C TIN &amp; TP'!$A$2:$M$2,0))),"")</f>
        <v>5.27</v>
      </c>
      <c r="AA86" s="53">
        <f t="shared" si="51"/>
        <v>5.27</v>
      </c>
      <c r="AB86" s="5" t="str">
        <f t="shared" si="52"/>
        <v/>
      </c>
      <c r="AC86" s="6" t="str">
        <f t="array" ref="AC86">_xlfn.IFNA((INDEX('DMR 001C TIN &amp; TP'!$A$3:$M$10005,MATCH(('Reg 85'!$X$6&amp;'Reg 85'!$AB$10&amp;'Reg 85'!$B86),('DMR 001C TIN &amp; TP'!$E$3:$E$10005&amp;'DMR 001C TIN &amp; TP'!$B$3:$B$10005&amp;'DMR 001C TIN &amp; TP'!$A$3:$A$10005),0),MATCH('Reg 85'!$AC$11,'DMR 001C TIN &amp; TP'!$A$2:$M$2,0))),"")</f>
        <v>0.06</v>
      </c>
      <c r="AD86" s="6">
        <f t="array" ref="AD86">_xlfn.IFNA((INDEX('DMR 001C TIN &amp; TP'!$A$3:$M$10005,MATCH(('Reg 85'!$X$6&amp;'Reg 85'!$AB$10&amp;'Reg 85'!$B86),('DMR 001C TIN &amp; TP'!$E$3:$E$10005&amp;'DMR 001C TIN &amp; TP'!$B$3:$B$10005&amp;'DMR 001C TIN &amp; TP'!$A$3:$A$10005),0),MATCH('Reg 85'!$AD$11,'DMR 001C TIN &amp; TP'!$A$2:$M$2,0))),"")</f>
        <v>6.38</v>
      </c>
      <c r="AE86" s="53">
        <f t="shared" si="53"/>
        <v>6.38</v>
      </c>
      <c r="AF86" s="7">
        <f t="shared" si="54"/>
        <v>5.8936538199645918</v>
      </c>
      <c r="AG86" s="6" t="str">
        <f t="array" ref="AG86">_xlfn.IFNA((INDEX('DMR 001C TIN &amp; TP'!$A$3:$M$10005,MATCH(('Reg 85'!$X$6&amp;'Reg 85'!AG$10&amp;'Reg 85'!$B86),('DMR 001C TIN &amp; TP'!$E$3:$E$10005&amp;'DMR 001C TIN &amp; TP'!$B$3:$B$10005&amp;'DMR 001C TIN &amp; TP'!$A$3:$A$10005),0),MATCH('Reg 85'!$AG$11,'DMR 001C TIN &amp; TP'!$A$2:$M$2,0))),"")</f>
        <v/>
      </c>
      <c r="AH86" s="6" t="str">
        <f t="array" ref="AH86">_xlfn.IFNA((INDEX('DMR 001C TIN &amp; TP'!$A$3:$M$10005,MATCH(('Reg 85'!$X$6&amp;'Reg 85'!AH$10&amp;'Reg 85'!$B86),('DMR 001C TIN &amp; TP'!$E$3:$E$10005&amp;'DMR 001C TIN &amp; TP'!$B$3:$B$10005&amp;'DMR 001C TIN &amp; TP'!$A$3:$A$10005),0),MATCH('Reg 85'!$AG$11,'DMR 001C TIN &amp; TP'!$A$2:$M$2,0))),"")</f>
        <v/>
      </c>
      <c r="AI86" s="6" t="str">
        <f t="array" ref="AI86">_xlfn.IFNA((INDEX('DMR 001C TIN &amp; TP'!$A$3:$M$10005,MATCH(('Reg 85'!$X$6&amp;'Reg 85'!AI$10&amp;'Reg 85'!$B86),('DMR 001C TIN &amp; TP'!$E$3:$E$10005&amp;'DMR 001C TIN &amp; TP'!$B$3:$B$10005&amp;'DMR 001C TIN &amp; TP'!$A$3:$A$10005),0),MATCH('Reg 85'!$AG$11,'DMR 001C TIN &amp; TP'!$A$2:$M$2,0))),"")</f>
        <v/>
      </c>
      <c r="AJ86" s="6" t="str">
        <f t="array" ref="AJ86">_xlfn.IFNA((INDEX('DMR 001C TIN &amp; TP'!$A$3:$M$10005,MATCH(('Reg 85'!$X$6&amp;'Reg 85'!AJ$10&amp;'Reg 85'!$B86),('DMR 001C TIN &amp; TP'!$E$3:$E$10005&amp;'DMR 001C TIN &amp; TP'!$B$3:$B$10005&amp;'DMR 001C TIN &amp; TP'!$A$3:$A$10005),0),MATCH('Reg 85'!$AG$11,'DMR 001C TIN &amp; TP'!$A$2:$M$2,0))),"")</f>
        <v/>
      </c>
      <c r="AK86" s="6" t="str">
        <f t="array" ref="AK86">_xlfn.IFNA((INDEX('DMR 001C TIN &amp; TP'!$A$3:$M$10005,MATCH(('Reg 85'!$X$6&amp;'Reg 85'!AK$10&amp;'Reg 85'!$B86),('DMR 001C TIN &amp; TP'!$E$3:$E$10005&amp;'DMR 001C TIN &amp; TP'!$B$3:$B$10005&amp;'DMR 001C TIN &amp; TP'!$A$3:$A$10005),0),MATCH('Reg 85'!$AG$11,'DMR 001C TIN &amp; TP'!$A$2:$M$2,0))),"")</f>
        <v/>
      </c>
      <c r="AL86" s="6" t="str">
        <f t="array" ref="AL86">_xlfn.IFNA((INDEX('DMR 001C TIN &amp; TP'!$A$3:$M$10005,MATCH(('Reg 85'!$X$6&amp;'Reg 85'!AL$10&amp;'Reg 85'!$B86),('DMR 001C TIN &amp; TP'!$E$3:$E$10005&amp;'DMR 001C TIN &amp; TP'!$B$3:$B$10005&amp;'DMR 001C TIN &amp; TP'!$A$3:$A$10005),0),MATCH('Reg 85'!$AG$11,'DMR 001C TIN &amp; TP'!$A$2:$M$2,0))),"")</f>
        <v/>
      </c>
      <c r="AM86" s="76"/>
      <c r="AN86" s="6"/>
      <c r="AO86" s="54">
        <f t="shared" si="41"/>
        <v>6.8180353170820283</v>
      </c>
      <c r="AP86" s="77" t="str">
        <f t="shared" si="39"/>
        <v/>
      </c>
      <c r="AQ86" s="47"/>
      <c r="AR86" s="6" t="str">
        <f t="array" ref="AR86">_xlfn.IFNA((INDEX('DMR 001C TIN &amp; TP'!$A$3:$M$10005,MATCH(('Reg 85'!$AQ$6&amp;'Reg 85'!$AQ$10&amp;'Reg 85'!$B86),('DMR 001C TIN &amp; TP'!$E$3:$E$10005&amp;'DMR 001C TIN &amp; TP'!$B$3:$B$10005&amp;'DMR 001C TIN &amp; TP'!$A$3:$A$10005),0),MATCH('Reg 85'!$AR$11,'DMR 001C TIN &amp; TP'!$A$2:$M$2,0))),"")</f>
        <v/>
      </c>
      <c r="AS86" s="6" t="str">
        <f t="array" ref="AS86">_xlfn.IFNA((INDEX('DMR 001C TIN &amp; TP'!$A$3:$M$10005,MATCH(('Reg 85'!$AQ$6&amp;'Reg 85'!$AQ$10&amp;'Reg 85'!$B86),('DMR 001C TIN &amp; TP'!$E$3:$E$10005&amp;'DMR 001C TIN &amp; TP'!$B$3:$B$10005&amp;'DMR 001C TIN &amp; TP'!$A$3:$A$10005),0),MATCH('Reg 85'!$AS$11,'DMR 001C TIN &amp; TP'!$A$2:$M$2,0))),"")</f>
        <v/>
      </c>
      <c r="AT86" s="53" t="str">
        <f t="shared" si="55"/>
        <v/>
      </c>
      <c r="AV86" s="6" t="str">
        <f t="array" ref="AV86">_xlfn.IFNA((INDEX('DMR 001C TIN &amp; TP'!$A$3:$M$10005,MATCH(('Reg 85'!$AQ$6&amp;'Reg 85'!$AU$10&amp;'Reg 85'!$B86),('DMR 001C TIN &amp; TP'!$E$3:$E$10005&amp;'DMR 001C TIN &amp; TP'!$B$3:$B$10005&amp;'DMR 001C TIN &amp; TP'!$A$3:$A$10005),0),MATCH('Reg 85'!$AV$11,'DMR 001C TIN &amp; TP'!$A$2:$M$2,0))),"")</f>
        <v/>
      </c>
      <c r="AW86" s="6" t="str">
        <f t="array" ref="AW86">_xlfn.IFNA((INDEX('DMR 001C TIN &amp; TP'!$A$3:$M$10005,MATCH(('Reg 85'!$AQ$6&amp;'Reg 85'!$AU$10&amp;'Reg 85'!$B86),('DMR 001C TIN &amp; TP'!$E$3:$E$10005&amp;'DMR 001C TIN &amp; TP'!$B$3:$B$10005&amp;'DMR 001C TIN &amp; TP'!$A$3:$A$10005),0),MATCH('Reg 85'!$AW$11,'DMR 001C TIN &amp; TP'!$A$2:$M$2,0))),"")</f>
        <v/>
      </c>
      <c r="AX86" s="53" t="str">
        <f t="shared" si="56"/>
        <v/>
      </c>
      <c r="AY86" s="55" t="str">
        <f t="shared" si="57"/>
        <v/>
      </c>
      <c r="AZ86" s="77" t="str">
        <f t="shared" si="40"/>
        <v/>
      </c>
      <c r="BA86" s="6" t="str">
        <f t="array" ref="BA86">_xlfn.IFNA((INDEX('DMR 001C TIN &amp; TP'!$A$3:$M$10005,MATCH(('Reg 85'!$AQ$6&amp;'Reg 85'!BA$10&amp;'Reg 85'!$B86),('DMR 001C TIN &amp; TP'!$E$3:$E$10005&amp;'DMR 001C TIN &amp; TP'!$B$3:$B$10005&amp;'DMR 001C TIN &amp; TP'!$A$3:$A$10005),0),MATCH('Reg 85'!$AG$11,'DMR 001C TIN &amp; TP'!$A$2:$M$2,0))),"")</f>
        <v/>
      </c>
      <c r="BB86" s="6" t="str">
        <f t="array" ref="BB86">_xlfn.IFNA((INDEX('DMR 001C TIN &amp; TP'!$A$3:$M$10005,MATCH(('Reg 85'!$AQ$6&amp;'Reg 85'!BB$10&amp;'Reg 85'!$B86),('DMR 001C TIN &amp; TP'!$E$3:$E$10005&amp;'DMR 001C TIN &amp; TP'!$B$3:$B$10005&amp;'DMR 001C TIN &amp; TP'!$A$3:$A$10005),0),MATCH('Reg 85'!$AG$11,'DMR 001C TIN &amp; TP'!$A$2:$M$2,0))),"")</f>
        <v/>
      </c>
      <c r="BC86" s="6" t="str">
        <f t="array" ref="BC86">_xlfn.IFNA((INDEX('DMR 001C TIN &amp; TP'!$A$3:$M$10005,MATCH(('Reg 85'!$AQ$6&amp;'Reg 85'!BC$10&amp;'Reg 85'!$B86),('DMR 001C TIN &amp; TP'!$E$3:$E$10005&amp;'DMR 001C TIN &amp; TP'!$B$3:$B$10005&amp;'DMR 001C TIN &amp; TP'!$A$3:$A$10005),0),MATCH('Reg 85'!$AG$11,'DMR 001C TIN &amp; TP'!$A$2:$M$2,0))),"")</f>
        <v/>
      </c>
      <c r="BD86" s="6" t="str">
        <f t="array" ref="BD86">_xlfn.IFNA((INDEX('DMR 001C TIN &amp; TP'!$A$3:$M$10005,MATCH(('Reg 85'!$AQ$6&amp;'Reg 85'!BD$10&amp;'Reg 85'!$B86),('DMR 001C TIN &amp; TP'!$E$3:$E$10005&amp;'DMR 001C TIN &amp; TP'!$B$3:$B$10005&amp;'DMR 001C TIN &amp; TP'!$A$3:$A$10005),0),MATCH('Reg 85'!$AG$11,'DMR 001C TIN &amp; TP'!$A$2:$M$2,0))),"")</f>
        <v/>
      </c>
      <c r="BE86" s="6" t="str">
        <f t="array" ref="BE86">_xlfn.IFNA((INDEX('DMR 001C TIN &amp; TP'!$A$3:$M$10005,MATCH(('Reg 85'!$AQ$6&amp;'Reg 85'!BE$10&amp;'Reg 85'!$B86),('DMR 001C TIN &amp; TP'!$E$3:$E$10005&amp;'DMR 001C TIN &amp; TP'!$B$3:$B$10005&amp;'DMR 001C TIN &amp; TP'!$A$3:$A$10005),0),MATCH('Reg 85'!$AG$11,'DMR 001C TIN &amp; TP'!$A$2:$M$2,0))),"")</f>
        <v/>
      </c>
      <c r="BF86" s="6" t="str">
        <f t="array" ref="BF86">_xlfn.IFNA((INDEX('DMR 001C TIN &amp; TP'!$A$3:$M$10005,MATCH(('Reg 85'!$AQ$6&amp;'Reg 85'!BF$10&amp;'Reg 85'!$B86),('DMR 001C TIN &amp; TP'!$E$3:$E$10005&amp;'DMR 001C TIN &amp; TP'!$B$3:$B$10005&amp;'DMR 001C TIN &amp; TP'!$A$3:$A$10005),0),MATCH('Reg 85'!$AG$11,'DMR 001C TIN &amp; TP'!$A$2:$M$2,0))),"")</f>
        <v/>
      </c>
    </row>
    <row r="87" spans="1:58">
      <c r="A87" s="3" t="str">
        <f t="shared" si="42"/>
        <v>Thu</v>
      </c>
      <c r="B87" s="96">
        <f t="shared" si="58"/>
        <v>43419</v>
      </c>
      <c r="C87" s="96">
        <f t="shared" si="43"/>
        <v>43434</v>
      </c>
      <c r="D87" s="96">
        <f t="shared" si="44"/>
        <v>43405</v>
      </c>
      <c r="E87" s="95">
        <f t="shared" si="45"/>
        <v>30</v>
      </c>
      <c r="F87" s="7">
        <f t="array" ref="F87">_xlfn.IFNA(INDEX('DMR Flows-Effluent'!$A$3:$F$9999,MATCH(($F$10&amp;$B87),('DMR Flows-Effluent'!$B$3:$B$9999&amp;'DMR Flows-Effluent'!$A$3:$A$9999),0),MATCH($F$8,'DMR Flows-Effluent'!$A$2:$F$2,0)),"")</f>
        <v>40.917999999999999</v>
      </c>
      <c r="G87" s="7">
        <f t="array" ref="G87">_xlfn.IFNA(INDEX('DMR Flows-Effluent'!$A$3:$F$9999,MATCH(($G$10&amp;$B87),('DMR Flows-Effluent'!$B$3:$B$9999&amp;'DMR Flows-Effluent'!$A$3:$A$9999),0),MATCH($F$8,'DMR Flows-Effluent'!$A$2:$F$2,0)),"")</f>
        <v>77.760300000000001</v>
      </c>
      <c r="H87" s="7">
        <f t="shared" si="46"/>
        <v>118.67830000000001</v>
      </c>
      <c r="I87" s="45" t="str">
        <f t="shared" si="47"/>
        <v/>
      </c>
      <c r="J87" s="6" t="str">
        <f t="array" ref="J87">_xlfn.IFNA((INDEX('DMR 001C TIN &amp; TP'!$A$3:$M$10005,MATCH(('Reg 85'!$I$6:$Q$6&amp;'Reg 85'!$I$10:$K$10&amp;'Reg 85'!$B87),('DMR 001C TIN &amp; TP'!$E$3:$E$10005&amp;'DMR 001C TIN &amp; TP'!$B$3:$B$10005&amp;'DMR 001C TIN &amp; TP'!$A$3:$A$10005),0),MATCH('Reg 85'!$J$11,'DMR 001C TIN &amp; TP'!$A$2:$M$2,0))),"")</f>
        <v/>
      </c>
      <c r="K87" s="6" t="str">
        <f t="array" ref="K87">_xlfn.IFNA((INDEX('DMR 001C TIN &amp; TP'!$A$3:$M$10005,MATCH(('Reg 85'!$I$6:$Q$6&amp;'Reg 85'!$I$10:$K$10&amp;'Reg 85'!$B87),('DMR 001C TIN &amp; TP'!$E$3:$E$10005&amp;'DMR 001C TIN &amp; TP'!$B$3:$B$10005&amp;'DMR 001C TIN &amp; TP'!$A$3:$A$10005),0),MATCH('Reg 85'!$K$11,'DMR 001C TIN &amp; TP'!$A$2:$M$2,0))),"")</f>
        <v/>
      </c>
      <c r="L87" s="53" t="str">
        <f t="shared" si="59"/>
        <v/>
      </c>
      <c r="M87" s="5" t="str">
        <f t="shared" si="48"/>
        <v/>
      </c>
      <c r="N87" s="6" t="str">
        <f t="array" ref="N87">_xlfn.IFNA((INDEX('DMR 001C TIN &amp; TP'!$A$3:$M$10005,MATCH(('Reg 85'!$I$6:$Q$6&amp;'Reg 85'!$M$10&amp;'Reg 85'!$B87),('DMR 001C TIN &amp; TP'!$E$3:$E$10005&amp;'DMR 001C TIN &amp; TP'!$B$3:$B$10005&amp;'DMR 001C TIN &amp; TP'!$A$3:$A$10005),0),MATCH('Reg 85'!$N$11,'DMR 001C TIN &amp; TP'!$A$2:$M$2,0))),"")</f>
        <v/>
      </c>
      <c r="O87" s="6" t="str">
        <f t="array" ref="O87">_xlfn.IFNA((INDEX('DMR 001C TIN &amp; TP'!$A$3:$M$10005,MATCH(('Reg 85'!$I$6:$Q$6&amp;'Reg 85'!$M$10&amp;'Reg 85'!$B87),('DMR 001C TIN &amp; TP'!$E$3:$E$10005&amp;'DMR 001C TIN &amp; TP'!$B$3:$B$10005&amp;'DMR 001C TIN &amp; TP'!$A$3:$A$10005),0),MATCH('Reg 85'!$O$11,'DMR 001C TIN &amp; TP'!$A$2:$M$2,0))),"")</f>
        <v/>
      </c>
      <c r="P87" s="53" t="str">
        <f t="shared" si="49"/>
        <v/>
      </c>
      <c r="Q87" s="73" t="str">
        <f t="array" ref="Q87">IFERROR(((L87*$F87)+(P87*$G87))/($H87),"")</f>
        <v/>
      </c>
      <c r="R87" s="6" t="str">
        <f t="array" ref="R87">_xlfn.IFNA((INDEX('DMR 001C TIN &amp; TP'!$A$3:$M$10005,MATCH(('Reg 85'!$I$6:$Q$6&amp;'Reg 85'!R$10&amp;'Reg 85'!$B87),('DMR 001C TIN &amp; TP'!$E$3:$E$10005&amp;'DMR 001C TIN &amp; TP'!$B$3:$B$10005&amp;'DMR 001C TIN &amp; TP'!$A$3:$A$10005),0),MATCH('Reg 85'!$O$11,'DMR 001C TIN &amp; TP'!$A$2:$M$2,0))),"")</f>
        <v/>
      </c>
      <c r="S87" s="6" t="str">
        <f t="array" ref="S87">_xlfn.IFNA((INDEX('DMR 001C TIN &amp; TP'!$A$3:$M$10005,MATCH(('Reg 85'!$I$6:$Q$6&amp;'Reg 85'!S$10&amp;'Reg 85'!$B87),('DMR 001C TIN &amp; TP'!$E$3:$E$10005&amp;'DMR 001C TIN &amp; TP'!$B$3:$B$10005&amp;'DMR 001C TIN &amp; TP'!$A$3:$A$10005),0),MATCH('Reg 85'!$O$11,'DMR 001C TIN &amp; TP'!$A$2:$M$2,0))),"")</f>
        <v/>
      </c>
      <c r="T87" s="6" t="str">
        <f t="array" ref="T87">_xlfn.IFNA((INDEX('DMR 001C TIN &amp; TP'!$A$3:$M$10005,MATCH(('Reg 85'!$I$6:$Q$6&amp;'Reg 85'!T$10&amp;'Reg 85'!$B87),('DMR 001C TIN &amp; TP'!$E$3:$E$10005&amp;'DMR 001C TIN &amp; TP'!$B$3:$B$10005&amp;'DMR 001C TIN &amp; TP'!$A$3:$A$10005),0),MATCH('Reg 85'!$O$11,'DMR 001C TIN &amp; TP'!$A$2:$M$2,0))),"")</f>
        <v/>
      </c>
      <c r="U87" s="6" t="str">
        <f t="array" ref="U87">_xlfn.IFNA((INDEX('DMR 001C TIN &amp; TP'!$A$3:$M$10005,MATCH(('Reg 85'!$I$6:$Q$6&amp;'Reg 85'!U$10&amp;'Reg 85'!$B87),('DMR 001C TIN &amp; TP'!$E$3:$E$10005&amp;'DMR 001C TIN &amp; TP'!$B$3:$B$10005&amp;'DMR 001C TIN &amp; TP'!$A$3:$A$10005),0),MATCH('Reg 85'!$O$11,'DMR 001C TIN &amp; TP'!$A$2:$M$2,0))),"")</f>
        <v/>
      </c>
      <c r="V87" s="6" t="str">
        <f t="array" ref="V87">_xlfn.IFNA((INDEX('DMR 001C TIN &amp; TP'!$A$3:$M$10005,MATCH(('Reg 85'!$I$6:$Q$6&amp;'Reg 85'!V$10&amp;'Reg 85'!$B87),('DMR 001C TIN &amp; TP'!$E$3:$E$10005&amp;'DMR 001C TIN &amp; TP'!$B$3:$B$10005&amp;'DMR 001C TIN &amp; TP'!$A$3:$A$10005),0),MATCH('Reg 85'!$O$11,'DMR 001C TIN &amp; TP'!$A$2:$M$2,0))),"")</f>
        <v/>
      </c>
      <c r="W87" s="6" t="str">
        <f t="array" ref="W87">_xlfn.IFNA((INDEX('DMR 001C TIN &amp; TP'!$A$3:$M$10005,MATCH(('Reg 85'!$I$6:$Q$6&amp;'Reg 85'!W$10&amp;'Reg 85'!$B87),('DMR 001C TIN &amp; TP'!$E$3:$E$10005&amp;'DMR 001C TIN &amp; TP'!$B$3:$B$10005&amp;'DMR 001C TIN &amp; TP'!$A$3:$A$10005),0),MATCH('Reg 85'!$O$11,'DMR 001C TIN &amp; TP'!$A$2:$M$2,0))),"")</f>
        <v/>
      </c>
      <c r="X87" s="5" t="str">
        <f t="shared" si="50"/>
        <v/>
      </c>
      <c r="Y87" s="6" t="str">
        <f t="array" ref="Y87">_xlfn.IFNA((INDEX('DMR 001C TIN &amp; TP'!$A$3:$M$10005,MATCH(('Reg 85'!$X$6&amp;'Reg 85'!$X$10&amp;'Reg 85'!$B87),('DMR 001C TIN &amp; TP'!$E$3:$E$10005&amp;'DMR 001C TIN &amp; TP'!$B$3:$B$10005&amp;'DMR 001C TIN &amp; TP'!$A$3:$A$10005),0),MATCH('Reg 85'!$Y$11,'DMR 001C TIN &amp; TP'!$A$2:$M$2,0))),"")</f>
        <v/>
      </c>
      <c r="Z87" s="6" t="str">
        <f t="array" ref="Z87">_xlfn.IFNA((INDEX('DMR 001C TIN &amp; TP'!$A$3:$M$10005,MATCH(('Reg 85'!$X$6&amp;'Reg 85'!$X$10&amp;'Reg 85'!$B87),('DMR 001C TIN &amp; TP'!$E$3:$E$10005&amp;'DMR 001C TIN &amp; TP'!$B$3:$B$10005&amp;'DMR 001C TIN &amp; TP'!$A$3:$A$10005),0),MATCH('Reg 85'!$Z$11,'DMR 001C TIN &amp; TP'!$A$2:$M$2,0))),"")</f>
        <v/>
      </c>
      <c r="AA87" s="53" t="str">
        <f t="shared" si="51"/>
        <v/>
      </c>
      <c r="AB87" s="5" t="str">
        <f t="shared" si="52"/>
        <v/>
      </c>
      <c r="AC87" s="6" t="str">
        <f t="array" ref="AC87">_xlfn.IFNA((INDEX('DMR 001C TIN &amp; TP'!$A$3:$M$10005,MATCH(('Reg 85'!$X$6&amp;'Reg 85'!$AB$10&amp;'Reg 85'!$B87),('DMR 001C TIN &amp; TP'!$E$3:$E$10005&amp;'DMR 001C TIN &amp; TP'!$B$3:$B$10005&amp;'DMR 001C TIN &amp; TP'!$A$3:$A$10005),0),MATCH('Reg 85'!$AC$11,'DMR 001C TIN &amp; TP'!$A$2:$M$2,0))),"")</f>
        <v/>
      </c>
      <c r="AD87" s="6" t="str">
        <f t="array" ref="AD87">_xlfn.IFNA((INDEX('DMR 001C TIN &amp; TP'!$A$3:$M$10005,MATCH(('Reg 85'!$X$6&amp;'Reg 85'!$AB$10&amp;'Reg 85'!$B87),('DMR 001C TIN &amp; TP'!$E$3:$E$10005&amp;'DMR 001C TIN &amp; TP'!$B$3:$B$10005&amp;'DMR 001C TIN &amp; TP'!$A$3:$A$10005),0),MATCH('Reg 85'!$AD$11,'DMR 001C TIN &amp; TP'!$A$2:$M$2,0))),"")</f>
        <v/>
      </c>
      <c r="AE87" s="53" t="str">
        <f t="shared" si="53"/>
        <v/>
      </c>
      <c r="AF87" s="7" t="str">
        <f t="shared" si="54"/>
        <v/>
      </c>
      <c r="AG87" s="6" t="str">
        <f t="array" ref="AG87">_xlfn.IFNA((INDEX('DMR 001C TIN &amp; TP'!$A$3:$M$10005,MATCH(('Reg 85'!$X$6&amp;'Reg 85'!AG$10&amp;'Reg 85'!$B87),('DMR 001C TIN &amp; TP'!$E$3:$E$10005&amp;'DMR 001C TIN &amp; TP'!$B$3:$B$10005&amp;'DMR 001C TIN &amp; TP'!$A$3:$A$10005),0),MATCH('Reg 85'!$AG$11,'DMR 001C TIN &amp; TP'!$A$2:$M$2,0))),"")</f>
        <v/>
      </c>
      <c r="AH87" s="6" t="str">
        <f t="array" ref="AH87">_xlfn.IFNA((INDEX('DMR 001C TIN &amp; TP'!$A$3:$M$10005,MATCH(('Reg 85'!$X$6&amp;'Reg 85'!AH$10&amp;'Reg 85'!$B87),('DMR 001C TIN &amp; TP'!$E$3:$E$10005&amp;'DMR 001C TIN &amp; TP'!$B$3:$B$10005&amp;'DMR 001C TIN &amp; TP'!$A$3:$A$10005),0),MATCH('Reg 85'!$AG$11,'DMR 001C TIN &amp; TP'!$A$2:$M$2,0))),"")</f>
        <v/>
      </c>
      <c r="AI87" s="6" t="str">
        <f t="array" ref="AI87">_xlfn.IFNA((INDEX('DMR 001C TIN &amp; TP'!$A$3:$M$10005,MATCH(('Reg 85'!$X$6&amp;'Reg 85'!AI$10&amp;'Reg 85'!$B87),('DMR 001C TIN &amp; TP'!$E$3:$E$10005&amp;'DMR 001C TIN &amp; TP'!$B$3:$B$10005&amp;'DMR 001C TIN &amp; TP'!$A$3:$A$10005),0),MATCH('Reg 85'!$AG$11,'DMR 001C TIN &amp; TP'!$A$2:$M$2,0))),"")</f>
        <v/>
      </c>
      <c r="AJ87" s="6" t="str">
        <f t="array" ref="AJ87">_xlfn.IFNA((INDEX('DMR 001C TIN &amp; TP'!$A$3:$M$10005,MATCH(('Reg 85'!$X$6&amp;'Reg 85'!AJ$10&amp;'Reg 85'!$B87),('DMR 001C TIN &amp; TP'!$E$3:$E$10005&amp;'DMR 001C TIN &amp; TP'!$B$3:$B$10005&amp;'DMR 001C TIN &amp; TP'!$A$3:$A$10005),0),MATCH('Reg 85'!$AG$11,'DMR 001C TIN &amp; TP'!$A$2:$M$2,0))),"")</f>
        <v/>
      </c>
      <c r="AK87" s="6" t="str">
        <f t="array" ref="AK87">_xlfn.IFNA((INDEX('DMR 001C TIN &amp; TP'!$A$3:$M$10005,MATCH(('Reg 85'!$X$6&amp;'Reg 85'!AK$10&amp;'Reg 85'!$B87),('DMR 001C TIN &amp; TP'!$E$3:$E$10005&amp;'DMR 001C TIN &amp; TP'!$B$3:$B$10005&amp;'DMR 001C TIN &amp; TP'!$A$3:$A$10005),0),MATCH('Reg 85'!$AG$11,'DMR 001C TIN &amp; TP'!$A$2:$M$2,0))),"")</f>
        <v/>
      </c>
      <c r="AL87" s="6" t="str">
        <f t="array" ref="AL87">_xlfn.IFNA((INDEX('DMR 001C TIN &amp; TP'!$A$3:$M$10005,MATCH(('Reg 85'!$X$6&amp;'Reg 85'!AL$10&amp;'Reg 85'!$B87),('DMR 001C TIN &amp; TP'!$E$3:$E$10005&amp;'DMR 001C TIN &amp; TP'!$B$3:$B$10005&amp;'DMR 001C TIN &amp; TP'!$A$3:$A$10005),0),MATCH('Reg 85'!$AG$11,'DMR 001C TIN &amp; TP'!$A$2:$M$2,0))),"")</f>
        <v/>
      </c>
      <c r="AM87" s="76"/>
      <c r="AN87" s="6"/>
      <c r="AO87" s="54" t="str">
        <f t="shared" si="41"/>
        <v/>
      </c>
      <c r="AP87" s="77" t="str">
        <f t="shared" si="39"/>
        <v/>
      </c>
      <c r="AQ87" s="47"/>
      <c r="AR87" s="6" t="str">
        <f t="array" ref="AR87">_xlfn.IFNA((INDEX('DMR 001C TIN &amp; TP'!$A$3:$M$10005,MATCH(('Reg 85'!$AQ$6&amp;'Reg 85'!$AQ$10&amp;'Reg 85'!$B87),('DMR 001C TIN &amp; TP'!$E$3:$E$10005&amp;'DMR 001C TIN &amp; TP'!$B$3:$B$10005&amp;'DMR 001C TIN &amp; TP'!$A$3:$A$10005),0),MATCH('Reg 85'!$AR$11,'DMR 001C TIN &amp; TP'!$A$2:$M$2,0))),"")</f>
        <v>0.03</v>
      </c>
      <c r="AS87" s="6">
        <f t="array" ref="AS87">_xlfn.IFNA((INDEX('DMR 001C TIN &amp; TP'!$A$3:$M$10005,MATCH(('Reg 85'!$AQ$6&amp;'Reg 85'!$AQ$10&amp;'Reg 85'!$B87),('DMR 001C TIN &amp; TP'!$E$3:$E$10005&amp;'DMR 001C TIN &amp; TP'!$B$3:$B$10005&amp;'DMR 001C TIN &amp; TP'!$A$3:$A$10005),0),MATCH('Reg 85'!$AS$11,'DMR 001C TIN &amp; TP'!$A$2:$M$2,0))),"")</f>
        <v>0.27</v>
      </c>
      <c r="AT87" s="53">
        <f t="shared" si="55"/>
        <v>0.27</v>
      </c>
      <c r="AV87" s="6" t="str">
        <f t="array" ref="AV87">_xlfn.IFNA((INDEX('DMR 001C TIN &amp; TP'!$A$3:$M$10005,MATCH(('Reg 85'!$AQ$6&amp;'Reg 85'!$AU$10&amp;'Reg 85'!$B87),('DMR 001C TIN &amp; TP'!$E$3:$E$10005&amp;'DMR 001C TIN &amp; TP'!$B$3:$B$10005&amp;'DMR 001C TIN &amp; TP'!$A$3:$A$10005),0),MATCH('Reg 85'!$AV$11,'DMR 001C TIN &amp; TP'!$A$2:$M$2,0))),"")</f>
        <v>0.03</v>
      </c>
      <c r="AW87" s="6">
        <f t="array" ref="AW87">_xlfn.IFNA((INDEX('DMR 001C TIN &amp; TP'!$A$3:$M$10005,MATCH(('Reg 85'!$AQ$6&amp;'Reg 85'!$AU$10&amp;'Reg 85'!$B87),('DMR 001C TIN &amp; TP'!$E$3:$E$10005&amp;'DMR 001C TIN &amp; TP'!$B$3:$B$10005&amp;'DMR 001C TIN &amp; TP'!$A$3:$A$10005),0),MATCH('Reg 85'!$AW$11,'DMR 001C TIN &amp; TP'!$A$2:$M$2,0))),"")</f>
        <v>2.48</v>
      </c>
      <c r="AX87" s="53">
        <f t="shared" si="56"/>
        <v>2.48</v>
      </c>
      <c r="AY87" s="55">
        <f t="shared" si="57"/>
        <v>1.71803441741245</v>
      </c>
      <c r="AZ87" s="77" t="str">
        <f t="shared" si="40"/>
        <v/>
      </c>
      <c r="BA87" s="6" t="str">
        <f t="array" ref="BA87">_xlfn.IFNA((INDEX('DMR 001C TIN &amp; TP'!$A$3:$M$10005,MATCH(('Reg 85'!$AQ$6&amp;'Reg 85'!BA$10&amp;'Reg 85'!$B87),('DMR 001C TIN &amp; TP'!$E$3:$E$10005&amp;'DMR 001C TIN &amp; TP'!$B$3:$B$10005&amp;'DMR 001C TIN &amp; TP'!$A$3:$A$10005),0),MATCH('Reg 85'!$AG$11,'DMR 001C TIN &amp; TP'!$A$2:$M$2,0))),"")</f>
        <v/>
      </c>
      <c r="BB87" s="6" t="str">
        <f t="array" ref="BB87">_xlfn.IFNA((INDEX('DMR 001C TIN &amp; TP'!$A$3:$M$10005,MATCH(('Reg 85'!$AQ$6&amp;'Reg 85'!BB$10&amp;'Reg 85'!$B87),('DMR 001C TIN &amp; TP'!$E$3:$E$10005&amp;'DMR 001C TIN &amp; TP'!$B$3:$B$10005&amp;'DMR 001C TIN &amp; TP'!$A$3:$A$10005),0),MATCH('Reg 85'!$AG$11,'DMR 001C TIN &amp; TP'!$A$2:$M$2,0))),"")</f>
        <v/>
      </c>
      <c r="BC87" s="6" t="str">
        <f t="array" ref="BC87">_xlfn.IFNA((INDEX('DMR 001C TIN &amp; TP'!$A$3:$M$10005,MATCH(('Reg 85'!$AQ$6&amp;'Reg 85'!BC$10&amp;'Reg 85'!$B87),('DMR 001C TIN &amp; TP'!$E$3:$E$10005&amp;'DMR 001C TIN &amp; TP'!$B$3:$B$10005&amp;'DMR 001C TIN &amp; TP'!$A$3:$A$10005),0),MATCH('Reg 85'!$AG$11,'DMR 001C TIN &amp; TP'!$A$2:$M$2,0))),"")</f>
        <v/>
      </c>
      <c r="BD87" s="6" t="str">
        <f t="array" ref="BD87">_xlfn.IFNA((INDEX('DMR 001C TIN &amp; TP'!$A$3:$M$10005,MATCH(('Reg 85'!$AQ$6&amp;'Reg 85'!BD$10&amp;'Reg 85'!$B87),('DMR 001C TIN &amp; TP'!$E$3:$E$10005&amp;'DMR 001C TIN &amp; TP'!$B$3:$B$10005&amp;'DMR 001C TIN &amp; TP'!$A$3:$A$10005),0),MATCH('Reg 85'!$AG$11,'DMR 001C TIN &amp; TP'!$A$2:$M$2,0))),"")</f>
        <v/>
      </c>
      <c r="BE87" s="6" t="str">
        <f t="array" ref="BE87">_xlfn.IFNA((INDEX('DMR 001C TIN &amp; TP'!$A$3:$M$10005,MATCH(('Reg 85'!$AQ$6&amp;'Reg 85'!BE$10&amp;'Reg 85'!$B87),('DMR 001C TIN &amp; TP'!$E$3:$E$10005&amp;'DMR 001C TIN &amp; TP'!$B$3:$B$10005&amp;'DMR 001C TIN &amp; TP'!$A$3:$A$10005),0),MATCH('Reg 85'!$AG$11,'DMR 001C TIN &amp; TP'!$A$2:$M$2,0))),"")</f>
        <v/>
      </c>
      <c r="BF87" s="6" t="str">
        <f t="array" ref="BF87">_xlfn.IFNA((INDEX('DMR 001C TIN &amp; TP'!$A$3:$M$10005,MATCH(('Reg 85'!$AQ$6&amp;'Reg 85'!BF$10&amp;'Reg 85'!$B87),('DMR 001C TIN &amp; TP'!$E$3:$E$10005&amp;'DMR 001C TIN &amp; TP'!$B$3:$B$10005&amp;'DMR 001C TIN &amp; TP'!$A$3:$A$10005),0),MATCH('Reg 85'!$AG$11,'DMR 001C TIN &amp; TP'!$A$2:$M$2,0))),"")</f>
        <v/>
      </c>
    </row>
    <row r="88" spans="1:58">
      <c r="A88" s="3" t="str">
        <f t="shared" si="42"/>
        <v>Fri</v>
      </c>
      <c r="B88" s="96">
        <f t="shared" si="58"/>
        <v>43420</v>
      </c>
      <c r="C88" s="96">
        <f t="shared" si="43"/>
        <v>43434</v>
      </c>
      <c r="D88" s="96">
        <f t="shared" si="44"/>
        <v>43405</v>
      </c>
      <c r="E88" s="95">
        <f t="shared" si="45"/>
        <v>30</v>
      </c>
      <c r="F88" s="7">
        <f t="array" ref="F88">_xlfn.IFNA(INDEX('DMR Flows-Effluent'!$A$3:$F$9999,MATCH(($F$10&amp;$B88),('DMR Flows-Effluent'!$B$3:$B$9999&amp;'DMR Flows-Effluent'!$A$3:$A$9999),0),MATCH($F$8,'DMR Flows-Effluent'!$A$2:$F$2,0)),"")</f>
        <v>38.145600000000002</v>
      </c>
      <c r="G88" s="7">
        <f t="array" ref="G88">_xlfn.IFNA(INDEX('DMR Flows-Effluent'!$A$3:$F$9999,MATCH(($G$10&amp;$B88),('DMR Flows-Effluent'!$B$3:$B$9999&amp;'DMR Flows-Effluent'!$A$3:$A$9999),0),MATCH($F$8,'DMR Flows-Effluent'!$A$2:$F$2,0)),"")</f>
        <v>81.105000000000004</v>
      </c>
      <c r="H88" s="7">
        <f t="shared" si="46"/>
        <v>119.25060000000001</v>
      </c>
      <c r="I88" s="45" t="str">
        <f t="shared" si="47"/>
        <v/>
      </c>
      <c r="J88" s="6" t="str">
        <f t="array" ref="J88">_xlfn.IFNA((INDEX('DMR 001C TIN &amp; TP'!$A$3:$M$10005,MATCH(('Reg 85'!$I$6:$Q$6&amp;'Reg 85'!$I$10:$K$10&amp;'Reg 85'!$B88),('DMR 001C TIN &amp; TP'!$E$3:$E$10005&amp;'DMR 001C TIN &amp; TP'!$B$3:$B$10005&amp;'DMR 001C TIN &amp; TP'!$A$3:$A$10005),0),MATCH('Reg 85'!$J$11,'DMR 001C TIN &amp; TP'!$A$2:$M$2,0))),"")</f>
        <v/>
      </c>
      <c r="K88" s="6" t="str">
        <f t="array" ref="K88">_xlfn.IFNA((INDEX('DMR 001C TIN &amp; TP'!$A$3:$M$10005,MATCH(('Reg 85'!$I$6:$Q$6&amp;'Reg 85'!$I$10:$K$10&amp;'Reg 85'!$B88),('DMR 001C TIN &amp; TP'!$E$3:$E$10005&amp;'DMR 001C TIN &amp; TP'!$B$3:$B$10005&amp;'DMR 001C TIN &amp; TP'!$A$3:$A$10005),0),MATCH('Reg 85'!$K$11,'DMR 001C TIN &amp; TP'!$A$2:$M$2,0))),"")</f>
        <v/>
      </c>
      <c r="L88" s="53" t="str">
        <f t="shared" si="59"/>
        <v/>
      </c>
      <c r="M88" s="5" t="str">
        <f t="shared" si="48"/>
        <v/>
      </c>
      <c r="N88" s="6" t="str">
        <f t="array" ref="N88">_xlfn.IFNA((INDEX('DMR 001C TIN &amp; TP'!$A$3:$M$10005,MATCH(('Reg 85'!$I$6:$Q$6&amp;'Reg 85'!$M$10&amp;'Reg 85'!$B88),('DMR 001C TIN &amp; TP'!$E$3:$E$10005&amp;'DMR 001C TIN &amp; TP'!$B$3:$B$10005&amp;'DMR 001C TIN &amp; TP'!$A$3:$A$10005),0),MATCH('Reg 85'!$N$11,'DMR 001C TIN &amp; TP'!$A$2:$M$2,0))),"")</f>
        <v/>
      </c>
      <c r="O88" s="6" t="str">
        <f t="array" ref="O88">_xlfn.IFNA((INDEX('DMR 001C TIN &amp; TP'!$A$3:$M$10005,MATCH(('Reg 85'!$I$6:$Q$6&amp;'Reg 85'!$M$10&amp;'Reg 85'!$B88),('DMR 001C TIN &amp; TP'!$E$3:$E$10005&amp;'DMR 001C TIN &amp; TP'!$B$3:$B$10005&amp;'DMR 001C TIN &amp; TP'!$A$3:$A$10005),0),MATCH('Reg 85'!$O$11,'DMR 001C TIN &amp; TP'!$A$2:$M$2,0))),"")</f>
        <v/>
      </c>
      <c r="P88" s="53" t="str">
        <f t="shared" si="49"/>
        <v/>
      </c>
      <c r="Q88" s="73" t="str">
        <f t="array" ref="Q88">IFERROR(((L88*$F88)+(P88*$G88))/($H88),"")</f>
        <v/>
      </c>
      <c r="R88" s="6" t="str">
        <f t="array" ref="R88">_xlfn.IFNA((INDEX('DMR 001C TIN &amp; TP'!$A$3:$M$10005,MATCH(('Reg 85'!$I$6:$Q$6&amp;'Reg 85'!R$10&amp;'Reg 85'!$B88),('DMR 001C TIN &amp; TP'!$E$3:$E$10005&amp;'DMR 001C TIN &amp; TP'!$B$3:$B$10005&amp;'DMR 001C TIN &amp; TP'!$A$3:$A$10005),0),MATCH('Reg 85'!$O$11,'DMR 001C TIN &amp; TP'!$A$2:$M$2,0))),"")</f>
        <v/>
      </c>
      <c r="S88" s="6" t="str">
        <f t="array" ref="S88">_xlfn.IFNA((INDEX('DMR 001C TIN &amp; TP'!$A$3:$M$10005,MATCH(('Reg 85'!$I$6:$Q$6&amp;'Reg 85'!S$10&amp;'Reg 85'!$B88),('DMR 001C TIN &amp; TP'!$E$3:$E$10005&amp;'DMR 001C TIN &amp; TP'!$B$3:$B$10005&amp;'DMR 001C TIN &amp; TP'!$A$3:$A$10005),0),MATCH('Reg 85'!$O$11,'DMR 001C TIN &amp; TP'!$A$2:$M$2,0))),"")</f>
        <v/>
      </c>
      <c r="T88" s="6" t="str">
        <f t="array" ref="T88">_xlfn.IFNA((INDEX('DMR 001C TIN &amp; TP'!$A$3:$M$10005,MATCH(('Reg 85'!$I$6:$Q$6&amp;'Reg 85'!T$10&amp;'Reg 85'!$B88),('DMR 001C TIN &amp; TP'!$E$3:$E$10005&amp;'DMR 001C TIN &amp; TP'!$B$3:$B$10005&amp;'DMR 001C TIN &amp; TP'!$A$3:$A$10005),0),MATCH('Reg 85'!$O$11,'DMR 001C TIN &amp; TP'!$A$2:$M$2,0))),"")</f>
        <v/>
      </c>
      <c r="U88" s="6" t="str">
        <f t="array" ref="U88">_xlfn.IFNA((INDEX('DMR 001C TIN &amp; TP'!$A$3:$M$10005,MATCH(('Reg 85'!$I$6:$Q$6&amp;'Reg 85'!U$10&amp;'Reg 85'!$B88),('DMR 001C TIN &amp; TP'!$E$3:$E$10005&amp;'DMR 001C TIN &amp; TP'!$B$3:$B$10005&amp;'DMR 001C TIN &amp; TP'!$A$3:$A$10005),0),MATCH('Reg 85'!$O$11,'DMR 001C TIN &amp; TP'!$A$2:$M$2,0))),"")</f>
        <v/>
      </c>
      <c r="V88" s="6" t="str">
        <f t="array" ref="V88">_xlfn.IFNA((INDEX('DMR 001C TIN &amp; TP'!$A$3:$M$10005,MATCH(('Reg 85'!$I$6:$Q$6&amp;'Reg 85'!V$10&amp;'Reg 85'!$B88),('DMR 001C TIN &amp; TP'!$E$3:$E$10005&amp;'DMR 001C TIN &amp; TP'!$B$3:$B$10005&amp;'DMR 001C TIN &amp; TP'!$A$3:$A$10005),0),MATCH('Reg 85'!$O$11,'DMR 001C TIN &amp; TP'!$A$2:$M$2,0))),"")</f>
        <v/>
      </c>
      <c r="W88" s="6" t="str">
        <f t="array" ref="W88">_xlfn.IFNA((INDEX('DMR 001C TIN &amp; TP'!$A$3:$M$10005,MATCH(('Reg 85'!$I$6:$Q$6&amp;'Reg 85'!W$10&amp;'Reg 85'!$B88),('DMR 001C TIN &amp; TP'!$E$3:$E$10005&amp;'DMR 001C TIN &amp; TP'!$B$3:$B$10005&amp;'DMR 001C TIN &amp; TP'!$A$3:$A$10005),0),MATCH('Reg 85'!$O$11,'DMR 001C TIN &amp; TP'!$A$2:$M$2,0))),"")</f>
        <v/>
      </c>
      <c r="X88" s="5" t="str">
        <f t="shared" si="50"/>
        <v/>
      </c>
      <c r="Y88" s="6" t="str">
        <f t="array" ref="Y88">_xlfn.IFNA((INDEX('DMR 001C TIN &amp; TP'!$A$3:$M$10005,MATCH(('Reg 85'!$X$6&amp;'Reg 85'!$X$10&amp;'Reg 85'!$B88),('DMR 001C TIN &amp; TP'!$E$3:$E$10005&amp;'DMR 001C TIN &amp; TP'!$B$3:$B$10005&amp;'DMR 001C TIN &amp; TP'!$A$3:$A$10005),0),MATCH('Reg 85'!$Y$11,'DMR 001C TIN &amp; TP'!$A$2:$M$2,0))),"")</f>
        <v/>
      </c>
      <c r="Z88" s="6" t="str">
        <f t="array" ref="Z88">_xlfn.IFNA((INDEX('DMR 001C TIN &amp; TP'!$A$3:$M$10005,MATCH(('Reg 85'!$X$6&amp;'Reg 85'!$X$10&amp;'Reg 85'!$B88),('DMR 001C TIN &amp; TP'!$E$3:$E$10005&amp;'DMR 001C TIN &amp; TP'!$B$3:$B$10005&amp;'DMR 001C TIN &amp; TP'!$A$3:$A$10005),0),MATCH('Reg 85'!$Z$11,'DMR 001C TIN &amp; TP'!$A$2:$M$2,0))),"")</f>
        <v/>
      </c>
      <c r="AA88" s="53" t="str">
        <f t="shared" si="51"/>
        <v/>
      </c>
      <c r="AB88" s="5" t="str">
        <f t="shared" si="52"/>
        <v/>
      </c>
      <c r="AC88" s="6" t="str">
        <f t="array" ref="AC88">_xlfn.IFNA((INDEX('DMR 001C TIN &amp; TP'!$A$3:$M$10005,MATCH(('Reg 85'!$X$6&amp;'Reg 85'!$AB$10&amp;'Reg 85'!$B88),('DMR 001C TIN &amp; TP'!$E$3:$E$10005&amp;'DMR 001C TIN &amp; TP'!$B$3:$B$10005&amp;'DMR 001C TIN &amp; TP'!$A$3:$A$10005),0),MATCH('Reg 85'!$AC$11,'DMR 001C TIN &amp; TP'!$A$2:$M$2,0))),"")</f>
        <v/>
      </c>
      <c r="AD88" s="6" t="str">
        <f t="array" ref="AD88">_xlfn.IFNA((INDEX('DMR 001C TIN &amp; TP'!$A$3:$M$10005,MATCH(('Reg 85'!$X$6&amp;'Reg 85'!$AB$10&amp;'Reg 85'!$B88),('DMR 001C TIN &amp; TP'!$E$3:$E$10005&amp;'DMR 001C TIN &amp; TP'!$B$3:$B$10005&amp;'DMR 001C TIN &amp; TP'!$A$3:$A$10005),0),MATCH('Reg 85'!$AD$11,'DMR 001C TIN &amp; TP'!$A$2:$M$2,0))),"")</f>
        <v/>
      </c>
      <c r="AE88" s="53" t="str">
        <f t="shared" si="53"/>
        <v/>
      </c>
      <c r="AF88" s="7" t="str">
        <f t="shared" si="54"/>
        <v/>
      </c>
      <c r="AG88" s="6" t="str">
        <f t="array" ref="AG88">_xlfn.IFNA((INDEX('DMR 001C TIN &amp; TP'!$A$3:$M$10005,MATCH(('Reg 85'!$X$6&amp;'Reg 85'!AG$10&amp;'Reg 85'!$B88),('DMR 001C TIN &amp; TP'!$E$3:$E$10005&amp;'DMR 001C TIN &amp; TP'!$B$3:$B$10005&amp;'DMR 001C TIN &amp; TP'!$A$3:$A$10005),0),MATCH('Reg 85'!$AG$11,'DMR 001C TIN &amp; TP'!$A$2:$M$2,0))),"")</f>
        <v/>
      </c>
      <c r="AH88" s="6" t="str">
        <f t="array" ref="AH88">_xlfn.IFNA((INDEX('DMR 001C TIN &amp; TP'!$A$3:$M$10005,MATCH(('Reg 85'!$X$6&amp;'Reg 85'!AH$10&amp;'Reg 85'!$B88),('DMR 001C TIN &amp; TP'!$E$3:$E$10005&amp;'DMR 001C TIN &amp; TP'!$B$3:$B$10005&amp;'DMR 001C TIN &amp; TP'!$A$3:$A$10005),0),MATCH('Reg 85'!$AG$11,'DMR 001C TIN &amp; TP'!$A$2:$M$2,0))),"")</f>
        <v/>
      </c>
      <c r="AI88" s="6" t="str">
        <f t="array" ref="AI88">_xlfn.IFNA((INDEX('DMR 001C TIN &amp; TP'!$A$3:$M$10005,MATCH(('Reg 85'!$X$6&amp;'Reg 85'!AI$10&amp;'Reg 85'!$B88),('DMR 001C TIN &amp; TP'!$E$3:$E$10005&amp;'DMR 001C TIN &amp; TP'!$B$3:$B$10005&amp;'DMR 001C TIN &amp; TP'!$A$3:$A$10005),0),MATCH('Reg 85'!$AG$11,'DMR 001C TIN &amp; TP'!$A$2:$M$2,0))),"")</f>
        <v/>
      </c>
      <c r="AJ88" s="6" t="str">
        <f t="array" ref="AJ88">_xlfn.IFNA((INDEX('DMR 001C TIN &amp; TP'!$A$3:$M$10005,MATCH(('Reg 85'!$X$6&amp;'Reg 85'!AJ$10&amp;'Reg 85'!$B88),('DMR 001C TIN &amp; TP'!$E$3:$E$10005&amp;'DMR 001C TIN &amp; TP'!$B$3:$B$10005&amp;'DMR 001C TIN &amp; TP'!$A$3:$A$10005),0),MATCH('Reg 85'!$AG$11,'DMR 001C TIN &amp; TP'!$A$2:$M$2,0))),"")</f>
        <v/>
      </c>
      <c r="AK88" s="6" t="str">
        <f t="array" ref="AK88">_xlfn.IFNA((INDEX('DMR 001C TIN &amp; TP'!$A$3:$M$10005,MATCH(('Reg 85'!$X$6&amp;'Reg 85'!AK$10&amp;'Reg 85'!$B88),('DMR 001C TIN &amp; TP'!$E$3:$E$10005&amp;'DMR 001C TIN &amp; TP'!$B$3:$B$10005&amp;'DMR 001C TIN &amp; TP'!$A$3:$A$10005),0),MATCH('Reg 85'!$AG$11,'DMR 001C TIN &amp; TP'!$A$2:$M$2,0))),"")</f>
        <v/>
      </c>
      <c r="AL88" s="6" t="str">
        <f t="array" ref="AL88">_xlfn.IFNA((INDEX('DMR 001C TIN &amp; TP'!$A$3:$M$10005,MATCH(('Reg 85'!$X$6&amp;'Reg 85'!AL$10&amp;'Reg 85'!$B88),('DMR 001C TIN &amp; TP'!$E$3:$E$10005&amp;'DMR 001C TIN &amp; TP'!$B$3:$B$10005&amp;'DMR 001C TIN &amp; TP'!$A$3:$A$10005),0),MATCH('Reg 85'!$AG$11,'DMR 001C TIN &amp; TP'!$A$2:$M$2,0))),"")</f>
        <v/>
      </c>
      <c r="AM88" s="76"/>
      <c r="AN88" s="6"/>
      <c r="AO88" s="54" t="str">
        <f t="shared" si="41"/>
        <v/>
      </c>
      <c r="AP88" s="77" t="str">
        <f t="shared" si="39"/>
        <v/>
      </c>
      <c r="AQ88" s="47"/>
      <c r="AR88" s="6" t="str">
        <f t="array" ref="AR88">_xlfn.IFNA((INDEX('DMR 001C TIN &amp; TP'!$A$3:$M$10005,MATCH(('Reg 85'!$AQ$6&amp;'Reg 85'!$AQ$10&amp;'Reg 85'!$B88),('DMR 001C TIN &amp; TP'!$E$3:$E$10005&amp;'DMR 001C TIN &amp; TP'!$B$3:$B$10005&amp;'DMR 001C TIN &amp; TP'!$A$3:$A$10005),0),MATCH('Reg 85'!$AR$11,'DMR 001C TIN &amp; TP'!$A$2:$M$2,0))),"")</f>
        <v/>
      </c>
      <c r="AS88" s="6" t="str">
        <f t="array" ref="AS88">_xlfn.IFNA((INDEX('DMR 001C TIN &amp; TP'!$A$3:$M$10005,MATCH(('Reg 85'!$AQ$6&amp;'Reg 85'!$AQ$10&amp;'Reg 85'!$B88),('DMR 001C TIN &amp; TP'!$E$3:$E$10005&amp;'DMR 001C TIN &amp; TP'!$B$3:$B$10005&amp;'DMR 001C TIN &amp; TP'!$A$3:$A$10005),0),MATCH('Reg 85'!$AS$11,'DMR 001C TIN &amp; TP'!$A$2:$M$2,0))),"")</f>
        <v/>
      </c>
      <c r="AT88" s="53" t="str">
        <f t="shared" si="55"/>
        <v/>
      </c>
      <c r="AV88" s="6" t="str">
        <f t="array" ref="AV88">_xlfn.IFNA((INDEX('DMR 001C TIN &amp; TP'!$A$3:$M$10005,MATCH(('Reg 85'!$AQ$6&amp;'Reg 85'!$AU$10&amp;'Reg 85'!$B88),('DMR 001C TIN &amp; TP'!$E$3:$E$10005&amp;'DMR 001C TIN &amp; TP'!$B$3:$B$10005&amp;'DMR 001C TIN &amp; TP'!$A$3:$A$10005),0),MATCH('Reg 85'!$AV$11,'DMR 001C TIN &amp; TP'!$A$2:$M$2,0))),"")</f>
        <v/>
      </c>
      <c r="AW88" s="6" t="str">
        <f t="array" ref="AW88">_xlfn.IFNA((INDEX('DMR 001C TIN &amp; TP'!$A$3:$M$10005,MATCH(('Reg 85'!$AQ$6&amp;'Reg 85'!$AU$10&amp;'Reg 85'!$B88),('DMR 001C TIN &amp; TP'!$E$3:$E$10005&amp;'DMR 001C TIN &amp; TP'!$B$3:$B$10005&amp;'DMR 001C TIN &amp; TP'!$A$3:$A$10005),0),MATCH('Reg 85'!$AW$11,'DMR 001C TIN &amp; TP'!$A$2:$M$2,0))),"")</f>
        <v/>
      </c>
      <c r="AX88" s="53" t="str">
        <f t="shared" si="56"/>
        <v/>
      </c>
      <c r="AY88" s="55" t="str">
        <f t="shared" si="57"/>
        <v/>
      </c>
      <c r="AZ88" s="77" t="str">
        <f t="shared" si="40"/>
        <v/>
      </c>
      <c r="BA88" s="6" t="str">
        <f t="array" ref="BA88">_xlfn.IFNA((INDEX('DMR 001C TIN &amp; TP'!$A$3:$M$10005,MATCH(('Reg 85'!$AQ$6&amp;'Reg 85'!BA$10&amp;'Reg 85'!$B88),('DMR 001C TIN &amp; TP'!$E$3:$E$10005&amp;'DMR 001C TIN &amp; TP'!$B$3:$B$10005&amp;'DMR 001C TIN &amp; TP'!$A$3:$A$10005),0),MATCH('Reg 85'!$AG$11,'DMR 001C TIN &amp; TP'!$A$2:$M$2,0))),"")</f>
        <v/>
      </c>
      <c r="BB88" s="6" t="str">
        <f t="array" ref="BB88">_xlfn.IFNA((INDEX('DMR 001C TIN &amp; TP'!$A$3:$M$10005,MATCH(('Reg 85'!$AQ$6&amp;'Reg 85'!BB$10&amp;'Reg 85'!$B88),('DMR 001C TIN &amp; TP'!$E$3:$E$10005&amp;'DMR 001C TIN &amp; TP'!$B$3:$B$10005&amp;'DMR 001C TIN &amp; TP'!$A$3:$A$10005),0),MATCH('Reg 85'!$AG$11,'DMR 001C TIN &amp; TP'!$A$2:$M$2,0))),"")</f>
        <v/>
      </c>
      <c r="BC88" s="6" t="str">
        <f t="array" ref="BC88">_xlfn.IFNA((INDEX('DMR 001C TIN &amp; TP'!$A$3:$M$10005,MATCH(('Reg 85'!$AQ$6&amp;'Reg 85'!BC$10&amp;'Reg 85'!$B88),('DMR 001C TIN &amp; TP'!$E$3:$E$10005&amp;'DMR 001C TIN &amp; TP'!$B$3:$B$10005&amp;'DMR 001C TIN &amp; TP'!$A$3:$A$10005),0),MATCH('Reg 85'!$AG$11,'DMR 001C TIN &amp; TP'!$A$2:$M$2,0))),"")</f>
        <v/>
      </c>
      <c r="BD88" s="6" t="str">
        <f t="array" ref="BD88">_xlfn.IFNA((INDEX('DMR 001C TIN &amp; TP'!$A$3:$M$10005,MATCH(('Reg 85'!$AQ$6&amp;'Reg 85'!BD$10&amp;'Reg 85'!$B88),('DMR 001C TIN &amp; TP'!$E$3:$E$10005&amp;'DMR 001C TIN &amp; TP'!$B$3:$B$10005&amp;'DMR 001C TIN &amp; TP'!$A$3:$A$10005),0),MATCH('Reg 85'!$AG$11,'DMR 001C TIN &amp; TP'!$A$2:$M$2,0))),"")</f>
        <v/>
      </c>
      <c r="BE88" s="6" t="str">
        <f t="array" ref="BE88">_xlfn.IFNA((INDEX('DMR 001C TIN &amp; TP'!$A$3:$M$10005,MATCH(('Reg 85'!$AQ$6&amp;'Reg 85'!BE$10&amp;'Reg 85'!$B88),('DMR 001C TIN &amp; TP'!$E$3:$E$10005&amp;'DMR 001C TIN &amp; TP'!$B$3:$B$10005&amp;'DMR 001C TIN &amp; TP'!$A$3:$A$10005),0),MATCH('Reg 85'!$AG$11,'DMR 001C TIN &amp; TP'!$A$2:$M$2,0))),"")</f>
        <v/>
      </c>
      <c r="BF88" s="6" t="str">
        <f t="array" ref="BF88">_xlfn.IFNA((INDEX('DMR 001C TIN &amp; TP'!$A$3:$M$10005,MATCH(('Reg 85'!$AQ$6&amp;'Reg 85'!BF$10&amp;'Reg 85'!$B88),('DMR 001C TIN &amp; TP'!$E$3:$E$10005&amp;'DMR 001C TIN &amp; TP'!$B$3:$B$10005&amp;'DMR 001C TIN &amp; TP'!$A$3:$A$10005),0),MATCH('Reg 85'!$AG$11,'DMR 001C TIN &amp; TP'!$A$2:$M$2,0))),"")</f>
        <v/>
      </c>
    </row>
    <row r="89" spans="1:58">
      <c r="A89" s="3" t="str">
        <f t="shared" si="42"/>
        <v>Sat</v>
      </c>
      <c r="B89" s="96">
        <f t="shared" si="58"/>
        <v>43421</v>
      </c>
      <c r="C89" s="96">
        <f t="shared" si="43"/>
        <v>43434</v>
      </c>
      <c r="D89" s="96">
        <f t="shared" si="44"/>
        <v>43405</v>
      </c>
      <c r="E89" s="95">
        <f t="shared" si="45"/>
        <v>30</v>
      </c>
      <c r="F89" s="7">
        <f t="array" ref="F89">_xlfn.IFNA(INDEX('DMR Flows-Effluent'!$A$3:$F$9999,MATCH(($F$10&amp;$B89),('DMR Flows-Effluent'!$B$3:$B$9999&amp;'DMR Flows-Effluent'!$A$3:$A$9999),0),MATCH($F$8,'DMR Flows-Effluent'!$A$2:$F$2,0)),"")</f>
        <v>41.382599999999996</v>
      </c>
      <c r="G89" s="7">
        <f t="array" ref="G89">_xlfn.IFNA(INDEX('DMR Flows-Effluent'!$A$3:$F$9999,MATCH(($G$10&amp;$B89),('DMR Flows-Effluent'!$B$3:$B$9999&amp;'DMR Flows-Effluent'!$A$3:$A$9999),0),MATCH($F$8,'DMR Flows-Effluent'!$A$2:$F$2,0)),"")</f>
        <v>78.468800000000002</v>
      </c>
      <c r="H89" s="7">
        <f t="shared" si="46"/>
        <v>119.8514</v>
      </c>
      <c r="I89" s="45" t="str">
        <f t="shared" si="47"/>
        <v/>
      </c>
      <c r="J89" s="6" t="str">
        <f t="array" ref="J89">_xlfn.IFNA((INDEX('DMR 001C TIN &amp; TP'!$A$3:$M$10005,MATCH(('Reg 85'!$I$6:$Q$6&amp;'Reg 85'!$I$10:$K$10&amp;'Reg 85'!$B89),('DMR 001C TIN &amp; TP'!$E$3:$E$10005&amp;'DMR 001C TIN &amp; TP'!$B$3:$B$10005&amp;'DMR 001C TIN &amp; TP'!$A$3:$A$10005),0),MATCH('Reg 85'!$J$11,'DMR 001C TIN &amp; TP'!$A$2:$M$2,0))),"")</f>
        <v/>
      </c>
      <c r="K89" s="6" t="str">
        <f t="array" ref="K89">_xlfn.IFNA((INDEX('DMR 001C TIN &amp; TP'!$A$3:$M$10005,MATCH(('Reg 85'!$I$6:$Q$6&amp;'Reg 85'!$I$10:$K$10&amp;'Reg 85'!$B89),('DMR 001C TIN &amp; TP'!$E$3:$E$10005&amp;'DMR 001C TIN &amp; TP'!$B$3:$B$10005&amp;'DMR 001C TIN &amp; TP'!$A$3:$A$10005),0),MATCH('Reg 85'!$K$11,'DMR 001C TIN &amp; TP'!$A$2:$M$2,0))),"")</f>
        <v/>
      </c>
      <c r="L89" s="53" t="str">
        <f t="shared" si="59"/>
        <v/>
      </c>
      <c r="M89" s="5" t="str">
        <f t="shared" si="48"/>
        <v/>
      </c>
      <c r="N89" s="6" t="str">
        <f t="array" ref="N89">_xlfn.IFNA((INDEX('DMR 001C TIN &amp; TP'!$A$3:$M$10005,MATCH(('Reg 85'!$I$6:$Q$6&amp;'Reg 85'!$M$10&amp;'Reg 85'!$B89),('DMR 001C TIN &amp; TP'!$E$3:$E$10005&amp;'DMR 001C TIN &amp; TP'!$B$3:$B$10005&amp;'DMR 001C TIN &amp; TP'!$A$3:$A$10005),0),MATCH('Reg 85'!$N$11,'DMR 001C TIN &amp; TP'!$A$2:$M$2,0))),"")</f>
        <v/>
      </c>
      <c r="O89" s="6" t="str">
        <f t="array" ref="O89">_xlfn.IFNA((INDEX('DMR 001C TIN &amp; TP'!$A$3:$M$10005,MATCH(('Reg 85'!$I$6:$Q$6&amp;'Reg 85'!$M$10&amp;'Reg 85'!$B89),('DMR 001C TIN &amp; TP'!$E$3:$E$10005&amp;'DMR 001C TIN &amp; TP'!$B$3:$B$10005&amp;'DMR 001C TIN &amp; TP'!$A$3:$A$10005),0),MATCH('Reg 85'!$O$11,'DMR 001C TIN &amp; TP'!$A$2:$M$2,0))),"")</f>
        <v/>
      </c>
      <c r="P89" s="53" t="str">
        <f t="shared" si="49"/>
        <v/>
      </c>
      <c r="Q89" s="73" t="str">
        <f t="array" ref="Q89">IFERROR(((L89*$F89)+(P89*$G89))/($H89),"")</f>
        <v/>
      </c>
      <c r="R89" s="6" t="str">
        <f t="array" ref="R89">_xlfn.IFNA((INDEX('DMR 001C TIN &amp; TP'!$A$3:$M$10005,MATCH(('Reg 85'!$I$6:$Q$6&amp;'Reg 85'!R$10&amp;'Reg 85'!$B89),('DMR 001C TIN &amp; TP'!$E$3:$E$10005&amp;'DMR 001C TIN &amp; TP'!$B$3:$B$10005&amp;'DMR 001C TIN &amp; TP'!$A$3:$A$10005),0),MATCH('Reg 85'!$O$11,'DMR 001C TIN &amp; TP'!$A$2:$M$2,0))),"")</f>
        <v/>
      </c>
      <c r="S89" s="6" t="str">
        <f t="array" ref="S89">_xlfn.IFNA((INDEX('DMR 001C TIN &amp; TP'!$A$3:$M$10005,MATCH(('Reg 85'!$I$6:$Q$6&amp;'Reg 85'!S$10&amp;'Reg 85'!$B89),('DMR 001C TIN &amp; TP'!$E$3:$E$10005&amp;'DMR 001C TIN &amp; TP'!$B$3:$B$10005&amp;'DMR 001C TIN &amp; TP'!$A$3:$A$10005),0),MATCH('Reg 85'!$O$11,'DMR 001C TIN &amp; TP'!$A$2:$M$2,0))),"")</f>
        <v/>
      </c>
      <c r="T89" s="6" t="str">
        <f t="array" ref="T89">_xlfn.IFNA((INDEX('DMR 001C TIN &amp; TP'!$A$3:$M$10005,MATCH(('Reg 85'!$I$6:$Q$6&amp;'Reg 85'!T$10&amp;'Reg 85'!$B89),('DMR 001C TIN &amp; TP'!$E$3:$E$10005&amp;'DMR 001C TIN &amp; TP'!$B$3:$B$10005&amp;'DMR 001C TIN &amp; TP'!$A$3:$A$10005),0),MATCH('Reg 85'!$O$11,'DMR 001C TIN &amp; TP'!$A$2:$M$2,0))),"")</f>
        <v/>
      </c>
      <c r="U89" s="6" t="str">
        <f t="array" ref="U89">_xlfn.IFNA((INDEX('DMR 001C TIN &amp; TP'!$A$3:$M$10005,MATCH(('Reg 85'!$I$6:$Q$6&amp;'Reg 85'!U$10&amp;'Reg 85'!$B89),('DMR 001C TIN &amp; TP'!$E$3:$E$10005&amp;'DMR 001C TIN &amp; TP'!$B$3:$B$10005&amp;'DMR 001C TIN &amp; TP'!$A$3:$A$10005),0),MATCH('Reg 85'!$O$11,'DMR 001C TIN &amp; TP'!$A$2:$M$2,0))),"")</f>
        <v/>
      </c>
      <c r="V89" s="6" t="str">
        <f t="array" ref="V89">_xlfn.IFNA((INDEX('DMR 001C TIN &amp; TP'!$A$3:$M$10005,MATCH(('Reg 85'!$I$6:$Q$6&amp;'Reg 85'!V$10&amp;'Reg 85'!$B89),('DMR 001C TIN &amp; TP'!$E$3:$E$10005&amp;'DMR 001C TIN &amp; TP'!$B$3:$B$10005&amp;'DMR 001C TIN &amp; TP'!$A$3:$A$10005),0),MATCH('Reg 85'!$O$11,'DMR 001C TIN &amp; TP'!$A$2:$M$2,0))),"")</f>
        <v/>
      </c>
      <c r="W89" s="6" t="str">
        <f t="array" ref="W89">_xlfn.IFNA((INDEX('DMR 001C TIN &amp; TP'!$A$3:$M$10005,MATCH(('Reg 85'!$I$6:$Q$6&amp;'Reg 85'!W$10&amp;'Reg 85'!$B89),('DMR 001C TIN &amp; TP'!$E$3:$E$10005&amp;'DMR 001C TIN &amp; TP'!$B$3:$B$10005&amp;'DMR 001C TIN &amp; TP'!$A$3:$A$10005),0),MATCH('Reg 85'!$O$11,'DMR 001C TIN &amp; TP'!$A$2:$M$2,0))),"")</f>
        <v/>
      </c>
      <c r="X89" s="5" t="str">
        <f t="shared" si="50"/>
        <v/>
      </c>
      <c r="Y89" s="6" t="str">
        <f t="array" ref="Y89">_xlfn.IFNA((INDEX('DMR 001C TIN &amp; TP'!$A$3:$M$10005,MATCH(('Reg 85'!$X$6&amp;'Reg 85'!$X$10&amp;'Reg 85'!$B89),('DMR 001C TIN &amp; TP'!$E$3:$E$10005&amp;'DMR 001C TIN &amp; TP'!$B$3:$B$10005&amp;'DMR 001C TIN &amp; TP'!$A$3:$A$10005),0),MATCH('Reg 85'!$Y$11,'DMR 001C TIN &amp; TP'!$A$2:$M$2,0))),"")</f>
        <v/>
      </c>
      <c r="Z89" s="6" t="str">
        <f t="array" ref="Z89">_xlfn.IFNA((INDEX('DMR 001C TIN &amp; TP'!$A$3:$M$10005,MATCH(('Reg 85'!$X$6&amp;'Reg 85'!$X$10&amp;'Reg 85'!$B89),('DMR 001C TIN &amp; TP'!$E$3:$E$10005&amp;'DMR 001C TIN &amp; TP'!$B$3:$B$10005&amp;'DMR 001C TIN &amp; TP'!$A$3:$A$10005),0),MATCH('Reg 85'!$Z$11,'DMR 001C TIN &amp; TP'!$A$2:$M$2,0))),"")</f>
        <v/>
      </c>
      <c r="AA89" s="53" t="str">
        <f t="shared" si="51"/>
        <v/>
      </c>
      <c r="AB89" s="5" t="str">
        <f t="shared" si="52"/>
        <v/>
      </c>
      <c r="AC89" s="6" t="str">
        <f t="array" ref="AC89">_xlfn.IFNA((INDEX('DMR 001C TIN &amp; TP'!$A$3:$M$10005,MATCH(('Reg 85'!$X$6&amp;'Reg 85'!$AB$10&amp;'Reg 85'!$B89),('DMR 001C TIN &amp; TP'!$E$3:$E$10005&amp;'DMR 001C TIN &amp; TP'!$B$3:$B$10005&amp;'DMR 001C TIN &amp; TP'!$A$3:$A$10005),0),MATCH('Reg 85'!$AC$11,'DMR 001C TIN &amp; TP'!$A$2:$M$2,0))),"")</f>
        <v/>
      </c>
      <c r="AD89" s="6" t="str">
        <f t="array" ref="AD89">_xlfn.IFNA((INDEX('DMR 001C TIN &amp; TP'!$A$3:$M$10005,MATCH(('Reg 85'!$X$6&amp;'Reg 85'!$AB$10&amp;'Reg 85'!$B89),('DMR 001C TIN &amp; TP'!$E$3:$E$10005&amp;'DMR 001C TIN &amp; TP'!$B$3:$B$10005&amp;'DMR 001C TIN &amp; TP'!$A$3:$A$10005),0),MATCH('Reg 85'!$AD$11,'DMR 001C TIN &amp; TP'!$A$2:$M$2,0))),"")</f>
        <v/>
      </c>
      <c r="AE89" s="53" t="str">
        <f t="shared" si="53"/>
        <v/>
      </c>
      <c r="AF89" s="7" t="str">
        <f t="shared" si="54"/>
        <v/>
      </c>
      <c r="AG89" s="6" t="str">
        <f t="array" ref="AG89">_xlfn.IFNA((INDEX('DMR 001C TIN &amp; TP'!$A$3:$M$10005,MATCH(('Reg 85'!$X$6&amp;'Reg 85'!AG$10&amp;'Reg 85'!$B89),('DMR 001C TIN &amp; TP'!$E$3:$E$10005&amp;'DMR 001C TIN &amp; TP'!$B$3:$B$10005&amp;'DMR 001C TIN &amp; TP'!$A$3:$A$10005),0),MATCH('Reg 85'!$AG$11,'DMR 001C TIN &amp; TP'!$A$2:$M$2,0))),"")</f>
        <v/>
      </c>
      <c r="AH89" s="6" t="str">
        <f t="array" ref="AH89">_xlfn.IFNA((INDEX('DMR 001C TIN &amp; TP'!$A$3:$M$10005,MATCH(('Reg 85'!$X$6&amp;'Reg 85'!AH$10&amp;'Reg 85'!$B89),('DMR 001C TIN &amp; TP'!$E$3:$E$10005&amp;'DMR 001C TIN &amp; TP'!$B$3:$B$10005&amp;'DMR 001C TIN &amp; TP'!$A$3:$A$10005),0),MATCH('Reg 85'!$AG$11,'DMR 001C TIN &amp; TP'!$A$2:$M$2,0))),"")</f>
        <v/>
      </c>
      <c r="AI89" s="6" t="str">
        <f t="array" ref="AI89">_xlfn.IFNA((INDEX('DMR 001C TIN &amp; TP'!$A$3:$M$10005,MATCH(('Reg 85'!$X$6&amp;'Reg 85'!AI$10&amp;'Reg 85'!$B89),('DMR 001C TIN &amp; TP'!$E$3:$E$10005&amp;'DMR 001C TIN &amp; TP'!$B$3:$B$10005&amp;'DMR 001C TIN &amp; TP'!$A$3:$A$10005),0),MATCH('Reg 85'!$AG$11,'DMR 001C TIN &amp; TP'!$A$2:$M$2,0))),"")</f>
        <v/>
      </c>
      <c r="AJ89" s="6" t="str">
        <f t="array" ref="AJ89">_xlfn.IFNA((INDEX('DMR 001C TIN &amp; TP'!$A$3:$M$10005,MATCH(('Reg 85'!$X$6&amp;'Reg 85'!AJ$10&amp;'Reg 85'!$B89),('DMR 001C TIN &amp; TP'!$E$3:$E$10005&amp;'DMR 001C TIN &amp; TP'!$B$3:$B$10005&amp;'DMR 001C TIN &amp; TP'!$A$3:$A$10005),0),MATCH('Reg 85'!$AG$11,'DMR 001C TIN &amp; TP'!$A$2:$M$2,0))),"")</f>
        <v/>
      </c>
      <c r="AK89" s="6" t="str">
        <f t="array" ref="AK89">_xlfn.IFNA((INDEX('DMR 001C TIN &amp; TP'!$A$3:$M$10005,MATCH(('Reg 85'!$X$6&amp;'Reg 85'!AK$10&amp;'Reg 85'!$B89),('DMR 001C TIN &amp; TP'!$E$3:$E$10005&amp;'DMR 001C TIN &amp; TP'!$B$3:$B$10005&amp;'DMR 001C TIN &amp; TP'!$A$3:$A$10005),0),MATCH('Reg 85'!$AG$11,'DMR 001C TIN &amp; TP'!$A$2:$M$2,0))),"")</f>
        <v/>
      </c>
      <c r="AL89" s="6" t="str">
        <f t="array" ref="AL89">_xlfn.IFNA((INDEX('DMR 001C TIN &amp; TP'!$A$3:$M$10005,MATCH(('Reg 85'!$X$6&amp;'Reg 85'!AL$10&amp;'Reg 85'!$B89),('DMR 001C TIN &amp; TP'!$E$3:$E$10005&amp;'DMR 001C TIN &amp; TP'!$B$3:$B$10005&amp;'DMR 001C TIN &amp; TP'!$A$3:$A$10005),0),MATCH('Reg 85'!$AG$11,'DMR 001C TIN &amp; TP'!$A$2:$M$2,0))),"")</f>
        <v/>
      </c>
      <c r="AM89" s="76"/>
      <c r="AN89" s="6"/>
      <c r="AO89" s="54" t="str">
        <f t="shared" si="41"/>
        <v/>
      </c>
      <c r="AP89" s="77" t="str">
        <f t="shared" si="39"/>
        <v/>
      </c>
      <c r="AQ89" s="47"/>
      <c r="AR89" s="6" t="str">
        <f t="array" ref="AR89">_xlfn.IFNA((INDEX('DMR 001C TIN &amp; TP'!$A$3:$M$10005,MATCH(('Reg 85'!$AQ$6&amp;'Reg 85'!$AQ$10&amp;'Reg 85'!$B89),('DMR 001C TIN &amp; TP'!$E$3:$E$10005&amp;'DMR 001C TIN &amp; TP'!$B$3:$B$10005&amp;'DMR 001C TIN &amp; TP'!$A$3:$A$10005),0),MATCH('Reg 85'!$AR$11,'DMR 001C TIN &amp; TP'!$A$2:$M$2,0))),"")</f>
        <v/>
      </c>
      <c r="AS89" s="6" t="str">
        <f t="array" ref="AS89">_xlfn.IFNA((INDEX('DMR 001C TIN &amp; TP'!$A$3:$M$10005,MATCH(('Reg 85'!$AQ$6&amp;'Reg 85'!$AQ$10&amp;'Reg 85'!$B89),('DMR 001C TIN &amp; TP'!$E$3:$E$10005&amp;'DMR 001C TIN &amp; TP'!$B$3:$B$10005&amp;'DMR 001C TIN &amp; TP'!$A$3:$A$10005),0),MATCH('Reg 85'!$AS$11,'DMR 001C TIN &amp; TP'!$A$2:$M$2,0))),"")</f>
        <v/>
      </c>
      <c r="AT89" s="53" t="str">
        <f t="shared" si="55"/>
        <v/>
      </c>
      <c r="AV89" s="6" t="str">
        <f t="array" ref="AV89">_xlfn.IFNA((INDEX('DMR 001C TIN &amp; TP'!$A$3:$M$10005,MATCH(('Reg 85'!$AQ$6&amp;'Reg 85'!$AU$10&amp;'Reg 85'!$B89),('DMR 001C TIN &amp; TP'!$E$3:$E$10005&amp;'DMR 001C TIN &amp; TP'!$B$3:$B$10005&amp;'DMR 001C TIN &amp; TP'!$A$3:$A$10005),0),MATCH('Reg 85'!$AV$11,'DMR 001C TIN &amp; TP'!$A$2:$M$2,0))),"")</f>
        <v/>
      </c>
      <c r="AW89" s="6" t="str">
        <f t="array" ref="AW89">_xlfn.IFNA((INDEX('DMR 001C TIN &amp; TP'!$A$3:$M$10005,MATCH(('Reg 85'!$AQ$6&amp;'Reg 85'!$AU$10&amp;'Reg 85'!$B89),('DMR 001C TIN &amp; TP'!$E$3:$E$10005&amp;'DMR 001C TIN &amp; TP'!$B$3:$B$10005&amp;'DMR 001C TIN &amp; TP'!$A$3:$A$10005),0),MATCH('Reg 85'!$AW$11,'DMR 001C TIN &amp; TP'!$A$2:$M$2,0))),"")</f>
        <v/>
      </c>
      <c r="AX89" s="53" t="str">
        <f t="shared" si="56"/>
        <v/>
      </c>
      <c r="AY89" s="55" t="str">
        <f t="shared" si="57"/>
        <v/>
      </c>
      <c r="AZ89" s="77" t="str">
        <f t="shared" si="40"/>
        <v/>
      </c>
      <c r="BA89" s="6" t="str">
        <f t="array" ref="BA89">_xlfn.IFNA((INDEX('DMR 001C TIN &amp; TP'!$A$3:$M$10005,MATCH(('Reg 85'!$AQ$6&amp;'Reg 85'!BA$10&amp;'Reg 85'!$B89),('DMR 001C TIN &amp; TP'!$E$3:$E$10005&amp;'DMR 001C TIN &amp; TP'!$B$3:$B$10005&amp;'DMR 001C TIN &amp; TP'!$A$3:$A$10005),0),MATCH('Reg 85'!$AG$11,'DMR 001C TIN &amp; TP'!$A$2:$M$2,0))),"")</f>
        <v/>
      </c>
      <c r="BB89" s="6" t="str">
        <f t="array" ref="BB89">_xlfn.IFNA((INDEX('DMR 001C TIN &amp; TP'!$A$3:$M$10005,MATCH(('Reg 85'!$AQ$6&amp;'Reg 85'!BB$10&amp;'Reg 85'!$B89),('DMR 001C TIN &amp; TP'!$E$3:$E$10005&amp;'DMR 001C TIN &amp; TP'!$B$3:$B$10005&amp;'DMR 001C TIN &amp; TP'!$A$3:$A$10005),0),MATCH('Reg 85'!$AG$11,'DMR 001C TIN &amp; TP'!$A$2:$M$2,0))),"")</f>
        <v/>
      </c>
      <c r="BC89" s="6" t="str">
        <f t="array" ref="BC89">_xlfn.IFNA((INDEX('DMR 001C TIN &amp; TP'!$A$3:$M$10005,MATCH(('Reg 85'!$AQ$6&amp;'Reg 85'!BC$10&amp;'Reg 85'!$B89),('DMR 001C TIN &amp; TP'!$E$3:$E$10005&amp;'DMR 001C TIN &amp; TP'!$B$3:$B$10005&amp;'DMR 001C TIN &amp; TP'!$A$3:$A$10005),0),MATCH('Reg 85'!$AG$11,'DMR 001C TIN &amp; TP'!$A$2:$M$2,0))),"")</f>
        <v/>
      </c>
      <c r="BD89" s="6" t="str">
        <f t="array" ref="BD89">_xlfn.IFNA((INDEX('DMR 001C TIN &amp; TP'!$A$3:$M$10005,MATCH(('Reg 85'!$AQ$6&amp;'Reg 85'!BD$10&amp;'Reg 85'!$B89),('DMR 001C TIN &amp; TP'!$E$3:$E$10005&amp;'DMR 001C TIN &amp; TP'!$B$3:$B$10005&amp;'DMR 001C TIN &amp; TP'!$A$3:$A$10005),0),MATCH('Reg 85'!$AG$11,'DMR 001C TIN &amp; TP'!$A$2:$M$2,0))),"")</f>
        <v/>
      </c>
      <c r="BE89" s="6" t="str">
        <f t="array" ref="BE89">_xlfn.IFNA((INDEX('DMR 001C TIN &amp; TP'!$A$3:$M$10005,MATCH(('Reg 85'!$AQ$6&amp;'Reg 85'!BE$10&amp;'Reg 85'!$B89),('DMR 001C TIN &amp; TP'!$E$3:$E$10005&amp;'DMR 001C TIN &amp; TP'!$B$3:$B$10005&amp;'DMR 001C TIN &amp; TP'!$A$3:$A$10005),0),MATCH('Reg 85'!$AG$11,'DMR 001C TIN &amp; TP'!$A$2:$M$2,0))),"")</f>
        <v/>
      </c>
      <c r="BF89" s="6" t="str">
        <f t="array" ref="BF89">_xlfn.IFNA((INDEX('DMR 001C TIN &amp; TP'!$A$3:$M$10005,MATCH(('Reg 85'!$AQ$6&amp;'Reg 85'!BF$10&amp;'Reg 85'!$B89),('DMR 001C TIN &amp; TP'!$E$3:$E$10005&amp;'DMR 001C TIN &amp; TP'!$B$3:$B$10005&amp;'DMR 001C TIN &amp; TP'!$A$3:$A$10005),0),MATCH('Reg 85'!$AG$11,'DMR 001C TIN &amp; TP'!$A$2:$M$2,0))),"")</f>
        <v/>
      </c>
    </row>
    <row r="90" spans="1:58">
      <c r="A90" s="3" t="str">
        <f t="shared" si="42"/>
        <v>Sun</v>
      </c>
      <c r="B90" s="96">
        <f t="shared" si="58"/>
        <v>43422</v>
      </c>
      <c r="C90" s="96">
        <f t="shared" si="43"/>
        <v>43434</v>
      </c>
      <c r="D90" s="96">
        <f t="shared" si="44"/>
        <v>43405</v>
      </c>
      <c r="E90" s="95">
        <f t="shared" si="45"/>
        <v>30</v>
      </c>
      <c r="F90" s="7">
        <f t="array" ref="F90">_xlfn.IFNA(INDEX('DMR Flows-Effluent'!$A$3:$F$9999,MATCH(($F$10&amp;$B90),('DMR Flows-Effluent'!$B$3:$B$9999&amp;'DMR Flows-Effluent'!$A$3:$A$9999),0),MATCH($F$8,'DMR Flows-Effluent'!$A$2:$F$2,0)),"")</f>
        <v>50.020899999999997</v>
      </c>
      <c r="G90" s="7">
        <f t="array" ref="G90">_xlfn.IFNA(INDEX('DMR Flows-Effluent'!$A$3:$F$9999,MATCH(($G$10&amp;$B90),('DMR Flows-Effluent'!$B$3:$B$9999&amp;'DMR Flows-Effluent'!$A$3:$A$9999),0),MATCH($F$8,'DMR Flows-Effluent'!$A$2:$F$2,0)),"")</f>
        <v>74.836600000000004</v>
      </c>
      <c r="H90" s="7">
        <f t="shared" si="46"/>
        <v>124.8575</v>
      </c>
      <c r="I90" s="45" t="str">
        <f t="shared" si="47"/>
        <v/>
      </c>
      <c r="J90" s="6" t="str">
        <f t="array" ref="J90">_xlfn.IFNA((INDEX('DMR 001C TIN &amp; TP'!$A$3:$M$10005,MATCH(('Reg 85'!$I$6:$Q$6&amp;'Reg 85'!$I$10:$K$10&amp;'Reg 85'!$B90),('DMR 001C TIN &amp; TP'!$E$3:$E$10005&amp;'DMR 001C TIN &amp; TP'!$B$3:$B$10005&amp;'DMR 001C TIN &amp; TP'!$A$3:$A$10005),0),MATCH('Reg 85'!$J$11,'DMR 001C TIN &amp; TP'!$A$2:$M$2,0))),"")</f>
        <v/>
      </c>
      <c r="K90" s="6" t="str">
        <f t="array" ref="K90">_xlfn.IFNA((INDEX('DMR 001C TIN &amp; TP'!$A$3:$M$10005,MATCH(('Reg 85'!$I$6:$Q$6&amp;'Reg 85'!$I$10:$K$10&amp;'Reg 85'!$B90),('DMR 001C TIN &amp; TP'!$E$3:$E$10005&amp;'DMR 001C TIN &amp; TP'!$B$3:$B$10005&amp;'DMR 001C TIN &amp; TP'!$A$3:$A$10005),0),MATCH('Reg 85'!$K$11,'DMR 001C TIN &amp; TP'!$A$2:$M$2,0))),"")</f>
        <v/>
      </c>
      <c r="L90" s="53" t="str">
        <f t="shared" si="59"/>
        <v/>
      </c>
      <c r="M90" s="5" t="str">
        <f t="shared" si="48"/>
        <v/>
      </c>
      <c r="N90" s="6" t="str">
        <f t="array" ref="N90">_xlfn.IFNA((INDEX('DMR 001C TIN &amp; TP'!$A$3:$M$10005,MATCH(('Reg 85'!$I$6:$Q$6&amp;'Reg 85'!$M$10&amp;'Reg 85'!$B90),('DMR 001C TIN &amp; TP'!$E$3:$E$10005&amp;'DMR 001C TIN &amp; TP'!$B$3:$B$10005&amp;'DMR 001C TIN &amp; TP'!$A$3:$A$10005),0),MATCH('Reg 85'!$N$11,'DMR 001C TIN &amp; TP'!$A$2:$M$2,0))),"")</f>
        <v/>
      </c>
      <c r="O90" s="6" t="str">
        <f t="array" ref="O90">_xlfn.IFNA((INDEX('DMR 001C TIN &amp; TP'!$A$3:$M$10005,MATCH(('Reg 85'!$I$6:$Q$6&amp;'Reg 85'!$M$10&amp;'Reg 85'!$B90),('DMR 001C TIN &amp; TP'!$E$3:$E$10005&amp;'DMR 001C TIN &amp; TP'!$B$3:$B$10005&amp;'DMR 001C TIN &amp; TP'!$A$3:$A$10005),0),MATCH('Reg 85'!$O$11,'DMR 001C TIN &amp; TP'!$A$2:$M$2,0))),"")</f>
        <v/>
      </c>
      <c r="P90" s="53" t="str">
        <f t="shared" si="49"/>
        <v/>
      </c>
      <c r="Q90" s="73" t="str">
        <f t="array" ref="Q90">IFERROR(((L90*$F90)+(P90*$G90))/($H90),"")</f>
        <v/>
      </c>
      <c r="R90" s="6" t="str">
        <f t="array" ref="R90">_xlfn.IFNA((INDEX('DMR 001C TIN &amp; TP'!$A$3:$M$10005,MATCH(('Reg 85'!$I$6:$Q$6&amp;'Reg 85'!R$10&amp;'Reg 85'!$B90),('DMR 001C TIN &amp; TP'!$E$3:$E$10005&amp;'DMR 001C TIN &amp; TP'!$B$3:$B$10005&amp;'DMR 001C TIN &amp; TP'!$A$3:$A$10005),0),MATCH('Reg 85'!$O$11,'DMR 001C TIN &amp; TP'!$A$2:$M$2,0))),"")</f>
        <v/>
      </c>
      <c r="S90" s="6" t="str">
        <f t="array" ref="S90">_xlfn.IFNA((INDEX('DMR 001C TIN &amp; TP'!$A$3:$M$10005,MATCH(('Reg 85'!$I$6:$Q$6&amp;'Reg 85'!S$10&amp;'Reg 85'!$B90),('DMR 001C TIN &amp; TP'!$E$3:$E$10005&amp;'DMR 001C TIN &amp; TP'!$B$3:$B$10005&amp;'DMR 001C TIN &amp; TP'!$A$3:$A$10005),0),MATCH('Reg 85'!$O$11,'DMR 001C TIN &amp; TP'!$A$2:$M$2,0))),"")</f>
        <v/>
      </c>
      <c r="T90" s="6" t="str">
        <f t="array" ref="T90">_xlfn.IFNA((INDEX('DMR 001C TIN &amp; TP'!$A$3:$M$10005,MATCH(('Reg 85'!$I$6:$Q$6&amp;'Reg 85'!T$10&amp;'Reg 85'!$B90),('DMR 001C TIN &amp; TP'!$E$3:$E$10005&amp;'DMR 001C TIN &amp; TP'!$B$3:$B$10005&amp;'DMR 001C TIN &amp; TP'!$A$3:$A$10005),0),MATCH('Reg 85'!$O$11,'DMR 001C TIN &amp; TP'!$A$2:$M$2,0))),"")</f>
        <v/>
      </c>
      <c r="U90" s="6" t="str">
        <f t="array" ref="U90">_xlfn.IFNA((INDEX('DMR 001C TIN &amp; TP'!$A$3:$M$10005,MATCH(('Reg 85'!$I$6:$Q$6&amp;'Reg 85'!U$10&amp;'Reg 85'!$B90),('DMR 001C TIN &amp; TP'!$E$3:$E$10005&amp;'DMR 001C TIN &amp; TP'!$B$3:$B$10005&amp;'DMR 001C TIN &amp; TP'!$A$3:$A$10005),0),MATCH('Reg 85'!$O$11,'DMR 001C TIN &amp; TP'!$A$2:$M$2,0))),"")</f>
        <v/>
      </c>
      <c r="V90" s="6" t="str">
        <f t="array" ref="V90">_xlfn.IFNA((INDEX('DMR 001C TIN &amp; TP'!$A$3:$M$10005,MATCH(('Reg 85'!$I$6:$Q$6&amp;'Reg 85'!V$10&amp;'Reg 85'!$B90),('DMR 001C TIN &amp; TP'!$E$3:$E$10005&amp;'DMR 001C TIN &amp; TP'!$B$3:$B$10005&amp;'DMR 001C TIN &amp; TP'!$A$3:$A$10005),0),MATCH('Reg 85'!$O$11,'DMR 001C TIN &amp; TP'!$A$2:$M$2,0))),"")</f>
        <v/>
      </c>
      <c r="W90" s="6" t="str">
        <f t="array" ref="W90">_xlfn.IFNA((INDEX('DMR 001C TIN &amp; TP'!$A$3:$M$10005,MATCH(('Reg 85'!$I$6:$Q$6&amp;'Reg 85'!W$10&amp;'Reg 85'!$B90),('DMR 001C TIN &amp; TP'!$E$3:$E$10005&amp;'DMR 001C TIN &amp; TP'!$B$3:$B$10005&amp;'DMR 001C TIN &amp; TP'!$A$3:$A$10005),0),MATCH('Reg 85'!$O$11,'DMR 001C TIN &amp; TP'!$A$2:$M$2,0))),"")</f>
        <v/>
      </c>
      <c r="X90" s="5" t="str">
        <f t="shared" si="50"/>
        <v/>
      </c>
      <c r="Y90" s="6" t="str">
        <f t="array" ref="Y90">_xlfn.IFNA((INDEX('DMR 001C TIN &amp; TP'!$A$3:$M$10005,MATCH(('Reg 85'!$X$6&amp;'Reg 85'!$X$10&amp;'Reg 85'!$B90),('DMR 001C TIN &amp; TP'!$E$3:$E$10005&amp;'DMR 001C TIN &amp; TP'!$B$3:$B$10005&amp;'DMR 001C TIN &amp; TP'!$A$3:$A$10005),0),MATCH('Reg 85'!$Y$11,'DMR 001C TIN &amp; TP'!$A$2:$M$2,0))),"")</f>
        <v/>
      </c>
      <c r="Z90" s="6" t="str">
        <f t="array" ref="Z90">_xlfn.IFNA((INDEX('DMR 001C TIN &amp; TP'!$A$3:$M$10005,MATCH(('Reg 85'!$X$6&amp;'Reg 85'!$X$10&amp;'Reg 85'!$B90),('DMR 001C TIN &amp; TP'!$E$3:$E$10005&amp;'DMR 001C TIN &amp; TP'!$B$3:$B$10005&amp;'DMR 001C TIN &amp; TP'!$A$3:$A$10005),0),MATCH('Reg 85'!$Z$11,'DMR 001C TIN &amp; TP'!$A$2:$M$2,0))),"")</f>
        <v/>
      </c>
      <c r="AA90" s="53" t="str">
        <f t="shared" si="51"/>
        <v/>
      </c>
      <c r="AB90" s="5" t="str">
        <f t="shared" si="52"/>
        <v/>
      </c>
      <c r="AC90" s="6" t="str">
        <f t="array" ref="AC90">_xlfn.IFNA((INDEX('DMR 001C TIN &amp; TP'!$A$3:$M$10005,MATCH(('Reg 85'!$X$6&amp;'Reg 85'!$AB$10&amp;'Reg 85'!$B90),('DMR 001C TIN &amp; TP'!$E$3:$E$10005&amp;'DMR 001C TIN &amp; TP'!$B$3:$B$10005&amp;'DMR 001C TIN &amp; TP'!$A$3:$A$10005),0),MATCH('Reg 85'!$AC$11,'DMR 001C TIN &amp; TP'!$A$2:$M$2,0))),"")</f>
        <v/>
      </c>
      <c r="AD90" s="6" t="str">
        <f t="array" ref="AD90">_xlfn.IFNA((INDEX('DMR 001C TIN &amp; TP'!$A$3:$M$10005,MATCH(('Reg 85'!$X$6&amp;'Reg 85'!$AB$10&amp;'Reg 85'!$B90),('DMR 001C TIN &amp; TP'!$E$3:$E$10005&amp;'DMR 001C TIN &amp; TP'!$B$3:$B$10005&amp;'DMR 001C TIN &amp; TP'!$A$3:$A$10005),0),MATCH('Reg 85'!$AD$11,'DMR 001C TIN &amp; TP'!$A$2:$M$2,0))),"")</f>
        <v/>
      </c>
      <c r="AE90" s="53" t="str">
        <f t="shared" si="53"/>
        <v/>
      </c>
      <c r="AF90" s="7" t="str">
        <f t="shared" si="54"/>
        <v/>
      </c>
      <c r="AG90" s="6" t="str">
        <f t="array" ref="AG90">_xlfn.IFNA((INDEX('DMR 001C TIN &amp; TP'!$A$3:$M$10005,MATCH(('Reg 85'!$X$6&amp;'Reg 85'!AG$10&amp;'Reg 85'!$B90),('DMR 001C TIN &amp; TP'!$E$3:$E$10005&amp;'DMR 001C TIN &amp; TP'!$B$3:$B$10005&amp;'DMR 001C TIN &amp; TP'!$A$3:$A$10005),0),MATCH('Reg 85'!$AG$11,'DMR 001C TIN &amp; TP'!$A$2:$M$2,0))),"")</f>
        <v/>
      </c>
      <c r="AH90" s="6" t="str">
        <f t="array" ref="AH90">_xlfn.IFNA((INDEX('DMR 001C TIN &amp; TP'!$A$3:$M$10005,MATCH(('Reg 85'!$X$6&amp;'Reg 85'!AH$10&amp;'Reg 85'!$B90),('DMR 001C TIN &amp; TP'!$E$3:$E$10005&amp;'DMR 001C TIN &amp; TP'!$B$3:$B$10005&amp;'DMR 001C TIN &amp; TP'!$A$3:$A$10005),0),MATCH('Reg 85'!$AG$11,'DMR 001C TIN &amp; TP'!$A$2:$M$2,0))),"")</f>
        <v/>
      </c>
      <c r="AI90" s="6" t="str">
        <f t="array" ref="AI90">_xlfn.IFNA((INDEX('DMR 001C TIN &amp; TP'!$A$3:$M$10005,MATCH(('Reg 85'!$X$6&amp;'Reg 85'!AI$10&amp;'Reg 85'!$B90),('DMR 001C TIN &amp; TP'!$E$3:$E$10005&amp;'DMR 001C TIN &amp; TP'!$B$3:$B$10005&amp;'DMR 001C TIN &amp; TP'!$A$3:$A$10005),0),MATCH('Reg 85'!$AG$11,'DMR 001C TIN &amp; TP'!$A$2:$M$2,0))),"")</f>
        <v/>
      </c>
      <c r="AJ90" s="6" t="str">
        <f t="array" ref="AJ90">_xlfn.IFNA((INDEX('DMR 001C TIN &amp; TP'!$A$3:$M$10005,MATCH(('Reg 85'!$X$6&amp;'Reg 85'!AJ$10&amp;'Reg 85'!$B90),('DMR 001C TIN &amp; TP'!$E$3:$E$10005&amp;'DMR 001C TIN &amp; TP'!$B$3:$B$10005&amp;'DMR 001C TIN &amp; TP'!$A$3:$A$10005),0),MATCH('Reg 85'!$AG$11,'DMR 001C TIN &amp; TP'!$A$2:$M$2,0))),"")</f>
        <v/>
      </c>
      <c r="AK90" s="6" t="str">
        <f t="array" ref="AK90">_xlfn.IFNA((INDEX('DMR 001C TIN &amp; TP'!$A$3:$M$10005,MATCH(('Reg 85'!$X$6&amp;'Reg 85'!AK$10&amp;'Reg 85'!$B90),('DMR 001C TIN &amp; TP'!$E$3:$E$10005&amp;'DMR 001C TIN &amp; TP'!$B$3:$B$10005&amp;'DMR 001C TIN &amp; TP'!$A$3:$A$10005),0),MATCH('Reg 85'!$AG$11,'DMR 001C TIN &amp; TP'!$A$2:$M$2,0))),"")</f>
        <v/>
      </c>
      <c r="AL90" s="6" t="str">
        <f t="array" ref="AL90">_xlfn.IFNA((INDEX('DMR 001C TIN &amp; TP'!$A$3:$M$10005,MATCH(('Reg 85'!$X$6&amp;'Reg 85'!AL$10&amp;'Reg 85'!$B90),('DMR 001C TIN &amp; TP'!$E$3:$E$10005&amp;'DMR 001C TIN &amp; TP'!$B$3:$B$10005&amp;'DMR 001C TIN &amp; TP'!$A$3:$A$10005),0),MATCH('Reg 85'!$AG$11,'DMR 001C TIN &amp; TP'!$A$2:$M$2,0))),"")</f>
        <v/>
      </c>
      <c r="AM90" s="76"/>
      <c r="AN90" s="6"/>
      <c r="AO90" s="54" t="str">
        <f t="shared" si="41"/>
        <v/>
      </c>
      <c r="AP90" s="77" t="str">
        <f t="shared" si="39"/>
        <v/>
      </c>
      <c r="AQ90" s="47"/>
      <c r="AR90" s="6" t="str">
        <f t="array" ref="AR90">_xlfn.IFNA((INDEX('DMR 001C TIN &amp; TP'!$A$3:$M$10005,MATCH(('Reg 85'!$AQ$6&amp;'Reg 85'!$AQ$10&amp;'Reg 85'!$B90),('DMR 001C TIN &amp; TP'!$E$3:$E$10005&amp;'DMR 001C TIN &amp; TP'!$B$3:$B$10005&amp;'DMR 001C TIN &amp; TP'!$A$3:$A$10005),0),MATCH('Reg 85'!$AR$11,'DMR 001C TIN &amp; TP'!$A$2:$M$2,0))),"")</f>
        <v>0.03</v>
      </c>
      <c r="AS90" s="6">
        <f t="array" ref="AS90">_xlfn.IFNA((INDEX('DMR 001C TIN &amp; TP'!$A$3:$M$10005,MATCH(('Reg 85'!$AQ$6&amp;'Reg 85'!$AQ$10&amp;'Reg 85'!$B90),('DMR 001C TIN &amp; TP'!$E$3:$E$10005&amp;'DMR 001C TIN &amp; TP'!$B$3:$B$10005&amp;'DMR 001C TIN &amp; TP'!$A$3:$A$10005),0),MATCH('Reg 85'!$AS$11,'DMR 001C TIN &amp; TP'!$A$2:$M$2,0))),"")</f>
        <v>0.26</v>
      </c>
      <c r="AT90" s="53">
        <f t="shared" si="55"/>
        <v>0.26</v>
      </c>
      <c r="AV90" s="6" t="str">
        <f t="array" ref="AV90">_xlfn.IFNA((INDEX('DMR 001C TIN &amp; TP'!$A$3:$M$10005,MATCH(('Reg 85'!$AQ$6&amp;'Reg 85'!$AU$10&amp;'Reg 85'!$B90),('DMR 001C TIN &amp; TP'!$E$3:$E$10005&amp;'DMR 001C TIN &amp; TP'!$B$3:$B$10005&amp;'DMR 001C TIN &amp; TP'!$A$3:$A$10005),0),MATCH('Reg 85'!$AV$11,'DMR 001C TIN &amp; TP'!$A$2:$M$2,0))),"")</f>
        <v>0.03</v>
      </c>
      <c r="AW90" s="6">
        <f t="array" ref="AW90">_xlfn.IFNA((INDEX('DMR 001C TIN &amp; TP'!$A$3:$M$10005,MATCH(('Reg 85'!$AQ$6&amp;'Reg 85'!$AU$10&amp;'Reg 85'!$B90),('DMR 001C TIN &amp; TP'!$E$3:$E$10005&amp;'DMR 001C TIN &amp; TP'!$B$3:$B$10005&amp;'DMR 001C TIN &amp; TP'!$A$3:$A$10005),0),MATCH('Reg 85'!$AW$11,'DMR 001C TIN &amp; TP'!$A$2:$M$2,0))),"")</f>
        <v>1.48</v>
      </c>
      <c r="AX90" s="53">
        <f t="shared" si="56"/>
        <v>1.48</v>
      </c>
      <c r="AY90" s="55">
        <f t="shared" si="57"/>
        <v>0.99123882826422127</v>
      </c>
      <c r="AZ90" s="77" t="str">
        <f t="shared" si="40"/>
        <v/>
      </c>
      <c r="BA90" s="6" t="str">
        <f t="array" ref="BA90">_xlfn.IFNA((INDEX('DMR 001C TIN &amp; TP'!$A$3:$M$10005,MATCH(('Reg 85'!$AQ$6&amp;'Reg 85'!BA$10&amp;'Reg 85'!$B90),('DMR 001C TIN &amp; TP'!$E$3:$E$10005&amp;'DMR 001C TIN &amp; TP'!$B$3:$B$10005&amp;'DMR 001C TIN &amp; TP'!$A$3:$A$10005),0),MATCH('Reg 85'!$AG$11,'DMR 001C TIN &amp; TP'!$A$2:$M$2,0))),"")</f>
        <v/>
      </c>
      <c r="BB90" s="6" t="str">
        <f t="array" ref="BB90">_xlfn.IFNA((INDEX('DMR 001C TIN &amp; TP'!$A$3:$M$10005,MATCH(('Reg 85'!$AQ$6&amp;'Reg 85'!BB$10&amp;'Reg 85'!$B90),('DMR 001C TIN &amp; TP'!$E$3:$E$10005&amp;'DMR 001C TIN &amp; TP'!$B$3:$B$10005&amp;'DMR 001C TIN &amp; TP'!$A$3:$A$10005),0),MATCH('Reg 85'!$AG$11,'DMR 001C TIN &amp; TP'!$A$2:$M$2,0))),"")</f>
        <v/>
      </c>
      <c r="BC90" s="6" t="str">
        <f t="array" ref="BC90">_xlfn.IFNA((INDEX('DMR 001C TIN &amp; TP'!$A$3:$M$10005,MATCH(('Reg 85'!$AQ$6&amp;'Reg 85'!BC$10&amp;'Reg 85'!$B90),('DMR 001C TIN &amp; TP'!$E$3:$E$10005&amp;'DMR 001C TIN &amp; TP'!$B$3:$B$10005&amp;'DMR 001C TIN &amp; TP'!$A$3:$A$10005),0),MATCH('Reg 85'!$AG$11,'DMR 001C TIN &amp; TP'!$A$2:$M$2,0))),"")</f>
        <v/>
      </c>
      <c r="BD90" s="6" t="str">
        <f t="array" ref="BD90">_xlfn.IFNA((INDEX('DMR 001C TIN &amp; TP'!$A$3:$M$10005,MATCH(('Reg 85'!$AQ$6&amp;'Reg 85'!BD$10&amp;'Reg 85'!$B90),('DMR 001C TIN &amp; TP'!$E$3:$E$10005&amp;'DMR 001C TIN &amp; TP'!$B$3:$B$10005&amp;'DMR 001C TIN &amp; TP'!$A$3:$A$10005),0),MATCH('Reg 85'!$AG$11,'DMR 001C TIN &amp; TP'!$A$2:$M$2,0))),"")</f>
        <v/>
      </c>
      <c r="BE90" s="6" t="str">
        <f t="array" ref="BE90">_xlfn.IFNA((INDEX('DMR 001C TIN &amp; TP'!$A$3:$M$10005,MATCH(('Reg 85'!$AQ$6&amp;'Reg 85'!BE$10&amp;'Reg 85'!$B90),('DMR 001C TIN &amp; TP'!$E$3:$E$10005&amp;'DMR 001C TIN &amp; TP'!$B$3:$B$10005&amp;'DMR 001C TIN &amp; TP'!$A$3:$A$10005),0),MATCH('Reg 85'!$AG$11,'DMR 001C TIN &amp; TP'!$A$2:$M$2,0))),"")</f>
        <v/>
      </c>
      <c r="BF90" s="6" t="str">
        <f t="array" ref="BF90">_xlfn.IFNA((INDEX('DMR 001C TIN &amp; TP'!$A$3:$M$10005,MATCH(('Reg 85'!$AQ$6&amp;'Reg 85'!BF$10&amp;'Reg 85'!$B90),('DMR 001C TIN &amp; TP'!$E$3:$E$10005&amp;'DMR 001C TIN &amp; TP'!$B$3:$B$10005&amp;'DMR 001C TIN &amp; TP'!$A$3:$A$10005),0),MATCH('Reg 85'!$AG$11,'DMR 001C TIN &amp; TP'!$A$2:$M$2,0))),"")</f>
        <v/>
      </c>
    </row>
    <row r="91" spans="1:58">
      <c r="A91" s="3" t="str">
        <f t="shared" si="42"/>
        <v>Mon</v>
      </c>
      <c r="B91" s="96">
        <f t="shared" si="58"/>
        <v>43423</v>
      </c>
      <c r="C91" s="96">
        <f t="shared" si="43"/>
        <v>43434</v>
      </c>
      <c r="D91" s="96">
        <f t="shared" si="44"/>
        <v>43405</v>
      </c>
      <c r="E91" s="95">
        <f t="shared" si="45"/>
        <v>30</v>
      </c>
      <c r="F91" s="7">
        <f t="array" ref="F91">_xlfn.IFNA(INDEX('DMR Flows-Effluent'!$A$3:$F$9999,MATCH(($F$10&amp;$B91),('DMR Flows-Effluent'!$B$3:$B$9999&amp;'DMR Flows-Effluent'!$A$3:$A$9999),0),MATCH($F$8,'DMR Flows-Effluent'!$A$2:$F$2,0)),"")</f>
        <v>47.898600000000002</v>
      </c>
      <c r="G91" s="7">
        <f t="array" ref="G91">_xlfn.IFNA(INDEX('DMR Flows-Effluent'!$A$3:$F$9999,MATCH(($G$10&amp;$B91),('DMR Flows-Effluent'!$B$3:$B$9999&amp;'DMR Flows-Effluent'!$A$3:$A$9999),0),MATCH($F$8,'DMR Flows-Effluent'!$A$2:$F$2,0)),"")</f>
        <v>74.404300000000006</v>
      </c>
      <c r="H91" s="7">
        <f t="shared" si="46"/>
        <v>122.30290000000001</v>
      </c>
      <c r="I91" s="45" t="str">
        <f t="shared" si="47"/>
        <v/>
      </c>
      <c r="J91" s="6" t="str">
        <f t="array" ref="J91">_xlfn.IFNA((INDEX('DMR 001C TIN &amp; TP'!$A$3:$M$10005,MATCH(('Reg 85'!$I$6:$Q$6&amp;'Reg 85'!$I$10:$K$10&amp;'Reg 85'!$B91),('DMR 001C TIN &amp; TP'!$E$3:$E$10005&amp;'DMR 001C TIN &amp; TP'!$B$3:$B$10005&amp;'DMR 001C TIN &amp; TP'!$A$3:$A$10005),0),MATCH('Reg 85'!$J$11,'DMR 001C TIN &amp; TP'!$A$2:$M$2,0))),"")</f>
        <v>0.15</v>
      </c>
      <c r="K91" s="6">
        <f t="array" ref="K91">_xlfn.IFNA((INDEX('DMR 001C TIN &amp; TP'!$A$3:$M$10005,MATCH(('Reg 85'!$I$6:$Q$6&amp;'Reg 85'!$I$10:$K$10&amp;'Reg 85'!$B91),('DMR 001C TIN &amp; TP'!$E$3:$E$10005&amp;'DMR 001C TIN &amp; TP'!$B$3:$B$10005&amp;'DMR 001C TIN &amp; TP'!$A$3:$A$10005),0),MATCH('Reg 85'!$K$11,'DMR 001C TIN &amp; TP'!$A$2:$M$2,0))),"")</f>
        <v>0.86</v>
      </c>
      <c r="L91" s="53">
        <f t="shared" si="59"/>
        <v>0.86</v>
      </c>
      <c r="M91" s="5" t="str">
        <f t="shared" si="48"/>
        <v/>
      </c>
      <c r="N91" s="6" t="str">
        <f t="array" ref="N91">_xlfn.IFNA((INDEX('DMR 001C TIN &amp; TP'!$A$3:$M$10005,MATCH(('Reg 85'!$I$6:$Q$6&amp;'Reg 85'!$M$10&amp;'Reg 85'!$B91),('DMR 001C TIN &amp; TP'!$E$3:$E$10005&amp;'DMR 001C TIN &amp; TP'!$B$3:$B$10005&amp;'DMR 001C TIN &amp; TP'!$A$3:$A$10005),0),MATCH('Reg 85'!$N$11,'DMR 001C TIN &amp; TP'!$A$2:$M$2,0))),"")</f>
        <v>0.15</v>
      </c>
      <c r="O91" s="6">
        <f t="array" ref="O91">_xlfn.IFNA((INDEX('DMR 001C TIN &amp; TP'!$A$3:$M$10005,MATCH(('Reg 85'!$I$6:$Q$6&amp;'Reg 85'!$M$10&amp;'Reg 85'!$B91),('DMR 001C TIN &amp; TP'!$E$3:$E$10005&amp;'DMR 001C TIN &amp; TP'!$B$3:$B$10005&amp;'DMR 001C TIN &amp; TP'!$A$3:$A$10005),0),MATCH('Reg 85'!$O$11,'DMR 001C TIN &amp; TP'!$A$2:$M$2,0))),"")</f>
        <v>3.01</v>
      </c>
      <c r="P91" s="53">
        <f t="shared" si="49"/>
        <v>3.01</v>
      </c>
      <c r="Q91" s="73">
        <f t="array" ref="Q91">IFERROR(((L91*$F91)+(P91*$G91))/($H91),"")</f>
        <v>2.1679758942756058</v>
      </c>
      <c r="R91" s="6" t="str">
        <f t="array" ref="R91">_xlfn.IFNA((INDEX('DMR 001C TIN &amp; TP'!$A$3:$M$10005,MATCH(('Reg 85'!$I$6:$Q$6&amp;'Reg 85'!R$10&amp;'Reg 85'!$B91),('DMR 001C TIN &amp; TP'!$E$3:$E$10005&amp;'DMR 001C TIN &amp; TP'!$B$3:$B$10005&amp;'DMR 001C TIN &amp; TP'!$A$3:$A$10005),0),MATCH('Reg 85'!$O$11,'DMR 001C TIN &amp; TP'!$A$2:$M$2,0))),"")</f>
        <v/>
      </c>
      <c r="S91" s="6" t="str">
        <f t="array" ref="S91">_xlfn.IFNA((INDEX('DMR 001C TIN &amp; TP'!$A$3:$M$10005,MATCH(('Reg 85'!$I$6:$Q$6&amp;'Reg 85'!S$10&amp;'Reg 85'!$B91),('DMR 001C TIN &amp; TP'!$E$3:$E$10005&amp;'DMR 001C TIN &amp; TP'!$B$3:$B$10005&amp;'DMR 001C TIN &amp; TP'!$A$3:$A$10005),0),MATCH('Reg 85'!$O$11,'DMR 001C TIN &amp; TP'!$A$2:$M$2,0))),"")</f>
        <v/>
      </c>
      <c r="T91" s="6" t="str">
        <f t="array" ref="T91">_xlfn.IFNA((INDEX('DMR 001C TIN &amp; TP'!$A$3:$M$10005,MATCH(('Reg 85'!$I$6:$Q$6&amp;'Reg 85'!T$10&amp;'Reg 85'!$B91),('DMR 001C TIN &amp; TP'!$E$3:$E$10005&amp;'DMR 001C TIN &amp; TP'!$B$3:$B$10005&amp;'DMR 001C TIN &amp; TP'!$A$3:$A$10005),0),MATCH('Reg 85'!$O$11,'DMR 001C TIN &amp; TP'!$A$2:$M$2,0))),"")</f>
        <v/>
      </c>
      <c r="U91" s="6" t="str">
        <f t="array" ref="U91">_xlfn.IFNA((INDEX('DMR 001C TIN &amp; TP'!$A$3:$M$10005,MATCH(('Reg 85'!$I$6:$Q$6&amp;'Reg 85'!U$10&amp;'Reg 85'!$B91),('DMR 001C TIN &amp; TP'!$E$3:$E$10005&amp;'DMR 001C TIN &amp; TP'!$B$3:$B$10005&amp;'DMR 001C TIN &amp; TP'!$A$3:$A$10005),0),MATCH('Reg 85'!$O$11,'DMR 001C TIN &amp; TP'!$A$2:$M$2,0))),"")</f>
        <v/>
      </c>
      <c r="V91" s="6" t="str">
        <f t="array" ref="V91">_xlfn.IFNA((INDEX('DMR 001C TIN &amp; TP'!$A$3:$M$10005,MATCH(('Reg 85'!$I$6:$Q$6&amp;'Reg 85'!V$10&amp;'Reg 85'!$B91),('DMR 001C TIN &amp; TP'!$E$3:$E$10005&amp;'DMR 001C TIN &amp; TP'!$B$3:$B$10005&amp;'DMR 001C TIN &amp; TP'!$A$3:$A$10005),0),MATCH('Reg 85'!$O$11,'DMR 001C TIN &amp; TP'!$A$2:$M$2,0))),"")</f>
        <v/>
      </c>
      <c r="W91" s="6" t="str">
        <f t="array" ref="W91">_xlfn.IFNA((INDEX('DMR 001C TIN &amp; TP'!$A$3:$M$10005,MATCH(('Reg 85'!$I$6:$Q$6&amp;'Reg 85'!W$10&amp;'Reg 85'!$B91),('DMR 001C TIN &amp; TP'!$E$3:$E$10005&amp;'DMR 001C TIN &amp; TP'!$B$3:$B$10005&amp;'DMR 001C TIN &amp; TP'!$A$3:$A$10005),0),MATCH('Reg 85'!$O$11,'DMR 001C TIN &amp; TP'!$A$2:$M$2,0))),"")</f>
        <v/>
      </c>
      <c r="X91" s="5" t="str">
        <f t="shared" si="50"/>
        <v/>
      </c>
      <c r="Y91" s="6" t="str">
        <f t="array" ref="Y91">_xlfn.IFNA((INDEX('DMR 001C TIN &amp; TP'!$A$3:$M$10005,MATCH(('Reg 85'!$X$6&amp;'Reg 85'!$X$10&amp;'Reg 85'!$B91),('DMR 001C TIN &amp; TP'!$E$3:$E$10005&amp;'DMR 001C TIN &amp; TP'!$B$3:$B$10005&amp;'DMR 001C TIN &amp; TP'!$A$3:$A$10005),0),MATCH('Reg 85'!$Y$11,'DMR 001C TIN &amp; TP'!$A$2:$M$2,0))),"")</f>
        <v>0.06</v>
      </c>
      <c r="Z91" s="6">
        <f t="array" ref="Z91">_xlfn.IFNA((INDEX('DMR 001C TIN &amp; TP'!$A$3:$M$10005,MATCH(('Reg 85'!$X$6&amp;'Reg 85'!$X$10&amp;'Reg 85'!$B91),('DMR 001C TIN &amp; TP'!$E$3:$E$10005&amp;'DMR 001C TIN &amp; TP'!$B$3:$B$10005&amp;'DMR 001C TIN &amp; TP'!$A$3:$A$10005),0),MATCH('Reg 85'!$Z$11,'DMR 001C TIN &amp; TP'!$A$2:$M$2,0))),"")</f>
        <v>3.7</v>
      </c>
      <c r="AA91" s="53">
        <f t="shared" si="51"/>
        <v>3.7</v>
      </c>
      <c r="AB91" s="5" t="str">
        <f t="shared" si="52"/>
        <v/>
      </c>
      <c r="AC91" s="6" t="str">
        <f t="array" ref="AC91">_xlfn.IFNA((INDEX('DMR 001C TIN &amp; TP'!$A$3:$M$10005,MATCH(('Reg 85'!$X$6&amp;'Reg 85'!$AB$10&amp;'Reg 85'!$B91),('DMR 001C TIN &amp; TP'!$E$3:$E$10005&amp;'DMR 001C TIN &amp; TP'!$B$3:$B$10005&amp;'DMR 001C TIN &amp; TP'!$A$3:$A$10005),0),MATCH('Reg 85'!$AC$11,'DMR 001C TIN &amp; TP'!$A$2:$M$2,0))),"")</f>
        <v>0.18</v>
      </c>
      <c r="AD91" s="6">
        <f t="array" ref="AD91">_xlfn.IFNA((INDEX('DMR 001C TIN &amp; TP'!$A$3:$M$10005,MATCH(('Reg 85'!$X$6&amp;'Reg 85'!$AB$10&amp;'Reg 85'!$B91),('DMR 001C TIN &amp; TP'!$E$3:$E$10005&amp;'DMR 001C TIN &amp; TP'!$B$3:$B$10005&amp;'DMR 001C TIN &amp; TP'!$A$3:$A$10005),0),MATCH('Reg 85'!$AD$11,'DMR 001C TIN &amp; TP'!$A$2:$M$2,0))),"")</f>
        <v>4.71</v>
      </c>
      <c r="AE91" s="53">
        <f t="shared" si="53"/>
        <v>4.71</v>
      </c>
      <c r="AF91" s="7">
        <f t="shared" si="54"/>
        <v>4.3144444898690057</v>
      </c>
      <c r="AG91" s="6" t="str">
        <f t="array" ref="AG91">_xlfn.IFNA((INDEX('DMR 001C TIN &amp; TP'!$A$3:$M$10005,MATCH(('Reg 85'!$X$6&amp;'Reg 85'!AG$10&amp;'Reg 85'!$B91),('DMR 001C TIN &amp; TP'!$E$3:$E$10005&amp;'DMR 001C TIN &amp; TP'!$B$3:$B$10005&amp;'DMR 001C TIN &amp; TP'!$A$3:$A$10005),0),MATCH('Reg 85'!$AG$11,'DMR 001C TIN &amp; TP'!$A$2:$M$2,0))),"")</f>
        <v/>
      </c>
      <c r="AH91" s="6" t="str">
        <f t="array" ref="AH91">_xlfn.IFNA((INDEX('DMR 001C TIN &amp; TP'!$A$3:$M$10005,MATCH(('Reg 85'!$X$6&amp;'Reg 85'!AH$10&amp;'Reg 85'!$B91),('DMR 001C TIN &amp; TP'!$E$3:$E$10005&amp;'DMR 001C TIN &amp; TP'!$B$3:$B$10005&amp;'DMR 001C TIN &amp; TP'!$A$3:$A$10005),0),MATCH('Reg 85'!$AG$11,'DMR 001C TIN &amp; TP'!$A$2:$M$2,0))),"")</f>
        <v/>
      </c>
      <c r="AI91" s="6" t="str">
        <f t="array" ref="AI91">_xlfn.IFNA((INDEX('DMR 001C TIN &amp; TP'!$A$3:$M$10005,MATCH(('Reg 85'!$X$6&amp;'Reg 85'!AI$10&amp;'Reg 85'!$B91),('DMR 001C TIN &amp; TP'!$E$3:$E$10005&amp;'DMR 001C TIN &amp; TP'!$B$3:$B$10005&amp;'DMR 001C TIN &amp; TP'!$A$3:$A$10005),0),MATCH('Reg 85'!$AG$11,'DMR 001C TIN &amp; TP'!$A$2:$M$2,0))),"")</f>
        <v/>
      </c>
      <c r="AJ91" s="6" t="str">
        <f t="array" ref="AJ91">_xlfn.IFNA((INDEX('DMR 001C TIN &amp; TP'!$A$3:$M$10005,MATCH(('Reg 85'!$X$6&amp;'Reg 85'!AJ$10&amp;'Reg 85'!$B91),('DMR 001C TIN &amp; TP'!$E$3:$E$10005&amp;'DMR 001C TIN &amp; TP'!$B$3:$B$10005&amp;'DMR 001C TIN &amp; TP'!$A$3:$A$10005),0),MATCH('Reg 85'!$AG$11,'DMR 001C TIN &amp; TP'!$A$2:$M$2,0))),"")</f>
        <v/>
      </c>
      <c r="AK91" s="6" t="str">
        <f t="array" ref="AK91">_xlfn.IFNA((INDEX('DMR 001C TIN &amp; TP'!$A$3:$M$10005,MATCH(('Reg 85'!$X$6&amp;'Reg 85'!AK$10&amp;'Reg 85'!$B91),('DMR 001C TIN &amp; TP'!$E$3:$E$10005&amp;'DMR 001C TIN &amp; TP'!$B$3:$B$10005&amp;'DMR 001C TIN &amp; TP'!$A$3:$A$10005),0),MATCH('Reg 85'!$AG$11,'DMR 001C TIN &amp; TP'!$A$2:$M$2,0))),"")</f>
        <v/>
      </c>
      <c r="AL91" s="6" t="str">
        <f t="array" ref="AL91">_xlfn.IFNA((INDEX('DMR 001C TIN &amp; TP'!$A$3:$M$10005,MATCH(('Reg 85'!$X$6&amp;'Reg 85'!AL$10&amp;'Reg 85'!$B91),('DMR 001C TIN &amp; TP'!$E$3:$E$10005&amp;'DMR 001C TIN &amp; TP'!$B$3:$B$10005&amp;'DMR 001C TIN &amp; TP'!$A$3:$A$10005),0),MATCH('Reg 85'!$AG$11,'DMR 001C TIN &amp; TP'!$A$2:$M$2,0))),"")</f>
        <v/>
      </c>
      <c r="AM91" s="76"/>
      <c r="AN91" s="6"/>
      <c r="AO91" s="54">
        <f t="shared" si="41"/>
        <v>6.4824203841446115</v>
      </c>
      <c r="AP91" s="77" t="str">
        <f t="shared" si="39"/>
        <v/>
      </c>
      <c r="AQ91" s="47"/>
      <c r="AR91" s="6" t="str">
        <f t="array" ref="AR91">_xlfn.IFNA((INDEX('DMR 001C TIN &amp; TP'!$A$3:$M$10005,MATCH(('Reg 85'!$AQ$6&amp;'Reg 85'!$AQ$10&amp;'Reg 85'!$B91),('DMR 001C TIN &amp; TP'!$E$3:$E$10005&amp;'DMR 001C TIN &amp; TP'!$B$3:$B$10005&amp;'DMR 001C TIN &amp; TP'!$A$3:$A$10005),0),MATCH('Reg 85'!$AR$11,'DMR 001C TIN &amp; TP'!$A$2:$M$2,0))),"")</f>
        <v/>
      </c>
      <c r="AS91" s="6" t="str">
        <f t="array" ref="AS91">_xlfn.IFNA((INDEX('DMR 001C TIN &amp; TP'!$A$3:$M$10005,MATCH(('Reg 85'!$AQ$6&amp;'Reg 85'!$AQ$10&amp;'Reg 85'!$B91),('DMR 001C TIN &amp; TP'!$E$3:$E$10005&amp;'DMR 001C TIN &amp; TP'!$B$3:$B$10005&amp;'DMR 001C TIN &amp; TP'!$A$3:$A$10005),0),MATCH('Reg 85'!$AS$11,'DMR 001C TIN &amp; TP'!$A$2:$M$2,0))),"")</f>
        <v/>
      </c>
      <c r="AT91" s="53" t="str">
        <f t="shared" si="55"/>
        <v/>
      </c>
      <c r="AV91" s="6" t="str">
        <f t="array" ref="AV91">_xlfn.IFNA((INDEX('DMR 001C TIN &amp; TP'!$A$3:$M$10005,MATCH(('Reg 85'!$AQ$6&amp;'Reg 85'!$AU$10&amp;'Reg 85'!$B91),('DMR 001C TIN &amp; TP'!$E$3:$E$10005&amp;'DMR 001C TIN &amp; TP'!$B$3:$B$10005&amp;'DMR 001C TIN &amp; TP'!$A$3:$A$10005),0),MATCH('Reg 85'!$AV$11,'DMR 001C TIN &amp; TP'!$A$2:$M$2,0))),"")</f>
        <v/>
      </c>
      <c r="AW91" s="6" t="str">
        <f t="array" ref="AW91">_xlfn.IFNA((INDEX('DMR 001C TIN &amp; TP'!$A$3:$M$10005,MATCH(('Reg 85'!$AQ$6&amp;'Reg 85'!$AU$10&amp;'Reg 85'!$B91),('DMR 001C TIN &amp; TP'!$E$3:$E$10005&amp;'DMR 001C TIN &amp; TP'!$B$3:$B$10005&amp;'DMR 001C TIN &amp; TP'!$A$3:$A$10005),0),MATCH('Reg 85'!$AW$11,'DMR 001C TIN &amp; TP'!$A$2:$M$2,0))),"")</f>
        <v/>
      </c>
      <c r="AX91" s="53" t="str">
        <f t="shared" si="56"/>
        <v/>
      </c>
      <c r="AY91" s="55" t="str">
        <f t="shared" si="57"/>
        <v/>
      </c>
      <c r="AZ91" s="77" t="str">
        <f t="shared" si="40"/>
        <v/>
      </c>
      <c r="BA91" s="6" t="str">
        <f t="array" ref="BA91">_xlfn.IFNA((INDEX('DMR 001C TIN &amp; TP'!$A$3:$M$10005,MATCH(('Reg 85'!$AQ$6&amp;'Reg 85'!BA$10&amp;'Reg 85'!$B91),('DMR 001C TIN &amp; TP'!$E$3:$E$10005&amp;'DMR 001C TIN &amp; TP'!$B$3:$B$10005&amp;'DMR 001C TIN &amp; TP'!$A$3:$A$10005),0),MATCH('Reg 85'!$AG$11,'DMR 001C TIN &amp; TP'!$A$2:$M$2,0))),"")</f>
        <v/>
      </c>
      <c r="BB91" s="6" t="str">
        <f t="array" ref="BB91">_xlfn.IFNA((INDEX('DMR 001C TIN &amp; TP'!$A$3:$M$10005,MATCH(('Reg 85'!$AQ$6&amp;'Reg 85'!BB$10&amp;'Reg 85'!$B91),('DMR 001C TIN &amp; TP'!$E$3:$E$10005&amp;'DMR 001C TIN &amp; TP'!$B$3:$B$10005&amp;'DMR 001C TIN &amp; TP'!$A$3:$A$10005),0),MATCH('Reg 85'!$AG$11,'DMR 001C TIN &amp; TP'!$A$2:$M$2,0))),"")</f>
        <v/>
      </c>
      <c r="BC91" s="6" t="str">
        <f t="array" ref="BC91">_xlfn.IFNA((INDEX('DMR 001C TIN &amp; TP'!$A$3:$M$10005,MATCH(('Reg 85'!$AQ$6&amp;'Reg 85'!BC$10&amp;'Reg 85'!$B91),('DMR 001C TIN &amp; TP'!$E$3:$E$10005&amp;'DMR 001C TIN &amp; TP'!$B$3:$B$10005&amp;'DMR 001C TIN &amp; TP'!$A$3:$A$10005),0),MATCH('Reg 85'!$AG$11,'DMR 001C TIN &amp; TP'!$A$2:$M$2,0))),"")</f>
        <v/>
      </c>
      <c r="BD91" s="6" t="str">
        <f t="array" ref="BD91">_xlfn.IFNA((INDEX('DMR 001C TIN &amp; TP'!$A$3:$M$10005,MATCH(('Reg 85'!$AQ$6&amp;'Reg 85'!BD$10&amp;'Reg 85'!$B91),('DMR 001C TIN &amp; TP'!$E$3:$E$10005&amp;'DMR 001C TIN &amp; TP'!$B$3:$B$10005&amp;'DMR 001C TIN &amp; TP'!$A$3:$A$10005),0),MATCH('Reg 85'!$AG$11,'DMR 001C TIN &amp; TP'!$A$2:$M$2,0))),"")</f>
        <v/>
      </c>
      <c r="BE91" s="6" t="str">
        <f t="array" ref="BE91">_xlfn.IFNA((INDEX('DMR 001C TIN &amp; TP'!$A$3:$M$10005,MATCH(('Reg 85'!$AQ$6&amp;'Reg 85'!BE$10&amp;'Reg 85'!$B91),('DMR 001C TIN &amp; TP'!$E$3:$E$10005&amp;'DMR 001C TIN &amp; TP'!$B$3:$B$10005&amp;'DMR 001C TIN &amp; TP'!$A$3:$A$10005),0),MATCH('Reg 85'!$AG$11,'DMR 001C TIN &amp; TP'!$A$2:$M$2,0))),"")</f>
        <v/>
      </c>
      <c r="BF91" s="6" t="str">
        <f t="array" ref="BF91">_xlfn.IFNA((INDEX('DMR 001C TIN &amp; TP'!$A$3:$M$10005,MATCH(('Reg 85'!$AQ$6&amp;'Reg 85'!BF$10&amp;'Reg 85'!$B91),('DMR 001C TIN &amp; TP'!$E$3:$E$10005&amp;'DMR 001C TIN &amp; TP'!$B$3:$B$10005&amp;'DMR 001C TIN &amp; TP'!$A$3:$A$10005),0),MATCH('Reg 85'!$AG$11,'DMR 001C TIN &amp; TP'!$A$2:$M$2,0))),"")</f>
        <v/>
      </c>
    </row>
    <row r="92" spans="1:58">
      <c r="A92" s="3" t="str">
        <f t="shared" si="42"/>
        <v>Tue</v>
      </c>
      <c r="B92" s="96">
        <f t="shared" si="58"/>
        <v>43424</v>
      </c>
      <c r="C92" s="96">
        <f t="shared" si="43"/>
        <v>43434</v>
      </c>
      <c r="D92" s="96">
        <f t="shared" si="44"/>
        <v>43405</v>
      </c>
      <c r="E92" s="95">
        <f t="shared" si="45"/>
        <v>30</v>
      </c>
      <c r="F92" s="7">
        <f t="array" ref="F92">_xlfn.IFNA(INDEX('DMR Flows-Effluent'!$A$3:$F$9999,MATCH(($F$10&amp;$B92),('DMR Flows-Effluent'!$B$3:$B$9999&amp;'DMR Flows-Effluent'!$A$3:$A$9999),0),MATCH($F$8,'DMR Flows-Effluent'!$A$2:$F$2,0)),"")</f>
        <v>47.952399999999997</v>
      </c>
      <c r="G92" s="7">
        <f t="array" ref="G92">_xlfn.IFNA(INDEX('DMR Flows-Effluent'!$A$3:$F$9999,MATCH(($G$10&amp;$B92),('DMR Flows-Effluent'!$B$3:$B$9999&amp;'DMR Flows-Effluent'!$A$3:$A$9999),0),MATCH($F$8,'DMR Flows-Effluent'!$A$2:$F$2,0)),"")</f>
        <v>71.224400000000003</v>
      </c>
      <c r="H92" s="7">
        <f t="shared" si="46"/>
        <v>119.1768</v>
      </c>
      <c r="I92" s="45" t="str">
        <f t="shared" si="47"/>
        <v/>
      </c>
      <c r="J92" s="6" t="str">
        <f t="array" ref="J92">_xlfn.IFNA((INDEX('DMR 001C TIN &amp; TP'!$A$3:$M$10005,MATCH(('Reg 85'!$I$6:$Q$6&amp;'Reg 85'!$I$10:$K$10&amp;'Reg 85'!$B92),('DMR 001C TIN &amp; TP'!$E$3:$E$10005&amp;'DMR 001C TIN &amp; TP'!$B$3:$B$10005&amp;'DMR 001C TIN &amp; TP'!$A$3:$A$10005),0),MATCH('Reg 85'!$J$11,'DMR 001C TIN &amp; TP'!$A$2:$M$2,0))),"")</f>
        <v>0.15</v>
      </c>
      <c r="K92" s="6">
        <f t="array" ref="K92">_xlfn.IFNA((INDEX('DMR 001C TIN &amp; TP'!$A$3:$M$10005,MATCH(('Reg 85'!$I$6:$Q$6&amp;'Reg 85'!$I$10:$K$10&amp;'Reg 85'!$B92),('DMR 001C TIN &amp; TP'!$E$3:$E$10005&amp;'DMR 001C TIN &amp; TP'!$B$3:$B$10005&amp;'DMR 001C TIN &amp; TP'!$A$3:$A$10005),0),MATCH('Reg 85'!$K$11,'DMR 001C TIN &amp; TP'!$A$2:$M$2,0))),"")</f>
        <v>0.35</v>
      </c>
      <c r="L92" s="53">
        <f t="shared" si="59"/>
        <v>0.35</v>
      </c>
      <c r="M92" s="5" t="str">
        <f t="shared" si="48"/>
        <v/>
      </c>
      <c r="N92" s="6" t="str">
        <f t="array" ref="N92">_xlfn.IFNA((INDEX('DMR 001C TIN &amp; TP'!$A$3:$M$10005,MATCH(('Reg 85'!$I$6:$Q$6&amp;'Reg 85'!$M$10&amp;'Reg 85'!$B92),('DMR 001C TIN &amp; TP'!$E$3:$E$10005&amp;'DMR 001C TIN &amp; TP'!$B$3:$B$10005&amp;'DMR 001C TIN &amp; TP'!$A$3:$A$10005),0),MATCH('Reg 85'!$N$11,'DMR 001C TIN &amp; TP'!$A$2:$M$2,0))),"")</f>
        <v>0.15</v>
      </c>
      <c r="O92" s="6">
        <f t="array" ref="O92">_xlfn.IFNA((INDEX('DMR 001C TIN &amp; TP'!$A$3:$M$10005,MATCH(('Reg 85'!$I$6:$Q$6&amp;'Reg 85'!$M$10&amp;'Reg 85'!$B92),('DMR 001C TIN &amp; TP'!$E$3:$E$10005&amp;'DMR 001C TIN &amp; TP'!$B$3:$B$10005&amp;'DMR 001C TIN &amp; TP'!$A$3:$A$10005),0),MATCH('Reg 85'!$O$11,'DMR 001C TIN &amp; TP'!$A$2:$M$2,0))),"")</f>
        <v>1.36</v>
      </c>
      <c r="P92" s="53">
        <f t="shared" si="49"/>
        <v>1.36</v>
      </c>
      <c r="Q92" s="73">
        <f t="array" ref="Q92">IFERROR(((L92*$F92)+(P92*$G92))/($H92),"")</f>
        <v>0.95361281725973523</v>
      </c>
      <c r="R92" s="6" t="str">
        <f t="array" ref="R92">_xlfn.IFNA((INDEX('DMR 001C TIN &amp; TP'!$A$3:$M$10005,MATCH(('Reg 85'!$I$6:$Q$6&amp;'Reg 85'!R$10&amp;'Reg 85'!$B92),('DMR 001C TIN &amp; TP'!$E$3:$E$10005&amp;'DMR 001C TIN &amp; TP'!$B$3:$B$10005&amp;'DMR 001C TIN &amp; TP'!$A$3:$A$10005),0),MATCH('Reg 85'!$O$11,'DMR 001C TIN &amp; TP'!$A$2:$M$2,0))),"")</f>
        <v/>
      </c>
      <c r="S92" s="6" t="str">
        <f t="array" ref="S92">_xlfn.IFNA((INDEX('DMR 001C TIN &amp; TP'!$A$3:$M$10005,MATCH(('Reg 85'!$I$6:$Q$6&amp;'Reg 85'!S$10&amp;'Reg 85'!$B92),('DMR 001C TIN &amp; TP'!$E$3:$E$10005&amp;'DMR 001C TIN &amp; TP'!$B$3:$B$10005&amp;'DMR 001C TIN &amp; TP'!$A$3:$A$10005),0),MATCH('Reg 85'!$O$11,'DMR 001C TIN &amp; TP'!$A$2:$M$2,0))),"")</f>
        <v/>
      </c>
      <c r="T92" s="6" t="str">
        <f t="array" ref="T92">_xlfn.IFNA((INDEX('DMR 001C TIN &amp; TP'!$A$3:$M$10005,MATCH(('Reg 85'!$I$6:$Q$6&amp;'Reg 85'!T$10&amp;'Reg 85'!$B92),('DMR 001C TIN &amp; TP'!$E$3:$E$10005&amp;'DMR 001C TIN &amp; TP'!$B$3:$B$10005&amp;'DMR 001C TIN &amp; TP'!$A$3:$A$10005),0),MATCH('Reg 85'!$O$11,'DMR 001C TIN &amp; TP'!$A$2:$M$2,0))),"")</f>
        <v/>
      </c>
      <c r="U92" s="6" t="str">
        <f t="array" ref="U92">_xlfn.IFNA((INDEX('DMR 001C TIN &amp; TP'!$A$3:$M$10005,MATCH(('Reg 85'!$I$6:$Q$6&amp;'Reg 85'!U$10&amp;'Reg 85'!$B92),('DMR 001C TIN &amp; TP'!$E$3:$E$10005&amp;'DMR 001C TIN &amp; TP'!$B$3:$B$10005&amp;'DMR 001C TIN &amp; TP'!$A$3:$A$10005),0),MATCH('Reg 85'!$O$11,'DMR 001C TIN &amp; TP'!$A$2:$M$2,0))),"")</f>
        <v/>
      </c>
      <c r="V92" s="6" t="str">
        <f t="array" ref="V92">_xlfn.IFNA((INDEX('DMR 001C TIN &amp; TP'!$A$3:$M$10005,MATCH(('Reg 85'!$I$6:$Q$6&amp;'Reg 85'!V$10&amp;'Reg 85'!$B92),('DMR 001C TIN &amp; TP'!$E$3:$E$10005&amp;'DMR 001C TIN &amp; TP'!$B$3:$B$10005&amp;'DMR 001C TIN &amp; TP'!$A$3:$A$10005),0),MATCH('Reg 85'!$O$11,'DMR 001C TIN &amp; TP'!$A$2:$M$2,0))),"")</f>
        <v/>
      </c>
      <c r="W92" s="6" t="str">
        <f t="array" ref="W92">_xlfn.IFNA((INDEX('DMR 001C TIN &amp; TP'!$A$3:$M$10005,MATCH(('Reg 85'!$I$6:$Q$6&amp;'Reg 85'!W$10&amp;'Reg 85'!$B92),('DMR 001C TIN &amp; TP'!$E$3:$E$10005&amp;'DMR 001C TIN &amp; TP'!$B$3:$B$10005&amp;'DMR 001C TIN &amp; TP'!$A$3:$A$10005),0),MATCH('Reg 85'!$O$11,'DMR 001C TIN &amp; TP'!$A$2:$M$2,0))),"")</f>
        <v/>
      </c>
      <c r="X92" s="5" t="str">
        <f t="shared" si="50"/>
        <v/>
      </c>
      <c r="Y92" s="6" t="str">
        <f t="array" ref="Y92">_xlfn.IFNA((INDEX('DMR 001C TIN &amp; TP'!$A$3:$M$10005,MATCH(('Reg 85'!$X$6&amp;'Reg 85'!$X$10&amp;'Reg 85'!$B92),('DMR 001C TIN &amp; TP'!$E$3:$E$10005&amp;'DMR 001C TIN &amp; TP'!$B$3:$B$10005&amp;'DMR 001C TIN &amp; TP'!$A$3:$A$10005),0),MATCH('Reg 85'!$Y$11,'DMR 001C TIN &amp; TP'!$A$2:$M$2,0))),"")</f>
        <v>0.06</v>
      </c>
      <c r="Z92" s="6">
        <f t="array" ref="Z92">_xlfn.IFNA((INDEX('DMR 001C TIN &amp; TP'!$A$3:$M$10005,MATCH(('Reg 85'!$X$6&amp;'Reg 85'!$X$10&amp;'Reg 85'!$B92),('DMR 001C TIN &amp; TP'!$E$3:$E$10005&amp;'DMR 001C TIN &amp; TP'!$B$3:$B$10005&amp;'DMR 001C TIN &amp; TP'!$A$3:$A$10005),0),MATCH('Reg 85'!$Z$11,'DMR 001C TIN &amp; TP'!$A$2:$M$2,0))),"")</f>
        <v>4.6900000000000004</v>
      </c>
      <c r="AA92" s="53">
        <f t="shared" si="51"/>
        <v>4.6900000000000004</v>
      </c>
      <c r="AB92" s="5" t="str">
        <f t="shared" si="52"/>
        <v/>
      </c>
      <c r="AC92" s="6" t="str">
        <f t="array" ref="AC92">_xlfn.IFNA((INDEX('DMR 001C TIN &amp; TP'!$A$3:$M$10005,MATCH(('Reg 85'!$X$6&amp;'Reg 85'!$AB$10&amp;'Reg 85'!$B92),('DMR 001C TIN &amp; TP'!$E$3:$E$10005&amp;'DMR 001C TIN &amp; TP'!$B$3:$B$10005&amp;'DMR 001C TIN &amp; TP'!$A$3:$A$10005),0),MATCH('Reg 85'!$AC$11,'DMR 001C TIN &amp; TP'!$A$2:$M$2,0))),"")</f>
        <v>0.18</v>
      </c>
      <c r="AD92" s="6">
        <f t="array" ref="AD92">_xlfn.IFNA((INDEX('DMR 001C TIN &amp; TP'!$A$3:$M$10005,MATCH(('Reg 85'!$X$6&amp;'Reg 85'!$AB$10&amp;'Reg 85'!$B92),('DMR 001C TIN &amp; TP'!$E$3:$E$10005&amp;'DMR 001C TIN &amp; TP'!$B$3:$B$10005&amp;'DMR 001C TIN &amp; TP'!$A$3:$A$10005),0),MATCH('Reg 85'!$AD$11,'DMR 001C TIN &amp; TP'!$A$2:$M$2,0))),"")</f>
        <v>5.08</v>
      </c>
      <c r="AE92" s="53">
        <f t="shared" si="53"/>
        <v>5.08</v>
      </c>
      <c r="AF92" s="7">
        <f t="shared" si="54"/>
        <v>4.9230782165656404</v>
      </c>
      <c r="AG92" s="6" t="str">
        <f t="array" ref="AG92">_xlfn.IFNA((INDEX('DMR 001C TIN &amp; TP'!$A$3:$M$10005,MATCH(('Reg 85'!$X$6&amp;'Reg 85'!AG$10&amp;'Reg 85'!$B92),('DMR 001C TIN &amp; TP'!$E$3:$E$10005&amp;'DMR 001C TIN &amp; TP'!$B$3:$B$10005&amp;'DMR 001C TIN &amp; TP'!$A$3:$A$10005),0),MATCH('Reg 85'!$AG$11,'DMR 001C TIN &amp; TP'!$A$2:$M$2,0))),"")</f>
        <v/>
      </c>
      <c r="AH92" s="6" t="str">
        <f t="array" ref="AH92">_xlfn.IFNA((INDEX('DMR 001C TIN &amp; TP'!$A$3:$M$10005,MATCH(('Reg 85'!$X$6&amp;'Reg 85'!AH$10&amp;'Reg 85'!$B92),('DMR 001C TIN &amp; TP'!$E$3:$E$10005&amp;'DMR 001C TIN &amp; TP'!$B$3:$B$10005&amp;'DMR 001C TIN &amp; TP'!$A$3:$A$10005),0),MATCH('Reg 85'!$AG$11,'DMR 001C TIN &amp; TP'!$A$2:$M$2,0))),"")</f>
        <v/>
      </c>
      <c r="AI92" s="6" t="str">
        <f t="array" ref="AI92">_xlfn.IFNA((INDEX('DMR 001C TIN &amp; TP'!$A$3:$M$10005,MATCH(('Reg 85'!$X$6&amp;'Reg 85'!AI$10&amp;'Reg 85'!$B92),('DMR 001C TIN &amp; TP'!$E$3:$E$10005&amp;'DMR 001C TIN &amp; TP'!$B$3:$B$10005&amp;'DMR 001C TIN &amp; TP'!$A$3:$A$10005),0),MATCH('Reg 85'!$AG$11,'DMR 001C TIN &amp; TP'!$A$2:$M$2,0))),"")</f>
        <v/>
      </c>
      <c r="AJ92" s="6" t="str">
        <f t="array" ref="AJ92">_xlfn.IFNA((INDEX('DMR 001C TIN &amp; TP'!$A$3:$M$10005,MATCH(('Reg 85'!$X$6&amp;'Reg 85'!AJ$10&amp;'Reg 85'!$B92),('DMR 001C TIN &amp; TP'!$E$3:$E$10005&amp;'DMR 001C TIN &amp; TP'!$B$3:$B$10005&amp;'DMR 001C TIN &amp; TP'!$A$3:$A$10005),0),MATCH('Reg 85'!$AG$11,'DMR 001C TIN &amp; TP'!$A$2:$M$2,0))),"")</f>
        <v/>
      </c>
      <c r="AK92" s="6" t="str">
        <f t="array" ref="AK92">_xlfn.IFNA((INDEX('DMR 001C TIN &amp; TP'!$A$3:$M$10005,MATCH(('Reg 85'!$X$6&amp;'Reg 85'!AK$10&amp;'Reg 85'!$B92),('DMR 001C TIN &amp; TP'!$E$3:$E$10005&amp;'DMR 001C TIN &amp; TP'!$B$3:$B$10005&amp;'DMR 001C TIN &amp; TP'!$A$3:$A$10005),0),MATCH('Reg 85'!$AG$11,'DMR 001C TIN &amp; TP'!$A$2:$M$2,0))),"")</f>
        <v/>
      </c>
      <c r="AL92" s="6" t="str">
        <f t="array" ref="AL92">_xlfn.IFNA((INDEX('DMR 001C TIN &amp; TP'!$A$3:$M$10005,MATCH(('Reg 85'!$X$6&amp;'Reg 85'!AL$10&amp;'Reg 85'!$B92),('DMR 001C TIN &amp; TP'!$E$3:$E$10005&amp;'DMR 001C TIN &amp; TP'!$B$3:$B$10005&amp;'DMR 001C TIN &amp; TP'!$A$3:$A$10005),0),MATCH('Reg 85'!$AG$11,'DMR 001C TIN &amp; TP'!$A$2:$M$2,0))),"")</f>
        <v/>
      </c>
      <c r="AM92" s="76"/>
      <c r="AN92" s="6"/>
      <c r="AO92" s="54">
        <f t="shared" si="41"/>
        <v>5.8766910338253755</v>
      </c>
      <c r="AP92" s="77" t="str">
        <f t="shared" si="39"/>
        <v/>
      </c>
      <c r="AQ92" s="47"/>
      <c r="AR92" s="6" t="str">
        <f t="array" ref="AR92">_xlfn.IFNA((INDEX('DMR 001C TIN &amp; TP'!$A$3:$M$10005,MATCH(('Reg 85'!$AQ$6&amp;'Reg 85'!$AQ$10&amp;'Reg 85'!$B92),('DMR 001C TIN &amp; TP'!$E$3:$E$10005&amp;'DMR 001C TIN &amp; TP'!$B$3:$B$10005&amp;'DMR 001C TIN &amp; TP'!$A$3:$A$10005),0),MATCH('Reg 85'!$AR$11,'DMR 001C TIN &amp; TP'!$A$2:$M$2,0))),"")</f>
        <v/>
      </c>
      <c r="AS92" s="6" t="str">
        <f t="array" ref="AS92">_xlfn.IFNA((INDEX('DMR 001C TIN &amp; TP'!$A$3:$M$10005,MATCH(('Reg 85'!$AQ$6&amp;'Reg 85'!$AQ$10&amp;'Reg 85'!$B92),('DMR 001C TIN &amp; TP'!$E$3:$E$10005&amp;'DMR 001C TIN &amp; TP'!$B$3:$B$10005&amp;'DMR 001C TIN &amp; TP'!$A$3:$A$10005),0),MATCH('Reg 85'!$AS$11,'DMR 001C TIN &amp; TP'!$A$2:$M$2,0))),"")</f>
        <v/>
      </c>
      <c r="AT92" s="53" t="str">
        <f t="shared" si="55"/>
        <v/>
      </c>
      <c r="AV92" s="6" t="str">
        <f t="array" ref="AV92">_xlfn.IFNA((INDEX('DMR 001C TIN &amp; TP'!$A$3:$M$10005,MATCH(('Reg 85'!$AQ$6&amp;'Reg 85'!$AU$10&amp;'Reg 85'!$B92),('DMR 001C TIN &amp; TP'!$E$3:$E$10005&amp;'DMR 001C TIN &amp; TP'!$B$3:$B$10005&amp;'DMR 001C TIN &amp; TP'!$A$3:$A$10005),0),MATCH('Reg 85'!$AV$11,'DMR 001C TIN &amp; TP'!$A$2:$M$2,0))),"")</f>
        <v/>
      </c>
      <c r="AW92" s="6" t="str">
        <f t="array" ref="AW92">_xlfn.IFNA((INDEX('DMR 001C TIN &amp; TP'!$A$3:$M$10005,MATCH(('Reg 85'!$AQ$6&amp;'Reg 85'!$AU$10&amp;'Reg 85'!$B92),('DMR 001C TIN &amp; TP'!$E$3:$E$10005&amp;'DMR 001C TIN &amp; TP'!$B$3:$B$10005&amp;'DMR 001C TIN &amp; TP'!$A$3:$A$10005),0),MATCH('Reg 85'!$AW$11,'DMR 001C TIN &amp; TP'!$A$2:$M$2,0))),"")</f>
        <v/>
      </c>
      <c r="AX92" s="53" t="str">
        <f t="shared" si="56"/>
        <v/>
      </c>
      <c r="AY92" s="55" t="str">
        <f t="shared" si="57"/>
        <v/>
      </c>
      <c r="AZ92" s="77" t="str">
        <f t="shared" si="40"/>
        <v/>
      </c>
      <c r="BA92" s="6" t="str">
        <f t="array" ref="BA92">_xlfn.IFNA((INDEX('DMR 001C TIN &amp; TP'!$A$3:$M$10005,MATCH(('Reg 85'!$AQ$6&amp;'Reg 85'!BA$10&amp;'Reg 85'!$B92),('DMR 001C TIN &amp; TP'!$E$3:$E$10005&amp;'DMR 001C TIN &amp; TP'!$B$3:$B$10005&amp;'DMR 001C TIN &amp; TP'!$A$3:$A$10005),0),MATCH('Reg 85'!$AG$11,'DMR 001C TIN &amp; TP'!$A$2:$M$2,0))),"")</f>
        <v/>
      </c>
      <c r="BB92" s="6" t="str">
        <f t="array" ref="BB92">_xlfn.IFNA((INDEX('DMR 001C TIN &amp; TP'!$A$3:$M$10005,MATCH(('Reg 85'!$AQ$6&amp;'Reg 85'!BB$10&amp;'Reg 85'!$B92),('DMR 001C TIN &amp; TP'!$E$3:$E$10005&amp;'DMR 001C TIN &amp; TP'!$B$3:$B$10005&amp;'DMR 001C TIN &amp; TP'!$A$3:$A$10005),0),MATCH('Reg 85'!$AG$11,'DMR 001C TIN &amp; TP'!$A$2:$M$2,0))),"")</f>
        <v/>
      </c>
      <c r="BC92" s="6" t="str">
        <f t="array" ref="BC92">_xlfn.IFNA((INDEX('DMR 001C TIN &amp; TP'!$A$3:$M$10005,MATCH(('Reg 85'!$AQ$6&amp;'Reg 85'!BC$10&amp;'Reg 85'!$B92),('DMR 001C TIN &amp; TP'!$E$3:$E$10005&amp;'DMR 001C TIN &amp; TP'!$B$3:$B$10005&amp;'DMR 001C TIN &amp; TP'!$A$3:$A$10005),0),MATCH('Reg 85'!$AG$11,'DMR 001C TIN &amp; TP'!$A$2:$M$2,0))),"")</f>
        <v/>
      </c>
      <c r="BD92" s="6" t="str">
        <f t="array" ref="BD92">_xlfn.IFNA((INDEX('DMR 001C TIN &amp; TP'!$A$3:$M$10005,MATCH(('Reg 85'!$AQ$6&amp;'Reg 85'!BD$10&amp;'Reg 85'!$B92),('DMR 001C TIN &amp; TP'!$E$3:$E$10005&amp;'DMR 001C TIN &amp; TP'!$B$3:$B$10005&amp;'DMR 001C TIN &amp; TP'!$A$3:$A$10005),0),MATCH('Reg 85'!$AG$11,'DMR 001C TIN &amp; TP'!$A$2:$M$2,0))),"")</f>
        <v/>
      </c>
      <c r="BE92" s="6" t="str">
        <f t="array" ref="BE92">_xlfn.IFNA((INDEX('DMR 001C TIN &amp; TP'!$A$3:$M$10005,MATCH(('Reg 85'!$AQ$6&amp;'Reg 85'!BE$10&amp;'Reg 85'!$B92),('DMR 001C TIN &amp; TP'!$E$3:$E$10005&amp;'DMR 001C TIN &amp; TP'!$B$3:$B$10005&amp;'DMR 001C TIN &amp; TP'!$A$3:$A$10005),0),MATCH('Reg 85'!$AG$11,'DMR 001C TIN &amp; TP'!$A$2:$M$2,0))),"")</f>
        <v/>
      </c>
      <c r="BF92" s="6" t="str">
        <f t="array" ref="BF92">_xlfn.IFNA((INDEX('DMR 001C TIN &amp; TP'!$A$3:$M$10005,MATCH(('Reg 85'!$AQ$6&amp;'Reg 85'!BF$10&amp;'Reg 85'!$B92),('DMR 001C TIN &amp; TP'!$E$3:$E$10005&amp;'DMR 001C TIN &amp; TP'!$B$3:$B$10005&amp;'DMR 001C TIN &amp; TP'!$A$3:$A$10005),0),MATCH('Reg 85'!$AG$11,'DMR 001C TIN &amp; TP'!$A$2:$M$2,0))),"")</f>
        <v/>
      </c>
    </row>
    <row r="93" spans="1:58">
      <c r="A93" s="3" t="str">
        <f t="shared" si="42"/>
        <v>Wed</v>
      </c>
      <c r="B93" s="96">
        <f t="shared" si="58"/>
        <v>43425</v>
      </c>
      <c r="C93" s="96">
        <f t="shared" si="43"/>
        <v>43434</v>
      </c>
      <c r="D93" s="96">
        <f t="shared" si="44"/>
        <v>43405</v>
      </c>
      <c r="E93" s="95">
        <f t="shared" si="45"/>
        <v>30</v>
      </c>
      <c r="F93" s="7">
        <f t="array" ref="F93">_xlfn.IFNA(INDEX('DMR Flows-Effluent'!$A$3:$F$9999,MATCH(($F$10&amp;$B93),('DMR Flows-Effluent'!$B$3:$B$9999&amp;'DMR Flows-Effluent'!$A$3:$A$9999),0),MATCH($F$8,'DMR Flows-Effluent'!$A$2:$F$2,0)),"")</f>
        <v>51.253599999999999</v>
      </c>
      <c r="G93" s="7">
        <f t="array" ref="G93">_xlfn.IFNA(INDEX('DMR Flows-Effluent'!$A$3:$F$9999,MATCH(($G$10&amp;$B93),('DMR Flows-Effluent'!$B$3:$B$9999&amp;'DMR Flows-Effluent'!$A$3:$A$9999),0),MATCH($F$8,'DMR Flows-Effluent'!$A$2:$F$2,0)),"")</f>
        <v>66.606999999999999</v>
      </c>
      <c r="H93" s="7">
        <f t="shared" si="46"/>
        <v>117.86060000000001</v>
      </c>
      <c r="I93" s="45" t="str">
        <f t="shared" si="47"/>
        <v/>
      </c>
      <c r="J93" s="6" t="str">
        <f t="array" ref="J93">_xlfn.IFNA((INDEX('DMR 001C TIN &amp; TP'!$A$3:$M$10005,MATCH(('Reg 85'!$I$6:$Q$6&amp;'Reg 85'!$I$10:$K$10&amp;'Reg 85'!$B93),('DMR 001C TIN &amp; TP'!$E$3:$E$10005&amp;'DMR 001C TIN &amp; TP'!$B$3:$B$10005&amp;'DMR 001C TIN &amp; TP'!$A$3:$A$10005),0),MATCH('Reg 85'!$J$11,'DMR 001C TIN &amp; TP'!$A$2:$M$2,0))),"")</f>
        <v>0.15</v>
      </c>
      <c r="K93" s="6">
        <f t="array" ref="K93">_xlfn.IFNA((INDEX('DMR 001C TIN &amp; TP'!$A$3:$M$10005,MATCH(('Reg 85'!$I$6:$Q$6&amp;'Reg 85'!$I$10:$K$10&amp;'Reg 85'!$B93),('DMR 001C TIN &amp; TP'!$E$3:$E$10005&amp;'DMR 001C TIN &amp; TP'!$B$3:$B$10005&amp;'DMR 001C TIN &amp; TP'!$A$3:$A$10005),0),MATCH('Reg 85'!$K$11,'DMR 001C TIN &amp; TP'!$A$2:$M$2,0))),"")</f>
        <v>0.28000000000000003</v>
      </c>
      <c r="L93" s="53">
        <f t="shared" si="59"/>
        <v>0.28000000000000003</v>
      </c>
      <c r="M93" s="5" t="str">
        <f t="shared" si="48"/>
        <v>&lt;</v>
      </c>
      <c r="N93" s="6" t="str">
        <f t="array" ref="N93">_xlfn.IFNA((INDEX('DMR 001C TIN &amp; TP'!$A$3:$M$10005,MATCH(('Reg 85'!$I$6:$Q$6&amp;'Reg 85'!$M$10&amp;'Reg 85'!$B93),('DMR 001C TIN &amp; TP'!$E$3:$E$10005&amp;'DMR 001C TIN &amp; TP'!$B$3:$B$10005&amp;'DMR 001C TIN &amp; TP'!$A$3:$A$10005),0),MATCH('Reg 85'!$N$11,'DMR 001C TIN &amp; TP'!$A$2:$M$2,0))),"")</f>
        <v>0.15</v>
      </c>
      <c r="O93" s="6">
        <f t="array" ref="O93">_xlfn.IFNA((INDEX('DMR 001C TIN &amp; TP'!$A$3:$M$10005,MATCH(('Reg 85'!$I$6:$Q$6&amp;'Reg 85'!$M$10&amp;'Reg 85'!$B93),('DMR 001C TIN &amp; TP'!$E$3:$E$10005&amp;'DMR 001C TIN &amp; TP'!$B$3:$B$10005&amp;'DMR 001C TIN &amp; TP'!$A$3:$A$10005),0),MATCH('Reg 85'!$O$11,'DMR 001C TIN &amp; TP'!$A$2:$M$2,0))),"")</f>
        <v>0.14000000000000001</v>
      </c>
      <c r="P93" s="53">
        <f t="shared" si="49"/>
        <v>0</v>
      </c>
      <c r="Q93" s="73">
        <f t="array" ref="Q93">IFERROR(((L93*$F93)+(P93*$G93))/($H93),"")</f>
        <v>0.12176255678318285</v>
      </c>
      <c r="R93" s="6" t="str">
        <f t="array" ref="R93">_xlfn.IFNA((INDEX('DMR 001C TIN &amp; TP'!$A$3:$M$10005,MATCH(('Reg 85'!$I$6:$Q$6&amp;'Reg 85'!R$10&amp;'Reg 85'!$B93),('DMR 001C TIN &amp; TP'!$E$3:$E$10005&amp;'DMR 001C TIN &amp; TP'!$B$3:$B$10005&amp;'DMR 001C TIN &amp; TP'!$A$3:$A$10005),0),MATCH('Reg 85'!$O$11,'DMR 001C TIN &amp; TP'!$A$2:$M$2,0))),"")</f>
        <v/>
      </c>
      <c r="S93" s="6" t="str">
        <f t="array" ref="S93">_xlfn.IFNA((INDEX('DMR 001C TIN &amp; TP'!$A$3:$M$10005,MATCH(('Reg 85'!$I$6:$Q$6&amp;'Reg 85'!S$10&amp;'Reg 85'!$B93),('DMR 001C TIN &amp; TP'!$E$3:$E$10005&amp;'DMR 001C TIN &amp; TP'!$B$3:$B$10005&amp;'DMR 001C TIN &amp; TP'!$A$3:$A$10005),0),MATCH('Reg 85'!$O$11,'DMR 001C TIN &amp; TP'!$A$2:$M$2,0))),"")</f>
        <v/>
      </c>
      <c r="T93" s="6" t="str">
        <f t="array" ref="T93">_xlfn.IFNA((INDEX('DMR 001C TIN &amp; TP'!$A$3:$M$10005,MATCH(('Reg 85'!$I$6:$Q$6&amp;'Reg 85'!T$10&amp;'Reg 85'!$B93),('DMR 001C TIN &amp; TP'!$E$3:$E$10005&amp;'DMR 001C TIN &amp; TP'!$B$3:$B$10005&amp;'DMR 001C TIN &amp; TP'!$A$3:$A$10005),0),MATCH('Reg 85'!$O$11,'DMR 001C TIN &amp; TP'!$A$2:$M$2,0))),"")</f>
        <v/>
      </c>
      <c r="U93" s="6" t="str">
        <f t="array" ref="U93">_xlfn.IFNA((INDEX('DMR 001C TIN &amp; TP'!$A$3:$M$10005,MATCH(('Reg 85'!$I$6:$Q$6&amp;'Reg 85'!U$10&amp;'Reg 85'!$B93),('DMR 001C TIN &amp; TP'!$E$3:$E$10005&amp;'DMR 001C TIN &amp; TP'!$B$3:$B$10005&amp;'DMR 001C TIN &amp; TP'!$A$3:$A$10005),0),MATCH('Reg 85'!$O$11,'DMR 001C TIN &amp; TP'!$A$2:$M$2,0))),"")</f>
        <v/>
      </c>
      <c r="V93" s="6" t="str">
        <f t="array" ref="V93">_xlfn.IFNA((INDEX('DMR 001C TIN &amp; TP'!$A$3:$M$10005,MATCH(('Reg 85'!$I$6:$Q$6&amp;'Reg 85'!V$10&amp;'Reg 85'!$B93),('DMR 001C TIN &amp; TP'!$E$3:$E$10005&amp;'DMR 001C TIN &amp; TP'!$B$3:$B$10005&amp;'DMR 001C TIN &amp; TP'!$A$3:$A$10005),0),MATCH('Reg 85'!$O$11,'DMR 001C TIN &amp; TP'!$A$2:$M$2,0))),"")</f>
        <v/>
      </c>
      <c r="W93" s="6" t="str">
        <f t="array" ref="W93">_xlfn.IFNA((INDEX('DMR 001C TIN &amp; TP'!$A$3:$M$10005,MATCH(('Reg 85'!$I$6:$Q$6&amp;'Reg 85'!W$10&amp;'Reg 85'!$B93),('DMR 001C TIN &amp; TP'!$E$3:$E$10005&amp;'DMR 001C TIN &amp; TP'!$B$3:$B$10005&amp;'DMR 001C TIN &amp; TP'!$A$3:$A$10005),0),MATCH('Reg 85'!$O$11,'DMR 001C TIN &amp; TP'!$A$2:$M$2,0))),"")</f>
        <v/>
      </c>
      <c r="X93" s="5" t="str">
        <f t="shared" si="50"/>
        <v/>
      </c>
      <c r="Y93" s="6" t="str">
        <f t="array" ref="Y93">_xlfn.IFNA((INDEX('DMR 001C TIN &amp; TP'!$A$3:$M$10005,MATCH(('Reg 85'!$X$6&amp;'Reg 85'!$X$10&amp;'Reg 85'!$B93),('DMR 001C TIN &amp; TP'!$E$3:$E$10005&amp;'DMR 001C TIN &amp; TP'!$B$3:$B$10005&amp;'DMR 001C TIN &amp; TP'!$A$3:$A$10005),0),MATCH('Reg 85'!$Y$11,'DMR 001C TIN &amp; TP'!$A$2:$M$2,0))),"")</f>
        <v>0.06</v>
      </c>
      <c r="Z93" s="6">
        <f t="array" ref="Z93">_xlfn.IFNA((INDEX('DMR 001C TIN &amp; TP'!$A$3:$M$10005,MATCH(('Reg 85'!$X$6&amp;'Reg 85'!$X$10&amp;'Reg 85'!$B93),('DMR 001C TIN &amp; TP'!$E$3:$E$10005&amp;'DMR 001C TIN &amp; TP'!$B$3:$B$10005&amp;'DMR 001C TIN &amp; TP'!$A$3:$A$10005),0),MATCH('Reg 85'!$Z$11,'DMR 001C TIN &amp; TP'!$A$2:$M$2,0))),"")</f>
        <v>4.5199999999999996</v>
      </c>
      <c r="AA93" s="53">
        <f t="shared" si="51"/>
        <v>4.5199999999999996</v>
      </c>
      <c r="AB93" s="5" t="str">
        <f t="shared" si="52"/>
        <v/>
      </c>
      <c r="AC93" s="6" t="str">
        <f t="array" ref="AC93">_xlfn.IFNA((INDEX('DMR 001C TIN &amp; TP'!$A$3:$M$10005,MATCH(('Reg 85'!$X$6&amp;'Reg 85'!$AB$10&amp;'Reg 85'!$B93),('DMR 001C TIN &amp; TP'!$E$3:$E$10005&amp;'DMR 001C TIN &amp; TP'!$B$3:$B$10005&amp;'DMR 001C TIN &amp; TP'!$A$3:$A$10005),0),MATCH('Reg 85'!$AC$11,'DMR 001C TIN &amp; TP'!$A$2:$M$2,0))),"")</f>
        <v>0.06</v>
      </c>
      <c r="AD93" s="6">
        <f t="array" ref="AD93">_xlfn.IFNA((INDEX('DMR 001C TIN &amp; TP'!$A$3:$M$10005,MATCH(('Reg 85'!$X$6&amp;'Reg 85'!$AB$10&amp;'Reg 85'!$B93),('DMR 001C TIN &amp; TP'!$E$3:$E$10005&amp;'DMR 001C TIN &amp; TP'!$B$3:$B$10005&amp;'DMR 001C TIN &amp; TP'!$A$3:$A$10005),0),MATCH('Reg 85'!$AD$11,'DMR 001C TIN &amp; TP'!$A$2:$M$2,0))),"")</f>
        <v>5.42</v>
      </c>
      <c r="AE93" s="53">
        <f t="shared" si="53"/>
        <v>5.42</v>
      </c>
      <c r="AF93" s="7">
        <f t="shared" si="54"/>
        <v>5.0286203531969118</v>
      </c>
      <c r="AG93" s="6" t="str">
        <f t="array" ref="AG93">_xlfn.IFNA((INDEX('DMR 001C TIN &amp; TP'!$A$3:$M$10005,MATCH(('Reg 85'!$X$6&amp;'Reg 85'!AG$10&amp;'Reg 85'!$B93),('DMR 001C TIN &amp; TP'!$E$3:$E$10005&amp;'DMR 001C TIN &amp; TP'!$B$3:$B$10005&amp;'DMR 001C TIN &amp; TP'!$A$3:$A$10005),0),MATCH('Reg 85'!$AG$11,'DMR 001C TIN &amp; TP'!$A$2:$M$2,0))),"")</f>
        <v/>
      </c>
      <c r="AH93" s="6" t="str">
        <f t="array" ref="AH93">_xlfn.IFNA((INDEX('DMR 001C TIN &amp; TP'!$A$3:$M$10005,MATCH(('Reg 85'!$X$6&amp;'Reg 85'!AH$10&amp;'Reg 85'!$B93),('DMR 001C TIN &amp; TP'!$E$3:$E$10005&amp;'DMR 001C TIN &amp; TP'!$B$3:$B$10005&amp;'DMR 001C TIN &amp; TP'!$A$3:$A$10005),0),MATCH('Reg 85'!$AG$11,'DMR 001C TIN &amp; TP'!$A$2:$M$2,0))),"")</f>
        <v/>
      </c>
      <c r="AI93" s="6" t="str">
        <f t="array" ref="AI93">_xlfn.IFNA((INDEX('DMR 001C TIN &amp; TP'!$A$3:$M$10005,MATCH(('Reg 85'!$X$6&amp;'Reg 85'!AI$10&amp;'Reg 85'!$B93),('DMR 001C TIN &amp; TP'!$E$3:$E$10005&amp;'DMR 001C TIN &amp; TP'!$B$3:$B$10005&amp;'DMR 001C TIN &amp; TP'!$A$3:$A$10005),0),MATCH('Reg 85'!$AG$11,'DMR 001C TIN &amp; TP'!$A$2:$M$2,0))),"")</f>
        <v/>
      </c>
      <c r="AJ93" s="6" t="str">
        <f t="array" ref="AJ93">_xlfn.IFNA((INDEX('DMR 001C TIN &amp; TP'!$A$3:$M$10005,MATCH(('Reg 85'!$X$6&amp;'Reg 85'!AJ$10&amp;'Reg 85'!$B93),('DMR 001C TIN &amp; TP'!$E$3:$E$10005&amp;'DMR 001C TIN &amp; TP'!$B$3:$B$10005&amp;'DMR 001C TIN &amp; TP'!$A$3:$A$10005),0),MATCH('Reg 85'!$AG$11,'DMR 001C TIN &amp; TP'!$A$2:$M$2,0))),"")</f>
        <v/>
      </c>
      <c r="AK93" s="6" t="str">
        <f t="array" ref="AK93">_xlfn.IFNA((INDEX('DMR 001C TIN &amp; TP'!$A$3:$M$10005,MATCH(('Reg 85'!$X$6&amp;'Reg 85'!AK$10&amp;'Reg 85'!$B93),('DMR 001C TIN &amp; TP'!$E$3:$E$10005&amp;'DMR 001C TIN &amp; TP'!$B$3:$B$10005&amp;'DMR 001C TIN &amp; TP'!$A$3:$A$10005),0),MATCH('Reg 85'!$AG$11,'DMR 001C TIN &amp; TP'!$A$2:$M$2,0))),"")</f>
        <v/>
      </c>
      <c r="AL93" s="6" t="str">
        <f t="array" ref="AL93">_xlfn.IFNA((INDEX('DMR 001C TIN &amp; TP'!$A$3:$M$10005,MATCH(('Reg 85'!$X$6&amp;'Reg 85'!AL$10&amp;'Reg 85'!$B93),('DMR 001C TIN &amp; TP'!$E$3:$E$10005&amp;'DMR 001C TIN &amp; TP'!$B$3:$B$10005&amp;'DMR 001C TIN &amp; TP'!$A$3:$A$10005),0),MATCH('Reg 85'!$AG$11,'DMR 001C TIN &amp; TP'!$A$2:$M$2,0))),"")</f>
        <v/>
      </c>
      <c r="AM93" s="76"/>
      <c r="AN93" s="6"/>
      <c r="AO93" s="54">
        <f t="shared" si="41"/>
        <v>5.1503829099800944</v>
      </c>
      <c r="AP93" s="77" t="str">
        <f t="shared" si="39"/>
        <v/>
      </c>
      <c r="AQ93" s="47"/>
      <c r="AR93" s="6" t="str">
        <f t="array" ref="AR93">_xlfn.IFNA((INDEX('DMR 001C TIN &amp; TP'!$A$3:$M$10005,MATCH(('Reg 85'!$AQ$6&amp;'Reg 85'!$AQ$10&amp;'Reg 85'!$B93),('DMR 001C TIN &amp; TP'!$E$3:$E$10005&amp;'DMR 001C TIN &amp; TP'!$B$3:$B$10005&amp;'DMR 001C TIN &amp; TP'!$A$3:$A$10005),0),MATCH('Reg 85'!$AR$11,'DMR 001C TIN &amp; TP'!$A$2:$M$2,0))),"")</f>
        <v/>
      </c>
      <c r="AS93" s="6" t="str">
        <f t="array" ref="AS93">_xlfn.IFNA((INDEX('DMR 001C TIN &amp; TP'!$A$3:$M$10005,MATCH(('Reg 85'!$AQ$6&amp;'Reg 85'!$AQ$10&amp;'Reg 85'!$B93),('DMR 001C TIN &amp; TP'!$E$3:$E$10005&amp;'DMR 001C TIN &amp; TP'!$B$3:$B$10005&amp;'DMR 001C TIN &amp; TP'!$A$3:$A$10005),0),MATCH('Reg 85'!$AS$11,'DMR 001C TIN &amp; TP'!$A$2:$M$2,0))),"")</f>
        <v/>
      </c>
      <c r="AT93" s="53" t="str">
        <f t="shared" si="55"/>
        <v/>
      </c>
      <c r="AV93" s="6" t="str">
        <f t="array" ref="AV93">_xlfn.IFNA((INDEX('DMR 001C TIN &amp; TP'!$A$3:$M$10005,MATCH(('Reg 85'!$AQ$6&amp;'Reg 85'!$AU$10&amp;'Reg 85'!$B93),('DMR 001C TIN &amp; TP'!$E$3:$E$10005&amp;'DMR 001C TIN &amp; TP'!$B$3:$B$10005&amp;'DMR 001C TIN &amp; TP'!$A$3:$A$10005),0),MATCH('Reg 85'!$AV$11,'DMR 001C TIN &amp; TP'!$A$2:$M$2,0))),"")</f>
        <v/>
      </c>
      <c r="AW93" s="6" t="str">
        <f t="array" ref="AW93">_xlfn.IFNA((INDEX('DMR 001C TIN &amp; TP'!$A$3:$M$10005,MATCH(('Reg 85'!$AQ$6&amp;'Reg 85'!$AU$10&amp;'Reg 85'!$B93),('DMR 001C TIN &amp; TP'!$E$3:$E$10005&amp;'DMR 001C TIN &amp; TP'!$B$3:$B$10005&amp;'DMR 001C TIN &amp; TP'!$A$3:$A$10005),0),MATCH('Reg 85'!$AW$11,'DMR 001C TIN &amp; TP'!$A$2:$M$2,0))),"")</f>
        <v/>
      </c>
      <c r="AX93" s="53" t="str">
        <f t="shared" si="56"/>
        <v/>
      </c>
      <c r="AY93" s="55" t="str">
        <f t="shared" si="57"/>
        <v/>
      </c>
      <c r="AZ93" s="77" t="str">
        <f t="shared" si="40"/>
        <v/>
      </c>
      <c r="BA93" s="6" t="str">
        <f t="array" ref="BA93">_xlfn.IFNA((INDEX('DMR 001C TIN &amp; TP'!$A$3:$M$10005,MATCH(('Reg 85'!$AQ$6&amp;'Reg 85'!BA$10&amp;'Reg 85'!$B93),('DMR 001C TIN &amp; TP'!$E$3:$E$10005&amp;'DMR 001C TIN &amp; TP'!$B$3:$B$10005&amp;'DMR 001C TIN &amp; TP'!$A$3:$A$10005),0),MATCH('Reg 85'!$AG$11,'DMR 001C TIN &amp; TP'!$A$2:$M$2,0))),"")</f>
        <v/>
      </c>
      <c r="BB93" s="6" t="str">
        <f t="array" ref="BB93">_xlfn.IFNA((INDEX('DMR 001C TIN &amp; TP'!$A$3:$M$10005,MATCH(('Reg 85'!$AQ$6&amp;'Reg 85'!BB$10&amp;'Reg 85'!$B93),('DMR 001C TIN &amp; TP'!$E$3:$E$10005&amp;'DMR 001C TIN &amp; TP'!$B$3:$B$10005&amp;'DMR 001C TIN &amp; TP'!$A$3:$A$10005),0),MATCH('Reg 85'!$AG$11,'DMR 001C TIN &amp; TP'!$A$2:$M$2,0))),"")</f>
        <v/>
      </c>
      <c r="BC93" s="6" t="str">
        <f t="array" ref="BC93">_xlfn.IFNA((INDEX('DMR 001C TIN &amp; TP'!$A$3:$M$10005,MATCH(('Reg 85'!$AQ$6&amp;'Reg 85'!BC$10&amp;'Reg 85'!$B93),('DMR 001C TIN &amp; TP'!$E$3:$E$10005&amp;'DMR 001C TIN &amp; TP'!$B$3:$B$10005&amp;'DMR 001C TIN &amp; TP'!$A$3:$A$10005),0),MATCH('Reg 85'!$AG$11,'DMR 001C TIN &amp; TP'!$A$2:$M$2,0))),"")</f>
        <v/>
      </c>
      <c r="BD93" s="6" t="str">
        <f t="array" ref="BD93">_xlfn.IFNA((INDEX('DMR 001C TIN &amp; TP'!$A$3:$M$10005,MATCH(('Reg 85'!$AQ$6&amp;'Reg 85'!BD$10&amp;'Reg 85'!$B93),('DMR 001C TIN &amp; TP'!$E$3:$E$10005&amp;'DMR 001C TIN &amp; TP'!$B$3:$B$10005&amp;'DMR 001C TIN &amp; TP'!$A$3:$A$10005),0),MATCH('Reg 85'!$AG$11,'DMR 001C TIN &amp; TP'!$A$2:$M$2,0))),"")</f>
        <v/>
      </c>
      <c r="BE93" s="6" t="str">
        <f t="array" ref="BE93">_xlfn.IFNA((INDEX('DMR 001C TIN &amp; TP'!$A$3:$M$10005,MATCH(('Reg 85'!$AQ$6&amp;'Reg 85'!BE$10&amp;'Reg 85'!$B93),('DMR 001C TIN &amp; TP'!$E$3:$E$10005&amp;'DMR 001C TIN &amp; TP'!$B$3:$B$10005&amp;'DMR 001C TIN &amp; TP'!$A$3:$A$10005),0),MATCH('Reg 85'!$AG$11,'DMR 001C TIN &amp; TP'!$A$2:$M$2,0))),"")</f>
        <v/>
      </c>
      <c r="BF93" s="6" t="str">
        <f t="array" ref="BF93">_xlfn.IFNA((INDEX('DMR 001C TIN &amp; TP'!$A$3:$M$10005,MATCH(('Reg 85'!$AQ$6&amp;'Reg 85'!BF$10&amp;'Reg 85'!$B93),('DMR 001C TIN &amp; TP'!$E$3:$E$10005&amp;'DMR 001C TIN &amp; TP'!$B$3:$B$10005&amp;'DMR 001C TIN &amp; TP'!$A$3:$A$10005),0),MATCH('Reg 85'!$AG$11,'DMR 001C TIN &amp; TP'!$A$2:$M$2,0))),"")</f>
        <v/>
      </c>
    </row>
    <row r="94" spans="1:58">
      <c r="A94" s="3" t="str">
        <f t="shared" si="42"/>
        <v>Thu</v>
      </c>
      <c r="B94" s="96">
        <f t="shared" si="58"/>
        <v>43426</v>
      </c>
      <c r="C94" s="96">
        <f t="shared" si="43"/>
        <v>43434</v>
      </c>
      <c r="D94" s="96">
        <f t="shared" si="44"/>
        <v>43405</v>
      </c>
      <c r="E94" s="95">
        <f t="shared" si="45"/>
        <v>30</v>
      </c>
      <c r="F94" s="7">
        <f t="array" ref="F94">_xlfn.IFNA(INDEX('DMR Flows-Effluent'!$A$3:$F$9999,MATCH(($F$10&amp;$B94),('DMR Flows-Effluent'!$B$3:$B$9999&amp;'DMR Flows-Effluent'!$A$3:$A$9999),0),MATCH($F$8,'DMR Flows-Effluent'!$A$2:$F$2,0)),"")</f>
        <v>48.483400000000003</v>
      </c>
      <c r="G94" s="7">
        <f t="array" ref="G94">_xlfn.IFNA(INDEX('DMR Flows-Effluent'!$A$3:$F$9999,MATCH(($G$10&amp;$B94),('DMR Flows-Effluent'!$B$3:$B$9999&amp;'DMR Flows-Effluent'!$A$3:$A$9999),0),MATCH($F$8,'DMR Flows-Effluent'!$A$2:$F$2,0)),"")</f>
        <v>76.263499999999993</v>
      </c>
      <c r="H94" s="7">
        <f t="shared" si="46"/>
        <v>124.7469</v>
      </c>
      <c r="I94" s="45" t="str">
        <f t="shared" si="47"/>
        <v/>
      </c>
      <c r="J94" s="6" t="str">
        <f t="array" ref="J94">_xlfn.IFNA((INDEX('DMR 001C TIN &amp; TP'!$A$3:$M$10005,MATCH(('Reg 85'!$I$6:$Q$6&amp;'Reg 85'!$I$10:$K$10&amp;'Reg 85'!$B94),('DMR 001C TIN &amp; TP'!$E$3:$E$10005&amp;'DMR 001C TIN &amp; TP'!$B$3:$B$10005&amp;'DMR 001C TIN &amp; TP'!$A$3:$A$10005),0),MATCH('Reg 85'!$J$11,'DMR 001C TIN &amp; TP'!$A$2:$M$2,0))),"")</f>
        <v/>
      </c>
      <c r="K94" s="6" t="str">
        <f t="array" ref="K94">_xlfn.IFNA((INDEX('DMR 001C TIN &amp; TP'!$A$3:$M$10005,MATCH(('Reg 85'!$I$6:$Q$6&amp;'Reg 85'!$I$10:$K$10&amp;'Reg 85'!$B94),('DMR 001C TIN &amp; TP'!$E$3:$E$10005&amp;'DMR 001C TIN &amp; TP'!$B$3:$B$10005&amp;'DMR 001C TIN &amp; TP'!$A$3:$A$10005),0),MATCH('Reg 85'!$K$11,'DMR 001C TIN &amp; TP'!$A$2:$M$2,0))),"")</f>
        <v/>
      </c>
      <c r="L94" s="53" t="str">
        <f t="shared" si="59"/>
        <v/>
      </c>
      <c r="M94" s="5" t="str">
        <f t="shared" si="48"/>
        <v/>
      </c>
      <c r="N94" s="6" t="str">
        <f t="array" ref="N94">_xlfn.IFNA((INDEX('DMR 001C TIN &amp; TP'!$A$3:$M$10005,MATCH(('Reg 85'!$I$6:$Q$6&amp;'Reg 85'!$M$10&amp;'Reg 85'!$B94),('DMR 001C TIN &amp; TP'!$E$3:$E$10005&amp;'DMR 001C TIN &amp; TP'!$B$3:$B$10005&amp;'DMR 001C TIN &amp; TP'!$A$3:$A$10005),0),MATCH('Reg 85'!$N$11,'DMR 001C TIN &amp; TP'!$A$2:$M$2,0))),"")</f>
        <v/>
      </c>
      <c r="O94" s="6" t="str">
        <f t="array" ref="O94">_xlfn.IFNA((INDEX('DMR 001C TIN &amp; TP'!$A$3:$M$10005,MATCH(('Reg 85'!$I$6:$Q$6&amp;'Reg 85'!$M$10&amp;'Reg 85'!$B94),('DMR 001C TIN &amp; TP'!$E$3:$E$10005&amp;'DMR 001C TIN &amp; TP'!$B$3:$B$10005&amp;'DMR 001C TIN &amp; TP'!$A$3:$A$10005),0),MATCH('Reg 85'!$O$11,'DMR 001C TIN &amp; TP'!$A$2:$M$2,0))),"")</f>
        <v/>
      </c>
      <c r="P94" s="53" t="str">
        <f t="shared" si="49"/>
        <v/>
      </c>
      <c r="Q94" s="73" t="str">
        <f t="array" ref="Q94">IFERROR(((L94*$F94)+(P94*$G94))/($H94),"")</f>
        <v/>
      </c>
      <c r="R94" s="6" t="str">
        <f t="array" ref="R94">_xlfn.IFNA((INDEX('DMR 001C TIN &amp; TP'!$A$3:$M$10005,MATCH(('Reg 85'!$I$6:$Q$6&amp;'Reg 85'!R$10&amp;'Reg 85'!$B94),('DMR 001C TIN &amp; TP'!$E$3:$E$10005&amp;'DMR 001C TIN &amp; TP'!$B$3:$B$10005&amp;'DMR 001C TIN &amp; TP'!$A$3:$A$10005),0),MATCH('Reg 85'!$O$11,'DMR 001C TIN &amp; TP'!$A$2:$M$2,0))),"")</f>
        <v/>
      </c>
      <c r="S94" s="6" t="str">
        <f t="array" ref="S94">_xlfn.IFNA((INDEX('DMR 001C TIN &amp; TP'!$A$3:$M$10005,MATCH(('Reg 85'!$I$6:$Q$6&amp;'Reg 85'!S$10&amp;'Reg 85'!$B94),('DMR 001C TIN &amp; TP'!$E$3:$E$10005&amp;'DMR 001C TIN &amp; TP'!$B$3:$B$10005&amp;'DMR 001C TIN &amp; TP'!$A$3:$A$10005),0),MATCH('Reg 85'!$O$11,'DMR 001C TIN &amp; TP'!$A$2:$M$2,0))),"")</f>
        <v/>
      </c>
      <c r="T94" s="6" t="str">
        <f t="array" ref="T94">_xlfn.IFNA((INDEX('DMR 001C TIN &amp; TP'!$A$3:$M$10005,MATCH(('Reg 85'!$I$6:$Q$6&amp;'Reg 85'!T$10&amp;'Reg 85'!$B94),('DMR 001C TIN &amp; TP'!$E$3:$E$10005&amp;'DMR 001C TIN &amp; TP'!$B$3:$B$10005&amp;'DMR 001C TIN &amp; TP'!$A$3:$A$10005),0),MATCH('Reg 85'!$O$11,'DMR 001C TIN &amp; TP'!$A$2:$M$2,0))),"")</f>
        <v/>
      </c>
      <c r="U94" s="6" t="str">
        <f t="array" ref="U94">_xlfn.IFNA((INDEX('DMR 001C TIN &amp; TP'!$A$3:$M$10005,MATCH(('Reg 85'!$I$6:$Q$6&amp;'Reg 85'!U$10&amp;'Reg 85'!$B94),('DMR 001C TIN &amp; TP'!$E$3:$E$10005&amp;'DMR 001C TIN &amp; TP'!$B$3:$B$10005&amp;'DMR 001C TIN &amp; TP'!$A$3:$A$10005),0),MATCH('Reg 85'!$O$11,'DMR 001C TIN &amp; TP'!$A$2:$M$2,0))),"")</f>
        <v/>
      </c>
      <c r="V94" s="6" t="str">
        <f t="array" ref="V94">_xlfn.IFNA((INDEX('DMR 001C TIN &amp; TP'!$A$3:$M$10005,MATCH(('Reg 85'!$I$6:$Q$6&amp;'Reg 85'!V$10&amp;'Reg 85'!$B94),('DMR 001C TIN &amp; TP'!$E$3:$E$10005&amp;'DMR 001C TIN &amp; TP'!$B$3:$B$10005&amp;'DMR 001C TIN &amp; TP'!$A$3:$A$10005),0),MATCH('Reg 85'!$O$11,'DMR 001C TIN &amp; TP'!$A$2:$M$2,0))),"")</f>
        <v/>
      </c>
      <c r="W94" s="6" t="str">
        <f t="array" ref="W94">_xlfn.IFNA((INDEX('DMR 001C TIN &amp; TP'!$A$3:$M$10005,MATCH(('Reg 85'!$I$6:$Q$6&amp;'Reg 85'!W$10&amp;'Reg 85'!$B94),('DMR 001C TIN &amp; TP'!$E$3:$E$10005&amp;'DMR 001C TIN &amp; TP'!$B$3:$B$10005&amp;'DMR 001C TIN &amp; TP'!$A$3:$A$10005),0),MATCH('Reg 85'!$O$11,'DMR 001C TIN &amp; TP'!$A$2:$M$2,0))),"")</f>
        <v/>
      </c>
      <c r="X94" s="5" t="str">
        <f t="shared" si="50"/>
        <v/>
      </c>
      <c r="Y94" s="6" t="str">
        <f t="array" ref="Y94">_xlfn.IFNA((INDEX('DMR 001C TIN &amp; TP'!$A$3:$M$10005,MATCH(('Reg 85'!$X$6&amp;'Reg 85'!$X$10&amp;'Reg 85'!$B94),('DMR 001C TIN &amp; TP'!$E$3:$E$10005&amp;'DMR 001C TIN &amp; TP'!$B$3:$B$10005&amp;'DMR 001C TIN &amp; TP'!$A$3:$A$10005),0),MATCH('Reg 85'!$Y$11,'DMR 001C TIN &amp; TP'!$A$2:$M$2,0))),"")</f>
        <v/>
      </c>
      <c r="Z94" s="6" t="str">
        <f t="array" ref="Z94">_xlfn.IFNA((INDEX('DMR 001C TIN &amp; TP'!$A$3:$M$10005,MATCH(('Reg 85'!$X$6&amp;'Reg 85'!$X$10&amp;'Reg 85'!$B94),('DMR 001C TIN &amp; TP'!$E$3:$E$10005&amp;'DMR 001C TIN &amp; TP'!$B$3:$B$10005&amp;'DMR 001C TIN &amp; TP'!$A$3:$A$10005),0),MATCH('Reg 85'!$Z$11,'DMR 001C TIN &amp; TP'!$A$2:$M$2,0))),"")</f>
        <v/>
      </c>
      <c r="AA94" s="53" t="str">
        <f t="shared" si="51"/>
        <v/>
      </c>
      <c r="AB94" s="5" t="str">
        <f t="shared" si="52"/>
        <v/>
      </c>
      <c r="AC94" s="6" t="str">
        <f t="array" ref="AC94">_xlfn.IFNA((INDEX('DMR 001C TIN &amp; TP'!$A$3:$M$10005,MATCH(('Reg 85'!$X$6&amp;'Reg 85'!$AB$10&amp;'Reg 85'!$B94),('DMR 001C TIN &amp; TP'!$E$3:$E$10005&amp;'DMR 001C TIN &amp; TP'!$B$3:$B$10005&amp;'DMR 001C TIN &amp; TP'!$A$3:$A$10005),0),MATCH('Reg 85'!$AC$11,'DMR 001C TIN &amp; TP'!$A$2:$M$2,0))),"")</f>
        <v/>
      </c>
      <c r="AD94" s="6" t="str">
        <f t="array" ref="AD94">_xlfn.IFNA((INDEX('DMR 001C TIN &amp; TP'!$A$3:$M$10005,MATCH(('Reg 85'!$X$6&amp;'Reg 85'!$AB$10&amp;'Reg 85'!$B94),('DMR 001C TIN &amp; TP'!$E$3:$E$10005&amp;'DMR 001C TIN &amp; TP'!$B$3:$B$10005&amp;'DMR 001C TIN &amp; TP'!$A$3:$A$10005),0),MATCH('Reg 85'!$AD$11,'DMR 001C TIN &amp; TP'!$A$2:$M$2,0))),"")</f>
        <v/>
      </c>
      <c r="AE94" s="53" t="str">
        <f t="shared" si="53"/>
        <v/>
      </c>
      <c r="AF94" s="7" t="str">
        <f t="shared" si="54"/>
        <v/>
      </c>
      <c r="AG94" s="6" t="str">
        <f t="array" ref="AG94">_xlfn.IFNA((INDEX('DMR 001C TIN &amp; TP'!$A$3:$M$10005,MATCH(('Reg 85'!$X$6&amp;'Reg 85'!AG$10&amp;'Reg 85'!$B94),('DMR 001C TIN &amp; TP'!$E$3:$E$10005&amp;'DMR 001C TIN &amp; TP'!$B$3:$B$10005&amp;'DMR 001C TIN &amp; TP'!$A$3:$A$10005),0),MATCH('Reg 85'!$AG$11,'DMR 001C TIN &amp; TP'!$A$2:$M$2,0))),"")</f>
        <v/>
      </c>
      <c r="AH94" s="6" t="str">
        <f t="array" ref="AH94">_xlfn.IFNA((INDEX('DMR 001C TIN &amp; TP'!$A$3:$M$10005,MATCH(('Reg 85'!$X$6&amp;'Reg 85'!AH$10&amp;'Reg 85'!$B94),('DMR 001C TIN &amp; TP'!$E$3:$E$10005&amp;'DMR 001C TIN &amp; TP'!$B$3:$B$10005&amp;'DMR 001C TIN &amp; TP'!$A$3:$A$10005),0),MATCH('Reg 85'!$AG$11,'DMR 001C TIN &amp; TP'!$A$2:$M$2,0))),"")</f>
        <v/>
      </c>
      <c r="AI94" s="6" t="str">
        <f t="array" ref="AI94">_xlfn.IFNA((INDEX('DMR 001C TIN &amp; TP'!$A$3:$M$10005,MATCH(('Reg 85'!$X$6&amp;'Reg 85'!AI$10&amp;'Reg 85'!$B94),('DMR 001C TIN &amp; TP'!$E$3:$E$10005&amp;'DMR 001C TIN &amp; TP'!$B$3:$B$10005&amp;'DMR 001C TIN &amp; TP'!$A$3:$A$10005),0),MATCH('Reg 85'!$AG$11,'DMR 001C TIN &amp; TP'!$A$2:$M$2,0))),"")</f>
        <v/>
      </c>
      <c r="AJ94" s="6" t="str">
        <f t="array" ref="AJ94">_xlfn.IFNA((INDEX('DMR 001C TIN &amp; TP'!$A$3:$M$10005,MATCH(('Reg 85'!$X$6&amp;'Reg 85'!AJ$10&amp;'Reg 85'!$B94),('DMR 001C TIN &amp; TP'!$E$3:$E$10005&amp;'DMR 001C TIN &amp; TP'!$B$3:$B$10005&amp;'DMR 001C TIN &amp; TP'!$A$3:$A$10005),0),MATCH('Reg 85'!$AG$11,'DMR 001C TIN &amp; TP'!$A$2:$M$2,0))),"")</f>
        <v/>
      </c>
      <c r="AK94" s="6" t="str">
        <f t="array" ref="AK94">_xlfn.IFNA((INDEX('DMR 001C TIN &amp; TP'!$A$3:$M$10005,MATCH(('Reg 85'!$X$6&amp;'Reg 85'!AK$10&amp;'Reg 85'!$B94),('DMR 001C TIN &amp; TP'!$E$3:$E$10005&amp;'DMR 001C TIN &amp; TP'!$B$3:$B$10005&amp;'DMR 001C TIN &amp; TP'!$A$3:$A$10005),0),MATCH('Reg 85'!$AG$11,'DMR 001C TIN &amp; TP'!$A$2:$M$2,0))),"")</f>
        <v/>
      </c>
      <c r="AL94" s="6" t="str">
        <f t="array" ref="AL94">_xlfn.IFNA((INDEX('DMR 001C TIN &amp; TP'!$A$3:$M$10005,MATCH(('Reg 85'!$X$6&amp;'Reg 85'!AL$10&amp;'Reg 85'!$B94),('DMR 001C TIN &amp; TP'!$E$3:$E$10005&amp;'DMR 001C TIN &amp; TP'!$B$3:$B$10005&amp;'DMR 001C TIN &amp; TP'!$A$3:$A$10005),0),MATCH('Reg 85'!$AG$11,'DMR 001C TIN &amp; TP'!$A$2:$M$2,0))),"")</f>
        <v/>
      </c>
      <c r="AM94" s="76"/>
      <c r="AN94" s="6"/>
      <c r="AO94" s="54" t="str">
        <f t="shared" si="41"/>
        <v/>
      </c>
      <c r="AP94" s="77" t="str">
        <f t="shared" si="39"/>
        <v/>
      </c>
      <c r="AQ94" s="47"/>
      <c r="AR94" s="6" t="str">
        <f t="array" ref="AR94">_xlfn.IFNA((INDEX('DMR 001C TIN &amp; TP'!$A$3:$M$10005,MATCH(('Reg 85'!$AQ$6&amp;'Reg 85'!$AQ$10&amp;'Reg 85'!$B94),('DMR 001C TIN &amp; TP'!$E$3:$E$10005&amp;'DMR 001C TIN &amp; TP'!$B$3:$B$10005&amp;'DMR 001C TIN &amp; TP'!$A$3:$A$10005),0),MATCH('Reg 85'!$AR$11,'DMR 001C TIN &amp; TP'!$A$2:$M$2,0))),"")</f>
        <v>0.03</v>
      </c>
      <c r="AS94" s="6">
        <f t="array" ref="AS94">_xlfn.IFNA((INDEX('DMR 001C TIN &amp; TP'!$A$3:$M$10005,MATCH(('Reg 85'!$AQ$6&amp;'Reg 85'!$AQ$10&amp;'Reg 85'!$B94),('DMR 001C TIN &amp; TP'!$E$3:$E$10005&amp;'DMR 001C TIN &amp; TP'!$B$3:$B$10005&amp;'DMR 001C TIN &amp; TP'!$A$3:$A$10005),0),MATCH('Reg 85'!$AS$11,'DMR 001C TIN &amp; TP'!$A$2:$M$2,0))),"")</f>
        <v>0.27</v>
      </c>
      <c r="AT94" s="53">
        <f t="shared" si="55"/>
        <v>0.27</v>
      </c>
      <c r="AV94" s="6" t="str">
        <f t="array" ref="AV94">_xlfn.IFNA((INDEX('DMR 001C TIN &amp; TP'!$A$3:$M$10005,MATCH(('Reg 85'!$AQ$6&amp;'Reg 85'!$AU$10&amp;'Reg 85'!$B94),('DMR 001C TIN &amp; TP'!$E$3:$E$10005&amp;'DMR 001C TIN &amp; TP'!$B$3:$B$10005&amp;'DMR 001C TIN &amp; TP'!$A$3:$A$10005),0),MATCH('Reg 85'!$AV$11,'DMR 001C TIN &amp; TP'!$A$2:$M$2,0))),"")</f>
        <v>0.03</v>
      </c>
      <c r="AW94" s="6">
        <f t="array" ref="AW94">_xlfn.IFNA((INDEX('DMR 001C TIN &amp; TP'!$A$3:$M$10005,MATCH(('Reg 85'!$AQ$6&amp;'Reg 85'!$AU$10&amp;'Reg 85'!$B94),('DMR 001C TIN &amp; TP'!$E$3:$E$10005&amp;'DMR 001C TIN &amp; TP'!$B$3:$B$10005&amp;'DMR 001C TIN &amp; TP'!$A$3:$A$10005),0),MATCH('Reg 85'!$AW$11,'DMR 001C TIN &amp; TP'!$A$2:$M$2,0))),"")</f>
        <v>0.79</v>
      </c>
      <c r="AX94" s="53">
        <f t="shared" si="56"/>
        <v>0.79</v>
      </c>
      <c r="AY94" s="55">
        <f t="shared" si="57"/>
        <v>0.58789984360332803</v>
      </c>
      <c r="AZ94" s="77" t="str">
        <f t="shared" si="40"/>
        <v/>
      </c>
      <c r="BA94" s="6" t="str">
        <f t="array" ref="BA94">_xlfn.IFNA((INDEX('DMR 001C TIN &amp; TP'!$A$3:$M$10005,MATCH(('Reg 85'!$AQ$6&amp;'Reg 85'!BA$10&amp;'Reg 85'!$B94),('DMR 001C TIN &amp; TP'!$E$3:$E$10005&amp;'DMR 001C TIN &amp; TP'!$B$3:$B$10005&amp;'DMR 001C TIN &amp; TP'!$A$3:$A$10005),0),MATCH('Reg 85'!$AG$11,'DMR 001C TIN &amp; TP'!$A$2:$M$2,0))),"")</f>
        <v/>
      </c>
      <c r="BB94" s="6" t="str">
        <f t="array" ref="BB94">_xlfn.IFNA((INDEX('DMR 001C TIN &amp; TP'!$A$3:$M$10005,MATCH(('Reg 85'!$AQ$6&amp;'Reg 85'!BB$10&amp;'Reg 85'!$B94),('DMR 001C TIN &amp; TP'!$E$3:$E$10005&amp;'DMR 001C TIN &amp; TP'!$B$3:$B$10005&amp;'DMR 001C TIN &amp; TP'!$A$3:$A$10005),0),MATCH('Reg 85'!$AG$11,'DMR 001C TIN &amp; TP'!$A$2:$M$2,0))),"")</f>
        <v/>
      </c>
      <c r="BC94" s="6" t="str">
        <f t="array" ref="BC94">_xlfn.IFNA((INDEX('DMR 001C TIN &amp; TP'!$A$3:$M$10005,MATCH(('Reg 85'!$AQ$6&amp;'Reg 85'!BC$10&amp;'Reg 85'!$B94),('DMR 001C TIN &amp; TP'!$E$3:$E$10005&amp;'DMR 001C TIN &amp; TP'!$B$3:$B$10005&amp;'DMR 001C TIN &amp; TP'!$A$3:$A$10005),0),MATCH('Reg 85'!$AG$11,'DMR 001C TIN &amp; TP'!$A$2:$M$2,0))),"")</f>
        <v/>
      </c>
      <c r="BD94" s="6" t="str">
        <f t="array" ref="BD94">_xlfn.IFNA((INDEX('DMR 001C TIN &amp; TP'!$A$3:$M$10005,MATCH(('Reg 85'!$AQ$6&amp;'Reg 85'!BD$10&amp;'Reg 85'!$B94),('DMR 001C TIN &amp; TP'!$E$3:$E$10005&amp;'DMR 001C TIN &amp; TP'!$B$3:$B$10005&amp;'DMR 001C TIN &amp; TP'!$A$3:$A$10005),0),MATCH('Reg 85'!$AG$11,'DMR 001C TIN &amp; TP'!$A$2:$M$2,0))),"")</f>
        <v/>
      </c>
      <c r="BE94" s="6" t="str">
        <f t="array" ref="BE94">_xlfn.IFNA((INDEX('DMR 001C TIN &amp; TP'!$A$3:$M$10005,MATCH(('Reg 85'!$AQ$6&amp;'Reg 85'!BE$10&amp;'Reg 85'!$B94),('DMR 001C TIN &amp; TP'!$E$3:$E$10005&amp;'DMR 001C TIN &amp; TP'!$B$3:$B$10005&amp;'DMR 001C TIN &amp; TP'!$A$3:$A$10005),0),MATCH('Reg 85'!$AG$11,'DMR 001C TIN &amp; TP'!$A$2:$M$2,0))),"")</f>
        <v/>
      </c>
      <c r="BF94" s="6" t="str">
        <f t="array" ref="BF94">_xlfn.IFNA((INDEX('DMR 001C TIN &amp; TP'!$A$3:$M$10005,MATCH(('Reg 85'!$AQ$6&amp;'Reg 85'!BF$10&amp;'Reg 85'!$B94),('DMR 001C TIN &amp; TP'!$E$3:$E$10005&amp;'DMR 001C TIN &amp; TP'!$B$3:$B$10005&amp;'DMR 001C TIN &amp; TP'!$A$3:$A$10005),0),MATCH('Reg 85'!$AG$11,'DMR 001C TIN &amp; TP'!$A$2:$M$2,0))),"")</f>
        <v/>
      </c>
    </row>
    <row r="95" spans="1:58">
      <c r="A95" s="3" t="str">
        <f t="shared" si="42"/>
        <v>Fri</v>
      </c>
      <c r="B95" s="96">
        <f t="shared" si="58"/>
        <v>43427</v>
      </c>
      <c r="C95" s="96">
        <f t="shared" si="43"/>
        <v>43434</v>
      </c>
      <c r="D95" s="96">
        <f t="shared" si="44"/>
        <v>43405</v>
      </c>
      <c r="E95" s="95">
        <f t="shared" si="45"/>
        <v>30</v>
      </c>
      <c r="F95" s="7">
        <f t="array" ref="F95">_xlfn.IFNA(INDEX('DMR Flows-Effluent'!$A$3:$F$9999,MATCH(($F$10&amp;$B95),('DMR Flows-Effluent'!$B$3:$B$9999&amp;'DMR Flows-Effluent'!$A$3:$A$9999),0),MATCH($F$8,'DMR Flows-Effluent'!$A$2:$F$2,0)),"")</f>
        <v>40.496200000000002</v>
      </c>
      <c r="G95" s="7">
        <f t="array" ref="G95">_xlfn.IFNA(INDEX('DMR Flows-Effluent'!$A$3:$F$9999,MATCH(($G$10&amp;$B95),('DMR Flows-Effluent'!$B$3:$B$9999&amp;'DMR Flows-Effluent'!$A$3:$A$9999),0),MATCH($F$8,'DMR Flows-Effluent'!$A$2:$F$2,0)),"")</f>
        <v>68.209599999999995</v>
      </c>
      <c r="H95" s="7">
        <f t="shared" si="46"/>
        <v>108.7058</v>
      </c>
      <c r="I95" s="45" t="str">
        <f t="shared" si="47"/>
        <v/>
      </c>
      <c r="J95" s="6" t="str">
        <f t="array" ref="J95">_xlfn.IFNA((INDEX('DMR 001C TIN &amp; TP'!$A$3:$M$10005,MATCH(('Reg 85'!$I$6:$Q$6&amp;'Reg 85'!$I$10:$K$10&amp;'Reg 85'!$B95),('DMR 001C TIN &amp; TP'!$E$3:$E$10005&amp;'DMR 001C TIN &amp; TP'!$B$3:$B$10005&amp;'DMR 001C TIN &amp; TP'!$A$3:$A$10005),0),MATCH('Reg 85'!$J$11,'DMR 001C TIN &amp; TP'!$A$2:$M$2,0))),"")</f>
        <v/>
      </c>
      <c r="K95" s="6" t="str">
        <f t="array" ref="K95">_xlfn.IFNA((INDEX('DMR 001C TIN &amp; TP'!$A$3:$M$10005,MATCH(('Reg 85'!$I$6:$Q$6&amp;'Reg 85'!$I$10:$K$10&amp;'Reg 85'!$B95),('DMR 001C TIN &amp; TP'!$E$3:$E$10005&amp;'DMR 001C TIN &amp; TP'!$B$3:$B$10005&amp;'DMR 001C TIN &amp; TP'!$A$3:$A$10005),0),MATCH('Reg 85'!$K$11,'DMR 001C TIN &amp; TP'!$A$2:$M$2,0))),"")</f>
        <v/>
      </c>
      <c r="L95" s="53" t="str">
        <f t="shared" si="59"/>
        <v/>
      </c>
      <c r="M95" s="5" t="str">
        <f t="shared" si="48"/>
        <v/>
      </c>
      <c r="N95" s="6" t="str">
        <f t="array" ref="N95">_xlfn.IFNA((INDEX('DMR 001C TIN &amp; TP'!$A$3:$M$10005,MATCH(('Reg 85'!$I$6:$Q$6&amp;'Reg 85'!$M$10&amp;'Reg 85'!$B95),('DMR 001C TIN &amp; TP'!$E$3:$E$10005&amp;'DMR 001C TIN &amp; TP'!$B$3:$B$10005&amp;'DMR 001C TIN &amp; TP'!$A$3:$A$10005),0),MATCH('Reg 85'!$N$11,'DMR 001C TIN &amp; TP'!$A$2:$M$2,0))),"")</f>
        <v/>
      </c>
      <c r="O95" s="6" t="str">
        <f t="array" ref="O95">_xlfn.IFNA((INDEX('DMR 001C TIN &amp; TP'!$A$3:$M$10005,MATCH(('Reg 85'!$I$6:$Q$6&amp;'Reg 85'!$M$10&amp;'Reg 85'!$B95),('DMR 001C TIN &amp; TP'!$E$3:$E$10005&amp;'DMR 001C TIN &amp; TP'!$B$3:$B$10005&amp;'DMR 001C TIN &amp; TP'!$A$3:$A$10005),0),MATCH('Reg 85'!$O$11,'DMR 001C TIN &amp; TP'!$A$2:$M$2,0))),"")</f>
        <v/>
      </c>
      <c r="P95" s="53" t="str">
        <f t="shared" si="49"/>
        <v/>
      </c>
      <c r="Q95" s="73" t="str">
        <f t="array" ref="Q95">IFERROR(((L95*$F95)+(P95*$G95))/($H95),"")</f>
        <v/>
      </c>
      <c r="R95" s="6" t="str">
        <f t="array" ref="R95">_xlfn.IFNA((INDEX('DMR 001C TIN &amp; TP'!$A$3:$M$10005,MATCH(('Reg 85'!$I$6:$Q$6&amp;'Reg 85'!R$10&amp;'Reg 85'!$B95),('DMR 001C TIN &amp; TP'!$E$3:$E$10005&amp;'DMR 001C TIN &amp; TP'!$B$3:$B$10005&amp;'DMR 001C TIN &amp; TP'!$A$3:$A$10005),0),MATCH('Reg 85'!$O$11,'DMR 001C TIN &amp; TP'!$A$2:$M$2,0))),"")</f>
        <v/>
      </c>
      <c r="S95" s="6" t="str">
        <f t="array" ref="S95">_xlfn.IFNA((INDEX('DMR 001C TIN &amp; TP'!$A$3:$M$10005,MATCH(('Reg 85'!$I$6:$Q$6&amp;'Reg 85'!S$10&amp;'Reg 85'!$B95),('DMR 001C TIN &amp; TP'!$E$3:$E$10005&amp;'DMR 001C TIN &amp; TP'!$B$3:$B$10005&amp;'DMR 001C TIN &amp; TP'!$A$3:$A$10005),0),MATCH('Reg 85'!$O$11,'DMR 001C TIN &amp; TP'!$A$2:$M$2,0))),"")</f>
        <v/>
      </c>
      <c r="T95" s="6" t="str">
        <f t="array" ref="T95">_xlfn.IFNA((INDEX('DMR 001C TIN &amp; TP'!$A$3:$M$10005,MATCH(('Reg 85'!$I$6:$Q$6&amp;'Reg 85'!T$10&amp;'Reg 85'!$B95),('DMR 001C TIN &amp; TP'!$E$3:$E$10005&amp;'DMR 001C TIN &amp; TP'!$B$3:$B$10005&amp;'DMR 001C TIN &amp; TP'!$A$3:$A$10005),0),MATCH('Reg 85'!$O$11,'DMR 001C TIN &amp; TP'!$A$2:$M$2,0))),"")</f>
        <v/>
      </c>
      <c r="U95" s="6" t="str">
        <f t="array" ref="U95">_xlfn.IFNA((INDEX('DMR 001C TIN &amp; TP'!$A$3:$M$10005,MATCH(('Reg 85'!$I$6:$Q$6&amp;'Reg 85'!U$10&amp;'Reg 85'!$B95),('DMR 001C TIN &amp; TP'!$E$3:$E$10005&amp;'DMR 001C TIN &amp; TP'!$B$3:$B$10005&amp;'DMR 001C TIN &amp; TP'!$A$3:$A$10005),0),MATCH('Reg 85'!$O$11,'DMR 001C TIN &amp; TP'!$A$2:$M$2,0))),"")</f>
        <v/>
      </c>
      <c r="V95" s="6" t="str">
        <f t="array" ref="V95">_xlfn.IFNA((INDEX('DMR 001C TIN &amp; TP'!$A$3:$M$10005,MATCH(('Reg 85'!$I$6:$Q$6&amp;'Reg 85'!V$10&amp;'Reg 85'!$B95),('DMR 001C TIN &amp; TP'!$E$3:$E$10005&amp;'DMR 001C TIN &amp; TP'!$B$3:$B$10005&amp;'DMR 001C TIN &amp; TP'!$A$3:$A$10005),0),MATCH('Reg 85'!$O$11,'DMR 001C TIN &amp; TP'!$A$2:$M$2,0))),"")</f>
        <v/>
      </c>
      <c r="W95" s="6" t="str">
        <f t="array" ref="W95">_xlfn.IFNA((INDEX('DMR 001C TIN &amp; TP'!$A$3:$M$10005,MATCH(('Reg 85'!$I$6:$Q$6&amp;'Reg 85'!W$10&amp;'Reg 85'!$B95),('DMR 001C TIN &amp; TP'!$E$3:$E$10005&amp;'DMR 001C TIN &amp; TP'!$B$3:$B$10005&amp;'DMR 001C TIN &amp; TP'!$A$3:$A$10005),0),MATCH('Reg 85'!$O$11,'DMR 001C TIN &amp; TP'!$A$2:$M$2,0))),"")</f>
        <v/>
      </c>
      <c r="X95" s="5" t="str">
        <f t="shared" si="50"/>
        <v/>
      </c>
      <c r="Y95" s="6" t="str">
        <f t="array" ref="Y95">_xlfn.IFNA((INDEX('DMR 001C TIN &amp; TP'!$A$3:$M$10005,MATCH(('Reg 85'!$X$6&amp;'Reg 85'!$X$10&amp;'Reg 85'!$B95),('DMR 001C TIN &amp; TP'!$E$3:$E$10005&amp;'DMR 001C TIN &amp; TP'!$B$3:$B$10005&amp;'DMR 001C TIN &amp; TP'!$A$3:$A$10005),0),MATCH('Reg 85'!$Y$11,'DMR 001C TIN &amp; TP'!$A$2:$M$2,0))),"")</f>
        <v/>
      </c>
      <c r="Z95" s="6" t="str">
        <f t="array" ref="Z95">_xlfn.IFNA((INDEX('DMR 001C TIN &amp; TP'!$A$3:$M$10005,MATCH(('Reg 85'!$X$6&amp;'Reg 85'!$X$10&amp;'Reg 85'!$B95),('DMR 001C TIN &amp; TP'!$E$3:$E$10005&amp;'DMR 001C TIN &amp; TP'!$B$3:$B$10005&amp;'DMR 001C TIN &amp; TP'!$A$3:$A$10005),0),MATCH('Reg 85'!$Z$11,'DMR 001C TIN &amp; TP'!$A$2:$M$2,0))),"")</f>
        <v/>
      </c>
      <c r="AA95" s="53" t="str">
        <f t="shared" si="51"/>
        <v/>
      </c>
      <c r="AB95" s="5" t="str">
        <f t="shared" si="52"/>
        <v/>
      </c>
      <c r="AC95" s="6" t="str">
        <f t="array" ref="AC95">_xlfn.IFNA((INDEX('DMR 001C TIN &amp; TP'!$A$3:$M$10005,MATCH(('Reg 85'!$X$6&amp;'Reg 85'!$AB$10&amp;'Reg 85'!$B95),('DMR 001C TIN &amp; TP'!$E$3:$E$10005&amp;'DMR 001C TIN &amp; TP'!$B$3:$B$10005&amp;'DMR 001C TIN &amp; TP'!$A$3:$A$10005),0),MATCH('Reg 85'!$AC$11,'DMR 001C TIN &amp; TP'!$A$2:$M$2,0))),"")</f>
        <v/>
      </c>
      <c r="AD95" s="6" t="str">
        <f t="array" ref="AD95">_xlfn.IFNA((INDEX('DMR 001C TIN &amp; TP'!$A$3:$M$10005,MATCH(('Reg 85'!$X$6&amp;'Reg 85'!$AB$10&amp;'Reg 85'!$B95),('DMR 001C TIN &amp; TP'!$E$3:$E$10005&amp;'DMR 001C TIN &amp; TP'!$B$3:$B$10005&amp;'DMR 001C TIN &amp; TP'!$A$3:$A$10005),0),MATCH('Reg 85'!$AD$11,'DMR 001C TIN &amp; TP'!$A$2:$M$2,0))),"")</f>
        <v/>
      </c>
      <c r="AE95" s="53" t="str">
        <f t="shared" si="53"/>
        <v/>
      </c>
      <c r="AF95" s="7" t="str">
        <f t="shared" si="54"/>
        <v/>
      </c>
      <c r="AG95" s="6" t="str">
        <f t="array" ref="AG95">_xlfn.IFNA((INDEX('DMR 001C TIN &amp; TP'!$A$3:$M$10005,MATCH(('Reg 85'!$X$6&amp;'Reg 85'!AG$10&amp;'Reg 85'!$B95),('DMR 001C TIN &amp; TP'!$E$3:$E$10005&amp;'DMR 001C TIN &amp; TP'!$B$3:$B$10005&amp;'DMR 001C TIN &amp; TP'!$A$3:$A$10005),0),MATCH('Reg 85'!$AG$11,'DMR 001C TIN &amp; TP'!$A$2:$M$2,0))),"")</f>
        <v/>
      </c>
      <c r="AH95" s="6" t="str">
        <f t="array" ref="AH95">_xlfn.IFNA((INDEX('DMR 001C TIN &amp; TP'!$A$3:$M$10005,MATCH(('Reg 85'!$X$6&amp;'Reg 85'!AH$10&amp;'Reg 85'!$B95),('DMR 001C TIN &amp; TP'!$E$3:$E$10005&amp;'DMR 001C TIN &amp; TP'!$B$3:$B$10005&amp;'DMR 001C TIN &amp; TP'!$A$3:$A$10005),0),MATCH('Reg 85'!$AG$11,'DMR 001C TIN &amp; TP'!$A$2:$M$2,0))),"")</f>
        <v/>
      </c>
      <c r="AI95" s="6" t="str">
        <f t="array" ref="AI95">_xlfn.IFNA((INDEX('DMR 001C TIN &amp; TP'!$A$3:$M$10005,MATCH(('Reg 85'!$X$6&amp;'Reg 85'!AI$10&amp;'Reg 85'!$B95),('DMR 001C TIN &amp; TP'!$E$3:$E$10005&amp;'DMR 001C TIN &amp; TP'!$B$3:$B$10005&amp;'DMR 001C TIN &amp; TP'!$A$3:$A$10005),0),MATCH('Reg 85'!$AG$11,'DMR 001C TIN &amp; TP'!$A$2:$M$2,0))),"")</f>
        <v/>
      </c>
      <c r="AJ95" s="6" t="str">
        <f t="array" ref="AJ95">_xlfn.IFNA((INDEX('DMR 001C TIN &amp; TP'!$A$3:$M$10005,MATCH(('Reg 85'!$X$6&amp;'Reg 85'!AJ$10&amp;'Reg 85'!$B95),('DMR 001C TIN &amp; TP'!$E$3:$E$10005&amp;'DMR 001C TIN &amp; TP'!$B$3:$B$10005&amp;'DMR 001C TIN &amp; TP'!$A$3:$A$10005),0),MATCH('Reg 85'!$AG$11,'DMR 001C TIN &amp; TP'!$A$2:$M$2,0))),"")</f>
        <v/>
      </c>
      <c r="AK95" s="6" t="str">
        <f t="array" ref="AK95">_xlfn.IFNA((INDEX('DMR 001C TIN &amp; TP'!$A$3:$M$10005,MATCH(('Reg 85'!$X$6&amp;'Reg 85'!AK$10&amp;'Reg 85'!$B95),('DMR 001C TIN &amp; TP'!$E$3:$E$10005&amp;'DMR 001C TIN &amp; TP'!$B$3:$B$10005&amp;'DMR 001C TIN &amp; TP'!$A$3:$A$10005),0),MATCH('Reg 85'!$AG$11,'DMR 001C TIN &amp; TP'!$A$2:$M$2,0))),"")</f>
        <v/>
      </c>
      <c r="AL95" s="6" t="str">
        <f t="array" ref="AL95">_xlfn.IFNA((INDEX('DMR 001C TIN &amp; TP'!$A$3:$M$10005,MATCH(('Reg 85'!$X$6&amp;'Reg 85'!AL$10&amp;'Reg 85'!$B95),('DMR 001C TIN &amp; TP'!$E$3:$E$10005&amp;'DMR 001C TIN &amp; TP'!$B$3:$B$10005&amp;'DMR 001C TIN &amp; TP'!$A$3:$A$10005),0),MATCH('Reg 85'!$AG$11,'DMR 001C TIN &amp; TP'!$A$2:$M$2,0))),"")</f>
        <v/>
      </c>
      <c r="AM95" s="76"/>
      <c r="AN95" s="6"/>
      <c r="AO95" s="54" t="str">
        <f t="shared" si="41"/>
        <v/>
      </c>
      <c r="AP95" s="77" t="str">
        <f t="shared" si="39"/>
        <v/>
      </c>
      <c r="AQ95" s="47"/>
      <c r="AR95" s="6" t="str">
        <f t="array" ref="AR95">_xlfn.IFNA((INDEX('DMR 001C TIN &amp; TP'!$A$3:$M$10005,MATCH(('Reg 85'!$AQ$6&amp;'Reg 85'!$AQ$10&amp;'Reg 85'!$B95),('DMR 001C TIN &amp; TP'!$E$3:$E$10005&amp;'DMR 001C TIN &amp; TP'!$B$3:$B$10005&amp;'DMR 001C TIN &amp; TP'!$A$3:$A$10005),0),MATCH('Reg 85'!$AR$11,'DMR 001C TIN &amp; TP'!$A$2:$M$2,0))),"")</f>
        <v/>
      </c>
      <c r="AS95" s="6" t="str">
        <f t="array" ref="AS95">_xlfn.IFNA((INDEX('DMR 001C TIN &amp; TP'!$A$3:$M$10005,MATCH(('Reg 85'!$AQ$6&amp;'Reg 85'!$AQ$10&amp;'Reg 85'!$B95),('DMR 001C TIN &amp; TP'!$E$3:$E$10005&amp;'DMR 001C TIN &amp; TP'!$B$3:$B$10005&amp;'DMR 001C TIN &amp; TP'!$A$3:$A$10005),0),MATCH('Reg 85'!$AS$11,'DMR 001C TIN &amp; TP'!$A$2:$M$2,0))),"")</f>
        <v/>
      </c>
      <c r="AT95" s="53" t="str">
        <f t="shared" si="55"/>
        <v/>
      </c>
      <c r="AV95" s="6" t="str">
        <f t="array" ref="AV95">_xlfn.IFNA((INDEX('DMR 001C TIN &amp; TP'!$A$3:$M$10005,MATCH(('Reg 85'!$AQ$6&amp;'Reg 85'!$AU$10&amp;'Reg 85'!$B95),('DMR 001C TIN &amp; TP'!$E$3:$E$10005&amp;'DMR 001C TIN &amp; TP'!$B$3:$B$10005&amp;'DMR 001C TIN &amp; TP'!$A$3:$A$10005),0),MATCH('Reg 85'!$AV$11,'DMR 001C TIN &amp; TP'!$A$2:$M$2,0))),"")</f>
        <v/>
      </c>
      <c r="AW95" s="6" t="str">
        <f t="array" ref="AW95">_xlfn.IFNA((INDEX('DMR 001C TIN &amp; TP'!$A$3:$M$10005,MATCH(('Reg 85'!$AQ$6&amp;'Reg 85'!$AU$10&amp;'Reg 85'!$B95),('DMR 001C TIN &amp; TP'!$E$3:$E$10005&amp;'DMR 001C TIN &amp; TP'!$B$3:$B$10005&amp;'DMR 001C TIN &amp; TP'!$A$3:$A$10005),0),MATCH('Reg 85'!$AW$11,'DMR 001C TIN &amp; TP'!$A$2:$M$2,0))),"")</f>
        <v/>
      </c>
      <c r="AX95" s="53" t="str">
        <f t="shared" si="56"/>
        <v/>
      </c>
      <c r="AY95" s="55" t="str">
        <f t="shared" si="57"/>
        <v/>
      </c>
      <c r="AZ95" s="77" t="str">
        <f t="shared" si="40"/>
        <v/>
      </c>
      <c r="BA95" s="6" t="str">
        <f t="array" ref="BA95">_xlfn.IFNA((INDEX('DMR 001C TIN &amp; TP'!$A$3:$M$10005,MATCH(('Reg 85'!$AQ$6&amp;'Reg 85'!BA$10&amp;'Reg 85'!$B95),('DMR 001C TIN &amp; TP'!$E$3:$E$10005&amp;'DMR 001C TIN &amp; TP'!$B$3:$B$10005&amp;'DMR 001C TIN &amp; TP'!$A$3:$A$10005),0),MATCH('Reg 85'!$AG$11,'DMR 001C TIN &amp; TP'!$A$2:$M$2,0))),"")</f>
        <v/>
      </c>
      <c r="BB95" s="6" t="str">
        <f t="array" ref="BB95">_xlfn.IFNA((INDEX('DMR 001C TIN &amp; TP'!$A$3:$M$10005,MATCH(('Reg 85'!$AQ$6&amp;'Reg 85'!BB$10&amp;'Reg 85'!$B95),('DMR 001C TIN &amp; TP'!$E$3:$E$10005&amp;'DMR 001C TIN &amp; TP'!$B$3:$B$10005&amp;'DMR 001C TIN &amp; TP'!$A$3:$A$10005),0),MATCH('Reg 85'!$AG$11,'DMR 001C TIN &amp; TP'!$A$2:$M$2,0))),"")</f>
        <v/>
      </c>
      <c r="BC95" s="6" t="str">
        <f t="array" ref="BC95">_xlfn.IFNA((INDEX('DMR 001C TIN &amp; TP'!$A$3:$M$10005,MATCH(('Reg 85'!$AQ$6&amp;'Reg 85'!BC$10&amp;'Reg 85'!$B95),('DMR 001C TIN &amp; TP'!$E$3:$E$10005&amp;'DMR 001C TIN &amp; TP'!$B$3:$B$10005&amp;'DMR 001C TIN &amp; TP'!$A$3:$A$10005),0),MATCH('Reg 85'!$AG$11,'DMR 001C TIN &amp; TP'!$A$2:$M$2,0))),"")</f>
        <v/>
      </c>
      <c r="BD95" s="6" t="str">
        <f t="array" ref="BD95">_xlfn.IFNA((INDEX('DMR 001C TIN &amp; TP'!$A$3:$M$10005,MATCH(('Reg 85'!$AQ$6&amp;'Reg 85'!BD$10&amp;'Reg 85'!$B95),('DMR 001C TIN &amp; TP'!$E$3:$E$10005&amp;'DMR 001C TIN &amp; TP'!$B$3:$B$10005&amp;'DMR 001C TIN &amp; TP'!$A$3:$A$10005),0),MATCH('Reg 85'!$AG$11,'DMR 001C TIN &amp; TP'!$A$2:$M$2,0))),"")</f>
        <v/>
      </c>
      <c r="BE95" s="6" t="str">
        <f t="array" ref="BE95">_xlfn.IFNA((INDEX('DMR 001C TIN &amp; TP'!$A$3:$M$10005,MATCH(('Reg 85'!$AQ$6&amp;'Reg 85'!BE$10&amp;'Reg 85'!$B95),('DMR 001C TIN &amp; TP'!$E$3:$E$10005&amp;'DMR 001C TIN &amp; TP'!$B$3:$B$10005&amp;'DMR 001C TIN &amp; TP'!$A$3:$A$10005),0),MATCH('Reg 85'!$AG$11,'DMR 001C TIN &amp; TP'!$A$2:$M$2,0))),"")</f>
        <v/>
      </c>
      <c r="BF95" s="6" t="str">
        <f t="array" ref="BF95">_xlfn.IFNA((INDEX('DMR 001C TIN &amp; TP'!$A$3:$M$10005,MATCH(('Reg 85'!$AQ$6&amp;'Reg 85'!BF$10&amp;'Reg 85'!$B95),('DMR 001C TIN &amp; TP'!$E$3:$E$10005&amp;'DMR 001C TIN &amp; TP'!$B$3:$B$10005&amp;'DMR 001C TIN &amp; TP'!$A$3:$A$10005),0),MATCH('Reg 85'!$AG$11,'DMR 001C TIN &amp; TP'!$A$2:$M$2,0))),"")</f>
        <v/>
      </c>
    </row>
    <row r="96" spans="1:58">
      <c r="A96" s="3" t="str">
        <f t="shared" si="42"/>
        <v>Sat</v>
      </c>
      <c r="B96" s="96">
        <f t="shared" si="58"/>
        <v>43428</v>
      </c>
      <c r="C96" s="96">
        <f t="shared" si="43"/>
        <v>43434</v>
      </c>
      <c r="D96" s="96">
        <f t="shared" si="44"/>
        <v>43405</v>
      </c>
      <c r="E96" s="95">
        <f t="shared" si="45"/>
        <v>30</v>
      </c>
      <c r="F96" s="7">
        <f t="array" ref="F96">_xlfn.IFNA(INDEX('DMR Flows-Effluent'!$A$3:$F$9999,MATCH(($F$10&amp;$B96),('DMR Flows-Effluent'!$B$3:$B$9999&amp;'DMR Flows-Effluent'!$A$3:$A$9999),0),MATCH($F$8,'DMR Flows-Effluent'!$A$2:$F$2,0)),"")</f>
        <v>49.037599999999998</v>
      </c>
      <c r="G96" s="7">
        <f t="array" ref="G96">_xlfn.IFNA(INDEX('DMR Flows-Effluent'!$A$3:$F$9999,MATCH(($G$10&amp;$B96),('DMR Flows-Effluent'!$B$3:$B$9999&amp;'DMR Flows-Effluent'!$A$3:$A$9999),0),MATCH($F$8,'DMR Flows-Effluent'!$A$2:$F$2,0)),"")</f>
        <v>67.734300000000005</v>
      </c>
      <c r="H96" s="7">
        <f t="shared" si="46"/>
        <v>116.7719</v>
      </c>
      <c r="I96" s="45" t="str">
        <f t="shared" si="47"/>
        <v/>
      </c>
      <c r="J96" s="6" t="str">
        <f t="array" ref="J96">_xlfn.IFNA((INDEX('DMR 001C TIN &amp; TP'!$A$3:$M$10005,MATCH(('Reg 85'!$I$6:$Q$6&amp;'Reg 85'!$I$10:$K$10&amp;'Reg 85'!$B96),('DMR 001C TIN &amp; TP'!$E$3:$E$10005&amp;'DMR 001C TIN &amp; TP'!$B$3:$B$10005&amp;'DMR 001C TIN &amp; TP'!$A$3:$A$10005),0),MATCH('Reg 85'!$J$11,'DMR 001C TIN &amp; TP'!$A$2:$M$2,0))),"")</f>
        <v/>
      </c>
      <c r="K96" s="6" t="str">
        <f t="array" ref="K96">_xlfn.IFNA((INDEX('DMR 001C TIN &amp; TP'!$A$3:$M$10005,MATCH(('Reg 85'!$I$6:$Q$6&amp;'Reg 85'!$I$10:$K$10&amp;'Reg 85'!$B96),('DMR 001C TIN &amp; TP'!$E$3:$E$10005&amp;'DMR 001C TIN &amp; TP'!$B$3:$B$10005&amp;'DMR 001C TIN &amp; TP'!$A$3:$A$10005),0),MATCH('Reg 85'!$K$11,'DMR 001C TIN &amp; TP'!$A$2:$M$2,0))),"")</f>
        <v/>
      </c>
      <c r="L96" s="53" t="str">
        <f t="shared" si="59"/>
        <v/>
      </c>
      <c r="M96" s="5" t="str">
        <f t="shared" si="48"/>
        <v/>
      </c>
      <c r="N96" s="6" t="str">
        <f t="array" ref="N96">_xlfn.IFNA((INDEX('DMR 001C TIN &amp; TP'!$A$3:$M$10005,MATCH(('Reg 85'!$I$6:$Q$6&amp;'Reg 85'!$M$10&amp;'Reg 85'!$B96),('DMR 001C TIN &amp; TP'!$E$3:$E$10005&amp;'DMR 001C TIN &amp; TP'!$B$3:$B$10005&amp;'DMR 001C TIN &amp; TP'!$A$3:$A$10005),0),MATCH('Reg 85'!$N$11,'DMR 001C TIN &amp; TP'!$A$2:$M$2,0))),"")</f>
        <v/>
      </c>
      <c r="O96" s="6" t="str">
        <f t="array" ref="O96">_xlfn.IFNA((INDEX('DMR 001C TIN &amp; TP'!$A$3:$M$10005,MATCH(('Reg 85'!$I$6:$Q$6&amp;'Reg 85'!$M$10&amp;'Reg 85'!$B96),('DMR 001C TIN &amp; TP'!$E$3:$E$10005&amp;'DMR 001C TIN &amp; TP'!$B$3:$B$10005&amp;'DMR 001C TIN &amp; TP'!$A$3:$A$10005),0),MATCH('Reg 85'!$O$11,'DMR 001C TIN &amp; TP'!$A$2:$M$2,0))),"")</f>
        <v/>
      </c>
      <c r="P96" s="53" t="str">
        <f t="shared" si="49"/>
        <v/>
      </c>
      <c r="Q96" s="73" t="str">
        <f t="array" ref="Q96">IFERROR(((L96*$F96)+(P96*$G96))/($H96),"")</f>
        <v/>
      </c>
      <c r="R96" s="6" t="str">
        <f t="array" ref="R96">_xlfn.IFNA((INDEX('DMR 001C TIN &amp; TP'!$A$3:$M$10005,MATCH(('Reg 85'!$I$6:$Q$6&amp;'Reg 85'!R$10&amp;'Reg 85'!$B96),('DMR 001C TIN &amp; TP'!$E$3:$E$10005&amp;'DMR 001C TIN &amp; TP'!$B$3:$B$10005&amp;'DMR 001C TIN &amp; TP'!$A$3:$A$10005),0),MATCH('Reg 85'!$O$11,'DMR 001C TIN &amp; TP'!$A$2:$M$2,0))),"")</f>
        <v/>
      </c>
      <c r="S96" s="6" t="str">
        <f t="array" ref="S96">_xlfn.IFNA((INDEX('DMR 001C TIN &amp; TP'!$A$3:$M$10005,MATCH(('Reg 85'!$I$6:$Q$6&amp;'Reg 85'!S$10&amp;'Reg 85'!$B96),('DMR 001C TIN &amp; TP'!$E$3:$E$10005&amp;'DMR 001C TIN &amp; TP'!$B$3:$B$10005&amp;'DMR 001C TIN &amp; TP'!$A$3:$A$10005),0),MATCH('Reg 85'!$O$11,'DMR 001C TIN &amp; TP'!$A$2:$M$2,0))),"")</f>
        <v/>
      </c>
      <c r="T96" s="6" t="str">
        <f t="array" ref="T96">_xlfn.IFNA((INDEX('DMR 001C TIN &amp; TP'!$A$3:$M$10005,MATCH(('Reg 85'!$I$6:$Q$6&amp;'Reg 85'!T$10&amp;'Reg 85'!$B96),('DMR 001C TIN &amp; TP'!$E$3:$E$10005&amp;'DMR 001C TIN &amp; TP'!$B$3:$B$10005&amp;'DMR 001C TIN &amp; TP'!$A$3:$A$10005),0),MATCH('Reg 85'!$O$11,'DMR 001C TIN &amp; TP'!$A$2:$M$2,0))),"")</f>
        <v/>
      </c>
      <c r="U96" s="6" t="str">
        <f t="array" ref="U96">_xlfn.IFNA((INDEX('DMR 001C TIN &amp; TP'!$A$3:$M$10005,MATCH(('Reg 85'!$I$6:$Q$6&amp;'Reg 85'!U$10&amp;'Reg 85'!$B96),('DMR 001C TIN &amp; TP'!$E$3:$E$10005&amp;'DMR 001C TIN &amp; TP'!$B$3:$B$10005&amp;'DMR 001C TIN &amp; TP'!$A$3:$A$10005),0),MATCH('Reg 85'!$O$11,'DMR 001C TIN &amp; TP'!$A$2:$M$2,0))),"")</f>
        <v/>
      </c>
      <c r="V96" s="6" t="str">
        <f t="array" ref="V96">_xlfn.IFNA((INDEX('DMR 001C TIN &amp; TP'!$A$3:$M$10005,MATCH(('Reg 85'!$I$6:$Q$6&amp;'Reg 85'!V$10&amp;'Reg 85'!$B96),('DMR 001C TIN &amp; TP'!$E$3:$E$10005&amp;'DMR 001C TIN &amp; TP'!$B$3:$B$10005&amp;'DMR 001C TIN &amp; TP'!$A$3:$A$10005),0),MATCH('Reg 85'!$O$11,'DMR 001C TIN &amp; TP'!$A$2:$M$2,0))),"")</f>
        <v/>
      </c>
      <c r="W96" s="6" t="str">
        <f t="array" ref="W96">_xlfn.IFNA((INDEX('DMR 001C TIN &amp; TP'!$A$3:$M$10005,MATCH(('Reg 85'!$I$6:$Q$6&amp;'Reg 85'!W$10&amp;'Reg 85'!$B96),('DMR 001C TIN &amp; TP'!$E$3:$E$10005&amp;'DMR 001C TIN &amp; TP'!$B$3:$B$10005&amp;'DMR 001C TIN &amp; TP'!$A$3:$A$10005),0),MATCH('Reg 85'!$O$11,'DMR 001C TIN &amp; TP'!$A$2:$M$2,0))),"")</f>
        <v/>
      </c>
      <c r="X96" s="5" t="str">
        <f t="shared" si="50"/>
        <v/>
      </c>
      <c r="Y96" s="6" t="str">
        <f t="array" ref="Y96">_xlfn.IFNA((INDEX('DMR 001C TIN &amp; TP'!$A$3:$M$10005,MATCH(('Reg 85'!$X$6&amp;'Reg 85'!$X$10&amp;'Reg 85'!$B96),('DMR 001C TIN &amp; TP'!$E$3:$E$10005&amp;'DMR 001C TIN &amp; TP'!$B$3:$B$10005&amp;'DMR 001C TIN &amp; TP'!$A$3:$A$10005),0),MATCH('Reg 85'!$Y$11,'DMR 001C TIN &amp; TP'!$A$2:$M$2,0))),"")</f>
        <v/>
      </c>
      <c r="Z96" s="6" t="str">
        <f t="array" ref="Z96">_xlfn.IFNA((INDEX('DMR 001C TIN &amp; TP'!$A$3:$M$10005,MATCH(('Reg 85'!$X$6&amp;'Reg 85'!$X$10&amp;'Reg 85'!$B96),('DMR 001C TIN &amp; TP'!$E$3:$E$10005&amp;'DMR 001C TIN &amp; TP'!$B$3:$B$10005&amp;'DMR 001C TIN &amp; TP'!$A$3:$A$10005),0),MATCH('Reg 85'!$Z$11,'DMR 001C TIN &amp; TP'!$A$2:$M$2,0))),"")</f>
        <v/>
      </c>
      <c r="AA96" s="53" t="str">
        <f t="shared" si="51"/>
        <v/>
      </c>
      <c r="AB96" s="5" t="str">
        <f t="shared" si="52"/>
        <v/>
      </c>
      <c r="AC96" s="6" t="str">
        <f t="array" ref="AC96">_xlfn.IFNA((INDEX('DMR 001C TIN &amp; TP'!$A$3:$M$10005,MATCH(('Reg 85'!$X$6&amp;'Reg 85'!$AB$10&amp;'Reg 85'!$B96),('DMR 001C TIN &amp; TP'!$E$3:$E$10005&amp;'DMR 001C TIN &amp; TP'!$B$3:$B$10005&amp;'DMR 001C TIN &amp; TP'!$A$3:$A$10005),0),MATCH('Reg 85'!$AC$11,'DMR 001C TIN &amp; TP'!$A$2:$M$2,0))),"")</f>
        <v/>
      </c>
      <c r="AD96" s="6" t="str">
        <f t="array" ref="AD96">_xlfn.IFNA((INDEX('DMR 001C TIN &amp; TP'!$A$3:$M$10005,MATCH(('Reg 85'!$X$6&amp;'Reg 85'!$AB$10&amp;'Reg 85'!$B96),('DMR 001C TIN &amp; TP'!$E$3:$E$10005&amp;'DMR 001C TIN &amp; TP'!$B$3:$B$10005&amp;'DMR 001C TIN &amp; TP'!$A$3:$A$10005),0),MATCH('Reg 85'!$AD$11,'DMR 001C TIN &amp; TP'!$A$2:$M$2,0))),"")</f>
        <v/>
      </c>
      <c r="AE96" s="53" t="str">
        <f t="shared" si="53"/>
        <v/>
      </c>
      <c r="AF96" s="7" t="str">
        <f t="shared" si="54"/>
        <v/>
      </c>
      <c r="AG96" s="6" t="str">
        <f t="array" ref="AG96">_xlfn.IFNA((INDEX('DMR 001C TIN &amp; TP'!$A$3:$M$10005,MATCH(('Reg 85'!$X$6&amp;'Reg 85'!AG$10&amp;'Reg 85'!$B96),('DMR 001C TIN &amp; TP'!$E$3:$E$10005&amp;'DMR 001C TIN &amp; TP'!$B$3:$B$10005&amp;'DMR 001C TIN &amp; TP'!$A$3:$A$10005),0),MATCH('Reg 85'!$AG$11,'DMR 001C TIN &amp; TP'!$A$2:$M$2,0))),"")</f>
        <v/>
      </c>
      <c r="AH96" s="6" t="str">
        <f t="array" ref="AH96">_xlfn.IFNA((INDEX('DMR 001C TIN &amp; TP'!$A$3:$M$10005,MATCH(('Reg 85'!$X$6&amp;'Reg 85'!AH$10&amp;'Reg 85'!$B96),('DMR 001C TIN &amp; TP'!$E$3:$E$10005&amp;'DMR 001C TIN &amp; TP'!$B$3:$B$10005&amp;'DMR 001C TIN &amp; TP'!$A$3:$A$10005),0),MATCH('Reg 85'!$AG$11,'DMR 001C TIN &amp; TP'!$A$2:$M$2,0))),"")</f>
        <v/>
      </c>
      <c r="AI96" s="6" t="str">
        <f t="array" ref="AI96">_xlfn.IFNA((INDEX('DMR 001C TIN &amp; TP'!$A$3:$M$10005,MATCH(('Reg 85'!$X$6&amp;'Reg 85'!AI$10&amp;'Reg 85'!$B96),('DMR 001C TIN &amp; TP'!$E$3:$E$10005&amp;'DMR 001C TIN &amp; TP'!$B$3:$B$10005&amp;'DMR 001C TIN &amp; TP'!$A$3:$A$10005),0),MATCH('Reg 85'!$AG$11,'DMR 001C TIN &amp; TP'!$A$2:$M$2,0))),"")</f>
        <v/>
      </c>
      <c r="AJ96" s="6" t="str">
        <f t="array" ref="AJ96">_xlfn.IFNA((INDEX('DMR 001C TIN &amp; TP'!$A$3:$M$10005,MATCH(('Reg 85'!$X$6&amp;'Reg 85'!AJ$10&amp;'Reg 85'!$B96),('DMR 001C TIN &amp; TP'!$E$3:$E$10005&amp;'DMR 001C TIN &amp; TP'!$B$3:$B$10005&amp;'DMR 001C TIN &amp; TP'!$A$3:$A$10005),0),MATCH('Reg 85'!$AG$11,'DMR 001C TIN &amp; TP'!$A$2:$M$2,0))),"")</f>
        <v/>
      </c>
      <c r="AK96" s="6" t="str">
        <f t="array" ref="AK96">_xlfn.IFNA((INDEX('DMR 001C TIN &amp; TP'!$A$3:$M$10005,MATCH(('Reg 85'!$X$6&amp;'Reg 85'!AK$10&amp;'Reg 85'!$B96),('DMR 001C TIN &amp; TP'!$E$3:$E$10005&amp;'DMR 001C TIN &amp; TP'!$B$3:$B$10005&amp;'DMR 001C TIN &amp; TP'!$A$3:$A$10005),0),MATCH('Reg 85'!$AG$11,'DMR 001C TIN &amp; TP'!$A$2:$M$2,0))),"")</f>
        <v/>
      </c>
      <c r="AL96" s="6" t="str">
        <f t="array" ref="AL96">_xlfn.IFNA((INDEX('DMR 001C TIN &amp; TP'!$A$3:$M$10005,MATCH(('Reg 85'!$X$6&amp;'Reg 85'!AL$10&amp;'Reg 85'!$B96),('DMR 001C TIN &amp; TP'!$E$3:$E$10005&amp;'DMR 001C TIN &amp; TP'!$B$3:$B$10005&amp;'DMR 001C TIN &amp; TP'!$A$3:$A$10005),0),MATCH('Reg 85'!$AG$11,'DMR 001C TIN &amp; TP'!$A$2:$M$2,0))),"")</f>
        <v/>
      </c>
      <c r="AM96" s="76"/>
      <c r="AN96" s="6"/>
      <c r="AO96" s="54" t="str">
        <f t="shared" si="41"/>
        <v/>
      </c>
      <c r="AP96" s="77" t="str">
        <f t="shared" si="39"/>
        <v/>
      </c>
      <c r="AQ96" s="47"/>
      <c r="AR96" s="6" t="str">
        <f t="array" ref="AR96">_xlfn.IFNA((INDEX('DMR 001C TIN &amp; TP'!$A$3:$M$10005,MATCH(('Reg 85'!$AQ$6&amp;'Reg 85'!$AQ$10&amp;'Reg 85'!$B96),('DMR 001C TIN &amp; TP'!$E$3:$E$10005&amp;'DMR 001C TIN &amp; TP'!$B$3:$B$10005&amp;'DMR 001C TIN &amp; TP'!$A$3:$A$10005),0),MATCH('Reg 85'!$AR$11,'DMR 001C TIN &amp; TP'!$A$2:$M$2,0))),"")</f>
        <v/>
      </c>
      <c r="AS96" s="6" t="str">
        <f t="array" ref="AS96">_xlfn.IFNA((INDEX('DMR 001C TIN &amp; TP'!$A$3:$M$10005,MATCH(('Reg 85'!$AQ$6&amp;'Reg 85'!$AQ$10&amp;'Reg 85'!$B96),('DMR 001C TIN &amp; TP'!$E$3:$E$10005&amp;'DMR 001C TIN &amp; TP'!$B$3:$B$10005&amp;'DMR 001C TIN &amp; TP'!$A$3:$A$10005),0),MATCH('Reg 85'!$AS$11,'DMR 001C TIN &amp; TP'!$A$2:$M$2,0))),"")</f>
        <v/>
      </c>
      <c r="AT96" s="53" t="str">
        <f t="shared" si="55"/>
        <v/>
      </c>
      <c r="AV96" s="6" t="str">
        <f t="array" ref="AV96">_xlfn.IFNA((INDEX('DMR 001C TIN &amp; TP'!$A$3:$M$10005,MATCH(('Reg 85'!$AQ$6&amp;'Reg 85'!$AU$10&amp;'Reg 85'!$B96),('DMR 001C TIN &amp; TP'!$E$3:$E$10005&amp;'DMR 001C TIN &amp; TP'!$B$3:$B$10005&amp;'DMR 001C TIN &amp; TP'!$A$3:$A$10005),0),MATCH('Reg 85'!$AV$11,'DMR 001C TIN &amp; TP'!$A$2:$M$2,0))),"")</f>
        <v/>
      </c>
      <c r="AW96" s="6" t="str">
        <f t="array" ref="AW96">_xlfn.IFNA((INDEX('DMR 001C TIN &amp; TP'!$A$3:$M$10005,MATCH(('Reg 85'!$AQ$6&amp;'Reg 85'!$AU$10&amp;'Reg 85'!$B96),('DMR 001C TIN &amp; TP'!$E$3:$E$10005&amp;'DMR 001C TIN &amp; TP'!$B$3:$B$10005&amp;'DMR 001C TIN &amp; TP'!$A$3:$A$10005),0),MATCH('Reg 85'!$AW$11,'DMR 001C TIN &amp; TP'!$A$2:$M$2,0))),"")</f>
        <v/>
      </c>
      <c r="AX96" s="53" t="str">
        <f t="shared" si="56"/>
        <v/>
      </c>
      <c r="AY96" s="55" t="str">
        <f t="shared" si="57"/>
        <v/>
      </c>
      <c r="AZ96" s="77" t="str">
        <f t="shared" si="40"/>
        <v/>
      </c>
      <c r="BA96" s="6" t="str">
        <f t="array" ref="BA96">_xlfn.IFNA((INDEX('DMR 001C TIN &amp; TP'!$A$3:$M$10005,MATCH(('Reg 85'!$AQ$6&amp;'Reg 85'!BA$10&amp;'Reg 85'!$B96),('DMR 001C TIN &amp; TP'!$E$3:$E$10005&amp;'DMR 001C TIN &amp; TP'!$B$3:$B$10005&amp;'DMR 001C TIN &amp; TP'!$A$3:$A$10005),0),MATCH('Reg 85'!$AG$11,'DMR 001C TIN &amp; TP'!$A$2:$M$2,0))),"")</f>
        <v/>
      </c>
      <c r="BB96" s="6" t="str">
        <f t="array" ref="BB96">_xlfn.IFNA((INDEX('DMR 001C TIN &amp; TP'!$A$3:$M$10005,MATCH(('Reg 85'!$AQ$6&amp;'Reg 85'!BB$10&amp;'Reg 85'!$B96),('DMR 001C TIN &amp; TP'!$E$3:$E$10005&amp;'DMR 001C TIN &amp; TP'!$B$3:$B$10005&amp;'DMR 001C TIN &amp; TP'!$A$3:$A$10005),0),MATCH('Reg 85'!$AG$11,'DMR 001C TIN &amp; TP'!$A$2:$M$2,0))),"")</f>
        <v/>
      </c>
      <c r="BC96" s="6" t="str">
        <f t="array" ref="BC96">_xlfn.IFNA((INDEX('DMR 001C TIN &amp; TP'!$A$3:$M$10005,MATCH(('Reg 85'!$AQ$6&amp;'Reg 85'!BC$10&amp;'Reg 85'!$B96),('DMR 001C TIN &amp; TP'!$E$3:$E$10005&amp;'DMR 001C TIN &amp; TP'!$B$3:$B$10005&amp;'DMR 001C TIN &amp; TP'!$A$3:$A$10005),0),MATCH('Reg 85'!$AG$11,'DMR 001C TIN &amp; TP'!$A$2:$M$2,0))),"")</f>
        <v/>
      </c>
      <c r="BD96" s="6" t="str">
        <f t="array" ref="BD96">_xlfn.IFNA((INDEX('DMR 001C TIN &amp; TP'!$A$3:$M$10005,MATCH(('Reg 85'!$AQ$6&amp;'Reg 85'!BD$10&amp;'Reg 85'!$B96),('DMR 001C TIN &amp; TP'!$E$3:$E$10005&amp;'DMR 001C TIN &amp; TP'!$B$3:$B$10005&amp;'DMR 001C TIN &amp; TP'!$A$3:$A$10005),0),MATCH('Reg 85'!$AG$11,'DMR 001C TIN &amp; TP'!$A$2:$M$2,0))),"")</f>
        <v/>
      </c>
      <c r="BE96" s="6" t="str">
        <f t="array" ref="BE96">_xlfn.IFNA((INDEX('DMR 001C TIN &amp; TP'!$A$3:$M$10005,MATCH(('Reg 85'!$AQ$6&amp;'Reg 85'!BE$10&amp;'Reg 85'!$B96),('DMR 001C TIN &amp; TP'!$E$3:$E$10005&amp;'DMR 001C TIN &amp; TP'!$B$3:$B$10005&amp;'DMR 001C TIN &amp; TP'!$A$3:$A$10005),0),MATCH('Reg 85'!$AG$11,'DMR 001C TIN &amp; TP'!$A$2:$M$2,0))),"")</f>
        <v/>
      </c>
      <c r="BF96" s="6" t="str">
        <f t="array" ref="BF96">_xlfn.IFNA((INDEX('DMR 001C TIN &amp; TP'!$A$3:$M$10005,MATCH(('Reg 85'!$AQ$6&amp;'Reg 85'!BF$10&amp;'Reg 85'!$B96),('DMR 001C TIN &amp; TP'!$E$3:$E$10005&amp;'DMR 001C TIN &amp; TP'!$B$3:$B$10005&amp;'DMR 001C TIN &amp; TP'!$A$3:$A$10005),0),MATCH('Reg 85'!$AG$11,'DMR 001C TIN &amp; TP'!$A$2:$M$2,0))),"")</f>
        <v/>
      </c>
    </row>
    <row r="97" spans="1:58">
      <c r="A97" s="3" t="str">
        <f t="shared" si="42"/>
        <v>Sun</v>
      </c>
      <c r="B97" s="96">
        <f t="shared" si="58"/>
        <v>43429</v>
      </c>
      <c r="C97" s="96">
        <f t="shared" si="43"/>
        <v>43434</v>
      </c>
      <c r="D97" s="96">
        <f t="shared" si="44"/>
        <v>43405</v>
      </c>
      <c r="E97" s="95">
        <f t="shared" si="45"/>
        <v>30</v>
      </c>
      <c r="F97" s="7">
        <f t="array" ref="F97">_xlfn.IFNA(INDEX('DMR Flows-Effluent'!$A$3:$F$9999,MATCH(($F$10&amp;$B97),('DMR Flows-Effluent'!$B$3:$B$9999&amp;'DMR Flows-Effluent'!$A$3:$A$9999),0),MATCH($F$8,'DMR Flows-Effluent'!$A$2:$F$2,0)),"")</f>
        <v>44.414200000000001</v>
      </c>
      <c r="G97" s="7">
        <f t="array" ref="G97">_xlfn.IFNA(INDEX('DMR Flows-Effluent'!$A$3:$F$9999,MATCH(($G$10&amp;$B97),('DMR Flows-Effluent'!$B$3:$B$9999&amp;'DMR Flows-Effluent'!$A$3:$A$9999),0),MATCH($F$8,'DMR Flows-Effluent'!$A$2:$F$2,0)),"")</f>
        <v>79.927199999999999</v>
      </c>
      <c r="H97" s="7">
        <f t="shared" si="46"/>
        <v>124.34139999999999</v>
      </c>
      <c r="I97" s="45" t="str">
        <f t="shared" si="47"/>
        <v/>
      </c>
      <c r="J97" s="6" t="str">
        <f t="array" ref="J97">_xlfn.IFNA((INDEX('DMR 001C TIN &amp; TP'!$A$3:$M$10005,MATCH(('Reg 85'!$I$6:$Q$6&amp;'Reg 85'!$I$10:$K$10&amp;'Reg 85'!$B97),('DMR 001C TIN &amp; TP'!$E$3:$E$10005&amp;'DMR 001C TIN &amp; TP'!$B$3:$B$10005&amp;'DMR 001C TIN &amp; TP'!$A$3:$A$10005),0),MATCH('Reg 85'!$J$11,'DMR 001C TIN &amp; TP'!$A$2:$M$2,0))),"")</f>
        <v/>
      </c>
      <c r="K97" s="6" t="str">
        <f t="array" ref="K97">_xlfn.IFNA((INDEX('DMR 001C TIN &amp; TP'!$A$3:$M$10005,MATCH(('Reg 85'!$I$6:$Q$6&amp;'Reg 85'!$I$10:$K$10&amp;'Reg 85'!$B97),('DMR 001C TIN &amp; TP'!$E$3:$E$10005&amp;'DMR 001C TIN &amp; TP'!$B$3:$B$10005&amp;'DMR 001C TIN &amp; TP'!$A$3:$A$10005),0),MATCH('Reg 85'!$K$11,'DMR 001C TIN &amp; TP'!$A$2:$M$2,0))),"")</f>
        <v/>
      </c>
      <c r="L97" s="53" t="str">
        <f t="shared" si="59"/>
        <v/>
      </c>
      <c r="M97" s="5" t="str">
        <f t="shared" si="48"/>
        <v/>
      </c>
      <c r="N97" s="6" t="str">
        <f t="array" ref="N97">_xlfn.IFNA((INDEX('DMR 001C TIN &amp; TP'!$A$3:$M$10005,MATCH(('Reg 85'!$I$6:$Q$6&amp;'Reg 85'!$M$10&amp;'Reg 85'!$B97),('DMR 001C TIN &amp; TP'!$E$3:$E$10005&amp;'DMR 001C TIN &amp; TP'!$B$3:$B$10005&amp;'DMR 001C TIN &amp; TP'!$A$3:$A$10005),0),MATCH('Reg 85'!$N$11,'DMR 001C TIN &amp; TP'!$A$2:$M$2,0))),"")</f>
        <v/>
      </c>
      <c r="O97" s="6" t="str">
        <f t="array" ref="O97">_xlfn.IFNA((INDEX('DMR 001C TIN &amp; TP'!$A$3:$M$10005,MATCH(('Reg 85'!$I$6:$Q$6&amp;'Reg 85'!$M$10&amp;'Reg 85'!$B97),('DMR 001C TIN &amp; TP'!$E$3:$E$10005&amp;'DMR 001C TIN &amp; TP'!$B$3:$B$10005&amp;'DMR 001C TIN &amp; TP'!$A$3:$A$10005),0),MATCH('Reg 85'!$O$11,'DMR 001C TIN &amp; TP'!$A$2:$M$2,0))),"")</f>
        <v/>
      </c>
      <c r="P97" s="53" t="str">
        <f t="shared" si="49"/>
        <v/>
      </c>
      <c r="Q97" s="73" t="str">
        <f t="array" ref="Q97">IFERROR(((L97*$F97)+(P97*$G97))/($H97),"")</f>
        <v/>
      </c>
      <c r="R97" s="6" t="str">
        <f t="array" ref="R97">_xlfn.IFNA((INDEX('DMR 001C TIN &amp; TP'!$A$3:$M$10005,MATCH(('Reg 85'!$I$6:$Q$6&amp;'Reg 85'!R$10&amp;'Reg 85'!$B97),('DMR 001C TIN &amp; TP'!$E$3:$E$10005&amp;'DMR 001C TIN &amp; TP'!$B$3:$B$10005&amp;'DMR 001C TIN &amp; TP'!$A$3:$A$10005),0),MATCH('Reg 85'!$O$11,'DMR 001C TIN &amp; TP'!$A$2:$M$2,0))),"")</f>
        <v/>
      </c>
      <c r="S97" s="6" t="str">
        <f t="array" ref="S97">_xlfn.IFNA((INDEX('DMR 001C TIN &amp; TP'!$A$3:$M$10005,MATCH(('Reg 85'!$I$6:$Q$6&amp;'Reg 85'!S$10&amp;'Reg 85'!$B97),('DMR 001C TIN &amp; TP'!$E$3:$E$10005&amp;'DMR 001C TIN &amp; TP'!$B$3:$B$10005&amp;'DMR 001C TIN &amp; TP'!$A$3:$A$10005),0),MATCH('Reg 85'!$O$11,'DMR 001C TIN &amp; TP'!$A$2:$M$2,0))),"")</f>
        <v/>
      </c>
      <c r="T97" s="6" t="str">
        <f t="array" ref="T97">_xlfn.IFNA((INDEX('DMR 001C TIN &amp; TP'!$A$3:$M$10005,MATCH(('Reg 85'!$I$6:$Q$6&amp;'Reg 85'!T$10&amp;'Reg 85'!$B97),('DMR 001C TIN &amp; TP'!$E$3:$E$10005&amp;'DMR 001C TIN &amp; TP'!$B$3:$B$10005&amp;'DMR 001C TIN &amp; TP'!$A$3:$A$10005),0),MATCH('Reg 85'!$O$11,'DMR 001C TIN &amp; TP'!$A$2:$M$2,0))),"")</f>
        <v/>
      </c>
      <c r="U97" s="6" t="str">
        <f t="array" ref="U97">_xlfn.IFNA((INDEX('DMR 001C TIN &amp; TP'!$A$3:$M$10005,MATCH(('Reg 85'!$I$6:$Q$6&amp;'Reg 85'!U$10&amp;'Reg 85'!$B97),('DMR 001C TIN &amp; TP'!$E$3:$E$10005&amp;'DMR 001C TIN &amp; TP'!$B$3:$B$10005&amp;'DMR 001C TIN &amp; TP'!$A$3:$A$10005),0),MATCH('Reg 85'!$O$11,'DMR 001C TIN &amp; TP'!$A$2:$M$2,0))),"")</f>
        <v/>
      </c>
      <c r="V97" s="6" t="str">
        <f t="array" ref="V97">_xlfn.IFNA((INDEX('DMR 001C TIN &amp; TP'!$A$3:$M$10005,MATCH(('Reg 85'!$I$6:$Q$6&amp;'Reg 85'!V$10&amp;'Reg 85'!$B97),('DMR 001C TIN &amp; TP'!$E$3:$E$10005&amp;'DMR 001C TIN &amp; TP'!$B$3:$B$10005&amp;'DMR 001C TIN &amp; TP'!$A$3:$A$10005),0),MATCH('Reg 85'!$O$11,'DMR 001C TIN &amp; TP'!$A$2:$M$2,0))),"")</f>
        <v/>
      </c>
      <c r="W97" s="6" t="str">
        <f t="array" ref="W97">_xlfn.IFNA((INDEX('DMR 001C TIN &amp; TP'!$A$3:$M$10005,MATCH(('Reg 85'!$I$6:$Q$6&amp;'Reg 85'!W$10&amp;'Reg 85'!$B97),('DMR 001C TIN &amp; TP'!$E$3:$E$10005&amp;'DMR 001C TIN &amp; TP'!$B$3:$B$10005&amp;'DMR 001C TIN &amp; TP'!$A$3:$A$10005),0),MATCH('Reg 85'!$O$11,'DMR 001C TIN &amp; TP'!$A$2:$M$2,0))),"")</f>
        <v/>
      </c>
      <c r="X97" s="5" t="str">
        <f t="shared" si="50"/>
        <v/>
      </c>
      <c r="Y97" s="6" t="str">
        <f t="array" ref="Y97">_xlfn.IFNA((INDEX('DMR 001C TIN &amp; TP'!$A$3:$M$10005,MATCH(('Reg 85'!$X$6&amp;'Reg 85'!$X$10&amp;'Reg 85'!$B97),('DMR 001C TIN &amp; TP'!$E$3:$E$10005&amp;'DMR 001C TIN &amp; TP'!$B$3:$B$10005&amp;'DMR 001C TIN &amp; TP'!$A$3:$A$10005),0),MATCH('Reg 85'!$Y$11,'DMR 001C TIN &amp; TP'!$A$2:$M$2,0))),"")</f>
        <v/>
      </c>
      <c r="Z97" s="6" t="str">
        <f t="array" ref="Z97">_xlfn.IFNA((INDEX('DMR 001C TIN &amp; TP'!$A$3:$M$10005,MATCH(('Reg 85'!$X$6&amp;'Reg 85'!$X$10&amp;'Reg 85'!$B97),('DMR 001C TIN &amp; TP'!$E$3:$E$10005&amp;'DMR 001C TIN &amp; TP'!$B$3:$B$10005&amp;'DMR 001C TIN &amp; TP'!$A$3:$A$10005),0),MATCH('Reg 85'!$Z$11,'DMR 001C TIN &amp; TP'!$A$2:$M$2,0))),"")</f>
        <v/>
      </c>
      <c r="AA97" s="53" t="str">
        <f t="shared" si="51"/>
        <v/>
      </c>
      <c r="AB97" s="5" t="str">
        <f t="shared" si="52"/>
        <v/>
      </c>
      <c r="AC97" s="6" t="str">
        <f t="array" ref="AC97">_xlfn.IFNA((INDEX('DMR 001C TIN &amp; TP'!$A$3:$M$10005,MATCH(('Reg 85'!$X$6&amp;'Reg 85'!$AB$10&amp;'Reg 85'!$B97),('DMR 001C TIN &amp; TP'!$E$3:$E$10005&amp;'DMR 001C TIN &amp; TP'!$B$3:$B$10005&amp;'DMR 001C TIN &amp; TP'!$A$3:$A$10005),0),MATCH('Reg 85'!$AC$11,'DMR 001C TIN &amp; TP'!$A$2:$M$2,0))),"")</f>
        <v/>
      </c>
      <c r="AD97" s="6" t="str">
        <f t="array" ref="AD97">_xlfn.IFNA((INDEX('DMR 001C TIN &amp; TP'!$A$3:$M$10005,MATCH(('Reg 85'!$X$6&amp;'Reg 85'!$AB$10&amp;'Reg 85'!$B97),('DMR 001C TIN &amp; TP'!$E$3:$E$10005&amp;'DMR 001C TIN &amp; TP'!$B$3:$B$10005&amp;'DMR 001C TIN &amp; TP'!$A$3:$A$10005),0),MATCH('Reg 85'!$AD$11,'DMR 001C TIN &amp; TP'!$A$2:$M$2,0))),"")</f>
        <v/>
      </c>
      <c r="AE97" s="53" t="str">
        <f t="shared" si="53"/>
        <v/>
      </c>
      <c r="AF97" s="7" t="str">
        <f t="shared" si="54"/>
        <v/>
      </c>
      <c r="AG97" s="6" t="str">
        <f t="array" ref="AG97">_xlfn.IFNA((INDEX('DMR 001C TIN &amp; TP'!$A$3:$M$10005,MATCH(('Reg 85'!$X$6&amp;'Reg 85'!AG$10&amp;'Reg 85'!$B97),('DMR 001C TIN &amp; TP'!$E$3:$E$10005&amp;'DMR 001C TIN &amp; TP'!$B$3:$B$10005&amp;'DMR 001C TIN &amp; TP'!$A$3:$A$10005),0),MATCH('Reg 85'!$AG$11,'DMR 001C TIN &amp; TP'!$A$2:$M$2,0))),"")</f>
        <v/>
      </c>
      <c r="AH97" s="6" t="str">
        <f t="array" ref="AH97">_xlfn.IFNA((INDEX('DMR 001C TIN &amp; TP'!$A$3:$M$10005,MATCH(('Reg 85'!$X$6&amp;'Reg 85'!AH$10&amp;'Reg 85'!$B97),('DMR 001C TIN &amp; TP'!$E$3:$E$10005&amp;'DMR 001C TIN &amp; TP'!$B$3:$B$10005&amp;'DMR 001C TIN &amp; TP'!$A$3:$A$10005),0),MATCH('Reg 85'!$AG$11,'DMR 001C TIN &amp; TP'!$A$2:$M$2,0))),"")</f>
        <v/>
      </c>
      <c r="AI97" s="6" t="str">
        <f t="array" ref="AI97">_xlfn.IFNA((INDEX('DMR 001C TIN &amp; TP'!$A$3:$M$10005,MATCH(('Reg 85'!$X$6&amp;'Reg 85'!AI$10&amp;'Reg 85'!$B97),('DMR 001C TIN &amp; TP'!$E$3:$E$10005&amp;'DMR 001C TIN &amp; TP'!$B$3:$B$10005&amp;'DMR 001C TIN &amp; TP'!$A$3:$A$10005),0),MATCH('Reg 85'!$AG$11,'DMR 001C TIN &amp; TP'!$A$2:$M$2,0))),"")</f>
        <v/>
      </c>
      <c r="AJ97" s="6" t="str">
        <f t="array" ref="AJ97">_xlfn.IFNA((INDEX('DMR 001C TIN &amp; TP'!$A$3:$M$10005,MATCH(('Reg 85'!$X$6&amp;'Reg 85'!AJ$10&amp;'Reg 85'!$B97),('DMR 001C TIN &amp; TP'!$E$3:$E$10005&amp;'DMR 001C TIN &amp; TP'!$B$3:$B$10005&amp;'DMR 001C TIN &amp; TP'!$A$3:$A$10005),0),MATCH('Reg 85'!$AG$11,'DMR 001C TIN &amp; TP'!$A$2:$M$2,0))),"")</f>
        <v/>
      </c>
      <c r="AK97" s="6" t="str">
        <f t="array" ref="AK97">_xlfn.IFNA((INDEX('DMR 001C TIN &amp; TP'!$A$3:$M$10005,MATCH(('Reg 85'!$X$6&amp;'Reg 85'!AK$10&amp;'Reg 85'!$B97),('DMR 001C TIN &amp; TP'!$E$3:$E$10005&amp;'DMR 001C TIN &amp; TP'!$B$3:$B$10005&amp;'DMR 001C TIN &amp; TP'!$A$3:$A$10005),0),MATCH('Reg 85'!$AG$11,'DMR 001C TIN &amp; TP'!$A$2:$M$2,0))),"")</f>
        <v/>
      </c>
      <c r="AL97" s="6" t="str">
        <f t="array" ref="AL97">_xlfn.IFNA((INDEX('DMR 001C TIN &amp; TP'!$A$3:$M$10005,MATCH(('Reg 85'!$X$6&amp;'Reg 85'!AL$10&amp;'Reg 85'!$B97),('DMR 001C TIN &amp; TP'!$E$3:$E$10005&amp;'DMR 001C TIN &amp; TP'!$B$3:$B$10005&amp;'DMR 001C TIN &amp; TP'!$A$3:$A$10005),0),MATCH('Reg 85'!$AG$11,'DMR 001C TIN &amp; TP'!$A$2:$M$2,0))),"")</f>
        <v/>
      </c>
      <c r="AM97" s="76"/>
      <c r="AN97" s="6"/>
      <c r="AO97" s="54" t="str">
        <f t="shared" si="41"/>
        <v/>
      </c>
      <c r="AP97" s="77" t="str">
        <f t="shared" si="39"/>
        <v/>
      </c>
      <c r="AQ97" s="47"/>
      <c r="AR97" s="6" t="str">
        <f t="array" ref="AR97">_xlfn.IFNA((INDEX('DMR 001C TIN &amp; TP'!$A$3:$M$10005,MATCH(('Reg 85'!$AQ$6&amp;'Reg 85'!$AQ$10&amp;'Reg 85'!$B97),('DMR 001C TIN &amp; TP'!$E$3:$E$10005&amp;'DMR 001C TIN &amp; TP'!$B$3:$B$10005&amp;'DMR 001C TIN &amp; TP'!$A$3:$A$10005),0),MATCH('Reg 85'!$AR$11,'DMR 001C TIN &amp; TP'!$A$2:$M$2,0))),"")</f>
        <v>0.03</v>
      </c>
      <c r="AS97" s="6">
        <f t="array" ref="AS97">_xlfn.IFNA((INDEX('DMR 001C TIN &amp; TP'!$A$3:$M$10005,MATCH(('Reg 85'!$AQ$6&amp;'Reg 85'!$AQ$10&amp;'Reg 85'!$B97),('DMR 001C TIN &amp; TP'!$E$3:$E$10005&amp;'DMR 001C TIN &amp; TP'!$B$3:$B$10005&amp;'DMR 001C TIN &amp; TP'!$A$3:$A$10005),0),MATCH('Reg 85'!$AS$11,'DMR 001C TIN &amp; TP'!$A$2:$M$2,0))),"")</f>
        <v>0.25</v>
      </c>
      <c r="AT97" s="53">
        <f t="shared" si="55"/>
        <v>0.25</v>
      </c>
      <c r="AV97" s="6" t="str">
        <f t="array" ref="AV97">_xlfn.IFNA((INDEX('DMR 001C TIN &amp; TP'!$A$3:$M$10005,MATCH(('Reg 85'!$AQ$6&amp;'Reg 85'!$AU$10&amp;'Reg 85'!$B97),('DMR 001C TIN &amp; TP'!$E$3:$E$10005&amp;'DMR 001C TIN &amp; TP'!$B$3:$B$10005&amp;'DMR 001C TIN &amp; TP'!$A$3:$A$10005),0),MATCH('Reg 85'!$AV$11,'DMR 001C TIN &amp; TP'!$A$2:$M$2,0))),"")</f>
        <v>0.06</v>
      </c>
      <c r="AW97" s="6">
        <f t="array" ref="AW97">_xlfn.IFNA((INDEX('DMR 001C TIN &amp; TP'!$A$3:$M$10005,MATCH(('Reg 85'!$AQ$6&amp;'Reg 85'!$AU$10&amp;'Reg 85'!$B97),('DMR 001C TIN &amp; TP'!$E$3:$E$10005&amp;'DMR 001C TIN &amp; TP'!$B$3:$B$10005&amp;'DMR 001C TIN &amp; TP'!$A$3:$A$10005),0),MATCH('Reg 85'!$AW$11,'DMR 001C TIN &amp; TP'!$A$2:$M$2,0))),"")</f>
        <v>3.16</v>
      </c>
      <c r="AX97" s="53">
        <f t="shared" si="56"/>
        <v>3.16</v>
      </c>
      <c r="AY97" s="55">
        <f t="shared" si="57"/>
        <v>2.1205608268846898</v>
      </c>
      <c r="AZ97" s="77" t="str">
        <f t="shared" si="40"/>
        <v/>
      </c>
      <c r="BA97" s="6" t="str">
        <f t="array" ref="BA97">_xlfn.IFNA((INDEX('DMR 001C TIN &amp; TP'!$A$3:$M$10005,MATCH(('Reg 85'!$AQ$6&amp;'Reg 85'!BA$10&amp;'Reg 85'!$B97),('DMR 001C TIN &amp; TP'!$E$3:$E$10005&amp;'DMR 001C TIN &amp; TP'!$B$3:$B$10005&amp;'DMR 001C TIN &amp; TP'!$A$3:$A$10005),0),MATCH('Reg 85'!$AG$11,'DMR 001C TIN &amp; TP'!$A$2:$M$2,0))),"")</f>
        <v/>
      </c>
      <c r="BB97" s="6" t="str">
        <f t="array" ref="BB97">_xlfn.IFNA((INDEX('DMR 001C TIN &amp; TP'!$A$3:$M$10005,MATCH(('Reg 85'!$AQ$6&amp;'Reg 85'!BB$10&amp;'Reg 85'!$B97),('DMR 001C TIN &amp; TP'!$E$3:$E$10005&amp;'DMR 001C TIN &amp; TP'!$B$3:$B$10005&amp;'DMR 001C TIN &amp; TP'!$A$3:$A$10005),0),MATCH('Reg 85'!$AG$11,'DMR 001C TIN &amp; TP'!$A$2:$M$2,0))),"")</f>
        <v/>
      </c>
      <c r="BC97" s="6" t="str">
        <f t="array" ref="BC97">_xlfn.IFNA((INDEX('DMR 001C TIN &amp; TP'!$A$3:$M$10005,MATCH(('Reg 85'!$AQ$6&amp;'Reg 85'!BC$10&amp;'Reg 85'!$B97),('DMR 001C TIN &amp; TP'!$E$3:$E$10005&amp;'DMR 001C TIN &amp; TP'!$B$3:$B$10005&amp;'DMR 001C TIN &amp; TP'!$A$3:$A$10005),0),MATCH('Reg 85'!$AG$11,'DMR 001C TIN &amp; TP'!$A$2:$M$2,0))),"")</f>
        <v/>
      </c>
      <c r="BD97" s="6" t="str">
        <f t="array" ref="BD97">_xlfn.IFNA((INDEX('DMR 001C TIN &amp; TP'!$A$3:$M$10005,MATCH(('Reg 85'!$AQ$6&amp;'Reg 85'!BD$10&amp;'Reg 85'!$B97),('DMR 001C TIN &amp; TP'!$E$3:$E$10005&amp;'DMR 001C TIN &amp; TP'!$B$3:$B$10005&amp;'DMR 001C TIN &amp; TP'!$A$3:$A$10005),0),MATCH('Reg 85'!$AG$11,'DMR 001C TIN &amp; TP'!$A$2:$M$2,0))),"")</f>
        <v/>
      </c>
      <c r="BE97" s="6" t="str">
        <f t="array" ref="BE97">_xlfn.IFNA((INDEX('DMR 001C TIN &amp; TP'!$A$3:$M$10005,MATCH(('Reg 85'!$AQ$6&amp;'Reg 85'!BE$10&amp;'Reg 85'!$B97),('DMR 001C TIN &amp; TP'!$E$3:$E$10005&amp;'DMR 001C TIN &amp; TP'!$B$3:$B$10005&amp;'DMR 001C TIN &amp; TP'!$A$3:$A$10005),0),MATCH('Reg 85'!$AG$11,'DMR 001C TIN &amp; TP'!$A$2:$M$2,0))),"")</f>
        <v/>
      </c>
      <c r="BF97" s="6" t="str">
        <f t="array" ref="BF97">_xlfn.IFNA((INDEX('DMR 001C TIN &amp; TP'!$A$3:$M$10005,MATCH(('Reg 85'!$AQ$6&amp;'Reg 85'!BF$10&amp;'Reg 85'!$B97),('DMR 001C TIN &amp; TP'!$E$3:$E$10005&amp;'DMR 001C TIN &amp; TP'!$B$3:$B$10005&amp;'DMR 001C TIN &amp; TP'!$A$3:$A$10005),0),MATCH('Reg 85'!$AG$11,'DMR 001C TIN &amp; TP'!$A$2:$M$2,0))),"")</f>
        <v/>
      </c>
    </row>
    <row r="98" spans="1:58">
      <c r="A98" s="3" t="str">
        <f t="shared" si="42"/>
        <v>Mon</v>
      </c>
      <c r="B98" s="96">
        <f t="shared" si="58"/>
        <v>43430</v>
      </c>
      <c r="C98" s="96">
        <f t="shared" si="43"/>
        <v>43434</v>
      </c>
      <c r="D98" s="96">
        <f t="shared" si="44"/>
        <v>43405</v>
      </c>
      <c r="E98" s="95">
        <f t="shared" si="45"/>
        <v>30</v>
      </c>
      <c r="F98" s="7">
        <f t="array" ref="F98">_xlfn.IFNA(INDEX('DMR Flows-Effluent'!$A$3:$F$9999,MATCH(($F$10&amp;$B98),('DMR Flows-Effluent'!$B$3:$B$9999&amp;'DMR Flows-Effluent'!$A$3:$A$9999),0),MATCH($F$8,'DMR Flows-Effluent'!$A$2:$F$2,0)),"")</f>
        <v>35.744</v>
      </c>
      <c r="G98" s="7">
        <f t="array" ref="G98">_xlfn.IFNA(INDEX('DMR Flows-Effluent'!$A$3:$F$9999,MATCH(($G$10&amp;$B98),('DMR Flows-Effluent'!$B$3:$B$9999&amp;'DMR Flows-Effluent'!$A$3:$A$9999),0),MATCH($F$8,'DMR Flows-Effluent'!$A$2:$F$2,0)),"")</f>
        <v>84.417299999999997</v>
      </c>
      <c r="H98" s="7">
        <f t="shared" si="46"/>
        <v>120.1613</v>
      </c>
      <c r="I98" s="45" t="str">
        <f t="shared" si="47"/>
        <v>&lt;</v>
      </c>
      <c r="J98" s="6" t="str">
        <f t="array" ref="J98">_xlfn.IFNA((INDEX('DMR 001C TIN &amp; TP'!$A$3:$M$10005,MATCH(('Reg 85'!$I$6:$Q$6&amp;'Reg 85'!$I$10:$K$10&amp;'Reg 85'!$B98),('DMR 001C TIN &amp; TP'!$E$3:$E$10005&amp;'DMR 001C TIN &amp; TP'!$B$3:$B$10005&amp;'DMR 001C TIN &amp; TP'!$A$3:$A$10005),0),MATCH('Reg 85'!$J$11,'DMR 001C TIN &amp; TP'!$A$2:$M$2,0))),"")</f>
        <v>0.15</v>
      </c>
      <c r="K98" s="6">
        <f t="array" ref="K98">_xlfn.IFNA((INDEX('DMR 001C TIN &amp; TP'!$A$3:$M$10005,MATCH(('Reg 85'!$I$6:$Q$6&amp;'Reg 85'!$I$10:$K$10&amp;'Reg 85'!$B98),('DMR 001C TIN &amp; TP'!$E$3:$E$10005&amp;'DMR 001C TIN &amp; TP'!$B$3:$B$10005&amp;'DMR 001C TIN &amp; TP'!$A$3:$A$10005),0),MATCH('Reg 85'!$K$11,'DMR 001C TIN &amp; TP'!$A$2:$M$2,0))),"")</f>
        <v>0.13</v>
      </c>
      <c r="L98" s="53">
        <f t="shared" si="59"/>
        <v>0</v>
      </c>
      <c r="M98" s="5" t="str">
        <f t="shared" si="48"/>
        <v/>
      </c>
      <c r="N98" s="6" t="str">
        <f t="array" ref="N98">_xlfn.IFNA((INDEX('DMR 001C TIN &amp; TP'!$A$3:$M$10005,MATCH(('Reg 85'!$I$6:$Q$6&amp;'Reg 85'!$M$10&amp;'Reg 85'!$B98),('DMR 001C TIN &amp; TP'!$E$3:$E$10005&amp;'DMR 001C TIN &amp; TP'!$B$3:$B$10005&amp;'DMR 001C TIN &amp; TP'!$A$3:$A$10005),0),MATCH('Reg 85'!$N$11,'DMR 001C TIN &amp; TP'!$A$2:$M$2,0))),"")</f>
        <v>0.15</v>
      </c>
      <c r="O98" s="6">
        <f t="array" ref="O98">_xlfn.IFNA((INDEX('DMR 001C TIN &amp; TP'!$A$3:$M$10005,MATCH(('Reg 85'!$I$6:$Q$6&amp;'Reg 85'!$M$10&amp;'Reg 85'!$B98),('DMR 001C TIN &amp; TP'!$E$3:$E$10005&amp;'DMR 001C TIN &amp; TP'!$B$3:$B$10005&amp;'DMR 001C TIN &amp; TP'!$A$3:$A$10005),0),MATCH('Reg 85'!$O$11,'DMR 001C TIN &amp; TP'!$A$2:$M$2,0))),"")</f>
        <v>0.17</v>
      </c>
      <c r="P98" s="53">
        <f t="shared" si="49"/>
        <v>0.17</v>
      </c>
      <c r="Q98" s="73">
        <f t="array" ref="Q98">IFERROR(((L98*$F98)+(P98*$G98))/($H98),"")</f>
        <v>0.11943064031431086</v>
      </c>
      <c r="R98" s="6" t="str">
        <f t="array" ref="R98">_xlfn.IFNA((INDEX('DMR 001C TIN &amp; TP'!$A$3:$M$10005,MATCH(('Reg 85'!$I$6:$Q$6&amp;'Reg 85'!R$10&amp;'Reg 85'!$B98),('DMR 001C TIN &amp; TP'!$E$3:$E$10005&amp;'DMR 001C TIN &amp; TP'!$B$3:$B$10005&amp;'DMR 001C TIN &amp; TP'!$A$3:$A$10005),0),MATCH('Reg 85'!$O$11,'DMR 001C TIN &amp; TP'!$A$2:$M$2,0))),"")</f>
        <v/>
      </c>
      <c r="S98" s="6" t="str">
        <f t="array" ref="S98">_xlfn.IFNA((INDEX('DMR 001C TIN &amp; TP'!$A$3:$M$10005,MATCH(('Reg 85'!$I$6:$Q$6&amp;'Reg 85'!S$10&amp;'Reg 85'!$B98),('DMR 001C TIN &amp; TP'!$E$3:$E$10005&amp;'DMR 001C TIN &amp; TP'!$B$3:$B$10005&amp;'DMR 001C TIN &amp; TP'!$A$3:$A$10005),0),MATCH('Reg 85'!$O$11,'DMR 001C TIN &amp; TP'!$A$2:$M$2,0))),"")</f>
        <v/>
      </c>
      <c r="T98" s="6" t="str">
        <f t="array" ref="T98">_xlfn.IFNA((INDEX('DMR 001C TIN &amp; TP'!$A$3:$M$10005,MATCH(('Reg 85'!$I$6:$Q$6&amp;'Reg 85'!T$10&amp;'Reg 85'!$B98),('DMR 001C TIN &amp; TP'!$E$3:$E$10005&amp;'DMR 001C TIN &amp; TP'!$B$3:$B$10005&amp;'DMR 001C TIN &amp; TP'!$A$3:$A$10005),0),MATCH('Reg 85'!$O$11,'DMR 001C TIN &amp; TP'!$A$2:$M$2,0))),"")</f>
        <v/>
      </c>
      <c r="U98" s="6" t="str">
        <f t="array" ref="U98">_xlfn.IFNA((INDEX('DMR 001C TIN &amp; TP'!$A$3:$M$10005,MATCH(('Reg 85'!$I$6:$Q$6&amp;'Reg 85'!U$10&amp;'Reg 85'!$B98),('DMR 001C TIN &amp; TP'!$E$3:$E$10005&amp;'DMR 001C TIN &amp; TP'!$B$3:$B$10005&amp;'DMR 001C TIN &amp; TP'!$A$3:$A$10005),0),MATCH('Reg 85'!$O$11,'DMR 001C TIN &amp; TP'!$A$2:$M$2,0))),"")</f>
        <v/>
      </c>
      <c r="V98" s="6" t="str">
        <f t="array" ref="V98">_xlfn.IFNA((INDEX('DMR 001C TIN &amp; TP'!$A$3:$M$10005,MATCH(('Reg 85'!$I$6:$Q$6&amp;'Reg 85'!V$10&amp;'Reg 85'!$B98),('DMR 001C TIN &amp; TP'!$E$3:$E$10005&amp;'DMR 001C TIN &amp; TP'!$B$3:$B$10005&amp;'DMR 001C TIN &amp; TP'!$A$3:$A$10005),0),MATCH('Reg 85'!$O$11,'DMR 001C TIN &amp; TP'!$A$2:$M$2,0))),"")</f>
        <v/>
      </c>
      <c r="W98" s="6" t="str">
        <f t="array" ref="W98">_xlfn.IFNA((INDEX('DMR 001C TIN &amp; TP'!$A$3:$M$10005,MATCH(('Reg 85'!$I$6:$Q$6&amp;'Reg 85'!W$10&amp;'Reg 85'!$B98),('DMR 001C TIN &amp; TP'!$E$3:$E$10005&amp;'DMR 001C TIN &amp; TP'!$B$3:$B$10005&amp;'DMR 001C TIN &amp; TP'!$A$3:$A$10005),0),MATCH('Reg 85'!$O$11,'DMR 001C TIN &amp; TP'!$A$2:$M$2,0))),"")</f>
        <v/>
      </c>
      <c r="X98" s="5" t="str">
        <f t="shared" si="50"/>
        <v/>
      </c>
      <c r="Y98" s="6" t="str">
        <f t="array" ref="Y98">_xlfn.IFNA((INDEX('DMR 001C TIN &amp; TP'!$A$3:$M$10005,MATCH(('Reg 85'!$X$6&amp;'Reg 85'!$X$10&amp;'Reg 85'!$B98),('DMR 001C TIN &amp; TP'!$E$3:$E$10005&amp;'DMR 001C TIN &amp; TP'!$B$3:$B$10005&amp;'DMR 001C TIN &amp; TP'!$A$3:$A$10005),0),MATCH('Reg 85'!$Y$11,'DMR 001C TIN &amp; TP'!$A$2:$M$2,0))),"")</f>
        <v>0.06</v>
      </c>
      <c r="Z98" s="6">
        <f t="array" ref="Z98">_xlfn.IFNA((INDEX('DMR 001C TIN &amp; TP'!$A$3:$M$10005,MATCH(('Reg 85'!$X$6&amp;'Reg 85'!$X$10&amp;'Reg 85'!$B98),('DMR 001C TIN &amp; TP'!$E$3:$E$10005&amp;'DMR 001C TIN &amp; TP'!$B$3:$B$10005&amp;'DMR 001C TIN &amp; TP'!$A$3:$A$10005),0),MATCH('Reg 85'!$Z$11,'DMR 001C TIN &amp; TP'!$A$2:$M$2,0))),"")</f>
        <v>4.67</v>
      </c>
      <c r="AA98" s="53">
        <f t="shared" si="51"/>
        <v>4.67</v>
      </c>
      <c r="AB98" s="5" t="str">
        <f t="shared" si="52"/>
        <v/>
      </c>
      <c r="AC98" s="6" t="str">
        <f t="array" ref="AC98">_xlfn.IFNA((INDEX('DMR 001C TIN &amp; TP'!$A$3:$M$10005,MATCH(('Reg 85'!$X$6&amp;'Reg 85'!$AB$10&amp;'Reg 85'!$B98),('DMR 001C TIN &amp; TP'!$E$3:$E$10005&amp;'DMR 001C TIN &amp; TP'!$B$3:$B$10005&amp;'DMR 001C TIN &amp; TP'!$A$3:$A$10005),0),MATCH('Reg 85'!$AC$11,'DMR 001C TIN &amp; TP'!$A$2:$M$2,0))),"")</f>
        <v>0.06</v>
      </c>
      <c r="AD98" s="6">
        <f t="array" ref="AD98">_xlfn.IFNA((INDEX('DMR 001C TIN &amp; TP'!$A$3:$M$10005,MATCH(('Reg 85'!$X$6&amp;'Reg 85'!$AB$10&amp;'Reg 85'!$B98),('DMR 001C TIN &amp; TP'!$E$3:$E$10005&amp;'DMR 001C TIN &amp; TP'!$B$3:$B$10005&amp;'DMR 001C TIN &amp; TP'!$A$3:$A$10005),0),MATCH('Reg 85'!$AD$11,'DMR 001C TIN &amp; TP'!$A$2:$M$2,0))),"")</f>
        <v>6.54</v>
      </c>
      <c r="AE98" s="53">
        <f t="shared" si="53"/>
        <v>6.54</v>
      </c>
      <c r="AF98" s="7">
        <f t="shared" si="54"/>
        <v>5.9837370434574195</v>
      </c>
      <c r="AG98" s="6" t="str">
        <f t="array" ref="AG98">_xlfn.IFNA((INDEX('DMR 001C TIN &amp; TP'!$A$3:$M$10005,MATCH(('Reg 85'!$X$6&amp;'Reg 85'!AG$10&amp;'Reg 85'!$B98),('DMR 001C TIN &amp; TP'!$E$3:$E$10005&amp;'DMR 001C TIN &amp; TP'!$B$3:$B$10005&amp;'DMR 001C TIN &amp; TP'!$A$3:$A$10005),0),MATCH('Reg 85'!$AG$11,'DMR 001C TIN &amp; TP'!$A$2:$M$2,0))),"")</f>
        <v/>
      </c>
      <c r="AH98" s="6" t="str">
        <f t="array" ref="AH98">_xlfn.IFNA((INDEX('DMR 001C TIN &amp; TP'!$A$3:$M$10005,MATCH(('Reg 85'!$X$6&amp;'Reg 85'!AH$10&amp;'Reg 85'!$B98),('DMR 001C TIN &amp; TP'!$E$3:$E$10005&amp;'DMR 001C TIN &amp; TP'!$B$3:$B$10005&amp;'DMR 001C TIN &amp; TP'!$A$3:$A$10005),0),MATCH('Reg 85'!$AG$11,'DMR 001C TIN &amp; TP'!$A$2:$M$2,0))),"")</f>
        <v/>
      </c>
      <c r="AI98" s="6" t="str">
        <f t="array" ref="AI98">_xlfn.IFNA((INDEX('DMR 001C TIN &amp; TP'!$A$3:$M$10005,MATCH(('Reg 85'!$X$6&amp;'Reg 85'!AI$10&amp;'Reg 85'!$B98),('DMR 001C TIN &amp; TP'!$E$3:$E$10005&amp;'DMR 001C TIN &amp; TP'!$B$3:$B$10005&amp;'DMR 001C TIN &amp; TP'!$A$3:$A$10005),0),MATCH('Reg 85'!$AG$11,'DMR 001C TIN &amp; TP'!$A$2:$M$2,0))),"")</f>
        <v/>
      </c>
      <c r="AJ98" s="6" t="str">
        <f t="array" ref="AJ98">_xlfn.IFNA((INDEX('DMR 001C TIN &amp; TP'!$A$3:$M$10005,MATCH(('Reg 85'!$X$6&amp;'Reg 85'!AJ$10&amp;'Reg 85'!$B98),('DMR 001C TIN &amp; TP'!$E$3:$E$10005&amp;'DMR 001C TIN &amp; TP'!$B$3:$B$10005&amp;'DMR 001C TIN &amp; TP'!$A$3:$A$10005),0),MATCH('Reg 85'!$AG$11,'DMR 001C TIN &amp; TP'!$A$2:$M$2,0))),"")</f>
        <v/>
      </c>
      <c r="AK98" s="6" t="str">
        <f t="array" ref="AK98">_xlfn.IFNA((INDEX('DMR 001C TIN &amp; TP'!$A$3:$M$10005,MATCH(('Reg 85'!$X$6&amp;'Reg 85'!AK$10&amp;'Reg 85'!$B98),('DMR 001C TIN &amp; TP'!$E$3:$E$10005&amp;'DMR 001C TIN &amp; TP'!$B$3:$B$10005&amp;'DMR 001C TIN &amp; TP'!$A$3:$A$10005),0),MATCH('Reg 85'!$AG$11,'DMR 001C TIN &amp; TP'!$A$2:$M$2,0))),"")</f>
        <v/>
      </c>
      <c r="AL98" s="6" t="str">
        <f t="array" ref="AL98">_xlfn.IFNA((INDEX('DMR 001C TIN &amp; TP'!$A$3:$M$10005,MATCH(('Reg 85'!$X$6&amp;'Reg 85'!AL$10&amp;'Reg 85'!$B98),('DMR 001C TIN &amp; TP'!$E$3:$E$10005&amp;'DMR 001C TIN &amp; TP'!$B$3:$B$10005&amp;'DMR 001C TIN &amp; TP'!$A$3:$A$10005),0),MATCH('Reg 85'!$AG$11,'DMR 001C TIN &amp; TP'!$A$2:$M$2,0))),"")</f>
        <v/>
      </c>
      <c r="AM98" s="76"/>
      <c r="AN98" s="6"/>
      <c r="AO98" s="54">
        <f t="shared" si="41"/>
        <v>6.1031676837717308</v>
      </c>
      <c r="AP98" s="77" t="str">
        <f t="shared" si="39"/>
        <v/>
      </c>
      <c r="AQ98" s="47"/>
      <c r="AR98" s="6" t="str">
        <f t="array" ref="AR98">_xlfn.IFNA((INDEX('DMR 001C TIN &amp; TP'!$A$3:$M$10005,MATCH(('Reg 85'!$AQ$6&amp;'Reg 85'!$AQ$10&amp;'Reg 85'!$B98),('DMR 001C TIN &amp; TP'!$E$3:$E$10005&amp;'DMR 001C TIN &amp; TP'!$B$3:$B$10005&amp;'DMR 001C TIN &amp; TP'!$A$3:$A$10005),0),MATCH('Reg 85'!$AR$11,'DMR 001C TIN &amp; TP'!$A$2:$M$2,0))),"")</f>
        <v/>
      </c>
      <c r="AS98" s="6" t="str">
        <f t="array" ref="AS98">_xlfn.IFNA((INDEX('DMR 001C TIN &amp; TP'!$A$3:$M$10005,MATCH(('Reg 85'!$AQ$6&amp;'Reg 85'!$AQ$10&amp;'Reg 85'!$B98),('DMR 001C TIN &amp; TP'!$E$3:$E$10005&amp;'DMR 001C TIN &amp; TP'!$B$3:$B$10005&amp;'DMR 001C TIN &amp; TP'!$A$3:$A$10005),0),MATCH('Reg 85'!$AS$11,'DMR 001C TIN &amp; TP'!$A$2:$M$2,0))),"")</f>
        <v/>
      </c>
      <c r="AT98" s="53" t="str">
        <f t="shared" si="55"/>
        <v/>
      </c>
      <c r="AV98" s="6" t="str">
        <f t="array" ref="AV98">_xlfn.IFNA((INDEX('DMR 001C TIN &amp; TP'!$A$3:$M$10005,MATCH(('Reg 85'!$AQ$6&amp;'Reg 85'!$AU$10&amp;'Reg 85'!$B98),('DMR 001C TIN &amp; TP'!$E$3:$E$10005&amp;'DMR 001C TIN &amp; TP'!$B$3:$B$10005&amp;'DMR 001C TIN &amp; TP'!$A$3:$A$10005),0),MATCH('Reg 85'!$AV$11,'DMR 001C TIN &amp; TP'!$A$2:$M$2,0))),"")</f>
        <v/>
      </c>
      <c r="AW98" s="6" t="str">
        <f t="array" ref="AW98">_xlfn.IFNA((INDEX('DMR 001C TIN &amp; TP'!$A$3:$M$10005,MATCH(('Reg 85'!$AQ$6&amp;'Reg 85'!$AU$10&amp;'Reg 85'!$B98),('DMR 001C TIN &amp; TP'!$E$3:$E$10005&amp;'DMR 001C TIN &amp; TP'!$B$3:$B$10005&amp;'DMR 001C TIN &amp; TP'!$A$3:$A$10005),0),MATCH('Reg 85'!$AW$11,'DMR 001C TIN &amp; TP'!$A$2:$M$2,0))),"")</f>
        <v/>
      </c>
      <c r="AX98" s="53" t="str">
        <f t="shared" si="56"/>
        <v/>
      </c>
      <c r="AY98" s="55" t="str">
        <f t="shared" si="57"/>
        <v/>
      </c>
      <c r="AZ98" s="77" t="str">
        <f t="shared" si="40"/>
        <v/>
      </c>
      <c r="BA98" s="6" t="str">
        <f t="array" ref="BA98">_xlfn.IFNA((INDEX('DMR 001C TIN &amp; TP'!$A$3:$M$10005,MATCH(('Reg 85'!$AQ$6&amp;'Reg 85'!BA$10&amp;'Reg 85'!$B98),('DMR 001C TIN &amp; TP'!$E$3:$E$10005&amp;'DMR 001C TIN &amp; TP'!$B$3:$B$10005&amp;'DMR 001C TIN &amp; TP'!$A$3:$A$10005),0),MATCH('Reg 85'!$AG$11,'DMR 001C TIN &amp; TP'!$A$2:$M$2,0))),"")</f>
        <v/>
      </c>
      <c r="BB98" s="6" t="str">
        <f t="array" ref="BB98">_xlfn.IFNA((INDEX('DMR 001C TIN &amp; TP'!$A$3:$M$10005,MATCH(('Reg 85'!$AQ$6&amp;'Reg 85'!BB$10&amp;'Reg 85'!$B98),('DMR 001C TIN &amp; TP'!$E$3:$E$10005&amp;'DMR 001C TIN &amp; TP'!$B$3:$B$10005&amp;'DMR 001C TIN &amp; TP'!$A$3:$A$10005),0),MATCH('Reg 85'!$AG$11,'DMR 001C TIN &amp; TP'!$A$2:$M$2,0))),"")</f>
        <v/>
      </c>
      <c r="BC98" s="6" t="str">
        <f t="array" ref="BC98">_xlfn.IFNA((INDEX('DMR 001C TIN &amp; TP'!$A$3:$M$10005,MATCH(('Reg 85'!$AQ$6&amp;'Reg 85'!BC$10&amp;'Reg 85'!$B98),('DMR 001C TIN &amp; TP'!$E$3:$E$10005&amp;'DMR 001C TIN &amp; TP'!$B$3:$B$10005&amp;'DMR 001C TIN &amp; TP'!$A$3:$A$10005),0),MATCH('Reg 85'!$AG$11,'DMR 001C TIN &amp; TP'!$A$2:$M$2,0))),"")</f>
        <v/>
      </c>
      <c r="BD98" s="6" t="str">
        <f t="array" ref="BD98">_xlfn.IFNA((INDEX('DMR 001C TIN &amp; TP'!$A$3:$M$10005,MATCH(('Reg 85'!$AQ$6&amp;'Reg 85'!BD$10&amp;'Reg 85'!$B98),('DMR 001C TIN &amp; TP'!$E$3:$E$10005&amp;'DMR 001C TIN &amp; TP'!$B$3:$B$10005&amp;'DMR 001C TIN &amp; TP'!$A$3:$A$10005),0),MATCH('Reg 85'!$AG$11,'DMR 001C TIN &amp; TP'!$A$2:$M$2,0))),"")</f>
        <v/>
      </c>
      <c r="BE98" s="6" t="str">
        <f t="array" ref="BE98">_xlfn.IFNA((INDEX('DMR 001C TIN &amp; TP'!$A$3:$M$10005,MATCH(('Reg 85'!$AQ$6&amp;'Reg 85'!BE$10&amp;'Reg 85'!$B98),('DMR 001C TIN &amp; TP'!$E$3:$E$10005&amp;'DMR 001C TIN &amp; TP'!$B$3:$B$10005&amp;'DMR 001C TIN &amp; TP'!$A$3:$A$10005),0),MATCH('Reg 85'!$AG$11,'DMR 001C TIN &amp; TP'!$A$2:$M$2,0))),"")</f>
        <v/>
      </c>
      <c r="BF98" s="6" t="str">
        <f t="array" ref="BF98">_xlfn.IFNA((INDEX('DMR 001C TIN &amp; TP'!$A$3:$M$10005,MATCH(('Reg 85'!$AQ$6&amp;'Reg 85'!BF$10&amp;'Reg 85'!$B98),('DMR 001C TIN &amp; TP'!$E$3:$E$10005&amp;'DMR 001C TIN &amp; TP'!$B$3:$B$10005&amp;'DMR 001C TIN &amp; TP'!$A$3:$A$10005),0),MATCH('Reg 85'!$AG$11,'DMR 001C TIN &amp; TP'!$A$2:$M$2,0))),"")</f>
        <v/>
      </c>
    </row>
    <row r="99" spans="1:58">
      <c r="A99" s="3" t="str">
        <f t="shared" si="42"/>
        <v>Tue</v>
      </c>
      <c r="B99" s="96">
        <f t="shared" si="58"/>
        <v>43431</v>
      </c>
      <c r="C99" s="96">
        <f t="shared" si="43"/>
        <v>43434</v>
      </c>
      <c r="D99" s="96">
        <f t="shared" si="44"/>
        <v>43405</v>
      </c>
      <c r="E99" s="95">
        <f t="shared" si="45"/>
        <v>30</v>
      </c>
      <c r="F99" s="7">
        <f t="array" ref="F99">_xlfn.IFNA(INDEX('DMR Flows-Effluent'!$A$3:$F$9999,MATCH(($F$10&amp;$B99),('DMR Flows-Effluent'!$B$3:$B$9999&amp;'DMR Flows-Effluent'!$A$3:$A$9999),0),MATCH($F$8,'DMR Flows-Effluent'!$A$2:$F$2,0)),"")</f>
        <v>39.397500000000001</v>
      </c>
      <c r="G99" s="7">
        <f t="array" ref="G99">_xlfn.IFNA(INDEX('DMR Flows-Effluent'!$A$3:$F$9999,MATCH(($G$10&amp;$B99),('DMR Flows-Effluent'!$B$3:$B$9999&amp;'DMR Flows-Effluent'!$A$3:$A$9999),0),MATCH($F$8,'DMR Flows-Effluent'!$A$2:$F$2,0)),"")</f>
        <v>81.031300000000002</v>
      </c>
      <c r="H99" s="7">
        <f t="shared" si="46"/>
        <v>120.4288</v>
      </c>
      <c r="I99" s="45" t="str">
        <f t="shared" si="47"/>
        <v/>
      </c>
      <c r="J99" s="6" t="str">
        <f t="array" ref="J99">_xlfn.IFNA((INDEX('DMR 001C TIN &amp; TP'!$A$3:$M$10005,MATCH(('Reg 85'!$I$6:$Q$6&amp;'Reg 85'!$I$10:$K$10&amp;'Reg 85'!$B99),('DMR 001C TIN &amp; TP'!$E$3:$E$10005&amp;'DMR 001C TIN &amp; TP'!$B$3:$B$10005&amp;'DMR 001C TIN &amp; TP'!$A$3:$A$10005),0),MATCH('Reg 85'!$J$11,'DMR 001C TIN &amp; TP'!$A$2:$M$2,0))),"")</f>
        <v>0.15</v>
      </c>
      <c r="K99" s="6">
        <f t="array" ref="K99">_xlfn.IFNA((INDEX('DMR 001C TIN &amp; TP'!$A$3:$M$10005,MATCH(('Reg 85'!$I$6:$Q$6&amp;'Reg 85'!$I$10:$K$10&amp;'Reg 85'!$B99),('DMR 001C TIN &amp; TP'!$E$3:$E$10005&amp;'DMR 001C TIN &amp; TP'!$B$3:$B$10005&amp;'DMR 001C TIN &amp; TP'!$A$3:$A$10005),0),MATCH('Reg 85'!$K$11,'DMR 001C TIN &amp; TP'!$A$2:$M$2,0))),"")</f>
        <v>0.99</v>
      </c>
      <c r="L99" s="53">
        <f t="shared" si="59"/>
        <v>0.99</v>
      </c>
      <c r="M99" s="5" t="str">
        <f t="shared" si="48"/>
        <v/>
      </c>
      <c r="N99" s="6" t="str">
        <f t="array" ref="N99">_xlfn.IFNA((INDEX('DMR 001C TIN &amp; TP'!$A$3:$M$10005,MATCH(('Reg 85'!$I$6:$Q$6&amp;'Reg 85'!$M$10&amp;'Reg 85'!$B99),('DMR 001C TIN &amp; TP'!$E$3:$E$10005&amp;'DMR 001C TIN &amp; TP'!$B$3:$B$10005&amp;'DMR 001C TIN &amp; TP'!$A$3:$A$10005),0),MATCH('Reg 85'!$N$11,'DMR 001C TIN &amp; TP'!$A$2:$M$2,0))),"")</f>
        <v>0.15</v>
      </c>
      <c r="O99" s="6">
        <f t="array" ref="O99">_xlfn.IFNA((INDEX('DMR 001C TIN &amp; TP'!$A$3:$M$10005,MATCH(('Reg 85'!$I$6:$Q$6&amp;'Reg 85'!$M$10&amp;'Reg 85'!$B99),('DMR 001C TIN &amp; TP'!$E$3:$E$10005&amp;'DMR 001C TIN &amp; TP'!$B$3:$B$10005&amp;'DMR 001C TIN &amp; TP'!$A$3:$A$10005),0),MATCH('Reg 85'!$O$11,'DMR 001C TIN &amp; TP'!$A$2:$M$2,0))),"")</f>
        <v>0.17</v>
      </c>
      <c r="P99" s="53">
        <f t="shared" si="49"/>
        <v>0.17</v>
      </c>
      <c r="Q99" s="73">
        <f t="array" ref="Q99">IFERROR(((L99*$F99)+(P99*$G99))/($H99),"")</f>
        <v>0.438257675904767</v>
      </c>
      <c r="R99" s="6" t="str">
        <f t="array" ref="R99">_xlfn.IFNA((INDEX('DMR 001C TIN &amp; TP'!$A$3:$M$10005,MATCH(('Reg 85'!$I$6:$Q$6&amp;'Reg 85'!R$10&amp;'Reg 85'!$B99),('DMR 001C TIN &amp; TP'!$E$3:$E$10005&amp;'DMR 001C TIN &amp; TP'!$B$3:$B$10005&amp;'DMR 001C TIN &amp; TP'!$A$3:$A$10005),0),MATCH('Reg 85'!$O$11,'DMR 001C TIN &amp; TP'!$A$2:$M$2,0))),"")</f>
        <v/>
      </c>
      <c r="S99" s="6" t="str">
        <f t="array" ref="S99">_xlfn.IFNA((INDEX('DMR 001C TIN &amp; TP'!$A$3:$M$10005,MATCH(('Reg 85'!$I$6:$Q$6&amp;'Reg 85'!S$10&amp;'Reg 85'!$B99),('DMR 001C TIN &amp; TP'!$E$3:$E$10005&amp;'DMR 001C TIN &amp; TP'!$B$3:$B$10005&amp;'DMR 001C TIN &amp; TP'!$A$3:$A$10005),0),MATCH('Reg 85'!$O$11,'DMR 001C TIN &amp; TP'!$A$2:$M$2,0))),"")</f>
        <v/>
      </c>
      <c r="T99" s="6" t="str">
        <f t="array" ref="T99">_xlfn.IFNA((INDEX('DMR 001C TIN &amp; TP'!$A$3:$M$10005,MATCH(('Reg 85'!$I$6:$Q$6&amp;'Reg 85'!T$10&amp;'Reg 85'!$B99),('DMR 001C TIN &amp; TP'!$E$3:$E$10005&amp;'DMR 001C TIN &amp; TP'!$B$3:$B$10005&amp;'DMR 001C TIN &amp; TP'!$A$3:$A$10005),0),MATCH('Reg 85'!$O$11,'DMR 001C TIN &amp; TP'!$A$2:$M$2,0))),"")</f>
        <v/>
      </c>
      <c r="U99" s="6" t="str">
        <f t="array" ref="U99">_xlfn.IFNA((INDEX('DMR 001C TIN &amp; TP'!$A$3:$M$10005,MATCH(('Reg 85'!$I$6:$Q$6&amp;'Reg 85'!U$10&amp;'Reg 85'!$B99),('DMR 001C TIN &amp; TP'!$E$3:$E$10005&amp;'DMR 001C TIN &amp; TP'!$B$3:$B$10005&amp;'DMR 001C TIN &amp; TP'!$A$3:$A$10005),0),MATCH('Reg 85'!$O$11,'DMR 001C TIN &amp; TP'!$A$2:$M$2,0))),"")</f>
        <v/>
      </c>
      <c r="V99" s="6" t="str">
        <f t="array" ref="V99">_xlfn.IFNA((INDEX('DMR 001C TIN &amp; TP'!$A$3:$M$10005,MATCH(('Reg 85'!$I$6:$Q$6&amp;'Reg 85'!V$10&amp;'Reg 85'!$B99),('DMR 001C TIN &amp; TP'!$E$3:$E$10005&amp;'DMR 001C TIN &amp; TP'!$B$3:$B$10005&amp;'DMR 001C TIN &amp; TP'!$A$3:$A$10005),0),MATCH('Reg 85'!$O$11,'DMR 001C TIN &amp; TP'!$A$2:$M$2,0))),"")</f>
        <v/>
      </c>
      <c r="W99" s="6" t="str">
        <f t="array" ref="W99">_xlfn.IFNA((INDEX('DMR 001C TIN &amp; TP'!$A$3:$M$10005,MATCH(('Reg 85'!$I$6:$Q$6&amp;'Reg 85'!W$10&amp;'Reg 85'!$B99),('DMR 001C TIN &amp; TP'!$E$3:$E$10005&amp;'DMR 001C TIN &amp; TP'!$B$3:$B$10005&amp;'DMR 001C TIN &amp; TP'!$A$3:$A$10005),0),MATCH('Reg 85'!$O$11,'DMR 001C TIN &amp; TP'!$A$2:$M$2,0))),"")</f>
        <v/>
      </c>
      <c r="X99" s="5" t="str">
        <f t="shared" si="50"/>
        <v/>
      </c>
      <c r="Y99" s="6" t="str">
        <f t="array" ref="Y99">_xlfn.IFNA((INDEX('DMR 001C TIN &amp; TP'!$A$3:$M$10005,MATCH(('Reg 85'!$X$6&amp;'Reg 85'!$X$10&amp;'Reg 85'!$B99),('DMR 001C TIN &amp; TP'!$E$3:$E$10005&amp;'DMR 001C TIN &amp; TP'!$B$3:$B$10005&amp;'DMR 001C TIN &amp; TP'!$A$3:$A$10005),0),MATCH('Reg 85'!$Y$11,'DMR 001C TIN &amp; TP'!$A$2:$M$2,0))),"")</f>
        <v>0.18</v>
      </c>
      <c r="Z99" s="6">
        <f t="array" ref="Z99">_xlfn.IFNA((INDEX('DMR 001C TIN &amp; TP'!$A$3:$M$10005,MATCH(('Reg 85'!$X$6&amp;'Reg 85'!$X$10&amp;'Reg 85'!$B99),('DMR 001C TIN &amp; TP'!$E$3:$E$10005&amp;'DMR 001C TIN &amp; TP'!$B$3:$B$10005&amp;'DMR 001C TIN &amp; TP'!$A$3:$A$10005),0),MATCH('Reg 85'!$Z$11,'DMR 001C TIN &amp; TP'!$A$2:$M$2,0))),"")</f>
        <v>4.7300000000000004</v>
      </c>
      <c r="AA99" s="53">
        <f t="shared" si="51"/>
        <v>4.7300000000000004</v>
      </c>
      <c r="AB99" s="5" t="str">
        <f t="shared" si="52"/>
        <v/>
      </c>
      <c r="AC99" s="6" t="str">
        <f t="array" ref="AC99">_xlfn.IFNA((INDEX('DMR 001C TIN &amp; TP'!$A$3:$M$10005,MATCH(('Reg 85'!$X$6&amp;'Reg 85'!$AB$10&amp;'Reg 85'!$B99),('DMR 001C TIN &amp; TP'!$E$3:$E$10005&amp;'DMR 001C TIN &amp; TP'!$B$3:$B$10005&amp;'DMR 001C TIN &amp; TP'!$A$3:$A$10005),0),MATCH('Reg 85'!$AC$11,'DMR 001C TIN &amp; TP'!$A$2:$M$2,0))),"")</f>
        <v>0.06</v>
      </c>
      <c r="AD99" s="6">
        <f t="array" ref="AD99">_xlfn.IFNA((INDEX('DMR 001C TIN &amp; TP'!$A$3:$M$10005,MATCH(('Reg 85'!$X$6&amp;'Reg 85'!$AB$10&amp;'Reg 85'!$B99),('DMR 001C TIN &amp; TP'!$E$3:$E$10005&amp;'DMR 001C TIN &amp; TP'!$B$3:$B$10005&amp;'DMR 001C TIN &amp; TP'!$A$3:$A$10005),0),MATCH('Reg 85'!$AD$11,'DMR 001C TIN &amp; TP'!$A$2:$M$2,0))),"")</f>
        <v>6</v>
      </c>
      <c r="AE99" s="53">
        <f t="shared" si="53"/>
        <v>6</v>
      </c>
      <c r="AF99" s="7">
        <f t="shared" si="54"/>
        <v>5.584527745854813</v>
      </c>
      <c r="AG99" s="6" t="str">
        <f t="array" ref="AG99">_xlfn.IFNA((INDEX('DMR 001C TIN &amp; TP'!$A$3:$M$10005,MATCH(('Reg 85'!$X$6&amp;'Reg 85'!AG$10&amp;'Reg 85'!$B99),('DMR 001C TIN &amp; TP'!$E$3:$E$10005&amp;'DMR 001C TIN &amp; TP'!$B$3:$B$10005&amp;'DMR 001C TIN &amp; TP'!$A$3:$A$10005),0),MATCH('Reg 85'!$AG$11,'DMR 001C TIN &amp; TP'!$A$2:$M$2,0))),"")</f>
        <v/>
      </c>
      <c r="AH99" s="6" t="str">
        <f t="array" ref="AH99">_xlfn.IFNA((INDEX('DMR 001C TIN &amp; TP'!$A$3:$M$10005,MATCH(('Reg 85'!$X$6&amp;'Reg 85'!AH$10&amp;'Reg 85'!$B99),('DMR 001C TIN &amp; TP'!$E$3:$E$10005&amp;'DMR 001C TIN &amp; TP'!$B$3:$B$10005&amp;'DMR 001C TIN &amp; TP'!$A$3:$A$10005),0),MATCH('Reg 85'!$AG$11,'DMR 001C TIN &amp; TP'!$A$2:$M$2,0))),"")</f>
        <v/>
      </c>
      <c r="AI99" s="6" t="str">
        <f t="array" ref="AI99">_xlfn.IFNA((INDEX('DMR 001C TIN &amp; TP'!$A$3:$M$10005,MATCH(('Reg 85'!$X$6&amp;'Reg 85'!AI$10&amp;'Reg 85'!$B99),('DMR 001C TIN &amp; TP'!$E$3:$E$10005&amp;'DMR 001C TIN &amp; TP'!$B$3:$B$10005&amp;'DMR 001C TIN &amp; TP'!$A$3:$A$10005),0),MATCH('Reg 85'!$AG$11,'DMR 001C TIN &amp; TP'!$A$2:$M$2,0))),"")</f>
        <v/>
      </c>
      <c r="AJ99" s="6" t="str">
        <f t="array" ref="AJ99">_xlfn.IFNA((INDEX('DMR 001C TIN &amp; TP'!$A$3:$M$10005,MATCH(('Reg 85'!$X$6&amp;'Reg 85'!AJ$10&amp;'Reg 85'!$B99),('DMR 001C TIN &amp; TP'!$E$3:$E$10005&amp;'DMR 001C TIN &amp; TP'!$B$3:$B$10005&amp;'DMR 001C TIN &amp; TP'!$A$3:$A$10005),0),MATCH('Reg 85'!$AG$11,'DMR 001C TIN &amp; TP'!$A$2:$M$2,0))),"")</f>
        <v/>
      </c>
      <c r="AK99" s="6" t="str">
        <f t="array" ref="AK99">_xlfn.IFNA((INDEX('DMR 001C TIN &amp; TP'!$A$3:$M$10005,MATCH(('Reg 85'!$X$6&amp;'Reg 85'!AK$10&amp;'Reg 85'!$B99),('DMR 001C TIN &amp; TP'!$E$3:$E$10005&amp;'DMR 001C TIN &amp; TP'!$B$3:$B$10005&amp;'DMR 001C TIN &amp; TP'!$A$3:$A$10005),0),MATCH('Reg 85'!$AG$11,'DMR 001C TIN &amp; TP'!$A$2:$M$2,0))),"")</f>
        <v/>
      </c>
      <c r="AL99" s="6" t="str">
        <f t="array" ref="AL99">_xlfn.IFNA((INDEX('DMR 001C TIN &amp; TP'!$A$3:$M$10005,MATCH(('Reg 85'!$X$6&amp;'Reg 85'!AL$10&amp;'Reg 85'!$B99),('DMR 001C TIN &amp; TP'!$E$3:$E$10005&amp;'DMR 001C TIN &amp; TP'!$B$3:$B$10005&amp;'DMR 001C TIN &amp; TP'!$A$3:$A$10005),0),MATCH('Reg 85'!$AG$11,'DMR 001C TIN &amp; TP'!$A$2:$M$2,0))),"")</f>
        <v/>
      </c>
      <c r="AM99" s="76"/>
      <c r="AN99" s="6"/>
      <c r="AO99" s="54">
        <f t="shared" si="41"/>
        <v>6.02278542175958</v>
      </c>
      <c r="AP99" s="77" t="str">
        <f t="shared" si="39"/>
        <v/>
      </c>
      <c r="AQ99" s="47"/>
      <c r="AR99" s="6" t="str">
        <f t="array" ref="AR99">_xlfn.IFNA((INDEX('DMR 001C TIN &amp; TP'!$A$3:$M$10005,MATCH(('Reg 85'!$AQ$6&amp;'Reg 85'!$AQ$10&amp;'Reg 85'!$B99),('DMR 001C TIN &amp; TP'!$E$3:$E$10005&amp;'DMR 001C TIN &amp; TP'!$B$3:$B$10005&amp;'DMR 001C TIN &amp; TP'!$A$3:$A$10005),0),MATCH('Reg 85'!$AR$11,'DMR 001C TIN &amp; TP'!$A$2:$M$2,0))),"")</f>
        <v/>
      </c>
      <c r="AS99" s="6" t="str">
        <f t="array" ref="AS99">_xlfn.IFNA((INDEX('DMR 001C TIN &amp; TP'!$A$3:$M$10005,MATCH(('Reg 85'!$AQ$6&amp;'Reg 85'!$AQ$10&amp;'Reg 85'!$B99),('DMR 001C TIN &amp; TP'!$E$3:$E$10005&amp;'DMR 001C TIN &amp; TP'!$B$3:$B$10005&amp;'DMR 001C TIN &amp; TP'!$A$3:$A$10005),0),MATCH('Reg 85'!$AS$11,'DMR 001C TIN &amp; TP'!$A$2:$M$2,0))),"")</f>
        <v/>
      </c>
      <c r="AT99" s="53" t="str">
        <f t="shared" si="55"/>
        <v/>
      </c>
      <c r="AV99" s="6" t="str">
        <f t="array" ref="AV99">_xlfn.IFNA((INDEX('DMR 001C TIN &amp; TP'!$A$3:$M$10005,MATCH(('Reg 85'!$AQ$6&amp;'Reg 85'!$AU$10&amp;'Reg 85'!$B99),('DMR 001C TIN &amp; TP'!$E$3:$E$10005&amp;'DMR 001C TIN &amp; TP'!$B$3:$B$10005&amp;'DMR 001C TIN &amp; TP'!$A$3:$A$10005),0),MATCH('Reg 85'!$AV$11,'DMR 001C TIN &amp; TP'!$A$2:$M$2,0))),"")</f>
        <v/>
      </c>
      <c r="AW99" s="6" t="str">
        <f t="array" ref="AW99">_xlfn.IFNA((INDEX('DMR 001C TIN &amp; TP'!$A$3:$M$10005,MATCH(('Reg 85'!$AQ$6&amp;'Reg 85'!$AU$10&amp;'Reg 85'!$B99),('DMR 001C TIN &amp; TP'!$E$3:$E$10005&amp;'DMR 001C TIN &amp; TP'!$B$3:$B$10005&amp;'DMR 001C TIN &amp; TP'!$A$3:$A$10005),0),MATCH('Reg 85'!$AW$11,'DMR 001C TIN &amp; TP'!$A$2:$M$2,0))),"")</f>
        <v/>
      </c>
      <c r="AX99" s="53" t="str">
        <f t="shared" si="56"/>
        <v/>
      </c>
      <c r="AY99" s="55" t="str">
        <f t="shared" si="57"/>
        <v/>
      </c>
      <c r="AZ99" s="77" t="str">
        <f t="shared" si="40"/>
        <v/>
      </c>
      <c r="BA99" s="6" t="str">
        <f t="array" ref="BA99">_xlfn.IFNA((INDEX('DMR 001C TIN &amp; TP'!$A$3:$M$10005,MATCH(('Reg 85'!$AQ$6&amp;'Reg 85'!BA$10&amp;'Reg 85'!$B99),('DMR 001C TIN &amp; TP'!$E$3:$E$10005&amp;'DMR 001C TIN &amp; TP'!$B$3:$B$10005&amp;'DMR 001C TIN &amp; TP'!$A$3:$A$10005),0),MATCH('Reg 85'!$AG$11,'DMR 001C TIN &amp; TP'!$A$2:$M$2,0))),"")</f>
        <v/>
      </c>
      <c r="BB99" s="6" t="str">
        <f t="array" ref="BB99">_xlfn.IFNA((INDEX('DMR 001C TIN &amp; TP'!$A$3:$M$10005,MATCH(('Reg 85'!$AQ$6&amp;'Reg 85'!BB$10&amp;'Reg 85'!$B99),('DMR 001C TIN &amp; TP'!$E$3:$E$10005&amp;'DMR 001C TIN &amp; TP'!$B$3:$B$10005&amp;'DMR 001C TIN &amp; TP'!$A$3:$A$10005),0),MATCH('Reg 85'!$AG$11,'DMR 001C TIN &amp; TP'!$A$2:$M$2,0))),"")</f>
        <v/>
      </c>
      <c r="BC99" s="6" t="str">
        <f t="array" ref="BC99">_xlfn.IFNA((INDEX('DMR 001C TIN &amp; TP'!$A$3:$M$10005,MATCH(('Reg 85'!$AQ$6&amp;'Reg 85'!BC$10&amp;'Reg 85'!$B99),('DMR 001C TIN &amp; TP'!$E$3:$E$10005&amp;'DMR 001C TIN &amp; TP'!$B$3:$B$10005&amp;'DMR 001C TIN &amp; TP'!$A$3:$A$10005),0),MATCH('Reg 85'!$AG$11,'DMR 001C TIN &amp; TP'!$A$2:$M$2,0))),"")</f>
        <v/>
      </c>
      <c r="BD99" s="6" t="str">
        <f t="array" ref="BD99">_xlfn.IFNA((INDEX('DMR 001C TIN &amp; TP'!$A$3:$M$10005,MATCH(('Reg 85'!$AQ$6&amp;'Reg 85'!BD$10&amp;'Reg 85'!$B99),('DMR 001C TIN &amp; TP'!$E$3:$E$10005&amp;'DMR 001C TIN &amp; TP'!$B$3:$B$10005&amp;'DMR 001C TIN &amp; TP'!$A$3:$A$10005),0),MATCH('Reg 85'!$AG$11,'DMR 001C TIN &amp; TP'!$A$2:$M$2,0))),"")</f>
        <v/>
      </c>
      <c r="BE99" s="6" t="str">
        <f t="array" ref="BE99">_xlfn.IFNA((INDEX('DMR 001C TIN &amp; TP'!$A$3:$M$10005,MATCH(('Reg 85'!$AQ$6&amp;'Reg 85'!BE$10&amp;'Reg 85'!$B99),('DMR 001C TIN &amp; TP'!$E$3:$E$10005&amp;'DMR 001C TIN &amp; TP'!$B$3:$B$10005&amp;'DMR 001C TIN &amp; TP'!$A$3:$A$10005),0),MATCH('Reg 85'!$AG$11,'DMR 001C TIN &amp; TP'!$A$2:$M$2,0))),"")</f>
        <v/>
      </c>
      <c r="BF99" s="6" t="str">
        <f t="array" ref="BF99">_xlfn.IFNA((INDEX('DMR 001C TIN &amp; TP'!$A$3:$M$10005,MATCH(('Reg 85'!$AQ$6&amp;'Reg 85'!BF$10&amp;'Reg 85'!$B99),('DMR 001C TIN &amp; TP'!$E$3:$E$10005&amp;'DMR 001C TIN &amp; TP'!$B$3:$B$10005&amp;'DMR 001C TIN &amp; TP'!$A$3:$A$10005),0),MATCH('Reg 85'!$AG$11,'DMR 001C TIN &amp; TP'!$A$2:$M$2,0))),"")</f>
        <v/>
      </c>
    </row>
    <row r="100" spans="1:58">
      <c r="A100" s="3" t="str">
        <f t="shared" si="42"/>
        <v>Wed</v>
      </c>
      <c r="B100" s="96">
        <f t="shared" si="58"/>
        <v>43432</v>
      </c>
      <c r="C100" s="96">
        <f t="shared" si="43"/>
        <v>43434</v>
      </c>
      <c r="D100" s="96">
        <f t="shared" si="44"/>
        <v>43405</v>
      </c>
      <c r="E100" s="95">
        <f t="shared" si="45"/>
        <v>30</v>
      </c>
      <c r="F100" s="7">
        <f t="array" ref="F100">_xlfn.IFNA(INDEX('DMR Flows-Effluent'!$A$3:$F$9999,MATCH(($F$10&amp;$B100),('DMR Flows-Effluent'!$B$3:$B$9999&amp;'DMR Flows-Effluent'!$A$3:$A$9999),0),MATCH($F$8,'DMR Flows-Effluent'!$A$2:$F$2,0)),"")</f>
        <v>48.896799999999999</v>
      </c>
      <c r="G100" s="7">
        <f t="array" ref="G100">_xlfn.IFNA(INDEX('DMR Flows-Effluent'!$A$3:$F$9999,MATCH(($G$10&amp;$B100),('DMR Flows-Effluent'!$B$3:$B$9999&amp;'DMR Flows-Effluent'!$A$3:$A$9999),0),MATCH($F$8,'DMR Flows-Effluent'!$A$2:$F$2,0)),"")</f>
        <v>72.075999999999993</v>
      </c>
      <c r="H100" s="7">
        <f t="shared" si="46"/>
        <v>120.97279999999999</v>
      </c>
      <c r="I100" s="45" t="str">
        <f t="shared" si="47"/>
        <v/>
      </c>
      <c r="J100" s="6" t="str">
        <f t="array" ref="J100">_xlfn.IFNA((INDEX('DMR 001C TIN &amp; TP'!$A$3:$M$10005,MATCH(('Reg 85'!$I$6:$Q$6&amp;'Reg 85'!$I$10:$K$10&amp;'Reg 85'!$B100),('DMR 001C TIN &amp; TP'!$E$3:$E$10005&amp;'DMR 001C TIN &amp; TP'!$B$3:$B$10005&amp;'DMR 001C TIN &amp; TP'!$A$3:$A$10005),0),MATCH('Reg 85'!$J$11,'DMR 001C TIN &amp; TP'!$A$2:$M$2,0))),"")</f>
        <v>0.15</v>
      </c>
      <c r="K100" s="6">
        <f t="array" ref="K100">_xlfn.IFNA((INDEX('DMR 001C TIN &amp; TP'!$A$3:$M$10005,MATCH(('Reg 85'!$I$6:$Q$6&amp;'Reg 85'!$I$10:$K$10&amp;'Reg 85'!$B100),('DMR 001C TIN &amp; TP'!$E$3:$E$10005&amp;'DMR 001C TIN &amp; TP'!$B$3:$B$10005&amp;'DMR 001C TIN &amp; TP'!$A$3:$A$10005),0),MATCH('Reg 85'!$K$11,'DMR 001C TIN &amp; TP'!$A$2:$M$2,0))),"")</f>
        <v>0.94</v>
      </c>
      <c r="L100" s="53">
        <f t="shared" si="59"/>
        <v>0.94</v>
      </c>
      <c r="M100" s="5" t="str">
        <f t="shared" si="48"/>
        <v>&lt;</v>
      </c>
      <c r="N100" s="6" t="str">
        <f t="array" ref="N100">_xlfn.IFNA((INDEX('DMR 001C TIN &amp; TP'!$A$3:$M$10005,MATCH(('Reg 85'!$I$6:$Q$6&amp;'Reg 85'!$M$10&amp;'Reg 85'!$B100),('DMR 001C TIN &amp; TP'!$E$3:$E$10005&amp;'DMR 001C TIN &amp; TP'!$B$3:$B$10005&amp;'DMR 001C TIN &amp; TP'!$A$3:$A$10005),0),MATCH('Reg 85'!$N$11,'DMR 001C TIN &amp; TP'!$A$2:$M$2,0))),"")</f>
        <v>0.15</v>
      </c>
      <c r="O100" s="6">
        <f t="array" ref="O100">_xlfn.IFNA((INDEX('DMR 001C TIN &amp; TP'!$A$3:$M$10005,MATCH(('Reg 85'!$I$6:$Q$6&amp;'Reg 85'!$M$10&amp;'Reg 85'!$B100),('DMR 001C TIN &amp; TP'!$E$3:$E$10005&amp;'DMR 001C TIN &amp; TP'!$B$3:$B$10005&amp;'DMR 001C TIN &amp; TP'!$A$3:$A$10005),0),MATCH('Reg 85'!$O$11,'DMR 001C TIN &amp; TP'!$A$2:$M$2,0))),"")</f>
        <v>0.13</v>
      </c>
      <c r="P100" s="53">
        <f t="shared" si="49"/>
        <v>0</v>
      </c>
      <c r="Q100" s="73">
        <f t="array" ref="Q100">IFERROR(((L100*$F100)+(P100*$G100))/($H100),"")</f>
        <v>0.37994484710612636</v>
      </c>
      <c r="R100" s="6" t="str">
        <f t="array" ref="R100">_xlfn.IFNA((INDEX('DMR 001C TIN &amp; TP'!$A$3:$M$10005,MATCH(('Reg 85'!$I$6:$Q$6&amp;'Reg 85'!R$10&amp;'Reg 85'!$B100),('DMR 001C TIN &amp; TP'!$E$3:$E$10005&amp;'DMR 001C TIN &amp; TP'!$B$3:$B$10005&amp;'DMR 001C TIN &amp; TP'!$A$3:$A$10005),0),MATCH('Reg 85'!$O$11,'DMR 001C TIN &amp; TP'!$A$2:$M$2,0))),"")</f>
        <v/>
      </c>
      <c r="S100" s="6" t="str">
        <f t="array" ref="S100">_xlfn.IFNA((INDEX('DMR 001C TIN &amp; TP'!$A$3:$M$10005,MATCH(('Reg 85'!$I$6:$Q$6&amp;'Reg 85'!S$10&amp;'Reg 85'!$B100),('DMR 001C TIN &amp; TP'!$E$3:$E$10005&amp;'DMR 001C TIN &amp; TP'!$B$3:$B$10005&amp;'DMR 001C TIN &amp; TP'!$A$3:$A$10005),0),MATCH('Reg 85'!$O$11,'DMR 001C TIN &amp; TP'!$A$2:$M$2,0))),"")</f>
        <v/>
      </c>
      <c r="T100" s="6" t="str">
        <f t="array" ref="T100">_xlfn.IFNA((INDEX('DMR 001C TIN &amp; TP'!$A$3:$M$10005,MATCH(('Reg 85'!$I$6:$Q$6&amp;'Reg 85'!T$10&amp;'Reg 85'!$B100),('DMR 001C TIN &amp; TP'!$E$3:$E$10005&amp;'DMR 001C TIN &amp; TP'!$B$3:$B$10005&amp;'DMR 001C TIN &amp; TP'!$A$3:$A$10005),0),MATCH('Reg 85'!$O$11,'DMR 001C TIN &amp; TP'!$A$2:$M$2,0))),"")</f>
        <v/>
      </c>
      <c r="U100" s="6" t="str">
        <f t="array" ref="U100">_xlfn.IFNA((INDEX('DMR 001C TIN &amp; TP'!$A$3:$M$10005,MATCH(('Reg 85'!$I$6:$Q$6&amp;'Reg 85'!U$10&amp;'Reg 85'!$B100),('DMR 001C TIN &amp; TP'!$E$3:$E$10005&amp;'DMR 001C TIN &amp; TP'!$B$3:$B$10005&amp;'DMR 001C TIN &amp; TP'!$A$3:$A$10005),0),MATCH('Reg 85'!$O$11,'DMR 001C TIN &amp; TP'!$A$2:$M$2,0))),"")</f>
        <v/>
      </c>
      <c r="V100" s="6" t="str">
        <f t="array" ref="V100">_xlfn.IFNA((INDEX('DMR 001C TIN &amp; TP'!$A$3:$M$10005,MATCH(('Reg 85'!$I$6:$Q$6&amp;'Reg 85'!V$10&amp;'Reg 85'!$B100),('DMR 001C TIN &amp; TP'!$E$3:$E$10005&amp;'DMR 001C TIN &amp; TP'!$B$3:$B$10005&amp;'DMR 001C TIN &amp; TP'!$A$3:$A$10005),0),MATCH('Reg 85'!$O$11,'DMR 001C TIN &amp; TP'!$A$2:$M$2,0))),"")</f>
        <v/>
      </c>
      <c r="W100" s="6" t="str">
        <f t="array" ref="W100">_xlfn.IFNA((INDEX('DMR 001C TIN &amp; TP'!$A$3:$M$10005,MATCH(('Reg 85'!$I$6:$Q$6&amp;'Reg 85'!W$10&amp;'Reg 85'!$B100),('DMR 001C TIN &amp; TP'!$E$3:$E$10005&amp;'DMR 001C TIN &amp; TP'!$B$3:$B$10005&amp;'DMR 001C TIN &amp; TP'!$A$3:$A$10005),0),MATCH('Reg 85'!$O$11,'DMR 001C TIN &amp; TP'!$A$2:$M$2,0))),"")</f>
        <v/>
      </c>
      <c r="X100" s="5" t="str">
        <f t="shared" si="50"/>
        <v/>
      </c>
      <c r="Y100" s="6" t="str">
        <f t="array" ref="Y100">_xlfn.IFNA((INDEX('DMR 001C TIN &amp; TP'!$A$3:$M$10005,MATCH(('Reg 85'!$X$6&amp;'Reg 85'!$X$10&amp;'Reg 85'!$B100),('DMR 001C TIN &amp; TP'!$E$3:$E$10005&amp;'DMR 001C TIN &amp; TP'!$B$3:$B$10005&amp;'DMR 001C TIN &amp; TP'!$A$3:$A$10005),0),MATCH('Reg 85'!$Y$11,'DMR 001C TIN &amp; TP'!$A$2:$M$2,0))),"")</f>
        <v>0.06</v>
      </c>
      <c r="Z100" s="6">
        <f t="array" ref="Z100">_xlfn.IFNA((INDEX('DMR 001C TIN &amp; TP'!$A$3:$M$10005,MATCH(('Reg 85'!$X$6&amp;'Reg 85'!$X$10&amp;'Reg 85'!$B100),('DMR 001C TIN &amp; TP'!$E$3:$E$10005&amp;'DMR 001C TIN &amp; TP'!$B$3:$B$10005&amp;'DMR 001C TIN &amp; TP'!$A$3:$A$10005),0),MATCH('Reg 85'!$Z$11,'DMR 001C TIN &amp; TP'!$A$2:$M$2,0))),"")</f>
        <v>5.36</v>
      </c>
      <c r="AA100" s="53">
        <f t="shared" si="51"/>
        <v>5.36</v>
      </c>
      <c r="AB100" s="5" t="str">
        <f t="shared" si="52"/>
        <v/>
      </c>
      <c r="AC100" s="6" t="str">
        <f t="array" ref="AC100">_xlfn.IFNA((INDEX('DMR 001C TIN &amp; TP'!$A$3:$M$10005,MATCH(('Reg 85'!$X$6&amp;'Reg 85'!$AB$10&amp;'Reg 85'!$B100),('DMR 001C TIN &amp; TP'!$E$3:$E$10005&amp;'DMR 001C TIN &amp; TP'!$B$3:$B$10005&amp;'DMR 001C TIN &amp; TP'!$A$3:$A$10005),0),MATCH('Reg 85'!$AC$11,'DMR 001C TIN &amp; TP'!$A$2:$M$2,0))),"")</f>
        <v>0.06</v>
      </c>
      <c r="AD100" s="6">
        <f t="array" ref="AD100">_xlfn.IFNA((INDEX('DMR 001C TIN &amp; TP'!$A$3:$M$10005,MATCH(('Reg 85'!$X$6&amp;'Reg 85'!$AB$10&amp;'Reg 85'!$B100),('DMR 001C TIN &amp; TP'!$E$3:$E$10005&amp;'DMR 001C TIN &amp; TP'!$B$3:$B$10005&amp;'DMR 001C TIN &amp; TP'!$A$3:$A$10005),0),MATCH('Reg 85'!$AD$11,'DMR 001C TIN &amp; TP'!$A$2:$M$2,0))),"")</f>
        <v>6.18</v>
      </c>
      <c r="AE100" s="53">
        <f t="shared" si="53"/>
        <v>6.18</v>
      </c>
      <c r="AF100" s="7">
        <f t="shared" si="54"/>
        <v>5.8485587503967835</v>
      </c>
      <c r="AG100" s="6" t="str">
        <f t="array" ref="AG100">_xlfn.IFNA((INDEX('DMR 001C TIN &amp; TP'!$A$3:$M$10005,MATCH(('Reg 85'!$X$6&amp;'Reg 85'!AG$10&amp;'Reg 85'!$B100),('DMR 001C TIN &amp; TP'!$E$3:$E$10005&amp;'DMR 001C TIN &amp; TP'!$B$3:$B$10005&amp;'DMR 001C TIN &amp; TP'!$A$3:$A$10005),0),MATCH('Reg 85'!$AG$11,'DMR 001C TIN &amp; TP'!$A$2:$M$2,0))),"")</f>
        <v/>
      </c>
      <c r="AH100" s="6" t="str">
        <f t="array" ref="AH100">_xlfn.IFNA((INDEX('DMR 001C TIN &amp; TP'!$A$3:$M$10005,MATCH(('Reg 85'!$X$6&amp;'Reg 85'!AH$10&amp;'Reg 85'!$B100),('DMR 001C TIN &amp; TP'!$E$3:$E$10005&amp;'DMR 001C TIN &amp; TP'!$B$3:$B$10005&amp;'DMR 001C TIN &amp; TP'!$A$3:$A$10005),0),MATCH('Reg 85'!$AG$11,'DMR 001C TIN &amp; TP'!$A$2:$M$2,0))),"")</f>
        <v/>
      </c>
      <c r="AI100" s="6" t="str">
        <f t="array" ref="AI100">_xlfn.IFNA((INDEX('DMR 001C TIN &amp; TP'!$A$3:$M$10005,MATCH(('Reg 85'!$X$6&amp;'Reg 85'!AI$10&amp;'Reg 85'!$B100),('DMR 001C TIN &amp; TP'!$E$3:$E$10005&amp;'DMR 001C TIN &amp; TP'!$B$3:$B$10005&amp;'DMR 001C TIN &amp; TP'!$A$3:$A$10005),0),MATCH('Reg 85'!$AG$11,'DMR 001C TIN &amp; TP'!$A$2:$M$2,0))),"")</f>
        <v/>
      </c>
      <c r="AJ100" s="6" t="str">
        <f t="array" ref="AJ100">_xlfn.IFNA((INDEX('DMR 001C TIN &amp; TP'!$A$3:$M$10005,MATCH(('Reg 85'!$X$6&amp;'Reg 85'!AJ$10&amp;'Reg 85'!$B100),('DMR 001C TIN &amp; TP'!$E$3:$E$10005&amp;'DMR 001C TIN &amp; TP'!$B$3:$B$10005&amp;'DMR 001C TIN &amp; TP'!$A$3:$A$10005),0),MATCH('Reg 85'!$AG$11,'DMR 001C TIN &amp; TP'!$A$2:$M$2,0))),"")</f>
        <v/>
      </c>
      <c r="AK100" s="6" t="str">
        <f t="array" ref="AK100">_xlfn.IFNA((INDEX('DMR 001C TIN &amp; TP'!$A$3:$M$10005,MATCH(('Reg 85'!$X$6&amp;'Reg 85'!AK$10&amp;'Reg 85'!$B100),('DMR 001C TIN &amp; TP'!$E$3:$E$10005&amp;'DMR 001C TIN &amp; TP'!$B$3:$B$10005&amp;'DMR 001C TIN &amp; TP'!$A$3:$A$10005),0),MATCH('Reg 85'!$AG$11,'DMR 001C TIN &amp; TP'!$A$2:$M$2,0))),"")</f>
        <v/>
      </c>
      <c r="AL100" s="6" t="str">
        <f t="array" ref="AL100">_xlfn.IFNA((INDEX('DMR 001C TIN &amp; TP'!$A$3:$M$10005,MATCH(('Reg 85'!$X$6&amp;'Reg 85'!AL$10&amp;'Reg 85'!$B100),('DMR 001C TIN &amp; TP'!$E$3:$E$10005&amp;'DMR 001C TIN &amp; TP'!$B$3:$B$10005&amp;'DMR 001C TIN &amp; TP'!$A$3:$A$10005),0),MATCH('Reg 85'!$AG$11,'DMR 001C TIN &amp; TP'!$A$2:$M$2,0))),"")</f>
        <v/>
      </c>
      <c r="AM100" s="76"/>
      <c r="AN100" s="6"/>
      <c r="AO100" s="54">
        <f t="shared" si="41"/>
        <v>6.2285035975029102</v>
      </c>
      <c r="AP100" s="77" t="str">
        <f t="shared" si="39"/>
        <v/>
      </c>
      <c r="AQ100" s="47"/>
      <c r="AR100" s="6" t="str">
        <f t="array" ref="AR100">_xlfn.IFNA((INDEX('DMR 001C TIN &amp; TP'!$A$3:$M$10005,MATCH(('Reg 85'!$AQ$6&amp;'Reg 85'!$AQ$10&amp;'Reg 85'!$B100),('DMR 001C TIN &amp; TP'!$E$3:$E$10005&amp;'DMR 001C TIN &amp; TP'!$B$3:$B$10005&amp;'DMR 001C TIN &amp; TP'!$A$3:$A$10005),0),MATCH('Reg 85'!$AR$11,'DMR 001C TIN &amp; TP'!$A$2:$M$2,0))),"")</f>
        <v/>
      </c>
      <c r="AS100" s="6" t="str">
        <f t="array" ref="AS100">_xlfn.IFNA((INDEX('DMR 001C TIN &amp; TP'!$A$3:$M$10005,MATCH(('Reg 85'!$AQ$6&amp;'Reg 85'!$AQ$10&amp;'Reg 85'!$B100),('DMR 001C TIN &amp; TP'!$E$3:$E$10005&amp;'DMR 001C TIN &amp; TP'!$B$3:$B$10005&amp;'DMR 001C TIN &amp; TP'!$A$3:$A$10005),0),MATCH('Reg 85'!$AS$11,'DMR 001C TIN &amp; TP'!$A$2:$M$2,0))),"")</f>
        <v/>
      </c>
      <c r="AT100" s="53" t="str">
        <f t="shared" si="55"/>
        <v/>
      </c>
      <c r="AV100" s="6" t="str">
        <f t="array" ref="AV100">_xlfn.IFNA((INDEX('DMR 001C TIN &amp; TP'!$A$3:$M$10005,MATCH(('Reg 85'!$AQ$6&amp;'Reg 85'!$AU$10&amp;'Reg 85'!$B100),('DMR 001C TIN &amp; TP'!$E$3:$E$10005&amp;'DMR 001C TIN &amp; TP'!$B$3:$B$10005&amp;'DMR 001C TIN &amp; TP'!$A$3:$A$10005),0),MATCH('Reg 85'!$AV$11,'DMR 001C TIN &amp; TP'!$A$2:$M$2,0))),"")</f>
        <v/>
      </c>
      <c r="AW100" s="6" t="str">
        <f t="array" ref="AW100">_xlfn.IFNA((INDEX('DMR 001C TIN &amp; TP'!$A$3:$M$10005,MATCH(('Reg 85'!$AQ$6&amp;'Reg 85'!$AU$10&amp;'Reg 85'!$B100),('DMR 001C TIN &amp; TP'!$E$3:$E$10005&amp;'DMR 001C TIN &amp; TP'!$B$3:$B$10005&amp;'DMR 001C TIN &amp; TP'!$A$3:$A$10005),0),MATCH('Reg 85'!$AW$11,'DMR 001C TIN &amp; TP'!$A$2:$M$2,0))),"")</f>
        <v/>
      </c>
      <c r="AX100" s="53" t="str">
        <f t="shared" si="56"/>
        <v/>
      </c>
      <c r="AY100" s="55" t="str">
        <f t="shared" si="57"/>
        <v/>
      </c>
      <c r="AZ100" s="77" t="str">
        <f t="shared" si="40"/>
        <v/>
      </c>
      <c r="BA100" s="6" t="str">
        <f t="array" ref="BA100">_xlfn.IFNA((INDEX('DMR 001C TIN &amp; TP'!$A$3:$M$10005,MATCH(('Reg 85'!$AQ$6&amp;'Reg 85'!BA$10&amp;'Reg 85'!$B100),('DMR 001C TIN &amp; TP'!$E$3:$E$10005&amp;'DMR 001C TIN &amp; TP'!$B$3:$B$10005&amp;'DMR 001C TIN &amp; TP'!$A$3:$A$10005),0),MATCH('Reg 85'!$AG$11,'DMR 001C TIN &amp; TP'!$A$2:$M$2,0))),"")</f>
        <v/>
      </c>
      <c r="BB100" s="6" t="str">
        <f t="array" ref="BB100">_xlfn.IFNA((INDEX('DMR 001C TIN &amp; TP'!$A$3:$M$10005,MATCH(('Reg 85'!$AQ$6&amp;'Reg 85'!BB$10&amp;'Reg 85'!$B100),('DMR 001C TIN &amp; TP'!$E$3:$E$10005&amp;'DMR 001C TIN &amp; TP'!$B$3:$B$10005&amp;'DMR 001C TIN &amp; TP'!$A$3:$A$10005),0),MATCH('Reg 85'!$AG$11,'DMR 001C TIN &amp; TP'!$A$2:$M$2,0))),"")</f>
        <v/>
      </c>
      <c r="BC100" s="6" t="str">
        <f t="array" ref="BC100">_xlfn.IFNA((INDEX('DMR 001C TIN &amp; TP'!$A$3:$M$10005,MATCH(('Reg 85'!$AQ$6&amp;'Reg 85'!BC$10&amp;'Reg 85'!$B100),('DMR 001C TIN &amp; TP'!$E$3:$E$10005&amp;'DMR 001C TIN &amp; TP'!$B$3:$B$10005&amp;'DMR 001C TIN &amp; TP'!$A$3:$A$10005),0),MATCH('Reg 85'!$AG$11,'DMR 001C TIN &amp; TP'!$A$2:$M$2,0))),"")</f>
        <v/>
      </c>
      <c r="BD100" s="6" t="str">
        <f t="array" ref="BD100">_xlfn.IFNA((INDEX('DMR 001C TIN &amp; TP'!$A$3:$M$10005,MATCH(('Reg 85'!$AQ$6&amp;'Reg 85'!BD$10&amp;'Reg 85'!$B100),('DMR 001C TIN &amp; TP'!$E$3:$E$10005&amp;'DMR 001C TIN &amp; TP'!$B$3:$B$10005&amp;'DMR 001C TIN &amp; TP'!$A$3:$A$10005),0),MATCH('Reg 85'!$AG$11,'DMR 001C TIN &amp; TP'!$A$2:$M$2,0))),"")</f>
        <v/>
      </c>
      <c r="BE100" s="6" t="str">
        <f t="array" ref="BE100">_xlfn.IFNA((INDEX('DMR 001C TIN &amp; TP'!$A$3:$M$10005,MATCH(('Reg 85'!$AQ$6&amp;'Reg 85'!BE$10&amp;'Reg 85'!$B100),('DMR 001C TIN &amp; TP'!$E$3:$E$10005&amp;'DMR 001C TIN &amp; TP'!$B$3:$B$10005&amp;'DMR 001C TIN &amp; TP'!$A$3:$A$10005),0),MATCH('Reg 85'!$AG$11,'DMR 001C TIN &amp; TP'!$A$2:$M$2,0))),"")</f>
        <v/>
      </c>
      <c r="BF100" s="6" t="str">
        <f t="array" ref="BF100">_xlfn.IFNA((INDEX('DMR 001C TIN &amp; TP'!$A$3:$M$10005,MATCH(('Reg 85'!$AQ$6&amp;'Reg 85'!BF$10&amp;'Reg 85'!$B100),('DMR 001C TIN &amp; TP'!$E$3:$E$10005&amp;'DMR 001C TIN &amp; TP'!$B$3:$B$10005&amp;'DMR 001C TIN &amp; TP'!$A$3:$A$10005),0),MATCH('Reg 85'!$AG$11,'DMR 001C TIN &amp; TP'!$A$2:$M$2,0))),"")</f>
        <v/>
      </c>
    </row>
    <row r="101" spans="1:58">
      <c r="A101" s="3" t="str">
        <f t="shared" si="42"/>
        <v>Thu</v>
      </c>
      <c r="B101" s="96">
        <f t="shared" si="58"/>
        <v>43433</v>
      </c>
      <c r="C101" s="96">
        <f t="shared" si="43"/>
        <v>43434</v>
      </c>
      <c r="D101" s="96">
        <f t="shared" si="44"/>
        <v>43405</v>
      </c>
      <c r="E101" s="95">
        <f t="shared" si="45"/>
        <v>30</v>
      </c>
      <c r="F101" s="7">
        <f t="array" ref="F101">_xlfn.IFNA(INDEX('DMR Flows-Effluent'!$A$3:$F$9999,MATCH(($F$10&amp;$B101),('DMR Flows-Effluent'!$B$3:$B$9999&amp;'DMR Flows-Effluent'!$A$3:$A$9999),0),MATCH($F$8,'DMR Flows-Effluent'!$A$2:$F$2,0)),"")</f>
        <v>43.246099999999998</v>
      </c>
      <c r="G101" s="7">
        <f t="array" ref="G101">_xlfn.IFNA(INDEX('DMR Flows-Effluent'!$A$3:$F$9999,MATCH(($G$10&amp;$B101),('DMR Flows-Effluent'!$B$3:$B$9999&amp;'DMR Flows-Effluent'!$A$3:$A$9999),0),MATCH($F$8,'DMR Flows-Effluent'!$A$2:$F$2,0)),"")</f>
        <v>74.688400000000001</v>
      </c>
      <c r="H101" s="7">
        <f t="shared" si="46"/>
        <v>117.9345</v>
      </c>
      <c r="I101" s="45" t="str">
        <f t="shared" si="47"/>
        <v/>
      </c>
      <c r="J101" s="6" t="str">
        <f t="array" ref="J101">_xlfn.IFNA((INDEX('DMR 001C TIN &amp; TP'!$A$3:$M$10005,MATCH(('Reg 85'!$I$6:$Q$6&amp;'Reg 85'!$I$10:$K$10&amp;'Reg 85'!$B101),('DMR 001C TIN &amp; TP'!$E$3:$E$10005&amp;'DMR 001C TIN &amp; TP'!$B$3:$B$10005&amp;'DMR 001C TIN &amp; TP'!$A$3:$A$10005),0),MATCH('Reg 85'!$J$11,'DMR 001C TIN &amp; TP'!$A$2:$M$2,0))),"")</f>
        <v/>
      </c>
      <c r="K101" s="6" t="str">
        <f t="array" ref="K101">_xlfn.IFNA((INDEX('DMR 001C TIN &amp; TP'!$A$3:$M$10005,MATCH(('Reg 85'!$I$6:$Q$6&amp;'Reg 85'!$I$10:$K$10&amp;'Reg 85'!$B101),('DMR 001C TIN &amp; TP'!$E$3:$E$10005&amp;'DMR 001C TIN &amp; TP'!$B$3:$B$10005&amp;'DMR 001C TIN &amp; TP'!$A$3:$A$10005),0),MATCH('Reg 85'!$K$11,'DMR 001C TIN &amp; TP'!$A$2:$M$2,0))),"")</f>
        <v/>
      </c>
      <c r="L101" s="53" t="str">
        <f t="shared" si="59"/>
        <v/>
      </c>
      <c r="M101" s="5" t="str">
        <f t="shared" si="48"/>
        <v/>
      </c>
      <c r="N101" s="6" t="str">
        <f t="array" ref="N101">_xlfn.IFNA((INDEX('DMR 001C TIN &amp; TP'!$A$3:$M$10005,MATCH(('Reg 85'!$I$6:$Q$6&amp;'Reg 85'!$M$10&amp;'Reg 85'!$B101),('DMR 001C TIN &amp; TP'!$E$3:$E$10005&amp;'DMR 001C TIN &amp; TP'!$B$3:$B$10005&amp;'DMR 001C TIN &amp; TP'!$A$3:$A$10005),0),MATCH('Reg 85'!$N$11,'DMR 001C TIN &amp; TP'!$A$2:$M$2,0))),"")</f>
        <v/>
      </c>
      <c r="O101" s="6" t="str">
        <f t="array" ref="O101">_xlfn.IFNA((INDEX('DMR 001C TIN &amp; TP'!$A$3:$M$10005,MATCH(('Reg 85'!$I$6:$Q$6&amp;'Reg 85'!$M$10&amp;'Reg 85'!$B101),('DMR 001C TIN &amp; TP'!$E$3:$E$10005&amp;'DMR 001C TIN &amp; TP'!$B$3:$B$10005&amp;'DMR 001C TIN &amp; TP'!$A$3:$A$10005),0),MATCH('Reg 85'!$O$11,'DMR 001C TIN &amp; TP'!$A$2:$M$2,0))),"")</f>
        <v/>
      </c>
      <c r="P101" s="53" t="str">
        <f t="shared" si="49"/>
        <v/>
      </c>
      <c r="Q101" s="73" t="str">
        <f t="array" ref="Q101">IFERROR(((L101*$F101)+(P101*$G101))/($H101),"")</f>
        <v/>
      </c>
      <c r="R101" s="6" t="str">
        <f t="array" ref="R101">_xlfn.IFNA((INDEX('DMR 001C TIN &amp; TP'!$A$3:$M$10005,MATCH(('Reg 85'!$I$6:$Q$6&amp;'Reg 85'!R$10&amp;'Reg 85'!$B101),('DMR 001C TIN &amp; TP'!$E$3:$E$10005&amp;'DMR 001C TIN &amp; TP'!$B$3:$B$10005&amp;'DMR 001C TIN &amp; TP'!$A$3:$A$10005),0),MATCH('Reg 85'!$O$11,'DMR 001C TIN &amp; TP'!$A$2:$M$2,0))),"")</f>
        <v/>
      </c>
      <c r="S101" s="6" t="str">
        <f t="array" ref="S101">_xlfn.IFNA((INDEX('DMR 001C TIN &amp; TP'!$A$3:$M$10005,MATCH(('Reg 85'!$I$6:$Q$6&amp;'Reg 85'!S$10&amp;'Reg 85'!$B101),('DMR 001C TIN &amp; TP'!$E$3:$E$10005&amp;'DMR 001C TIN &amp; TP'!$B$3:$B$10005&amp;'DMR 001C TIN &amp; TP'!$A$3:$A$10005),0),MATCH('Reg 85'!$O$11,'DMR 001C TIN &amp; TP'!$A$2:$M$2,0))),"")</f>
        <v/>
      </c>
      <c r="T101" s="6" t="str">
        <f t="array" ref="T101">_xlfn.IFNA((INDEX('DMR 001C TIN &amp; TP'!$A$3:$M$10005,MATCH(('Reg 85'!$I$6:$Q$6&amp;'Reg 85'!T$10&amp;'Reg 85'!$B101),('DMR 001C TIN &amp; TP'!$E$3:$E$10005&amp;'DMR 001C TIN &amp; TP'!$B$3:$B$10005&amp;'DMR 001C TIN &amp; TP'!$A$3:$A$10005),0),MATCH('Reg 85'!$O$11,'DMR 001C TIN &amp; TP'!$A$2:$M$2,0))),"")</f>
        <v/>
      </c>
      <c r="U101" s="6" t="str">
        <f t="array" ref="U101">_xlfn.IFNA((INDEX('DMR 001C TIN &amp; TP'!$A$3:$M$10005,MATCH(('Reg 85'!$I$6:$Q$6&amp;'Reg 85'!U$10&amp;'Reg 85'!$B101),('DMR 001C TIN &amp; TP'!$E$3:$E$10005&amp;'DMR 001C TIN &amp; TP'!$B$3:$B$10005&amp;'DMR 001C TIN &amp; TP'!$A$3:$A$10005),0),MATCH('Reg 85'!$O$11,'DMR 001C TIN &amp; TP'!$A$2:$M$2,0))),"")</f>
        <v/>
      </c>
      <c r="V101" s="6" t="str">
        <f t="array" ref="V101">_xlfn.IFNA((INDEX('DMR 001C TIN &amp; TP'!$A$3:$M$10005,MATCH(('Reg 85'!$I$6:$Q$6&amp;'Reg 85'!V$10&amp;'Reg 85'!$B101),('DMR 001C TIN &amp; TP'!$E$3:$E$10005&amp;'DMR 001C TIN &amp; TP'!$B$3:$B$10005&amp;'DMR 001C TIN &amp; TP'!$A$3:$A$10005),0),MATCH('Reg 85'!$O$11,'DMR 001C TIN &amp; TP'!$A$2:$M$2,0))),"")</f>
        <v/>
      </c>
      <c r="W101" s="6" t="str">
        <f t="array" ref="W101">_xlfn.IFNA((INDEX('DMR 001C TIN &amp; TP'!$A$3:$M$10005,MATCH(('Reg 85'!$I$6:$Q$6&amp;'Reg 85'!W$10&amp;'Reg 85'!$B101),('DMR 001C TIN &amp; TP'!$E$3:$E$10005&amp;'DMR 001C TIN &amp; TP'!$B$3:$B$10005&amp;'DMR 001C TIN &amp; TP'!$A$3:$A$10005),0),MATCH('Reg 85'!$O$11,'DMR 001C TIN &amp; TP'!$A$2:$M$2,0))),"")</f>
        <v/>
      </c>
      <c r="X101" s="5" t="str">
        <f t="shared" si="50"/>
        <v/>
      </c>
      <c r="Y101" s="6" t="str">
        <f t="array" ref="Y101">_xlfn.IFNA((INDEX('DMR 001C TIN &amp; TP'!$A$3:$M$10005,MATCH(('Reg 85'!$X$6&amp;'Reg 85'!$X$10&amp;'Reg 85'!$B101),('DMR 001C TIN &amp; TP'!$E$3:$E$10005&amp;'DMR 001C TIN &amp; TP'!$B$3:$B$10005&amp;'DMR 001C TIN &amp; TP'!$A$3:$A$10005),0),MATCH('Reg 85'!$Y$11,'DMR 001C TIN &amp; TP'!$A$2:$M$2,0))),"")</f>
        <v/>
      </c>
      <c r="Z101" s="6" t="str">
        <f t="array" ref="Z101">_xlfn.IFNA((INDEX('DMR 001C TIN &amp; TP'!$A$3:$M$10005,MATCH(('Reg 85'!$X$6&amp;'Reg 85'!$X$10&amp;'Reg 85'!$B101),('DMR 001C TIN &amp; TP'!$E$3:$E$10005&amp;'DMR 001C TIN &amp; TP'!$B$3:$B$10005&amp;'DMR 001C TIN &amp; TP'!$A$3:$A$10005),0),MATCH('Reg 85'!$Z$11,'DMR 001C TIN &amp; TP'!$A$2:$M$2,0))),"")</f>
        <v/>
      </c>
      <c r="AA101" s="53" t="str">
        <f t="shared" si="51"/>
        <v/>
      </c>
      <c r="AB101" s="5" t="str">
        <f t="shared" si="52"/>
        <v/>
      </c>
      <c r="AC101" s="6" t="str">
        <f t="array" ref="AC101">_xlfn.IFNA((INDEX('DMR 001C TIN &amp; TP'!$A$3:$M$10005,MATCH(('Reg 85'!$X$6&amp;'Reg 85'!$AB$10&amp;'Reg 85'!$B101),('DMR 001C TIN &amp; TP'!$E$3:$E$10005&amp;'DMR 001C TIN &amp; TP'!$B$3:$B$10005&amp;'DMR 001C TIN &amp; TP'!$A$3:$A$10005),0),MATCH('Reg 85'!$AC$11,'DMR 001C TIN &amp; TP'!$A$2:$M$2,0))),"")</f>
        <v/>
      </c>
      <c r="AD101" s="6" t="str">
        <f t="array" ref="AD101">_xlfn.IFNA((INDEX('DMR 001C TIN &amp; TP'!$A$3:$M$10005,MATCH(('Reg 85'!$X$6&amp;'Reg 85'!$AB$10&amp;'Reg 85'!$B101),('DMR 001C TIN &amp; TP'!$E$3:$E$10005&amp;'DMR 001C TIN &amp; TP'!$B$3:$B$10005&amp;'DMR 001C TIN &amp; TP'!$A$3:$A$10005),0),MATCH('Reg 85'!$AD$11,'DMR 001C TIN &amp; TP'!$A$2:$M$2,0))),"")</f>
        <v/>
      </c>
      <c r="AE101" s="53" t="str">
        <f t="shared" si="53"/>
        <v/>
      </c>
      <c r="AF101" s="7" t="str">
        <f t="shared" si="54"/>
        <v/>
      </c>
      <c r="AG101" s="6" t="str">
        <f t="array" ref="AG101">_xlfn.IFNA((INDEX('DMR 001C TIN &amp; TP'!$A$3:$M$10005,MATCH(('Reg 85'!$X$6&amp;'Reg 85'!AG$10&amp;'Reg 85'!$B101),('DMR 001C TIN &amp; TP'!$E$3:$E$10005&amp;'DMR 001C TIN &amp; TP'!$B$3:$B$10005&amp;'DMR 001C TIN &amp; TP'!$A$3:$A$10005),0),MATCH('Reg 85'!$AG$11,'DMR 001C TIN &amp; TP'!$A$2:$M$2,0))),"")</f>
        <v/>
      </c>
      <c r="AH101" s="6" t="str">
        <f t="array" ref="AH101">_xlfn.IFNA((INDEX('DMR 001C TIN &amp; TP'!$A$3:$M$10005,MATCH(('Reg 85'!$X$6&amp;'Reg 85'!AH$10&amp;'Reg 85'!$B101),('DMR 001C TIN &amp; TP'!$E$3:$E$10005&amp;'DMR 001C TIN &amp; TP'!$B$3:$B$10005&amp;'DMR 001C TIN &amp; TP'!$A$3:$A$10005),0),MATCH('Reg 85'!$AG$11,'DMR 001C TIN &amp; TP'!$A$2:$M$2,0))),"")</f>
        <v/>
      </c>
      <c r="AI101" s="6" t="str">
        <f t="array" ref="AI101">_xlfn.IFNA((INDEX('DMR 001C TIN &amp; TP'!$A$3:$M$10005,MATCH(('Reg 85'!$X$6&amp;'Reg 85'!AI$10&amp;'Reg 85'!$B101),('DMR 001C TIN &amp; TP'!$E$3:$E$10005&amp;'DMR 001C TIN &amp; TP'!$B$3:$B$10005&amp;'DMR 001C TIN &amp; TP'!$A$3:$A$10005),0),MATCH('Reg 85'!$AG$11,'DMR 001C TIN &amp; TP'!$A$2:$M$2,0))),"")</f>
        <v/>
      </c>
      <c r="AJ101" s="6" t="str">
        <f t="array" ref="AJ101">_xlfn.IFNA((INDEX('DMR 001C TIN &amp; TP'!$A$3:$M$10005,MATCH(('Reg 85'!$X$6&amp;'Reg 85'!AJ$10&amp;'Reg 85'!$B101),('DMR 001C TIN &amp; TP'!$E$3:$E$10005&amp;'DMR 001C TIN &amp; TP'!$B$3:$B$10005&amp;'DMR 001C TIN &amp; TP'!$A$3:$A$10005),0),MATCH('Reg 85'!$AG$11,'DMR 001C TIN &amp; TP'!$A$2:$M$2,0))),"")</f>
        <v/>
      </c>
      <c r="AK101" s="6" t="str">
        <f t="array" ref="AK101">_xlfn.IFNA((INDEX('DMR 001C TIN &amp; TP'!$A$3:$M$10005,MATCH(('Reg 85'!$X$6&amp;'Reg 85'!AK$10&amp;'Reg 85'!$B101),('DMR 001C TIN &amp; TP'!$E$3:$E$10005&amp;'DMR 001C TIN &amp; TP'!$B$3:$B$10005&amp;'DMR 001C TIN &amp; TP'!$A$3:$A$10005),0),MATCH('Reg 85'!$AG$11,'DMR 001C TIN &amp; TP'!$A$2:$M$2,0))),"")</f>
        <v/>
      </c>
      <c r="AL101" s="6" t="str">
        <f t="array" ref="AL101">_xlfn.IFNA((INDEX('DMR 001C TIN &amp; TP'!$A$3:$M$10005,MATCH(('Reg 85'!$X$6&amp;'Reg 85'!AL$10&amp;'Reg 85'!$B101),('DMR 001C TIN &amp; TP'!$E$3:$E$10005&amp;'DMR 001C TIN &amp; TP'!$B$3:$B$10005&amp;'DMR 001C TIN &amp; TP'!$A$3:$A$10005),0),MATCH('Reg 85'!$AG$11,'DMR 001C TIN &amp; TP'!$A$2:$M$2,0))),"")</f>
        <v/>
      </c>
      <c r="AM101" s="76"/>
      <c r="AN101" s="6"/>
      <c r="AO101" s="54" t="str">
        <f t="shared" si="41"/>
        <v/>
      </c>
      <c r="AP101" s="77" t="str">
        <f t="shared" si="39"/>
        <v/>
      </c>
      <c r="AQ101" s="47"/>
      <c r="AR101" s="6" t="str">
        <f t="array" ref="AR101">_xlfn.IFNA((INDEX('DMR 001C TIN &amp; TP'!$A$3:$M$10005,MATCH(('Reg 85'!$AQ$6&amp;'Reg 85'!$AQ$10&amp;'Reg 85'!$B101),('DMR 001C TIN &amp; TP'!$E$3:$E$10005&amp;'DMR 001C TIN &amp; TP'!$B$3:$B$10005&amp;'DMR 001C TIN &amp; TP'!$A$3:$A$10005),0),MATCH('Reg 85'!$AR$11,'DMR 001C TIN &amp; TP'!$A$2:$M$2,0))),"")</f>
        <v>0.03</v>
      </c>
      <c r="AS101" s="6">
        <f t="array" ref="AS101">_xlfn.IFNA((INDEX('DMR 001C TIN &amp; TP'!$A$3:$M$10005,MATCH(('Reg 85'!$AQ$6&amp;'Reg 85'!$AQ$10&amp;'Reg 85'!$B101),('DMR 001C TIN &amp; TP'!$E$3:$E$10005&amp;'DMR 001C TIN &amp; TP'!$B$3:$B$10005&amp;'DMR 001C TIN &amp; TP'!$A$3:$A$10005),0),MATCH('Reg 85'!$AS$11,'DMR 001C TIN &amp; TP'!$A$2:$M$2,0))),"")</f>
        <v>0.26</v>
      </c>
      <c r="AT101" s="53">
        <f t="shared" si="55"/>
        <v>0.26</v>
      </c>
      <c r="AV101" s="6" t="str">
        <f t="array" ref="AV101">_xlfn.IFNA((INDEX('DMR 001C TIN &amp; TP'!$A$3:$M$10005,MATCH(('Reg 85'!$AQ$6&amp;'Reg 85'!$AU$10&amp;'Reg 85'!$B101),('DMR 001C TIN &amp; TP'!$E$3:$E$10005&amp;'DMR 001C TIN &amp; TP'!$B$3:$B$10005&amp;'DMR 001C TIN &amp; TP'!$A$3:$A$10005),0),MATCH('Reg 85'!$AV$11,'DMR 001C TIN &amp; TP'!$A$2:$M$2,0))),"")</f>
        <v>0.03</v>
      </c>
      <c r="AW101" s="6">
        <f t="array" ref="AW101">_xlfn.IFNA((INDEX('DMR 001C TIN &amp; TP'!$A$3:$M$10005,MATCH(('Reg 85'!$AQ$6&amp;'Reg 85'!$AU$10&amp;'Reg 85'!$B101),('DMR 001C TIN &amp; TP'!$E$3:$E$10005&amp;'DMR 001C TIN &amp; TP'!$B$3:$B$10005&amp;'DMR 001C TIN &amp; TP'!$A$3:$A$10005),0),MATCH('Reg 85'!$AW$11,'DMR 001C TIN &amp; TP'!$A$2:$M$2,0))),"")</f>
        <v>1.91</v>
      </c>
      <c r="AX101" s="53">
        <f t="shared" si="56"/>
        <v>1.91</v>
      </c>
      <c r="AY101" s="55">
        <f t="shared" si="57"/>
        <v>1.3049517316815691</v>
      </c>
      <c r="AZ101" s="77" t="str">
        <f t="shared" si="40"/>
        <v/>
      </c>
      <c r="BA101" s="6" t="str">
        <f t="array" ref="BA101">_xlfn.IFNA((INDEX('DMR 001C TIN &amp; TP'!$A$3:$M$10005,MATCH(('Reg 85'!$AQ$6&amp;'Reg 85'!BA$10&amp;'Reg 85'!$B101),('DMR 001C TIN &amp; TP'!$E$3:$E$10005&amp;'DMR 001C TIN &amp; TP'!$B$3:$B$10005&amp;'DMR 001C TIN &amp; TP'!$A$3:$A$10005),0),MATCH('Reg 85'!$AG$11,'DMR 001C TIN &amp; TP'!$A$2:$M$2,0))),"")</f>
        <v/>
      </c>
      <c r="BB101" s="6" t="str">
        <f t="array" ref="BB101">_xlfn.IFNA((INDEX('DMR 001C TIN &amp; TP'!$A$3:$M$10005,MATCH(('Reg 85'!$AQ$6&amp;'Reg 85'!BB$10&amp;'Reg 85'!$B101),('DMR 001C TIN &amp; TP'!$E$3:$E$10005&amp;'DMR 001C TIN &amp; TP'!$B$3:$B$10005&amp;'DMR 001C TIN &amp; TP'!$A$3:$A$10005),0),MATCH('Reg 85'!$AG$11,'DMR 001C TIN &amp; TP'!$A$2:$M$2,0))),"")</f>
        <v/>
      </c>
      <c r="BC101" s="6" t="str">
        <f t="array" ref="BC101">_xlfn.IFNA((INDEX('DMR 001C TIN &amp; TP'!$A$3:$M$10005,MATCH(('Reg 85'!$AQ$6&amp;'Reg 85'!BC$10&amp;'Reg 85'!$B101),('DMR 001C TIN &amp; TP'!$E$3:$E$10005&amp;'DMR 001C TIN &amp; TP'!$B$3:$B$10005&amp;'DMR 001C TIN &amp; TP'!$A$3:$A$10005),0),MATCH('Reg 85'!$AG$11,'DMR 001C TIN &amp; TP'!$A$2:$M$2,0))),"")</f>
        <v/>
      </c>
      <c r="BD101" s="6" t="str">
        <f t="array" ref="BD101">_xlfn.IFNA((INDEX('DMR 001C TIN &amp; TP'!$A$3:$M$10005,MATCH(('Reg 85'!$AQ$6&amp;'Reg 85'!BD$10&amp;'Reg 85'!$B101),('DMR 001C TIN &amp; TP'!$E$3:$E$10005&amp;'DMR 001C TIN &amp; TP'!$B$3:$B$10005&amp;'DMR 001C TIN &amp; TP'!$A$3:$A$10005),0),MATCH('Reg 85'!$AG$11,'DMR 001C TIN &amp; TP'!$A$2:$M$2,0))),"")</f>
        <v/>
      </c>
      <c r="BE101" s="6" t="str">
        <f t="array" ref="BE101">_xlfn.IFNA((INDEX('DMR 001C TIN &amp; TP'!$A$3:$M$10005,MATCH(('Reg 85'!$AQ$6&amp;'Reg 85'!BE$10&amp;'Reg 85'!$B101),('DMR 001C TIN &amp; TP'!$E$3:$E$10005&amp;'DMR 001C TIN &amp; TP'!$B$3:$B$10005&amp;'DMR 001C TIN &amp; TP'!$A$3:$A$10005),0),MATCH('Reg 85'!$AG$11,'DMR 001C TIN &amp; TP'!$A$2:$M$2,0))),"")</f>
        <v/>
      </c>
      <c r="BF101" s="6" t="str">
        <f t="array" ref="BF101">_xlfn.IFNA((INDEX('DMR 001C TIN &amp; TP'!$A$3:$M$10005,MATCH(('Reg 85'!$AQ$6&amp;'Reg 85'!BF$10&amp;'Reg 85'!$B101),('DMR 001C TIN &amp; TP'!$E$3:$E$10005&amp;'DMR 001C TIN &amp; TP'!$B$3:$B$10005&amp;'DMR 001C TIN &amp; TP'!$A$3:$A$10005),0),MATCH('Reg 85'!$AG$11,'DMR 001C TIN &amp; TP'!$A$2:$M$2,0))),"")</f>
        <v/>
      </c>
    </row>
    <row r="102" spans="1:58">
      <c r="A102" s="3" t="str">
        <f t="shared" si="42"/>
        <v>Fri</v>
      </c>
      <c r="B102" s="96">
        <f t="shared" si="58"/>
        <v>43434</v>
      </c>
      <c r="C102" s="96">
        <f t="shared" si="43"/>
        <v>43434</v>
      </c>
      <c r="D102" s="96">
        <f t="shared" si="44"/>
        <v>43405</v>
      </c>
      <c r="E102" s="95">
        <f t="shared" si="45"/>
        <v>30</v>
      </c>
      <c r="F102" s="7">
        <f t="array" ref="F102">_xlfn.IFNA(INDEX('DMR Flows-Effluent'!$A$3:$F$9999,MATCH(($F$10&amp;$B102),('DMR Flows-Effluent'!$B$3:$B$9999&amp;'DMR Flows-Effluent'!$A$3:$A$9999),0),MATCH($F$8,'DMR Flows-Effluent'!$A$2:$F$2,0)),"")</f>
        <v>41.295099999999998</v>
      </c>
      <c r="G102" s="7">
        <f t="array" ref="G102">_xlfn.IFNA(INDEX('DMR Flows-Effluent'!$A$3:$F$9999,MATCH(($G$10&amp;$B102),('DMR Flows-Effluent'!$B$3:$B$9999&amp;'DMR Flows-Effluent'!$A$3:$A$9999),0),MATCH($F$8,'DMR Flows-Effluent'!$A$2:$F$2,0)),"")</f>
        <v>76.8673</v>
      </c>
      <c r="H102" s="7">
        <f t="shared" si="46"/>
        <v>118.16239999999999</v>
      </c>
      <c r="I102" s="45" t="str">
        <f t="shared" si="47"/>
        <v/>
      </c>
      <c r="J102" s="6" t="str">
        <f t="array" ref="J102">_xlfn.IFNA((INDEX('DMR 001C TIN &amp; TP'!$A$3:$M$10005,MATCH(('Reg 85'!$I$6:$Q$6&amp;'Reg 85'!$I$10:$K$10&amp;'Reg 85'!$B102),('DMR 001C TIN &amp; TP'!$E$3:$E$10005&amp;'DMR 001C TIN &amp; TP'!$B$3:$B$10005&amp;'DMR 001C TIN &amp; TP'!$A$3:$A$10005),0),MATCH('Reg 85'!$J$11,'DMR 001C TIN &amp; TP'!$A$2:$M$2,0))),"")</f>
        <v/>
      </c>
      <c r="K102" s="6" t="str">
        <f t="array" ref="K102">_xlfn.IFNA((INDEX('DMR 001C TIN &amp; TP'!$A$3:$M$10005,MATCH(('Reg 85'!$I$6:$Q$6&amp;'Reg 85'!$I$10:$K$10&amp;'Reg 85'!$B102),('DMR 001C TIN &amp; TP'!$E$3:$E$10005&amp;'DMR 001C TIN &amp; TP'!$B$3:$B$10005&amp;'DMR 001C TIN &amp; TP'!$A$3:$A$10005),0),MATCH('Reg 85'!$K$11,'DMR 001C TIN &amp; TP'!$A$2:$M$2,0))),"")</f>
        <v/>
      </c>
      <c r="L102" s="53" t="str">
        <f t="shared" si="59"/>
        <v/>
      </c>
      <c r="M102" s="5" t="str">
        <f t="shared" si="48"/>
        <v/>
      </c>
      <c r="N102" s="6" t="str">
        <f t="array" ref="N102">_xlfn.IFNA((INDEX('DMR 001C TIN &amp; TP'!$A$3:$M$10005,MATCH(('Reg 85'!$I$6:$Q$6&amp;'Reg 85'!$M$10&amp;'Reg 85'!$B102),('DMR 001C TIN &amp; TP'!$E$3:$E$10005&amp;'DMR 001C TIN &amp; TP'!$B$3:$B$10005&amp;'DMR 001C TIN &amp; TP'!$A$3:$A$10005),0),MATCH('Reg 85'!$N$11,'DMR 001C TIN &amp; TP'!$A$2:$M$2,0))),"")</f>
        <v/>
      </c>
      <c r="O102" s="6" t="str">
        <f t="array" ref="O102">_xlfn.IFNA((INDEX('DMR 001C TIN &amp; TP'!$A$3:$M$10005,MATCH(('Reg 85'!$I$6:$Q$6&amp;'Reg 85'!$M$10&amp;'Reg 85'!$B102),('DMR 001C TIN &amp; TP'!$E$3:$E$10005&amp;'DMR 001C TIN &amp; TP'!$B$3:$B$10005&amp;'DMR 001C TIN &amp; TP'!$A$3:$A$10005),0),MATCH('Reg 85'!$O$11,'DMR 001C TIN &amp; TP'!$A$2:$M$2,0))),"")</f>
        <v/>
      </c>
      <c r="P102" s="53" t="str">
        <f t="shared" si="49"/>
        <v/>
      </c>
      <c r="Q102" s="73" t="str">
        <f t="array" ref="Q102">IFERROR(((L102*$F102)+(P102*$G102))/($H102),"")</f>
        <v/>
      </c>
      <c r="R102" s="6" t="str">
        <f t="array" ref="R102">_xlfn.IFNA((INDEX('DMR 001C TIN &amp; TP'!$A$3:$M$10005,MATCH(('Reg 85'!$I$6:$Q$6&amp;'Reg 85'!R$10&amp;'Reg 85'!$B102),('DMR 001C TIN &amp; TP'!$E$3:$E$10005&amp;'DMR 001C TIN &amp; TP'!$B$3:$B$10005&amp;'DMR 001C TIN &amp; TP'!$A$3:$A$10005),0),MATCH('Reg 85'!$O$11,'DMR 001C TIN &amp; TP'!$A$2:$M$2,0))),"")</f>
        <v/>
      </c>
      <c r="S102" s="6" t="str">
        <f t="array" ref="S102">_xlfn.IFNA((INDEX('DMR 001C TIN &amp; TP'!$A$3:$M$10005,MATCH(('Reg 85'!$I$6:$Q$6&amp;'Reg 85'!S$10&amp;'Reg 85'!$B102),('DMR 001C TIN &amp; TP'!$E$3:$E$10005&amp;'DMR 001C TIN &amp; TP'!$B$3:$B$10005&amp;'DMR 001C TIN &amp; TP'!$A$3:$A$10005),0),MATCH('Reg 85'!$O$11,'DMR 001C TIN &amp; TP'!$A$2:$M$2,0))),"")</f>
        <v/>
      </c>
      <c r="T102" s="6" t="str">
        <f t="array" ref="T102">_xlfn.IFNA((INDEX('DMR 001C TIN &amp; TP'!$A$3:$M$10005,MATCH(('Reg 85'!$I$6:$Q$6&amp;'Reg 85'!T$10&amp;'Reg 85'!$B102),('DMR 001C TIN &amp; TP'!$E$3:$E$10005&amp;'DMR 001C TIN &amp; TP'!$B$3:$B$10005&amp;'DMR 001C TIN &amp; TP'!$A$3:$A$10005),0),MATCH('Reg 85'!$O$11,'DMR 001C TIN &amp; TP'!$A$2:$M$2,0))),"")</f>
        <v/>
      </c>
      <c r="U102" s="6" t="str">
        <f t="array" ref="U102">_xlfn.IFNA((INDEX('DMR 001C TIN &amp; TP'!$A$3:$M$10005,MATCH(('Reg 85'!$I$6:$Q$6&amp;'Reg 85'!U$10&amp;'Reg 85'!$B102),('DMR 001C TIN &amp; TP'!$E$3:$E$10005&amp;'DMR 001C TIN &amp; TP'!$B$3:$B$10005&amp;'DMR 001C TIN &amp; TP'!$A$3:$A$10005),0),MATCH('Reg 85'!$O$11,'DMR 001C TIN &amp; TP'!$A$2:$M$2,0))),"")</f>
        <v/>
      </c>
      <c r="V102" s="6" t="str">
        <f t="array" ref="V102">_xlfn.IFNA((INDEX('DMR 001C TIN &amp; TP'!$A$3:$M$10005,MATCH(('Reg 85'!$I$6:$Q$6&amp;'Reg 85'!V$10&amp;'Reg 85'!$B102),('DMR 001C TIN &amp; TP'!$E$3:$E$10005&amp;'DMR 001C TIN &amp; TP'!$B$3:$B$10005&amp;'DMR 001C TIN &amp; TP'!$A$3:$A$10005),0),MATCH('Reg 85'!$O$11,'DMR 001C TIN &amp; TP'!$A$2:$M$2,0))),"")</f>
        <v/>
      </c>
      <c r="W102" s="6" t="str">
        <f t="array" ref="W102">_xlfn.IFNA((INDEX('DMR 001C TIN &amp; TP'!$A$3:$M$10005,MATCH(('Reg 85'!$I$6:$Q$6&amp;'Reg 85'!W$10&amp;'Reg 85'!$B102),('DMR 001C TIN &amp; TP'!$E$3:$E$10005&amp;'DMR 001C TIN &amp; TP'!$B$3:$B$10005&amp;'DMR 001C TIN &amp; TP'!$A$3:$A$10005),0),MATCH('Reg 85'!$O$11,'DMR 001C TIN &amp; TP'!$A$2:$M$2,0))),"")</f>
        <v/>
      </c>
      <c r="X102" s="5" t="str">
        <f t="shared" si="50"/>
        <v/>
      </c>
      <c r="Y102" s="6" t="str">
        <f t="array" ref="Y102">_xlfn.IFNA((INDEX('DMR 001C TIN &amp; TP'!$A$3:$M$10005,MATCH(('Reg 85'!$X$6&amp;'Reg 85'!$X$10&amp;'Reg 85'!$B102),('DMR 001C TIN &amp; TP'!$E$3:$E$10005&amp;'DMR 001C TIN &amp; TP'!$B$3:$B$10005&amp;'DMR 001C TIN &amp; TP'!$A$3:$A$10005),0),MATCH('Reg 85'!$Y$11,'DMR 001C TIN &amp; TP'!$A$2:$M$2,0))),"")</f>
        <v/>
      </c>
      <c r="Z102" s="6" t="str">
        <f t="array" ref="Z102">_xlfn.IFNA((INDEX('DMR 001C TIN &amp; TP'!$A$3:$M$10005,MATCH(('Reg 85'!$X$6&amp;'Reg 85'!$X$10&amp;'Reg 85'!$B102),('DMR 001C TIN &amp; TP'!$E$3:$E$10005&amp;'DMR 001C TIN &amp; TP'!$B$3:$B$10005&amp;'DMR 001C TIN &amp; TP'!$A$3:$A$10005),0),MATCH('Reg 85'!$Z$11,'DMR 001C TIN &amp; TP'!$A$2:$M$2,0))),"")</f>
        <v/>
      </c>
      <c r="AA102" s="53" t="str">
        <f t="shared" si="51"/>
        <v/>
      </c>
      <c r="AB102" s="5" t="str">
        <f t="shared" si="52"/>
        <v/>
      </c>
      <c r="AC102" s="6" t="str">
        <f t="array" ref="AC102">_xlfn.IFNA((INDEX('DMR 001C TIN &amp; TP'!$A$3:$M$10005,MATCH(('Reg 85'!$X$6&amp;'Reg 85'!$AB$10&amp;'Reg 85'!$B102),('DMR 001C TIN &amp; TP'!$E$3:$E$10005&amp;'DMR 001C TIN &amp; TP'!$B$3:$B$10005&amp;'DMR 001C TIN &amp; TP'!$A$3:$A$10005),0),MATCH('Reg 85'!$AC$11,'DMR 001C TIN &amp; TP'!$A$2:$M$2,0))),"")</f>
        <v/>
      </c>
      <c r="AD102" s="6" t="str">
        <f t="array" ref="AD102">_xlfn.IFNA((INDEX('DMR 001C TIN &amp; TP'!$A$3:$M$10005,MATCH(('Reg 85'!$X$6&amp;'Reg 85'!$AB$10&amp;'Reg 85'!$B102),('DMR 001C TIN &amp; TP'!$E$3:$E$10005&amp;'DMR 001C TIN &amp; TP'!$B$3:$B$10005&amp;'DMR 001C TIN &amp; TP'!$A$3:$A$10005),0),MATCH('Reg 85'!$AD$11,'DMR 001C TIN &amp; TP'!$A$2:$M$2,0))),"")</f>
        <v/>
      </c>
      <c r="AE102" s="53" t="str">
        <f t="shared" si="53"/>
        <v/>
      </c>
      <c r="AF102" s="7" t="str">
        <f t="shared" si="54"/>
        <v/>
      </c>
      <c r="AG102" s="6" t="str">
        <f t="array" ref="AG102">_xlfn.IFNA((INDEX('DMR 001C TIN &amp; TP'!$A$3:$M$10005,MATCH(('Reg 85'!$X$6&amp;'Reg 85'!AG$10&amp;'Reg 85'!$B102),('DMR 001C TIN &amp; TP'!$E$3:$E$10005&amp;'DMR 001C TIN &amp; TP'!$B$3:$B$10005&amp;'DMR 001C TIN &amp; TP'!$A$3:$A$10005),0),MATCH('Reg 85'!$AG$11,'DMR 001C TIN &amp; TP'!$A$2:$M$2,0))),"")</f>
        <v/>
      </c>
      <c r="AH102" s="6" t="str">
        <f t="array" ref="AH102">_xlfn.IFNA((INDEX('DMR 001C TIN &amp; TP'!$A$3:$M$10005,MATCH(('Reg 85'!$X$6&amp;'Reg 85'!AH$10&amp;'Reg 85'!$B102),('DMR 001C TIN &amp; TP'!$E$3:$E$10005&amp;'DMR 001C TIN &amp; TP'!$B$3:$B$10005&amp;'DMR 001C TIN &amp; TP'!$A$3:$A$10005),0),MATCH('Reg 85'!$AG$11,'DMR 001C TIN &amp; TP'!$A$2:$M$2,0))),"")</f>
        <v/>
      </c>
      <c r="AI102" s="6" t="str">
        <f t="array" ref="AI102">_xlfn.IFNA((INDEX('DMR 001C TIN &amp; TP'!$A$3:$M$10005,MATCH(('Reg 85'!$X$6&amp;'Reg 85'!AI$10&amp;'Reg 85'!$B102),('DMR 001C TIN &amp; TP'!$E$3:$E$10005&amp;'DMR 001C TIN &amp; TP'!$B$3:$B$10005&amp;'DMR 001C TIN &amp; TP'!$A$3:$A$10005),0),MATCH('Reg 85'!$AG$11,'DMR 001C TIN &amp; TP'!$A$2:$M$2,0))),"")</f>
        <v/>
      </c>
      <c r="AJ102" s="6" t="str">
        <f t="array" ref="AJ102">_xlfn.IFNA((INDEX('DMR 001C TIN &amp; TP'!$A$3:$M$10005,MATCH(('Reg 85'!$X$6&amp;'Reg 85'!AJ$10&amp;'Reg 85'!$B102),('DMR 001C TIN &amp; TP'!$E$3:$E$10005&amp;'DMR 001C TIN &amp; TP'!$B$3:$B$10005&amp;'DMR 001C TIN &amp; TP'!$A$3:$A$10005),0),MATCH('Reg 85'!$AG$11,'DMR 001C TIN &amp; TP'!$A$2:$M$2,0))),"")</f>
        <v/>
      </c>
      <c r="AK102" s="6" t="str">
        <f t="array" ref="AK102">_xlfn.IFNA((INDEX('DMR 001C TIN &amp; TP'!$A$3:$M$10005,MATCH(('Reg 85'!$X$6&amp;'Reg 85'!AK$10&amp;'Reg 85'!$B102),('DMR 001C TIN &amp; TP'!$E$3:$E$10005&amp;'DMR 001C TIN &amp; TP'!$B$3:$B$10005&amp;'DMR 001C TIN &amp; TP'!$A$3:$A$10005),0),MATCH('Reg 85'!$AG$11,'DMR 001C TIN &amp; TP'!$A$2:$M$2,0))),"")</f>
        <v/>
      </c>
      <c r="AL102" s="6" t="str">
        <f t="array" ref="AL102">_xlfn.IFNA((INDEX('DMR 001C TIN &amp; TP'!$A$3:$M$10005,MATCH(('Reg 85'!$X$6&amp;'Reg 85'!AL$10&amp;'Reg 85'!$B102),('DMR 001C TIN &amp; TP'!$E$3:$E$10005&amp;'DMR 001C TIN &amp; TP'!$B$3:$B$10005&amp;'DMR 001C TIN &amp; TP'!$A$3:$A$10005),0),MATCH('Reg 85'!$AG$11,'DMR 001C TIN &amp; TP'!$A$2:$M$2,0))),"")</f>
        <v/>
      </c>
      <c r="AM102" s="76"/>
      <c r="AN102" s="6"/>
      <c r="AO102" s="54" t="str">
        <f t="shared" si="41"/>
        <v/>
      </c>
      <c r="AP102" s="77">
        <f>COUNT(AO73:AO102)</f>
        <v>12</v>
      </c>
      <c r="AQ102" s="47"/>
      <c r="AR102" s="6" t="str">
        <f t="array" ref="AR102">_xlfn.IFNA((INDEX('DMR 001C TIN &amp; TP'!$A$3:$M$10005,MATCH(('Reg 85'!$AQ$6&amp;'Reg 85'!$AQ$10&amp;'Reg 85'!$B102),('DMR 001C TIN &amp; TP'!$E$3:$E$10005&amp;'DMR 001C TIN &amp; TP'!$B$3:$B$10005&amp;'DMR 001C TIN &amp; TP'!$A$3:$A$10005),0),MATCH('Reg 85'!$AR$11,'DMR 001C TIN &amp; TP'!$A$2:$M$2,0))),"")</f>
        <v/>
      </c>
      <c r="AS102" s="6" t="str">
        <f t="array" ref="AS102">_xlfn.IFNA((INDEX('DMR 001C TIN &amp; TP'!$A$3:$M$10005,MATCH(('Reg 85'!$AQ$6&amp;'Reg 85'!$AQ$10&amp;'Reg 85'!$B102),('DMR 001C TIN &amp; TP'!$E$3:$E$10005&amp;'DMR 001C TIN &amp; TP'!$B$3:$B$10005&amp;'DMR 001C TIN &amp; TP'!$A$3:$A$10005),0),MATCH('Reg 85'!$AS$11,'DMR 001C TIN &amp; TP'!$A$2:$M$2,0))),"")</f>
        <v/>
      </c>
      <c r="AT102" s="53" t="str">
        <f t="shared" si="55"/>
        <v/>
      </c>
      <c r="AV102" s="6" t="str">
        <f t="array" ref="AV102">_xlfn.IFNA((INDEX('DMR 001C TIN &amp; TP'!$A$3:$M$10005,MATCH(('Reg 85'!$AQ$6&amp;'Reg 85'!$AU$10&amp;'Reg 85'!$B102),('DMR 001C TIN &amp; TP'!$E$3:$E$10005&amp;'DMR 001C TIN &amp; TP'!$B$3:$B$10005&amp;'DMR 001C TIN &amp; TP'!$A$3:$A$10005),0),MATCH('Reg 85'!$AV$11,'DMR 001C TIN &amp; TP'!$A$2:$M$2,0))),"")</f>
        <v/>
      </c>
      <c r="AW102" s="6" t="str">
        <f t="array" ref="AW102">_xlfn.IFNA((INDEX('DMR 001C TIN &amp; TP'!$A$3:$M$10005,MATCH(('Reg 85'!$AQ$6&amp;'Reg 85'!$AU$10&amp;'Reg 85'!$B102),('DMR 001C TIN &amp; TP'!$E$3:$E$10005&amp;'DMR 001C TIN &amp; TP'!$B$3:$B$10005&amp;'DMR 001C TIN &amp; TP'!$A$3:$A$10005),0),MATCH('Reg 85'!$AW$11,'DMR 001C TIN &amp; TP'!$A$2:$M$2,0))),"")</f>
        <v/>
      </c>
      <c r="AX102" s="53" t="str">
        <f t="shared" si="56"/>
        <v/>
      </c>
      <c r="AY102" s="55" t="str">
        <f t="shared" si="57"/>
        <v/>
      </c>
      <c r="AZ102" s="77">
        <f>COUNT(AY73:AY102)</f>
        <v>9</v>
      </c>
      <c r="BA102" s="6" t="str">
        <f t="array" ref="BA102">_xlfn.IFNA((INDEX('DMR 001C TIN &amp; TP'!$A$3:$M$10005,MATCH(('Reg 85'!$AQ$6&amp;'Reg 85'!BA$10&amp;'Reg 85'!$B102),('DMR 001C TIN &amp; TP'!$E$3:$E$10005&amp;'DMR 001C TIN &amp; TP'!$B$3:$B$10005&amp;'DMR 001C TIN &amp; TP'!$A$3:$A$10005),0),MATCH('Reg 85'!$AG$11,'DMR 001C TIN &amp; TP'!$A$2:$M$2,0))),"")</f>
        <v/>
      </c>
      <c r="BB102" s="6" t="str">
        <f t="array" ref="BB102">_xlfn.IFNA((INDEX('DMR 001C TIN &amp; TP'!$A$3:$M$10005,MATCH(('Reg 85'!$AQ$6&amp;'Reg 85'!BB$10&amp;'Reg 85'!$B102),('DMR 001C TIN &amp; TP'!$E$3:$E$10005&amp;'DMR 001C TIN &amp; TP'!$B$3:$B$10005&amp;'DMR 001C TIN &amp; TP'!$A$3:$A$10005),0),MATCH('Reg 85'!$AG$11,'DMR 001C TIN &amp; TP'!$A$2:$M$2,0))),"")</f>
        <v/>
      </c>
      <c r="BC102" s="6" t="str">
        <f t="array" ref="BC102">_xlfn.IFNA((INDEX('DMR 001C TIN &amp; TP'!$A$3:$M$10005,MATCH(('Reg 85'!$AQ$6&amp;'Reg 85'!BC$10&amp;'Reg 85'!$B102),('DMR 001C TIN &amp; TP'!$E$3:$E$10005&amp;'DMR 001C TIN &amp; TP'!$B$3:$B$10005&amp;'DMR 001C TIN &amp; TP'!$A$3:$A$10005),0),MATCH('Reg 85'!$AG$11,'DMR 001C TIN &amp; TP'!$A$2:$M$2,0))),"")</f>
        <v/>
      </c>
      <c r="BD102" s="6" t="str">
        <f t="array" ref="BD102">_xlfn.IFNA((INDEX('DMR 001C TIN &amp; TP'!$A$3:$M$10005,MATCH(('Reg 85'!$AQ$6&amp;'Reg 85'!BD$10&amp;'Reg 85'!$B102),('DMR 001C TIN &amp; TP'!$E$3:$E$10005&amp;'DMR 001C TIN &amp; TP'!$B$3:$B$10005&amp;'DMR 001C TIN &amp; TP'!$A$3:$A$10005),0),MATCH('Reg 85'!$AG$11,'DMR 001C TIN &amp; TP'!$A$2:$M$2,0))),"")</f>
        <v/>
      </c>
      <c r="BE102" s="6" t="str">
        <f t="array" ref="BE102">_xlfn.IFNA((INDEX('DMR 001C TIN &amp; TP'!$A$3:$M$10005,MATCH(('Reg 85'!$AQ$6&amp;'Reg 85'!BE$10&amp;'Reg 85'!$B102),('DMR 001C TIN &amp; TP'!$E$3:$E$10005&amp;'DMR 001C TIN &amp; TP'!$B$3:$B$10005&amp;'DMR 001C TIN &amp; TP'!$A$3:$A$10005),0),MATCH('Reg 85'!$AG$11,'DMR 001C TIN &amp; TP'!$A$2:$M$2,0))),"")</f>
        <v/>
      </c>
      <c r="BF102" s="6" t="str">
        <f t="array" ref="BF102">_xlfn.IFNA((INDEX('DMR 001C TIN &amp; TP'!$A$3:$M$10005,MATCH(('Reg 85'!$AQ$6&amp;'Reg 85'!BF$10&amp;'Reg 85'!$B102),('DMR 001C TIN &amp; TP'!$E$3:$E$10005&amp;'DMR 001C TIN &amp; TP'!$B$3:$B$10005&amp;'DMR 001C TIN &amp; TP'!$A$3:$A$10005),0),MATCH('Reg 85'!$AG$11,'DMR 001C TIN &amp; TP'!$A$2:$M$2,0))),"")</f>
        <v/>
      </c>
    </row>
    <row r="103" spans="1:58">
      <c r="A103" s="3" t="str">
        <f t="shared" si="42"/>
        <v>Sat</v>
      </c>
      <c r="B103" s="96">
        <f t="shared" si="58"/>
        <v>43435</v>
      </c>
      <c r="C103" s="96">
        <f t="shared" si="43"/>
        <v>43465</v>
      </c>
      <c r="D103" s="96">
        <f t="shared" si="44"/>
        <v>43435</v>
      </c>
      <c r="E103" s="95">
        <f t="shared" si="45"/>
        <v>31</v>
      </c>
      <c r="F103" s="7">
        <f t="array" ref="F103">_xlfn.IFNA(INDEX('DMR Flows-Effluent'!$A$3:$F$9999,MATCH(($F$10&amp;$B103),('DMR Flows-Effluent'!$B$3:$B$9999&amp;'DMR Flows-Effluent'!$A$3:$A$9999),0),MATCH($F$8,'DMR Flows-Effluent'!$A$2:$F$2,0)),"")</f>
        <v>38.866700000000002</v>
      </c>
      <c r="G103" s="7">
        <f t="array" ref="G103">_xlfn.IFNA(INDEX('DMR Flows-Effluent'!$A$3:$F$9999,MATCH(($G$10&amp;$B103),('DMR Flows-Effluent'!$B$3:$B$9999&amp;'DMR Flows-Effluent'!$A$3:$A$9999),0),MATCH($F$8,'DMR Flows-Effluent'!$A$2:$F$2,0)),"")</f>
        <v>81.951099999999997</v>
      </c>
      <c r="H103" s="7">
        <f t="shared" si="46"/>
        <v>120.81780000000001</v>
      </c>
      <c r="I103" s="45" t="str">
        <f t="shared" si="47"/>
        <v/>
      </c>
      <c r="J103" s="6" t="str">
        <f t="array" ref="J103">_xlfn.IFNA((INDEX('DMR 001C TIN &amp; TP'!$A$3:$M$10005,MATCH(('Reg 85'!$I$6:$Q$6&amp;'Reg 85'!$I$10:$K$10&amp;'Reg 85'!$B103),('DMR 001C TIN &amp; TP'!$E$3:$E$10005&amp;'DMR 001C TIN &amp; TP'!$B$3:$B$10005&amp;'DMR 001C TIN &amp; TP'!$A$3:$A$10005),0),MATCH('Reg 85'!$J$11,'DMR 001C TIN &amp; TP'!$A$2:$M$2,0))),"")</f>
        <v/>
      </c>
      <c r="K103" s="6" t="str">
        <f t="array" ref="K103">_xlfn.IFNA((INDEX('DMR 001C TIN &amp; TP'!$A$3:$M$10005,MATCH(('Reg 85'!$I$6:$Q$6&amp;'Reg 85'!$I$10:$K$10&amp;'Reg 85'!$B103),('DMR 001C TIN &amp; TP'!$E$3:$E$10005&amp;'DMR 001C TIN &amp; TP'!$B$3:$B$10005&amp;'DMR 001C TIN &amp; TP'!$A$3:$A$10005),0),MATCH('Reg 85'!$K$11,'DMR 001C TIN &amp; TP'!$A$2:$M$2,0))),"")</f>
        <v/>
      </c>
      <c r="L103" s="53" t="str">
        <f t="shared" si="59"/>
        <v/>
      </c>
      <c r="M103" s="5" t="str">
        <f t="shared" si="48"/>
        <v/>
      </c>
      <c r="N103" s="6" t="str">
        <f t="array" ref="N103">_xlfn.IFNA((INDEX('DMR 001C TIN &amp; TP'!$A$3:$M$10005,MATCH(('Reg 85'!$I$6:$Q$6&amp;'Reg 85'!$M$10&amp;'Reg 85'!$B103),('DMR 001C TIN &amp; TP'!$E$3:$E$10005&amp;'DMR 001C TIN &amp; TP'!$B$3:$B$10005&amp;'DMR 001C TIN &amp; TP'!$A$3:$A$10005),0),MATCH('Reg 85'!$N$11,'DMR 001C TIN &amp; TP'!$A$2:$M$2,0))),"")</f>
        <v/>
      </c>
      <c r="O103" s="6" t="str">
        <f t="array" ref="O103">_xlfn.IFNA((INDEX('DMR 001C TIN &amp; TP'!$A$3:$M$10005,MATCH(('Reg 85'!$I$6:$Q$6&amp;'Reg 85'!$M$10&amp;'Reg 85'!$B103),('DMR 001C TIN &amp; TP'!$E$3:$E$10005&amp;'DMR 001C TIN &amp; TP'!$B$3:$B$10005&amp;'DMR 001C TIN &amp; TP'!$A$3:$A$10005),0),MATCH('Reg 85'!$O$11,'DMR 001C TIN &amp; TP'!$A$2:$M$2,0))),"")</f>
        <v/>
      </c>
      <c r="P103" s="53" t="str">
        <f t="shared" si="49"/>
        <v/>
      </c>
      <c r="Q103" s="73" t="str">
        <f t="array" ref="Q103">IFERROR(((L103*$F103)+(P103*$G103))/($H103),"")</f>
        <v/>
      </c>
      <c r="R103" s="6" t="str">
        <f t="array" ref="R103">_xlfn.IFNA((INDEX('DMR 001C TIN &amp; TP'!$A$3:$M$10005,MATCH(('Reg 85'!$I$6:$Q$6&amp;'Reg 85'!R$10&amp;'Reg 85'!$B103),('DMR 001C TIN &amp; TP'!$E$3:$E$10005&amp;'DMR 001C TIN &amp; TP'!$B$3:$B$10005&amp;'DMR 001C TIN &amp; TP'!$A$3:$A$10005),0),MATCH('Reg 85'!$O$11,'DMR 001C TIN &amp; TP'!$A$2:$M$2,0))),"")</f>
        <v/>
      </c>
      <c r="S103" s="6" t="str">
        <f t="array" ref="S103">_xlfn.IFNA((INDEX('DMR 001C TIN &amp; TP'!$A$3:$M$10005,MATCH(('Reg 85'!$I$6:$Q$6&amp;'Reg 85'!S$10&amp;'Reg 85'!$B103),('DMR 001C TIN &amp; TP'!$E$3:$E$10005&amp;'DMR 001C TIN &amp; TP'!$B$3:$B$10005&amp;'DMR 001C TIN &amp; TP'!$A$3:$A$10005),0),MATCH('Reg 85'!$O$11,'DMR 001C TIN &amp; TP'!$A$2:$M$2,0))),"")</f>
        <v/>
      </c>
      <c r="T103" s="6" t="str">
        <f t="array" ref="T103">_xlfn.IFNA((INDEX('DMR 001C TIN &amp; TP'!$A$3:$M$10005,MATCH(('Reg 85'!$I$6:$Q$6&amp;'Reg 85'!T$10&amp;'Reg 85'!$B103),('DMR 001C TIN &amp; TP'!$E$3:$E$10005&amp;'DMR 001C TIN &amp; TP'!$B$3:$B$10005&amp;'DMR 001C TIN &amp; TP'!$A$3:$A$10005),0),MATCH('Reg 85'!$O$11,'DMR 001C TIN &amp; TP'!$A$2:$M$2,0))),"")</f>
        <v/>
      </c>
      <c r="U103" s="6" t="str">
        <f t="array" ref="U103">_xlfn.IFNA((INDEX('DMR 001C TIN &amp; TP'!$A$3:$M$10005,MATCH(('Reg 85'!$I$6:$Q$6&amp;'Reg 85'!U$10&amp;'Reg 85'!$B103),('DMR 001C TIN &amp; TP'!$E$3:$E$10005&amp;'DMR 001C TIN &amp; TP'!$B$3:$B$10005&amp;'DMR 001C TIN &amp; TP'!$A$3:$A$10005),0),MATCH('Reg 85'!$O$11,'DMR 001C TIN &amp; TP'!$A$2:$M$2,0))),"")</f>
        <v/>
      </c>
      <c r="V103" s="6" t="str">
        <f t="array" ref="V103">_xlfn.IFNA((INDEX('DMR 001C TIN &amp; TP'!$A$3:$M$10005,MATCH(('Reg 85'!$I$6:$Q$6&amp;'Reg 85'!V$10&amp;'Reg 85'!$B103),('DMR 001C TIN &amp; TP'!$E$3:$E$10005&amp;'DMR 001C TIN &amp; TP'!$B$3:$B$10005&amp;'DMR 001C TIN &amp; TP'!$A$3:$A$10005),0),MATCH('Reg 85'!$O$11,'DMR 001C TIN &amp; TP'!$A$2:$M$2,0))),"")</f>
        <v/>
      </c>
      <c r="W103" s="6" t="str">
        <f t="array" ref="W103">_xlfn.IFNA((INDEX('DMR 001C TIN &amp; TP'!$A$3:$M$10005,MATCH(('Reg 85'!$I$6:$Q$6&amp;'Reg 85'!W$10&amp;'Reg 85'!$B103),('DMR 001C TIN &amp; TP'!$E$3:$E$10005&amp;'DMR 001C TIN &amp; TP'!$B$3:$B$10005&amp;'DMR 001C TIN &amp; TP'!$A$3:$A$10005),0),MATCH('Reg 85'!$O$11,'DMR 001C TIN &amp; TP'!$A$2:$M$2,0))),"")</f>
        <v/>
      </c>
      <c r="X103" s="5" t="str">
        <f t="shared" si="50"/>
        <v/>
      </c>
      <c r="Y103" s="6" t="str">
        <f t="array" ref="Y103">_xlfn.IFNA((INDEX('DMR 001C TIN &amp; TP'!$A$3:$M$10005,MATCH(('Reg 85'!$X$6&amp;'Reg 85'!$X$10&amp;'Reg 85'!$B103),('DMR 001C TIN &amp; TP'!$E$3:$E$10005&amp;'DMR 001C TIN &amp; TP'!$B$3:$B$10005&amp;'DMR 001C TIN &amp; TP'!$A$3:$A$10005),0),MATCH('Reg 85'!$Y$11,'DMR 001C TIN &amp; TP'!$A$2:$M$2,0))),"")</f>
        <v/>
      </c>
      <c r="Z103" s="6" t="str">
        <f t="array" ref="Z103">_xlfn.IFNA((INDEX('DMR 001C TIN &amp; TP'!$A$3:$M$10005,MATCH(('Reg 85'!$X$6&amp;'Reg 85'!$X$10&amp;'Reg 85'!$B103),('DMR 001C TIN &amp; TP'!$E$3:$E$10005&amp;'DMR 001C TIN &amp; TP'!$B$3:$B$10005&amp;'DMR 001C TIN &amp; TP'!$A$3:$A$10005),0),MATCH('Reg 85'!$Z$11,'DMR 001C TIN &amp; TP'!$A$2:$M$2,0))),"")</f>
        <v/>
      </c>
      <c r="AA103" s="53" t="str">
        <f t="shared" si="51"/>
        <v/>
      </c>
      <c r="AB103" s="5" t="str">
        <f t="shared" si="52"/>
        <v/>
      </c>
      <c r="AC103" s="6" t="str">
        <f t="array" ref="AC103">_xlfn.IFNA((INDEX('DMR 001C TIN &amp; TP'!$A$3:$M$10005,MATCH(('Reg 85'!$X$6&amp;'Reg 85'!$AB$10&amp;'Reg 85'!$B103),('DMR 001C TIN &amp; TP'!$E$3:$E$10005&amp;'DMR 001C TIN &amp; TP'!$B$3:$B$10005&amp;'DMR 001C TIN &amp; TP'!$A$3:$A$10005),0),MATCH('Reg 85'!$AC$11,'DMR 001C TIN &amp; TP'!$A$2:$M$2,0))),"")</f>
        <v/>
      </c>
      <c r="AD103" s="6" t="str">
        <f t="array" ref="AD103">_xlfn.IFNA((INDEX('DMR 001C TIN &amp; TP'!$A$3:$M$10005,MATCH(('Reg 85'!$X$6&amp;'Reg 85'!$AB$10&amp;'Reg 85'!$B103),('DMR 001C TIN &amp; TP'!$E$3:$E$10005&amp;'DMR 001C TIN &amp; TP'!$B$3:$B$10005&amp;'DMR 001C TIN &amp; TP'!$A$3:$A$10005),0),MATCH('Reg 85'!$AD$11,'DMR 001C TIN &amp; TP'!$A$2:$M$2,0))),"")</f>
        <v/>
      </c>
      <c r="AE103" s="53" t="str">
        <f t="shared" si="53"/>
        <v/>
      </c>
      <c r="AF103" s="7" t="str">
        <f t="shared" si="54"/>
        <v/>
      </c>
      <c r="AG103" s="6" t="str">
        <f t="array" ref="AG103">_xlfn.IFNA((INDEX('DMR 001C TIN &amp; TP'!$A$3:$M$10005,MATCH(('Reg 85'!$X$6&amp;'Reg 85'!AG$10&amp;'Reg 85'!$B103),('DMR 001C TIN &amp; TP'!$E$3:$E$10005&amp;'DMR 001C TIN &amp; TP'!$B$3:$B$10005&amp;'DMR 001C TIN &amp; TP'!$A$3:$A$10005),0),MATCH('Reg 85'!$AG$11,'DMR 001C TIN &amp; TP'!$A$2:$M$2,0))),"")</f>
        <v/>
      </c>
      <c r="AH103" s="6" t="str">
        <f t="array" ref="AH103">_xlfn.IFNA((INDEX('DMR 001C TIN &amp; TP'!$A$3:$M$10005,MATCH(('Reg 85'!$X$6&amp;'Reg 85'!AH$10&amp;'Reg 85'!$B103),('DMR 001C TIN &amp; TP'!$E$3:$E$10005&amp;'DMR 001C TIN &amp; TP'!$B$3:$B$10005&amp;'DMR 001C TIN &amp; TP'!$A$3:$A$10005),0),MATCH('Reg 85'!$AG$11,'DMR 001C TIN &amp; TP'!$A$2:$M$2,0))),"")</f>
        <v/>
      </c>
      <c r="AI103" s="6" t="str">
        <f t="array" ref="AI103">_xlfn.IFNA((INDEX('DMR 001C TIN &amp; TP'!$A$3:$M$10005,MATCH(('Reg 85'!$X$6&amp;'Reg 85'!AI$10&amp;'Reg 85'!$B103),('DMR 001C TIN &amp; TP'!$E$3:$E$10005&amp;'DMR 001C TIN &amp; TP'!$B$3:$B$10005&amp;'DMR 001C TIN &amp; TP'!$A$3:$A$10005),0),MATCH('Reg 85'!$AG$11,'DMR 001C TIN &amp; TP'!$A$2:$M$2,0))),"")</f>
        <v/>
      </c>
      <c r="AJ103" s="6" t="str">
        <f t="array" ref="AJ103">_xlfn.IFNA((INDEX('DMR 001C TIN &amp; TP'!$A$3:$M$10005,MATCH(('Reg 85'!$X$6&amp;'Reg 85'!AJ$10&amp;'Reg 85'!$B103),('DMR 001C TIN &amp; TP'!$E$3:$E$10005&amp;'DMR 001C TIN &amp; TP'!$B$3:$B$10005&amp;'DMR 001C TIN &amp; TP'!$A$3:$A$10005),0),MATCH('Reg 85'!$AG$11,'DMR 001C TIN &amp; TP'!$A$2:$M$2,0))),"")</f>
        <v/>
      </c>
      <c r="AK103" s="6" t="str">
        <f t="array" ref="AK103">_xlfn.IFNA((INDEX('DMR 001C TIN &amp; TP'!$A$3:$M$10005,MATCH(('Reg 85'!$X$6&amp;'Reg 85'!AK$10&amp;'Reg 85'!$B103),('DMR 001C TIN &amp; TP'!$E$3:$E$10005&amp;'DMR 001C TIN &amp; TP'!$B$3:$B$10005&amp;'DMR 001C TIN &amp; TP'!$A$3:$A$10005),0),MATCH('Reg 85'!$AG$11,'DMR 001C TIN &amp; TP'!$A$2:$M$2,0))),"")</f>
        <v/>
      </c>
      <c r="AL103" s="6" t="str">
        <f t="array" ref="AL103">_xlfn.IFNA((INDEX('DMR 001C TIN &amp; TP'!$A$3:$M$10005,MATCH(('Reg 85'!$X$6&amp;'Reg 85'!AL$10&amp;'Reg 85'!$B103),('DMR 001C TIN &amp; TP'!$E$3:$E$10005&amp;'DMR 001C TIN &amp; TP'!$B$3:$B$10005&amp;'DMR 001C TIN &amp; TP'!$A$3:$A$10005),0),MATCH('Reg 85'!$AG$11,'DMR 001C TIN &amp; TP'!$A$2:$M$2,0))),"")</f>
        <v/>
      </c>
      <c r="AM103" s="76"/>
      <c r="AN103" s="6"/>
      <c r="AO103" s="54" t="str">
        <f t="shared" si="41"/>
        <v/>
      </c>
      <c r="AP103" s="77" t="str">
        <f t="shared" si="39"/>
        <v/>
      </c>
      <c r="AQ103" s="47"/>
      <c r="AR103" s="6" t="str">
        <f t="array" ref="AR103">_xlfn.IFNA((INDEX('DMR 001C TIN &amp; TP'!$A$3:$M$10005,MATCH(('Reg 85'!$AQ$6&amp;'Reg 85'!$AQ$10&amp;'Reg 85'!$B103),('DMR 001C TIN &amp; TP'!$E$3:$E$10005&amp;'DMR 001C TIN &amp; TP'!$B$3:$B$10005&amp;'DMR 001C TIN &amp; TP'!$A$3:$A$10005),0),MATCH('Reg 85'!$AR$11,'DMR 001C TIN &amp; TP'!$A$2:$M$2,0))),"")</f>
        <v/>
      </c>
      <c r="AS103" s="6" t="str">
        <f t="array" ref="AS103">_xlfn.IFNA((INDEX('DMR 001C TIN &amp; TP'!$A$3:$M$10005,MATCH(('Reg 85'!$AQ$6&amp;'Reg 85'!$AQ$10&amp;'Reg 85'!$B103),('DMR 001C TIN &amp; TP'!$E$3:$E$10005&amp;'DMR 001C TIN &amp; TP'!$B$3:$B$10005&amp;'DMR 001C TIN &amp; TP'!$A$3:$A$10005),0),MATCH('Reg 85'!$AS$11,'DMR 001C TIN &amp; TP'!$A$2:$M$2,0))),"")</f>
        <v/>
      </c>
      <c r="AT103" s="53" t="str">
        <f t="shared" si="55"/>
        <v/>
      </c>
      <c r="AV103" s="6" t="str">
        <f t="array" ref="AV103">_xlfn.IFNA((INDEX('DMR 001C TIN &amp; TP'!$A$3:$M$10005,MATCH(('Reg 85'!$AQ$6&amp;'Reg 85'!$AU$10&amp;'Reg 85'!$B103),('DMR 001C TIN &amp; TP'!$E$3:$E$10005&amp;'DMR 001C TIN &amp; TP'!$B$3:$B$10005&amp;'DMR 001C TIN &amp; TP'!$A$3:$A$10005),0),MATCH('Reg 85'!$AV$11,'DMR 001C TIN &amp; TP'!$A$2:$M$2,0))),"")</f>
        <v/>
      </c>
      <c r="AW103" s="6" t="str">
        <f t="array" ref="AW103">_xlfn.IFNA((INDEX('DMR 001C TIN &amp; TP'!$A$3:$M$10005,MATCH(('Reg 85'!$AQ$6&amp;'Reg 85'!$AU$10&amp;'Reg 85'!$B103),('DMR 001C TIN &amp; TP'!$E$3:$E$10005&amp;'DMR 001C TIN &amp; TP'!$B$3:$B$10005&amp;'DMR 001C TIN &amp; TP'!$A$3:$A$10005),0),MATCH('Reg 85'!$AW$11,'DMR 001C TIN &amp; TP'!$A$2:$M$2,0))),"")</f>
        <v/>
      </c>
      <c r="AX103" s="53" t="str">
        <f t="shared" si="56"/>
        <v/>
      </c>
      <c r="AY103" s="55" t="str">
        <f t="shared" si="57"/>
        <v/>
      </c>
      <c r="AZ103" s="77" t="str">
        <f t="shared" si="40"/>
        <v/>
      </c>
      <c r="BA103" s="6" t="str">
        <f t="array" ref="BA103">_xlfn.IFNA((INDEX('DMR 001C TIN &amp; TP'!$A$3:$M$10005,MATCH(('Reg 85'!$AQ$6&amp;'Reg 85'!BA$10&amp;'Reg 85'!$B103),('DMR 001C TIN &amp; TP'!$E$3:$E$10005&amp;'DMR 001C TIN &amp; TP'!$B$3:$B$10005&amp;'DMR 001C TIN &amp; TP'!$A$3:$A$10005),0),MATCH('Reg 85'!$AG$11,'DMR 001C TIN &amp; TP'!$A$2:$M$2,0))),"")</f>
        <v/>
      </c>
      <c r="BB103" s="6" t="str">
        <f t="array" ref="BB103">_xlfn.IFNA((INDEX('DMR 001C TIN &amp; TP'!$A$3:$M$10005,MATCH(('Reg 85'!$AQ$6&amp;'Reg 85'!BB$10&amp;'Reg 85'!$B103),('DMR 001C TIN &amp; TP'!$E$3:$E$10005&amp;'DMR 001C TIN &amp; TP'!$B$3:$B$10005&amp;'DMR 001C TIN &amp; TP'!$A$3:$A$10005),0),MATCH('Reg 85'!$AG$11,'DMR 001C TIN &amp; TP'!$A$2:$M$2,0))),"")</f>
        <v/>
      </c>
      <c r="BC103" s="6" t="str">
        <f t="array" ref="BC103">_xlfn.IFNA((INDEX('DMR 001C TIN &amp; TP'!$A$3:$M$10005,MATCH(('Reg 85'!$AQ$6&amp;'Reg 85'!BC$10&amp;'Reg 85'!$B103),('DMR 001C TIN &amp; TP'!$E$3:$E$10005&amp;'DMR 001C TIN &amp; TP'!$B$3:$B$10005&amp;'DMR 001C TIN &amp; TP'!$A$3:$A$10005),0),MATCH('Reg 85'!$AG$11,'DMR 001C TIN &amp; TP'!$A$2:$M$2,0))),"")</f>
        <v/>
      </c>
      <c r="BD103" s="6" t="str">
        <f t="array" ref="BD103">_xlfn.IFNA((INDEX('DMR 001C TIN &amp; TP'!$A$3:$M$10005,MATCH(('Reg 85'!$AQ$6&amp;'Reg 85'!BD$10&amp;'Reg 85'!$B103),('DMR 001C TIN &amp; TP'!$E$3:$E$10005&amp;'DMR 001C TIN &amp; TP'!$B$3:$B$10005&amp;'DMR 001C TIN &amp; TP'!$A$3:$A$10005),0),MATCH('Reg 85'!$AG$11,'DMR 001C TIN &amp; TP'!$A$2:$M$2,0))),"")</f>
        <v/>
      </c>
      <c r="BE103" s="6" t="str">
        <f t="array" ref="BE103">_xlfn.IFNA((INDEX('DMR 001C TIN &amp; TP'!$A$3:$M$10005,MATCH(('Reg 85'!$AQ$6&amp;'Reg 85'!BE$10&amp;'Reg 85'!$B103),('DMR 001C TIN &amp; TP'!$E$3:$E$10005&amp;'DMR 001C TIN &amp; TP'!$B$3:$B$10005&amp;'DMR 001C TIN &amp; TP'!$A$3:$A$10005),0),MATCH('Reg 85'!$AG$11,'DMR 001C TIN &amp; TP'!$A$2:$M$2,0))),"")</f>
        <v/>
      </c>
      <c r="BF103" s="6" t="str">
        <f t="array" ref="BF103">_xlfn.IFNA((INDEX('DMR 001C TIN &amp; TP'!$A$3:$M$10005,MATCH(('Reg 85'!$AQ$6&amp;'Reg 85'!BF$10&amp;'Reg 85'!$B103),('DMR 001C TIN &amp; TP'!$E$3:$E$10005&amp;'DMR 001C TIN &amp; TP'!$B$3:$B$10005&amp;'DMR 001C TIN &amp; TP'!$A$3:$A$10005),0),MATCH('Reg 85'!$AG$11,'DMR 001C TIN &amp; TP'!$A$2:$M$2,0))),"")</f>
        <v/>
      </c>
    </row>
    <row r="104" spans="1:58">
      <c r="A104" s="3" t="str">
        <f t="shared" si="42"/>
        <v>Sun</v>
      </c>
      <c r="B104" s="96">
        <f t="shared" si="58"/>
        <v>43436</v>
      </c>
      <c r="C104" s="96">
        <f t="shared" si="43"/>
        <v>43465</v>
      </c>
      <c r="D104" s="96">
        <f t="shared" si="44"/>
        <v>43435</v>
      </c>
      <c r="E104" s="95">
        <f t="shared" si="45"/>
        <v>31</v>
      </c>
      <c r="F104" s="7">
        <f t="array" ref="F104">_xlfn.IFNA(INDEX('DMR Flows-Effluent'!$A$3:$F$9999,MATCH(($F$10&amp;$B104),('DMR Flows-Effluent'!$B$3:$B$9999&amp;'DMR Flows-Effluent'!$A$3:$A$9999),0),MATCH($F$8,'DMR Flows-Effluent'!$A$2:$F$2,0)),"")</f>
        <v>40.451700000000002</v>
      </c>
      <c r="G104" s="7">
        <f t="array" ref="G104">_xlfn.IFNA(INDEX('DMR Flows-Effluent'!$A$3:$F$9999,MATCH(($G$10&amp;$B104),('DMR Flows-Effluent'!$B$3:$B$9999&amp;'DMR Flows-Effluent'!$A$3:$A$9999),0),MATCH($F$8,'DMR Flows-Effluent'!$A$2:$F$2,0)),"")</f>
        <v>80.045699999999997</v>
      </c>
      <c r="H104" s="7">
        <f t="shared" si="46"/>
        <v>120.4974</v>
      </c>
      <c r="I104" s="45" t="str">
        <f t="shared" si="47"/>
        <v/>
      </c>
      <c r="J104" s="6" t="str">
        <f t="array" ref="J104">_xlfn.IFNA((INDEX('DMR 001C TIN &amp; TP'!$A$3:$M$10005,MATCH(('Reg 85'!$I$6:$Q$6&amp;'Reg 85'!$I$10:$K$10&amp;'Reg 85'!$B104),('DMR 001C TIN &amp; TP'!$E$3:$E$10005&amp;'DMR 001C TIN &amp; TP'!$B$3:$B$10005&amp;'DMR 001C TIN &amp; TP'!$A$3:$A$10005),0),MATCH('Reg 85'!$J$11,'DMR 001C TIN &amp; TP'!$A$2:$M$2,0))),"")</f>
        <v/>
      </c>
      <c r="K104" s="6" t="str">
        <f t="array" ref="K104">_xlfn.IFNA((INDEX('DMR 001C TIN &amp; TP'!$A$3:$M$10005,MATCH(('Reg 85'!$I$6:$Q$6&amp;'Reg 85'!$I$10:$K$10&amp;'Reg 85'!$B104),('DMR 001C TIN &amp; TP'!$E$3:$E$10005&amp;'DMR 001C TIN &amp; TP'!$B$3:$B$10005&amp;'DMR 001C TIN &amp; TP'!$A$3:$A$10005),0),MATCH('Reg 85'!$K$11,'DMR 001C TIN &amp; TP'!$A$2:$M$2,0))),"")</f>
        <v/>
      </c>
      <c r="L104" s="53" t="str">
        <f t="shared" si="59"/>
        <v/>
      </c>
      <c r="M104" s="5" t="str">
        <f t="shared" si="48"/>
        <v/>
      </c>
      <c r="N104" s="6" t="str">
        <f t="array" ref="N104">_xlfn.IFNA((INDEX('DMR 001C TIN &amp; TP'!$A$3:$M$10005,MATCH(('Reg 85'!$I$6:$Q$6&amp;'Reg 85'!$M$10&amp;'Reg 85'!$B104),('DMR 001C TIN &amp; TP'!$E$3:$E$10005&amp;'DMR 001C TIN &amp; TP'!$B$3:$B$10005&amp;'DMR 001C TIN &amp; TP'!$A$3:$A$10005),0),MATCH('Reg 85'!$N$11,'DMR 001C TIN &amp; TP'!$A$2:$M$2,0))),"")</f>
        <v/>
      </c>
      <c r="O104" s="6" t="str">
        <f t="array" ref="O104">_xlfn.IFNA((INDEX('DMR 001C TIN &amp; TP'!$A$3:$M$10005,MATCH(('Reg 85'!$I$6:$Q$6&amp;'Reg 85'!$M$10&amp;'Reg 85'!$B104),('DMR 001C TIN &amp; TP'!$E$3:$E$10005&amp;'DMR 001C TIN &amp; TP'!$B$3:$B$10005&amp;'DMR 001C TIN &amp; TP'!$A$3:$A$10005),0),MATCH('Reg 85'!$O$11,'DMR 001C TIN &amp; TP'!$A$2:$M$2,0))),"")</f>
        <v/>
      </c>
      <c r="P104" s="53" t="str">
        <f t="shared" si="49"/>
        <v/>
      </c>
      <c r="Q104" s="73" t="str">
        <f t="array" ref="Q104">IFERROR(((L104*$F104)+(P104*$G104))/($H104),"")</f>
        <v/>
      </c>
      <c r="R104" s="6" t="str">
        <f t="array" ref="R104">_xlfn.IFNA((INDEX('DMR 001C TIN &amp; TP'!$A$3:$M$10005,MATCH(('Reg 85'!$I$6:$Q$6&amp;'Reg 85'!R$10&amp;'Reg 85'!$B104),('DMR 001C TIN &amp; TP'!$E$3:$E$10005&amp;'DMR 001C TIN &amp; TP'!$B$3:$B$10005&amp;'DMR 001C TIN &amp; TP'!$A$3:$A$10005),0),MATCH('Reg 85'!$O$11,'DMR 001C TIN &amp; TP'!$A$2:$M$2,0))),"")</f>
        <v/>
      </c>
      <c r="S104" s="6" t="str">
        <f t="array" ref="S104">_xlfn.IFNA((INDEX('DMR 001C TIN &amp; TP'!$A$3:$M$10005,MATCH(('Reg 85'!$I$6:$Q$6&amp;'Reg 85'!S$10&amp;'Reg 85'!$B104),('DMR 001C TIN &amp; TP'!$E$3:$E$10005&amp;'DMR 001C TIN &amp; TP'!$B$3:$B$10005&amp;'DMR 001C TIN &amp; TP'!$A$3:$A$10005),0),MATCH('Reg 85'!$O$11,'DMR 001C TIN &amp; TP'!$A$2:$M$2,0))),"")</f>
        <v/>
      </c>
      <c r="T104" s="6" t="str">
        <f t="array" ref="T104">_xlfn.IFNA((INDEX('DMR 001C TIN &amp; TP'!$A$3:$M$10005,MATCH(('Reg 85'!$I$6:$Q$6&amp;'Reg 85'!T$10&amp;'Reg 85'!$B104),('DMR 001C TIN &amp; TP'!$E$3:$E$10005&amp;'DMR 001C TIN &amp; TP'!$B$3:$B$10005&amp;'DMR 001C TIN &amp; TP'!$A$3:$A$10005),0),MATCH('Reg 85'!$O$11,'DMR 001C TIN &amp; TP'!$A$2:$M$2,0))),"")</f>
        <v/>
      </c>
      <c r="U104" s="6" t="str">
        <f t="array" ref="U104">_xlfn.IFNA((INDEX('DMR 001C TIN &amp; TP'!$A$3:$M$10005,MATCH(('Reg 85'!$I$6:$Q$6&amp;'Reg 85'!U$10&amp;'Reg 85'!$B104),('DMR 001C TIN &amp; TP'!$E$3:$E$10005&amp;'DMR 001C TIN &amp; TP'!$B$3:$B$10005&amp;'DMR 001C TIN &amp; TP'!$A$3:$A$10005),0),MATCH('Reg 85'!$O$11,'DMR 001C TIN &amp; TP'!$A$2:$M$2,0))),"")</f>
        <v/>
      </c>
      <c r="V104" s="6" t="str">
        <f t="array" ref="V104">_xlfn.IFNA((INDEX('DMR 001C TIN &amp; TP'!$A$3:$M$10005,MATCH(('Reg 85'!$I$6:$Q$6&amp;'Reg 85'!V$10&amp;'Reg 85'!$B104),('DMR 001C TIN &amp; TP'!$E$3:$E$10005&amp;'DMR 001C TIN &amp; TP'!$B$3:$B$10005&amp;'DMR 001C TIN &amp; TP'!$A$3:$A$10005),0),MATCH('Reg 85'!$O$11,'DMR 001C TIN &amp; TP'!$A$2:$M$2,0))),"")</f>
        <v/>
      </c>
      <c r="W104" s="6" t="str">
        <f t="array" ref="W104">_xlfn.IFNA((INDEX('DMR 001C TIN &amp; TP'!$A$3:$M$10005,MATCH(('Reg 85'!$I$6:$Q$6&amp;'Reg 85'!W$10&amp;'Reg 85'!$B104),('DMR 001C TIN &amp; TP'!$E$3:$E$10005&amp;'DMR 001C TIN &amp; TP'!$B$3:$B$10005&amp;'DMR 001C TIN &amp; TP'!$A$3:$A$10005),0),MATCH('Reg 85'!$O$11,'DMR 001C TIN &amp; TP'!$A$2:$M$2,0))),"")</f>
        <v/>
      </c>
      <c r="X104" s="5" t="str">
        <f t="shared" si="50"/>
        <v/>
      </c>
      <c r="Y104" s="6" t="str">
        <f t="array" ref="Y104">_xlfn.IFNA((INDEX('DMR 001C TIN &amp; TP'!$A$3:$M$10005,MATCH(('Reg 85'!$X$6&amp;'Reg 85'!$X$10&amp;'Reg 85'!$B104),('DMR 001C TIN &amp; TP'!$E$3:$E$10005&amp;'DMR 001C TIN &amp; TP'!$B$3:$B$10005&amp;'DMR 001C TIN &amp; TP'!$A$3:$A$10005),0),MATCH('Reg 85'!$Y$11,'DMR 001C TIN &amp; TP'!$A$2:$M$2,0))),"")</f>
        <v/>
      </c>
      <c r="Z104" s="6" t="str">
        <f t="array" ref="Z104">_xlfn.IFNA((INDEX('DMR 001C TIN &amp; TP'!$A$3:$M$10005,MATCH(('Reg 85'!$X$6&amp;'Reg 85'!$X$10&amp;'Reg 85'!$B104),('DMR 001C TIN &amp; TP'!$E$3:$E$10005&amp;'DMR 001C TIN &amp; TP'!$B$3:$B$10005&amp;'DMR 001C TIN &amp; TP'!$A$3:$A$10005),0),MATCH('Reg 85'!$Z$11,'DMR 001C TIN &amp; TP'!$A$2:$M$2,0))),"")</f>
        <v/>
      </c>
      <c r="AA104" s="53" t="str">
        <f t="shared" si="51"/>
        <v/>
      </c>
      <c r="AB104" s="5" t="str">
        <f t="shared" si="52"/>
        <v/>
      </c>
      <c r="AC104" s="6" t="str">
        <f t="array" ref="AC104">_xlfn.IFNA((INDEX('DMR 001C TIN &amp; TP'!$A$3:$M$10005,MATCH(('Reg 85'!$X$6&amp;'Reg 85'!$AB$10&amp;'Reg 85'!$B104),('DMR 001C TIN &amp; TP'!$E$3:$E$10005&amp;'DMR 001C TIN &amp; TP'!$B$3:$B$10005&amp;'DMR 001C TIN &amp; TP'!$A$3:$A$10005),0),MATCH('Reg 85'!$AC$11,'DMR 001C TIN &amp; TP'!$A$2:$M$2,0))),"")</f>
        <v/>
      </c>
      <c r="AD104" s="6" t="str">
        <f t="array" ref="AD104">_xlfn.IFNA((INDEX('DMR 001C TIN &amp; TP'!$A$3:$M$10005,MATCH(('Reg 85'!$X$6&amp;'Reg 85'!$AB$10&amp;'Reg 85'!$B104),('DMR 001C TIN &amp; TP'!$E$3:$E$10005&amp;'DMR 001C TIN &amp; TP'!$B$3:$B$10005&amp;'DMR 001C TIN &amp; TP'!$A$3:$A$10005),0),MATCH('Reg 85'!$AD$11,'DMR 001C TIN &amp; TP'!$A$2:$M$2,0))),"")</f>
        <v/>
      </c>
      <c r="AE104" s="53" t="str">
        <f t="shared" si="53"/>
        <v/>
      </c>
      <c r="AF104" s="7" t="str">
        <f t="shared" si="54"/>
        <v/>
      </c>
      <c r="AG104" s="6" t="str">
        <f t="array" ref="AG104">_xlfn.IFNA((INDEX('DMR 001C TIN &amp; TP'!$A$3:$M$10005,MATCH(('Reg 85'!$X$6&amp;'Reg 85'!AG$10&amp;'Reg 85'!$B104),('DMR 001C TIN &amp; TP'!$E$3:$E$10005&amp;'DMR 001C TIN &amp; TP'!$B$3:$B$10005&amp;'DMR 001C TIN &amp; TP'!$A$3:$A$10005),0),MATCH('Reg 85'!$AG$11,'DMR 001C TIN &amp; TP'!$A$2:$M$2,0))),"")</f>
        <v/>
      </c>
      <c r="AH104" s="6" t="str">
        <f t="array" ref="AH104">_xlfn.IFNA((INDEX('DMR 001C TIN &amp; TP'!$A$3:$M$10005,MATCH(('Reg 85'!$X$6&amp;'Reg 85'!AH$10&amp;'Reg 85'!$B104),('DMR 001C TIN &amp; TP'!$E$3:$E$10005&amp;'DMR 001C TIN &amp; TP'!$B$3:$B$10005&amp;'DMR 001C TIN &amp; TP'!$A$3:$A$10005),0),MATCH('Reg 85'!$AG$11,'DMR 001C TIN &amp; TP'!$A$2:$M$2,0))),"")</f>
        <v/>
      </c>
      <c r="AI104" s="6" t="str">
        <f t="array" ref="AI104">_xlfn.IFNA((INDEX('DMR 001C TIN &amp; TP'!$A$3:$M$10005,MATCH(('Reg 85'!$X$6&amp;'Reg 85'!AI$10&amp;'Reg 85'!$B104),('DMR 001C TIN &amp; TP'!$E$3:$E$10005&amp;'DMR 001C TIN &amp; TP'!$B$3:$B$10005&amp;'DMR 001C TIN &amp; TP'!$A$3:$A$10005),0),MATCH('Reg 85'!$AG$11,'DMR 001C TIN &amp; TP'!$A$2:$M$2,0))),"")</f>
        <v/>
      </c>
      <c r="AJ104" s="6" t="str">
        <f t="array" ref="AJ104">_xlfn.IFNA((INDEX('DMR 001C TIN &amp; TP'!$A$3:$M$10005,MATCH(('Reg 85'!$X$6&amp;'Reg 85'!AJ$10&amp;'Reg 85'!$B104),('DMR 001C TIN &amp; TP'!$E$3:$E$10005&amp;'DMR 001C TIN &amp; TP'!$B$3:$B$10005&amp;'DMR 001C TIN &amp; TP'!$A$3:$A$10005),0),MATCH('Reg 85'!$AG$11,'DMR 001C TIN &amp; TP'!$A$2:$M$2,0))),"")</f>
        <v/>
      </c>
      <c r="AK104" s="6" t="str">
        <f t="array" ref="AK104">_xlfn.IFNA((INDEX('DMR 001C TIN &amp; TP'!$A$3:$M$10005,MATCH(('Reg 85'!$X$6&amp;'Reg 85'!AK$10&amp;'Reg 85'!$B104),('DMR 001C TIN &amp; TP'!$E$3:$E$10005&amp;'DMR 001C TIN &amp; TP'!$B$3:$B$10005&amp;'DMR 001C TIN &amp; TP'!$A$3:$A$10005),0),MATCH('Reg 85'!$AG$11,'DMR 001C TIN &amp; TP'!$A$2:$M$2,0))),"")</f>
        <v/>
      </c>
      <c r="AL104" s="6" t="str">
        <f t="array" ref="AL104">_xlfn.IFNA((INDEX('DMR 001C TIN &amp; TP'!$A$3:$M$10005,MATCH(('Reg 85'!$X$6&amp;'Reg 85'!AL$10&amp;'Reg 85'!$B104),('DMR 001C TIN &amp; TP'!$E$3:$E$10005&amp;'DMR 001C TIN &amp; TP'!$B$3:$B$10005&amp;'DMR 001C TIN &amp; TP'!$A$3:$A$10005),0),MATCH('Reg 85'!$AG$11,'DMR 001C TIN &amp; TP'!$A$2:$M$2,0))),"")</f>
        <v/>
      </c>
      <c r="AM104" s="76"/>
      <c r="AN104" s="6"/>
      <c r="AO104" s="54" t="str">
        <f t="shared" si="41"/>
        <v/>
      </c>
      <c r="AP104" s="77" t="str">
        <f t="shared" si="39"/>
        <v/>
      </c>
      <c r="AQ104" s="47"/>
      <c r="AR104" s="6" t="str">
        <f t="array" ref="AR104">_xlfn.IFNA((INDEX('DMR 001C TIN &amp; TP'!$A$3:$M$10005,MATCH(('Reg 85'!$AQ$6&amp;'Reg 85'!$AQ$10&amp;'Reg 85'!$B104),('DMR 001C TIN &amp; TP'!$E$3:$E$10005&amp;'DMR 001C TIN &amp; TP'!$B$3:$B$10005&amp;'DMR 001C TIN &amp; TP'!$A$3:$A$10005),0),MATCH('Reg 85'!$AR$11,'DMR 001C TIN &amp; TP'!$A$2:$M$2,0))),"")</f>
        <v>0.03</v>
      </c>
      <c r="AS104" s="6">
        <f t="array" ref="AS104">_xlfn.IFNA((INDEX('DMR 001C TIN &amp; TP'!$A$3:$M$10005,MATCH(('Reg 85'!$AQ$6&amp;'Reg 85'!$AQ$10&amp;'Reg 85'!$B104),('DMR 001C TIN &amp; TP'!$E$3:$E$10005&amp;'DMR 001C TIN &amp; TP'!$B$3:$B$10005&amp;'DMR 001C TIN &amp; TP'!$A$3:$A$10005),0),MATCH('Reg 85'!$AS$11,'DMR 001C TIN &amp; TP'!$A$2:$M$2,0))),"")</f>
        <v>0.28000000000000003</v>
      </c>
      <c r="AT104" s="53">
        <f t="shared" si="55"/>
        <v>0.28000000000000003</v>
      </c>
      <c r="AV104" s="6" t="str">
        <f t="array" ref="AV104">_xlfn.IFNA((INDEX('DMR 001C TIN &amp; TP'!$A$3:$M$10005,MATCH(('Reg 85'!$AQ$6&amp;'Reg 85'!$AU$10&amp;'Reg 85'!$B104),('DMR 001C TIN &amp; TP'!$E$3:$E$10005&amp;'DMR 001C TIN &amp; TP'!$B$3:$B$10005&amp;'DMR 001C TIN &amp; TP'!$A$3:$A$10005),0),MATCH('Reg 85'!$AV$11,'DMR 001C TIN &amp; TP'!$A$2:$M$2,0))),"")</f>
        <v>0.03</v>
      </c>
      <c r="AW104" s="6">
        <f t="array" ref="AW104">_xlfn.IFNA((INDEX('DMR 001C TIN &amp; TP'!$A$3:$M$10005,MATCH(('Reg 85'!$AQ$6&amp;'Reg 85'!$AU$10&amp;'Reg 85'!$B104),('DMR 001C TIN &amp; TP'!$E$3:$E$10005&amp;'DMR 001C TIN &amp; TP'!$B$3:$B$10005&amp;'DMR 001C TIN &amp; TP'!$A$3:$A$10005),0),MATCH('Reg 85'!$AW$11,'DMR 001C TIN &amp; TP'!$A$2:$M$2,0))),"")</f>
        <v>4.95</v>
      </c>
      <c r="AX104" s="53">
        <f t="shared" si="56"/>
        <v>4.95</v>
      </c>
      <c r="AY104" s="55">
        <f t="shared" si="57"/>
        <v>3.3822529863714905</v>
      </c>
      <c r="AZ104" s="77" t="str">
        <f t="shared" si="40"/>
        <v/>
      </c>
      <c r="BA104" s="6" t="str">
        <f t="array" ref="BA104">_xlfn.IFNA((INDEX('DMR 001C TIN &amp; TP'!$A$3:$M$10005,MATCH(('Reg 85'!$AQ$6&amp;'Reg 85'!BA$10&amp;'Reg 85'!$B104),('DMR 001C TIN &amp; TP'!$E$3:$E$10005&amp;'DMR 001C TIN &amp; TP'!$B$3:$B$10005&amp;'DMR 001C TIN &amp; TP'!$A$3:$A$10005),0),MATCH('Reg 85'!$AG$11,'DMR 001C TIN &amp; TP'!$A$2:$M$2,0))),"")</f>
        <v/>
      </c>
      <c r="BB104" s="6" t="str">
        <f t="array" ref="BB104">_xlfn.IFNA((INDEX('DMR 001C TIN &amp; TP'!$A$3:$M$10005,MATCH(('Reg 85'!$AQ$6&amp;'Reg 85'!BB$10&amp;'Reg 85'!$B104),('DMR 001C TIN &amp; TP'!$E$3:$E$10005&amp;'DMR 001C TIN &amp; TP'!$B$3:$B$10005&amp;'DMR 001C TIN &amp; TP'!$A$3:$A$10005),0),MATCH('Reg 85'!$AG$11,'DMR 001C TIN &amp; TP'!$A$2:$M$2,0))),"")</f>
        <v/>
      </c>
      <c r="BC104" s="6" t="str">
        <f t="array" ref="BC104">_xlfn.IFNA((INDEX('DMR 001C TIN &amp; TP'!$A$3:$M$10005,MATCH(('Reg 85'!$AQ$6&amp;'Reg 85'!BC$10&amp;'Reg 85'!$B104),('DMR 001C TIN &amp; TP'!$E$3:$E$10005&amp;'DMR 001C TIN &amp; TP'!$B$3:$B$10005&amp;'DMR 001C TIN &amp; TP'!$A$3:$A$10005),0),MATCH('Reg 85'!$AG$11,'DMR 001C TIN &amp; TP'!$A$2:$M$2,0))),"")</f>
        <v/>
      </c>
      <c r="BD104" s="6" t="str">
        <f t="array" ref="BD104">_xlfn.IFNA((INDEX('DMR 001C TIN &amp; TP'!$A$3:$M$10005,MATCH(('Reg 85'!$AQ$6&amp;'Reg 85'!BD$10&amp;'Reg 85'!$B104),('DMR 001C TIN &amp; TP'!$E$3:$E$10005&amp;'DMR 001C TIN &amp; TP'!$B$3:$B$10005&amp;'DMR 001C TIN &amp; TP'!$A$3:$A$10005),0),MATCH('Reg 85'!$AG$11,'DMR 001C TIN &amp; TP'!$A$2:$M$2,0))),"")</f>
        <v/>
      </c>
      <c r="BE104" s="6" t="str">
        <f t="array" ref="BE104">_xlfn.IFNA((INDEX('DMR 001C TIN &amp; TP'!$A$3:$M$10005,MATCH(('Reg 85'!$AQ$6&amp;'Reg 85'!BE$10&amp;'Reg 85'!$B104),('DMR 001C TIN &amp; TP'!$E$3:$E$10005&amp;'DMR 001C TIN &amp; TP'!$B$3:$B$10005&amp;'DMR 001C TIN &amp; TP'!$A$3:$A$10005),0),MATCH('Reg 85'!$AG$11,'DMR 001C TIN &amp; TP'!$A$2:$M$2,0))),"")</f>
        <v/>
      </c>
      <c r="BF104" s="6" t="str">
        <f t="array" ref="BF104">_xlfn.IFNA((INDEX('DMR 001C TIN &amp; TP'!$A$3:$M$10005,MATCH(('Reg 85'!$AQ$6&amp;'Reg 85'!BF$10&amp;'Reg 85'!$B104),('DMR 001C TIN &amp; TP'!$E$3:$E$10005&amp;'DMR 001C TIN &amp; TP'!$B$3:$B$10005&amp;'DMR 001C TIN &amp; TP'!$A$3:$A$10005),0),MATCH('Reg 85'!$AG$11,'DMR 001C TIN &amp; TP'!$A$2:$M$2,0))),"")</f>
        <v/>
      </c>
    </row>
    <row r="105" spans="1:58">
      <c r="A105" s="3" t="str">
        <f t="shared" si="42"/>
        <v>Mon</v>
      </c>
      <c r="B105" s="96">
        <f t="shared" si="58"/>
        <v>43437</v>
      </c>
      <c r="C105" s="96">
        <f t="shared" si="43"/>
        <v>43465</v>
      </c>
      <c r="D105" s="96">
        <f t="shared" si="44"/>
        <v>43435</v>
      </c>
      <c r="E105" s="95">
        <f t="shared" si="45"/>
        <v>31</v>
      </c>
      <c r="F105" s="7">
        <f t="array" ref="F105">_xlfn.IFNA(INDEX('DMR Flows-Effluent'!$A$3:$F$9999,MATCH(($F$10&amp;$B105),('DMR Flows-Effluent'!$B$3:$B$9999&amp;'DMR Flows-Effluent'!$A$3:$A$9999),0),MATCH($F$8,'DMR Flows-Effluent'!$A$2:$F$2,0)),"")</f>
        <v>41.9788</v>
      </c>
      <c r="G105" s="7">
        <f t="array" ref="G105">_xlfn.IFNA(INDEX('DMR Flows-Effluent'!$A$3:$F$9999,MATCH(($G$10&amp;$B105),('DMR Flows-Effluent'!$B$3:$B$9999&amp;'DMR Flows-Effluent'!$A$3:$A$9999),0),MATCH($F$8,'DMR Flows-Effluent'!$A$2:$F$2,0)),"")</f>
        <v>76.822100000000006</v>
      </c>
      <c r="H105" s="7">
        <f t="shared" si="46"/>
        <v>118.80090000000001</v>
      </c>
      <c r="I105" s="45" t="str">
        <f t="shared" si="47"/>
        <v/>
      </c>
      <c r="J105" s="6" t="str">
        <f t="array" ref="J105">_xlfn.IFNA((INDEX('DMR 001C TIN &amp; TP'!$A$3:$M$10005,MATCH(('Reg 85'!$I$6:$Q$6&amp;'Reg 85'!$I$10:$K$10&amp;'Reg 85'!$B105),('DMR 001C TIN &amp; TP'!$E$3:$E$10005&amp;'DMR 001C TIN &amp; TP'!$B$3:$B$10005&amp;'DMR 001C TIN &amp; TP'!$A$3:$A$10005),0),MATCH('Reg 85'!$J$11,'DMR 001C TIN &amp; TP'!$A$2:$M$2,0))),"")</f>
        <v>0.15</v>
      </c>
      <c r="K105" s="6">
        <f t="array" ref="K105">_xlfn.IFNA((INDEX('DMR 001C TIN &amp; TP'!$A$3:$M$10005,MATCH(('Reg 85'!$I$6:$Q$6&amp;'Reg 85'!$I$10:$K$10&amp;'Reg 85'!$B105),('DMR 001C TIN &amp; TP'!$E$3:$E$10005&amp;'DMR 001C TIN &amp; TP'!$B$3:$B$10005&amp;'DMR 001C TIN &amp; TP'!$A$3:$A$10005),0),MATCH('Reg 85'!$K$11,'DMR 001C TIN &amp; TP'!$A$2:$M$2,0))),"")</f>
        <v>1.71</v>
      </c>
      <c r="L105" s="53">
        <f t="shared" si="59"/>
        <v>1.71</v>
      </c>
      <c r="M105" s="5" t="str">
        <f t="shared" si="48"/>
        <v/>
      </c>
      <c r="N105" s="6" t="str">
        <f t="array" ref="N105">_xlfn.IFNA((INDEX('DMR 001C TIN &amp; TP'!$A$3:$M$10005,MATCH(('Reg 85'!$I$6:$Q$6&amp;'Reg 85'!$M$10&amp;'Reg 85'!$B105),('DMR 001C TIN &amp; TP'!$E$3:$E$10005&amp;'DMR 001C TIN &amp; TP'!$B$3:$B$10005&amp;'DMR 001C TIN &amp; TP'!$A$3:$A$10005),0),MATCH('Reg 85'!$N$11,'DMR 001C TIN &amp; TP'!$A$2:$M$2,0))),"")</f>
        <v>0.15</v>
      </c>
      <c r="O105" s="6">
        <f t="array" ref="O105">_xlfn.IFNA((INDEX('DMR 001C TIN &amp; TP'!$A$3:$M$10005,MATCH(('Reg 85'!$I$6:$Q$6&amp;'Reg 85'!$M$10&amp;'Reg 85'!$B105),('DMR 001C TIN &amp; TP'!$E$3:$E$10005&amp;'DMR 001C TIN &amp; TP'!$B$3:$B$10005&amp;'DMR 001C TIN &amp; TP'!$A$3:$A$10005),0),MATCH('Reg 85'!$O$11,'DMR 001C TIN &amp; TP'!$A$2:$M$2,0))),"")</f>
        <v>0.72</v>
      </c>
      <c r="P105" s="53">
        <f t="shared" si="49"/>
        <v>0.72</v>
      </c>
      <c r="Q105" s="73">
        <f t="array" ref="Q105">IFERROR(((L105*$F105)+(P105*$G105))/($H105),"")</f>
        <v>1.0698206831766426</v>
      </c>
      <c r="R105" s="6" t="str">
        <f t="array" ref="R105">_xlfn.IFNA((INDEX('DMR 001C TIN &amp; TP'!$A$3:$M$10005,MATCH(('Reg 85'!$I$6:$Q$6&amp;'Reg 85'!R$10&amp;'Reg 85'!$B105),('DMR 001C TIN &amp; TP'!$E$3:$E$10005&amp;'DMR 001C TIN &amp; TP'!$B$3:$B$10005&amp;'DMR 001C TIN &amp; TP'!$A$3:$A$10005),0),MATCH('Reg 85'!$O$11,'DMR 001C TIN &amp; TP'!$A$2:$M$2,0))),"")</f>
        <v/>
      </c>
      <c r="S105" s="6" t="str">
        <f t="array" ref="S105">_xlfn.IFNA((INDEX('DMR 001C TIN &amp; TP'!$A$3:$M$10005,MATCH(('Reg 85'!$I$6:$Q$6&amp;'Reg 85'!S$10&amp;'Reg 85'!$B105),('DMR 001C TIN &amp; TP'!$E$3:$E$10005&amp;'DMR 001C TIN &amp; TP'!$B$3:$B$10005&amp;'DMR 001C TIN &amp; TP'!$A$3:$A$10005),0),MATCH('Reg 85'!$O$11,'DMR 001C TIN &amp; TP'!$A$2:$M$2,0))),"")</f>
        <v/>
      </c>
      <c r="T105" s="6" t="str">
        <f t="array" ref="T105">_xlfn.IFNA((INDEX('DMR 001C TIN &amp; TP'!$A$3:$M$10005,MATCH(('Reg 85'!$I$6:$Q$6&amp;'Reg 85'!T$10&amp;'Reg 85'!$B105),('DMR 001C TIN &amp; TP'!$E$3:$E$10005&amp;'DMR 001C TIN &amp; TP'!$B$3:$B$10005&amp;'DMR 001C TIN &amp; TP'!$A$3:$A$10005),0),MATCH('Reg 85'!$O$11,'DMR 001C TIN &amp; TP'!$A$2:$M$2,0))),"")</f>
        <v/>
      </c>
      <c r="U105" s="6" t="str">
        <f t="array" ref="U105">_xlfn.IFNA((INDEX('DMR 001C TIN &amp; TP'!$A$3:$M$10005,MATCH(('Reg 85'!$I$6:$Q$6&amp;'Reg 85'!U$10&amp;'Reg 85'!$B105),('DMR 001C TIN &amp; TP'!$E$3:$E$10005&amp;'DMR 001C TIN &amp; TP'!$B$3:$B$10005&amp;'DMR 001C TIN &amp; TP'!$A$3:$A$10005),0),MATCH('Reg 85'!$O$11,'DMR 001C TIN &amp; TP'!$A$2:$M$2,0))),"")</f>
        <v/>
      </c>
      <c r="V105" s="6" t="str">
        <f t="array" ref="V105">_xlfn.IFNA((INDEX('DMR 001C TIN &amp; TP'!$A$3:$M$10005,MATCH(('Reg 85'!$I$6:$Q$6&amp;'Reg 85'!V$10&amp;'Reg 85'!$B105),('DMR 001C TIN &amp; TP'!$E$3:$E$10005&amp;'DMR 001C TIN &amp; TP'!$B$3:$B$10005&amp;'DMR 001C TIN &amp; TP'!$A$3:$A$10005),0),MATCH('Reg 85'!$O$11,'DMR 001C TIN &amp; TP'!$A$2:$M$2,0))),"")</f>
        <v/>
      </c>
      <c r="W105" s="6" t="str">
        <f t="array" ref="W105">_xlfn.IFNA((INDEX('DMR 001C TIN &amp; TP'!$A$3:$M$10005,MATCH(('Reg 85'!$I$6:$Q$6&amp;'Reg 85'!W$10&amp;'Reg 85'!$B105),('DMR 001C TIN &amp; TP'!$E$3:$E$10005&amp;'DMR 001C TIN &amp; TP'!$B$3:$B$10005&amp;'DMR 001C TIN &amp; TP'!$A$3:$A$10005),0),MATCH('Reg 85'!$O$11,'DMR 001C TIN &amp; TP'!$A$2:$M$2,0))),"")</f>
        <v/>
      </c>
      <c r="X105" s="5" t="str">
        <f t="shared" si="50"/>
        <v/>
      </c>
      <c r="Y105" s="6" t="str">
        <f t="array" ref="Y105">_xlfn.IFNA((INDEX('DMR 001C TIN &amp; TP'!$A$3:$M$10005,MATCH(('Reg 85'!$X$6&amp;'Reg 85'!$X$10&amp;'Reg 85'!$B105),('DMR 001C TIN &amp; TP'!$E$3:$E$10005&amp;'DMR 001C TIN &amp; TP'!$B$3:$B$10005&amp;'DMR 001C TIN &amp; TP'!$A$3:$A$10005),0),MATCH('Reg 85'!$Y$11,'DMR 001C TIN &amp; TP'!$A$2:$M$2,0))),"")</f>
        <v>0.06</v>
      </c>
      <c r="Z105" s="6">
        <f t="array" ref="Z105">_xlfn.IFNA((INDEX('DMR 001C TIN &amp; TP'!$A$3:$M$10005,MATCH(('Reg 85'!$X$6&amp;'Reg 85'!$X$10&amp;'Reg 85'!$B105),('DMR 001C TIN &amp; TP'!$E$3:$E$10005&amp;'DMR 001C TIN &amp; TP'!$B$3:$B$10005&amp;'DMR 001C TIN &amp; TP'!$A$3:$A$10005),0),MATCH('Reg 85'!$Z$11,'DMR 001C TIN &amp; TP'!$A$2:$M$2,0))),"")</f>
        <v>4.62</v>
      </c>
      <c r="AA105" s="53">
        <f t="shared" si="51"/>
        <v>4.62</v>
      </c>
      <c r="AB105" s="5" t="str">
        <f t="shared" si="52"/>
        <v/>
      </c>
      <c r="AC105" s="6" t="str">
        <f t="array" ref="AC105">_xlfn.IFNA((INDEX('DMR 001C TIN &amp; TP'!$A$3:$M$10005,MATCH(('Reg 85'!$X$6&amp;'Reg 85'!$AB$10&amp;'Reg 85'!$B105),('DMR 001C TIN &amp; TP'!$E$3:$E$10005&amp;'DMR 001C TIN &amp; TP'!$B$3:$B$10005&amp;'DMR 001C TIN &amp; TP'!$A$3:$A$10005),0),MATCH('Reg 85'!$AC$11,'DMR 001C TIN &amp; TP'!$A$2:$M$2,0))),"")</f>
        <v>0.06</v>
      </c>
      <c r="AD105" s="6">
        <f t="array" ref="AD105">_xlfn.IFNA((INDEX('DMR 001C TIN &amp; TP'!$A$3:$M$10005,MATCH(('Reg 85'!$X$6&amp;'Reg 85'!$AB$10&amp;'Reg 85'!$B105),('DMR 001C TIN &amp; TP'!$E$3:$E$10005&amp;'DMR 001C TIN &amp; TP'!$B$3:$B$10005&amp;'DMR 001C TIN &amp; TP'!$A$3:$A$10005),0),MATCH('Reg 85'!$AD$11,'DMR 001C TIN &amp; TP'!$A$2:$M$2,0))),"")</f>
        <v>5.5</v>
      </c>
      <c r="AE105" s="53">
        <f t="shared" si="53"/>
        <v>5.5</v>
      </c>
      <c r="AF105" s="7">
        <f t="shared" si="54"/>
        <v>5.1890482816207619</v>
      </c>
      <c r="AG105" s="6" t="str">
        <f t="array" ref="AG105">_xlfn.IFNA((INDEX('DMR 001C TIN &amp; TP'!$A$3:$M$10005,MATCH(('Reg 85'!$X$6&amp;'Reg 85'!AG$10&amp;'Reg 85'!$B105),('DMR 001C TIN &amp; TP'!$E$3:$E$10005&amp;'DMR 001C TIN &amp; TP'!$B$3:$B$10005&amp;'DMR 001C TIN &amp; TP'!$A$3:$A$10005),0),MATCH('Reg 85'!$AG$11,'DMR 001C TIN &amp; TP'!$A$2:$M$2,0))),"")</f>
        <v/>
      </c>
      <c r="AH105" s="6" t="str">
        <f t="array" ref="AH105">_xlfn.IFNA((INDEX('DMR 001C TIN &amp; TP'!$A$3:$M$10005,MATCH(('Reg 85'!$X$6&amp;'Reg 85'!AH$10&amp;'Reg 85'!$B105),('DMR 001C TIN &amp; TP'!$E$3:$E$10005&amp;'DMR 001C TIN &amp; TP'!$B$3:$B$10005&amp;'DMR 001C TIN &amp; TP'!$A$3:$A$10005),0),MATCH('Reg 85'!$AG$11,'DMR 001C TIN &amp; TP'!$A$2:$M$2,0))),"")</f>
        <v/>
      </c>
      <c r="AI105" s="6" t="str">
        <f t="array" ref="AI105">_xlfn.IFNA((INDEX('DMR 001C TIN &amp; TP'!$A$3:$M$10005,MATCH(('Reg 85'!$X$6&amp;'Reg 85'!AI$10&amp;'Reg 85'!$B105),('DMR 001C TIN &amp; TP'!$E$3:$E$10005&amp;'DMR 001C TIN &amp; TP'!$B$3:$B$10005&amp;'DMR 001C TIN &amp; TP'!$A$3:$A$10005),0),MATCH('Reg 85'!$AG$11,'DMR 001C TIN &amp; TP'!$A$2:$M$2,0))),"")</f>
        <v/>
      </c>
      <c r="AJ105" s="6" t="str">
        <f t="array" ref="AJ105">_xlfn.IFNA((INDEX('DMR 001C TIN &amp; TP'!$A$3:$M$10005,MATCH(('Reg 85'!$X$6&amp;'Reg 85'!AJ$10&amp;'Reg 85'!$B105),('DMR 001C TIN &amp; TP'!$E$3:$E$10005&amp;'DMR 001C TIN &amp; TP'!$B$3:$B$10005&amp;'DMR 001C TIN &amp; TP'!$A$3:$A$10005),0),MATCH('Reg 85'!$AG$11,'DMR 001C TIN &amp; TP'!$A$2:$M$2,0))),"")</f>
        <v/>
      </c>
      <c r="AK105" s="6" t="str">
        <f t="array" ref="AK105">_xlfn.IFNA((INDEX('DMR 001C TIN &amp; TP'!$A$3:$M$10005,MATCH(('Reg 85'!$X$6&amp;'Reg 85'!AK$10&amp;'Reg 85'!$B105),('DMR 001C TIN &amp; TP'!$E$3:$E$10005&amp;'DMR 001C TIN &amp; TP'!$B$3:$B$10005&amp;'DMR 001C TIN &amp; TP'!$A$3:$A$10005),0),MATCH('Reg 85'!$AG$11,'DMR 001C TIN &amp; TP'!$A$2:$M$2,0))),"")</f>
        <v/>
      </c>
      <c r="AL105" s="6" t="str">
        <f t="array" ref="AL105">_xlfn.IFNA((INDEX('DMR 001C TIN &amp; TP'!$A$3:$M$10005,MATCH(('Reg 85'!$X$6&amp;'Reg 85'!AL$10&amp;'Reg 85'!$B105),('DMR 001C TIN &amp; TP'!$E$3:$E$10005&amp;'DMR 001C TIN &amp; TP'!$B$3:$B$10005&amp;'DMR 001C TIN &amp; TP'!$A$3:$A$10005),0),MATCH('Reg 85'!$AG$11,'DMR 001C TIN &amp; TP'!$A$2:$M$2,0))),"")</f>
        <v/>
      </c>
      <c r="AM105" s="76"/>
      <c r="AN105" s="6"/>
      <c r="AO105" s="54">
        <f t="shared" si="41"/>
        <v>6.2588689647974043</v>
      </c>
      <c r="AP105" s="77" t="str">
        <f t="shared" si="39"/>
        <v/>
      </c>
      <c r="AQ105" s="47"/>
      <c r="AR105" s="6" t="str">
        <f t="array" ref="AR105">_xlfn.IFNA((INDEX('DMR 001C TIN &amp; TP'!$A$3:$M$10005,MATCH(('Reg 85'!$AQ$6&amp;'Reg 85'!$AQ$10&amp;'Reg 85'!$B105),('DMR 001C TIN &amp; TP'!$E$3:$E$10005&amp;'DMR 001C TIN &amp; TP'!$B$3:$B$10005&amp;'DMR 001C TIN &amp; TP'!$A$3:$A$10005),0),MATCH('Reg 85'!$AR$11,'DMR 001C TIN &amp; TP'!$A$2:$M$2,0))),"")</f>
        <v/>
      </c>
      <c r="AS105" s="6" t="str">
        <f t="array" ref="AS105">_xlfn.IFNA((INDEX('DMR 001C TIN &amp; TP'!$A$3:$M$10005,MATCH(('Reg 85'!$AQ$6&amp;'Reg 85'!$AQ$10&amp;'Reg 85'!$B105),('DMR 001C TIN &amp; TP'!$E$3:$E$10005&amp;'DMR 001C TIN &amp; TP'!$B$3:$B$10005&amp;'DMR 001C TIN &amp; TP'!$A$3:$A$10005),0),MATCH('Reg 85'!$AS$11,'DMR 001C TIN &amp; TP'!$A$2:$M$2,0))),"")</f>
        <v/>
      </c>
      <c r="AT105" s="53" t="str">
        <f t="shared" si="55"/>
        <v/>
      </c>
      <c r="AV105" s="6" t="str">
        <f t="array" ref="AV105">_xlfn.IFNA((INDEX('DMR 001C TIN &amp; TP'!$A$3:$M$10005,MATCH(('Reg 85'!$AQ$6&amp;'Reg 85'!$AU$10&amp;'Reg 85'!$B105),('DMR 001C TIN &amp; TP'!$E$3:$E$10005&amp;'DMR 001C TIN &amp; TP'!$B$3:$B$10005&amp;'DMR 001C TIN &amp; TP'!$A$3:$A$10005),0),MATCH('Reg 85'!$AV$11,'DMR 001C TIN &amp; TP'!$A$2:$M$2,0))),"")</f>
        <v/>
      </c>
      <c r="AW105" s="6" t="str">
        <f t="array" ref="AW105">_xlfn.IFNA((INDEX('DMR 001C TIN &amp; TP'!$A$3:$M$10005,MATCH(('Reg 85'!$AQ$6&amp;'Reg 85'!$AU$10&amp;'Reg 85'!$B105),('DMR 001C TIN &amp; TP'!$E$3:$E$10005&amp;'DMR 001C TIN &amp; TP'!$B$3:$B$10005&amp;'DMR 001C TIN &amp; TP'!$A$3:$A$10005),0),MATCH('Reg 85'!$AW$11,'DMR 001C TIN &amp; TP'!$A$2:$M$2,0))),"")</f>
        <v/>
      </c>
      <c r="AX105" s="53" t="str">
        <f t="shared" si="56"/>
        <v/>
      </c>
      <c r="AY105" s="55" t="str">
        <f t="shared" si="57"/>
        <v/>
      </c>
      <c r="AZ105" s="77" t="str">
        <f t="shared" si="40"/>
        <v/>
      </c>
      <c r="BA105" s="6" t="str">
        <f t="array" ref="BA105">_xlfn.IFNA((INDEX('DMR 001C TIN &amp; TP'!$A$3:$M$10005,MATCH(('Reg 85'!$AQ$6&amp;'Reg 85'!BA$10&amp;'Reg 85'!$B105),('DMR 001C TIN &amp; TP'!$E$3:$E$10005&amp;'DMR 001C TIN &amp; TP'!$B$3:$B$10005&amp;'DMR 001C TIN &amp; TP'!$A$3:$A$10005),0),MATCH('Reg 85'!$AG$11,'DMR 001C TIN &amp; TP'!$A$2:$M$2,0))),"")</f>
        <v/>
      </c>
      <c r="BB105" s="6" t="str">
        <f t="array" ref="BB105">_xlfn.IFNA((INDEX('DMR 001C TIN &amp; TP'!$A$3:$M$10005,MATCH(('Reg 85'!$AQ$6&amp;'Reg 85'!BB$10&amp;'Reg 85'!$B105),('DMR 001C TIN &amp; TP'!$E$3:$E$10005&amp;'DMR 001C TIN &amp; TP'!$B$3:$B$10005&amp;'DMR 001C TIN &amp; TP'!$A$3:$A$10005),0),MATCH('Reg 85'!$AG$11,'DMR 001C TIN &amp; TP'!$A$2:$M$2,0))),"")</f>
        <v/>
      </c>
      <c r="BC105" s="6" t="str">
        <f t="array" ref="BC105">_xlfn.IFNA((INDEX('DMR 001C TIN &amp; TP'!$A$3:$M$10005,MATCH(('Reg 85'!$AQ$6&amp;'Reg 85'!BC$10&amp;'Reg 85'!$B105),('DMR 001C TIN &amp; TP'!$E$3:$E$10005&amp;'DMR 001C TIN &amp; TP'!$B$3:$B$10005&amp;'DMR 001C TIN &amp; TP'!$A$3:$A$10005),0),MATCH('Reg 85'!$AG$11,'DMR 001C TIN &amp; TP'!$A$2:$M$2,0))),"")</f>
        <v/>
      </c>
      <c r="BD105" s="6" t="str">
        <f t="array" ref="BD105">_xlfn.IFNA((INDEX('DMR 001C TIN &amp; TP'!$A$3:$M$10005,MATCH(('Reg 85'!$AQ$6&amp;'Reg 85'!BD$10&amp;'Reg 85'!$B105),('DMR 001C TIN &amp; TP'!$E$3:$E$10005&amp;'DMR 001C TIN &amp; TP'!$B$3:$B$10005&amp;'DMR 001C TIN &amp; TP'!$A$3:$A$10005),0),MATCH('Reg 85'!$AG$11,'DMR 001C TIN &amp; TP'!$A$2:$M$2,0))),"")</f>
        <v/>
      </c>
      <c r="BE105" s="6" t="str">
        <f t="array" ref="BE105">_xlfn.IFNA((INDEX('DMR 001C TIN &amp; TP'!$A$3:$M$10005,MATCH(('Reg 85'!$AQ$6&amp;'Reg 85'!BE$10&amp;'Reg 85'!$B105),('DMR 001C TIN &amp; TP'!$E$3:$E$10005&amp;'DMR 001C TIN &amp; TP'!$B$3:$B$10005&amp;'DMR 001C TIN &amp; TP'!$A$3:$A$10005),0),MATCH('Reg 85'!$AG$11,'DMR 001C TIN &amp; TP'!$A$2:$M$2,0))),"")</f>
        <v/>
      </c>
      <c r="BF105" s="6" t="str">
        <f t="array" ref="BF105">_xlfn.IFNA((INDEX('DMR 001C TIN &amp; TP'!$A$3:$M$10005,MATCH(('Reg 85'!$AQ$6&amp;'Reg 85'!BF$10&amp;'Reg 85'!$B105),('DMR 001C TIN &amp; TP'!$E$3:$E$10005&amp;'DMR 001C TIN &amp; TP'!$B$3:$B$10005&amp;'DMR 001C TIN &amp; TP'!$A$3:$A$10005),0),MATCH('Reg 85'!$AG$11,'DMR 001C TIN &amp; TP'!$A$2:$M$2,0))),"")</f>
        <v/>
      </c>
    </row>
    <row r="106" spans="1:58">
      <c r="A106" s="3" t="str">
        <f t="shared" si="42"/>
        <v>Tue</v>
      </c>
      <c r="B106" s="96">
        <f t="shared" si="58"/>
        <v>43438</v>
      </c>
      <c r="C106" s="96">
        <f t="shared" si="43"/>
        <v>43465</v>
      </c>
      <c r="D106" s="96">
        <f t="shared" si="44"/>
        <v>43435</v>
      </c>
      <c r="E106" s="95">
        <f t="shared" si="45"/>
        <v>31</v>
      </c>
      <c r="F106" s="7">
        <f t="array" ref="F106">_xlfn.IFNA(INDEX('DMR Flows-Effluent'!$A$3:$F$9999,MATCH(($F$10&amp;$B106),('DMR Flows-Effluent'!$B$3:$B$9999&amp;'DMR Flows-Effluent'!$A$3:$A$9999),0),MATCH($F$8,'DMR Flows-Effluent'!$A$2:$F$2,0)),"")</f>
        <v>32.086100000000002</v>
      </c>
      <c r="G106" s="7">
        <f t="array" ref="G106">_xlfn.IFNA(INDEX('DMR Flows-Effluent'!$A$3:$F$9999,MATCH(($G$10&amp;$B106),('DMR Flows-Effluent'!$B$3:$B$9999&amp;'DMR Flows-Effluent'!$A$3:$A$9999),0),MATCH($F$8,'DMR Flows-Effluent'!$A$2:$F$2,0)),"")</f>
        <v>86.549099999999996</v>
      </c>
      <c r="H106" s="7">
        <f t="shared" si="46"/>
        <v>118.6352</v>
      </c>
      <c r="I106" s="45" t="str">
        <f t="shared" si="47"/>
        <v/>
      </c>
      <c r="J106" s="6" t="str">
        <f t="array" ref="J106">_xlfn.IFNA((INDEX('DMR 001C TIN &amp; TP'!$A$3:$M$10005,MATCH(('Reg 85'!$I$6:$Q$6&amp;'Reg 85'!$I$10:$K$10&amp;'Reg 85'!$B106),('DMR 001C TIN &amp; TP'!$E$3:$E$10005&amp;'DMR 001C TIN &amp; TP'!$B$3:$B$10005&amp;'DMR 001C TIN &amp; TP'!$A$3:$A$10005),0),MATCH('Reg 85'!$J$11,'DMR 001C TIN &amp; TP'!$A$2:$M$2,0))),"")</f>
        <v>0.15</v>
      </c>
      <c r="K106" s="6">
        <f t="array" ref="K106">_xlfn.IFNA((INDEX('DMR 001C TIN &amp; TP'!$A$3:$M$10005,MATCH(('Reg 85'!$I$6:$Q$6&amp;'Reg 85'!$I$10:$K$10&amp;'Reg 85'!$B106),('DMR 001C TIN &amp; TP'!$E$3:$E$10005&amp;'DMR 001C TIN &amp; TP'!$B$3:$B$10005&amp;'DMR 001C TIN &amp; TP'!$A$3:$A$10005),0),MATCH('Reg 85'!$K$11,'DMR 001C TIN &amp; TP'!$A$2:$M$2,0))),"")</f>
        <v>0.43</v>
      </c>
      <c r="L106" s="53">
        <f t="shared" si="59"/>
        <v>0.43</v>
      </c>
      <c r="M106" s="5" t="str">
        <f t="shared" si="48"/>
        <v/>
      </c>
      <c r="N106" s="6" t="str">
        <f t="array" ref="N106">_xlfn.IFNA((INDEX('DMR 001C TIN &amp; TP'!$A$3:$M$10005,MATCH(('Reg 85'!$I$6:$Q$6&amp;'Reg 85'!$M$10&amp;'Reg 85'!$B106),('DMR 001C TIN &amp; TP'!$E$3:$E$10005&amp;'DMR 001C TIN &amp; TP'!$B$3:$B$10005&amp;'DMR 001C TIN &amp; TP'!$A$3:$A$10005),0),MATCH('Reg 85'!$N$11,'DMR 001C TIN &amp; TP'!$A$2:$M$2,0))),"")</f>
        <v>0.15</v>
      </c>
      <c r="O106" s="6">
        <f t="array" ref="O106">_xlfn.IFNA((INDEX('DMR 001C TIN &amp; TP'!$A$3:$M$10005,MATCH(('Reg 85'!$I$6:$Q$6&amp;'Reg 85'!$M$10&amp;'Reg 85'!$B106),('DMR 001C TIN &amp; TP'!$E$3:$E$10005&amp;'DMR 001C TIN &amp; TP'!$B$3:$B$10005&amp;'DMR 001C TIN &amp; TP'!$A$3:$A$10005),0),MATCH('Reg 85'!$O$11,'DMR 001C TIN &amp; TP'!$A$2:$M$2,0))),"")</f>
        <v>1.23</v>
      </c>
      <c r="P106" s="53">
        <f t="shared" si="49"/>
        <v>1.23</v>
      </c>
      <c r="Q106" s="73">
        <f t="array" ref="Q106">IFERROR(((L106*$F106)+(P106*$G106))/($H106),"")</f>
        <v>1.0136318394540573</v>
      </c>
      <c r="R106" s="6" t="str">
        <f t="array" ref="R106">_xlfn.IFNA((INDEX('DMR 001C TIN &amp; TP'!$A$3:$M$10005,MATCH(('Reg 85'!$I$6:$Q$6&amp;'Reg 85'!R$10&amp;'Reg 85'!$B106),('DMR 001C TIN &amp; TP'!$E$3:$E$10005&amp;'DMR 001C TIN &amp; TP'!$B$3:$B$10005&amp;'DMR 001C TIN &amp; TP'!$A$3:$A$10005),0),MATCH('Reg 85'!$O$11,'DMR 001C TIN &amp; TP'!$A$2:$M$2,0))),"")</f>
        <v/>
      </c>
      <c r="S106" s="6" t="str">
        <f t="array" ref="S106">_xlfn.IFNA((INDEX('DMR 001C TIN &amp; TP'!$A$3:$M$10005,MATCH(('Reg 85'!$I$6:$Q$6&amp;'Reg 85'!S$10&amp;'Reg 85'!$B106),('DMR 001C TIN &amp; TP'!$E$3:$E$10005&amp;'DMR 001C TIN &amp; TP'!$B$3:$B$10005&amp;'DMR 001C TIN &amp; TP'!$A$3:$A$10005),0),MATCH('Reg 85'!$O$11,'DMR 001C TIN &amp; TP'!$A$2:$M$2,0))),"")</f>
        <v/>
      </c>
      <c r="T106" s="6" t="str">
        <f t="array" ref="T106">_xlfn.IFNA((INDEX('DMR 001C TIN &amp; TP'!$A$3:$M$10005,MATCH(('Reg 85'!$I$6:$Q$6&amp;'Reg 85'!T$10&amp;'Reg 85'!$B106),('DMR 001C TIN &amp; TP'!$E$3:$E$10005&amp;'DMR 001C TIN &amp; TP'!$B$3:$B$10005&amp;'DMR 001C TIN &amp; TP'!$A$3:$A$10005),0),MATCH('Reg 85'!$O$11,'DMR 001C TIN &amp; TP'!$A$2:$M$2,0))),"")</f>
        <v/>
      </c>
      <c r="U106" s="6" t="str">
        <f t="array" ref="U106">_xlfn.IFNA((INDEX('DMR 001C TIN &amp; TP'!$A$3:$M$10005,MATCH(('Reg 85'!$I$6:$Q$6&amp;'Reg 85'!U$10&amp;'Reg 85'!$B106),('DMR 001C TIN &amp; TP'!$E$3:$E$10005&amp;'DMR 001C TIN &amp; TP'!$B$3:$B$10005&amp;'DMR 001C TIN &amp; TP'!$A$3:$A$10005),0),MATCH('Reg 85'!$O$11,'DMR 001C TIN &amp; TP'!$A$2:$M$2,0))),"")</f>
        <v/>
      </c>
      <c r="V106" s="6" t="str">
        <f t="array" ref="V106">_xlfn.IFNA((INDEX('DMR 001C TIN &amp; TP'!$A$3:$M$10005,MATCH(('Reg 85'!$I$6:$Q$6&amp;'Reg 85'!V$10&amp;'Reg 85'!$B106),('DMR 001C TIN &amp; TP'!$E$3:$E$10005&amp;'DMR 001C TIN &amp; TP'!$B$3:$B$10005&amp;'DMR 001C TIN &amp; TP'!$A$3:$A$10005),0),MATCH('Reg 85'!$O$11,'DMR 001C TIN &amp; TP'!$A$2:$M$2,0))),"")</f>
        <v/>
      </c>
      <c r="W106" s="6" t="str">
        <f t="array" ref="W106">_xlfn.IFNA((INDEX('DMR 001C TIN &amp; TP'!$A$3:$M$10005,MATCH(('Reg 85'!$I$6:$Q$6&amp;'Reg 85'!W$10&amp;'Reg 85'!$B106),('DMR 001C TIN &amp; TP'!$E$3:$E$10005&amp;'DMR 001C TIN &amp; TP'!$B$3:$B$10005&amp;'DMR 001C TIN &amp; TP'!$A$3:$A$10005),0),MATCH('Reg 85'!$O$11,'DMR 001C TIN &amp; TP'!$A$2:$M$2,0))),"")</f>
        <v/>
      </c>
      <c r="X106" s="5" t="str">
        <f t="shared" si="50"/>
        <v/>
      </c>
      <c r="Y106" s="6" t="str">
        <f t="array" ref="Y106">_xlfn.IFNA((INDEX('DMR 001C TIN &amp; TP'!$A$3:$M$10005,MATCH(('Reg 85'!$X$6&amp;'Reg 85'!$X$10&amp;'Reg 85'!$B106),('DMR 001C TIN &amp; TP'!$E$3:$E$10005&amp;'DMR 001C TIN &amp; TP'!$B$3:$B$10005&amp;'DMR 001C TIN &amp; TP'!$A$3:$A$10005),0),MATCH('Reg 85'!$Y$11,'DMR 001C TIN &amp; TP'!$A$2:$M$2,0))),"")</f>
        <v>0.12</v>
      </c>
      <c r="Z106" s="6">
        <f t="array" ref="Z106">_xlfn.IFNA((INDEX('DMR 001C TIN &amp; TP'!$A$3:$M$10005,MATCH(('Reg 85'!$X$6&amp;'Reg 85'!$X$10&amp;'Reg 85'!$B106),('DMR 001C TIN &amp; TP'!$E$3:$E$10005&amp;'DMR 001C TIN &amp; TP'!$B$3:$B$10005&amp;'DMR 001C TIN &amp; TP'!$A$3:$A$10005),0),MATCH('Reg 85'!$Z$11,'DMR 001C TIN &amp; TP'!$A$2:$M$2,0))),"")</f>
        <v>4.9000000000000004</v>
      </c>
      <c r="AA106" s="53">
        <f t="shared" si="51"/>
        <v>4.9000000000000004</v>
      </c>
      <c r="AB106" s="5" t="str">
        <f t="shared" si="52"/>
        <v/>
      </c>
      <c r="AC106" s="6" t="str">
        <f t="array" ref="AC106">_xlfn.IFNA((INDEX('DMR 001C TIN &amp; TP'!$A$3:$M$10005,MATCH(('Reg 85'!$X$6&amp;'Reg 85'!$AB$10&amp;'Reg 85'!$B106),('DMR 001C TIN &amp; TP'!$E$3:$E$10005&amp;'DMR 001C TIN &amp; TP'!$B$3:$B$10005&amp;'DMR 001C TIN &amp; TP'!$A$3:$A$10005),0),MATCH('Reg 85'!$AC$11,'DMR 001C TIN &amp; TP'!$A$2:$M$2,0))),"")</f>
        <v>0.06</v>
      </c>
      <c r="AD106" s="6">
        <f t="array" ref="AD106">_xlfn.IFNA((INDEX('DMR 001C TIN &amp; TP'!$A$3:$M$10005,MATCH(('Reg 85'!$X$6&amp;'Reg 85'!$AB$10&amp;'Reg 85'!$B106),('DMR 001C TIN &amp; TP'!$E$3:$E$10005&amp;'DMR 001C TIN &amp; TP'!$B$3:$B$10005&amp;'DMR 001C TIN &amp; TP'!$A$3:$A$10005),0),MATCH('Reg 85'!$AD$11,'DMR 001C TIN &amp; TP'!$A$2:$M$2,0))),"")</f>
        <v>5.94</v>
      </c>
      <c r="AE106" s="53">
        <f t="shared" si="53"/>
        <v>5.94</v>
      </c>
      <c r="AF106" s="7">
        <f t="shared" si="54"/>
        <v>5.6587213912902756</v>
      </c>
      <c r="AG106" s="6" t="str">
        <f t="array" ref="AG106">_xlfn.IFNA((INDEX('DMR 001C TIN &amp; TP'!$A$3:$M$10005,MATCH(('Reg 85'!$X$6&amp;'Reg 85'!AG$10&amp;'Reg 85'!$B106),('DMR 001C TIN &amp; TP'!$E$3:$E$10005&amp;'DMR 001C TIN &amp; TP'!$B$3:$B$10005&amp;'DMR 001C TIN &amp; TP'!$A$3:$A$10005),0),MATCH('Reg 85'!$AG$11,'DMR 001C TIN &amp; TP'!$A$2:$M$2,0))),"")</f>
        <v/>
      </c>
      <c r="AH106" s="6" t="str">
        <f t="array" ref="AH106">_xlfn.IFNA((INDEX('DMR 001C TIN &amp; TP'!$A$3:$M$10005,MATCH(('Reg 85'!$X$6&amp;'Reg 85'!AH$10&amp;'Reg 85'!$B106),('DMR 001C TIN &amp; TP'!$E$3:$E$10005&amp;'DMR 001C TIN &amp; TP'!$B$3:$B$10005&amp;'DMR 001C TIN &amp; TP'!$A$3:$A$10005),0),MATCH('Reg 85'!$AG$11,'DMR 001C TIN &amp; TP'!$A$2:$M$2,0))),"")</f>
        <v/>
      </c>
      <c r="AI106" s="6" t="str">
        <f t="array" ref="AI106">_xlfn.IFNA((INDEX('DMR 001C TIN &amp; TP'!$A$3:$M$10005,MATCH(('Reg 85'!$X$6&amp;'Reg 85'!AI$10&amp;'Reg 85'!$B106),('DMR 001C TIN &amp; TP'!$E$3:$E$10005&amp;'DMR 001C TIN &amp; TP'!$B$3:$B$10005&amp;'DMR 001C TIN &amp; TP'!$A$3:$A$10005),0),MATCH('Reg 85'!$AG$11,'DMR 001C TIN &amp; TP'!$A$2:$M$2,0))),"")</f>
        <v/>
      </c>
      <c r="AJ106" s="6" t="str">
        <f t="array" ref="AJ106">_xlfn.IFNA((INDEX('DMR 001C TIN &amp; TP'!$A$3:$M$10005,MATCH(('Reg 85'!$X$6&amp;'Reg 85'!AJ$10&amp;'Reg 85'!$B106),('DMR 001C TIN &amp; TP'!$E$3:$E$10005&amp;'DMR 001C TIN &amp; TP'!$B$3:$B$10005&amp;'DMR 001C TIN &amp; TP'!$A$3:$A$10005),0),MATCH('Reg 85'!$AG$11,'DMR 001C TIN &amp; TP'!$A$2:$M$2,0))),"")</f>
        <v/>
      </c>
      <c r="AK106" s="6" t="str">
        <f t="array" ref="AK106">_xlfn.IFNA((INDEX('DMR 001C TIN &amp; TP'!$A$3:$M$10005,MATCH(('Reg 85'!$X$6&amp;'Reg 85'!AK$10&amp;'Reg 85'!$B106),('DMR 001C TIN &amp; TP'!$E$3:$E$10005&amp;'DMR 001C TIN &amp; TP'!$B$3:$B$10005&amp;'DMR 001C TIN &amp; TP'!$A$3:$A$10005),0),MATCH('Reg 85'!$AG$11,'DMR 001C TIN &amp; TP'!$A$2:$M$2,0))),"")</f>
        <v/>
      </c>
      <c r="AL106" s="6" t="str">
        <f t="array" ref="AL106">_xlfn.IFNA((INDEX('DMR 001C TIN &amp; TP'!$A$3:$M$10005,MATCH(('Reg 85'!$X$6&amp;'Reg 85'!AL$10&amp;'Reg 85'!$B106),('DMR 001C TIN &amp; TP'!$E$3:$E$10005&amp;'DMR 001C TIN &amp; TP'!$B$3:$B$10005&amp;'DMR 001C TIN &amp; TP'!$A$3:$A$10005),0),MATCH('Reg 85'!$AG$11,'DMR 001C TIN &amp; TP'!$A$2:$M$2,0))),"")</f>
        <v/>
      </c>
      <c r="AM106" s="76"/>
      <c r="AN106" s="6"/>
      <c r="AO106" s="54">
        <f t="shared" si="41"/>
        <v>6.6723532307443332</v>
      </c>
      <c r="AP106" s="77" t="str">
        <f t="shared" ref="AP106:AP169" si="60">IF(COUNT(IF((B77:B106&lt;=C106)*(B77:B106&gt;=D106)*(B106=EOMONTH(B106,0)),AO77:AO106,""))=0,"",COUNT(IF((B77:B106&lt;=C106)*(B77:B106&gt;=D106)*(B106=EOMONTH(B106,0)),AO77:AO106,"")))</f>
        <v/>
      </c>
      <c r="AQ106" s="47"/>
      <c r="AR106" s="6" t="str">
        <f t="array" ref="AR106">_xlfn.IFNA((INDEX('DMR 001C TIN &amp; TP'!$A$3:$M$10005,MATCH(('Reg 85'!$AQ$6&amp;'Reg 85'!$AQ$10&amp;'Reg 85'!$B106),('DMR 001C TIN &amp; TP'!$E$3:$E$10005&amp;'DMR 001C TIN &amp; TP'!$B$3:$B$10005&amp;'DMR 001C TIN &amp; TP'!$A$3:$A$10005),0),MATCH('Reg 85'!$AR$11,'DMR 001C TIN &amp; TP'!$A$2:$M$2,0))),"")</f>
        <v/>
      </c>
      <c r="AS106" s="6" t="str">
        <f t="array" ref="AS106">_xlfn.IFNA((INDEX('DMR 001C TIN &amp; TP'!$A$3:$M$10005,MATCH(('Reg 85'!$AQ$6&amp;'Reg 85'!$AQ$10&amp;'Reg 85'!$B106),('DMR 001C TIN &amp; TP'!$E$3:$E$10005&amp;'DMR 001C TIN &amp; TP'!$B$3:$B$10005&amp;'DMR 001C TIN &amp; TP'!$A$3:$A$10005),0),MATCH('Reg 85'!$AS$11,'DMR 001C TIN &amp; TP'!$A$2:$M$2,0))),"")</f>
        <v/>
      </c>
      <c r="AT106" s="53" t="str">
        <f t="shared" si="55"/>
        <v/>
      </c>
      <c r="AV106" s="6" t="str">
        <f t="array" ref="AV106">_xlfn.IFNA((INDEX('DMR 001C TIN &amp; TP'!$A$3:$M$10005,MATCH(('Reg 85'!$AQ$6&amp;'Reg 85'!$AU$10&amp;'Reg 85'!$B106),('DMR 001C TIN &amp; TP'!$E$3:$E$10005&amp;'DMR 001C TIN &amp; TP'!$B$3:$B$10005&amp;'DMR 001C TIN &amp; TP'!$A$3:$A$10005),0),MATCH('Reg 85'!$AV$11,'DMR 001C TIN &amp; TP'!$A$2:$M$2,0))),"")</f>
        <v/>
      </c>
      <c r="AW106" s="6" t="str">
        <f t="array" ref="AW106">_xlfn.IFNA((INDEX('DMR 001C TIN &amp; TP'!$A$3:$M$10005,MATCH(('Reg 85'!$AQ$6&amp;'Reg 85'!$AU$10&amp;'Reg 85'!$B106),('DMR 001C TIN &amp; TP'!$E$3:$E$10005&amp;'DMR 001C TIN &amp; TP'!$B$3:$B$10005&amp;'DMR 001C TIN &amp; TP'!$A$3:$A$10005),0),MATCH('Reg 85'!$AW$11,'DMR 001C TIN &amp; TP'!$A$2:$M$2,0))),"")</f>
        <v/>
      </c>
      <c r="AX106" s="53" t="str">
        <f t="shared" si="56"/>
        <v/>
      </c>
      <c r="AY106" s="55" t="str">
        <f t="shared" si="57"/>
        <v/>
      </c>
      <c r="AZ106" s="77" t="str">
        <f t="shared" si="40"/>
        <v/>
      </c>
      <c r="BA106" s="6" t="str">
        <f t="array" ref="BA106">_xlfn.IFNA((INDEX('DMR 001C TIN &amp; TP'!$A$3:$M$10005,MATCH(('Reg 85'!$AQ$6&amp;'Reg 85'!BA$10&amp;'Reg 85'!$B106),('DMR 001C TIN &amp; TP'!$E$3:$E$10005&amp;'DMR 001C TIN &amp; TP'!$B$3:$B$10005&amp;'DMR 001C TIN &amp; TP'!$A$3:$A$10005),0),MATCH('Reg 85'!$AG$11,'DMR 001C TIN &amp; TP'!$A$2:$M$2,0))),"")</f>
        <v/>
      </c>
      <c r="BB106" s="6" t="str">
        <f t="array" ref="BB106">_xlfn.IFNA((INDEX('DMR 001C TIN &amp; TP'!$A$3:$M$10005,MATCH(('Reg 85'!$AQ$6&amp;'Reg 85'!BB$10&amp;'Reg 85'!$B106),('DMR 001C TIN &amp; TP'!$E$3:$E$10005&amp;'DMR 001C TIN &amp; TP'!$B$3:$B$10005&amp;'DMR 001C TIN &amp; TP'!$A$3:$A$10005),0),MATCH('Reg 85'!$AG$11,'DMR 001C TIN &amp; TP'!$A$2:$M$2,0))),"")</f>
        <v/>
      </c>
      <c r="BC106" s="6" t="str">
        <f t="array" ref="BC106">_xlfn.IFNA((INDEX('DMR 001C TIN &amp; TP'!$A$3:$M$10005,MATCH(('Reg 85'!$AQ$6&amp;'Reg 85'!BC$10&amp;'Reg 85'!$B106),('DMR 001C TIN &amp; TP'!$E$3:$E$10005&amp;'DMR 001C TIN &amp; TP'!$B$3:$B$10005&amp;'DMR 001C TIN &amp; TP'!$A$3:$A$10005),0),MATCH('Reg 85'!$AG$11,'DMR 001C TIN &amp; TP'!$A$2:$M$2,0))),"")</f>
        <v/>
      </c>
      <c r="BD106" s="6" t="str">
        <f t="array" ref="BD106">_xlfn.IFNA((INDEX('DMR 001C TIN &amp; TP'!$A$3:$M$10005,MATCH(('Reg 85'!$AQ$6&amp;'Reg 85'!BD$10&amp;'Reg 85'!$B106),('DMR 001C TIN &amp; TP'!$E$3:$E$10005&amp;'DMR 001C TIN &amp; TP'!$B$3:$B$10005&amp;'DMR 001C TIN &amp; TP'!$A$3:$A$10005),0),MATCH('Reg 85'!$AG$11,'DMR 001C TIN &amp; TP'!$A$2:$M$2,0))),"")</f>
        <v/>
      </c>
      <c r="BE106" s="6" t="str">
        <f t="array" ref="BE106">_xlfn.IFNA((INDEX('DMR 001C TIN &amp; TP'!$A$3:$M$10005,MATCH(('Reg 85'!$AQ$6&amp;'Reg 85'!BE$10&amp;'Reg 85'!$B106),('DMR 001C TIN &amp; TP'!$E$3:$E$10005&amp;'DMR 001C TIN &amp; TP'!$B$3:$B$10005&amp;'DMR 001C TIN &amp; TP'!$A$3:$A$10005),0),MATCH('Reg 85'!$AG$11,'DMR 001C TIN &amp; TP'!$A$2:$M$2,0))),"")</f>
        <v/>
      </c>
      <c r="BF106" s="6" t="str">
        <f t="array" ref="BF106">_xlfn.IFNA((INDEX('DMR 001C TIN &amp; TP'!$A$3:$M$10005,MATCH(('Reg 85'!$AQ$6&amp;'Reg 85'!BF$10&amp;'Reg 85'!$B106),('DMR 001C TIN &amp; TP'!$E$3:$E$10005&amp;'DMR 001C TIN &amp; TP'!$B$3:$B$10005&amp;'DMR 001C TIN &amp; TP'!$A$3:$A$10005),0),MATCH('Reg 85'!$AG$11,'DMR 001C TIN &amp; TP'!$A$2:$M$2,0))),"")</f>
        <v/>
      </c>
    </row>
    <row r="107" spans="1:58">
      <c r="A107" s="3" t="str">
        <f t="shared" si="42"/>
        <v>Wed</v>
      </c>
      <c r="B107" s="96">
        <f t="shared" si="58"/>
        <v>43439</v>
      </c>
      <c r="C107" s="96">
        <f t="shared" si="43"/>
        <v>43465</v>
      </c>
      <c r="D107" s="96">
        <f t="shared" si="44"/>
        <v>43435</v>
      </c>
      <c r="E107" s="95">
        <f t="shared" si="45"/>
        <v>31</v>
      </c>
      <c r="F107" s="7">
        <f t="array" ref="F107">_xlfn.IFNA(INDEX('DMR Flows-Effluent'!$A$3:$F$9999,MATCH(($F$10&amp;$B107),('DMR Flows-Effluent'!$B$3:$B$9999&amp;'DMR Flows-Effluent'!$A$3:$A$9999),0),MATCH($F$8,'DMR Flows-Effluent'!$A$2:$F$2,0)),"")</f>
        <v>26.315200000000001</v>
      </c>
      <c r="G107" s="7">
        <f t="array" ref="G107">_xlfn.IFNA(INDEX('DMR Flows-Effluent'!$A$3:$F$9999,MATCH(($G$10&amp;$B107),('DMR Flows-Effluent'!$B$3:$B$9999&amp;'DMR Flows-Effluent'!$A$3:$A$9999),0),MATCH($F$8,'DMR Flows-Effluent'!$A$2:$F$2,0)),"")</f>
        <v>88.599699999999999</v>
      </c>
      <c r="H107" s="7">
        <f t="shared" si="46"/>
        <v>114.9149</v>
      </c>
      <c r="I107" s="45" t="str">
        <f t="shared" si="47"/>
        <v>&lt;</v>
      </c>
      <c r="J107" s="6" t="str">
        <f t="array" ref="J107">_xlfn.IFNA((INDEX('DMR 001C TIN &amp; TP'!$A$3:$M$10005,MATCH(('Reg 85'!$I$6:$Q$6&amp;'Reg 85'!$I$10:$K$10&amp;'Reg 85'!$B107),('DMR 001C TIN &amp; TP'!$E$3:$E$10005&amp;'DMR 001C TIN &amp; TP'!$B$3:$B$10005&amp;'DMR 001C TIN &amp; TP'!$A$3:$A$10005),0),MATCH('Reg 85'!$J$11,'DMR 001C TIN &amp; TP'!$A$2:$M$2,0))),"")</f>
        <v>0.15</v>
      </c>
      <c r="K107" s="6">
        <f t="array" ref="K107">_xlfn.IFNA((INDEX('DMR 001C TIN &amp; TP'!$A$3:$M$10005,MATCH(('Reg 85'!$I$6:$Q$6&amp;'Reg 85'!$I$10:$K$10&amp;'Reg 85'!$B107),('DMR 001C TIN &amp; TP'!$E$3:$E$10005&amp;'DMR 001C TIN &amp; TP'!$B$3:$B$10005&amp;'DMR 001C TIN &amp; TP'!$A$3:$A$10005),0),MATCH('Reg 85'!$K$11,'DMR 001C TIN &amp; TP'!$A$2:$M$2,0))),"")</f>
        <v>0.12</v>
      </c>
      <c r="L107" s="53">
        <f t="shared" si="59"/>
        <v>0</v>
      </c>
      <c r="M107" s="5" t="str">
        <f t="shared" si="48"/>
        <v/>
      </c>
      <c r="N107" s="6" t="str">
        <f t="array" ref="N107">_xlfn.IFNA((INDEX('DMR 001C TIN &amp; TP'!$A$3:$M$10005,MATCH(('Reg 85'!$I$6:$Q$6&amp;'Reg 85'!$M$10&amp;'Reg 85'!$B107),('DMR 001C TIN &amp; TP'!$E$3:$E$10005&amp;'DMR 001C TIN &amp; TP'!$B$3:$B$10005&amp;'DMR 001C TIN &amp; TP'!$A$3:$A$10005),0),MATCH('Reg 85'!$N$11,'DMR 001C TIN &amp; TP'!$A$2:$M$2,0))),"")</f>
        <v>0.15</v>
      </c>
      <c r="O107" s="6">
        <f t="array" ref="O107">_xlfn.IFNA((INDEX('DMR 001C TIN &amp; TP'!$A$3:$M$10005,MATCH(('Reg 85'!$I$6:$Q$6&amp;'Reg 85'!$M$10&amp;'Reg 85'!$B107),('DMR 001C TIN &amp; TP'!$E$3:$E$10005&amp;'DMR 001C TIN &amp; TP'!$B$3:$B$10005&amp;'DMR 001C TIN &amp; TP'!$A$3:$A$10005),0),MATCH('Reg 85'!$O$11,'DMR 001C TIN &amp; TP'!$A$2:$M$2,0))),"")</f>
        <v>1.0900000000000001</v>
      </c>
      <c r="P107" s="53">
        <f t="shared" si="49"/>
        <v>1.0900000000000001</v>
      </c>
      <c r="Q107" s="73">
        <f t="array" ref="Q107">IFERROR(((L107*$F107)+(P107*$G107))/($H107),"")</f>
        <v>0.84039296035588074</v>
      </c>
      <c r="R107" s="6" t="str">
        <f t="array" ref="R107">_xlfn.IFNA((INDEX('DMR 001C TIN &amp; TP'!$A$3:$M$10005,MATCH(('Reg 85'!$I$6:$Q$6&amp;'Reg 85'!R$10&amp;'Reg 85'!$B107),('DMR 001C TIN &amp; TP'!$E$3:$E$10005&amp;'DMR 001C TIN &amp; TP'!$B$3:$B$10005&amp;'DMR 001C TIN &amp; TP'!$A$3:$A$10005),0),MATCH('Reg 85'!$O$11,'DMR 001C TIN &amp; TP'!$A$2:$M$2,0))),"")</f>
        <v/>
      </c>
      <c r="S107" s="6" t="str">
        <f t="array" ref="S107">_xlfn.IFNA((INDEX('DMR 001C TIN &amp; TP'!$A$3:$M$10005,MATCH(('Reg 85'!$I$6:$Q$6&amp;'Reg 85'!S$10&amp;'Reg 85'!$B107),('DMR 001C TIN &amp; TP'!$E$3:$E$10005&amp;'DMR 001C TIN &amp; TP'!$B$3:$B$10005&amp;'DMR 001C TIN &amp; TP'!$A$3:$A$10005),0),MATCH('Reg 85'!$O$11,'DMR 001C TIN &amp; TP'!$A$2:$M$2,0))),"")</f>
        <v/>
      </c>
      <c r="T107" s="6" t="str">
        <f t="array" ref="T107">_xlfn.IFNA((INDEX('DMR 001C TIN &amp; TP'!$A$3:$M$10005,MATCH(('Reg 85'!$I$6:$Q$6&amp;'Reg 85'!T$10&amp;'Reg 85'!$B107),('DMR 001C TIN &amp; TP'!$E$3:$E$10005&amp;'DMR 001C TIN &amp; TP'!$B$3:$B$10005&amp;'DMR 001C TIN &amp; TP'!$A$3:$A$10005),0),MATCH('Reg 85'!$O$11,'DMR 001C TIN &amp; TP'!$A$2:$M$2,0))),"")</f>
        <v/>
      </c>
      <c r="U107" s="6" t="str">
        <f t="array" ref="U107">_xlfn.IFNA((INDEX('DMR 001C TIN &amp; TP'!$A$3:$M$10005,MATCH(('Reg 85'!$I$6:$Q$6&amp;'Reg 85'!U$10&amp;'Reg 85'!$B107),('DMR 001C TIN &amp; TP'!$E$3:$E$10005&amp;'DMR 001C TIN &amp; TP'!$B$3:$B$10005&amp;'DMR 001C TIN &amp; TP'!$A$3:$A$10005),0),MATCH('Reg 85'!$O$11,'DMR 001C TIN &amp; TP'!$A$2:$M$2,0))),"")</f>
        <v/>
      </c>
      <c r="V107" s="6" t="str">
        <f t="array" ref="V107">_xlfn.IFNA((INDEX('DMR 001C TIN &amp; TP'!$A$3:$M$10005,MATCH(('Reg 85'!$I$6:$Q$6&amp;'Reg 85'!V$10&amp;'Reg 85'!$B107),('DMR 001C TIN &amp; TP'!$E$3:$E$10005&amp;'DMR 001C TIN &amp; TP'!$B$3:$B$10005&amp;'DMR 001C TIN &amp; TP'!$A$3:$A$10005),0),MATCH('Reg 85'!$O$11,'DMR 001C TIN &amp; TP'!$A$2:$M$2,0))),"")</f>
        <v/>
      </c>
      <c r="W107" s="6" t="str">
        <f t="array" ref="W107">_xlfn.IFNA((INDEX('DMR 001C TIN &amp; TP'!$A$3:$M$10005,MATCH(('Reg 85'!$I$6:$Q$6&amp;'Reg 85'!W$10&amp;'Reg 85'!$B107),('DMR 001C TIN &amp; TP'!$E$3:$E$10005&amp;'DMR 001C TIN &amp; TP'!$B$3:$B$10005&amp;'DMR 001C TIN &amp; TP'!$A$3:$A$10005),0),MATCH('Reg 85'!$O$11,'DMR 001C TIN &amp; TP'!$A$2:$M$2,0))),"")</f>
        <v/>
      </c>
      <c r="X107" s="5" t="str">
        <f t="shared" si="50"/>
        <v/>
      </c>
      <c r="Y107" s="6" t="str">
        <f t="array" ref="Y107">_xlfn.IFNA((INDEX('DMR 001C TIN &amp; TP'!$A$3:$M$10005,MATCH(('Reg 85'!$X$6&amp;'Reg 85'!$X$10&amp;'Reg 85'!$B107),('DMR 001C TIN &amp; TP'!$E$3:$E$10005&amp;'DMR 001C TIN &amp; TP'!$B$3:$B$10005&amp;'DMR 001C TIN &amp; TP'!$A$3:$A$10005),0),MATCH('Reg 85'!$Y$11,'DMR 001C TIN &amp; TP'!$A$2:$M$2,0))),"")</f>
        <v>0.06</v>
      </c>
      <c r="Z107" s="6">
        <f t="array" ref="Z107">_xlfn.IFNA((INDEX('DMR 001C TIN &amp; TP'!$A$3:$M$10005,MATCH(('Reg 85'!$X$6&amp;'Reg 85'!$X$10&amp;'Reg 85'!$B107),('DMR 001C TIN &amp; TP'!$E$3:$E$10005&amp;'DMR 001C TIN &amp; TP'!$B$3:$B$10005&amp;'DMR 001C TIN &amp; TP'!$A$3:$A$10005),0),MATCH('Reg 85'!$Z$11,'DMR 001C TIN &amp; TP'!$A$2:$M$2,0))),"")</f>
        <v>5.33</v>
      </c>
      <c r="AA107" s="53">
        <f t="shared" si="51"/>
        <v>5.33</v>
      </c>
      <c r="AB107" s="5" t="str">
        <f t="shared" si="52"/>
        <v/>
      </c>
      <c r="AC107" s="6" t="str">
        <f t="array" ref="AC107">_xlfn.IFNA((INDEX('DMR 001C TIN &amp; TP'!$A$3:$M$10005,MATCH(('Reg 85'!$X$6&amp;'Reg 85'!$AB$10&amp;'Reg 85'!$B107),('DMR 001C TIN &amp; TP'!$E$3:$E$10005&amp;'DMR 001C TIN &amp; TP'!$B$3:$B$10005&amp;'DMR 001C TIN &amp; TP'!$A$3:$A$10005),0),MATCH('Reg 85'!$AC$11,'DMR 001C TIN &amp; TP'!$A$2:$M$2,0))),"")</f>
        <v>0.06</v>
      </c>
      <c r="AD107" s="6">
        <f t="array" ref="AD107">_xlfn.IFNA((INDEX('DMR 001C TIN &amp; TP'!$A$3:$M$10005,MATCH(('Reg 85'!$X$6&amp;'Reg 85'!$AB$10&amp;'Reg 85'!$B107),('DMR 001C TIN &amp; TP'!$E$3:$E$10005&amp;'DMR 001C TIN &amp; TP'!$B$3:$B$10005&amp;'DMR 001C TIN &amp; TP'!$A$3:$A$10005),0),MATCH('Reg 85'!$AD$11,'DMR 001C TIN &amp; TP'!$A$2:$M$2,0))),"")</f>
        <v>6.97</v>
      </c>
      <c r="AE107" s="53">
        <f t="shared" si="53"/>
        <v>6.97</v>
      </c>
      <c r="AF107" s="7">
        <f t="shared" si="54"/>
        <v>6.5944444541134351</v>
      </c>
      <c r="AG107" s="6" t="str">
        <f t="array" ref="AG107">_xlfn.IFNA((INDEX('DMR 001C TIN &amp; TP'!$A$3:$M$10005,MATCH(('Reg 85'!$X$6&amp;'Reg 85'!AG$10&amp;'Reg 85'!$B107),('DMR 001C TIN &amp; TP'!$E$3:$E$10005&amp;'DMR 001C TIN &amp; TP'!$B$3:$B$10005&amp;'DMR 001C TIN &amp; TP'!$A$3:$A$10005),0),MATCH('Reg 85'!$AG$11,'DMR 001C TIN &amp; TP'!$A$2:$M$2,0))),"")</f>
        <v/>
      </c>
      <c r="AH107" s="6" t="str">
        <f t="array" ref="AH107">_xlfn.IFNA((INDEX('DMR 001C TIN &amp; TP'!$A$3:$M$10005,MATCH(('Reg 85'!$X$6&amp;'Reg 85'!AH$10&amp;'Reg 85'!$B107),('DMR 001C TIN &amp; TP'!$E$3:$E$10005&amp;'DMR 001C TIN &amp; TP'!$B$3:$B$10005&amp;'DMR 001C TIN &amp; TP'!$A$3:$A$10005),0),MATCH('Reg 85'!$AG$11,'DMR 001C TIN &amp; TP'!$A$2:$M$2,0))),"")</f>
        <v/>
      </c>
      <c r="AI107" s="6" t="str">
        <f t="array" ref="AI107">_xlfn.IFNA((INDEX('DMR 001C TIN &amp; TP'!$A$3:$M$10005,MATCH(('Reg 85'!$X$6&amp;'Reg 85'!AI$10&amp;'Reg 85'!$B107),('DMR 001C TIN &amp; TP'!$E$3:$E$10005&amp;'DMR 001C TIN &amp; TP'!$B$3:$B$10005&amp;'DMR 001C TIN &amp; TP'!$A$3:$A$10005),0),MATCH('Reg 85'!$AG$11,'DMR 001C TIN &amp; TP'!$A$2:$M$2,0))),"")</f>
        <v/>
      </c>
      <c r="AJ107" s="6" t="str">
        <f t="array" ref="AJ107">_xlfn.IFNA((INDEX('DMR 001C TIN &amp; TP'!$A$3:$M$10005,MATCH(('Reg 85'!$X$6&amp;'Reg 85'!AJ$10&amp;'Reg 85'!$B107),('DMR 001C TIN &amp; TP'!$E$3:$E$10005&amp;'DMR 001C TIN &amp; TP'!$B$3:$B$10005&amp;'DMR 001C TIN &amp; TP'!$A$3:$A$10005),0),MATCH('Reg 85'!$AG$11,'DMR 001C TIN &amp; TP'!$A$2:$M$2,0))),"")</f>
        <v/>
      </c>
      <c r="AK107" s="6" t="str">
        <f t="array" ref="AK107">_xlfn.IFNA((INDEX('DMR 001C TIN &amp; TP'!$A$3:$M$10005,MATCH(('Reg 85'!$X$6&amp;'Reg 85'!AK$10&amp;'Reg 85'!$B107),('DMR 001C TIN &amp; TP'!$E$3:$E$10005&amp;'DMR 001C TIN &amp; TP'!$B$3:$B$10005&amp;'DMR 001C TIN &amp; TP'!$A$3:$A$10005),0),MATCH('Reg 85'!$AG$11,'DMR 001C TIN &amp; TP'!$A$2:$M$2,0))),"")</f>
        <v/>
      </c>
      <c r="AL107" s="6" t="str">
        <f t="array" ref="AL107">_xlfn.IFNA((INDEX('DMR 001C TIN &amp; TP'!$A$3:$M$10005,MATCH(('Reg 85'!$X$6&amp;'Reg 85'!AL$10&amp;'Reg 85'!$B107),('DMR 001C TIN &amp; TP'!$E$3:$E$10005&amp;'DMR 001C TIN &amp; TP'!$B$3:$B$10005&amp;'DMR 001C TIN &amp; TP'!$A$3:$A$10005),0),MATCH('Reg 85'!$AG$11,'DMR 001C TIN &amp; TP'!$A$2:$M$2,0))),"")</f>
        <v/>
      </c>
      <c r="AM107" s="76"/>
      <c r="AN107" s="6"/>
      <c r="AO107" s="54">
        <f t="shared" si="41"/>
        <v>7.4348374144693157</v>
      </c>
      <c r="AP107" s="77" t="str">
        <f t="shared" si="60"/>
        <v/>
      </c>
      <c r="AQ107" s="47"/>
      <c r="AR107" s="6" t="str">
        <f t="array" ref="AR107">_xlfn.IFNA((INDEX('DMR 001C TIN &amp; TP'!$A$3:$M$10005,MATCH(('Reg 85'!$AQ$6&amp;'Reg 85'!$AQ$10&amp;'Reg 85'!$B107),('DMR 001C TIN &amp; TP'!$E$3:$E$10005&amp;'DMR 001C TIN &amp; TP'!$B$3:$B$10005&amp;'DMR 001C TIN &amp; TP'!$A$3:$A$10005),0),MATCH('Reg 85'!$AR$11,'DMR 001C TIN &amp; TP'!$A$2:$M$2,0))),"")</f>
        <v/>
      </c>
      <c r="AS107" s="6" t="str">
        <f t="array" ref="AS107">_xlfn.IFNA((INDEX('DMR 001C TIN &amp; TP'!$A$3:$M$10005,MATCH(('Reg 85'!$AQ$6&amp;'Reg 85'!$AQ$10&amp;'Reg 85'!$B107),('DMR 001C TIN &amp; TP'!$E$3:$E$10005&amp;'DMR 001C TIN &amp; TP'!$B$3:$B$10005&amp;'DMR 001C TIN &amp; TP'!$A$3:$A$10005),0),MATCH('Reg 85'!$AS$11,'DMR 001C TIN &amp; TP'!$A$2:$M$2,0))),"")</f>
        <v/>
      </c>
      <c r="AT107" s="53" t="str">
        <f t="shared" si="55"/>
        <v/>
      </c>
      <c r="AV107" s="6" t="str">
        <f t="array" ref="AV107">_xlfn.IFNA((INDEX('DMR 001C TIN &amp; TP'!$A$3:$M$10005,MATCH(('Reg 85'!$AQ$6&amp;'Reg 85'!$AU$10&amp;'Reg 85'!$B107),('DMR 001C TIN &amp; TP'!$E$3:$E$10005&amp;'DMR 001C TIN &amp; TP'!$B$3:$B$10005&amp;'DMR 001C TIN &amp; TP'!$A$3:$A$10005),0),MATCH('Reg 85'!$AV$11,'DMR 001C TIN &amp; TP'!$A$2:$M$2,0))),"")</f>
        <v/>
      </c>
      <c r="AW107" s="6" t="str">
        <f t="array" ref="AW107">_xlfn.IFNA((INDEX('DMR 001C TIN &amp; TP'!$A$3:$M$10005,MATCH(('Reg 85'!$AQ$6&amp;'Reg 85'!$AU$10&amp;'Reg 85'!$B107),('DMR 001C TIN &amp; TP'!$E$3:$E$10005&amp;'DMR 001C TIN &amp; TP'!$B$3:$B$10005&amp;'DMR 001C TIN &amp; TP'!$A$3:$A$10005),0),MATCH('Reg 85'!$AW$11,'DMR 001C TIN &amp; TP'!$A$2:$M$2,0))),"")</f>
        <v/>
      </c>
      <c r="AX107" s="53" t="str">
        <f t="shared" si="56"/>
        <v/>
      </c>
      <c r="AY107" s="55" t="str">
        <f t="shared" si="57"/>
        <v/>
      </c>
      <c r="AZ107" s="77" t="str">
        <f t="shared" ref="AZ107:AZ170" si="61">IF(COUNT(IF((B77:B107&lt;=C107)*(B77:B107&gt;=D107)*(B107=EOMONTH(B107,0)),AY77:AY107,""))=0,"",COUNT(IF((B77:B107&lt;=C107)*(B77:B107&gt;=D107)*(B107=EOMONTH(B107,0)),AY77:AY107,"")))</f>
        <v/>
      </c>
      <c r="BA107" s="6" t="str">
        <f t="array" ref="BA107">_xlfn.IFNA((INDEX('DMR 001C TIN &amp; TP'!$A$3:$M$10005,MATCH(('Reg 85'!$AQ$6&amp;'Reg 85'!BA$10&amp;'Reg 85'!$B107),('DMR 001C TIN &amp; TP'!$E$3:$E$10005&amp;'DMR 001C TIN &amp; TP'!$B$3:$B$10005&amp;'DMR 001C TIN &amp; TP'!$A$3:$A$10005),0),MATCH('Reg 85'!$AG$11,'DMR 001C TIN &amp; TP'!$A$2:$M$2,0))),"")</f>
        <v/>
      </c>
      <c r="BB107" s="6" t="str">
        <f t="array" ref="BB107">_xlfn.IFNA((INDEX('DMR 001C TIN &amp; TP'!$A$3:$M$10005,MATCH(('Reg 85'!$AQ$6&amp;'Reg 85'!BB$10&amp;'Reg 85'!$B107),('DMR 001C TIN &amp; TP'!$E$3:$E$10005&amp;'DMR 001C TIN &amp; TP'!$B$3:$B$10005&amp;'DMR 001C TIN &amp; TP'!$A$3:$A$10005),0),MATCH('Reg 85'!$AG$11,'DMR 001C TIN &amp; TP'!$A$2:$M$2,0))),"")</f>
        <v/>
      </c>
      <c r="BC107" s="6" t="str">
        <f t="array" ref="BC107">_xlfn.IFNA((INDEX('DMR 001C TIN &amp; TP'!$A$3:$M$10005,MATCH(('Reg 85'!$AQ$6&amp;'Reg 85'!BC$10&amp;'Reg 85'!$B107),('DMR 001C TIN &amp; TP'!$E$3:$E$10005&amp;'DMR 001C TIN &amp; TP'!$B$3:$B$10005&amp;'DMR 001C TIN &amp; TP'!$A$3:$A$10005),0),MATCH('Reg 85'!$AG$11,'DMR 001C TIN &amp; TP'!$A$2:$M$2,0))),"")</f>
        <v/>
      </c>
      <c r="BD107" s="6" t="str">
        <f t="array" ref="BD107">_xlfn.IFNA((INDEX('DMR 001C TIN &amp; TP'!$A$3:$M$10005,MATCH(('Reg 85'!$AQ$6&amp;'Reg 85'!BD$10&amp;'Reg 85'!$B107),('DMR 001C TIN &amp; TP'!$E$3:$E$10005&amp;'DMR 001C TIN &amp; TP'!$B$3:$B$10005&amp;'DMR 001C TIN &amp; TP'!$A$3:$A$10005),0),MATCH('Reg 85'!$AG$11,'DMR 001C TIN &amp; TP'!$A$2:$M$2,0))),"")</f>
        <v/>
      </c>
      <c r="BE107" s="6" t="str">
        <f t="array" ref="BE107">_xlfn.IFNA((INDEX('DMR 001C TIN &amp; TP'!$A$3:$M$10005,MATCH(('Reg 85'!$AQ$6&amp;'Reg 85'!BE$10&amp;'Reg 85'!$B107),('DMR 001C TIN &amp; TP'!$E$3:$E$10005&amp;'DMR 001C TIN &amp; TP'!$B$3:$B$10005&amp;'DMR 001C TIN &amp; TP'!$A$3:$A$10005),0),MATCH('Reg 85'!$AG$11,'DMR 001C TIN &amp; TP'!$A$2:$M$2,0))),"")</f>
        <v/>
      </c>
      <c r="BF107" s="6" t="str">
        <f t="array" ref="BF107">_xlfn.IFNA((INDEX('DMR 001C TIN &amp; TP'!$A$3:$M$10005,MATCH(('Reg 85'!$AQ$6&amp;'Reg 85'!BF$10&amp;'Reg 85'!$B107),('DMR 001C TIN &amp; TP'!$E$3:$E$10005&amp;'DMR 001C TIN &amp; TP'!$B$3:$B$10005&amp;'DMR 001C TIN &amp; TP'!$A$3:$A$10005),0),MATCH('Reg 85'!$AG$11,'DMR 001C TIN &amp; TP'!$A$2:$M$2,0))),"")</f>
        <v/>
      </c>
    </row>
    <row r="108" spans="1:58">
      <c r="A108" s="3" t="str">
        <f t="shared" si="42"/>
        <v>Thu</v>
      </c>
      <c r="B108" s="96">
        <f t="shared" si="58"/>
        <v>43440</v>
      </c>
      <c r="C108" s="96">
        <f t="shared" si="43"/>
        <v>43465</v>
      </c>
      <c r="D108" s="96">
        <f t="shared" si="44"/>
        <v>43435</v>
      </c>
      <c r="E108" s="95">
        <f t="shared" si="45"/>
        <v>31</v>
      </c>
      <c r="F108" s="7">
        <f t="array" ref="F108">_xlfn.IFNA(INDEX('DMR Flows-Effluent'!$A$3:$F$9999,MATCH(($F$10&amp;$B108),('DMR Flows-Effluent'!$B$3:$B$9999&amp;'DMR Flows-Effluent'!$A$3:$A$9999),0),MATCH($F$8,'DMR Flows-Effluent'!$A$2:$F$2,0)),"")</f>
        <v>26.304099999999998</v>
      </c>
      <c r="G108" s="7">
        <f t="array" ref="G108">_xlfn.IFNA(INDEX('DMR Flows-Effluent'!$A$3:$F$9999,MATCH(($G$10&amp;$B108),('DMR Flows-Effluent'!$B$3:$B$9999&amp;'DMR Flows-Effluent'!$A$3:$A$9999),0),MATCH($F$8,'DMR Flows-Effluent'!$A$2:$F$2,0)),"")</f>
        <v>90.5595</v>
      </c>
      <c r="H108" s="7">
        <f t="shared" si="46"/>
        <v>116.86359999999999</v>
      </c>
      <c r="I108" s="45" t="str">
        <f t="shared" si="47"/>
        <v/>
      </c>
      <c r="J108" s="6" t="str">
        <f t="array" ref="J108">_xlfn.IFNA((INDEX('DMR 001C TIN &amp; TP'!$A$3:$M$10005,MATCH(('Reg 85'!$I$6:$Q$6&amp;'Reg 85'!$I$10:$K$10&amp;'Reg 85'!$B108),('DMR 001C TIN &amp; TP'!$E$3:$E$10005&amp;'DMR 001C TIN &amp; TP'!$B$3:$B$10005&amp;'DMR 001C TIN &amp; TP'!$A$3:$A$10005),0),MATCH('Reg 85'!$J$11,'DMR 001C TIN &amp; TP'!$A$2:$M$2,0))),"")</f>
        <v/>
      </c>
      <c r="K108" s="6" t="str">
        <f t="array" ref="K108">_xlfn.IFNA((INDEX('DMR 001C TIN &amp; TP'!$A$3:$M$10005,MATCH(('Reg 85'!$I$6:$Q$6&amp;'Reg 85'!$I$10:$K$10&amp;'Reg 85'!$B108),('DMR 001C TIN &amp; TP'!$E$3:$E$10005&amp;'DMR 001C TIN &amp; TP'!$B$3:$B$10005&amp;'DMR 001C TIN &amp; TP'!$A$3:$A$10005),0),MATCH('Reg 85'!$K$11,'DMR 001C TIN &amp; TP'!$A$2:$M$2,0))),"")</f>
        <v/>
      </c>
      <c r="L108" s="53" t="str">
        <f t="shared" si="59"/>
        <v/>
      </c>
      <c r="M108" s="5" t="str">
        <f t="shared" si="48"/>
        <v/>
      </c>
      <c r="N108" s="6" t="str">
        <f t="array" ref="N108">_xlfn.IFNA((INDEX('DMR 001C TIN &amp; TP'!$A$3:$M$10005,MATCH(('Reg 85'!$I$6:$Q$6&amp;'Reg 85'!$M$10&amp;'Reg 85'!$B108),('DMR 001C TIN &amp; TP'!$E$3:$E$10005&amp;'DMR 001C TIN &amp; TP'!$B$3:$B$10005&amp;'DMR 001C TIN &amp; TP'!$A$3:$A$10005),0),MATCH('Reg 85'!$N$11,'DMR 001C TIN &amp; TP'!$A$2:$M$2,0))),"")</f>
        <v/>
      </c>
      <c r="O108" s="6" t="str">
        <f t="array" ref="O108">_xlfn.IFNA((INDEX('DMR 001C TIN &amp; TP'!$A$3:$M$10005,MATCH(('Reg 85'!$I$6:$Q$6&amp;'Reg 85'!$M$10&amp;'Reg 85'!$B108),('DMR 001C TIN &amp; TP'!$E$3:$E$10005&amp;'DMR 001C TIN &amp; TP'!$B$3:$B$10005&amp;'DMR 001C TIN &amp; TP'!$A$3:$A$10005),0),MATCH('Reg 85'!$O$11,'DMR 001C TIN &amp; TP'!$A$2:$M$2,0))),"")</f>
        <v/>
      </c>
      <c r="P108" s="53" t="str">
        <f t="shared" si="49"/>
        <v/>
      </c>
      <c r="Q108" s="73" t="str">
        <f t="array" ref="Q108">IFERROR(((L108*$F108)+(P108*$G108))/($H108),"")</f>
        <v/>
      </c>
      <c r="R108" s="6" t="str">
        <f t="array" ref="R108">_xlfn.IFNA((INDEX('DMR 001C TIN &amp; TP'!$A$3:$M$10005,MATCH(('Reg 85'!$I$6:$Q$6&amp;'Reg 85'!R$10&amp;'Reg 85'!$B108),('DMR 001C TIN &amp; TP'!$E$3:$E$10005&amp;'DMR 001C TIN &amp; TP'!$B$3:$B$10005&amp;'DMR 001C TIN &amp; TP'!$A$3:$A$10005),0),MATCH('Reg 85'!$O$11,'DMR 001C TIN &amp; TP'!$A$2:$M$2,0))),"")</f>
        <v/>
      </c>
      <c r="S108" s="6" t="str">
        <f t="array" ref="S108">_xlfn.IFNA((INDEX('DMR 001C TIN &amp; TP'!$A$3:$M$10005,MATCH(('Reg 85'!$I$6:$Q$6&amp;'Reg 85'!S$10&amp;'Reg 85'!$B108),('DMR 001C TIN &amp; TP'!$E$3:$E$10005&amp;'DMR 001C TIN &amp; TP'!$B$3:$B$10005&amp;'DMR 001C TIN &amp; TP'!$A$3:$A$10005),0),MATCH('Reg 85'!$O$11,'DMR 001C TIN &amp; TP'!$A$2:$M$2,0))),"")</f>
        <v/>
      </c>
      <c r="T108" s="6" t="str">
        <f t="array" ref="T108">_xlfn.IFNA((INDEX('DMR 001C TIN &amp; TP'!$A$3:$M$10005,MATCH(('Reg 85'!$I$6:$Q$6&amp;'Reg 85'!T$10&amp;'Reg 85'!$B108),('DMR 001C TIN &amp; TP'!$E$3:$E$10005&amp;'DMR 001C TIN &amp; TP'!$B$3:$B$10005&amp;'DMR 001C TIN &amp; TP'!$A$3:$A$10005),0),MATCH('Reg 85'!$O$11,'DMR 001C TIN &amp; TP'!$A$2:$M$2,0))),"")</f>
        <v/>
      </c>
      <c r="U108" s="6" t="str">
        <f t="array" ref="U108">_xlfn.IFNA((INDEX('DMR 001C TIN &amp; TP'!$A$3:$M$10005,MATCH(('Reg 85'!$I$6:$Q$6&amp;'Reg 85'!U$10&amp;'Reg 85'!$B108),('DMR 001C TIN &amp; TP'!$E$3:$E$10005&amp;'DMR 001C TIN &amp; TP'!$B$3:$B$10005&amp;'DMR 001C TIN &amp; TP'!$A$3:$A$10005),0),MATCH('Reg 85'!$O$11,'DMR 001C TIN &amp; TP'!$A$2:$M$2,0))),"")</f>
        <v/>
      </c>
      <c r="V108" s="6" t="str">
        <f t="array" ref="V108">_xlfn.IFNA((INDEX('DMR 001C TIN &amp; TP'!$A$3:$M$10005,MATCH(('Reg 85'!$I$6:$Q$6&amp;'Reg 85'!V$10&amp;'Reg 85'!$B108),('DMR 001C TIN &amp; TP'!$E$3:$E$10005&amp;'DMR 001C TIN &amp; TP'!$B$3:$B$10005&amp;'DMR 001C TIN &amp; TP'!$A$3:$A$10005),0),MATCH('Reg 85'!$O$11,'DMR 001C TIN &amp; TP'!$A$2:$M$2,0))),"")</f>
        <v/>
      </c>
      <c r="W108" s="6" t="str">
        <f t="array" ref="W108">_xlfn.IFNA((INDEX('DMR 001C TIN &amp; TP'!$A$3:$M$10005,MATCH(('Reg 85'!$I$6:$Q$6&amp;'Reg 85'!W$10&amp;'Reg 85'!$B108),('DMR 001C TIN &amp; TP'!$E$3:$E$10005&amp;'DMR 001C TIN &amp; TP'!$B$3:$B$10005&amp;'DMR 001C TIN &amp; TP'!$A$3:$A$10005),0),MATCH('Reg 85'!$O$11,'DMR 001C TIN &amp; TP'!$A$2:$M$2,0))),"")</f>
        <v/>
      </c>
      <c r="X108" s="5" t="str">
        <f t="shared" si="50"/>
        <v/>
      </c>
      <c r="Y108" s="6" t="str">
        <f t="array" ref="Y108">_xlfn.IFNA((INDEX('DMR 001C TIN &amp; TP'!$A$3:$M$10005,MATCH(('Reg 85'!$X$6&amp;'Reg 85'!$X$10&amp;'Reg 85'!$B108),('DMR 001C TIN &amp; TP'!$E$3:$E$10005&amp;'DMR 001C TIN &amp; TP'!$B$3:$B$10005&amp;'DMR 001C TIN &amp; TP'!$A$3:$A$10005),0),MATCH('Reg 85'!$Y$11,'DMR 001C TIN &amp; TP'!$A$2:$M$2,0))),"")</f>
        <v/>
      </c>
      <c r="Z108" s="6" t="str">
        <f t="array" ref="Z108">_xlfn.IFNA((INDEX('DMR 001C TIN &amp; TP'!$A$3:$M$10005,MATCH(('Reg 85'!$X$6&amp;'Reg 85'!$X$10&amp;'Reg 85'!$B108),('DMR 001C TIN &amp; TP'!$E$3:$E$10005&amp;'DMR 001C TIN &amp; TP'!$B$3:$B$10005&amp;'DMR 001C TIN &amp; TP'!$A$3:$A$10005),0),MATCH('Reg 85'!$Z$11,'DMR 001C TIN &amp; TP'!$A$2:$M$2,0))),"")</f>
        <v/>
      </c>
      <c r="AA108" s="53" t="str">
        <f t="shared" si="51"/>
        <v/>
      </c>
      <c r="AB108" s="5" t="str">
        <f t="shared" si="52"/>
        <v/>
      </c>
      <c r="AC108" s="6" t="str">
        <f t="array" ref="AC108">_xlfn.IFNA((INDEX('DMR 001C TIN &amp; TP'!$A$3:$M$10005,MATCH(('Reg 85'!$X$6&amp;'Reg 85'!$AB$10&amp;'Reg 85'!$B108),('DMR 001C TIN &amp; TP'!$E$3:$E$10005&amp;'DMR 001C TIN &amp; TP'!$B$3:$B$10005&amp;'DMR 001C TIN &amp; TP'!$A$3:$A$10005),0),MATCH('Reg 85'!$AC$11,'DMR 001C TIN &amp; TP'!$A$2:$M$2,0))),"")</f>
        <v/>
      </c>
      <c r="AD108" s="6" t="str">
        <f t="array" ref="AD108">_xlfn.IFNA((INDEX('DMR 001C TIN &amp; TP'!$A$3:$M$10005,MATCH(('Reg 85'!$X$6&amp;'Reg 85'!$AB$10&amp;'Reg 85'!$B108),('DMR 001C TIN &amp; TP'!$E$3:$E$10005&amp;'DMR 001C TIN &amp; TP'!$B$3:$B$10005&amp;'DMR 001C TIN &amp; TP'!$A$3:$A$10005),0),MATCH('Reg 85'!$AD$11,'DMR 001C TIN &amp; TP'!$A$2:$M$2,0))),"")</f>
        <v/>
      </c>
      <c r="AE108" s="53" t="str">
        <f t="shared" si="53"/>
        <v/>
      </c>
      <c r="AF108" s="7" t="str">
        <f t="shared" si="54"/>
        <v/>
      </c>
      <c r="AG108" s="6" t="str">
        <f t="array" ref="AG108">_xlfn.IFNA((INDEX('DMR 001C TIN &amp; TP'!$A$3:$M$10005,MATCH(('Reg 85'!$X$6&amp;'Reg 85'!AG$10&amp;'Reg 85'!$B108),('DMR 001C TIN &amp; TP'!$E$3:$E$10005&amp;'DMR 001C TIN &amp; TP'!$B$3:$B$10005&amp;'DMR 001C TIN &amp; TP'!$A$3:$A$10005),0),MATCH('Reg 85'!$AG$11,'DMR 001C TIN &amp; TP'!$A$2:$M$2,0))),"")</f>
        <v/>
      </c>
      <c r="AH108" s="6" t="str">
        <f t="array" ref="AH108">_xlfn.IFNA((INDEX('DMR 001C TIN &amp; TP'!$A$3:$M$10005,MATCH(('Reg 85'!$X$6&amp;'Reg 85'!AH$10&amp;'Reg 85'!$B108),('DMR 001C TIN &amp; TP'!$E$3:$E$10005&amp;'DMR 001C TIN &amp; TP'!$B$3:$B$10005&amp;'DMR 001C TIN &amp; TP'!$A$3:$A$10005),0),MATCH('Reg 85'!$AG$11,'DMR 001C TIN &amp; TP'!$A$2:$M$2,0))),"")</f>
        <v/>
      </c>
      <c r="AI108" s="6" t="str">
        <f t="array" ref="AI108">_xlfn.IFNA((INDEX('DMR 001C TIN &amp; TP'!$A$3:$M$10005,MATCH(('Reg 85'!$X$6&amp;'Reg 85'!AI$10&amp;'Reg 85'!$B108),('DMR 001C TIN &amp; TP'!$E$3:$E$10005&amp;'DMR 001C TIN &amp; TP'!$B$3:$B$10005&amp;'DMR 001C TIN &amp; TP'!$A$3:$A$10005),0),MATCH('Reg 85'!$AG$11,'DMR 001C TIN &amp; TP'!$A$2:$M$2,0))),"")</f>
        <v/>
      </c>
      <c r="AJ108" s="6" t="str">
        <f t="array" ref="AJ108">_xlfn.IFNA((INDEX('DMR 001C TIN &amp; TP'!$A$3:$M$10005,MATCH(('Reg 85'!$X$6&amp;'Reg 85'!AJ$10&amp;'Reg 85'!$B108),('DMR 001C TIN &amp; TP'!$E$3:$E$10005&amp;'DMR 001C TIN &amp; TP'!$B$3:$B$10005&amp;'DMR 001C TIN &amp; TP'!$A$3:$A$10005),0),MATCH('Reg 85'!$AG$11,'DMR 001C TIN &amp; TP'!$A$2:$M$2,0))),"")</f>
        <v/>
      </c>
      <c r="AK108" s="6" t="str">
        <f t="array" ref="AK108">_xlfn.IFNA((INDEX('DMR 001C TIN &amp; TP'!$A$3:$M$10005,MATCH(('Reg 85'!$X$6&amp;'Reg 85'!AK$10&amp;'Reg 85'!$B108),('DMR 001C TIN &amp; TP'!$E$3:$E$10005&amp;'DMR 001C TIN &amp; TP'!$B$3:$B$10005&amp;'DMR 001C TIN &amp; TP'!$A$3:$A$10005),0),MATCH('Reg 85'!$AG$11,'DMR 001C TIN &amp; TP'!$A$2:$M$2,0))),"")</f>
        <v/>
      </c>
      <c r="AL108" s="6" t="str">
        <f t="array" ref="AL108">_xlfn.IFNA((INDEX('DMR 001C TIN &amp; TP'!$A$3:$M$10005,MATCH(('Reg 85'!$X$6&amp;'Reg 85'!AL$10&amp;'Reg 85'!$B108),('DMR 001C TIN &amp; TP'!$E$3:$E$10005&amp;'DMR 001C TIN &amp; TP'!$B$3:$B$10005&amp;'DMR 001C TIN &amp; TP'!$A$3:$A$10005),0),MATCH('Reg 85'!$AG$11,'DMR 001C TIN &amp; TP'!$A$2:$M$2,0))),"")</f>
        <v/>
      </c>
      <c r="AM108" s="76"/>
      <c r="AN108" s="6"/>
      <c r="AO108" s="54" t="str">
        <f t="shared" si="41"/>
        <v/>
      </c>
      <c r="AP108" s="77" t="str">
        <f t="shared" si="60"/>
        <v/>
      </c>
      <c r="AQ108" s="47"/>
      <c r="AR108" s="6" t="str">
        <f t="array" ref="AR108">_xlfn.IFNA((INDEX('DMR 001C TIN &amp; TP'!$A$3:$M$10005,MATCH(('Reg 85'!$AQ$6&amp;'Reg 85'!$AQ$10&amp;'Reg 85'!$B108),('DMR 001C TIN &amp; TP'!$E$3:$E$10005&amp;'DMR 001C TIN &amp; TP'!$B$3:$B$10005&amp;'DMR 001C TIN &amp; TP'!$A$3:$A$10005),0),MATCH('Reg 85'!$AR$11,'DMR 001C TIN &amp; TP'!$A$2:$M$2,0))),"")</f>
        <v>0.03</v>
      </c>
      <c r="AS108" s="6">
        <f t="array" ref="AS108">_xlfn.IFNA((INDEX('DMR 001C TIN &amp; TP'!$A$3:$M$10005,MATCH(('Reg 85'!$AQ$6&amp;'Reg 85'!$AQ$10&amp;'Reg 85'!$B108),('DMR 001C TIN &amp; TP'!$E$3:$E$10005&amp;'DMR 001C TIN &amp; TP'!$B$3:$B$10005&amp;'DMR 001C TIN &amp; TP'!$A$3:$A$10005),0),MATCH('Reg 85'!$AS$11,'DMR 001C TIN &amp; TP'!$A$2:$M$2,0))),"")</f>
        <v>0.27</v>
      </c>
      <c r="AT108" s="53">
        <f t="shared" si="55"/>
        <v>0.27</v>
      </c>
      <c r="AV108" s="6" t="str">
        <f t="array" ref="AV108">_xlfn.IFNA((INDEX('DMR 001C TIN &amp; TP'!$A$3:$M$10005,MATCH(('Reg 85'!$AQ$6&amp;'Reg 85'!$AU$10&amp;'Reg 85'!$B108),('DMR 001C TIN &amp; TP'!$E$3:$E$10005&amp;'DMR 001C TIN &amp; TP'!$B$3:$B$10005&amp;'DMR 001C TIN &amp; TP'!$A$3:$A$10005),0),MATCH('Reg 85'!$AV$11,'DMR 001C TIN &amp; TP'!$A$2:$M$2,0))),"")</f>
        <v>0.03</v>
      </c>
      <c r="AW108" s="6">
        <f t="array" ref="AW108">_xlfn.IFNA((INDEX('DMR 001C TIN &amp; TP'!$A$3:$M$10005,MATCH(('Reg 85'!$AQ$6&amp;'Reg 85'!$AU$10&amp;'Reg 85'!$B108),('DMR 001C TIN &amp; TP'!$E$3:$E$10005&amp;'DMR 001C TIN &amp; TP'!$B$3:$B$10005&amp;'DMR 001C TIN &amp; TP'!$A$3:$A$10005),0),MATCH('Reg 85'!$AW$11,'DMR 001C TIN &amp; TP'!$A$2:$M$2,0))),"")</f>
        <v>3.55</v>
      </c>
      <c r="AX108" s="53">
        <f t="shared" si="56"/>
        <v>3.55</v>
      </c>
      <c r="AY108" s="55">
        <f t="shared" si="57"/>
        <v>2.8117252249631193</v>
      </c>
      <c r="AZ108" s="77" t="str">
        <f t="shared" si="61"/>
        <v/>
      </c>
      <c r="BA108" s="6" t="str">
        <f t="array" ref="BA108">_xlfn.IFNA((INDEX('DMR 001C TIN &amp; TP'!$A$3:$M$10005,MATCH(('Reg 85'!$AQ$6&amp;'Reg 85'!BA$10&amp;'Reg 85'!$B108),('DMR 001C TIN &amp; TP'!$E$3:$E$10005&amp;'DMR 001C TIN &amp; TP'!$B$3:$B$10005&amp;'DMR 001C TIN &amp; TP'!$A$3:$A$10005),0),MATCH('Reg 85'!$AG$11,'DMR 001C TIN &amp; TP'!$A$2:$M$2,0))),"")</f>
        <v/>
      </c>
      <c r="BB108" s="6" t="str">
        <f t="array" ref="BB108">_xlfn.IFNA((INDEX('DMR 001C TIN &amp; TP'!$A$3:$M$10005,MATCH(('Reg 85'!$AQ$6&amp;'Reg 85'!BB$10&amp;'Reg 85'!$B108),('DMR 001C TIN &amp; TP'!$E$3:$E$10005&amp;'DMR 001C TIN &amp; TP'!$B$3:$B$10005&amp;'DMR 001C TIN &amp; TP'!$A$3:$A$10005),0),MATCH('Reg 85'!$AG$11,'DMR 001C TIN &amp; TP'!$A$2:$M$2,0))),"")</f>
        <v/>
      </c>
      <c r="BC108" s="6" t="str">
        <f t="array" ref="BC108">_xlfn.IFNA((INDEX('DMR 001C TIN &amp; TP'!$A$3:$M$10005,MATCH(('Reg 85'!$AQ$6&amp;'Reg 85'!BC$10&amp;'Reg 85'!$B108),('DMR 001C TIN &amp; TP'!$E$3:$E$10005&amp;'DMR 001C TIN &amp; TP'!$B$3:$B$10005&amp;'DMR 001C TIN &amp; TP'!$A$3:$A$10005),0),MATCH('Reg 85'!$AG$11,'DMR 001C TIN &amp; TP'!$A$2:$M$2,0))),"")</f>
        <v/>
      </c>
      <c r="BD108" s="6" t="str">
        <f t="array" ref="BD108">_xlfn.IFNA((INDEX('DMR 001C TIN &amp; TP'!$A$3:$M$10005,MATCH(('Reg 85'!$AQ$6&amp;'Reg 85'!BD$10&amp;'Reg 85'!$B108),('DMR 001C TIN &amp; TP'!$E$3:$E$10005&amp;'DMR 001C TIN &amp; TP'!$B$3:$B$10005&amp;'DMR 001C TIN &amp; TP'!$A$3:$A$10005),0),MATCH('Reg 85'!$AG$11,'DMR 001C TIN &amp; TP'!$A$2:$M$2,0))),"")</f>
        <v/>
      </c>
      <c r="BE108" s="6" t="str">
        <f t="array" ref="BE108">_xlfn.IFNA((INDEX('DMR 001C TIN &amp; TP'!$A$3:$M$10005,MATCH(('Reg 85'!$AQ$6&amp;'Reg 85'!BE$10&amp;'Reg 85'!$B108),('DMR 001C TIN &amp; TP'!$E$3:$E$10005&amp;'DMR 001C TIN &amp; TP'!$B$3:$B$10005&amp;'DMR 001C TIN &amp; TP'!$A$3:$A$10005),0),MATCH('Reg 85'!$AG$11,'DMR 001C TIN &amp; TP'!$A$2:$M$2,0))),"")</f>
        <v/>
      </c>
      <c r="BF108" s="6" t="str">
        <f t="array" ref="BF108">_xlfn.IFNA((INDEX('DMR 001C TIN &amp; TP'!$A$3:$M$10005,MATCH(('Reg 85'!$AQ$6&amp;'Reg 85'!BF$10&amp;'Reg 85'!$B108),('DMR 001C TIN &amp; TP'!$E$3:$E$10005&amp;'DMR 001C TIN &amp; TP'!$B$3:$B$10005&amp;'DMR 001C TIN &amp; TP'!$A$3:$A$10005),0),MATCH('Reg 85'!$AG$11,'DMR 001C TIN &amp; TP'!$A$2:$M$2,0))),"")</f>
        <v/>
      </c>
    </row>
    <row r="109" spans="1:58">
      <c r="A109" s="3" t="str">
        <f t="shared" si="42"/>
        <v>Fri</v>
      </c>
      <c r="B109" s="96">
        <f t="shared" si="58"/>
        <v>43441</v>
      </c>
      <c r="C109" s="96">
        <f t="shared" si="43"/>
        <v>43465</v>
      </c>
      <c r="D109" s="96">
        <f t="shared" si="44"/>
        <v>43435</v>
      </c>
      <c r="E109" s="95">
        <f t="shared" si="45"/>
        <v>31</v>
      </c>
      <c r="F109" s="7">
        <f t="array" ref="F109">_xlfn.IFNA(INDEX('DMR Flows-Effluent'!$A$3:$F$9999,MATCH(($F$10&amp;$B109),('DMR Flows-Effluent'!$B$3:$B$9999&amp;'DMR Flows-Effluent'!$A$3:$A$9999),0),MATCH($F$8,'DMR Flows-Effluent'!$A$2:$F$2,0)),"")</f>
        <v>34.674399999999999</v>
      </c>
      <c r="G109" s="7">
        <f t="array" ref="G109">_xlfn.IFNA(INDEX('DMR Flows-Effluent'!$A$3:$F$9999,MATCH(($G$10&amp;$B109),('DMR Flows-Effluent'!$B$3:$B$9999&amp;'DMR Flows-Effluent'!$A$3:$A$9999),0),MATCH($F$8,'DMR Flows-Effluent'!$A$2:$F$2,0)),"")</f>
        <v>87.698400000000007</v>
      </c>
      <c r="H109" s="7">
        <f t="shared" si="46"/>
        <v>122.37280000000001</v>
      </c>
      <c r="I109" s="45" t="str">
        <f t="shared" si="47"/>
        <v/>
      </c>
      <c r="J109" s="6" t="str">
        <f t="array" ref="J109">_xlfn.IFNA((INDEX('DMR 001C TIN &amp; TP'!$A$3:$M$10005,MATCH(('Reg 85'!$I$6:$Q$6&amp;'Reg 85'!$I$10:$K$10&amp;'Reg 85'!$B109),('DMR 001C TIN &amp; TP'!$E$3:$E$10005&amp;'DMR 001C TIN &amp; TP'!$B$3:$B$10005&amp;'DMR 001C TIN &amp; TP'!$A$3:$A$10005),0),MATCH('Reg 85'!$J$11,'DMR 001C TIN &amp; TP'!$A$2:$M$2,0))),"")</f>
        <v/>
      </c>
      <c r="K109" s="6" t="str">
        <f t="array" ref="K109">_xlfn.IFNA((INDEX('DMR 001C TIN &amp; TP'!$A$3:$M$10005,MATCH(('Reg 85'!$I$6:$Q$6&amp;'Reg 85'!$I$10:$K$10&amp;'Reg 85'!$B109),('DMR 001C TIN &amp; TP'!$E$3:$E$10005&amp;'DMR 001C TIN &amp; TP'!$B$3:$B$10005&amp;'DMR 001C TIN &amp; TP'!$A$3:$A$10005),0),MATCH('Reg 85'!$K$11,'DMR 001C TIN &amp; TP'!$A$2:$M$2,0))),"")</f>
        <v/>
      </c>
      <c r="L109" s="53" t="str">
        <f t="shared" si="59"/>
        <v/>
      </c>
      <c r="M109" s="5" t="str">
        <f t="shared" si="48"/>
        <v/>
      </c>
      <c r="N109" s="6" t="str">
        <f t="array" ref="N109">_xlfn.IFNA((INDEX('DMR 001C TIN &amp; TP'!$A$3:$M$10005,MATCH(('Reg 85'!$I$6:$Q$6&amp;'Reg 85'!$M$10&amp;'Reg 85'!$B109),('DMR 001C TIN &amp; TP'!$E$3:$E$10005&amp;'DMR 001C TIN &amp; TP'!$B$3:$B$10005&amp;'DMR 001C TIN &amp; TP'!$A$3:$A$10005),0),MATCH('Reg 85'!$N$11,'DMR 001C TIN &amp; TP'!$A$2:$M$2,0))),"")</f>
        <v/>
      </c>
      <c r="O109" s="6" t="str">
        <f t="array" ref="O109">_xlfn.IFNA((INDEX('DMR 001C TIN &amp; TP'!$A$3:$M$10005,MATCH(('Reg 85'!$I$6:$Q$6&amp;'Reg 85'!$M$10&amp;'Reg 85'!$B109),('DMR 001C TIN &amp; TP'!$E$3:$E$10005&amp;'DMR 001C TIN &amp; TP'!$B$3:$B$10005&amp;'DMR 001C TIN &amp; TP'!$A$3:$A$10005),0),MATCH('Reg 85'!$O$11,'DMR 001C TIN &amp; TP'!$A$2:$M$2,0))),"")</f>
        <v/>
      </c>
      <c r="P109" s="53" t="str">
        <f t="shared" si="49"/>
        <v/>
      </c>
      <c r="Q109" s="73" t="str">
        <f t="array" ref="Q109">IFERROR(((L109*$F109)+(P109*$G109))/($H109),"")</f>
        <v/>
      </c>
      <c r="R109" s="6" t="str">
        <f t="array" ref="R109">_xlfn.IFNA((INDEX('DMR 001C TIN &amp; TP'!$A$3:$M$10005,MATCH(('Reg 85'!$I$6:$Q$6&amp;'Reg 85'!R$10&amp;'Reg 85'!$B109),('DMR 001C TIN &amp; TP'!$E$3:$E$10005&amp;'DMR 001C TIN &amp; TP'!$B$3:$B$10005&amp;'DMR 001C TIN &amp; TP'!$A$3:$A$10005),0),MATCH('Reg 85'!$O$11,'DMR 001C TIN &amp; TP'!$A$2:$M$2,0))),"")</f>
        <v/>
      </c>
      <c r="S109" s="6" t="str">
        <f t="array" ref="S109">_xlfn.IFNA((INDEX('DMR 001C TIN &amp; TP'!$A$3:$M$10005,MATCH(('Reg 85'!$I$6:$Q$6&amp;'Reg 85'!S$10&amp;'Reg 85'!$B109),('DMR 001C TIN &amp; TP'!$E$3:$E$10005&amp;'DMR 001C TIN &amp; TP'!$B$3:$B$10005&amp;'DMR 001C TIN &amp; TP'!$A$3:$A$10005),0),MATCH('Reg 85'!$O$11,'DMR 001C TIN &amp; TP'!$A$2:$M$2,0))),"")</f>
        <v/>
      </c>
      <c r="T109" s="6" t="str">
        <f t="array" ref="T109">_xlfn.IFNA((INDEX('DMR 001C TIN &amp; TP'!$A$3:$M$10005,MATCH(('Reg 85'!$I$6:$Q$6&amp;'Reg 85'!T$10&amp;'Reg 85'!$B109),('DMR 001C TIN &amp; TP'!$E$3:$E$10005&amp;'DMR 001C TIN &amp; TP'!$B$3:$B$10005&amp;'DMR 001C TIN &amp; TP'!$A$3:$A$10005),0),MATCH('Reg 85'!$O$11,'DMR 001C TIN &amp; TP'!$A$2:$M$2,0))),"")</f>
        <v/>
      </c>
      <c r="U109" s="6" t="str">
        <f t="array" ref="U109">_xlfn.IFNA((INDEX('DMR 001C TIN &amp; TP'!$A$3:$M$10005,MATCH(('Reg 85'!$I$6:$Q$6&amp;'Reg 85'!U$10&amp;'Reg 85'!$B109),('DMR 001C TIN &amp; TP'!$E$3:$E$10005&amp;'DMR 001C TIN &amp; TP'!$B$3:$B$10005&amp;'DMR 001C TIN &amp; TP'!$A$3:$A$10005),0),MATCH('Reg 85'!$O$11,'DMR 001C TIN &amp; TP'!$A$2:$M$2,0))),"")</f>
        <v/>
      </c>
      <c r="V109" s="6" t="str">
        <f t="array" ref="V109">_xlfn.IFNA((INDEX('DMR 001C TIN &amp; TP'!$A$3:$M$10005,MATCH(('Reg 85'!$I$6:$Q$6&amp;'Reg 85'!V$10&amp;'Reg 85'!$B109),('DMR 001C TIN &amp; TP'!$E$3:$E$10005&amp;'DMR 001C TIN &amp; TP'!$B$3:$B$10005&amp;'DMR 001C TIN &amp; TP'!$A$3:$A$10005),0),MATCH('Reg 85'!$O$11,'DMR 001C TIN &amp; TP'!$A$2:$M$2,0))),"")</f>
        <v/>
      </c>
      <c r="W109" s="6" t="str">
        <f t="array" ref="W109">_xlfn.IFNA((INDEX('DMR 001C TIN &amp; TP'!$A$3:$M$10005,MATCH(('Reg 85'!$I$6:$Q$6&amp;'Reg 85'!W$10&amp;'Reg 85'!$B109),('DMR 001C TIN &amp; TP'!$E$3:$E$10005&amp;'DMR 001C TIN &amp; TP'!$B$3:$B$10005&amp;'DMR 001C TIN &amp; TP'!$A$3:$A$10005),0),MATCH('Reg 85'!$O$11,'DMR 001C TIN &amp; TP'!$A$2:$M$2,0))),"")</f>
        <v/>
      </c>
      <c r="X109" s="5" t="str">
        <f t="shared" si="50"/>
        <v/>
      </c>
      <c r="Y109" s="6" t="str">
        <f t="array" ref="Y109">_xlfn.IFNA((INDEX('DMR 001C TIN &amp; TP'!$A$3:$M$10005,MATCH(('Reg 85'!$X$6&amp;'Reg 85'!$X$10&amp;'Reg 85'!$B109),('DMR 001C TIN &amp; TP'!$E$3:$E$10005&amp;'DMR 001C TIN &amp; TP'!$B$3:$B$10005&amp;'DMR 001C TIN &amp; TP'!$A$3:$A$10005),0),MATCH('Reg 85'!$Y$11,'DMR 001C TIN &amp; TP'!$A$2:$M$2,0))),"")</f>
        <v/>
      </c>
      <c r="Z109" s="6" t="str">
        <f t="array" ref="Z109">_xlfn.IFNA((INDEX('DMR 001C TIN &amp; TP'!$A$3:$M$10005,MATCH(('Reg 85'!$X$6&amp;'Reg 85'!$X$10&amp;'Reg 85'!$B109),('DMR 001C TIN &amp; TP'!$E$3:$E$10005&amp;'DMR 001C TIN &amp; TP'!$B$3:$B$10005&amp;'DMR 001C TIN &amp; TP'!$A$3:$A$10005),0),MATCH('Reg 85'!$Z$11,'DMR 001C TIN &amp; TP'!$A$2:$M$2,0))),"")</f>
        <v/>
      </c>
      <c r="AA109" s="53" t="str">
        <f t="shared" si="51"/>
        <v/>
      </c>
      <c r="AB109" s="5" t="str">
        <f t="shared" si="52"/>
        <v/>
      </c>
      <c r="AC109" s="6" t="str">
        <f t="array" ref="AC109">_xlfn.IFNA((INDEX('DMR 001C TIN &amp; TP'!$A$3:$M$10005,MATCH(('Reg 85'!$X$6&amp;'Reg 85'!$AB$10&amp;'Reg 85'!$B109),('DMR 001C TIN &amp; TP'!$E$3:$E$10005&amp;'DMR 001C TIN &amp; TP'!$B$3:$B$10005&amp;'DMR 001C TIN &amp; TP'!$A$3:$A$10005),0),MATCH('Reg 85'!$AC$11,'DMR 001C TIN &amp; TP'!$A$2:$M$2,0))),"")</f>
        <v/>
      </c>
      <c r="AD109" s="6" t="str">
        <f t="array" ref="AD109">_xlfn.IFNA((INDEX('DMR 001C TIN &amp; TP'!$A$3:$M$10005,MATCH(('Reg 85'!$X$6&amp;'Reg 85'!$AB$10&amp;'Reg 85'!$B109),('DMR 001C TIN &amp; TP'!$E$3:$E$10005&amp;'DMR 001C TIN &amp; TP'!$B$3:$B$10005&amp;'DMR 001C TIN &amp; TP'!$A$3:$A$10005),0),MATCH('Reg 85'!$AD$11,'DMR 001C TIN &amp; TP'!$A$2:$M$2,0))),"")</f>
        <v/>
      </c>
      <c r="AE109" s="53" t="str">
        <f t="shared" si="53"/>
        <v/>
      </c>
      <c r="AF109" s="7" t="str">
        <f t="shared" si="54"/>
        <v/>
      </c>
      <c r="AG109" s="6" t="str">
        <f t="array" ref="AG109">_xlfn.IFNA((INDEX('DMR 001C TIN &amp; TP'!$A$3:$M$10005,MATCH(('Reg 85'!$X$6&amp;'Reg 85'!AG$10&amp;'Reg 85'!$B109),('DMR 001C TIN &amp; TP'!$E$3:$E$10005&amp;'DMR 001C TIN &amp; TP'!$B$3:$B$10005&amp;'DMR 001C TIN &amp; TP'!$A$3:$A$10005),0),MATCH('Reg 85'!$AG$11,'DMR 001C TIN &amp; TP'!$A$2:$M$2,0))),"")</f>
        <v/>
      </c>
      <c r="AH109" s="6" t="str">
        <f t="array" ref="AH109">_xlfn.IFNA((INDEX('DMR 001C TIN &amp; TP'!$A$3:$M$10005,MATCH(('Reg 85'!$X$6&amp;'Reg 85'!AH$10&amp;'Reg 85'!$B109),('DMR 001C TIN &amp; TP'!$E$3:$E$10005&amp;'DMR 001C TIN &amp; TP'!$B$3:$B$10005&amp;'DMR 001C TIN &amp; TP'!$A$3:$A$10005),0),MATCH('Reg 85'!$AG$11,'DMR 001C TIN &amp; TP'!$A$2:$M$2,0))),"")</f>
        <v/>
      </c>
      <c r="AI109" s="6" t="str">
        <f t="array" ref="AI109">_xlfn.IFNA((INDEX('DMR 001C TIN &amp; TP'!$A$3:$M$10005,MATCH(('Reg 85'!$X$6&amp;'Reg 85'!AI$10&amp;'Reg 85'!$B109),('DMR 001C TIN &amp; TP'!$E$3:$E$10005&amp;'DMR 001C TIN &amp; TP'!$B$3:$B$10005&amp;'DMR 001C TIN &amp; TP'!$A$3:$A$10005),0),MATCH('Reg 85'!$AG$11,'DMR 001C TIN &amp; TP'!$A$2:$M$2,0))),"")</f>
        <v/>
      </c>
      <c r="AJ109" s="6" t="str">
        <f t="array" ref="AJ109">_xlfn.IFNA((INDEX('DMR 001C TIN &amp; TP'!$A$3:$M$10005,MATCH(('Reg 85'!$X$6&amp;'Reg 85'!AJ$10&amp;'Reg 85'!$B109),('DMR 001C TIN &amp; TP'!$E$3:$E$10005&amp;'DMR 001C TIN &amp; TP'!$B$3:$B$10005&amp;'DMR 001C TIN &amp; TP'!$A$3:$A$10005),0),MATCH('Reg 85'!$AG$11,'DMR 001C TIN &amp; TP'!$A$2:$M$2,0))),"")</f>
        <v/>
      </c>
      <c r="AK109" s="6" t="str">
        <f t="array" ref="AK109">_xlfn.IFNA((INDEX('DMR 001C TIN &amp; TP'!$A$3:$M$10005,MATCH(('Reg 85'!$X$6&amp;'Reg 85'!AK$10&amp;'Reg 85'!$B109),('DMR 001C TIN &amp; TP'!$E$3:$E$10005&amp;'DMR 001C TIN &amp; TP'!$B$3:$B$10005&amp;'DMR 001C TIN &amp; TP'!$A$3:$A$10005),0),MATCH('Reg 85'!$AG$11,'DMR 001C TIN &amp; TP'!$A$2:$M$2,0))),"")</f>
        <v/>
      </c>
      <c r="AL109" s="6" t="str">
        <f t="array" ref="AL109">_xlfn.IFNA((INDEX('DMR 001C TIN &amp; TP'!$A$3:$M$10005,MATCH(('Reg 85'!$X$6&amp;'Reg 85'!AL$10&amp;'Reg 85'!$B109),('DMR 001C TIN &amp; TP'!$E$3:$E$10005&amp;'DMR 001C TIN &amp; TP'!$B$3:$B$10005&amp;'DMR 001C TIN &amp; TP'!$A$3:$A$10005),0),MATCH('Reg 85'!$AG$11,'DMR 001C TIN &amp; TP'!$A$2:$M$2,0))),"")</f>
        <v/>
      </c>
      <c r="AM109" s="76"/>
      <c r="AN109" s="6"/>
      <c r="AO109" s="54" t="str">
        <f t="shared" si="41"/>
        <v/>
      </c>
      <c r="AP109" s="77" t="str">
        <f t="shared" si="60"/>
        <v/>
      </c>
      <c r="AQ109" s="47"/>
      <c r="AR109" s="6" t="str">
        <f t="array" ref="AR109">_xlfn.IFNA((INDEX('DMR 001C TIN &amp; TP'!$A$3:$M$10005,MATCH(('Reg 85'!$AQ$6&amp;'Reg 85'!$AQ$10&amp;'Reg 85'!$B109),('DMR 001C TIN &amp; TP'!$E$3:$E$10005&amp;'DMR 001C TIN &amp; TP'!$B$3:$B$10005&amp;'DMR 001C TIN &amp; TP'!$A$3:$A$10005),0),MATCH('Reg 85'!$AR$11,'DMR 001C TIN &amp; TP'!$A$2:$M$2,0))),"")</f>
        <v/>
      </c>
      <c r="AS109" s="6" t="str">
        <f t="array" ref="AS109">_xlfn.IFNA((INDEX('DMR 001C TIN &amp; TP'!$A$3:$M$10005,MATCH(('Reg 85'!$AQ$6&amp;'Reg 85'!$AQ$10&amp;'Reg 85'!$B109),('DMR 001C TIN &amp; TP'!$E$3:$E$10005&amp;'DMR 001C TIN &amp; TP'!$B$3:$B$10005&amp;'DMR 001C TIN &amp; TP'!$A$3:$A$10005),0),MATCH('Reg 85'!$AS$11,'DMR 001C TIN &amp; TP'!$A$2:$M$2,0))),"")</f>
        <v/>
      </c>
      <c r="AT109" s="53" t="str">
        <f t="shared" si="55"/>
        <v/>
      </c>
      <c r="AV109" s="6" t="str">
        <f t="array" ref="AV109">_xlfn.IFNA((INDEX('DMR 001C TIN &amp; TP'!$A$3:$M$10005,MATCH(('Reg 85'!$AQ$6&amp;'Reg 85'!$AU$10&amp;'Reg 85'!$B109),('DMR 001C TIN &amp; TP'!$E$3:$E$10005&amp;'DMR 001C TIN &amp; TP'!$B$3:$B$10005&amp;'DMR 001C TIN &amp; TP'!$A$3:$A$10005),0),MATCH('Reg 85'!$AV$11,'DMR 001C TIN &amp; TP'!$A$2:$M$2,0))),"")</f>
        <v/>
      </c>
      <c r="AW109" s="6" t="str">
        <f t="array" ref="AW109">_xlfn.IFNA((INDEX('DMR 001C TIN &amp; TP'!$A$3:$M$10005,MATCH(('Reg 85'!$AQ$6&amp;'Reg 85'!$AU$10&amp;'Reg 85'!$B109),('DMR 001C TIN &amp; TP'!$E$3:$E$10005&amp;'DMR 001C TIN &amp; TP'!$B$3:$B$10005&amp;'DMR 001C TIN &amp; TP'!$A$3:$A$10005),0),MATCH('Reg 85'!$AW$11,'DMR 001C TIN &amp; TP'!$A$2:$M$2,0))),"")</f>
        <v/>
      </c>
      <c r="AX109" s="53" t="str">
        <f t="shared" si="56"/>
        <v/>
      </c>
      <c r="AY109" s="55" t="str">
        <f t="shared" si="57"/>
        <v/>
      </c>
      <c r="AZ109" s="77" t="str">
        <f t="shared" si="61"/>
        <v/>
      </c>
      <c r="BA109" s="6" t="str">
        <f t="array" ref="BA109">_xlfn.IFNA((INDEX('DMR 001C TIN &amp; TP'!$A$3:$M$10005,MATCH(('Reg 85'!$AQ$6&amp;'Reg 85'!BA$10&amp;'Reg 85'!$B109),('DMR 001C TIN &amp; TP'!$E$3:$E$10005&amp;'DMR 001C TIN &amp; TP'!$B$3:$B$10005&amp;'DMR 001C TIN &amp; TP'!$A$3:$A$10005),0),MATCH('Reg 85'!$AG$11,'DMR 001C TIN &amp; TP'!$A$2:$M$2,0))),"")</f>
        <v/>
      </c>
      <c r="BB109" s="6" t="str">
        <f t="array" ref="BB109">_xlfn.IFNA((INDEX('DMR 001C TIN &amp; TP'!$A$3:$M$10005,MATCH(('Reg 85'!$AQ$6&amp;'Reg 85'!BB$10&amp;'Reg 85'!$B109),('DMR 001C TIN &amp; TP'!$E$3:$E$10005&amp;'DMR 001C TIN &amp; TP'!$B$3:$B$10005&amp;'DMR 001C TIN &amp; TP'!$A$3:$A$10005),0),MATCH('Reg 85'!$AG$11,'DMR 001C TIN &amp; TP'!$A$2:$M$2,0))),"")</f>
        <v/>
      </c>
      <c r="BC109" s="6" t="str">
        <f t="array" ref="BC109">_xlfn.IFNA((INDEX('DMR 001C TIN &amp; TP'!$A$3:$M$10005,MATCH(('Reg 85'!$AQ$6&amp;'Reg 85'!BC$10&amp;'Reg 85'!$B109),('DMR 001C TIN &amp; TP'!$E$3:$E$10005&amp;'DMR 001C TIN &amp; TP'!$B$3:$B$10005&amp;'DMR 001C TIN &amp; TP'!$A$3:$A$10005),0),MATCH('Reg 85'!$AG$11,'DMR 001C TIN &amp; TP'!$A$2:$M$2,0))),"")</f>
        <v/>
      </c>
      <c r="BD109" s="6" t="str">
        <f t="array" ref="BD109">_xlfn.IFNA((INDEX('DMR 001C TIN &amp; TP'!$A$3:$M$10005,MATCH(('Reg 85'!$AQ$6&amp;'Reg 85'!BD$10&amp;'Reg 85'!$B109),('DMR 001C TIN &amp; TP'!$E$3:$E$10005&amp;'DMR 001C TIN &amp; TP'!$B$3:$B$10005&amp;'DMR 001C TIN &amp; TP'!$A$3:$A$10005),0),MATCH('Reg 85'!$AG$11,'DMR 001C TIN &amp; TP'!$A$2:$M$2,0))),"")</f>
        <v/>
      </c>
      <c r="BE109" s="6" t="str">
        <f t="array" ref="BE109">_xlfn.IFNA((INDEX('DMR 001C TIN &amp; TP'!$A$3:$M$10005,MATCH(('Reg 85'!$AQ$6&amp;'Reg 85'!BE$10&amp;'Reg 85'!$B109),('DMR 001C TIN &amp; TP'!$E$3:$E$10005&amp;'DMR 001C TIN &amp; TP'!$B$3:$B$10005&amp;'DMR 001C TIN &amp; TP'!$A$3:$A$10005),0),MATCH('Reg 85'!$AG$11,'DMR 001C TIN &amp; TP'!$A$2:$M$2,0))),"")</f>
        <v/>
      </c>
      <c r="BF109" s="6" t="str">
        <f t="array" ref="BF109">_xlfn.IFNA((INDEX('DMR 001C TIN &amp; TP'!$A$3:$M$10005,MATCH(('Reg 85'!$AQ$6&amp;'Reg 85'!BF$10&amp;'Reg 85'!$B109),('DMR 001C TIN &amp; TP'!$E$3:$E$10005&amp;'DMR 001C TIN &amp; TP'!$B$3:$B$10005&amp;'DMR 001C TIN &amp; TP'!$A$3:$A$10005),0),MATCH('Reg 85'!$AG$11,'DMR 001C TIN &amp; TP'!$A$2:$M$2,0))),"")</f>
        <v/>
      </c>
    </row>
    <row r="110" spans="1:58">
      <c r="A110" s="3" t="str">
        <f t="shared" si="42"/>
        <v>Sat</v>
      </c>
      <c r="B110" s="96">
        <f t="shared" si="58"/>
        <v>43442</v>
      </c>
      <c r="C110" s="96">
        <f t="shared" si="43"/>
        <v>43465</v>
      </c>
      <c r="D110" s="96">
        <f t="shared" si="44"/>
        <v>43435</v>
      </c>
      <c r="E110" s="95">
        <f t="shared" si="45"/>
        <v>31</v>
      </c>
      <c r="F110" s="7">
        <f t="array" ref="F110">_xlfn.IFNA(INDEX('DMR Flows-Effluent'!$A$3:$F$9999,MATCH(($F$10&amp;$B110),('DMR Flows-Effluent'!$B$3:$B$9999&amp;'DMR Flows-Effluent'!$A$3:$A$9999),0),MATCH($F$8,'DMR Flows-Effluent'!$A$2:$F$2,0)),"")</f>
        <v>36.966999999999999</v>
      </c>
      <c r="G110" s="7">
        <f t="array" ref="G110">_xlfn.IFNA(INDEX('DMR Flows-Effluent'!$A$3:$F$9999,MATCH(($G$10&amp;$B110),('DMR Flows-Effluent'!$B$3:$B$9999&amp;'DMR Flows-Effluent'!$A$3:$A$9999),0),MATCH($F$8,'DMR Flows-Effluent'!$A$2:$F$2,0)),"")</f>
        <v>85.840599999999995</v>
      </c>
      <c r="H110" s="7">
        <f t="shared" si="46"/>
        <v>122.80759999999999</v>
      </c>
      <c r="I110" s="45" t="str">
        <f t="shared" si="47"/>
        <v/>
      </c>
      <c r="J110" s="6" t="str">
        <f t="array" ref="J110">_xlfn.IFNA((INDEX('DMR 001C TIN &amp; TP'!$A$3:$M$10005,MATCH(('Reg 85'!$I$6:$Q$6&amp;'Reg 85'!$I$10:$K$10&amp;'Reg 85'!$B110),('DMR 001C TIN &amp; TP'!$E$3:$E$10005&amp;'DMR 001C TIN &amp; TP'!$B$3:$B$10005&amp;'DMR 001C TIN &amp; TP'!$A$3:$A$10005),0),MATCH('Reg 85'!$J$11,'DMR 001C TIN &amp; TP'!$A$2:$M$2,0))),"")</f>
        <v/>
      </c>
      <c r="K110" s="6" t="str">
        <f t="array" ref="K110">_xlfn.IFNA((INDEX('DMR 001C TIN &amp; TP'!$A$3:$M$10005,MATCH(('Reg 85'!$I$6:$Q$6&amp;'Reg 85'!$I$10:$K$10&amp;'Reg 85'!$B110),('DMR 001C TIN &amp; TP'!$E$3:$E$10005&amp;'DMR 001C TIN &amp; TP'!$B$3:$B$10005&amp;'DMR 001C TIN &amp; TP'!$A$3:$A$10005),0),MATCH('Reg 85'!$K$11,'DMR 001C TIN &amp; TP'!$A$2:$M$2,0))),"")</f>
        <v/>
      </c>
      <c r="L110" s="53" t="str">
        <f t="shared" si="59"/>
        <v/>
      </c>
      <c r="M110" s="5" t="str">
        <f t="shared" si="48"/>
        <v/>
      </c>
      <c r="N110" s="6" t="str">
        <f t="array" ref="N110">_xlfn.IFNA((INDEX('DMR 001C TIN &amp; TP'!$A$3:$M$10005,MATCH(('Reg 85'!$I$6:$Q$6&amp;'Reg 85'!$M$10&amp;'Reg 85'!$B110),('DMR 001C TIN &amp; TP'!$E$3:$E$10005&amp;'DMR 001C TIN &amp; TP'!$B$3:$B$10005&amp;'DMR 001C TIN &amp; TP'!$A$3:$A$10005),0),MATCH('Reg 85'!$N$11,'DMR 001C TIN &amp; TP'!$A$2:$M$2,0))),"")</f>
        <v/>
      </c>
      <c r="O110" s="6" t="str">
        <f t="array" ref="O110">_xlfn.IFNA((INDEX('DMR 001C TIN &amp; TP'!$A$3:$M$10005,MATCH(('Reg 85'!$I$6:$Q$6&amp;'Reg 85'!$M$10&amp;'Reg 85'!$B110),('DMR 001C TIN &amp; TP'!$E$3:$E$10005&amp;'DMR 001C TIN &amp; TP'!$B$3:$B$10005&amp;'DMR 001C TIN &amp; TP'!$A$3:$A$10005),0),MATCH('Reg 85'!$O$11,'DMR 001C TIN &amp; TP'!$A$2:$M$2,0))),"")</f>
        <v/>
      </c>
      <c r="P110" s="53" t="str">
        <f t="shared" si="49"/>
        <v/>
      </c>
      <c r="Q110" s="73" t="str">
        <f t="array" ref="Q110">IFERROR(((L110*$F110)+(P110*$G110))/($H110),"")</f>
        <v/>
      </c>
      <c r="R110" s="6" t="str">
        <f t="array" ref="R110">_xlfn.IFNA((INDEX('DMR 001C TIN &amp; TP'!$A$3:$M$10005,MATCH(('Reg 85'!$I$6:$Q$6&amp;'Reg 85'!R$10&amp;'Reg 85'!$B110),('DMR 001C TIN &amp; TP'!$E$3:$E$10005&amp;'DMR 001C TIN &amp; TP'!$B$3:$B$10005&amp;'DMR 001C TIN &amp; TP'!$A$3:$A$10005),0),MATCH('Reg 85'!$O$11,'DMR 001C TIN &amp; TP'!$A$2:$M$2,0))),"")</f>
        <v/>
      </c>
      <c r="S110" s="6" t="str">
        <f t="array" ref="S110">_xlfn.IFNA((INDEX('DMR 001C TIN &amp; TP'!$A$3:$M$10005,MATCH(('Reg 85'!$I$6:$Q$6&amp;'Reg 85'!S$10&amp;'Reg 85'!$B110),('DMR 001C TIN &amp; TP'!$E$3:$E$10005&amp;'DMR 001C TIN &amp; TP'!$B$3:$B$10005&amp;'DMR 001C TIN &amp; TP'!$A$3:$A$10005),0),MATCH('Reg 85'!$O$11,'DMR 001C TIN &amp; TP'!$A$2:$M$2,0))),"")</f>
        <v/>
      </c>
      <c r="T110" s="6" t="str">
        <f t="array" ref="T110">_xlfn.IFNA((INDEX('DMR 001C TIN &amp; TP'!$A$3:$M$10005,MATCH(('Reg 85'!$I$6:$Q$6&amp;'Reg 85'!T$10&amp;'Reg 85'!$B110),('DMR 001C TIN &amp; TP'!$E$3:$E$10005&amp;'DMR 001C TIN &amp; TP'!$B$3:$B$10005&amp;'DMR 001C TIN &amp; TP'!$A$3:$A$10005),0),MATCH('Reg 85'!$O$11,'DMR 001C TIN &amp; TP'!$A$2:$M$2,0))),"")</f>
        <v/>
      </c>
      <c r="U110" s="6" t="str">
        <f t="array" ref="U110">_xlfn.IFNA((INDEX('DMR 001C TIN &amp; TP'!$A$3:$M$10005,MATCH(('Reg 85'!$I$6:$Q$6&amp;'Reg 85'!U$10&amp;'Reg 85'!$B110),('DMR 001C TIN &amp; TP'!$E$3:$E$10005&amp;'DMR 001C TIN &amp; TP'!$B$3:$B$10005&amp;'DMR 001C TIN &amp; TP'!$A$3:$A$10005),0),MATCH('Reg 85'!$O$11,'DMR 001C TIN &amp; TP'!$A$2:$M$2,0))),"")</f>
        <v/>
      </c>
      <c r="V110" s="6" t="str">
        <f t="array" ref="V110">_xlfn.IFNA((INDEX('DMR 001C TIN &amp; TP'!$A$3:$M$10005,MATCH(('Reg 85'!$I$6:$Q$6&amp;'Reg 85'!V$10&amp;'Reg 85'!$B110),('DMR 001C TIN &amp; TP'!$E$3:$E$10005&amp;'DMR 001C TIN &amp; TP'!$B$3:$B$10005&amp;'DMR 001C TIN &amp; TP'!$A$3:$A$10005),0),MATCH('Reg 85'!$O$11,'DMR 001C TIN &amp; TP'!$A$2:$M$2,0))),"")</f>
        <v/>
      </c>
      <c r="W110" s="6" t="str">
        <f t="array" ref="W110">_xlfn.IFNA((INDEX('DMR 001C TIN &amp; TP'!$A$3:$M$10005,MATCH(('Reg 85'!$I$6:$Q$6&amp;'Reg 85'!W$10&amp;'Reg 85'!$B110),('DMR 001C TIN &amp; TP'!$E$3:$E$10005&amp;'DMR 001C TIN &amp; TP'!$B$3:$B$10005&amp;'DMR 001C TIN &amp; TP'!$A$3:$A$10005),0),MATCH('Reg 85'!$O$11,'DMR 001C TIN &amp; TP'!$A$2:$M$2,0))),"")</f>
        <v/>
      </c>
      <c r="X110" s="5" t="str">
        <f t="shared" si="50"/>
        <v/>
      </c>
      <c r="Y110" s="6" t="str">
        <f t="array" ref="Y110">_xlfn.IFNA((INDEX('DMR 001C TIN &amp; TP'!$A$3:$M$10005,MATCH(('Reg 85'!$X$6&amp;'Reg 85'!$X$10&amp;'Reg 85'!$B110),('DMR 001C TIN &amp; TP'!$E$3:$E$10005&amp;'DMR 001C TIN &amp; TP'!$B$3:$B$10005&amp;'DMR 001C TIN &amp; TP'!$A$3:$A$10005),0),MATCH('Reg 85'!$Y$11,'DMR 001C TIN &amp; TP'!$A$2:$M$2,0))),"")</f>
        <v/>
      </c>
      <c r="Z110" s="6" t="str">
        <f t="array" ref="Z110">_xlfn.IFNA((INDEX('DMR 001C TIN &amp; TP'!$A$3:$M$10005,MATCH(('Reg 85'!$X$6&amp;'Reg 85'!$X$10&amp;'Reg 85'!$B110),('DMR 001C TIN &amp; TP'!$E$3:$E$10005&amp;'DMR 001C TIN &amp; TP'!$B$3:$B$10005&amp;'DMR 001C TIN &amp; TP'!$A$3:$A$10005),0),MATCH('Reg 85'!$Z$11,'DMR 001C TIN &amp; TP'!$A$2:$M$2,0))),"")</f>
        <v/>
      </c>
      <c r="AA110" s="53" t="str">
        <f t="shared" si="51"/>
        <v/>
      </c>
      <c r="AB110" s="5" t="str">
        <f t="shared" si="52"/>
        <v/>
      </c>
      <c r="AC110" s="6" t="str">
        <f t="array" ref="AC110">_xlfn.IFNA((INDEX('DMR 001C TIN &amp; TP'!$A$3:$M$10005,MATCH(('Reg 85'!$X$6&amp;'Reg 85'!$AB$10&amp;'Reg 85'!$B110),('DMR 001C TIN &amp; TP'!$E$3:$E$10005&amp;'DMR 001C TIN &amp; TP'!$B$3:$B$10005&amp;'DMR 001C TIN &amp; TP'!$A$3:$A$10005),0),MATCH('Reg 85'!$AC$11,'DMR 001C TIN &amp; TP'!$A$2:$M$2,0))),"")</f>
        <v/>
      </c>
      <c r="AD110" s="6" t="str">
        <f t="array" ref="AD110">_xlfn.IFNA((INDEX('DMR 001C TIN &amp; TP'!$A$3:$M$10005,MATCH(('Reg 85'!$X$6&amp;'Reg 85'!$AB$10&amp;'Reg 85'!$B110),('DMR 001C TIN &amp; TP'!$E$3:$E$10005&amp;'DMR 001C TIN &amp; TP'!$B$3:$B$10005&amp;'DMR 001C TIN &amp; TP'!$A$3:$A$10005),0),MATCH('Reg 85'!$AD$11,'DMR 001C TIN &amp; TP'!$A$2:$M$2,0))),"")</f>
        <v/>
      </c>
      <c r="AE110" s="53" t="str">
        <f t="shared" si="53"/>
        <v/>
      </c>
      <c r="AF110" s="7" t="str">
        <f t="shared" si="54"/>
        <v/>
      </c>
      <c r="AG110" s="6" t="str">
        <f t="array" ref="AG110">_xlfn.IFNA((INDEX('DMR 001C TIN &amp; TP'!$A$3:$M$10005,MATCH(('Reg 85'!$X$6&amp;'Reg 85'!AG$10&amp;'Reg 85'!$B110),('DMR 001C TIN &amp; TP'!$E$3:$E$10005&amp;'DMR 001C TIN &amp; TP'!$B$3:$B$10005&amp;'DMR 001C TIN &amp; TP'!$A$3:$A$10005),0),MATCH('Reg 85'!$AG$11,'DMR 001C TIN &amp; TP'!$A$2:$M$2,0))),"")</f>
        <v/>
      </c>
      <c r="AH110" s="6" t="str">
        <f t="array" ref="AH110">_xlfn.IFNA((INDEX('DMR 001C TIN &amp; TP'!$A$3:$M$10005,MATCH(('Reg 85'!$X$6&amp;'Reg 85'!AH$10&amp;'Reg 85'!$B110),('DMR 001C TIN &amp; TP'!$E$3:$E$10005&amp;'DMR 001C TIN &amp; TP'!$B$3:$B$10005&amp;'DMR 001C TIN &amp; TP'!$A$3:$A$10005),0),MATCH('Reg 85'!$AG$11,'DMR 001C TIN &amp; TP'!$A$2:$M$2,0))),"")</f>
        <v/>
      </c>
      <c r="AI110" s="6" t="str">
        <f t="array" ref="AI110">_xlfn.IFNA((INDEX('DMR 001C TIN &amp; TP'!$A$3:$M$10005,MATCH(('Reg 85'!$X$6&amp;'Reg 85'!AI$10&amp;'Reg 85'!$B110),('DMR 001C TIN &amp; TP'!$E$3:$E$10005&amp;'DMR 001C TIN &amp; TP'!$B$3:$B$10005&amp;'DMR 001C TIN &amp; TP'!$A$3:$A$10005),0),MATCH('Reg 85'!$AG$11,'DMR 001C TIN &amp; TP'!$A$2:$M$2,0))),"")</f>
        <v/>
      </c>
      <c r="AJ110" s="6" t="str">
        <f t="array" ref="AJ110">_xlfn.IFNA((INDEX('DMR 001C TIN &amp; TP'!$A$3:$M$10005,MATCH(('Reg 85'!$X$6&amp;'Reg 85'!AJ$10&amp;'Reg 85'!$B110),('DMR 001C TIN &amp; TP'!$E$3:$E$10005&amp;'DMR 001C TIN &amp; TP'!$B$3:$B$10005&amp;'DMR 001C TIN &amp; TP'!$A$3:$A$10005),0),MATCH('Reg 85'!$AG$11,'DMR 001C TIN &amp; TP'!$A$2:$M$2,0))),"")</f>
        <v/>
      </c>
      <c r="AK110" s="6" t="str">
        <f t="array" ref="AK110">_xlfn.IFNA((INDEX('DMR 001C TIN &amp; TP'!$A$3:$M$10005,MATCH(('Reg 85'!$X$6&amp;'Reg 85'!AK$10&amp;'Reg 85'!$B110),('DMR 001C TIN &amp; TP'!$E$3:$E$10005&amp;'DMR 001C TIN &amp; TP'!$B$3:$B$10005&amp;'DMR 001C TIN &amp; TP'!$A$3:$A$10005),0),MATCH('Reg 85'!$AG$11,'DMR 001C TIN &amp; TP'!$A$2:$M$2,0))),"")</f>
        <v/>
      </c>
      <c r="AL110" s="6" t="str">
        <f t="array" ref="AL110">_xlfn.IFNA((INDEX('DMR 001C TIN &amp; TP'!$A$3:$M$10005,MATCH(('Reg 85'!$X$6&amp;'Reg 85'!AL$10&amp;'Reg 85'!$B110),('DMR 001C TIN &amp; TP'!$E$3:$E$10005&amp;'DMR 001C TIN &amp; TP'!$B$3:$B$10005&amp;'DMR 001C TIN &amp; TP'!$A$3:$A$10005),0),MATCH('Reg 85'!$AG$11,'DMR 001C TIN &amp; TP'!$A$2:$M$2,0))),"")</f>
        <v/>
      </c>
      <c r="AM110" s="76"/>
      <c r="AN110" s="6"/>
      <c r="AO110" s="54" t="str">
        <f t="shared" si="41"/>
        <v/>
      </c>
      <c r="AP110" s="77" t="str">
        <f t="shared" si="60"/>
        <v/>
      </c>
      <c r="AQ110" s="47"/>
      <c r="AR110" s="6" t="str">
        <f t="array" ref="AR110">_xlfn.IFNA((INDEX('DMR 001C TIN &amp; TP'!$A$3:$M$10005,MATCH(('Reg 85'!$AQ$6&amp;'Reg 85'!$AQ$10&amp;'Reg 85'!$B110),('DMR 001C TIN &amp; TP'!$E$3:$E$10005&amp;'DMR 001C TIN &amp; TP'!$B$3:$B$10005&amp;'DMR 001C TIN &amp; TP'!$A$3:$A$10005),0),MATCH('Reg 85'!$AR$11,'DMR 001C TIN &amp; TP'!$A$2:$M$2,0))),"")</f>
        <v/>
      </c>
      <c r="AS110" s="6" t="str">
        <f t="array" ref="AS110">_xlfn.IFNA((INDEX('DMR 001C TIN &amp; TP'!$A$3:$M$10005,MATCH(('Reg 85'!$AQ$6&amp;'Reg 85'!$AQ$10&amp;'Reg 85'!$B110),('DMR 001C TIN &amp; TP'!$E$3:$E$10005&amp;'DMR 001C TIN &amp; TP'!$B$3:$B$10005&amp;'DMR 001C TIN &amp; TP'!$A$3:$A$10005),0),MATCH('Reg 85'!$AS$11,'DMR 001C TIN &amp; TP'!$A$2:$M$2,0))),"")</f>
        <v/>
      </c>
      <c r="AT110" s="53" t="str">
        <f t="shared" si="55"/>
        <v/>
      </c>
      <c r="AV110" s="6" t="str">
        <f t="array" ref="AV110">_xlfn.IFNA((INDEX('DMR 001C TIN &amp; TP'!$A$3:$M$10005,MATCH(('Reg 85'!$AQ$6&amp;'Reg 85'!$AU$10&amp;'Reg 85'!$B110),('DMR 001C TIN &amp; TP'!$E$3:$E$10005&amp;'DMR 001C TIN &amp; TP'!$B$3:$B$10005&amp;'DMR 001C TIN &amp; TP'!$A$3:$A$10005),0),MATCH('Reg 85'!$AV$11,'DMR 001C TIN &amp; TP'!$A$2:$M$2,0))),"")</f>
        <v/>
      </c>
      <c r="AW110" s="6" t="str">
        <f t="array" ref="AW110">_xlfn.IFNA((INDEX('DMR 001C TIN &amp; TP'!$A$3:$M$10005,MATCH(('Reg 85'!$AQ$6&amp;'Reg 85'!$AU$10&amp;'Reg 85'!$B110),('DMR 001C TIN &amp; TP'!$E$3:$E$10005&amp;'DMR 001C TIN &amp; TP'!$B$3:$B$10005&amp;'DMR 001C TIN &amp; TP'!$A$3:$A$10005),0),MATCH('Reg 85'!$AW$11,'DMR 001C TIN &amp; TP'!$A$2:$M$2,0))),"")</f>
        <v/>
      </c>
      <c r="AX110" s="53" t="str">
        <f t="shared" si="56"/>
        <v/>
      </c>
      <c r="AY110" s="55" t="str">
        <f t="shared" si="57"/>
        <v/>
      </c>
      <c r="AZ110" s="77" t="str">
        <f t="shared" si="61"/>
        <v/>
      </c>
      <c r="BA110" s="6" t="str">
        <f t="array" ref="BA110">_xlfn.IFNA((INDEX('DMR 001C TIN &amp; TP'!$A$3:$M$10005,MATCH(('Reg 85'!$AQ$6&amp;'Reg 85'!BA$10&amp;'Reg 85'!$B110),('DMR 001C TIN &amp; TP'!$E$3:$E$10005&amp;'DMR 001C TIN &amp; TP'!$B$3:$B$10005&amp;'DMR 001C TIN &amp; TP'!$A$3:$A$10005),0),MATCH('Reg 85'!$AG$11,'DMR 001C TIN &amp; TP'!$A$2:$M$2,0))),"")</f>
        <v/>
      </c>
      <c r="BB110" s="6" t="str">
        <f t="array" ref="BB110">_xlfn.IFNA((INDEX('DMR 001C TIN &amp; TP'!$A$3:$M$10005,MATCH(('Reg 85'!$AQ$6&amp;'Reg 85'!BB$10&amp;'Reg 85'!$B110),('DMR 001C TIN &amp; TP'!$E$3:$E$10005&amp;'DMR 001C TIN &amp; TP'!$B$3:$B$10005&amp;'DMR 001C TIN &amp; TP'!$A$3:$A$10005),0),MATCH('Reg 85'!$AG$11,'DMR 001C TIN &amp; TP'!$A$2:$M$2,0))),"")</f>
        <v/>
      </c>
      <c r="BC110" s="6" t="str">
        <f t="array" ref="BC110">_xlfn.IFNA((INDEX('DMR 001C TIN &amp; TP'!$A$3:$M$10005,MATCH(('Reg 85'!$AQ$6&amp;'Reg 85'!BC$10&amp;'Reg 85'!$B110),('DMR 001C TIN &amp; TP'!$E$3:$E$10005&amp;'DMR 001C TIN &amp; TP'!$B$3:$B$10005&amp;'DMR 001C TIN &amp; TP'!$A$3:$A$10005),0),MATCH('Reg 85'!$AG$11,'DMR 001C TIN &amp; TP'!$A$2:$M$2,0))),"")</f>
        <v/>
      </c>
      <c r="BD110" s="6" t="str">
        <f t="array" ref="BD110">_xlfn.IFNA((INDEX('DMR 001C TIN &amp; TP'!$A$3:$M$10005,MATCH(('Reg 85'!$AQ$6&amp;'Reg 85'!BD$10&amp;'Reg 85'!$B110),('DMR 001C TIN &amp; TP'!$E$3:$E$10005&amp;'DMR 001C TIN &amp; TP'!$B$3:$B$10005&amp;'DMR 001C TIN &amp; TP'!$A$3:$A$10005),0),MATCH('Reg 85'!$AG$11,'DMR 001C TIN &amp; TP'!$A$2:$M$2,0))),"")</f>
        <v/>
      </c>
      <c r="BE110" s="6" t="str">
        <f t="array" ref="BE110">_xlfn.IFNA((INDEX('DMR 001C TIN &amp; TP'!$A$3:$M$10005,MATCH(('Reg 85'!$AQ$6&amp;'Reg 85'!BE$10&amp;'Reg 85'!$B110),('DMR 001C TIN &amp; TP'!$E$3:$E$10005&amp;'DMR 001C TIN &amp; TP'!$B$3:$B$10005&amp;'DMR 001C TIN &amp; TP'!$A$3:$A$10005),0),MATCH('Reg 85'!$AG$11,'DMR 001C TIN &amp; TP'!$A$2:$M$2,0))),"")</f>
        <v/>
      </c>
      <c r="BF110" s="6" t="str">
        <f t="array" ref="BF110">_xlfn.IFNA((INDEX('DMR 001C TIN &amp; TP'!$A$3:$M$10005,MATCH(('Reg 85'!$AQ$6&amp;'Reg 85'!BF$10&amp;'Reg 85'!$B110),('DMR 001C TIN &amp; TP'!$E$3:$E$10005&amp;'DMR 001C TIN &amp; TP'!$B$3:$B$10005&amp;'DMR 001C TIN &amp; TP'!$A$3:$A$10005),0),MATCH('Reg 85'!$AG$11,'DMR 001C TIN &amp; TP'!$A$2:$M$2,0))),"")</f>
        <v/>
      </c>
    </row>
    <row r="111" spans="1:58">
      <c r="A111" s="3" t="str">
        <f t="shared" si="42"/>
        <v>Sun</v>
      </c>
      <c r="B111" s="96">
        <f t="shared" si="58"/>
        <v>43443</v>
      </c>
      <c r="C111" s="96">
        <f t="shared" si="43"/>
        <v>43465</v>
      </c>
      <c r="D111" s="96">
        <f t="shared" si="44"/>
        <v>43435</v>
      </c>
      <c r="E111" s="95">
        <f t="shared" si="45"/>
        <v>31</v>
      </c>
      <c r="F111" s="7">
        <f t="array" ref="F111">_xlfn.IFNA(INDEX('DMR Flows-Effluent'!$A$3:$F$9999,MATCH(($F$10&amp;$B111),('DMR Flows-Effluent'!$B$3:$B$9999&amp;'DMR Flows-Effluent'!$A$3:$A$9999),0),MATCH($F$8,'DMR Flows-Effluent'!$A$2:$F$2,0)),"")</f>
        <v>42.57</v>
      </c>
      <c r="G111" s="7">
        <f t="array" ref="G111">_xlfn.IFNA(INDEX('DMR Flows-Effluent'!$A$3:$F$9999,MATCH(($G$10&amp;$B111),('DMR Flows-Effluent'!$B$3:$B$9999&amp;'DMR Flows-Effluent'!$A$3:$A$9999),0),MATCH($F$8,'DMR Flows-Effluent'!$A$2:$F$2,0)),"")</f>
        <v>86.022599999999997</v>
      </c>
      <c r="H111" s="7">
        <f t="shared" si="46"/>
        <v>128.5926</v>
      </c>
      <c r="I111" s="45" t="str">
        <f t="shared" si="47"/>
        <v/>
      </c>
      <c r="J111" s="6" t="str">
        <f t="array" ref="J111">_xlfn.IFNA((INDEX('DMR 001C TIN &amp; TP'!$A$3:$M$10005,MATCH(('Reg 85'!$I$6:$Q$6&amp;'Reg 85'!$I$10:$K$10&amp;'Reg 85'!$B111),('DMR 001C TIN &amp; TP'!$E$3:$E$10005&amp;'DMR 001C TIN &amp; TP'!$B$3:$B$10005&amp;'DMR 001C TIN &amp; TP'!$A$3:$A$10005),0),MATCH('Reg 85'!$J$11,'DMR 001C TIN &amp; TP'!$A$2:$M$2,0))),"")</f>
        <v/>
      </c>
      <c r="K111" s="6" t="str">
        <f t="array" ref="K111">_xlfn.IFNA((INDEX('DMR 001C TIN &amp; TP'!$A$3:$M$10005,MATCH(('Reg 85'!$I$6:$Q$6&amp;'Reg 85'!$I$10:$K$10&amp;'Reg 85'!$B111),('DMR 001C TIN &amp; TP'!$E$3:$E$10005&amp;'DMR 001C TIN &amp; TP'!$B$3:$B$10005&amp;'DMR 001C TIN &amp; TP'!$A$3:$A$10005),0),MATCH('Reg 85'!$K$11,'DMR 001C TIN &amp; TP'!$A$2:$M$2,0))),"")</f>
        <v/>
      </c>
      <c r="L111" s="53" t="str">
        <f t="shared" si="59"/>
        <v/>
      </c>
      <c r="M111" s="5" t="str">
        <f t="shared" si="48"/>
        <v/>
      </c>
      <c r="N111" s="6" t="str">
        <f t="array" ref="N111">_xlfn.IFNA((INDEX('DMR 001C TIN &amp; TP'!$A$3:$M$10005,MATCH(('Reg 85'!$I$6:$Q$6&amp;'Reg 85'!$M$10&amp;'Reg 85'!$B111),('DMR 001C TIN &amp; TP'!$E$3:$E$10005&amp;'DMR 001C TIN &amp; TP'!$B$3:$B$10005&amp;'DMR 001C TIN &amp; TP'!$A$3:$A$10005),0),MATCH('Reg 85'!$N$11,'DMR 001C TIN &amp; TP'!$A$2:$M$2,0))),"")</f>
        <v/>
      </c>
      <c r="O111" s="6" t="str">
        <f t="array" ref="O111">_xlfn.IFNA((INDEX('DMR 001C TIN &amp; TP'!$A$3:$M$10005,MATCH(('Reg 85'!$I$6:$Q$6&amp;'Reg 85'!$M$10&amp;'Reg 85'!$B111),('DMR 001C TIN &amp; TP'!$E$3:$E$10005&amp;'DMR 001C TIN &amp; TP'!$B$3:$B$10005&amp;'DMR 001C TIN &amp; TP'!$A$3:$A$10005),0),MATCH('Reg 85'!$O$11,'DMR 001C TIN &amp; TP'!$A$2:$M$2,0))),"")</f>
        <v/>
      </c>
      <c r="P111" s="53" t="str">
        <f t="shared" si="49"/>
        <v/>
      </c>
      <c r="Q111" s="73" t="str">
        <f t="array" ref="Q111">IFERROR(((L111*$F111)+(P111*$G111))/($H111),"")</f>
        <v/>
      </c>
      <c r="R111" s="6" t="str">
        <f t="array" ref="R111">_xlfn.IFNA((INDEX('DMR 001C TIN &amp; TP'!$A$3:$M$10005,MATCH(('Reg 85'!$I$6:$Q$6&amp;'Reg 85'!R$10&amp;'Reg 85'!$B111),('DMR 001C TIN &amp; TP'!$E$3:$E$10005&amp;'DMR 001C TIN &amp; TP'!$B$3:$B$10005&amp;'DMR 001C TIN &amp; TP'!$A$3:$A$10005),0),MATCH('Reg 85'!$O$11,'DMR 001C TIN &amp; TP'!$A$2:$M$2,0))),"")</f>
        <v/>
      </c>
      <c r="S111" s="6" t="str">
        <f t="array" ref="S111">_xlfn.IFNA((INDEX('DMR 001C TIN &amp; TP'!$A$3:$M$10005,MATCH(('Reg 85'!$I$6:$Q$6&amp;'Reg 85'!S$10&amp;'Reg 85'!$B111),('DMR 001C TIN &amp; TP'!$E$3:$E$10005&amp;'DMR 001C TIN &amp; TP'!$B$3:$B$10005&amp;'DMR 001C TIN &amp; TP'!$A$3:$A$10005),0),MATCH('Reg 85'!$O$11,'DMR 001C TIN &amp; TP'!$A$2:$M$2,0))),"")</f>
        <v/>
      </c>
      <c r="T111" s="6" t="str">
        <f t="array" ref="T111">_xlfn.IFNA((INDEX('DMR 001C TIN &amp; TP'!$A$3:$M$10005,MATCH(('Reg 85'!$I$6:$Q$6&amp;'Reg 85'!T$10&amp;'Reg 85'!$B111),('DMR 001C TIN &amp; TP'!$E$3:$E$10005&amp;'DMR 001C TIN &amp; TP'!$B$3:$B$10005&amp;'DMR 001C TIN &amp; TP'!$A$3:$A$10005),0),MATCH('Reg 85'!$O$11,'DMR 001C TIN &amp; TP'!$A$2:$M$2,0))),"")</f>
        <v/>
      </c>
      <c r="U111" s="6" t="str">
        <f t="array" ref="U111">_xlfn.IFNA((INDEX('DMR 001C TIN &amp; TP'!$A$3:$M$10005,MATCH(('Reg 85'!$I$6:$Q$6&amp;'Reg 85'!U$10&amp;'Reg 85'!$B111),('DMR 001C TIN &amp; TP'!$E$3:$E$10005&amp;'DMR 001C TIN &amp; TP'!$B$3:$B$10005&amp;'DMR 001C TIN &amp; TP'!$A$3:$A$10005),0),MATCH('Reg 85'!$O$11,'DMR 001C TIN &amp; TP'!$A$2:$M$2,0))),"")</f>
        <v/>
      </c>
      <c r="V111" s="6" t="str">
        <f t="array" ref="V111">_xlfn.IFNA((INDEX('DMR 001C TIN &amp; TP'!$A$3:$M$10005,MATCH(('Reg 85'!$I$6:$Q$6&amp;'Reg 85'!V$10&amp;'Reg 85'!$B111),('DMR 001C TIN &amp; TP'!$E$3:$E$10005&amp;'DMR 001C TIN &amp; TP'!$B$3:$B$10005&amp;'DMR 001C TIN &amp; TP'!$A$3:$A$10005),0),MATCH('Reg 85'!$O$11,'DMR 001C TIN &amp; TP'!$A$2:$M$2,0))),"")</f>
        <v/>
      </c>
      <c r="W111" s="6" t="str">
        <f t="array" ref="W111">_xlfn.IFNA((INDEX('DMR 001C TIN &amp; TP'!$A$3:$M$10005,MATCH(('Reg 85'!$I$6:$Q$6&amp;'Reg 85'!W$10&amp;'Reg 85'!$B111),('DMR 001C TIN &amp; TP'!$E$3:$E$10005&amp;'DMR 001C TIN &amp; TP'!$B$3:$B$10005&amp;'DMR 001C TIN &amp; TP'!$A$3:$A$10005),0),MATCH('Reg 85'!$O$11,'DMR 001C TIN &amp; TP'!$A$2:$M$2,0))),"")</f>
        <v/>
      </c>
      <c r="X111" s="5" t="str">
        <f t="shared" si="50"/>
        <v/>
      </c>
      <c r="Y111" s="6" t="str">
        <f t="array" ref="Y111">_xlfn.IFNA((INDEX('DMR 001C TIN &amp; TP'!$A$3:$M$10005,MATCH(('Reg 85'!$X$6&amp;'Reg 85'!$X$10&amp;'Reg 85'!$B111),('DMR 001C TIN &amp; TP'!$E$3:$E$10005&amp;'DMR 001C TIN &amp; TP'!$B$3:$B$10005&amp;'DMR 001C TIN &amp; TP'!$A$3:$A$10005),0),MATCH('Reg 85'!$Y$11,'DMR 001C TIN &amp; TP'!$A$2:$M$2,0))),"")</f>
        <v/>
      </c>
      <c r="Z111" s="6" t="str">
        <f t="array" ref="Z111">_xlfn.IFNA((INDEX('DMR 001C TIN &amp; TP'!$A$3:$M$10005,MATCH(('Reg 85'!$X$6&amp;'Reg 85'!$X$10&amp;'Reg 85'!$B111),('DMR 001C TIN &amp; TP'!$E$3:$E$10005&amp;'DMR 001C TIN &amp; TP'!$B$3:$B$10005&amp;'DMR 001C TIN &amp; TP'!$A$3:$A$10005),0),MATCH('Reg 85'!$Z$11,'DMR 001C TIN &amp; TP'!$A$2:$M$2,0))),"")</f>
        <v/>
      </c>
      <c r="AA111" s="53" t="str">
        <f t="shared" si="51"/>
        <v/>
      </c>
      <c r="AB111" s="5" t="str">
        <f t="shared" si="52"/>
        <v/>
      </c>
      <c r="AC111" s="6" t="str">
        <f t="array" ref="AC111">_xlfn.IFNA((INDEX('DMR 001C TIN &amp; TP'!$A$3:$M$10005,MATCH(('Reg 85'!$X$6&amp;'Reg 85'!$AB$10&amp;'Reg 85'!$B111),('DMR 001C TIN &amp; TP'!$E$3:$E$10005&amp;'DMR 001C TIN &amp; TP'!$B$3:$B$10005&amp;'DMR 001C TIN &amp; TP'!$A$3:$A$10005),0),MATCH('Reg 85'!$AC$11,'DMR 001C TIN &amp; TP'!$A$2:$M$2,0))),"")</f>
        <v/>
      </c>
      <c r="AD111" s="6" t="str">
        <f t="array" ref="AD111">_xlfn.IFNA((INDEX('DMR 001C TIN &amp; TP'!$A$3:$M$10005,MATCH(('Reg 85'!$X$6&amp;'Reg 85'!$AB$10&amp;'Reg 85'!$B111),('DMR 001C TIN &amp; TP'!$E$3:$E$10005&amp;'DMR 001C TIN &amp; TP'!$B$3:$B$10005&amp;'DMR 001C TIN &amp; TP'!$A$3:$A$10005),0),MATCH('Reg 85'!$AD$11,'DMR 001C TIN &amp; TP'!$A$2:$M$2,0))),"")</f>
        <v/>
      </c>
      <c r="AE111" s="53" t="str">
        <f t="shared" si="53"/>
        <v/>
      </c>
      <c r="AF111" s="7" t="str">
        <f t="shared" si="54"/>
        <v/>
      </c>
      <c r="AG111" s="6" t="str">
        <f t="array" ref="AG111">_xlfn.IFNA((INDEX('DMR 001C TIN &amp; TP'!$A$3:$M$10005,MATCH(('Reg 85'!$X$6&amp;'Reg 85'!AG$10&amp;'Reg 85'!$B111),('DMR 001C TIN &amp; TP'!$E$3:$E$10005&amp;'DMR 001C TIN &amp; TP'!$B$3:$B$10005&amp;'DMR 001C TIN &amp; TP'!$A$3:$A$10005),0),MATCH('Reg 85'!$AG$11,'DMR 001C TIN &amp; TP'!$A$2:$M$2,0))),"")</f>
        <v/>
      </c>
      <c r="AH111" s="6" t="str">
        <f t="array" ref="AH111">_xlfn.IFNA((INDEX('DMR 001C TIN &amp; TP'!$A$3:$M$10005,MATCH(('Reg 85'!$X$6&amp;'Reg 85'!AH$10&amp;'Reg 85'!$B111),('DMR 001C TIN &amp; TP'!$E$3:$E$10005&amp;'DMR 001C TIN &amp; TP'!$B$3:$B$10005&amp;'DMR 001C TIN &amp; TP'!$A$3:$A$10005),0),MATCH('Reg 85'!$AG$11,'DMR 001C TIN &amp; TP'!$A$2:$M$2,0))),"")</f>
        <v/>
      </c>
      <c r="AI111" s="6" t="str">
        <f t="array" ref="AI111">_xlfn.IFNA((INDEX('DMR 001C TIN &amp; TP'!$A$3:$M$10005,MATCH(('Reg 85'!$X$6&amp;'Reg 85'!AI$10&amp;'Reg 85'!$B111),('DMR 001C TIN &amp; TP'!$E$3:$E$10005&amp;'DMR 001C TIN &amp; TP'!$B$3:$B$10005&amp;'DMR 001C TIN &amp; TP'!$A$3:$A$10005),0),MATCH('Reg 85'!$AG$11,'DMR 001C TIN &amp; TP'!$A$2:$M$2,0))),"")</f>
        <v/>
      </c>
      <c r="AJ111" s="6" t="str">
        <f t="array" ref="AJ111">_xlfn.IFNA((INDEX('DMR 001C TIN &amp; TP'!$A$3:$M$10005,MATCH(('Reg 85'!$X$6&amp;'Reg 85'!AJ$10&amp;'Reg 85'!$B111),('DMR 001C TIN &amp; TP'!$E$3:$E$10005&amp;'DMR 001C TIN &amp; TP'!$B$3:$B$10005&amp;'DMR 001C TIN &amp; TP'!$A$3:$A$10005),0),MATCH('Reg 85'!$AG$11,'DMR 001C TIN &amp; TP'!$A$2:$M$2,0))),"")</f>
        <v/>
      </c>
      <c r="AK111" s="6" t="str">
        <f t="array" ref="AK111">_xlfn.IFNA((INDEX('DMR 001C TIN &amp; TP'!$A$3:$M$10005,MATCH(('Reg 85'!$X$6&amp;'Reg 85'!AK$10&amp;'Reg 85'!$B111),('DMR 001C TIN &amp; TP'!$E$3:$E$10005&amp;'DMR 001C TIN &amp; TP'!$B$3:$B$10005&amp;'DMR 001C TIN &amp; TP'!$A$3:$A$10005),0),MATCH('Reg 85'!$AG$11,'DMR 001C TIN &amp; TP'!$A$2:$M$2,0))),"")</f>
        <v/>
      </c>
      <c r="AL111" s="6" t="str">
        <f t="array" ref="AL111">_xlfn.IFNA((INDEX('DMR 001C TIN &amp; TP'!$A$3:$M$10005,MATCH(('Reg 85'!$X$6&amp;'Reg 85'!AL$10&amp;'Reg 85'!$B111),('DMR 001C TIN &amp; TP'!$E$3:$E$10005&amp;'DMR 001C TIN &amp; TP'!$B$3:$B$10005&amp;'DMR 001C TIN &amp; TP'!$A$3:$A$10005),0),MATCH('Reg 85'!$AG$11,'DMR 001C TIN &amp; TP'!$A$2:$M$2,0))),"")</f>
        <v/>
      </c>
      <c r="AM111" s="76"/>
      <c r="AN111" s="6"/>
      <c r="AO111" s="54" t="str">
        <f t="shared" si="41"/>
        <v/>
      </c>
      <c r="AP111" s="77" t="str">
        <f t="shared" si="60"/>
        <v/>
      </c>
      <c r="AQ111" s="47"/>
      <c r="AR111" s="6" t="str">
        <f t="array" ref="AR111">_xlfn.IFNA((INDEX('DMR 001C TIN &amp; TP'!$A$3:$M$10005,MATCH(('Reg 85'!$AQ$6&amp;'Reg 85'!$AQ$10&amp;'Reg 85'!$B111),('DMR 001C TIN &amp; TP'!$E$3:$E$10005&amp;'DMR 001C TIN &amp; TP'!$B$3:$B$10005&amp;'DMR 001C TIN &amp; TP'!$A$3:$A$10005),0),MATCH('Reg 85'!$AR$11,'DMR 001C TIN &amp; TP'!$A$2:$M$2,0))),"")</f>
        <v>0.03</v>
      </c>
      <c r="AS111" s="6">
        <f t="array" ref="AS111">_xlfn.IFNA((INDEX('DMR 001C TIN &amp; TP'!$A$3:$M$10005,MATCH(('Reg 85'!$AQ$6&amp;'Reg 85'!$AQ$10&amp;'Reg 85'!$B111),('DMR 001C TIN &amp; TP'!$E$3:$E$10005&amp;'DMR 001C TIN &amp; TP'!$B$3:$B$10005&amp;'DMR 001C TIN &amp; TP'!$A$3:$A$10005),0),MATCH('Reg 85'!$AS$11,'DMR 001C TIN &amp; TP'!$A$2:$M$2,0))),"")</f>
        <v>0.33</v>
      </c>
      <c r="AT111" s="53">
        <f t="shared" si="55"/>
        <v>0.33</v>
      </c>
      <c r="AV111" s="6" t="str">
        <f t="array" ref="AV111">_xlfn.IFNA((INDEX('DMR 001C TIN &amp; TP'!$A$3:$M$10005,MATCH(('Reg 85'!$AQ$6&amp;'Reg 85'!$AU$10&amp;'Reg 85'!$B111),('DMR 001C TIN &amp; TP'!$E$3:$E$10005&amp;'DMR 001C TIN &amp; TP'!$B$3:$B$10005&amp;'DMR 001C TIN &amp; TP'!$A$3:$A$10005),0),MATCH('Reg 85'!$AV$11,'DMR 001C TIN &amp; TP'!$A$2:$M$2,0))),"")</f>
        <v>0.03</v>
      </c>
      <c r="AW111" s="6">
        <f t="array" ref="AW111">_xlfn.IFNA((INDEX('DMR 001C TIN &amp; TP'!$A$3:$M$10005,MATCH(('Reg 85'!$AQ$6&amp;'Reg 85'!$AU$10&amp;'Reg 85'!$B111),('DMR 001C TIN &amp; TP'!$E$3:$E$10005&amp;'DMR 001C TIN &amp; TP'!$B$3:$B$10005&amp;'DMR 001C TIN &amp; TP'!$A$3:$A$10005),0),MATCH('Reg 85'!$AW$11,'DMR 001C TIN &amp; TP'!$A$2:$M$2,0))),"")</f>
        <v>4.76</v>
      </c>
      <c r="AX111" s="53">
        <f t="shared" si="56"/>
        <v>4.76</v>
      </c>
      <c r="AY111" s="55">
        <f t="shared" si="57"/>
        <v>3.2934684888555013</v>
      </c>
      <c r="AZ111" s="77" t="str">
        <f t="shared" si="61"/>
        <v/>
      </c>
      <c r="BA111" s="6" t="str">
        <f t="array" ref="BA111">_xlfn.IFNA((INDEX('DMR 001C TIN &amp; TP'!$A$3:$M$10005,MATCH(('Reg 85'!$AQ$6&amp;'Reg 85'!BA$10&amp;'Reg 85'!$B111),('DMR 001C TIN &amp; TP'!$E$3:$E$10005&amp;'DMR 001C TIN &amp; TP'!$B$3:$B$10005&amp;'DMR 001C TIN &amp; TP'!$A$3:$A$10005),0),MATCH('Reg 85'!$AG$11,'DMR 001C TIN &amp; TP'!$A$2:$M$2,0))),"")</f>
        <v/>
      </c>
      <c r="BB111" s="6" t="str">
        <f t="array" ref="BB111">_xlfn.IFNA((INDEX('DMR 001C TIN &amp; TP'!$A$3:$M$10005,MATCH(('Reg 85'!$AQ$6&amp;'Reg 85'!BB$10&amp;'Reg 85'!$B111),('DMR 001C TIN &amp; TP'!$E$3:$E$10005&amp;'DMR 001C TIN &amp; TP'!$B$3:$B$10005&amp;'DMR 001C TIN &amp; TP'!$A$3:$A$10005),0),MATCH('Reg 85'!$AG$11,'DMR 001C TIN &amp; TP'!$A$2:$M$2,0))),"")</f>
        <v/>
      </c>
      <c r="BC111" s="6" t="str">
        <f t="array" ref="BC111">_xlfn.IFNA((INDEX('DMR 001C TIN &amp; TP'!$A$3:$M$10005,MATCH(('Reg 85'!$AQ$6&amp;'Reg 85'!BC$10&amp;'Reg 85'!$B111),('DMR 001C TIN &amp; TP'!$E$3:$E$10005&amp;'DMR 001C TIN &amp; TP'!$B$3:$B$10005&amp;'DMR 001C TIN &amp; TP'!$A$3:$A$10005),0),MATCH('Reg 85'!$AG$11,'DMR 001C TIN &amp; TP'!$A$2:$M$2,0))),"")</f>
        <v/>
      </c>
      <c r="BD111" s="6" t="str">
        <f t="array" ref="BD111">_xlfn.IFNA((INDEX('DMR 001C TIN &amp; TP'!$A$3:$M$10005,MATCH(('Reg 85'!$AQ$6&amp;'Reg 85'!BD$10&amp;'Reg 85'!$B111),('DMR 001C TIN &amp; TP'!$E$3:$E$10005&amp;'DMR 001C TIN &amp; TP'!$B$3:$B$10005&amp;'DMR 001C TIN &amp; TP'!$A$3:$A$10005),0),MATCH('Reg 85'!$AG$11,'DMR 001C TIN &amp; TP'!$A$2:$M$2,0))),"")</f>
        <v/>
      </c>
      <c r="BE111" s="6" t="str">
        <f t="array" ref="BE111">_xlfn.IFNA((INDEX('DMR 001C TIN &amp; TP'!$A$3:$M$10005,MATCH(('Reg 85'!$AQ$6&amp;'Reg 85'!BE$10&amp;'Reg 85'!$B111),('DMR 001C TIN &amp; TP'!$E$3:$E$10005&amp;'DMR 001C TIN &amp; TP'!$B$3:$B$10005&amp;'DMR 001C TIN &amp; TP'!$A$3:$A$10005),0),MATCH('Reg 85'!$AG$11,'DMR 001C TIN &amp; TP'!$A$2:$M$2,0))),"")</f>
        <v/>
      </c>
      <c r="BF111" s="6" t="str">
        <f t="array" ref="BF111">_xlfn.IFNA((INDEX('DMR 001C TIN &amp; TP'!$A$3:$M$10005,MATCH(('Reg 85'!$AQ$6&amp;'Reg 85'!BF$10&amp;'Reg 85'!$B111),('DMR 001C TIN &amp; TP'!$E$3:$E$10005&amp;'DMR 001C TIN &amp; TP'!$B$3:$B$10005&amp;'DMR 001C TIN &amp; TP'!$A$3:$A$10005),0),MATCH('Reg 85'!$AG$11,'DMR 001C TIN &amp; TP'!$A$2:$M$2,0))),"")</f>
        <v/>
      </c>
    </row>
    <row r="112" spans="1:58">
      <c r="A112" s="3" t="str">
        <f t="shared" si="42"/>
        <v>Mon</v>
      </c>
      <c r="B112" s="96">
        <f t="shared" si="58"/>
        <v>43444</v>
      </c>
      <c r="C112" s="96">
        <f t="shared" si="43"/>
        <v>43465</v>
      </c>
      <c r="D112" s="96">
        <f t="shared" si="44"/>
        <v>43435</v>
      </c>
      <c r="E112" s="95">
        <f t="shared" si="45"/>
        <v>31</v>
      </c>
      <c r="F112" s="7">
        <f t="array" ref="F112">_xlfn.IFNA(INDEX('DMR Flows-Effluent'!$A$3:$F$9999,MATCH(($F$10&amp;$B112),('DMR Flows-Effluent'!$B$3:$B$9999&amp;'DMR Flows-Effluent'!$A$3:$A$9999),0),MATCH($F$8,'DMR Flows-Effluent'!$A$2:$F$2,0)),"")</f>
        <v>41.555300000000003</v>
      </c>
      <c r="G112" s="7">
        <f t="array" ref="G112">_xlfn.IFNA(INDEX('DMR Flows-Effluent'!$A$3:$F$9999,MATCH(($G$10&amp;$B112),('DMR Flows-Effluent'!$B$3:$B$9999&amp;'DMR Flows-Effluent'!$A$3:$A$9999),0),MATCH($F$8,'DMR Flows-Effluent'!$A$2:$F$2,0)),"")</f>
        <v>85.521299999999997</v>
      </c>
      <c r="H112" s="7">
        <f t="shared" si="46"/>
        <v>127.0766</v>
      </c>
      <c r="I112" s="45" t="str">
        <f t="shared" si="47"/>
        <v/>
      </c>
      <c r="J112" s="6" t="str">
        <f t="array" ref="J112">_xlfn.IFNA((INDEX('DMR 001C TIN &amp; TP'!$A$3:$M$10005,MATCH(('Reg 85'!$I$6:$Q$6&amp;'Reg 85'!$I$10:$K$10&amp;'Reg 85'!$B112),('DMR 001C TIN &amp; TP'!$E$3:$E$10005&amp;'DMR 001C TIN &amp; TP'!$B$3:$B$10005&amp;'DMR 001C TIN &amp; TP'!$A$3:$A$10005),0),MATCH('Reg 85'!$J$11,'DMR 001C TIN &amp; TP'!$A$2:$M$2,0))),"")</f>
        <v>0.15</v>
      </c>
      <c r="K112" s="6">
        <f t="array" ref="K112">_xlfn.IFNA((INDEX('DMR 001C TIN &amp; TP'!$A$3:$M$10005,MATCH(('Reg 85'!$I$6:$Q$6&amp;'Reg 85'!$I$10:$K$10&amp;'Reg 85'!$B112),('DMR 001C TIN &amp; TP'!$E$3:$E$10005&amp;'DMR 001C TIN &amp; TP'!$B$3:$B$10005&amp;'DMR 001C TIN &amp; TP'!$A$3:$A$10005),0),MATCH('Reg 85'!$K$11,'DMR 001C TIN &amp; TP'!$A$2:$M$2,0))),"")</f>
        <v>0.56000000000000005</v>
      </c>
      <c r="L112" s="53">
        <f t="shared" si="59"/>
        <v>0.56000000000000005</v>
      </c>
      <c r="M112" s="5" t="str">
        <f t="shared" si="48"/>
        <v/>
      </c>
      <c r="N112" s="6" t="str">
        <f t="array" ref="N112">_xlfn.IFNA((INDEX('DMR 001C TIN &amp; TP'!$A$3:$M$10005,MATCH(('Reg 85'!$I$6:$Q$6&amp;'Reg 85'!$M$10&amp;'Reg 85'!$B112),('DMR 001C TIN &amp; TP'!$E$3:$E$10005&amp;'DMR 001C TIN &amp; TP'!$B$3:$B$10005&amp;'DMR 001C TIN &amp; TP'!$A$3:$A$10005),0),MATCH('Reg 85'!$N$11,'DMR 001C TIN &amp; TP'!$A$2:$M$2,0))),"")</f>
        <v>0.15</v>
      </c>
      <c r="O112" s="6">
        <f t="array" ref="O112">_xlfn.IFNA((INDEX('DMR 001C TIN &amp; TP'!$A$3:$M$10005,MATCH(('Reg 85'!$I$6:$Q$6&amp;'Reg 85'!$M$10&amp;'Reg 85'!$B112),('DMR 001C TIN &amp; TP'!$E$3:$E$10005&amp;'DMR 001C TIN &amp; TP'!$B$3:$B$10005&amp;'DMR 001C TIN &amp; TP'!$A$3:$A$10005),0),MATCH('Reg 85'!$O$11,'DMR 001C TIN &amp; TP'!$A$2:$M$2,0))),"")</f>
        <v>1.01</v>
      </c>
      <c r="P112" s="53">
        <f t="shared" si="49"/>
        <v>1.01</v>
      </c>
      <c r="Q112" s="73">
        <f t="array" ref="Q112">IFERROR(((L112*$F112)+(P112*$G112))/($H112),"")</f>
        <v>0.86284556716185357</v>
      </c>
      <c r="R112" s="6" t="str">
        <f t="array" ref="R112">_xlfn.IFNA((INDEX('DMR 001C TIN &amp; TP'!$A$3:$M$10005,MATCH(('Reg 85'!$I$6:$Q$6&amp;'Reg 85'!R$10&amp;'Reg 85'!$B112),('DMR 001C TIN &amp; TP'!$E$3:$E$10005&amp;'DMR 001C TIN &amp; TP'!$B$3:$B$10005&amp;'DMR 001C TIN &amp; TP'!$A$3:$A$10005),0),MATCH('Reg 85'!$O$11,'DMR 001C TIN &amp; TP'!$A$2:$M$2,0))),"")</f>
        <v/>
      </c>
      <c r="S112" s="6" t="str">
        <f t="array" ref="S112">_xlfn.IFNA((INDEX('DMR 001C TIN &amp; TP'!$A$3:$M$10005,MATCH(('Reg 85'!$I$6:$Q$6&amp;'Reg 85'!S$10&amp;'Reg 85'!$B112),('DMR 001C TIN &amp; TP'!$E$3:$E$10005&amp;'DMR 001C TIN &amp; TP'!$B$3:$B$10005&amp;'DMR 001C TIN &amp; TP'!$A$3:$A$10005),0),MATCH('Reg 85'!$O$11,'DMR 001C TIN &amp; TP'!$A$2:$M$2,0))),"")</f>
        <v/>
      </c>
      <c r="T112" s="6" t="str">
        <f t="array" ref="T112">_xlfn.IFNA((INDEX('DMR 001C TIN &amp; TP'!$A$3:$M$10005,MATCH(('Reg 85'!$I$6:$Q$6&amp;'Reg 85'!T$10&amp;'Reg 85'!$B112),('DMR 001C TIN &amp; TP'!$E$3:$E$10005&amp;'DMR 001C TIN &amp; TP'!$B$3:$B$10005&amp;'DMR 001C TIN &amp; TP'!$A$3:$A$10005),0),MATCH('Reg 85'!$O$11,'DMR 001C TIN &amp; TP'!$A$2:$M$2,0))),"")</f>
        <v/>
      </c>
      <c r="U112" s="6" t="str">
        <f t="array" ref="U112">_xlfn.IFNA((INDEX('DMR 001C TIN &amp; TP'!$A$3:$M$10005,MATCH(('Reg 85'!$I$6:$Q$6&amp;'Reg 85'!U$10&amp;'Reg 85'!$B112),('DMR 001C TIN &amp; TP'!$E$3:$E$10005&amp;'DMR 001C TIN &amp; TP'!$B$3:$B$10005&amp;'DMR 001C TIN &amp; TP'!$A$3:$A$10005),0),MATCH('Reg 85'!$O$11,'DMR 001C TIN &amp; TP'!$A$2:$M$2,0))),"")</f>
        <v/>
      </c>
      <c r="V112" s="6" t="str">
        <f t="array" ref="V112">_xlfn.IFNA((INDEX('DMR 001C TIN &amp; TP'!$A$3:$M$10005,MATCH(('Reg 85'!$I$6:$Q$6&amp;'Reg 85'!V$10&amp;'Reg 85'!$B112),('DMR 001C TIN &amp; TP'!$E$3:$E$10005&amp;'DMR 001C TIN &amp; TP'!$B$3:$B$10005&amp;'DMR 001C TIN &amp; TP'!$A$3:$A$10005),0),MATCH('Reg 85'!$O$11,'DMR 001C TIN &amp; TP'!$A$2:$M$2,0))),"")</f>
        <v/>
      </c>
      <c r="W112" s="6" t="str">
        <f t="array" ref="W112">_xlfn.IFNA((INDEX('DMR 001C TIN &amp; TP'!$A$3:$M$10005,MATCH(('Reg 85'!$I$6:$Q$6&amp;'Reg 85'!W$10&amp;'Reg 85'!$B112),('DMR 001C TIN &amp; TP'!$E$3:$E$10005&amp;'DMR 001C TIN &amp; TP'!$B$3:$B$10005&amp;'DMR 001C TIN &amp; TP'!$A$3:$A$10005),0),MATCH('Reg 85'!$O$11,'DMR 001C TIN &amp; TP'!$A$2:$M$2,0))),"")</f>
        <v/>
      </c>
      <c r="X112" s="5" t="str">
        <f t="shared" si="50"/>
        <v/>
      </c>
      <c r="Y112" s="6" t="str">
        <f t="array" ref="Y112">_xlfn.IFNA((INDEX('DMR 001C TIN &amp; TP'!$A$3:$M$10005,MATCH(('Reg 85'!$X$6&amp;'Reg 85'!$X$10&amp;'Reg 85'!$B112),('DMR 001C TIN &amp; TP'!$E$3:$E$10005&amp;'DMR 001C TIN &amp; TP'!$B$3:$B$10005&amp;'DMR 001C TIN &amp; TP'!$A$3:$A$10005),0),MATCH('Reg 85'!$Y$11,'DMR 001C TIN &amp; TP'!$A$2:$M$2,0))),"")</f>
        <v>0.12</v>
      </c>
      <c r="Z112" s="6">
        <f t="array" ref="Z112">_xlfn.IFNA((INDEX('DMR 001C TIN &amp; TP'!$A$3:$M$10005,MATCH(('Reg 85'!$X$6&amp;'Reg 85'!$X$10&amp;'Reg 85'!$B112),('DMR 001C TIN &amp; TP'!$E$3:$E$10005&amp;'DMR 001C TIN &amp; TP'!$B$3:$B$10005&amp;'DMR 001C TIN &amp; TP'!$A$3:$A$10005),0),MATCH('Reg 85'!$Z$11,'DMR 001C TIN &amp; TP'!$A$2:$M$2,0))),"")</f>
        <v>3.94</v>
      </c>
      <c r="AA112" s="53">
        <f t="shared" si="51"/>
        <v>3.94</v>
      </c>
      <c r="AB112" s="5" t="str">
        <f t="shared" si="52"/>
        <v/>
      </c>
      <c r="AC112" s="6" t="str">
        <f t="array" ref="AC112">_xlfn.IFNA((INDEX('DMR 001C TIN &amp; TP'!$A$3:$M$10005,MATCH(('Reg 85'!$X$6&amp;'Reg 85'!$AB$10&amp;'Reg 85'!$B112),('DMR 001C TIN &amp; TP'!$E$3:$E$10005&amp;'DMR 001C TIN &amp; TP'!$B$3:$B$10005&amp;'DMR 001C TIN &amp; TP'!$A$3:$A$10005),0),MATCH('Reg 85'!$AC$11,'DMR 001C TIN &amp; TP'!$A$2:$M$2,0))),"")</f>
        <v>0.06</v>
      </c>
      <c r="AD112" s="6">
        <f t="array" ref="AD112">_xlfn.IFNA((INDEX('DMR 001C TIN &amp; TP'!$A$3:$M$10005,MATCH(('Reg 85'!$X$6&amp;'Reg 85'!$AB$10&amp;'Reg 85'!$B112),('DMR 001C TIN &amp; TP'!$E$3:$E$10005&amp;'DMR 001C TIN &amp; TP'!$B$3:$B$10005&amp;'DMR 001C TIN &amp; TP'!$A$3:$A$10005),0),MATCH('Reg 85'!$AD$11,'DMR 001C TIN &amp; TP'!$A$2:$M$2,0))),"")</f>
        <v>6.04</v>
      </c>
      <c r="AE112" s="53">
        <f t="shared" si="53"/>
        <v>6.04</v>
      </c>
      <c r="AF112" s="7">
        <f t="shared" si="54"/>
        <v>5.3532793134219832</v>
      </c>
      <c r="AG112" s="6" t="str">
        <f t="array" ref="AG112">_xlfn.IFNA((INDEX('DMR 001C TIN &amp; TP'!$A$3:$M$10005,MATCH(('Reg 85'!$X$6&amp;'Reg 85'!AG$10&amp;'Reg 85'!$B112),('DMR 001C TIN &amp; TP'!$E$3:$E$10005&amp;'DMR 001C TIN &amp; TP'!$B$3:$B$10005&amp;'DMR 001C TIN &amp; TP'!$A$3:$A$10005),0),MATCH('Reg 85'!$AG$11,'DMR 001C TIN &amp; TP'!$A$2:$M$2,0))),"")</f>
        <v/>
      </c>
      <c r="AH112" s="6" t="str">
        <f t="array" ref="AH112">_xlfn.IFNA((INDEX('DMR 001C TIN &amp; TP'!$A$3:$M$10005,MATCH(('Reg 85'!$X$6&amp;'Reg 85'!AH$10&amp;'Reg 85'!$B112),('DMR 001C TIN &amp; TP'!$E$3:$E$10005&amp;'DMR 001C TIN &amp; TP'!$B$3:$B$10005&amp;'DMR 001C TIN &amp; TP'!$A$3:$A$10005),0),MATCH('Reg 85'!$AG$11,'DMR 001C TIN &amp; TP'!$A$2:$M$2,0))),"")</f>
        <v/>
      </c>
      <c r="AI112" s="6" t="str">
        <f t="array" ref="AI112">_xlfn.IFNA((INDEX('DMR 001C TIN &amp; TP'!$A$3:$M$10005,MATCH(('Reg 85'!$X$6&amp;'Reg 85'!AI$10&amp;'Reg 85'!$B112),('DMR 001C TIN &amp; TP'!$E$3:$E$10005&amp;'DMR 001C TIN &amp; TP'!$B$3:$B$10005&amp;'DMR 001C TIN &amp; TP'!$A$3:$A$10005),0),MATCH('Reg 85'!$AG$11,'DMR 001C TIN &amp; TP'!$A$2:$M$2,0))),"")</f>
        <v/>
      </c>
      <c r="AJ112" s="6" t="str">
        <f t="array" ref="AJ112">_xlfn.IFNA((INDEX('DMR 001C TIN &amp; TP'!$A$3:$M$10005,MATCH(('Reg 85'!$X$6&amp;'Reg 85'!AJ$10&amp;'Reg 85'!$B112),('DMR 001C TIN &amp; TP'!$E$3:$E$10005&amp;'DMR 001C TIN &amp; TP'!$B$3:$B$10005&amp;'DMR 001C TIN &amp; TP'!$A$3:$A$10005),0),MATCH('Reg 85'!$AG$11,'DMR 001C TIN &amp; TP'!$A$2:$M$2,0))),"")</f>
        <v/>
      </c>
      <c r="AK112" s="6" t="str">
        <f t="array" ref="AK112">_xlfn.IFNA((INDEX('DMR 001C TIN &amp; TP'!$A$3:$M$10005,MATCH(('Reg 85'!$X$6&amp;'Reg 85'!AK$10&amp;'Reg 85'!$B112),('DMR 001C TIN &amp; TP'!$E$3:$E$10005&amp;'DMR 001C TIN &amp; TP'!$B$3:$B$10005&amp;'DMR 001C TIN &amp; TP'!$A$3:$A$10005),0),MATCH('Reg 85'!$AG$11,'DMR 001C TIN &amp; TP'!$A$2:$M$2,0))),"")</f>
        <v/>
      </c>
      <c r="AL112" s="6" t="str">
        <f t="array" ref="AL112">_xlfn.IFNA((INDEX('DMR 001C TIN &amp; TP'!$A$3:$M$10005,MATCH(('Reg 85'!$X$6&amp;'Reg 85'!AL$10&amp;'Reg 85'!$B112),('DMR 001C TIN &amp; TP'!$E$3:$E$10005&amp;'DMR 001C TIN &amp; TP'!$B$3:$B$10005&amp;'DMR 001C TIN &amp; TP'!$A$3:$A$10005),0),MATCH('Reg 85'!$AG$11,'DMR 001C TIN &amp; TP'!$A$2:$M$2,0))),"")</f>
        <v/>
      </c>
      <c r="AM112" s="76"/>
      <c r="AN112" s="6"/>
      <c r="AO112" s="54">
        <f t="shared" si="41"/>
        <v>6.2161248805838367</v>
      </c>
      <c r="AP112" s="77" t="str">
        <f t="shared" si="60"/>
        <v/>
      </c>
      <c r="AQ112" s="47"/>
      <c r="AR112" s="6" t="str">
        <f t="array" ref="AR112">_xlfn.IFNA((INDEX('DMR 001C TIN &amp; TP'!$A$3:$M$10005,MATCH(('Reg 85'!$AQ$6&amp;'Reg 85'!$AQ$10&amp;'Reg 85'!$B112),('DMR 001C TIN &amp; TP'!$E$3:$E$10005&amp;'DMR 001C TIN &amp; TP'!$B$3:$B$10005&amp;'DMR 001C TIN &amp; TP'!$A$3:$A$10005),0),MATCH('Reg 85'!$AR$11,'DMR 001C TIN &amp; TP'!$A$2:$M$2,0))),"")</f>
        <v/>
      </c>
      <c r="AS112" s="6" t="str">
        <f t="array" ref="AS112">_xlfn.IFNA((INDEX('DMR 001C TIN &amp; TP'!$A$3:$M$10005,MATCH(('Reg 85'!$AQ$6&amp;'Reg 85'!$AQ$10&amp;'Reg 85'!$B112),('DMR 001C TIN &amp; TP'!$E$3:$E$10005&amp;'DMR 001C TIN &amp; TP'!$B$3:$B$10005&amp;'DMR 001C TIN &amp; TP'!$A$3:$A$10005),0),MATCH('Reg 85'!$AS$11,'DMR 001C TIN &amp; TP'!$A$2:$M$2,0))),"")</f>
        <v/>
      </c>
      <c r="AT112" s="53" t="str">
        <f t="shared" si="55"/>
        <v/>
      </c>
      <c r="AV112" s="6" t="str">
        <f t="array" ref="AV112">_xlfn.IFNA((INDEX('DMR 001C TIN &amp; TP'!$A$3:$M$10005,MATCH(('Reg 85'!$AQ$6&amp;'Reg 85'!$AU$10&amp;'Reg 85'!$B112),('DMR 001C TIN &amp; TP'!$E$3:$E$10005&amp;'DMR 001C TIN &amp; TP'!$B$3:$B$10005&amp;'DMR 001C TIN &amp; TP'!$A$3:$A$10005),0),MATCH('Reg 85'!$AV$11,'DMR 001C TIN &amp; TP'!$A$2:$M$2,0))),"")</f>
        <v/>
      </c>
      <c r="AW112" s="6" t="str">
        <f t="array" ref="AW112">_xlfn.IFNA((INDEX('DMR 001C TIN &amp; TP'!$A$3:$M$10005,MATCH(('Reg 85'!$AQ$6&amp;'Reg 85'!$AU$10&amp;'Reg 85'!$B112),('DMR 001C TIN &amp; TP'!$E$3:$E$10005&amp;'DMR 001C TIN &amp; TP'!$B$3:$B$10005&amp;'DMR 001C TIN &amp; TP'!$A$3:$A$10005),0),MATCH('Reg 85'!$AW$11,'DMR 001C TIN &amp; TP'!$A$2:$M$2,0))),"")</f>
        <v/>
      </c>
      <c r="AX112" s="53" t="str">
        <f t="shared" si="56"/>
        <v/>
      </c>
      <c r="AY112" s="55" t="str">
        <f t="shared" si="57"/>
        <v/>
      </c>
      <c r="AZ112" s="77" t="str">
        <f t="shared" si="61"/>
        <v/>
      </c>
      <c r="BA112" s="6" t="str">
        <f t="array" ref="BA112">_xlfn.IFNA((INDEX('DMR 001C TIN &amp; TP'!$A$3:$M$10005,MATCH(('Reg 85'!$AQ$6&amp;'Reg 85'!BA$10&amp;'Reg 85'!$B112),('DMR 001C TIN &amp; TP'!$E$3:$E$10005&amp;'DMR 001C TIN &amp; TP'!$B$3:$B$10005&amp;'DMR 001C TIN &amp; TP'!$A$3:$A$10005),0),MATCH('Reg 85'!$AG$11,'DMR 001C TIN &amp; TP'!$A$2:$M$2,0))),"")</f>
        <v/>
      </c>
      <c r="BB112" s="6" t="str">
        <f t="array" ref="BB112">_xlfn.IFNA((INDEX('DMR 001C TIN &amp; TP'!$A$3:$M$10005,MATCH(('Reg 85'!$AQ$6&amp;'Reg 85'!BB$10&amp;'Reg 85'!$B112),('DMR 001C TIN &amp; TP'!$E$3:$E$10005&amp;'DMR 001C TIN &amp; TP'!$B$3:$B$10005&amp;'DMR 001C TIN &amp; TP'!$A$3:$A$10005),0),MATCH('Reg 85'!$AG$11,'DMR 001C TIN &amp; TP'!$A$2:$M$2,0))),"")</f>
        <v/>
      </c>
      <c r="BC112" s="6" t="str">
        <f t="array" ref="BC112">_xlfn.IFNA((INDEX('DMR 001C TIN &amp; TP'!$A$3:$M$10005,MATCH(('Reg 85'!$AQ$6&amp;'Reg 85'!BC$10&amp;'Reg 85'!$B112),('DMR 001C TIN &amp; TP'!$E$3:$E$10005&amp;'DMR 001C TIN &amp; TP'!$B$3:$B$10005&amp;'DMR 001C TIN &amp; TP'!$A$3:$A$10005),0),MATCH('Reg 85'!$AG$11,'DMR 001C TIN &amp; TP'!$A$2:$M$2,0))),"")</f>
        <v/>
      </c>
      <c r="BD112" s="6" t="str">
        <f t="array" ref="BD112">_xlfn.IFNA((INDEX('DMR 001C TIN &amp; TP'!$A$3:$M$10005,MATCH(('Reg 85'!$AQ$6&amp;'Reg 85'!BD$10&amp;'Reg 85'!$B112),('DMR 001C TIN &amp; TP'!$E$3:$E$10005&amp;'DMR 001C TIN &amp; TP'!$B$3:$B$10005&amp;'DMR 001C TIN &amp; TP'!$A$3:$A$10005),0),MATCH('Reg 85'!$AG$11,'DMR 001C TIN &amp; TP'!$A$2:$M$2,0))),"")</f>
        <v/>
      </c>
      <c r="BE112" s="6" t="str">
        <f t="array" ref="BE112">_xlfn.IFNA((INDEX('DMR 001C TIN &amp; TP'!$A$3:$M$10005,MATCH(('Reg 85'!$AQ$6&amp;'Reg 85'!BE$10&amp;'Reg 85'!$B112),('DMR 001C TIN &amp; TP'!$E$3:$E$10005&amp;'DMR 001C TIN &amp; TP'!$B$3:$B$10005&amp;'DMR 001C TIN &amp; TP'!$A$3:$A$10005),0),MATCH('Reg 85'!$AG$11,'DMR 001C TIN &amp; TP'!$A$2:$M$2,0))),"")</f>
        <v/>
      </c>
      <c r="BF112" s="6" t="str">
        <f t="array" ref="BF112">_xlfn.IFNA((INDEX('DMR 001C TIN &amp; TP'!$A$3:$M$10005,MATCH(('Reg 85'!$AQ$6&amp;'Reg 85'!BF$10&amp;'Reg 85'!$B112),('DMR 001C TIN &amp; TP'!$E$3:$E$10005&amp;'DMR 001C TIN &amp; TP'!$B$3:$B$10005&amp;'DMR 001C TIN &amp; TP'!$A$3:$A$10005),0),MATCH('Reg 85'!$AG$11,'DMR 001C TIN &amp; TP'!$A$2:$M$2,0))),"")</f>
        <v/>
      </c>
    </row>
    <row r="113" spans="1:58">
      <c r="A113" s="3" t="str">
        <f t="shared" si="42"/>
        <v>Tue</v>
      </c>
      <c r="B113" s="96">
        <f t="shared" si="58"/>
        <v>43445</v>
      </c>
      <c r="C113" s="96">
        <f t="shared" si="43"/>
        <v>43465</v>
      </c>
      <c r="D113" s="96">
        <f t="shared" si="44"/>
        <v>43435</v>
      </c>
      <c r="E113" s="95">
        <f t="shared" si="45"/>
        <v>31</v>
      </c>
      <c r="F113" s="7">
        <f t="array" ref="F113">_xlfn.IFNA(INDEX('DMR Flows-Effluent'!$A$3:$F$9999,MATCH(($F$10&amp;$B113),('DMR Flows-Effluent'!$B$3:$B$9999&amp;'DMR Flows-Effluent'!$A$3:$A$9999),0),MATCH($F$8,'DMR Flows-Effluent'!$A$2:$F$2,0)),"")</f>
        <v>36.245100000000001</v>
      </c>
      <c r="G113" s="7">
        <f t="array" ref="G113">_xlfn.IFNA(INDEX('DMR Flows-Effluent'!$A$3:$F$9999,MATCH(($G$10&amp;$B113),('DMR Flows-Effluent'!$B$3:$B$9999&amp;'DMR Flows-Effluent'!$A$3:$A$9999),0),MATCH($F$8,'DMR Flows-Effluent'!$A$2:$F$2,0)),"")</f>
        <v>87.570599999999999</v>
      </c>
      <c r="H113" s="7">
        <f t="shared" si="46"/>
        <v>123.81569999999999</v>
      </c>
      <c r="I113" s="45" t="str">
        <f t="shared" si="47"/>
        <v/>
      </c>
      <c r="J113" s="6" t="str">
        <f t="array" ref="J113">_xlfn.IFNA((INDEX('DMR 001C TIN &amp; TP'!$A$3:$M$10005,MATCH(('Reg 85'!$I$6:$Q$6&amp;'Reg 85'!$I$10:$K$10&amp;'Reg 85'!$B113),('DMR 001C TIN &amp; TP'!$E$3:$E$10005&amp;'DMR 001C TIN &amp; TP'!$B$3:$B$10005&amp;'DMR 001C TIN &amp; TP'!$A$3:$A$10005),0),MATCH('Reg 85'!$J$11,'DMR 001C TIN &amp; TP'!$A$2:$M$2,0))),"")</f>
        <v>0.15</v>
      </c>
      <c r="K113" s="6">
        <f t="array" ref="K113">_xlfn.IFNA((INDEX('DMR 001C TIN &amp; TP'!$A$3:$M$10005,MATCH(('Reg 85'!$I$6:$Q$6&amp;'Reg 85'!$I$10:$K$10&amp;'Reg 85'!$B113),('DMR 001C TIN &amp; TP'!$E$3:$E$10005&amp;'DMR 001C TIN &amp; TP'!$B$3:$B$10005&amp;'DMR 001C TIN &amp; TP'!$A$3:$A$10005),0),MATCH('Reg 85'!$K$11,'DMR 001C TIN &amp; TP'!$A$2:$M$2,0))),"")</f>
        <v>0.18</v>
      </c>
      <c r="L113" s="53">
        <f t="shared" si="59"/>
        <v>0.18</v>
      </c>
      <c r="M113" s="5" t="str">
        <f t="shared" si="48"/>
        <v/>
      </c>
      <c r="N113" s="6" t="str">
        <f t="array" ref="N113">_xlfn.IFNA((INDEX('DMR 001C TIN &amp; TP'!$A$3:$M$10005,MATCH(('Reg 85'!$I$6:$Q$6&amp;'Reg 85'!$M$10&amp;'Reg 85'!$B113),('DMR 001C TIN &amp; TP'!$E$3:$E$10005&amp;'DMR 001C TIN &amp; TP'!$B$3:$B$10005&amp;'DMR 001C TIN &amp; TP'!$A$3:$A$10005),0),MATCH('Reg 85'!$N$11,'DMR 001C TIN &amp; TP'!$A$2:$M$2,0))),"")</f>
        <v>0.15</v>
      </c>
      <c r="O113" s="6">
        <f t="array" ref="O113">_xlfn.IFNA((INDEX('DMR 001C TIN &amp; TP'!$A$3:$M$10005,MATCH(('Reg 85'!$I$6:$Q$6&amp;'Reg 85'!$M$10&amp;'Reg 85'!$B113),('DMR 001C TIN &amp; TP'!$E$3:$E$10005&amp;'DMR 001C TIN &amp; TP'!$B$3:$B$10005&amp;'DMR 001C TIN &amp; TP'!$A$3:$A$10005),0),MATCH('Reg 85'!$O$11,'DMR 001C TIN &amp; TP'!$A$2:$M$2,0))),"")</f>
        <v>2.4900000000000002</v>
      </c>
      <c r="P113" s="53">
        <f t="shared" si="49"/>
        <v>2.4900000000000002</v>
      </c>
      <c r="Q113" s="73">
        <f t="array" ref="Q113">IFERROR(((L113*$F113)+(P113*$G113))/($H113),"")</f>
        <v>1.8137838093230505</v>
      </c>
      <c r="R113" s="6" t="str">
        <f t="array" ref="R113">_xlfn.IFNA((INDEX('DMR 001C TIN &amp; TP'!$A$3:$M$10005,MATCH(('Reg 85'!$I$6:$Q$6&amp;'Reg 85'!R$10&amp;'Reg 85'!$B113),('DMR 001C TIN &amp; TP'!$E$3:$E$10005&amp;'DMR 001C TIN &amp; TP'!$B$3:$B$10005&amp;'DMR 001C TIN &amp; TP'!$A$3:$A$10005),0),MATCH('Reg 85'!$O$11,'DMR 001C TIN &amp; TP'!$A$2:$M$2,0))),"")</f>
        <v/>
      </c>
      <c r="S113" s="6" t="str">
        <f t="array" ref="S113">_xlfn.IFNA((INDEX('DMR 001C TIN &amp; TP'!$A$3:$M$10005,MATCH(('Reg 85'!$I$6:$Q$6&amp;'Reg 85'!S$10&amp;'Reg 85'!$B113),('DMR 001C TIN &amp; TP'!$E$3:$E$10005&amp;'DMR 001C TIN &amp; TP'!$B$3:$B$10005&amp;'DMR 001C TIN &amp; TP'!$A$3:$A$10005),0),MATCH('Reg 85'!$O$11,'DMR 001C TIN &amp; TP'!$A$2:$M$2,0))),"")</f>
        <v/>
      </c>
      <c r="T113" s="6" t="str">
        <f t="array" ref="T113">_xlfn.IFNA((INDEX('DMR 001C TIN &amp; TP'!$A$3:$M$10005,MATCH(('Reg 85'!$I$6:$Q$6&amp;'Reg 85'!T$10&amp;'Reg 85'!$B113),('DMR 001C TIN &amp; TP'!$E$3:$E$10005&amp;'DMR 001C TIN &amp; TP'!$B$3:$B$10005&amp;'DMR 001C TIN &amp; TP'!$A$3:$A$10005),0),MATCH('Reg 85'!$O$11,'DMR 001C TIN &amp; TP'!$A$2:$M$2,0))),"")</f>
        <v/>
      </c>
      <c r="U113" s="6" t="str">
        <f t="array" ref="U113">_xlfn.IFNA((INDEX('DMR 001C TIN &amp; TP'!$A$3:$M$10005,MATCH(('Reg 85'!$I$6:$Q$6&amp;'Reg 85'!U$10&amp;'Reg 85'!$B113),('DMR 001C TIN &amp; TP'!$E$3:$E$10005&amp;'DMR 001C TIN &amp; TP'!$B$3:$B$10005&amp;'DMR 001C TIN &amp; TP'!$A$3:$A$10005),0),MATCH('Reg 85'!$O$11,'DMR 001C TIN &amp; TP'!$A$2:$M$2,0))),"")</f>
        <v/>
      </c>
      <c r="V113" s="6" t="str">
        <f t="array" ref="V113">_xlfn.IFNA((INDEX('DMR 001C TIN &amp; TP'!$A$3:$M$10005,MATCH(('Reg 85'!$I$6:$Q$6&amp;'Reg 85'!V$10&amp;'Reg 85'!$B113),('DMR 001C TIN &amp; TP'!$E$3:$E$10005&amp;'DMR 001C TIN &amp; TP'!$B$3:$B$10005&amp;'DMR 001C TIN &amp; TP'!$A$3:$A$10005),0),MATCH('Reg 85'!$O$11,'DMR 001C TIN &amp; TP'!$A$2:$M$2,0))),"")</f>
        <v/>
      </c>
      <c r="W113" s="6" t="str">
        <f t="array" ref="W113">_xlfn.IFNA((INDEX('DMR 001C TIN &amp; TP'!$A$3:$M$10005,MATCH(('Reg 85'!$I$6:$Q$6&amp;'Reg 85'!W$10&amp;'Reg 85'!$B113),('DMR 001C TIN &amp; TP'!$E$3:$E$10005&amp;'DMR 001C TIN &amp; TP'!$B$3:$B$10005&amp;'DMR 001C TIN &amp; TP'!$A$3:$A$10005),0),MATCH('Reg 85'!$O$11,'DMR 001C TIN &amp; TP'!$A$2:$M$2,0))),"")</f>
        <v/>
      </c>
      <c r="X113" s="5" t="str">
        <f t="shared" si="50"/>
        <v/>
      </c>
      <c r="Y113" s="6" t="str">
        <f t="array" ref="Y113">_xlfn.IFNA((INDEX('DMR 001C TIN &amp; TP'!$A$3:$M$10005,MATCH(('Reg 85'!$X$6&amp;'Reg 85'!$X$10&amp;'Reg 85'!$B113),('DMR 001C TIN &amp; TP'!$E$3:$E$10005&amp;'DMR 001C TIN &amp; TP'!$B$3:$B$10005&amp;'DMR 001C TIN &amp; TP'!$A$3:$A$10005),0),MATCH('Reg 85'!$Y$11,'DMR 001C TIN &amp; TP'!$A$2:$M$2,0))),"")</f>
        <v>0.06</v>
      </c>
      <c r="Z113" s="6">
        <f t="array" ref="Z113">_xlfn.IFNA((INDEX('DMR 001C TIN &amp; TP'!$A$3:$M$10005,MATCH(('Reg 85'!$X$6&amp;'Reg 85'!$X$10&amp;'Reg 85'!$B113),('DMR 001C TIN &amp; TP'!$E$3:$E$10005&amp;'DMR 001C TIN &amp; TP'!$B$3:$B$10005&amp;'DMR 001C TIN &amp; TP'!$A$3:$A$10005),0),MATCH('Reg 85'!$Z$11,'DMR 001C TIN &amp; TP'!$A$2:$M$2,0))),"")</f>
        <v>4.01</v>
      </c>
      <c r="AA113" s="53">
        <f t="shared" si="51"/>
        <v>4.01</v>
      </c>
      <c r="AB113" s="5" t="str">
        <f t="shared" si="52"/>
        <v/>
      </c>
      <c r="AC113" s="6" t="str">
        <f t="array" ref="AC113">_xlfn.IFNA((INDEX('DMR 001C TIN &amp; TP'!$A$3:$M$10005,MATCH(('Reg 85'!$X$6&amp;'Reg 85'!$AB$10&amp;'Reg 85'!$B113),('DMR 001C TIN &amp; TP'!$E$3:$E$10005&amp;'DMR 001C TIN &amp; TP'!$B$3:$B$10005&amp;'DMR 001C TIN &amp; TP'!$A$3:$A$10005),0),MATCH('Reg 85'!$AC$11,'DMR 001C TIN &amp; TP'!$A$2:$M$2,0))),"")</f>
        <v>0.06</v>
      </c>
      <c r="AD113" s="6">
        <f t="array" ref="AD113">_xlfn.IFNA((INDEX('DMR 001C TIN &amp; TP'!$A$3:$M$10005,MATCH(('Reg 85'!$X$6&amp;'Reg 85'!$AB$10&amp;'Reg 85'!$B113),('DMR 001C TIN &amp; TP'!$E$3:$E$10005&amp;'DMR 001C TIN &amp; TP'!$B$3:$B$10005&amp;'DMR 001C TIN &amp; TP'!$A$3:$A$10005),0),MATCH('Reg 85'!$AD$11,'DMR 001C TIN &amp; TP'!$A$2:$M$2,0))),"")</f>
        <v>5.6</v>
      </c>
      <c r="AE113" s="53">
        <f t="shared" si="53"/>
        <v>5.6</v>
      </c>
      <c r="AF113" s="7">
        <f t="shared" si="54"/>
        <v>5.1345524921314505</v>
      </c>
      <c r="AG113" s="6" t="str">
        <f t="array" ref="AG113">_xlfn.IFNA((INDEX('DMR 001C TIN &amp; TP'!$A$3:$M$10005,MATCH(('Reg 85'!$X$6&amp;'Reg 85'!AG$10&amp;'Reg 85'!$B113),('DMR 001C TIN &amp; TP'!$E$3:$E$10005&amp;'DMR 001C TIN &amp; TP'!$B$3:$B$10005&amp;'DMR 001C TIN &amp; TP'!$A$3:$A$10005),0),MATCH('Reg 85'!$AG$11,'DMR 001C TIN &amp; TP'!$A$2:$M$2,0))),"")</f>
        <v/>
      </c>
      <c r="AH113" s="6" t="str">
        <f t="array" ref="AH113">_xlfn.IFNA((INDEX('DMR 001C TIN &amp; TP'!$A$3:$M$10005,MATCH(('Reg 85'!$X$6&amp;'Reg 85'!AH$10&amp;'Reg 85'!$B113),('DMR 001C TIN &amp; TP'!$E$3:$E$10005&amp;'DMR 001C TIN &amp; TP'!$B$3:$B$10005&amp;'DMR 001C TIN &amp; TP'!$A$3:$A$10005),0),MATCH('Reg 85'!$AG$11,'DMR 001C TIN &amp; TP'!$A$2:$M$2,0))),"")</f>
        <v/>
      </c>
      <c r="AI113" s="6" t="str">
        <f t="array" ref="AI113">_xlfn.IFNA((INDEX('DMR 001C TIN &amp; TP'!$A$3:$M$10005,MATCH(('Reg 85'!$X$6&amp;'Reg 85'!AI$10&amp;'Reg 85'!$B113),('DMR 001C TIN &amp; TP'!$E$3:$E$10005&amp;'DMR 001C TIN &amp; TP'!$B$3:$B$10005&amp;'DMR 001C TIN &amp; TP'!$A$3:$A$10005),0),MATCH('Reg 85'!$AG$11,'DMR 001C TIN &amp; TP'!$A$2:$M$2,0))),"")</f>
        <v/>
      </c>
      <c r="AJ113" s="6" t="str">
        <f t="array" ref="AJ113">_xlfn.IFNA((INDEX('DMR 001C TIN &amp; TP'!$A$3:$M$10005,MATCH(('Reg 85'!$X$6&amp;'Reg 85'!AJ$10&amp;'Reg 85'!$B113),('DMR 001C TIN &amp; TP'!$E$3:$E$10005&amp;'DMR 001C TIN &amp; TP'!$B$3:$B$10005&amp;'DMR 001C TIN &amp; TP'!$A$3:$A$10005),0),MATCH('Reg 85'!$AG$11,'DMR 001C TIN &amp; TP'!$A$2:$M$2,0))),"")</f>
        <v/>
      </c>
      <c r="AK113" s="6" t="str">
        <f t="array" ref="AK113">_xlfn.IFNA((INDEX('DMR 001C TIN &amp; TP'!$A$3:$M$10005,MATCH(('Reg 85'!$X$6&amp;'Reg 85'!AK$10&amp;'Reg 85'!$B113),('DMR 001C TIN &amp; TP'!$E$3:$E$10005&amp;'DMR 001C TIN &amp; TP'!$B$3:$B$10005&amp;'DMR 001C TIN &amp; TP'!$A$3:$A$10005),0),MATCH('Reg 85'!$AG$11,'DMR 001C TIN &amp; TP'!$A$2:$M$2,0))),"")</f>
        <v/>
      </c>
      <c r="AL113" s="6" t="str">
        <f t="array" ref="AL113">_xlfn.IFNA((INDEX('DMR 001C TIN &amp; TP'!$A$3:$M$10005,MATCH(('Reg 85'!$X$6&amp;'Reg 85'!AL$10&amp;'Reg 85'!$B113),('DMR 001C TIN &amp; TP'!$E$3:$E$10005&amp;'DMR 001C TIN &amp; TP'!$B$3:$B$10005&amp;'DMR 001C TIN &amp; TP'!$A$3:$A$10005),0),MATCH('Reg 85'!$AG$11,'DMR 001C TIN &amp; TP'!$A$2:$M$2,0))),"")</f>
        <v/>
      </c>
      <c r="AM113" s="76"/>
      <c r="AN113" s="6"/>
      <c r="AO113" s="54">
        <f t="shared" si="41"/>
        <v>6.9483363014545008</v>
      </c>
      <c r="AP113" s="77" t="str">
        <f t="shared" si="60"/>
        <v/>
      </c>
      <c r="AQ113" s="47"/>
      <c r="AR113" s="6" t="str">
        <f t="array" ref="AR113">_xlfn.IFNA((INDEX('DMR 001C TIN &amp; TP'!$A$3:$M$10005,MATCH(('Reg 85'!$AQ$6&amp;'Reg 85'!$AQ$10&amp;'Reg 85'!$B113),('DMR 001C TIN &amp; TP'!$E$3:$E$10005&amp;'DMR 001C TIN &amp; TP'!$B$3:$B$10005&amp;'DMR 001C TIN &amp; TP'!$A$3:$A$10005),0),MATCH('Reg 85'!$AR$11,'DMR 001C TIN &amp; TP'!$A$2:$M$2,0))),"")</f>
        <v/>
      </c>
      <c r="AS113" s="6" t="str">
        <f t="array" ref="AS113">_xlfn.IFNA((INDEX('DMR 001C TIN &amp; TP'!$A$3:$M$10005,MATCH(('Reg 85'!$AQ$6&amp;'Reg 85'!$AQ$10&amp;'Reg 85'!$B113),('DMR 001C TIN &amp; TP'!$E$3:$E$10005&amp;'DMR 001C TIN &amp; TP'!$B$3:$B$10005&amp;'DMR 001C TIN &amp; TP'!$A$3:$A$10005),0),MATCH('Reg 85'!$AS$11,'DMR 001C TIN &amp; TP'!$A$2:$M$2,0))),"")</f>
        <v/>
      </c>
      <c r="AT113" s="53" t="str">
        <f t="shared" si="55"/>
        <v/>
      </c>
      <c r="AV113" s="6" t="str">
        <f t="array" ref="AV113">_xlfn.IFNA((INDEX('DMR 001C TIN &amp; TP'!$A$3:$M$10005,MATCH(('Reg 85'!$AQ$6&amp;'Reg 85'!$AU$10&amp;'Reg 85'!$B113),('DMR 001C TIN &amp; TP'!$E$3:$E$10005&amp;'DMR 001C TIN &amp; TP'!$B$3:$B$10005&amp;'DMR 001C TIN &amp; TP'!$A$3:$A$10005),0),MATCH('Reg 85'!$AV$11,'DMR 001C TIN &amp; TP'!$A$2:$M$2,0))),"")</f>
        <v/>
      </c>
      <c r="AW113" s="6" t="str">
        <f t="array" ref="AW113">_xlfn.IFNA((INDEX('DMR 001C TIN &amp; TP'!$A$3:$M$10005,MATCH(('Reg 85'!$AQ$6&amp;'Reg 85'!$AU$10&amp;'Reg 85'!$B113),('DMR 001C TIN &amp; TP'!$E$3:$E$10005&amp;'DMR 001C TIN &amp; TP'!$B$3:$B$10005&amp;'DMR 001C TIN &amp; TP'!$A$3:$A$10005),0),MATCH('Reg 85'!$AW$11,'DMR 001C TIN &amp; TP'!$A$2:$M$2,0))),"")</f>
        <v/>
      </c>
      <c r="AX113" s="53" t="str">
        <f t="shared" si="56"/>
        <v/>
      </c>
      <c r="AY113" s="55" t="str">
        <f t="shared" si="57"/>
        <v/>
      </c>
      <c r="AZ113" s="77" t="str">
        <f t="shared" si="61"/>
        <v/>
      </c>
      <c r="BA113" s="6" t="str">
        <f t="array" ref="BA113">_xlfn.IFNA((INDEX('DMR 001C TIN &amp; TP'!$A$3:$M$10005,MATCH(('Reg 85'!$AQ$6&amp;'Reg 85'!BA$10&amp;'Reg 85'!$B113),('DMR 001C TIN &amp; TP'!$E$3:$E$10005&amp;'DMR 001C TIN &amp; TP'!$B$3:$B$10005&amp;'DMR 001C TIN &amp; TP'!$A$3:$A$10005),0),MATCH('Reg 85'!$AG$11,'DMR 001C TIN &amp; TP'!$A$2:$M$2,0))),"")</f>
        <v/>
      </c>
      <c r="BB113" s="6" t="str">
        <f t="array" ref="BB113">_xlfn.IFNA((INDEX('DMR 001C TIN &amp; TP'!$A$3:$M$10005,MATCH(('Reg 85'!$AQ$6&amp;'Reg 85'!BB$10&amp;'Reg 85'!$B113),('DMR 001C TIN &amp; TP'!$E$3:$E$10005&amp;'DMR 001C TIN &amp; TP'!$B$3:$B$10005&amp;'DMR 001C TIN &amp; TP'!$A$3:$A$10005),0),MATCH('Reg 85'!$AG$11,'DMR 001C TIN &amp; TP'!$A$2:$M$2,0))),"")</f>
        <v/>
      </c>
      <c r="BC113" s="6" t="str">
        <f t="array" ref="BC113">_xlfn.IFNA((INDEX('DMR 001C TIN &amp; TP'!$A$3:$M$10005,MATCH(('Reg 85'!$AQ$6&amp;'Reg 85'!BC$10&amp;'Reg 85'!$B113),('DMR 001C TIN &amp; TP'!$E$3:$E$10005&amp;'DMR 001C TIN &amp; TP'!$B$3:$B$10005&amp;'DMR 001C TIN &amp; TP'!$A$3:$A$10005),0),MATCH('Reg 85'!$AG$11,'DMR 001C TIN &amp; TP'!$A$2:$M$2,0))),"")</f>
        <v/>
      </c>
      <c r="BD113" s="6" t="str">
        <f t="array" ref="BD113">_xlfn.IFNA((INDEX('DMR 001C TIN &amp; TP'!$A$3:$M$10005,MATCH(('Reg 85'!$AQ$6&amp;'Reg 85'!BD$10&amp;'Reg 85'!$B113),('DMR 001C TIN &amp; TP'!$E$3:$E$10005&amp;'DMR 001C TIN &amp; TP'!$B$3:$B$10005&amp;'DMR 001C TIN &amp; TP'!$A$3:$A$10005),0),MATCH('Reg 85'!$AG$11,'DMR 001C TIN &amp; TP'!$A$2:$M$2,0))),"")</f>
        <v/>
      </c>
      <c r="BE113" s="6" t="str">
        <f t="array" ref="BE113">_xlfn.IFNA((INDEX('DMR 001C TIN &amp; TP'!$A$3:$M$10005,MATCH(('Reg 85'!$AQ$6&amp;'Reg 85'!BE$10&amp;'Reg 85'!$B113),('DMR 001C TIN &amp; TP'!$E$3:$E$10005&amp;'DMR 001C TIN &amp; TP'!$B$3:$B$10005&amp;'DMR 001C TIN &amp; TP'!$A$3:$A$10005),0),MATCH('Reg 85'!$AG$11,'DMR 001C TIN &amp; TP'!$A$2:$M$2,0))),"")</f>
        <v/>
      </c>
      <c r="BF113" s="6" t="str">
        <f t="array" ref="BF113">_xlfn.IFNA((INDEX('DMR 001C TIN &amp; TP'!$A$3:$M$10005,MATCH(('Reg 85'!$AQ$6&amp;'Reg 85'!BF$10&amp;'Reg 85'!$B113),('DMR 001C TIN &amp; TP'!$E$3:$E$10005&amp;'DMR 001C TIN &amp; TP'!$B$3:$B$10005&amp;'DMR 001C TIN &amp; TP'!$A$3:$A$10005),0),MATCH('Reg 85'!$AG$11,'DMR 001C TIN &amp; TP'!$A$2:$M$2,0))),"")</f>
        <v/>
      </c>
    </row>
    <row r="114" spans="1:58">
      <c r="A114" s="3" t="str">
        <f t="shared" si="42"/>
        <v>Wed</v>
      </c>
      <c r="B114" s="96">
        <f t="shared" si="58"/>
        <v>43446</v>
      </c>
      <c r="C114" s="96">
        <f t="shared" si="43"/>
        <v>43465</v>
      </c>
      <c r="D114" s="96">
        <f t="shared" si="44"/>
        <v>43435</v>
      </c>
      <c r="E114" s="95">
        <f t="shared" si="45"/>
        <v>31</v>
      </c>
      <c r="F114" s="7">
        <f t="array" ref="F114">_xlfn.IFNA(INDEX('DMR Flows-Effluent'!$A$3:$F$9999,MATCH(($F$10&amp;$B114),('DMR Flows-Effluent'!$B$3:$B$9999&amp;'DMR Flows-Effluent'!$A$3:$A$9999),0),MATCH($F$8,'DMR Flows-Effluent'!$A$2:$F$2,0)),"")</f>
        <v>36.557600000000001</v>
      </c>
      <c r="G114" s="7">
        <f t="array" ref="G114">_xlfn.IFNA(INDEX('DMR Flows-Effluent'!$A$3:$F$9999,MATCH(($G$10&amp;$B114),('DMR Flows-Effluent'!$B$3:$B$9999&amp;'DMR Flows-Effluent'!$A$3:$A$9999),0),MATCH($F$8,'DMR Flows-Effluent'!$A$2:$F$2,0)),"")</f>
        <v>87.011300000000006</v>
      </c>
      <c r="H114" s="7">
        <f t="shared" si="46"/>
        <v>123.56890000000001</v>
      </c>
      <c r="I114" s="45" t="str">
        <f t="shared" si="47"/>
        <v/>
      </c>
      <c r="J114" s="6" t="str">
        <f t="array" ref="J114">_xlfn.IFNA((INDEX('DMR 001C TIN &amp; TP'!$A$3:$M$10005,MATCH(('Reg 85'!$I$6:$Q$6&amp;'Reg 85'!$I$10:$K$10&amp;'Reg 85'!$B114),('DMR 001C TIN &amp; TP'!$E$3:$E$10005&amp;'DMR 001C TIN &amp; TP'!$B$3:$B$10005&amp;'DMR 001C TIN &amp; TP'!$A$3:$A$10005),0),MATCH('Reg 85'!$J$11,'DMR 001C TIN &amp; TP'!$A$2:$M$2,0))),"")</f>
        <v>0.15</v>
      </c>
      <c r="K114" s="6">
        <f t="array" ref="K114">_xlfn.IFNA((INDEX('DMR 001C TIN &amp; TP'!$A$3:$M$10005,MATCH(('Reg 85'!$I$6:$Q$6&amp;'Reg 85'!$I$10:$K$10&amp;'Reg 85'!$B114),('DMR 001C TIN &amp; TP'!$E$3:$E$10005&amp;'DMR 001C TIN &amp; TP'!$B$3:$B$10005&amp;'DMR 001C TIN &amp; TP'!$A$3:$A$10005),0),MATCH('Reg 85'!$K$11,'DMR 001C TIN &amp; TP'!$A$2:$M$2,0))),"")</f>
        <v>0.2</v>
      </c>
      <c r="L114" s="53">
        <f t="shared" si="59"/>
        <v>0.2</v>
      </c>
      <c r="M114" s="5" t="str">
        <f t="shared" si="48"/>
        <v/>
      </c>
      <c r="N114" s="6" t="str">
        <f t="array" ref="N114">_xlfn.IFNA((INDEX('DMR 001C TIN &amp; TP'!$A$3:$M$10005,MATCH(('Reg 85'!$I$6:$Q$6&amp;'Reg 85'!$M$10&amp;'Reg 85'!$B114),('DMR 001C TIN &amp; TP'!$E$3:$E$10005&amp;'DMR 001C TIN &amp; TP'!$B$3:$B$10005&amp;'DMR 001C TIN &amp; TP'!$A$3:$A$10005),0),MATCH('Reg 85'!$N$11,'DMR 001C TIN &amp; TP'!$A$2:$M$2,0))),"")</f>
        <v>0.15</v>
      </c>
      <c r="O114" s="6">
        <f t="array" ref="O114">_xlfn.IFNA((INDEX('DMR 001C TIN &amp; TP'!$A$3:$M$10005,MATCH(('Reg 85'!$I$6:$Q$6&amp;'Reg 85'!$M$10&amp;'Reg 85'!$B114),('DMR 001C TIN &amp; TP'!$E$3:$E$10005&amp;'DMR 001C TIN &amp; TP'!$B$3:$B$10005&amp;'DMR 001C TIN &amp; TP'!$A$3:$A$10005),0),MATCH('Reg 85'!$O$11,'DMR 001C TIN &amp; TP'!$A$2:$M$2,0))),"")</f>
        <v>0.64</v>
      </c>
      <c r="P114" s="53">
        <f t="shared" si="49"/>
        <v>0.64</v>
      </c>
      <c r="Q114" s="73">
        <f t="array" ref="Q114">IFERROR(((L114*$F114)+(P114*$G114))/($H114),"")</f>
        <v>0.50982692246997419</v>
      </c>
      <c r="R114" s="6" t="str">
        <f t="array" ref="R114">_xlfn.IFNA((INDEX('DMR 001C TIN &amp; TP'!$A$3:$M$10005,MATCH(('Reg 85'!$I$6:$Q$6&amp;'Reg 85'!R$10&amp;'Reg 85'!$B114),('DMR 001C TIN &amp; TP'!$E$3:$E$10005&amp;'DMR 001C TIN &amp; TP'!$B$3:$B$10005&amp;'DMR 001C TIN &amp; TP'!$A$3:$A$10005),0),MATCH('Reg 85'!$O$11,'DMR 001C TIN &amp; TP'!$A$2:$M$2,0))),"")</f>
        <v/>
      </c>
      <c r="S114" s="6" t="str">
        <f t="array" ref="S114">_xlfn.IFNA((INDEX('DMR 001C TIN &amp; TP'!$A$3:$M$10005,MATCH(('Reg 85'!$I$6:$Q$6&amp;'Reg 85'!S$10&amp;'Reg 85'!$B114),('DMR 001C TIN &amp; TP'!$E$3:$E$10005&amp;'DMR 001C TIN &amp; TP'!$B$3:$B$10005&amp;'DMR 001C TIN &amp; TP'!$A$3:$A$10005),0),MATCH('Reg 85'!$O$11,'DMR 001C TIN &amp; TP'!$A$2:$M$2,0))),"")</f>
        <v/>
      </c>
      <c r="T114" s="6" t="str">
        <f t="array" ref="T114">_xlfn.IFNA((INDEX('DMR 001C TIN &amp; TP'!$A$3:$M$10005,MATCH(('Reg 85'!$I$6:$Q$6&amp;'Reg 85'!T$10&amp;'Reg 85'!$B114),('DMR 001C TIN &amp; TP'!$E$3:$E$10005&amp;'DMR 001C TIN &amp; TP'!$B$3:$B$10005&amp;'DMR 001C TIN &amp; TP'!$A$3:$A$10005),0),MATCH('Reg 85'!$O$11,'DMR 001C TIN &amp; TP'!$A$2:$M$2,0))),"")</f>
        <v/>
      </c>
      <c r="U114" s="6" t="str">
        <f t="array" ref="U114">_xlfn.IFNA((INDEX('DMR 001C TIN &amp; TP'!$A$3:$M$10005,MATCH(('Reg 85'!$I$6:$Q$6&amp;'Reg 85'!U$10&amp;'Reg 85'!$B114),('DMR 001C TIN &amp; TP'!$E$3:$E$10005&amp;'DMR 001C TIN &amp; TP'!$B$3:$B$10005&amp;'DMR 001C TIN &amp; TP'!$A$3:$A$10005),0),MATCH('Reg 85'!$O$11,'DMR 001C TIN &amp; TP'!$A$2:$M$2,0))),"")</f>
        <v/>
      </c>
      <c r="V114" s="6" t="str">
        <f t="array" ref="V114">_xlfn.IFNA((INDEX('DMR 001C TIN &amp; TP'!$A$3:$M$10005,MATCH(('Reg 85'!$I$6:$Q$6&amp;'Reg 85'!V$10&amp;'Reg 85'!$B114),('DMR 001C TIN &amp; TP'!$E$3:$E$10005&amp;'DMR 001C TIN &amp; TP'!$B$3:$B$10005&amp;'DMR 001C TIN &amp; TP'!$A$3:$A$10005),0),MATCH('Reg 85'!$O$11,'DMR 001C TIN &amp; TP'!$A$2:$M$2,0))),"")</f>
        <v/>
      </c>
      <c r="W114" s="6" t="str">
        <f t="array" ref="W114">_xlfn.IFNA((INDEX('DMR 001C TIN &amp; TP'!$A$3:$M$10005,MATCH(('Reg 85'!$I$6:$Q$6&amp;'Reg 85'!W$10&amp;'Reg 85'!$B114),('DMR 001C TIN &amp; TP'!$E$3:$E$10005&amp;'DMR 001C TIN &amp; TP'!$B$3:$B$10005&amp;'DMR 001C TIN &amp; TP'!$A$3:$A$10005),0),MATCH('Reg 85'!$O$11,'DMR 001C TIN &amp; TP'!$A$2:$M$2,0))),"")</f>
        <v/>
      </c>
      <c r="X114" s="5" t="str">
        <f t="shared" si="50"/>
        <v/>
      </c>
      <c r="Y114" s="6" t="str">
        <f t="array" ref="Y114">_xlfn.IFNA((INDEX('DMR 001C TIN &amp; TP'!$A$3:$M$10005,MATCH(('Reg 85'!$X$6&amp;'Reg 85'!$X$10&amp;'Reg 85'!$B114),('DMR 001C TIN &amp; TP'!$E$3:$E$10005&amp;'DMR 001C TIN &amp; TP'!$B$3:$B$10005&amp;'DMR 001C TIN &amp; TP'!$A$3:$A$10005),0),MATCH('Reg 85'!$Y$11,'DMR 001C TIN &amp; TP'!$A$2:$M$2,0))),"")</f>
        <v>0.06</v>
      </c>
      <c r="Z114" s="6">
        <f t="array" ref="Z114">_xlfn.IFNA((INDEX('DMR 001C TIN &amp; TP'!$A$3:$M$10005,MATCH(('Reg 85'!$X$6&amp;'Reg 85'!$X$10&amp;'Reg 85'!$B114),('DMR 001C TIN &amp; TP'!$E$3:$E$10005&amp;'DMR 001C TIN &amp; TP'!$B$3:$B$10005&amp;'DMR 001C TIN &amp; TP'!$A$3:$A$10005),0),MATCH('Reg 85'!$Z$11,'DMR 001C TIN &amp; TP'!$A$2:$M$2,0))),"")</f>
        <v>4.4800000000000004</v>
      </c>
      <c r="AA114" s="53">
        <f t="shared" si="51"/>
        <v>4.4800000000000004</v>
      </c>
      <c r="AB114" s="5" t="str">
        <f t="shared" si="52"/>
        <v/>
      </c>
      <c r="AC114" s="6" t="str">
        <f t="array" ref="AC114">_xlfn.IFNA((INDEX('DMR 001C TIN &amp; TP'!$A$3:$M$10005,MATCH(('Reg 85'!$X$6&amp;'Reg 85'!$AB$10&amp;'Reg 85'!$B114),('DMR 001C TIN &amp; TP'!$E$3:$E$10005&amp;'DMR 001C TIN &amp; TP'!$B$3:$B$10005&amp;'DMR 001C TIN &amp; TP'!$A$3:$A$10005),0),MATCH('Reg 85'!$AC$11,'DMR 001C TIN &amp; TP'!$A$2:$M$2,0))),"")</f>
        <v>0.06</v>
      </c>
      <c r="AD114" s="6">
        <f t="array" ref="AD114">_xlfn.IFNA((INDEX('DMR 001C TIN &amp; TP'!$A$3:$M$10005,MATCH(('Reg 85'!$X$6&amp;'Reg 85'!$AB$10&amp;'Reg 85'!$B114),('DMR 001C TIN &amp; TP'!$E$3:$E$10005&amp;'DMR 001C TIN &amp; TP'!$B$3:$B$10005&amp;'DMR 001C TIN &amp; TP'!$A$3:$A$10005),0),MATCH('Reg 85'!$AD$11,'DMR 001C TIN &amp; TP'!$A$2:$M$2,0))),"")</f>
        <v>6.09</v>
      </c>
      <c r="AE114" s="53">
        <f t="shared" si="53"/>
        <v>6.09</v>
      </c>
      <c r="AF114" s="7">
        <f t="shared" si="54"/>
        <v>5.6136848754014963</v>
      </c>
      <c r="AG114" s="6" t="str">
        <f t="array" ref="AG114">_xlfn.IFNA((INDEX('DMR 001C TIN &amp; TP'!$A$3:$M$10005,MATCH(('Reg 85'!$X$6&amp;'Reg 85'!AG$10&amp;'Reg 85'!$B114),('DMR 001C TIN &amp; TP'!$E$3:$E$10005&amp;'DMR 001C TIN &amp; TP'!$B$3:$B$10005&amp;'DMR 001C TIN &amp; TP'!$A$3:$A$10005),0),MATCH('Reg 85'!$AG$11,'DMR 001C TIN &amp; TP'!$A$2:$M$2,0))),"")</f>
        <v/>
      </c>
      <c r="AH114" s="6" t="str">
        <f t="array" ref="AH114">_xlfn.IFNA((INDEX('DMR 001C TIN &amp; TP'!$A$3:$M$10005,MATCH(('Reg 85'!$X$6&amp;'Reg 85'!AH$10&amp;'Reg 85'!$B114),('DMR 001C TIN &amp; TP'!$E$3:$E$10005&amp;'DMR 001C TIN &amp; TP'!$B$3:$B$10005&amp;'DMR 001C TIN &amp; TP'!$A$3:$A$10005),0),MATCH('Reg 85'!$AG$11,'DMR 001C TIN &amp; TP'!$A$2:$M$2,0))),"")</f>
        <v/>
      </c>
      <c r="AI114" s="6" t="str">
        <f t="array" ref="AI114">_xlfn.IFNA((INDEX('DMR 001C TIN &amp; TP'!$A$3:$M$10005,MATCH(('Reg 85'!$X$6&amp;'Reg 85'!AI$10&amp;'Reg 85'!$B114),('DMR 001C TIN &amp; TP'!$E$3:$E$10005&amp;'DMR 001C TIN &amp; TP'!$B$3:$B$10005&amp;'DMR 001C TIN &amp; TP'!$A$3:$A$10005),0),MATCH('Reg 85'!$AG$11,'DMR 001C TIN &amp; TP'!$A$2:$M$2,0))),"")</f>
        <v/>
      </c>
      <c r="AJ114" s="6" t="str">
        <f t="array" ref="AJ114">_xlfn.IFNA((INDEX('DMR 001C TIN &amp; TP'!$A$3:$M$10005,MATCH(('Reg 85'!$X$6&amp;'Reg 85'!AJ$10&amp;'Reg 85'!$B114),('DMR 001C TIN &amp; TP'!$E$3:$E$10005&amp;'DMR 001C TIN &amp; TP'!$B$3:$B$10005&amp;'DMR 001C TIN &amp; TP'!$A$3:$A$10005),0),MATCH('Reg 85'!$AG$11,'DMR 001C TIN &amp; TP'!$A$2:$M$2,0))),"")</f>
        <v/>
      </c>
      <c r="AK114" s="6" t="str">
        <f t="array" ref="AK114">_xlfn.IFNA((INDEX('DMR 001C TIN &amp; TP'!$A$3:$M$10005,MATCH(('Reg 85'!$X$6&amp;'Reg 85'!AK$10&amp;'Reg 85'!$B114),('DMR 001C TIN &amp; TP'!$E$3:$E$10005&amp;'DMR 001C TIN &amp; TP'!$B$3:$B$10005&amp;'DMR 001C TIN &amp; TP'!$A$3:$A$10005),0),MATCH('Reg 85'!$AG$11,'DMR 001C TIN &amp; TP'!$A$2:$M$2,0))),"")</f>
        <v/>
      </c>
      <c r="AL114" s="6" t="str">
        <f t="array" ref="AL114">_xlfn.IFNA((INDEX('DMR 001C TIN &amp; TP'!$A$3:$M$10005,MATCH(('Reg 85'!$X$6&amp;'Reg 85'!AL$10&amp;'Reg 85'!$B114),('DMR 001C TIN &amp; TP'!$E$3:$E$10005&amp;'DMR 001C TIN &amp; TP'!$B$3:$B$10005&amp;'DMR 001C TIN &amp; TP'!$A$3:$A$10005),0),MATCH('Reg 85'!$AG$11,'DMR 001C TIN &amp; TP'!$A$2:$M$2,0))),"")</f>
        <v/>
      </c>
      <c r="AM114" s="76"/>
      <c r="AN114" s="6"/>
      <c r="AO114" s="54">
        <f t="shared" si="41"/>
        <v>6.1235117978714708</v>
      </c>
      <c r="AP114" s="77" t="str">
        <f t="shared" si="60"/>
        <v/>
      </c>
      <c r="AQ114" s="47"/>
      <c r="AR114" s="6" t="str">
        <f t="array" ref="AR114">_xlfn.IFNA((INDEX('DMR 001C TIN &amp; TP'!$A$3:$M$10005,MATCH(('Reg 85'!$AQ$6&amp;'Reg 85'!$AQ$10&amp;'Reg 85'!$B114),('DMR 001C TIN &amp; TP'!$E$3:$E$10005&amp;'DMR 001C TIN &amp; TP'!$B$3:$B$10005&amp;'DMR 001C TIN &amp; TP'!$A$3:$A$10005),0),MATCH('Reg 85'!$AR$11,'DMR 001C TIN &amp; TP'!$A$2:$M$2,0))),"")</f>
        <v/>
      </c>
      <c r="AS114" s="6" t="str">
        <f t="array" ref="AS114">_xlfn.IFNA((INDEX('DMR 001C TIN &amp; TP'!$A$3:$M$10005,MATCH(('Reg 85'!$AQ$6&amp;'Reg 85'!$AQ$10&amp;'Reg 85'!$B114),('DMR 001C TIN &amp; TP'!$E$3:$E$10005&amp;'DMR 001C TIN &amp; TP'!$B$3:$B$10005&amp;'DMR 001C TIN &amp; TP'!$A$3:$A$10005),0),MATCH('Reg 85'!$AS$11,'DMR 001C TIN &amp; TP'!$A$2:$M$2,0))),"")</f>
        <v/>
      </c>
      <c r="AT114" s="53" t="str">
        <f t="shared" si="55"/>
        <v/>
      </c>
      <c r="AV114" s="6" t="str">
        <f t="array" ref="AV114">_xlfn.IFNA((INDEX('DMR 001C TIN &amp; TP'!$A$3:$M$10005,MATCH(('Reg 85'!$AQ$6&amp;'Reg 85'!$AU$10&amp;'Reg 85'!$B114),('DMR 001C TIN &amp; TP'!$E$3:$E$10005&amp;'DMR 001C TIN &amp; TP'!$B$3:$B$10005&amp;'DMR 001C TIN &amp; TP'!$A$3:$A$10005),0),MATCH('Reg 85'!$AV$11,'DMR 001C TIN &amp; TP'!$A$2:$M$2,0))),"")</f>
        <v/>
      </c>
      <c r="AW114" s="6" t="str">
        <f t="array" ref="AW114">_xlfn.IFNA((INDEX('DMR 001C TIN &amp; TP'!$A$3:$M$10005,MATCH(('Reg 85'!$AQ$6&amp;'Reg 85'!$AU$10&amp;'Reg 85'!$B114),('DMR 001C TIN &amp; TP'!$E$3:$E$10005&amp;'DMR 001C TIN &amp; TP'!$B$3:$B$10005&amp;'DMR 001C TIN &amp; TP'!$A$3:$A$10005),0),MATCH('Reg 85'!$AW$11,'DMR 001C TIN &amp; TP'!$A$2:$M$2,0))),"")</f>
        <v/>
      </c>
      <c r="AX114" s="53" t="str">
        <f t="shared" si="56"/>
        <v/>
      </c>
      <c r="AY114" s="55" t="str">
        <f t="shared" si="57"/>
        <v/>
      </c>
      <c r="AZ114" s="77" t="str">
        <f t="shared" si="61"/>
        <v/>
      </c>
      <c r="BA114" s="6" t="str">
        <f t="array" ref="BA114">_xlfn.IFNA((INDEX('DMR 001C TIN &amp; TP'!$A$3:$M$10005,MATCH(('Reg 85'!$AQ$6&amp;'Reg 85'!BA$10&amp;'Reg 85'!$B114),('DMR 001C TIN &amp; TP'!$E$3:$E$10005&amp;'DMR 001C TIN &amp; TP'!$B$3:$B$10005&amp;'DMR 001C TIN &amp; TP'!$A$3:$A$10005),0),MATCH('Reg 85'!$AG$11,'DMR 001C TIN &amp; TP'!$A$2:$M$2,0))),"")</f>
        <v/>
      </c>
      <c r="BB114" s="6" t="str">
        <f t="array" ref="BB114">_xlfn.IFNA((INDEX('DMR 001C TIN &amp; TP'!$A$3:$M$10005,MATCH(('Reg 85'!$AQ$6&amp;'Reg 85'!BB$10&amp;'Reg 85'!$B114),('DMR 001C TIN &amp; TP'!$E$3:$E$10005&amp;'DMR 001C TIN &amp; TP'!$B$3:$B$10005&amp;'DMR 001C TIN &amp; TP'!$A$3:$A$10005),0),MATCH('Reg 85'!$AG$11,'DMR 001C TIN &amp; TP'!$A$2:$M$2,0))),"")</f>
        <v/>
      </c>
      <c r="BC114" s="6" t="str">
        <f t="array" ref="BC114">_xlfn.IFNA((INDEX('DMR 001C TIN &amp; TP'!$A$3:$M$10005,MATCH(('Reg 85'!$AQ$6&amp;'Reg 85'!BC$10&amp;'Reg 85'!$B114),('DMR 001C TIN &amp; TP'!$E$3:$E$10005&amp;'DMR 001C TIN &amp; TP'!$B$3:$B$10005&amp;'DMR 001C TIN &amp; TP'!$A$3:$A$10005),0),MATCH('Reg 85'!$AG$11,'DMR 001C TIN &amp; TP'!$A$2:$M$2,0))),"")</f>
        <v/>
      </c>
      <c r="BD114" s="6" t="str">
        <f t="array" ref="BD114">_xlfn.IFNA((INDEX('DMR 001C TIN &amp; TP'!$A$3:$M$10005,MATCH(('Reg 85'!$AQ$6&amp;'Reg 85'!BD$10&amp;'Reg 85'!$B114),('DMR 001C TIN &amp; TP'!$E$3:$E$10005&amp;'DMR 001C TIN &amp; TP'!$B$3:$B$10005&amp;'DMR 001C TIN &amp; TP'!$A$3:$A$10005),0),MATCH('Reg 85'!$AG$11,'DMR 001C TIN &amp; TP'!$A$2:$M$2,0))),"")</f>
        <v/>
      </c>
      <c r="BE114" s="6" t="str">
        <f t="array" ref="BE114">_xlfn.IFNA((INDEX('DMR 001C TIN &amp; TP'!$A$3:$M$10005,MATCH(('Reg 85'!$AQ$6&amp;'Reg 85'!BE$10&amp;'Reg 85'!$B114),('DMR 001C TIN &amp; TP'!$E$3:$E$10005&amp;'DMR 001C TIN &amp; TP'!$B$3:$B$10005&amp;'DMR 001C TIN &amp; TP'!$A$3:$A$10005),0),MATCH('Reg 85'!$AG$11,'DMR 001C TIN &amp; TP'!$A$2:$M$2,0))),"")</f>
        <v/>
      </c>
      <c r="BF114" s="6" t="str">
        <f t="array" ref="BF114">_xlfn.IFNA((INDEX('DMR 001C TIN &amp; TP'!$A$3:$M$10005,MATCH(('Reg 85'!$AQ$6&amp;'Reg 85'!BF$10&amp;'Reg 85'!$B114),('DMR 001C TIN &amp; TP'!$E$3:$E$10005&amp;'DMR 001C TIN &amp; TP'!$B$3:$B$10005&amp;'DMR 001C TIN &amp; TP'!$A$3:$A$10005),0),MATCH('Reg 85'!$AG$11,'DMR 001C TIN &amp; TP'!$A$2:$M$2,0))),"")</f>
        <v/>
      </c>
    </row>
    <row r="115" spans="1:58">
      <c r="A115" s="3" t="str">
        <f t="shared" si="42"/>
        <v>Thu</v>
      </c>
      <c r="B115" s="96">
        <f t="shared" si="58"/>
        <v>43447</v>
      </c>
      <c r="C115" s="96">
        <f t="shared" si="43"/>
        <v>43465</v>
      </c>
      <c r="D115" s="96">
        <f t="shared" si="44"/>
        <v>43435</v>
      </c>
      <c r="E115" s="95">
        <f t="shared" si="45"/>
        <v>31</v>
      </c>
      <c r="F115" s="7">
        <f t="array" ref="F115">_xlfn.IFNA(INDEX('DMR Flows-Effluent'!$A$3:$F$9999,MATCH(($F$10&amp;$B115),('DMR Flows-Effluent'!$B$3:$B$9999&amp;'DMR Flows-Effluent'!$A$3:$A$9999),0),MATCH($F$8,'DMR Flows-Effluent'!$A$2:$F$2,0)),"")</f>
        <v>32.929000000000002</v>
      </c>
      <c r="G115" s="7">
        <f t="array" ref="G115">_xlfn.IFNA(INDEX('DMR Flows-Effluent'!$A$3:$F$9999,MATCH(($G$10&amp;$B115),('DMR Flows-Effluent'!$B$3:$B$9999&amp;'DMR Flows-Effluent'!$A$3:$A$9999),0),MATCH($F$8,'DMR Flows-Effluent'!$A$2:$F$2,0)),"")</f>
        <v>81.734099999999998</v>
      </c>
      <c r="H115" s="7">
        <f t="shared" si="46"/>
        <v>114.6631</v>
      </c>
      <c r="I115" s="45" t="str">
        <f t="shared" si="47"/>
        <v/>
      </c>
      <c r="J115" s="6" t="str">
        <f t="array" ref="J115">_xlfn.IFNA((INDEX('DMR 001C TIN &amp; TP'!$A$3:$M$10005,MATCH(('Reg 85'!$I$6:$Q$6&amp;'Reg 85'!$I$10:$K$10&amp;'Reg 85'!$B115),('DMR 001C TIN &amp; TP'!$E$3:$E$10005&amp;'DMR 001C TIN &amp; TP'!$B$3:$B$10005&amp;'DMR 001C TIN &amp; TP'!$A$3:$A$10005),0),MATCH('Reg 85'!$J$11,'DMR 001C TIN &amp; TP'!$A$2:$M$2,0))),"")</f>
        <v/>
      </c>
      <c r="K115" s="6" t="str">
        <f t="array" ref="K115">_xlfn.IFNA((INDEX('DMR 001C TIN &amp; TP'!$A$3:$M$10005,MATCH(('Reg 85'!$I$6:$Q$6&amp;'Reg 85'!$I$10:$K$10&amp;'Reg 85'!$B115),('DMR 001C TIN &amp; TP'!$E$3:$E$10005&amp;'DMR 001C TIN &amp; TP'!$B$3:$B$10005&amp;'DMR 001C TIN &amp; TP'!$A$3:$A$10005),0),MATCH('Reg 85'!$K$11,'DMR 001C TIN &amp; TP'!$A$2:$M$2,0))),"")</f>
        <v/>
      </c>
      <c r="L115" s="53" t="str">
        <f t="shared" si="59"/>
        <v/>
      </c>
      <c r="M115" s="5" t="str">
        <f t="shared" si="48"/>
        <v/>
      </c>
      <c r="N115" s="6" t="str">
        <f t="array" ref="N115">_xlfn.IFNA((INDEX('DMR 001C TIN &amp; TP'!$A$3:$M$10005,MATCH(('Reg 85'!$I$6:$Q$6&amp;'Reg 85'!$M$10&amp;'Reg 85'!$B115),('DMR 001C TIN &amp; TP'!$E$3:$E$10005&amp;'DMR 001C TIN &amp; TP'!$B$3:$B$10005&amp;'DMR 001C TIN &amp; TP'!$A$3:$A$10005),0),MATCH('Reg 85'!$N$11,'DMR 001C TIN &amp; TP'!$A$2:$M$2,0))),"")</f>
        <v/>
      </c>
      <c r="O115" s="6" t="str">
        <f t="array" ref="O115">_xlfn.IFNA((INDEX('DMR 001C TIN &amp; TP'!$A$3:$M$10005,MATCH(('Reg 85'!$I$6:$Q$6&amp;'Reg 85'!$M$10&amp;'Reg 85'!$B115),('DMR 001C TIN &amp; TP'!$E$3:$E$10005&amp;'DMR 001C TIN &amp; TP'!$B$3:$B$10005&amp;'DMR 001C TIN &amp; TP'!$A$3:$A$10005),0),MATCH('Reg 85'!$O$11,'DMR 001C TIN &amp; TP'!$A$2:$M$2,0))),"")</f>
        <v/>
      </c>
      <c r="P115" s="53" t="str">
        <f t="shared" si="49"/>
        <v/>
      </c>
      <c r="Q115" s="73" t="str">
        <f t="array" ref="Q115">IFERROR(((L115*$F115)+(P115*$G115))/($H115),"")</f>
        <v/>
      </c>
      <c r="R115" s="6" t="str">
        <f t="array" ref="R115">_xlfn.IFNA((INDEX('DMR 001C TIN &amp; TP'!$A$3:$M$10005,MATCH(('Reg 85'!$I$6:$Q$6&amp;'Reg 85'!R$10&amp;'Reg 85'!$B115),('DMR 001C TIN &amp; TP'!$E$3:$E$10005&amp;'DMR 001C TIN &amp; TP'!$B$3:$B$10005&amp;'DMR 001C TIN &amp; TP'!$A$3:$A$10005),0),MATCH('Reg 85'!$O$11,'DMR 001C TIN &amp; TP'!$A$2:$M$2,0))),"")</f>
        <v/>
      </c>
      <c r="S115" s="6" t="str">
        <f t="array" ref="S115">_xlfn.IFNA((INDEX('DMR 001C TIN &amp; TP'!$A$3:$M$10005,MATCH(('Reg 85'!$I$6:$Q$6&amp;'Reg 85'!S$10&amp;'Reg 85'!$B115),('DMR 001C TIN &amp; TP'!$E$3:$E$10005&amp;'DMR 001C TIN &amp; TP'!$B$3:$B$10005&amp;'DMR 001C TIN &amp; TP'!$A$3:$A$10005),0),MATCH('Reg 85'!$O$11,'DMR 001C TIN &amp; TP'!$A$2:$M$2,0))),"")</f>
        <v/>
      </c>
      <c r="T115" s="6" t="str">
        <f t="array" ref="T115">_xlfn.IFNA((INDEX('DMR 001C TIN &amp; TP'!$A$3:$M$10005,MATCH(('Reg 85'!$I$6:$Q$6&amp;'Reg 85'!T$10&amp;'Reg 85'!$B115),('DMR 001C TIN &amp; TP'!$E$3:$E$10005&amp;'DMR 001C TIN &amp; TP'!$B$3:$B$10005&amp;'DMR 001C TIN &amp; TP'!$A$3:$A$10005),0),MATCH('Reg 85'!$O$11,'DMR 001C TIN &amp; TP'!$A$2:$M$2,0))),"")</f>
        <v/>
      </c>
      <c r="U115" s="6" t="str">
        <f t="array" ref="U115">_xlfn.IFNA((INDEX('DMR 001C TIN &amp; TP'!$A$3:$M$10005,MATCH(('Reg 85'!$I$6:$Q$6&amp;'Reg 85'!U$10&amp;'Reg 85'!$B115),('DMR 001C TIN &amp; TP'!$E$3:$E$10005&amp;'DMR 001C TIN &amp; TP'!$B$3:$B$10005&amp;'DMR 001C TIN &amp; TP'!$A$3:$A$10005),0),MATCH('Reg 85'!$O$11,'DMR 001C TIN &amp; TP'!$A$2:$M$2,0))),"")</f>
        <v/>
      </c>
      <c r="V115" s="6" t="str">
        <f t="array" ref="V115">_xlfn.IFNA((INDEX('DMR 001C TIN &amp; TP'!$A$3:$M$10005,MATCH(('Reg 85'!$I$6:$Q$6&amp;'Reg 85'!V$10&amp;'Reg 85'!$B115),('DMR 001C TIN &amp; TP'!$E$3:$E$10005&amp;'DMR 001C TIN &amp; TP'!$B$3:$B$10005&amp;'DMR 001C TIN &amp; TP'!$A$3:$A$10005),0),MATCH('Reg 85'!$O$11,'DMR 001C TIN &amp; TP'!$A$2:$M$2,0))),"")</f>
        <v/>
      </c>
      <c r="W115" s="6" t="str">
        <f t="array" ref="W115">_xlfn.IFNA((INDEX('DMR 001C TIN &amp; TP'!$A$3:$M$10005,MATCH(('Reg 85'!$I$6:$Q$6&amp;'Reg 85'!W$10&amp;'Reg 85'!$B115),('DMR 001C TIN &amp; TP'!$E$3:$E$10005&amp;'DMR 001C TIN &amp; TP'!$B$3:$B$10005&amp;'DMR 001C TIN &amp; TP'!$A$3:$A$10005),0),MATCH('Reg 85'!$O$11,'DMR 001C TIN &amp; TP'!$A$2:$M$2,0))),"")</f>
        <v/>
      </c>
      <c r="X115" s="5" t="str">
        <f t="shared" si="50"/>
        <v/>
      </c>
      <c r="Y115" s="6" t="str">
        <f t="array" ref="Y115">_xlfn.IFNA((INDEX('DMR 001C TIN &amp; TP'!$A$3:$M$10005,MATCH(('Reg 85'!$X$6&amp;'Reg 85'!$X$10&amp;'Reg 85'!$B115),('DMR 001C TIN &amp; TP'!$E$3:$E$10005&amp;'DMR 001C TIN &amp; TP'!$B$3:$B$10005&amp;'DMR 001C TIN &amp; TP'!$A$3:$A$10005),0),MATCH('Reg 85'!$Y$11,'DMR 001C TIN &amp; TP'!$A$2:$M$2,0))),"")</f>
        <v/>
      </c>
      <c r="Z115" s="6" t="str">
        <f t="array" ref="Z115">_xlfn.IFNA((INDEX('DMR 001C TIN &amp; TP'!$A$3:$M$10005,MATCH(('Reg 85'!$X$6&amp;'Reg 85'!$X$10&amp;'Reg 85'!$B115),('DMR 001C TIN &amp; TP'!$E$3:$E$10005&amp;'DMR 001C TIN &amp; TP'!$B$3:$B$10005&amp;'DMR 001C TIN &amp; TP'!$A$3:$A$10005),0),MATCH('Reg 85'!$Z$11,'DMR 001C TIN &amp; TP'!$A$2:$M$2,0))),"")</f>
        <v/>
      </c>
      <c r="AA115" s="53" t="str">
        <f t="shared" si="51"/>
        <v/>
      </c>
      <c r="AB115" s="5" t="str">
        <f t="shared" si="52"/>
        <v/>
      </c>
      <c r="AC115" s="6" t="str">
        <f t="array" ref="AC115">_xlfn.IFNA((INDEX('DMR 001C TIN &amp; TP'!$A$3:$M$10005,MATCH(('Reg 85'!$X$6&amp;'Reg 85'!$AB$10&amp;'Reg 85'!$B115),('DMR 001C TIN &amp; TP'!$E$3:$E$10005&amp;'DMR 001C TIN &amp; TP'!$B$3:$B$10005&amp;'DMR 001C TIN &amp; TP'!$A$3:$A$10005),0),MATCH('Reg 85'!$AC$11,'DMR 001C TIN &amp; TP'!$A$2:$M$2,0))),"")</f>
        <v/>
      </c>
      <c r="AD115" s="6" t="str">
        <f t="array" ref="AD115">_xlfn.IFNA((INDEX('DMR 001C TIN &amp; TP'!$A$3:$M$10005,MATCH(('Reg 85'!$X$6&amp;'Reg 85'!$AB$10&amp;'Reg 85'!$B115),('DMR 001C TIN &amp; TP'!$E$3:$E$10005&amp;'DMR 001C TIN &amp; TP'!$B$3:$B$10005&amp;'DMR 001C TIN &amp; TP'!$A$3:$A$10005),0),MATCH('Reg 85'!$AD$11,'DMR 001C TIN &amp; TP'!$A$2:$M$2,0))),"")</f>
        <v/>
      </c>
      <c r="AE115" s="53" t="str">
        <f t="shared" si="53"/>
        <v/>
      </c>
      <c r="AF115" s="7" t="str">
        <f t="shared" si="54"/>
        <v/>
      </c>
      <c r="AG115" s="6" t="str">
        <f t="array" ref="AG115">_xlfn.IFNA((INDEX('DMR 001C TIN &amp; TP'!$A$3:$M$10005,MATCH(('Reg 85'!$X$6&amp;'Reg 85'!AG$10&amp;'Reg 85'!$B115),('DMR 001C TIN &amp; TP'!$E$3:$E$10005&amp;'DMR 001C TIN &amp; TP'!$B$3:$B$10005&amp;'DMR 001C TIN &amp; TP'!$A$3:$A$10005),0),MATCH('Reg 85'!$AG$11,'DMR 001C TIN &amp; TP'!$A$2:$M$2,0))),"")</f>
        <v/>
      </c>
      <c r="AH115" s="6" t="str">
        <f t="array" ref="AH115">_xlfn.IFNA((INDEX('DMR 001C TIN &amp; TP'!$A$3:$M$10005,MATCH(('Reg 85'!$X$6&amp;'Reg 85'!AH$10&amp;'Reg 85'!$B115),('DMR 001C TIN &amp; TP'!$E$3:$E$10005&amp;'DMR 001C TIN &amp; TP'!$B$3:$B$10005&amp;'DMR 001C TIN &amp; TP'!$A$3:$A$10005),0),MATCH('Reg 85'!$AG$11,'DMR 001C TIN &amp; TP'!$A$2:$M$2,0))),"")</f>
        <v/>
      </c>
      <c r="AI115" s="6" t="str">
        <f t="array" ref="AI115">_xlfn.IFNA((INDEX('DMR 001C TIN &amp; TP'!$A$3:$M$10005,MATCH(('Reg 85'!$X$6&amp;'Reg 85'!AI$10&amp;'Reg 85'!$B115),('DMR 001C TIN &amp; TP'!$E$3:$E$10005&amp;'DMR 001C TIN &amp; TP'!$B$3:$B$10005&amp;'DMR 001C TIN &amp; TP'!$A$3:$A$10005),0),MATCH('Reg 85'!$AG$11,'DMR 001C TIN &amp; TP'!$A$2:$M$2,0))),"")</f>
        <v/>
      </c>
      <c r="AJ115" s="6" t="str">
        <f t="array" ref="AJ115">_xlfn.IFNA((INDEX('DMR 001C TIN &amp; TP'!$A$3:$M$10005,MATCH(('Reg 85'!$X$6&amp;'Reg 85'!AJ$10&amp;'Reg 85'!$B115),('DMR 001C TIN &amp; TP'!$E$3:$E$10005&amp;'DMR 001C TIN &amp; TP'!$B$3:$B$10005&amp;'DMR 001C TIN &amp; TP'!$A$3:$A$10005),0),MATCH('Reg 85'!$AG$11,'DMR 001C TIN &amp; TP'!$A$2:$M$2,0))),"")</f>
        <v/>
      </c>
      <c r="AK115" s="6" t="str">
        <f t="array" ref="AK115">_xlfn.IFNA((INDEX('DMR 001C TIN &amp; TP'!$A$3:$M$10005,MATCH(('Reg 85'!$X$6&amp;'Reg 85'!AK$10&amp;'Reg 85'!$B115),('DMR 001C TIN &amp; TP'!$E$3:$E$10005&amp;'DMR 001C TIN &amp; TP'!$B$3:$B$10005&amp;'DMR 001C TIN &amp; TP'!$A$3:$A$10005),0),MATCH('Reg 85'!$AG$11,'DMR 001C TIN &amp; TP'!$A$2:$M$2,0))),"")</f>
        <v/>
      </c>
      <c r="AL115" s="6" t="str">
        <f t="array" ref="AL115">_xlfn.IFNA((INDEX('DMR 001C TIN &amp; TP'!$A$3:$M$10005,MATCH(('Reg 85'!$X$6&amp;'Reg 85'!AL$10&amp;'Reg 85'!$B115),('DMR 001C TIN &amp; TP'!$E$3:$E$10005&amp;'DMR 001C TIN &amp; TP'!$B$3:$B$10005&amp;'DMR 001C TIN &amp; TP'!$A$3:$A$10005),0),MATCH('Reg 85'!$AG$11,'DMR 001C TIN &amp; TP'!$A$2:$M$2,0))),"")</f>
        <v/>
      </c>
      <c r="AM115" s="76"/>
      <c r="AN115" s="6"/>
      <c r="AO115" s="54" t="str">
        <f t="shared" si="41"/>
        <v/>
      </c>
      <c r="AP115" s="77" t="str">
        <f t="shared" si="60"/>
        <v/>
      </c>
      <c r="AQ115" s="47"/>
      <c r="AR115" s="6" t="str">
        <f t="array" ref="AR115">_xlfn.IFNA((INDEX('DMR 001C TIN &amp; TP'!$A$3:$M$10005,MATCH(('Reg 85'!$AQ$6&amp;'Reg 85'!$AQ$10&amp;'Reg 85'!$B115),('DMR 001C TIN &amp; TP'!$E$3:$E$10005&amp;'DMR 001C TIN &amp; TP'!$B$3:$B$10005&amp;'DMR 001C TIN &amp; TP'!$A$3:$A$10005),0),MATCH('Reg 85'!$AR$11,'DMR 001C TIN &amp; TP'!$A$2:$M$2,0))),"")</f>
        <v>0.03</v>
      </c>
      <c r="AS115" s="6">
        <f t="array" ref="AS115">_xlfn.IFNA((INDEX('DMR 001C TIN &amp; TP'!$A$3:$M$10005,MATCH(('Reg 85'!$AQ$6&amp;'Reg 85'!$AQ$10&amp;'Reg 85'!$B115),('DMR 001C TIN &amp; TP'!$E$3:$E$10005&amp;'DMR 001C TIN &amp; TP'!$B$3:$B$10005&amp;'DMR 001C TIN &amp; TP'!$A$3:$A$10005),0),MATCH('Reg 85'!$AS$11,'DMR 001C TIN &amp; TP'!$A$2:$M$2,0))),"")</f>
        <v>0.28999999999999998</v>
      </c>
      <c r="AT115" s="53">
        <f t="shared" si="55"/>
        <v>0.28999999999999998</v>
      </c>
      <c r="AV115" s="6" t="str">
        <f t="array" ref="AV115">_xlfn.IFNA((INDEX('DMR 001C TIN &amp; TP'!$A$3:$M$10005,MATCH(('Reg 85'!$AQ$6&amp;'Reg 85'!$AU$10&amp;'Reg 85'!$B115),('DMR 001C TIN &amp; TP'!$E$3:$E$10005&amp;'DMR 001C TIN &amp; TP'!$B$3:$B$10005&amp;'DMR 001C TIN &amp; TP'!$A$3:$A$10005),0),MATCH('Reg 85'!$AV$11,'DMR 001C TIN &amp; TP'!$A$2:$M$2,0))),"")</f>
        <v>0.03</v>
      </c>
      <c r="AW115" s="6">
        <f t="array" ref="AW115">_xlfn.IFNA((INDEX('DMR 001C TIN &amp; TP'!$A$3:$M$10005,MATCH(('Reg 85'!$AQ$6&amp;'Reg 85'!$AU$10&amp;'Reg 85'!$B115),('DMR 001C TIN &amp; TP'!$E$3:$E$10005&amp;'DMR 001C TIN &amp; TP'!$B$3:$B$10005&amp;'DMR 001C TIN &amp; TP'!$A$3:$A$10005),0),MATCH('Reg 85'!$AW$11,'DMR 001C TIN &amp; TP'!$A$2:$M$2,0))),"")</f>
        <v>0.66</v>
      </c>
      <c r="AX115" s="53">
        <f t="shared" si="56"/>
        <v>0.66</v>
      </c>
      <c r="AY115" s="55">
        <f t="shared" si="57"/>
        <v>0.55374323561808469</v>
      </c>
      <c r="AZ115" s="77" t="str">
        <f t="shared" si="61"/>
        <v/>
      </c>
      <c r="BA115" s="6" t="str">
        <f t="array" ref="BA115">_xlfn.IFNA((INDEX('DMR 001C TIN &amp; TP'!$A$3:$M$10005,MATCH(('Reg 85'!$AQ$6&amp;'Reg 85'!BA$10&amp;'Reg 85'!$B115),('DMR 001C TIN &amp; TP'!$E$3:$E$10005&amp;'DMR 001C TIN &amp; TP'!$B$3:$B$10005&amp;'DMR 001C TIN &amp; TP'!$A$3:$A$10005),0),MATCH('Reg 85'!$AG$11,'DMR 001C TIN &amp; TP'!$A$2:$M$2,0))),"")</f>
        <v/>
      </c>
      <c r="BB115" s="6" t="str">
        <f t="array" ref="BB115">_xlfn.IFNA((INDEX('DMR 001C TIN &amp; TP'!$A$3:$M$10005,MATCH(('Reg 85'!$AQ$6&amp;'Reg 85'!BB$10&amp;'Reg 85'!$B115),('DMR 001C TIN &amp; TP'!$E$3:$E$10005&amp;'DMR 001C TIN &amp; TP'!$B$3:$B$10005&amp;'DMR 001C TIN &amp; TP'!$A$3:$A$10005),0),MATCH('Reg 85'!$AG$11,'DMR 001C TIN &amp; TP'!$A$2:$M$2,0))),"")</f>
        <v/>
      </c>
      <c r="BC115" s="6" t="str">
        <f t="array" ref="BC115">_xlfn.IFNA((INDEX('DMR 001C TIN &amp; TP'!$A$3:$M$10005,MATCH(('Reg 85'!$AQ$6&amp;'Reg 85'!BC$10&amp;'Reg 85'!$B115),('DMR 001C TIN &amp; TP'!$E$3:$E$10005&amp;'DMR 001C TIN &amp; TP'!$B$3:$B$10005&amp;'DMR 001C TIN &amp; TP'!$A$3:$A$10005),0),MATCH('Reg 85'!$AG$11,'DMR 001C TIN &amp; TP'!$A$2:$M$2,0))),"")</f>
        <v/>
      </c>
      <c r="BD115" s="6" t="str">
        <f t="array" ref="BD115">_xlfn.IFNA((INDEX('DMR 001C TIN &amp; TP'!$A$3:$M$10005,MATCH(('Reg 85'!$AQ$6&amp;'Reg 85'!BD$10&amp;'Reg 85'!$B115),('DMR 001C TIN &amp; TP'!$E$3:$E$10005&amp;'DMR 001C TIN &amp; TP'!$B$3:$B$10005&amp;'DMR 001C TIN &amp; TP'!$A$3:$A$10005),0),MATCH('Reg 85'!$AG$11,'DMR 001C TIN &amp; TP'!$A$2:$M$2,0))),"")</f>
        <v/>
      </c>
      <c r="BE115" s="6" t="str">
        <f t="array" ref="BE115">_xlfn.IFNA((INDEX('DMR 001C TIN &amp; TP'!$A$3:$M$10005,MATCH(('Reg 85'!$AQ$6&amp;'Reg 85'!BE$10&amp;'Reg 85'!$B115),('DMR 001C TIN &amp; TP'!$E$3:$E$10005&amp;'DMR 001C TIN &amp; TP'!$B$3:$B$10005&amp;'DMR 001C TIN &amp; TP'!$A$3:$A$10005),0),MATCH('Reg 85'!$AG$11,'DMR 001C TIN &amp; TP'!$A$2:$M$2,0))),"")</f>
        <v/>
      </c>
      <c r="BF115" s="6" t="str">
        <f t="array" ref="BF115">_xlfn.IFNA((INDEX('DMR 001C TIN &amp; TP'!$A$3:$M$10005,MATCH(('Reg 85'!$AQ$6&amp;'Reg 85'!BF$10&amp;'Reg 85'!$B115),('DMR 001C TIN &amp; TP'!$E$3:$E$10005&amp;'DMR 001C TIN &amp; TP'!$B$3:$B$10005&amp;'DMR 001C TIN &amp; TP'!$A$3:$A$10005),0),MATCH('Reg 85'!$AG$11,'DMR 001C TIN &amp; TP'!$A$2:$M$2,0))),"")</f>
        <v/>
      </c>
    </row>
    <row r="116" spans="1:58">
      <c r="A116" s="3" t="str">
        <f t="shared" si="42"/>
        <v>Fri</v>
      </c>
      <c r="B116" s="96">
        <f t="shared" si="58"/>
        <v>43448</v>
      </c>
      <c r="C116" s="96">
        <f t="shared" si="43"/>
        <v>43465</v>
      </c>
      <c r="D116" s="96">
        <f t="shared" si="44"/>
        <v>43435</v>
      </c>
      <c r="E116" s="95">
        <f t="shared" si="45"/>
        <v>31</v>
      </c>
      <c r="F116" s="7">
        <f t="array" ref="F116">_xlfn.IFNA(INDEX('DMR Flows-Effluent'!$A$3:$F$9999,MATCH(($F$10&amp;$B116),('DMR Flows-Effluent'!$B$3:$B$9999&amp;'DMR Flows-Effluent'!$A$3:$A$9999),0),MATCH($F$8,'DMR Flows-Effluent'!$A$2:$F$2,0)),"")</f>
        <v>35.818399999999997</v>
      </c>
      <c r="G116" s="7">
        <f t="array" ref="G116">_xlfn.IFNA(INDEX('DMR Flows-Effluent'!$A$3:$F$9999,MATCH(($G$10&amp;$B116),('DMR Flows-Effluent'!$B$3:$B$9999&amp;'DMR Flows-Effluent'!$A$3:$A$9999),0),MATCH($F$8,'DMR Flows-Effluent'!$A$2:$F$2,0)),"")</f>
        <v>81.787000000000006</v>
      </c>
      <c r="H116" s="7">
        <f t="shared" si="46"/>
        <v>117.6054</v>
      </c>
      <c r="I116" s="45" t="str">
        <f t="shared" si="47"/>
        <v/>
      </c>
      <c r="J116" s="6" t="str">
        <f t="array" ref="J116">_xlfn.IFNA((INDEX('DMR 001C TIN &amp; TP'!$A$3:$M$10005,MATCH(('Reg 85'!$I$6:$Q$6&amp;'Reg 85'!$I$10:$K$10&amp;'Reg 85'!$B116),('DMR 001C TIN &amp; TP'!$E$3:$E$10005&amp;'DMR 001C TIN &amp; TP'!$B$3:$B$10005&amp;'DMR 001C TIN &amp; TP'!$A$3:$A$10005),0),MATCH('Reg 85'!$J$11,'DMR 001C TIN &amp; TP'!$A$2:$M$2,0))),"")</f>
        <v/>
      </c>
      <c r="K116" s="6" t="str">
        <f t="array" ref="K116">_xlfn.IFNA((INDEX('DMR 001C TIN &amp; TP'!$A$3:$M$10005,MATCH(('Reg 85'!$I$6:$Q$6&amp;'Reg 85'!$I$10:$K$10&amp;'Reg 85'!$B116),('DMR 001C TIN &amp; TP'!$E$3:$E$10005&amp;'DMR 001C TIN &amp; TP'!$B$3:$B$10005&amp;'DMR 001C TIN &amp; TP'!$A$3:$A$10005),0),MATCH('Reg 85'!$K$11,'DMR 001C TIN &amp; TP'!$A$2:$M$2,0))),"")</f>
        <v/>
      </c>
      <c r="L116" s="53" t="str">
        <f t="shared" si="59"/>
        <v/>
      </c>
      <c r="M116" s="5" t="str">
        <f t="shared" si="48"/>
        <v/>
      </c>
      <c r="N116" s="6" t="str">
        <f t="array" ref="N116">_xlfn.IFNA((INDEX('DMR 001C TIN &amp; TP'!$A$3:$M$10005,MATCH(('Reg 85'!$I$6:$Q$6&amp;'Reg 85'!$M$10&amp;'Reg 85'!$B116),('DMR 001C TIN &amp; TP'!$E$3:$E$10005&amp;'DMR 001C TIN &amp; TP'!$B$3:$B$10005&amp;'DMR 001C TIN &amp; TP'!$A$3:$A$10005),0),MATCH('Reg 85'!$N$11,'DMR 001C TIN &amp; TP'!$A$2:$M$2,0))),"")</f>
        <v/>
      </c>
      <c r="O116" s="6" t="str">
        <f t="array" ref="O116">_xlfn.IFNA((INDEX('DMR 001C TIN &amp; TP'!$A$3:$M$10005,MATCH(('Reg 85'!$I$6:$Q$6&amp;'Reg 85'!$M$10&amp;'Reg 85'!$B116),('DMR 001C TIN &amp; TP'!$E$3:$E$10005&amp;'DMR 001C TIN &amp; TP'!$B$3:$B$10005&amp;'DMR 001C TIN &amp; TP'!$A$3:$A$10005),0),MATCH('Reg 85'!$O$11,'DMR 001C TIN &amp; TP'!$A$2:$M$2,0))),"")</f>
        <v/>
      </c>
      <c r="P116" s="53" t="str">
        <f t="shared" si="49"/>
        <v/>
      </c>
      <c r="Q116" s="73" t="str">
        <f t="array" ref="Q116">IFERROR(((L116*$F116)+(P116*$G116))/($H116),"")</f>
        <v/>
      </c>
      <c r="R116" s="6" t="str">
        <f t="array" ref="R116">_xlfn.IFNA((INDEX('DMR 001C TIN &amp; TP'!$A$3:$M$10005,MATCH(('Reg 85'!$I$6:$Q$6&amp;'Reg 85'!R$10&amp;'Reg 85'!$B116),('DMR 001C TIN &amp; TP'!$E$3:$E$10005&amp;'DMR 001C TIN &amp; TP'!$B$3:$B$10005&amp;'DMR 001C TIN &amp; TP'!$A$3:$A$10005),0),MATCH('Reg 85'!$O$11,'DMR 001C TIN &amp; TP'!$A$2:$M$2,0))),"")</f>
        <v/>
      </c>
      <c r="S116" s="6" t="str">
        <f t="array" ref="S116">_xlfn.IFNA((INDEX('DMR 001C TIN &amp; TP'!$A$3:$M$10005,MATCH(('Reg 85'!$I$6:$Q$6&amp;'Reg 85'!S$10&amp;'Reg 85'!$B116),('DMR 001C TIN &amp; TP'!$E$3:$E$10005&amp;'DMR 001C TIN &amp; TP'!$B$3:$B$10005&amp;'DMR 001C TIN &amp; TP'!$A$3:$A$10005),0),MATCH('Reg 85'!$O$11,'DMR 001C TIN &amp; TP'!$A$2:$M$2,0))),"")</f>
        <v/>
      </c>
      <c r="T116" s="6" t="str">
        <f t="array" ref="T116">_xlfn.IFNA((INDEX('DMR 001C TIN &amp; TP'!$A$3:$M$10005,MATCH(('Reg 85'!$I$6:$Q$6&amp;'Reg 85'!T$10&amp;'Reg 85'!$B116),('DMR 001C TIN &amp; TP'!$E$3:$E$10005&amp;'DMR 001C TIN &amp; TP'!$B$3:$B$10005&amp;'DMR 001C TIN &amp; TP'!$A$3:$A$10005),0),MATCH('Reg 85'!$O$11,'DMR 001C TIN &amp; TP'!$A$2:$M$2,0))),"")</f>
        <v/>
      </c>
      <c r="U116" s="6" t="str">
        <f t="array" ref="U116">_xlfn.IFNA((INDEX('DMR 001C TIN &amp; TP'!$A$3:$M$10005,MATCH(('Reg 85'!$I$6:$Q$6&amp;'Reg 85'!U$10&amp;'Reg 85'!$B116),('DMR 001C TIN &amp; TP'!$E$3:$E$10005&amp;'DMR 001C TIN &amp; TP'!$B$3:$B$10005&amp;'DMR 001C TIN &amp; TP'!$A$3:$A$10005),0),MATCH('Reg 85'!$O$11,'DMR 001C TIN &amp; TP'!$A$2:$M$2,0))),"")</f>
        <v/>
      </c>
      <c r="V116" s="6" t="str">
        <f t="array" ref="V116">_xlfn.IFNA((INDEX('DMR 001C TIN &amp; TP'!$A$3:$M$10005,MATCH(('Reg 85'!$I$6:$Q$6&amp;'Reg 85'!V$10&amp;'Reg 85'!$B116),('DMR 001C TIN &amp; TP'!$E$3:$E$10005&amp;'DMR 001C TIN &amp; TP'!$B$3:$B$10005&amp;'DMR 001C TIN &amp; TP'!$A$3:$A$10005),0),MATCH('Reg 85'!$O$11,'DMR 001C TIN &amp; TP'!$A$2:$M$2,0))),"")</f>
        <v/>
      </c>
      <c r="W116" s="6" t="str">
        <f t="array" ref="W116">_xlfn.IFNA((INDEX('DMR 001C TIN &amp; TP'!$A$3:$M$10005,MATCH(('Reg 85'!$I$6:$Q$6&amp;'Reg 85'!W$10&amp;'Reg 85'!$B116),('DMR 001C TIN &amp; TP'!$E$3:$E$10005&amp;'DMR 001C TIN &amp; TP'!$B$3:$B$10005&amp;'DMR 001C TIN &amp; TP'!$A$3:$A$10005),0),MATCH('Reg 85'!$O$11,'DMR 001C TIN &amp; TP'!$A$2:$M$2,0))),"")</f>
        <v/>
      </c>
      <c r="X116" s="5" t="str">
        <f t="shared" si="50"/>
        <v/>
      </c>
      <c r="Y116" s="6" t="str">
        <f t="array" ref="Y116">_xlfn.IFNA((INDEX('DMR 001C TIN &amp; TP'!$A$3:$M$10005,MATCH(('Reg 85'!$X$6&amp;'Reg 85'!$X$10&amp;'Reg 85'!$B116),('DMR 001C TIN &amp; TP'!$E$3:$E$10005&amp;'DMR 001C TIN &amp; TP'!$B$3:$B$10005&amp;'DMR 001C TIN &amp; TP'!$A$3:$A$10005),0),MATCH('Reg 85'!$Y$11,'DMR 001C TIN &amp; TP'!$A$2:$M$2,0))),"")</f>
        <v/>
      </c>
      <c r="Z116" s="6" t="str">
        <f t="array" ref="Z116">_xlfn.IFNA((INDEX('DMR 001C TIN &amp; TP'!$A$3:$M$10005,MATCH(('Reg 85'!$X$6&amp;'Reg 85'!$X$10&amp;'Reg 85'!$B116),('DMR 001C TIN &amp; TP'!$E$3:$E$10005&amp;'DMR 001C TIN &amp; TP'!$B$3:$B$10005&amp;'DMR 001C TIN &amp; TP'!$A$3:$A$10005),0),MATCH('Reg 85'!$Z$11,'DMR 001C TIN &amp; TP'!$A$2:$M$2,0))),"")</f>
        <v/>
      </c>
      <c r="AA116" s="53" t="str">
        <f t="shared" si="51"/>
        <v/>
      </c>
      <c r="AB116" s="5" t="str">
        <f t="shared" si="52"/>
        <v/>
      </c>
      <c r="AC116" s="6" t="str">
        <f t="array" ref="AC116">_xlfn.IFNA((INDEX('DMR 001C TIN &amp; TP'!$A$3:$M$10005,MATCH(('Reg 85'!$X$6&amp;'Reg 85'!$AB$10&amp;'Reg 85'!$B116),('DMR 001C TIN &amp; TP'!$E$3:$E$10005&amp;'DMR 001C TIN &amp; TP'!$B$3:$B$10005&amp;'DMR 001C TIN &amp; TP'!$A$3:$A$10005),0),MATCH('Reg 85'!$AC$11,'DMR 001C TIN &amp; TP'!$A$2:$M$2,0))),"")</f>
        <v/>
      </c>
      <c r="AD116" s="6" t="str">
        <f t="array" ref="AD116">_xlfn.IFNA((INDEX('DMR 001C TIN &amp; TP'!$A$3:$M$10005,MATCH(('Reg 85'!$X$6&amp;'Reg 85'!$AB$10&amp;'Reg 85'!$B116),('DMR 001C TIN &amp; TP'!$E$3:$E$10005&amp;'DMR 001C TIN &amp; TP'!$B$3:$B$10005&amp;'DMR 001C TIN &amp; TP'!$A$3:$A$10005),0),MATCH('Reg 85'!$AD$11,'DMR 001C TIN &amp; TP'!$A$2:$M$2,0))),"")</f>
        <v/>
      </c>
      <c r="AE116" s="53" t="str">
        <f t="shared" si="53"/>
        <v/>
      </c>
      <c r="AF116" s="7" t="str">
        <f t="shared" si="54"/>
        <v/>
      </c>
      <c r="AG116" s="6" t="str">
        <f t="array" ref="AG116">_xlfn.IFNA((INDEX('DMR 001C TIN &amp; TP'!$A$3:$M$10005,MATCH(('Reg 85'!$X$6&amp;'Reg 85'!AG$10&amp;'Reg 85'!$B116),('DMR 001C TIN &amp; TP'!$E$3:$E$10005&amp;'DMR 001C TIN &amp; TP'!$B$3:$B$10005&amp;'DMR 001C TIN &amp; TP'!$A$3:$A$10005),0),MATCH('Reg 85'!$AG$11,'DMR 001C TIN &amp; TP'!$A$2:$M$2,0))),"")</f>
        <v/>
      </c>
      <c r="AH116" s="6" t="str">
        <f t="array" ref="AH116">_xlfn.IFNA((INDEX('DMR 001C TIN &amp; TP'!$A$3:$M$10005,MATCH(('Reg 85'!$X$6&amp;'Reg 85'!AH$10&amp;'Reg 85'!$B116),('DMR 001C TIN &amp; TP'!$E$3:$E$10005&amp;'DMR 001C TIN &amp; TP'!$B$3:$B$10005&amp;'DMR 001C TIN &amp; TP'!$A$3:$A$10005),0),MATCH('Reg 85'!$AG$11,'DMR 001C TIN &amp; TP'!$A$2:$M$2,0))),"")</f>
        <v/>
      </c>
      <c r="AI116" s="6" t="str">
        <f t="array" ref="AI116">_xlfn.IFNA((INDEX('DMR 001C TIN &amp; TP'!$A$3:$M$10005,MATCH(('Reg 85'!$X$6&amp;'Reg 85'!AI$10&amp;'Reg 85'!$B116),('DMR 001C TIN &amp; TP'!$E$3:$E$10005&amp;'DMR 001C TIN &amp; TP'!$B$3:$B$10005&amp;'DMR 001C TIN &amp; TP'!$A$3:$A$10005),0),MATCH('Reg 85'!$AG$11,'DMR 001C TIN &amp; TP'!$A$2:$M$2,0))),"")</f>
        <v/>
      </c>
      <c r="AJ116" s="6" t="str">
        <f t="array" ref="AJ116">_xlfn.IFNA((INDEX('DMR 001C TIN &amp; TP'!$A$3:$M$10005,MATCH(('Reg 85'!$X$6&amp;'Reg 85'!AJ$10&amp;'Reg 85'!$B116),('DMR 001C TIN &amp; TP'!$E$3:$E$10005&amp;'DMR 001C TIN &amp; TP'!$B$3:$B$10005&amp;'DMR 001C TIN &amp; TP'!$A$3:$A$10005),0),MATCH('Reg 85'!$AG$11,'DMR 001C TIN &amp; TP'!$A$2:$M$2,0))),"")</f>
        <v/>
      </c>
      <c r="AK116" s="6" t="str">
        <f t="array" ref="AK116">_xlfn.IFNA((INDEX('DMR 001C TIN &amp; TP'!$A$3:$M$10005,MATCH(('Reg 85'!$X$6&amp;'Reg 85'!AK$10&amp;'Reg 85'!$B116),('DMR 001C TIN &amp; TP'!$E$3:$E$10005&amp;'DMR 001C TIN &amp; TP'!$B$3:$B$10005&amp;'DMR 001C TIN &amp; TP'!$A$3:$A$10005),0),MATCH('Reg 85'!$AG$11,'DMR 001C TIN &amp; TP'!$A$2:$M$2,0))),"")</f>
        <v/>
      </c>
      <c r="AL116" s="6" t="str">
        <f t="array" ref="AL116">_xlfn.IFNA((INDEX('DMR 001C TIN &amp; TP'!$A$3:$M$10005,MATCH(('Reg 85'!$X$6&amp;'Reg 85'!AL$10&amp;'Reg 85'!$B116),('DMR 001C TIN &amp; TP'!$E$3:$E$10005&amp;'DMR 001C TIN &amp; TP'!$B$3:$B$10005&amp;'DMR 001C TIN &amp; TP'!$A$3:$A$10005),0),MATCH('Reg 85'!$AG$11,'DMR 001C TIN &amp; TP'!$A$2:$M$2,0))),"")</f>
        <v/>
      </c>
      <c r="AM116" s="76"/>
      <c r="AN116" s="6"/>
      <c r="AO116" s="54" t="str">
        <f t="shared" si="41"/>
        <v/>
      </c>
      <c r="AP116" s="77" t="str">
        <f t="shared" si="60"/>
        <v/>
      </c>
      <c r="AQ116" s="47"/>
      <c r="AR116" s="6" t="str">
        <f t="array" ref="AR116">_xlfn.IFNA((INDEX('DMR 001C TIN &amp; TP'!$A$3:$M$10005,MATCH(('Reg 85'!$AQ$6&amp;'Reg 85'!$AQ$10&amp;'Reg 85'!$B116),('DMR 001C TIN &amp; TP'!$E$3:$E$10005&amp;'DMR 001C TIN &amp; TP'!$B$3:$B$10005&amp;'DMR 001C TIN &amp; TP'!$A$3:$A$10005),0),MATCH('Reg 85'!$AR$11,'DMR 001C TIN &amp; TP'!$A$2:$M$2,0))),"")</f>
        <v/>
      </c>
      <c r="AS116" s="6" t="str">
        <f t="array" ref="AS116">_xlfn.IFNA((INDEX('DMR 001C TIN &amp; TP'!$A$3:$M$10005,MATCH(('Reg 85'!$AQ$6&amp;'Reg 85'!$AQ$10&amp;'Reg 85'!$B116),('DMR 001C TIN &amp; TP'!$E$3:$E$10005&amp;'DMR 001C TIN &amp; TP'!$B$3:$B$10005&amp;'DMR 001C TIN &amp; TP'!$A$3:$A$10005),0),MATCH('Reg 85'!$AS$11,'DMR 001C TIN &amp; TP'!$A$2:$M$2,0))),"")</f>
        <v/>
      </c>
      <c r="AT116" s="53" t="str">
        <f t="shared" si="55"/>
        <v/>
      </c>
      <c r="AV116" s="6" t="str">
        <f t="array" ref="AV116">_xlfn.IFNA((INDEX('DMR 001C TIN &amp; TP'!$A$3:$M$10005,MATCH(('Reg 85'!$AQ$6&amp;'Reg 85'!$AU$10&amp;'Reg 85'!$B116),('DMR 001C TIN &amp; TP'!$E$3:$E$10005&amp;'DMR 001C TIN &amp; TP'!$B$3:$B$10005&amp;'DMR 001C TIN &amp; TP'!$A$3:$A$10005),0),MATCH('Reg 85'!$AV$11,'DMR 001C TIN &amp; TP'!$A$2:$M$2,0))),"")</f>
        <v/>
      </c>
      <c r="AW116" s="6" t="str">
        <f t="array" ref="AW116">_xlfn.IFNA((INDEX('DMR 001C TIN &amp; TP'!$A$3:$M$10005,MATCH(('Reg 85'!$AQ$6&amp;'Reg 85'!$AU$10&amp;'Reg 85'!$B116),('DMR 001C TIN &amp; TP'!$E$3:$E$10005&amp;'DMR 001C TIN &amp; TP'!$B$3:$B$10005&amp;'DMR 001C TIN &amp; TP'!$A$3:$A$10005),0),MATCH('Reg 85'!$AW$11,'DMR 001C TIN &amp; TP'!$A$2:$M$2,0))),"")</f>
        <v/>
      </c>
      <c r="AX116" s="53" t="str">
        <f t="shared" si="56"/>
        <v/>
      </c>
      <c r="AY116" s="55" t="str">
        <f t="shared" si="57"/>
        <v/>
      </c>
      <c r="AZ116" s="77" t="str">
        <f t="shared" si="61"/>
        <v/>
      </c>
      <c r="BA116" s="6" t="str">
        <f t="array" ref="BA116">_xlfn.IFNA((INDEX('DMR 001C TIN &amp; TP'!$A$3:$M$10005,MATCH(('Reg 85'!$AQ$6&amp;'Reg 85'!BA$10&amp;'Reg 85'!$B116),('DMR 001C TIN &amp; TP'!$E$3:$E$10005&amp;'DMR 001C TIN &amp; TP'!$B$3:$B$10005&amp;'DMR 001C TIN &amp; TP'!$A$3:$A$10005),0),MATCH('Reg 85'!$AG$11,'DMR 001C TIN &amp; TP'!$A$2:$M$2,0))),"")</f>
        <v/>
      </c>
      <c r="BB116" s="6" t="str">
        <f t="array" ref="BB116">_xlfn.IFNA((INDEX('DMR 001C TIN &amp; TP'!$A$3:$M$10005,MATCH(('Reg 85'!$AQ$6&amp;'Reg 85'!BB$10&amp;'Reg 85'!$B116),('DMR 001C TIN &amp; TP'!$E$3:$E$10005&amp;'DMR 001C TIN &amp; TP'!$B$3:$B$10005&amp;'DMR 001C TIN &amp; TP'!$A$3:$A$10005),0),MATCH('Reg 85'!$AG$11,'DMR 001C TIN &amp; TP'!$A$2:$M$2,0))),"")</f>
        <v/>
      </c>
      <c r="BC116" s="6" t="str">
        <f t="array" ref="BC116">_xlfn.IFNA((INDEX('DMR 001C TIN &amp; TP'!$A$3:$M$10005,MATCH(('Reg 85'!$AQ$6&amp;'Reg 85'!BC$10&amp;'Reg 85'!$B116),('DMR 001C TIN &amp; TP'!$E$3:$E$10005&amp;'DMR 001C TIN &amp; TP'!$B$3:$B$10005&amp;'DMR 001C TIN &amp; TP'!$A$3:$A$10005),0),MATCH('Reg 85'!$AG$11,'DMR 001C TIN &amp; TP'!$A$2:$M$2,0))),"")</f>
        <v/>
      </c>
      <c r="BD116" s="6" t="str">
        <f t="array" ref="BD116">_xlfn.IFNA((INDEX('DMR 001C TIN &amp; TP'!$A$3:$M$10005,MATCH(('Reg 85'!$AQ$6&amp;'Reg 85'!BD$10&amp;'Reg 85'!$B116),('DMR 001C TIN &amp; TP'!$E$3:$E$10005&amp;'DMR 001C TIN &amp; TP'!$B$3:$B$10005&amp;'DMR 001C TIN &amp; TP'!$A$3:$A$10005),0),MATCH('Reg 85'!$AG$11,'DMR 001C TIN &amp; TP'!$A$2:$M$2,0))),"")</f>
        <v/>
      </c>
      <c r="BE116" s="6" t="str">
        <f t="array" ref="BE116">_xlfn.IFNA((INDEX('DMR 001C TIN &amp; TP'!$A$3:$M$10005,MATCH(('Reg 85'!$AQ$6&amp;'Reg 85'!BE$10&amp;'Reg 85'!$B116),('DMR 001C TIN &amp; TP'!$E$3:$E$10005&amp;'DMR 001C TIN &amp; TP'!$B$3:$B$10005&amp;'DMR 001C TIN &amp; TP'!$A$3:$A$10005),0),MATCH('Reg 85'!$AG$11,'DMR 001C TIN &amp; TP'!$A$2:$M$2,0))),"")</f>
        <v/>
      </c>
      <c r="BF116" s="6" t="str">
        <f t="array" ref="BF116">_xlfn.IFNA((INDEX('DMR 001C TIN &amp; TP'!$A$3:$M$10005,MATCH(('Reg 85'!$AQ$6&amp;'Reg 85'!BF$10&amp;'Reg 85'!$B116),('DMR 001C TIN &amp; TP'!$E$3:$E$10005&amp;'DMR 001C TIN &amp; TP'!$B$3:$B$10005&amp;'DMR 001C TIN &amp; TP'!$A$3:$A$10005),0),MATCH('Reg 85'!$AG$11,'DMR 001C TIN &amp; TP'!$A$2:$M$2,0))),"")</f>
        <v/>
      </c>
    </row>
    <row r="117" spans="1:58">
      <c r="A117" s="3" t="str">
        <f t="shared" si="42"/>
        <v>Sat</v>
      </c>
      <c r="B117" s="96">
        <f t="shared" si="58"/>
        <v>43449</v>
      </c>
      <c r="C117" s="96">
        <f t="shared" si="43"/>
        <v>43465</v>
      </c>
      <c r="D117" s="96">
        <f t="shared" si="44"/>
        <v>43435</v>
      </c>
      <c r="E117" s="95">
        <f t="shared" si="45"/>
        <v>31</v>
      </c>
      <c r="F117" s="7">
        <f t="array" ref="F117">_xlfn.IFNA(INDEX('DMR Flows-Effluent'!$A$3:$F$9999,MATCH(($F$10&amp;$B117),('DMR Flows-Effluent'!$B$3:$B$9999&amp;'DMR Flows-Effluent'!$A$3:$A$9999),0),MATCH($F$8,'DMR Flows-Effluent'!$A$2:$F$2,0)),"")</f>
        <v>38.710999999999999</v>
      </c>
      <c r="G117" s="7">
        <f t="array" ref="G117">_xlfn.IFNA(INDEX('DMR Flows-Effluent'!$A$3:$F$9999,MATCH(($G$10&amp;$B117),('DMR Flows-Effluent'!$B$3:$B$9999&amp;'DMR Flows-Effluent'!$A$3:$A$9999),0),MATCH($F$8,'DMR Flows-Effluent'!$A$2:$F$2,0)),"")</f>
        <v>76.628200000000007</v>
      </c>
      <c r="H117" s="7">
        <f t="shared" si="46"/>
        <v>115.33920000000001</v>
      </c>
      <c r="I117" s="45" t="str">
        <f t="shared" si="47"/>
        <v/>
      </c>
      <c r="J117" s="6" t="str">
        <f t="array" ref="J117">_xlfn.IFNA((INDEX('DMR 001C TIN &amp; TP'!$A$3:$M$10005,MATCH(('Reg 85'!$I$6:$Q$6&amp;'Reg 85'!$I$10:$K$10&amp;'Reg 85'!$B117),('DMR 001C TIN &amp; TP'!$E$3:$E$10005&amp;'DMR 001C TIN &amp; TP'!$B$3:$B$10005&amp;'DMR 001C TIN &amp; TP'!$A$3:$A$10005),0),MATCH('Reg 85'!$J$11,'DMR 001C TIN &amp; TP'!$A$2:$M$2,0))),"")</f>
        <v/>
      </c>
      <c r="K117" s="6" t="str">
        <f t="array" ref="K117">_xlfn.IFNA((INDEX('DMR 001C TIN &amp; TP'!$A$3:$M$10005,MATCH(('Reg 85'!$I$6:$Q$6&amp;'Reg 85'!$I$10:$K$10&amp;'Reg 85'!$B117),('DMR 001C TIN &amp; TP'!$E$3:$E$10005&amp;'DMR 001C TIN &amp; TP'!$B$3:$B$10005&amp;'DMR 001C TIN &amp; TP'!$A$3:$A$10005),0),MATCH('Reg 85'!$K$11,'DMR 001C TIN &amp; TP'!$A$2:$M$2,0))),"")</f>
        <v/>
      </c>
      <c r="L117" s="53" t="str">
        <f t="shared" si="59"/>
        <v/>
      </c>
      <c r="M117" s="5" t="str">
        <f t="shared" si="48"/>
        <v/>
      </c>
      <c r="N117" s="6" t="str">
        <f t="array" ref="N117">_xlfn.IFNA((INDEX('DMR 001C TIN &amp; TP'!$A$3:$M$10005,MATCH(('Reg 85'!$I$6:$Q$6&amp;'Reg 85'!$M$10&amp;'Reg 85'!$B117),('DMR 001C TIN &amp; TP'!$E$3:$E$10005&amp;'DMR 001C TIN &amp; TP'!$B$3:$B$10005&amp;'DMR 001C TIN &amp; TP'!$A$3:$A$10005),0),MATCH('Reg 85'!$N$11,'DMR 001C TIN &amp; TP'!$A$2:$M$2,0))),"")</f>
        <v/>
      </c>
      <c r="O117" s="6" t="str">
        <f t="array" ref="O117">_xlfn.IFNA((INDEX('DMR 001C TIN &amp; TP'!$A$3:$M$10005,MATCH(('Reg 85'!$I$6:$Q$6&amp;'Reg 85'!$M$10&amp;'Reg 85'!$B117),('DMR 001C TIN &amp; TP'!$E$3:$E$10005&amp;'DMR 001C TIN &amp; TP'!$B$3:$B$10005&amp;'DMR 001C TIN &amp; TP'!$A$3:$A$10005),0),MATCH('Reg 85'!$O$11,'DMR 001C TIN &amp; TP'!$A$2:$M$2,0))),"")</f>
        <v/>
      </c>
      <c r="P117" s="53" t="str">
        <f t="shared" si="49"/>
        <v/>
      </c>
      <c r="Q117" s="73" t="str">
        <f t="array" ref="Q117">IFERROR(((L117*$F117)+(P117*$G117))/($H117),"")</f>
        <v/>
      </c>
      <c r="R117" s="6" t="str">
        <f t="array" ref="R117">_xlfn.IFNA((INDEX('DMR 001C TIN &amp; TP'!$A$3:$M$10005,MATCH(('Reg 85'!$I$6:$Q$6&amp;'Reg 85'!R$10&amp;'Reg 85'!$B117),('DMR 001C TIN &amp; TP'!$E$3:$E$10005&amp;'DMR 001C TIN &amp; TP'!$B$3:$B$10005&amp;'DMR 001C TIN &amp; TP'!$A$3:$A$10005),0),MATCH('Reg 85'!$O$11,'DMR 001C TIN &amp; TP'!$A$2:$M$2,0))),"")</f>
        <v/>
      </c>
      <c r="S117" s="6" t="str">
        <f t="array" ref="S117">_xlfn.IFNA((INDEX('DMR 001C TIN &amp; TP'!$A$3:$M$10005,MATCH(('Reg 85'!$I$6:$Q$6&amp;'Reg 85'!S$10&amp;'Reg 85'!$B117),('DMR 001C TIN &amp; TP'!$E$3:$E$10005&amp;'DMR 001C TIN &amp; TP'!$B$3:$B$10005&amp;'DMR 001C TIN &amp; TP'!$A$3:$A$10005),0),MATCH('Reg 85'!$O$11,'DMR 001C TIN &amp; TP'!$A$2:$M$2,0))),"")</f>
        <v/>
      </c>
      <c r="T117" s="6" t="str">
        <f t="array" ref="T117">_xlfn.IFNA((INDEX('DMR 001C TIN &amp; TP'!$A$3:$M$10005,MATCH(('Reg 85'!$I$6:$Q$6&amp;'Reg 85'!T$10&amp;'Reg 85'!$B117),('DMR 001C TIN &amp; TP'!$E$3:$E$10005&amp;'DMR 001C TIN &amp; TP'!$B$3:$B$10005&amp;'DMR 001C TIN &amp; TP'!$A$3:$A$10005),0),MATCH('Reg 85'!$O$11,'DMR 001C TIN &amp; TP'!$A$2:$M$2,0))),"")</f>
        <v/>
      </c>
      <c r="U117" s="6" t="str">
        <f t="array" ref="U117">_xlfn.IFNA((INDEX('DMR 001C TIN &amp; TP'!$A$3:$M$10005,MATCH(('Reg 85'!$I$6:$Q$6&amp;'Reg 85'!U$10&amp;'Reg 85'!$B117),('DMR 001C TIN &amp; TP'!$E$3:$E$10005&amp;'DMR 001C TIN &amp; TP'!$B$3:$B$10005&amp;'DMR 001C TIN &amp; TP'!$A$3:$A$10005),0),MATCH('Reg 85'!$O$11,'DMR 001C TIN &amp; TP'!$A$2:$M$2,0))),"")</f>
        <v/>
      </c>
      <c r="V117" s="6" t="str">
        <f t="array" ref="V117">_xlfn.IFNA((INDEX('DMR 001C TIN &amp; TP'!$A$3:$M$10005,MATCH(('Reg 85'!$I$6:$Q$6&amp;'Reg 85'!V$10&amp;'Reg 85'!$B117),('DMR 001C TIN &amp; TP'!$E$3:$E$10005&amp;'DMR 001C TIN &amp; TP'!$B$3:$B$10005&amp;'DMR 001C TIN &amp; TP'!$A$3:$A$10005),0),MATCH('Reg 85'!$O$11,'DMR 001C TIN &amp; TP'!$A$2:$M$2,0))),"")</f>
        <v/>
      </c>
      <c r="W117" s="6" t="str">
        <f t="array" ref="W117">_xlfn.IFNA((INDEX('DMR 001C TIN &amp; TP'!$A$3:$M$10005,MATCH(('Reg 85'!$I$6:$Q$6&amp;'Reg 85'!W$10&amp;'Reg 85'!$B117),('DMR 001C TIN &amp; TP'!$E$3:$E$10005&amp;'DMR 001C TIN &amp; TP'!$B$3:$B$10005&amp;'DMR 001C TIN &amp; TP'!$A$3:$A$10005),0),MATCH('Reg 85'!$O$11,'DMR 001C TIN &amp; TP'!$A$2:$M$2,0))),"")</f>
        <v/>
      </c>
      <c r="X117" s="5" t="str">
        <f t="shared" si="50"/>
        <v/>
      </c>
      <c r="Y117" s="6" t="str">
        <f t="array" ref="Y117">_xlfn.IFNA((INDEX('DMR 001C TIN &amp; TP'!$A$3:$M$10005,MATCH(('Reg 85'!$X$6&amp;'Reg 85'!$X$10&amp;'Reg 85'!$B117),('DMR 001C TIN &amp; TP'!$E$3:$E$10005&amp;'DMR 001C TIN &amp; TP'!$B$3:$B$10005&amp;'DMR 001C TIN &amp; TP'!$A$3:$A$10005),0),MATCH('Reg 85'!$Y$11,'DMR 001C TIN &amp; TP'!$A$2:$M$2,0))),"")</f>
        <v/>
      </c>
      <c r="Z117" s="6" t="str">
        <f t="array" ref="Z117">_xlfn.IFNA((INDEX('DMR 001C TIN &amp; TP'!$A$3:$M$10005,MATCH(('Reg 85'!$X$6&amp;'Reg 85'!$X$10&amp;'Reg 85'!$B117),('DMR 001C TIN &amp; TP'!$E$3:$E$10005&amp;'DMR 001C TIN &amp; TP'!$B$3:$B$10005&amp;'DMR 001C TIN &amp; TP'!$A$3:$A$10005),0),MATCH('Reg 85'!$Z$11,'DMR 001C TIN &amp; TP'!$A$2:$M$2,0))),"")</f>
        <v/>
      </c>
      <c r="AA117" s="53" t="str">
        <f t="shared" si="51"/>
        <v/>
      </c>
      <c r="AB117" s="5" t="str">
        <f t="shared" si="52"/>
        <v/>
      </c>
      <c r="AC117" s="6" t="str">
        <f t="array" ref="AC117">_xlfn.IFNA((INDEX('DMR 001C TIN &amp; TP'!$A$3:$M$10005,MATCH(('Reg 85'!$X$6&amp;'Reg 85'!$AB$10&amp;'Reg 85'!$B117),('DMR 001C TIN &amp; TP'!$E$3:$E$10005&amp;'DMR 001C TIN &amp; TP'!$B$3:$B$10005&amp;'DMR 001C TIN &amp; TP'!$A$3:$A$10005),0),MATCH('Reg 85'!$AC$11,'DMR 001C TIN &amp; TP'!$A$2:$M$2,0))),"")</f>
        <v/>
      </c>
      <c r="AD117" s="6" t="str">
        <f t="array" ref="AD117">_xlfn.IFNA((INDEX('DMR 001C TIN &amp; TP'!$A$3:$M$10005,MATCH(('Reg 85'!$X$6&amp;'Reg 85'!$AB$10&amp;'Reg 85'!$B117),('DMR 001C TIN &amp; TP'!$E$3:$E$10005&amp;'DMR 001C TIN &amp; TP'!$B$3:$B$10005&amp;'DMR 001C TIN &amp; TP'!$A$3:$A$10005),0),MATCH('Reg 85'!$AD$11,'DMR 001C TIN &amp; TP'!$A$2:$M$2,0))),"")</f>
        <v/>
      </c>
      <c r="AE117" s="53" t="str">
        <f t="shared" si="53"/>
        <v/>
      </c>
      <c r="AF117" s="7" t="str">
        <f t="shared" si="54"/>
        <v/>
      </c>
      <c r="AG117" s="6" t="str">
        <f t="array" ref="AG117">_xlfn.IFNA((INDEX('DMR 001C TIN &amp; TP'!$A$3:$M$10005,MATCH(('Reg 85'!$X$6&amp;'Reg 85'!AG$10&amp;'Reg 85'!$B117),('DMR 001C TIN &amp; TP'!$E$3:$E$10005&amp;'DMR 001C TIN &amp; TP'!$B$3:$B$10005&amp;'DMR 001C TIN &amp; TP'!$A$3:$A$10005),0),MATCH('Reg 85'!$AG$11,'DMR 001C TIN &amp; TP'!$A$2:$M$2,0))),"")</f>
        <v/>
      </c>
      <c r="AH117" s="6" t="str">
        <f t="array" ref="AH117">_xlfn.IFNA((INDEX('DMR 001C TIN &amp; TP'!$A$3:$M$10005,MATCH(('Reg 85'!$X$6&amp;'Reg 85'!AH$10&amp;'Reg 85'!$B117),('DMR 001C TIN &amp; TP'!$E$3:$E$10005&amp;'DMR 001C TIN &amp; TP'!$B$3:$B$10005&amp;'DMR 001C TIN &amp; TP'!$A$3:$A$10005),0),MATCH('Reg 85'!$AG$11,'DMR 001C TIN &amp; TP'!$A$2:$M$2,0))),"")</f>
        <v/>
      </c>
      <c r="AI117" s="6" t="str">
        <f t="array" ref="AI117">_xlfn.IFNA((INDEX('DMR 001C TIN &amp; TP'!$A$3:$M$10005,MATCH(('Reg 85'!$X$6&amp;'Reg 85'!AI$10&amp;'Reg 85'!$B117),('DMR 001C TIN &amp; TP'!$E$3:$E$10005&amp;'DMR 001C TIN &amp; TP'!$B$3:$B$10005&amp;'DMR 001C TIN &amp; TP'!$A$3:$A$10005),0),MATCH('Reg 85'!$AG$11,'DMR 001C TIN &amp; TP'!$A$2:$M$2,0))),"")</f>
        <v/>
      </c>
      <c r="AJ117" s="6" t="str">
        <f t="array" ref="AJ117">_xlfn.IFNA((INDEX('DMR 001C TIN &amp; TP'!$A$3:$M$10005,MATCH(('Reg 85'!$X$6&amp;'Reg 85'!AJ$10&amp;'Reg 85'!$B117),('DMR 001C TIN &amp; TP'!$E$3:$E$10005&amp;'DMR 001C TIN &amp; TP'!$B$3:$B$10005&amp;'DMR 001C TIN &amp; TP'!$A$3:$A$10005),0),MATCH('Reg 85'!$AG$11,'DMR 001C TIN &amp; TP'!$A$2:$M$2,0))),"")</f>
        <v/>
      </c>
      <c r="AK117" s="6" t="str">
        <f t="array" ref="AK117">_xlfn.IFNA((INDEX('DMR 001C TIN &amp; TP'!$A$3:$M$10005,MATCH(('Reg 85'!$X$6&amp;'Reg 85'!AK$10&amp;'Reg 85'!$B117),('DMR 001C TIN &amp; TP'!$E$3:$E$10005&amp;'DMR 001C TIN &amp; TP'!$B$3:$B$10005&amp;'DMR 001C TIN &amp; TP'!$A$3:$A$10005),0),MATCH('Reg 85'!$AG$11,'DMR 001C TIN &amp; TP'!$A$2:$M$2,0))),"")</f>
        <v/>
      </c>
      <c r="AL117" s="6" t="str">
        <f t="array" ref="AL117">_xlfn.IFNA((INDEX('DMR 001C TIN &amp; TP'!$A$3:$M$10005,MATCH(('Reg 85'!$X$6&amp;'Reg 85'!AL$10&amp;'Reg 85'!$B117),('DMR 001C TIN &amp; TP'!$E$3:$E$10005&amp;'DMR 001C TIN &amp; TP'!$B$3:$B$10005&amp;'DMR 001C TIN &amp; TP'!$A$3:$A$10005),0),MATCH('Reg 85'!$AG$11,'DMR 001C TIN &amp; TP'!$A$2:$M$2,0))),"")</f>
        <v/>
      </c>
      <c r="AM117" s="76"/>
      <c r="AN117" s="6"/>
      <c r="AO117" s="54" t="str">
        <f t="shared" si="41"/>
        <v/>
      </c>
      <c r="AP117" s="77" t="str">
        <f t="shared" si="60"/>
        <v/>
      </c>
      <c r="AQ117" s="47"/>
      <c r="AR117" s="6" t="str">
        <f t="array" ref="AR117">_xlfn.IFNA((INDEX('DMR 001C TIN &amp; TP'!$A$3:$M$10005,MATCH(('Reg 85'!$AQ$6&amp;'Reg 85'!$AQ$10&amp;'Reg 85'!$B117),('DMR 001C TIN &amp; TP'!$E$3:$E$10005&amp;'DMR 001C TIN &amp; TP'!$B$3:$B$10005&amp;'DMR 001C TIN &amp; TP'!$A$3:$A$10005),0),MATCH('Reg 85'!$AR$11,'DMR 001C TIN &amp; TP'!$A$2:$M$2,0))),"")</f>
        <v/>
      </c>
      <c r="AS117" s="6" t="str">
        <f t="array" ref="AS117">_xlfn.IFNA((INDEX('DMR 001C TIN &amp; TP'!$A$3:$M$10005,MATCH(('Reg 85'!$AQ$6&amp;'Reg 85'!$AQ$10&amp;'Reg 85'!$B117),('DMR 001C TIN &amp; TP'!$E$3:$E$10005&amp;'DMR 001C TIN &amp; TP'!$B$3:$B$10005&amp;'DMR 001C TIN &amp; TP'!$A$3:$A$10005),0),MATCH('Reg 85'!$AS$11,'DMR 001C TIN &amp; TP'!$A$2:$M$2,0))),"")</f>
        <v/>
      </c>
      <c r="AT117" s="53" t="str">
        <f t="shared" si="55"/>
        <v/>
      </c>
      <c r="AV117" s="6" t="str">
        <f t="array" ref="AV117">_xlfn.IFNA((INDEX('DMR 001C TIN &amp; TP'!$A$3:$M$10005,MATCH(('Reg 85'!$AQ$6&amp;'Reg 85'!$AU$10&amp;'Reg 85'!$B117),('DMR 001C TIN &amp; TP'!$E$3:$E$10005&amp;'DMR 001C TIN &amp; TP'!$B$3:$B$10005&amp;'DMR 001C TIN &amp; TP'!$A$3:$A$10005),0),MATCH('Reg 85'!$AV$11,'DMR 001C TIN &amp; TP'!$A$2:$M$2,0))),"")</f>
        <v/>
      </c>
      <c r="AW117" s="6" t="str">
        <f t="array" ref="AW117">_xlfn.IFNA((INDEX('DMR 001C TIN &amp; TP'!$A$3:$M$10005,MATCH(('Reg 85'!$AQ$6&amp;'Reg 85'!$AU$10&amp;'Reg 85'!$B117),('DMR 001C TIN &amp; TP'!$E$3:$E$10005&amp;'DMR 001C TIN &amp; TP'!$B$3:$B$10005&amp;'DMR 001C TIN &amp; TP'!$A$3:$A$10005),0),MATCH('Reg 85'!$AW$11,'DMR 001C TIN &amp; TP'!$A$2:$M$2,0))),"")</f>
        <v/>
      </c>
      <c r="AX117" s="53" t="str">
        <f t="shared" si="56"/>
        <v/>
      </c>
      <c r="AY117" s="55" t="str">
        <f t="shared" si="57"/>
        <v/>
      </c>
      <c r="AZ117" s="77" t="str">
        <f t="shared" si="61"/>
        <v/>
      </c>
      <c r="BA117" s="6" t="str">
        <f t="array" ref="BA117">_xlfn.IFNA((INDEX('DMR 001C TIN &amp; TP'!$A$3:$M$10005,MATCH(('Reg 85'!$AQ$6&amp;'Reg 85'!BA$10&amp;'Reg 85'!$B117),('DMR 001C TIN &amp; TP'!$E$3:$E$10005&amp;'DMR 001C TIN &amp; TP'!$B$3:$B$10005&amp;'DMR 001C TIN &amp; TP'!$A$3:$A$10005),0),MATCH('Reg 85'!$AG$11,'DMR 001C TIN &amp; TP'!$A$2:$M$2,0))),"")</f>
        <v/>
      </c>
      <c r="BB117" s="6" t="str">
        <f t="array" ref="BB117">_xlfn.IFNA((INDEX('DMR 001C TIN &amp; TP'!$A$3:$M$10005,MATCH(('Reg 85'!$AQ$6&amp;'Reg 85'!BB$10&amp;'Reg 85'!$B117),('DMR 001C TIN &amp; TP'!$E$3:$E$10005&amp;'DMR 001C TIN &amp; TP'!$B$3:$B$10005&amp;'DMR 001C TIN &amp; TP'!$A$3:$A$10005),0),MATCH('Reg 85'!$AG$11,'DMR 001C TIN &amp; TP'!$A$2:$M$2,0))),"")</f>
        <v/>
      </c>
      <c r="BC117" s="6" t="str">
        <f t="array" ref="BC117">_xlfn.IFNA((INDEX('DMR 001C TIN &amp; TP'!$A$3:$M$10005,MATCH(('Reg 85'!$AQ$6&amp;'Reg 85'!BC$10&amp;'Reg 85'!$B117),('DMR 001C TIN &amp; TP'!$E$3:$E$10005&amp;'DMR 001C TIN &amp; TP'!$B$3:$B$10005&amp;'DMR 001C TIN &amp; TP'!$A$3:$A$10005),0),MATCH('Reg 85'!$AG$11,'DMR 001C TIN &amp; TP'!$A$2:$M$2,0))),"")</f>
        <v/>
      </c>
      <c r="BD117" s="6" t="str">
        <f t="array" ref="BD117">_xlfn.IFNA((INDEX('DMR 001C TIN &amp; TP'!$A$3:$M$10005,MATCH(('Reg 85'!$AQ$6&amp;'Reg 85'!BD$10&amp;'Reg 85'!$B117),('DMR 001C TIN &amp; TP'!$E$3:$E$10005&amp;'DMR 001C TIN &amp; TP'!$B$3:$B$10005&amp;'DMR 001C TIN &amp; TP'!$A$3:$A$10005),0),MATCH('Reg 85'!$AG$11,'DMR 001C TIN &amp; TP'!$A$2:$M$2,0))),"")</f>
        <v/>
      </c>
      <c r="BE117" s="6" t="str">
        <f t="array" ref="BE117">_xlfn.IFNA((INDEX('DMR 001C TIN &amp; TP'!$A$3:$M$10005,MATCH(('Reg 85'!$AQ$6&amp;'Reg 85'!BE$10&amp;'Reg 85'!$B117),('DMR 001C TIN &amp; TP'!$E$3:$E$10005&amp;'DMR 001C TIN &amp; TP'!$B$3:$B$10005&amp;'DMR 001C TIN &amp; TP'!$A$3:$A$10005),0),MATCH('Reg 85'!$AG$11,'DMR 001C TIN &amp; TP'!$A$2:$M$2,0))),"")</f>
        <v/>
      </c>
      <c r="BF117" s="6" t="str">
        <f t="array" ref="BF117">_xlfn.IFNA((INDEX('DMR 001C TIN &amp; TP'!$A$3:$M$10005,MATCH(('Reg 85'!$AQ$6&amp;'Reg 85'!BF$10&amp;'Reg 85'!$B117),('DMR 001C TIN &amp; TP'!$E$3:$E$10005&amp;'DMR 001C TIN &amp; TP'!$B$3:$B$10005&amp;'DMR 001C TIN &amp; TP'!$A$3:$A$10005),0),MATCH('Reg 85'!$AG$11,'DMR 001C TIN &amp; TP'!$A$2:$M$2,0))),"")</f>
        <v/>
      </c>
    </row>
    <row r="118" spans="1:58">
      <c r="A118" s="3" t="str">
        <f t="shared" si="42"/>
        <v>Sun</v>
      </c>
      <c r="B118" s="96">
        <f t="shared" si="58"/>
        <v>43450</v>
      </c>
      <c r="C118" s="96">
        <f t="shared" si="43"/>
        <v>43465</v>
      </c>
      <c r="D118" s="96">
        <f t="shared" si="44"/>
        <v>43435</v>
      </c>
      <c r="E118" s="95">
        <f t="shared" si="45"/>
        <v>31</v>
      </c>
      <c r="F118" s="7">
        <f t="array" ref="F118">_xlfn.IFNA(INDEX('DMR Flows-Effluent'!$A$3:$F$9999,MATCH(($F$10&amp;$B118),('DMR Flows-Effluent'!$B$3:$B$9999&amp;'DMR Flows-Effluent'!$A$3:$A$9999),0),MATCH($F$8,'DMR Flows-Effluent'!$A$2:$F$2,0)),"")</f>
        <v>47.342100000000002</v>
      </c>
      <c r="G118" s="7">
        <f t="array" ref="G118">_xlfn.IFNA(INDEX('DMR Flows-Effluent'!$A$3:$F$9999,MATCH(($G$10&amp;$B118),('DMR Flows-Effluent'!$B$3:$B$9999&amp;'DMR Flows-Effluent'!$A$3:$A$9999),0),MATCH($F$8,'DMR Flows-Effluent'!$A$2:$F$2,0)),"")</f>
        <v>79.375600000000006</v>
      </c>
      <c r="H118" s="7">
        <f t="shared" si="46"/>
        <v>126.71770000000001</v>
      </c>
      <c r="I118" s="45" t="str">
        <f t="shared" si="47"/>
        <v/>
      </c>
      <c r="J118" s="6" t="str">
        <f t="array" ref="J118">_xlfn.IFNA((INDEX('DMR 001C TIN &amp; TP'!$A$3:$M$10005,MATCH(('Reg 85'!$I$6:$Q$6&amp;'Reg 85'!$I$10:$K$10&amp;'Reg 85'!$B118),('DMR 001C TIN &amp; TP'!$E$3:$E$10005&amp;'DMR 001C TIN &amp; TP'!$B$3:$B$10005&amp;'DMR 001C TIN &amp; TP'!$A$3:$A$10005),0),MATCH('Reg 85'!$J$11,'DMR 001C TIN &amp; TP'!$A$2:$M$2,0))),"")</f>
        <v/>
      </c>
      <c r="K118" s="6" t="str">
        <f t="array" ref="K118">_xlfn.IFNA((INDEX('DMR 001C TIN &amp; TP'!$A$3:$M$10005,MATCH(('Reg 85'!$I$6:$Q$6&amp;'Reg 85'!$I$10:$K$10&amp;'Reg 85'!$B118),('DMR 001C TIN &amp; TP'!$E$3:$E$10005&amp;'DMR 001C TIN &amp; TP'!$B$3:$B$10005&amp;'DMR 001C TIN &amp; TP'!$A$3:$A$10005),0),MATCH('Reg 85'!$K$11,'DMR 001C TIN &amp; TP'!$A$2:$M$2,0))),"")</f>
        <v/>
      </c>
      <c r="L118" s="53" t="str">
        <f t="shared" si="59"/>
        <v/>
      </c>
      <c r="M118" s="5" t="str">
        <f t="shared" si="48"/>
        <v/>
      </c>
      <c r="N118" s="6" t="str">
        <f t="array" ref="N118">_xlfn.IFNA((INDEX('DMR 001C TIN &amp; TP'!$A$3:$M$10005,MATCH(('Reg 85'!$I$6:$Q$6&amp;'Reg 85'!$M$10&amp;'Reg 85'!$B118),('DMR 001C TIN &amp; TP'!$E$3:$E$10005&amp;'DMR 001C TIN &amp; TP'!$B$3:$B$10005&amp;'DMR 001C TIN &amp; TP'!$A$3:$A$10005),0),MATCH('Reg 85'!$N$11,'DMR 001C TIN &amp; TP'!$A$2:$M$2,0))),"")</f>
        <v/>
      </c>
      <c r="O118" s="6" t="str">
        <f t="array" ref="O118">_xlfn.IFNA((INDEX('DMR 001C TIN &amp; TP'!$A$3:$M$10005,MATCH(('Reg 85'!$I$6:$Q$6&amp;'Reg 85'!$M$10&amp;'Reg 85'!$B118),('DMR 001C TIN &amp; TP'!$E$3:$E$10005&amp;'DMR 001C TIN &amp; TP'!$B$3:$B$10005&amp;'DMR 001C TIN &amp; TP'!$A$3:$A$10005),0),MATCH('Reg 85'!$O$11,'DMR 001C TIN &amp; TP'!$A$2:$M$2,0))),"")</f>
        <v/>
      </c>
      <c r="P118" s="53" t="str">
        <f t="shared" si="49"/>
        <v/>
      </c>
      <c r="Q118" s="73" t="str">
        <f t="array" ref="Q118">IFERROR(((L118*$F118)+(P118*$G118))/($H118),"")</f>
        <v/>
      </c>
      <c r="R118" s="6" t="str">
        <f t="array" ref="R118">_xlfn.IFNA((INDEX('DMR 001C TIN &amp; TP'!$A$3:$M$10005,MATCH(('Reg 85'!$I$6:$Q$6&amp;'Reg 85'!R$10&amp;'Reg 85'!$B118),('DMR 001C TIN &amp; TP'!$E$3:$E$10005&amp;'DMR 001C TIN &amp; TP'!$B$3:$B$10005&amp;'DMR 001C TIN &amp; TP'!$A$3:$A$10005),0),MATCH('Reg 85'!$O$11,'DMR 001C TIN &amp; TP'!$A$2:$M$2,0))),"")</f>
        <v/>
      </c>
      <c r="S118" s="6" t="str">
        <f t="array" ref="S118">_xlfn.IFNA((INDEX('DMR 001C TIN &amp; TP'!$A$3:$M$10005,MATCH(('Reg 85'!$I$6:$Q$6&amp;'Reg 85'!S$10&amp;'Reg 85'!$B118),('DMR 001C TIN &amp; TP'!$E$3:$E$10005&amp;'DMR 001C TIN &amp; TP'!$B$3:$B$10005&amp;'DMR 001C TIN &amp; TP'!$A$3:$A$10005),0),MATCH('Reg 85'!$O$11,'DMR 001C TIN &amp; TP'!$A$2:$M$2,0))),"")</f>
        <v/>
      </c>
      <c r="T118" s="6" t="str">
        <f t="array" ref="T118">_xlfn.IFNA((INDEX('DMR 001C TIN &amp; TP'!$A$3:$M$10005,MATCH(('Reg 85'!$I$6:$Q$6&amp;'Reg 85'!T$10&amp;'Reg 85'!$B118),('DMR 001C TIN &amp; TP'!$E$3:$E$10005&amp;'DMR 001C TIN &amp; TP'!$B$3:$B$10005&amp;'DMR 001C TIN &amp; TP'!$A$3:$A$10005),0),MATCH('Reg 85'!$O$11,'DMR 001C TIN &amp; TP'!$A$2:$M$2,0))),"")</f>
        <v/>
      </c>
      <c r="U118" s="6" t="str">
        <f t="array" ref="U118">_xlfn.IFNA((INDEX('DMR 001C TIN &amp; TP'!$A$3:$M$10005,MATCH(('Reg 85'!$I$6:$Q$6&amp;'Reg 85'!U$10&amp;'Reg 85'!$B118),('DMR 001C TIN &amp; TP'!$E$3:$E$10005&amp;'DMR 001C TIN &amp; TP'!$B$3:$B$10005&amp;'DMR 001C TIN &amp; TP'!$A$3:$A$10005),0),MATCH('Reg 85'!$O$11,'DMR 001C TIN &amp; TP'!$A$2:$M$2,0))),"")</f>
        <v/>
      </c>
      <c r="V118" s="6" t="str">
        <f t="array" ref="V118">_xlfn.IFNA((INDEX('DMR 001C TIN &amp; TP'!$A$3:$M$10005,MATCH(('Reg 85'!$I$6:$Q$6&amp;'Reg 85'!V$10&amp;'Reg 85'!$B118),('DMR 001C TIN &amp; TP'!$E$3:$E$10005&amp;'DMR 001C TIN &amp; TP'!$B$3:$B$10005&amp;'DMR 001C TIN &amp; TP'!$A$3:$A$10005),0),MATCH('Reg 85'!$O$11,'DMR 001C TIN &amp; TP'!$A$2:$M$2,0))),"")</f>
        <v/>
      </c>
      <c r="W118" s="6" t="str">
        <f t="array" ref="W118">_xlfn.IFNA((INDEX('DMR 001C TIN &amp; TP'!$A$3:$M$10005,MATCH(('Reg 85'!$I$6:$Q$6&amp;'Reg 85'!W$10&amp;'Reg 85'!$B118),('DMR 001C TIN &amp; TP'!$E$3:$E$10005&amp;'DMR 001C TIN &amp; TP'!$B$3:$B$10005&amp;'DMR 001C TIN &amp; TP'!$A$3:$A$10005),0),MATCH('Reg 85'!$O$11,'DMR 001C TIN &amp; TP'!$A$2:$M$2,0))),"")</f>
        <v/>
      </c>
      <c r="X118" s="5" t="str">
        <f t="shared" si="50"/>
        <v/>
      </c>
      <c r="Y118" s="6" t="str">
        <f t="array" ref="Y118">_xlfn.IFNA((INDEX('DMR 001C TIN &amp; TP'!$A$3:$M$10005,MATCH(('Reg 85'!$X$6&amp;'Reg 85'!$X$10&amp;'Reg 85'!$B118),('DMR 001C TIN &amp; TP'!$E$3:$E$10005&amp;'DMR 001C TIN &amp; TP'!$B$3:$B$10005&amp;'DMR 001C TIN &amp; TP'!$A$3:$A$10005),0),MATCH('Reg 85'!$Y$11,'DMR 001C TIN &amp; TP'!$A$2:$M$2,0))),"")</f>
        <v/>
      </c>
      <c r="Z118" s="6" t="str">
        <f t="array" ref="Z118">_xlfn.IFNA((INDEX('DMR 001C TIN &amp; TP'!$A$3:$M$10005,MATCH(('Reg 85'!$X$6&amp;'Reg 85'!$X$10&amp;'Reg 85'!$B118),('DMR 001C TIN &amp; TP'!$E$3:$E$10005&amp;'DMR 001C TIN &amp; TP'!$B$3:$B$10005&amp;'DMR 001C TIN &amp; TP'!$A$3:$A$10005),0),MATCH('Reg 85'!$Z$11,'DMR 001C TIN &amp; TP'!$A$2:$M$2,0))),"")</f>
        <v/>
      </c>
      <c r="AA118" s="53" t="str">
        <f t="shared" si="51"/>
        <v/>
      </c>
      <c r="AB118" s="5" t="str">
        <f t="shared" si="52"/>
        <v/>
      </c>
      <c r="AC118" s="6" t="str">
        <f t="array" ref="AC118">_xlfn.IFNA((INDEX('DMR 001C TIN &amp; TP'!$A$3:$M$10005,MATCH(('Reg 85'!$X$6&amp;'Reg 85'!$AB$10&amp;'Reg 85'!$B118),('DMR 001C TIN &amp; TP'!$E$3:$E$10005&amp;'DMR 001C TIN &amp; TP'!$B$3:$B$10005&amp;'DMR 001C TIN &amp; TP'!$A$3:$A$10005),0),MATCH('Reg 85'!$AC$11,'DMR 001C TIN &amp; TP'!$A$2:$M$2,0))),"")</f>
        <v/>
      </c>
      <c r="AD118" s="6" t="str">
        <f t="array" ref="AD118">_xlfn.IFNA((INDEX('DMR 001C TIN &amp; TP'!$A$3:$M$10005,MATCH(('Reg 85'!$X$6&amp;'Reg 85'!$AB$10&amp;'Reg 85'!$B118),('DMR 001C TIN &amp; TP'!$E$3:$E$10005&amp;'DMR 001C TIN &amp; TP'!$B$3:$B$10005&amp;'DMR 001C TIN &amp; TP'!$A$3:$A$10005),0),MATCH('Reg 85'!$AD$11,'DMR 001C TIN &amp; TP'!$A$2:$M$2,0))),"")</f>
        <v/>
      </c>
      <c r="AE118" s="53" t="str">
        <f t="shared" si="53"/>
        <v/>
      </c>
      <c r="AF118" s="7" t="str">
        <f t="shared" si="54"/>
        <v/>
      </c>
      <c r="AG118" s="6" t="str">
        <f t="array" ref="AG118">_xlfn.IFNA((INDEX('DMR 001C TIN &amp; TP'!$A$3:$M$10005,MATCH(('Reg 85'!$X$6&amp;'Reg 85'!AG$10&amp;'Reg 85'!$B118),('DMR 001C TIN &amp; TP'!$E$3:$E$10005&amp;'DMR 001C TIN &amp; TP'!$B$3:$B$10005&amp;'DMR 001C TIN &amp; TP'!$A$3:$A$10005),0),MATCH('Reg 85'!$AG$11,'DMR 001C TIN &amp; TP'!$A$2:$M$2,0))),"")</f>
        <v/>
      </c>
      <c r="AH118" s="6" t="str">
        <f t="array" ref="AH118">_xlfn.IFNA((INDEX('DMR 001C TIN &amp; TP'!$A$3:$M$10005,MATCH(('Reg 85'!$X$6&amp;'Reg 85'!AH$10&amp;'Reg 85'!$B118),('DMR 001C TIN &amp; TP'!$E$3:$E$10005&amp;'DMR 001C TIN &amp; TP'!$B$3:$B$10005&amp;'DMR 001C TIN &amp; TP'!$A$3:$A$10005),0),MATCH('Reg 85'!$AG$11,'DMR 001C TIN &amp; TP'!$A$2:$M$2,0))),"")</f>
        <v/>
      </c>
      <c r="AI118" s="6" t="str">
        <f t="array" ref="AI118">_xlfn.IFNA((INDEX('DMR 001C TIN &amp; TP'!$A$3:$M$10005,MATCH(('Reg 85'!$X$6&amp;'Reg 85'!AI$10&amp;'Reg 85'!$B118),('DMR 001C TIN &amp; TP'!$E$3:$E$10005&amp;'DMR 001C TIN &amp; TP'!$B$3:$B$10005&amp;'DMR 001C TIN &amp; TP'!$A$3:$A$10005),0),MATCH('Reg 85'!$AG$11,'DMR 001C TIN &amp; TP'!$A$2:$M$2,0))),"")</f>
        <v/>
      </c>
      <c r="AJ118" s="6" t="str">
        <f t="array" ref="AJ118">_xlfn.IFNA((INDEX('DMR 001C TIN &amp; TP'!$A$3:$M$10005,MATCH(('Reg 85'!$X$6&amp;'Reg 85'!AJ$10&amp;'Reg 85'!$B118),('DMR 001C TIN &amp; TP'!$E$3:$E$10005&amp;'DMR 001C TIN &amp; TP'!$B$3:$B$10005&amp;'DMR 001C TIN &amp; TP'!$A$3:$A$10005),0),MATCH('Reg 85'!$AG$11,'DMR 001C TIN &amp; TP'!$A$2:$M$2,0))),"")</f>
        <v/>
      </c>
      <c r="AK118" s="6" t="str">
        <f t="array" ref="AK118">_xlfn.IFNA((INDEX('DMR 001C TIN &amp; TP'!$A$3:$M$10005,MATCH(('Reg 85'!$X$6&amp;'Reg 85'!AK$10&amp;'Reg 85'!$B118),('DMR 001C TIN &amp; TP'!$E$3:$E$10005&amp;'DMR 001C TIN &amp; TP'!$B$3:$B$10005&amp;'DMR 001C TIN &amp; TP'!$A$3:$A$10005),0),MATCH('Reg 85'!$AG$11,'DMR 001C TIN &amp; TP'!$A$2:$M$2,0))),"")</f>
        <v/>
      </c>
      <c r="AL118" s="6" t="str">
        <f t="array" ref="AL118">_xlfn.IFNA((INDEX('DMR 001C TIN &amp; TP'!$A$3:$M$10005,MATCH(('Reg 85'!$X$6&amp;'Reg 85'!AL$10&amp;'Reg 85'!$B118),('DMR 001C TIN &amp; TP'!$E$3:$E$10005&amp;'DMR 001C TIN &amp; TP'!$B$3:$B$10005&amp;'DMR 001C TIN &amp; TP'!$A$3:$A$10005),0),MATCH('Reg 85'!$AG$11,'DMR 001C TIN &amp; TP'!$A$2:$M$2,0))),"")</f>
        <v/>
      </c>
      <c r="AM118" s="76"/>
      <c r="AN118" s="6"/>
      <c r="AO118" s="54" t="str">
        <f t="shared" si="41"/>
        <v/>
      </c>
      <c r="AP118" s="77" t="str">
        <f t="shared" si="60"/>
        <v/>
      </c>
      <c r="AQ118" s="47"/>
      <c r="AR118" s="6" t="str">
        <f t="array" ref="AR118">_xlfn.IFNA((INDEX('DMR 001C TIN &amp; TP'!$A$3:$M$10005,MATCH(('Reg 85'!$AQ$6&amp;'Reg 85'!$AQ$10&amp;'Reg 85'!$B118),('DMR 001C TIN &amp; TP'!$E$3:$E$10005&amp;'DMR 001C TIN &amp; TP'!$B$3:$B$10005&amp;'DMR 001C TIN &amp; TP'!$A$3:$A$10005),0),MATCH('Reg 85'!$AR$11,'DMR 001C TIN &amp; TP'!$A$2:$M$2,0))),"")</f>
        <v>0.03</v>
      </c>
      <c r="AS118" s="6">
        <f t="array" ref="AS118">_xlfn.IFNA((INDEX('DMR 001C TIN &amp; TP'!$A$3:$M$10005,MATCH(('Reg 85'!$AQ$6&amp;'Reg 85'!$AQ$10&amp;'Reg 85'!$B118),('DMR 001C TIN &amp; TP'!$E$3:$E$10005&amp;'DMR 001C TIN &amp; TP'!$B$3:$B$10005&amp;'DMR 001C TIN &amp; TP'!$A$3:$A$10005),0),MATCH('Reg 85'!$AS$11,'DMR 001C TIN &amp; TP'!$A$2:$M$2,0))),"")</f>
        <v>0.27</v>
      </c>
      <c r="AT118" s="53">
        <f t="shared" si="55"/>
        <v>0.27</v>
      </c>
      <c r="AV118" s="6" t="str">
        <f t="array" ref="AV118">_xlfn.IFNA((INDEX('DMR 001C TIN &amp; TP'!$A$3:$M$10005,MATCH(('Reg 85'!$AQ$6&amp;'Reg 85'!$AU$10&amp;'Reg 85'!$B118),('DMR 001C TIN &amp; TP'!$E$3:$E$10005&amp;'DMR 001C TIN &amp; TP'!$B$3:$B$10005&amp;'DMR 001C TIN &amp; TP'!$A$3:$A$10005),0),MATCH('Reg 85'!$AV$11,'DMR 001C TIN &amp; TP'!$A$2:$M$2,0))),"")</f>
        <v>0.03</v>
      </c>
      <c r="AW118" s="6">
        <f t="array" ref="AW118">_xlfn.IFNA((INDEX('DMR 001C TIN &amp; TP'!$A$3:$M$10005,MATCH(('Reg 85'!$AQ$6&amp;'Reg 85'!$AU$10&amp;'Reg 85'!$B118),('DMR 001C TIN &amp; TP'!$E$3:$E$10005&amp;'DMR 001C TIN &amp; TP'!$B$3:$B$10005&amp;'DMR 001C TIN &amp; TP'!$A$3:$A$10005),0),MATCH('Reg 85'!$AW$11,'DMR 001C TIN &amp; TP'!$A$2:$M$2,0))),"")</f>
        <v>1.1499999999999999</v>
      </c>
      <c r="AX118" s="53">
        <f t="shared" si="56"/>
        <v>1.1499999999999999</v>
      </c>
      <c r="AY118" s="55">
        <f t="shared" si="57"/>
        <v>0.82122944939815046</v>
      </c>
      <c r="AZ118" s="77" t="str">
        <f t="shared" si="61"/>
        <v/>
      </c>
      <c r="BA118" s="6" t="str">
        <f t="array" ref="BA118">_xlfn.IFNA((INDEX('DMR 001C TIN &amp; TP'!$A$3:$M$10005,MATCH(('Reg 85'!$AQ$6&amp;'Reg 85'!BA$10&amp;'Reg 85'!$B118),('DMR 001C TIN &amp; TP'!$E$3:$E$10005&amp;'DMR 001C TIN &amp; TP'!$B$3:$B$10005&amp;'DMR 001C TIN &amp; TP'!$A$3:$A$10005),0),MATCH('Reg 85'!$AG$11,'DMR 001C TIN &amp; TP'!$A$2:$M$2,0))),"")</f>
        <v/>
      </c>
      <c r="BB118" s="6" t="str">
        <f t="array" ref="BB118">_xlfn.IFNA((INDEX('DMR 001C TIN &amp; TP'!$A$3:$M$10005,MATCH(('Reg 85'!$AQ$6&amp;'Reg 85'!BB$10&amp;'Reg 85'!$B118),('DMR 001C TIN &amp; TP'!$E$3:$E$10005&amp;'DMR 001C TIN &amp; TP'!$B$3:$B$10005&amp;'DMR 001C TIN &amp; TP'!$A$3:$A$10005),0),MATCH('Reg 85'!$AG$11,'DMR 001C TIN &amp; TP'!$A$2:$M$2,0))),"")</f>
        <v/>
      </c>
      <c r="BC118" s="6" t="str">
        <f t="array" ref="BC118">_xlfn.IFNA((INDEX('DMR 001C TIN &amp; TP'!$A$3:$M$10005,MATCH(('Reg 85'!$AQ$6&amp;'Reg 85'!BC$10&amp;'Reg 85'!$B118),('DMR 001C TIN &amp; TP'!$E$3:$E$10005&amp;'DMR 001C TIN &amp; TP'!$B$3:$B$10005&amp;'DMR 001C TIN &amp; TP'!$A$3:$A$10005),0),MATCH('Reg 85'!$AG$11,'DMR 001C TIN &amp; TP'!$A$2:$M$2,0))),"")</f>
        <v/>
      </c>
      <c r="BD118" s="6" t="str">
        <f t="array" ref="BD118">_xlfn.IFNA((INDEX('DMR 001C TIN &amp; TP'!$A$3:$M$10005,MATCH(('Reg 85'!$AQ$6&amp;'Reg 85'!BD$10&amp;'Reg 85'!$B118),('DMR 001C TIN &amp; TP'!$E$3:$E$10005&amp;'DMR 001C TIN &amp; TP'!$B$3:$B$10005&amp;'DMR 001C TIN &amp; TP'!$A$3:$A$10005),0),MATCH('Reg 85'!$AG$11,'DMR 001C TIN &amp; TP'!$A$2:$M$2,0))),"")</f>
        <v/>
      </c>
      <c r="BE118" s="6" t="str">
        <f t="array" ref="BE118">_xlfn.IFNA((INDEX('DMR 001C TIN &amp; TP'!$A$3:$M$10005,MATCH(('Reg 85'!$AQ$6&amp;'Reg 85'!BE$10&amp;'Reg 85'!$B118),('DMR 001C TIN &amp; TP'!$E$3:$E$10005&amp;'DMR 001C TIN &amp; TP'!$B$3:$B$10005&amp;'DMR 001C TIN &amp; TP'!$A$3:$A$10005),0),MATCH('Reg 85'!$AG$11,'DMR 001C TIN &amp; TP'!$A$2:$M$2,0))),"")</f>
        <v/>
      </c>
      <c r="BF118" s="6" t="str">
        <f t="array" ref="BF118">_xlfn.IFNA((INDEX('DMR 001C TIN &amp; TP'!$A$3:$M$10005,MATCH(('Reg 85'!$AQ$6&amp;'Reg 85'!BF$10&amp;'Reg 85'!$B118),('DMR 001C TIN &amp; TP'!$E$3:$E$10005&amp;'DMR 001C TIN &amp; TP'!$B$3:$B$10005&amp;'DMR 001C TIN &amp; TP'!$A$3:$A$10005),0),MATCH('Reg 85'!$AG$11,'DMR 001C TIN &amp; TP'!$A$2:$M$2,0))),"")</f>
        <v/>
      </c>
    </row>
    <row r="119" spans="1:58">
      <c r="A119" s="3" t="str">
        <f t="shared" si="42"/>
        <v>Mon</v>
      </c>
      <c r="B119" s="96">
        <f t="shared" si="58"/>
        <v>43451</v>
      </c>
      <c r="C119" s="96">
        <f t="shared" si="43"/>
        <v>43465</v>
      </c>
      <c r="D119" s="96">
        <f t="shared" si="44"/>
        <v>43435</v>
      </c>
      <c r="E119" s="95">
        <f t="shared" si="45"/>
        <v>31</v>
      </c>
      <c r="F119" s="7">
        <f t="array" ref="F119">_xlfn.IFNA(INDEX('DMR Flows-Effluent'!$A$3:$F$9999,MATCH(($F$10&amp;$B119),('DMR Flows-Effluent'!$B$3:$B$9999&amp;'DMR Flows-Effluent'!$A$3:$A$9999),0),MATCH($F$8,'DMR Flows-Effluent'!$A$2:$F$2,0)),"")</f>
        <v>48.891300000000001</v>
      </c>
      <c r="G119" s="7">
        <f t="array" ref="G119">_xlfn.IFNA(INDEX('DMR Flows-Effluent'!$A$3:$F$9999,MATCH(($G$10&amp;$B119),('DMR Flows-Effluent'!$B$3:$B$9999&amp;'DMR Flows-Effluent'!$A$3:$A$9999),0),MATCH($F$8,'DMR Flows-Effluent'!$A$2:$F$2,0)),"")</f>
        <v>72.337199999999996</v>
      </c>
      <c r="H119" s="7">
        <f t="shared" si="46"/>
        <v>121.2285</v>
      </c>
      <c r="I119" s="45" t="str">
        <f t="shared" si="47"/>
        <v/>
      </c>
      <c r="J119" s="6" t="str">
        <f t="array" ref="J119">_xlfn.IFNA((INDEX('DMR 001C TIN &amp; TP'!$A$3:$M$10005,MATCH(('Reg 85'!$I$6:$Q$6&amp;'Reg 85'!$I$10:$K$10&amp;'Reg 85'!$B119),('DMR 001C TIN &amp; TP'!$E$3:$E$10005&amp;'DMR 001C TIN &amp; TP'!$B$3:$B$10005&amp;'DMR 001C TIN &amp; TP'!$A$3:$A$10005),0),MATCH('Reg 85'!$J$11,'DMR 001C TIN &amp; TP'!$A$2:$M$2,0))),"")</f>
        <v>0.15</v>
      </c>
      <c r="K119" s="6">
        <f t="array" ref="K119">_xlfn.IFNA((INDEX('DMR 001C TIN &amp; TP'!$A$3:$M$10005,MATCH(('Reg 85'!$I$6:$Q$6&amp;'Reg 85'!$I$10:$K$10&amp;'Reg 85'!$B119),('DMR 001C TIN &amp; TP'!$E$3:$E$10005&amp;'DMR 001C TIN &amp; TP'!$B$3:$B$10005&amp;'DMR 001C TIN &amp; TP'!$A$3:$A$10005),0),MATCH('Reg 85'!$K$11,'DMR 001C TIN &amp; TP'!$A$2:$M$2,0))),"")</f>
        <v>0.53</v>
      </c>
      <c r="L119" s="53">
        <f t="shared" si="59"/>
        <v>0.53</v>
      </c>
      <c r="M119" s="5" t="str">
        <f t="shared" si="48"/>
        <v/>
      </c>
      <c r="N119" s="6" t="str">
        <f t="array" ref="N119">_xlfn.IFNA((INDEX('DMR 001C TIN &amp; TP'!$A$3:$M$10005,MATCH(('Reg 85'!$I$6:$Q$6&amp;'Reg 85'!$M$10&amp;'Reg 85'!$B119),('DMR 001C TIN &amp; TP'!$E$3:$E$10005&amp;'DMR 001C TIN &amp; TP'!$B$3:$B$10005&amp;'DMR 001C TIN &amp; TP'!$A$3:$A$10005),0),MATCH('Reg 85'!$N$11,'DMR 001C TIN &amp; TP'!$A$2:$M$2,0))),"")</f>
        <v>0.15</v>
      </c>
      <c r="O119" s="6">
        <f t="array" ref="O119">_xlfn.IFNA((INDEX('DMR 001C TIN &amp; TP'!$A$3:$M$10005,MATCH(('Reg 85'!$I$6:$Q$6&amp;'Reg 85'!$M$10&amp;'Reg 85'!$B119),('DMR 001C TIN &amp; TP'!$E$3:$E$10005&amp;'DMR 001C TIN &amp; TP'!$B$3:$B$10005&amp;'DMR 001C TIN &amp; TP'!$A$3:$A$10005),0),MATCH('Reg 85'!$O$11,'DMR 001C TIN &amp; TP'!$A$2:$M$2,0))),"")</f>
        <v>0.55000000000000004</v>
      </c>
      <c r="P119" s="53">
        <f t="shared" si="49"/>
        <v>0.55000000000000004</v>
      </c>
      <c r="Q119" s="73">
        <f t="array" ref="Q119">IFERROR(((L119*$F119)+(P119*$G119))/($H119),"")</f>
        <v>0.54193402541481583</v>
      </c>
      <c r="R119" s="6" t="str">
        <f t="array" ref="R119">_xlfn.IFNA((INDEX('DMR 001C TIN &amp; TP'!$A$3:$M$10005,MATCH(('Reg 85'!$I$6:$Q$6&amp;'Reg 85'!R$10&amp;'Reg 85'!$B119),('DMR 001C TIN &amp; TP'!$E$3:$E$10005&amp;'DMR 001C TIN &amp; TP'!$B$3:$B$10005&amp;'DMR 001C TIN &amp; TP'!$A$3:$A$10005),0),MATCH('Reg 85'!$O$11,'DMR 001C TIN &amp; TP'!$A$2:$M$2,0))),"")</f>
        <v/>
      </c>
      <c r="S119" s="6" t="str">
        <f t="array" ref="S119">_xlfn.IFNA((INDEX('DMR 001C TIN &amp; TP'!$A$3:$M$10005,MATCH(('Reg 85'!$I$6:$Q$6&amp;'Reg 85'!S$10&amp;'Reg 85'!$B119),('DMR 001C TIN &amp; TP'!$E$3:$E$10005&amp;'DMR 001C TIN &amp; TP'!$B$3:$B$10005&amp;'DMR 001C TIN &amp; TP'!$A$3:$A$10005),0),MATCH('Reg 85'!$O$11,'DMR 001C TIN &amp; TP'!$A$2:$M$2,0))),"")</f>
        <v/>
      </c>
      <c r="T119" s="6" t="str">
        <f t="array" ref="T119">_xlfn.IFNA((INDEX('DMR 001C TIN &amp; TP'!$A$3:$M$10005,MATCH(('Reg 85'!$I$6:$Q$6&amp;'Reg 85'!T$10&amp;'Reg 85'!$B119),('DMR 001C TIN &amp; TP'!$E$3:$E$10005&amp;'DMR 001C TIN &amp; TP'!$B$3:$B$10005&amp;'DMR 001C TIN &amp; TP'!$A$3:$A$10005),0),MATCH('Reg 85'!$O$11,'DMR 001C TIN &amp; TP'!$A$2:$M$2,0))),"")</f>
        <v/>
      </c>
      <c r="U119" s="6" t="str">
        <f t="array" ref="U119">_xlfn.IFNA((INDEX('DMR 001C TIN &amp; TP'!$A$3:$M$10005,MATCH(('Reg 85'!$I$6:$Q$6&amp;'Reg 85'!U$10&amp;'Reg 85'!$B119),('DMR 001C TIN &amp; TP'!$E$3:$E$10005&amp;'DMR 001C TIN &amp; TP'!$B$3:$B$10005&amp;'DMR 001C TIN &amp; TP'!$A$3:$A$10005),0),MATCH('Reg 85'!$O$11,'DMR 001C TIN &amp; TP'!$A$2:$M$2,0))),"")</f>
        <v/>
      </c>
      <c r="V119" s="6" t="str">
        <f t="array" ref="V119">_xlfn.IFNA((INDEX('DMR 001C TIN &amp; TP'!$A$3:$M$10005,MATCH(('Reg 85'!$I$6:$Q$6&amp;'Reg 85'!V$10&amp;'Reg 85'!$B119),('DMR 001C TIN &amp; TP'!$E$3:$E$10005&amp;'DMR 001C TIN &amp; TP'!$B$3:$B$10005&amp;'DMR 001C TIN &amp; TP'!$A$3:$A$10005),0),MATCH('Reg 85'!$O$11,'DMR 001C TIN &amp; TP'!$A$2:$M$2,0))),"")</f>
        <v/>
      </c>
      <c r="W119" s="6" t="str">
        <f t="array" ref="W119">_xlfn.IFNA((INDEX('DMR 001C TIN &amp; TP'!$A$3:$M$10005,MATCH(('Reg 85'!$I$6:$Q$6&amp;'Reg 85'!W$10&amp;'Reg 85'!$B119),('DMR 001C TIN &amp; TP'!$E$3:$E$10005&amp;'DMR 001C TIN &amp; TP'!$B$3:$B$10005&amp;'DMR 001C TIN &amp; TP'!$A$3:$A$10005),0),MATCH('Reg 85'!$O$11,'DMR 001C TIN &amp; TP'!$A$2:$M$2,0))),"")</f>
        <v/>
      </c>
      <c r="X119" s="5" t="str">
        <f t="shared" si="50"/>
        <v/>
      </c>
      <c r="Y119" s="6" t="str">
        <f t="array" ref="Y119">_xlfn.IFNA((INDEX('DMR 001C TIN &amp; TP'!$A$3:$M$10005,MATCH(('Reg 85'!$X$6&amp;'Reg 85'!$X$10&amp;'Reg 85'!$B119),('DMR 001C TIN &amp; TP'!$E$3:$E$10005&amp;'DMR 001C TIN &amp; TP'!$B$3:$B$10005&amp;'DMR 001C TIN &amp; TP'!$A$3:$A$10005),0),MATCH('Reg 85'!$Y$11,'DMR 001C TIN &amp; TP'!$A$2:$M$2,0))),"")</f>
        <v>0.06</v>
      </c>
      <c r="Z119" s="6">
        <f t="array" ref="Z119">_xlfn.IFNA((INDEX('DMR 001C TIN &amp; TP'!$A$3:$M$10005,MATCH(('Reg 85'!$X$6&amp;'Reg 85'!$X$10&amp;'Reg 85'!$B119),('DMR 001C TIN &amp; TP'!$E$3:$E$10005&amp;'DMR 001C TIN &amp; TP'!$B$3:$B$10005&amp;'DMR 001C TIN &amp; TP'!$A$3:$A$10005),0),MATCH('Reg 85'!$Z$11,'DMR 001C TIN &amp; TP'!$A$2:$M$2,0))),"")</f>
        <v>5.23</v>
      </c>
      <c r="AA119" s="53">
        <f t="shared" si="51"/>
        <v>5.23</v>
      </c>
      <c r="AB119" s="5" t="str">
        <f t="shared" si="52"/>
        <v/>
      </c>
      <c r="AC119" s="6" t="str">
        <f t="array" ref="AC119">_xlfn.IFNA((INDEX('DMR 001C TIN &amp; TP'!$A$3:$M$10005,MATCH(('Reg 85'!$X$6&amp;'Reg 85'!$AB$10&amp;'Reg 85'!$B119),('DMR 001C TIN &amp; TP'!$E$3:$E$10005&amp;'DMR 001C TIN &amp; TP'!$B$3:$B$10005&amp;'DMR 001C TIN &amp; TP'!$A$3:$A$10005),0),MATCH('Reg 85'!$AC$11,'DMR 001C TIN &amp; TP'!$A$2:$M$2,0))),"")</f>
        <v>0.06</v>
      </c>
      <c r="AD119" s="6">
        <f t="array" ref="AD119">_xlfn.IFNA((INDEX('DMR 001C TIN &amp; TP'!$A$3:$M$10005,MATCH(('Reg 85'!$X$6&amp;'Reg 85'!$AB$10&amp;'Reg 85'!$B119),('DMR 001C TIN &amp; TP'!$E$3:$E$10005&amp;'DMR 001C TIN &amp; TP'!$B$3:$B$10005&amp;'DMR 001C TIN &amp; TP'!$A$3:$A$10005),0),MATCH('Reg 85'!$AD$11,'DMR 001C TIN &amp; TP'!$A$2:$M$2,0))),"")</f>
        <v>5.25</v>
      </c>
      <c r="AE119" s="53">
        <f t="shared" si="53"/>
        <v>5.25</v>
      </c>
      <c r="AF119" s="7">
        <f t="shared" si="54"/>
        <v>5.2419340254148157</v>
      </c>
      <c r="AG119" s="6" t="str">
        <f t="array" ref="AG119">_xlfn.IFNA((INDEX('DMR 001C TIN &amp; TP'!$A$3:$M$10005,MATCH(('Reg 85'!$X$6&amp;'Reg 85'!AG$10&amp;'Reg 85'!$B119),('DMR 001C TIN &amp; TP'!$E$3:$E$10005&amp;'DMR 001C TIN &amp; TP'!$B$3:$B$10005&amp;'DMR 001C TIN &amp; TP'!$A$3:$A$10005),0),MATCH('Reg 85'!$AG$11,'DMR 001C TIN &amp; TP'!$A$2:$M$2,0))),"")</f>
        <v/>
      </c>
      <c r="AH119" s="6" t="str">
        <f t="array" ref="AH119">_xlfn.IFNA((INDEX('DMR 001C TIN &amp; TP'!$A$3:$M$10005,MATCH(('Reg 85'!$X$6&amp;'Reg 85'!AH$10&amp;'Reg 85'!$B119),('DMR 001C TIN &amp; TP'!$E$3:$E$10005&amp;'DMR 001C TIN &amp; TP'!$B$3:$B$10005&amp;'DMR 001C TIN &amp; TP'!$A$3:$A$10005),0),MATCH('Reg 85'!$AG$11,'DMR 001C TIN &amp; TP'!$A$2:$M$2,0))),"")</f>
        <v/>
      </c>
      <c r="AI119" s="6" t="str">
        <f t="array" ref="AI119">_xlfn.IFNA((INDEX('DMR 001C TIN &amp; TP'!$A$3:$M$10005,MATCH(('Reg 85'!$X$6&amp;'Reg 85'!AI$10&amp;'Reg 85'!$B119),('DMR 001C TIN &amp; TP'!$E$3:$E$10005&amp;'DMR 001C TIN &amp; TP'!$B$3:$B$10005&amp;'DMR 001C TIN &amp; TP'!$A$3:$A$10005),0),MATCH('Reg 85'!$AG$11,'DMR 001C TIN &amp; TP'!$A$2:$M$2,0))),"")</f>
        <v/>
      </c>
      <c r="AJ119" s="6" t="str">
        <f t="array" ref="AJ119">_xlfn.IFNA((INDEX('DMR 001C TIN &amp; TP'!$A$3:$M$10005,MATCH(('Reg 85'!$X$6&amp;'Reg 85'!AJ$10&amp;'Reg 85'!$B119),('DMR 001C TIN &amp; TP'!$E$3:$E$10005&amp;'DMR 001C TIN &amp; TP'!$B$3:$B$10005&amp;'DMR 001C TIN &amp; TP'!$A$3:$A$10005),0),MATCH('Reg 85'!$AG$11,'DMR 001C TIN &amp; TP'!$A$2:$M$2,0))),"")</f>
        <v/>
      </c>
      <c r="AK119" s="6" t="str">
        <f t="array" ref="AK119">_xlfn.IFNA((INDEX('DMR 001C TIN &amp; TP'!$A$3:$M$10005,MATCH(('Reg 85'!$X$6&amp;'Reg 85'!AK$10&amp;'Reg 85'!$B119),('DMR 001C TIN &amp; TP'!$E$3:$E$10005&amp;'DMR 001C TIN &amp; TP'!$B$3:$B$10005&amp;'DMR 001C TIN &amp; TP'!$A$3:$A$10005),0),MATCH('Reg 85'!$AG$11,'DMR 001C TIN &amp; TP'!$A$2:$M$2,0))),"")</f>
        <v/>
      </c>
      <c r="AL119" s="6" t="str">
        <f t="array" ref="AL119">_xlfn.IFNA((INDEX('DMR 001C TIN &amp; TP'!$A$3:$M$10005,MATCH(('Reg 85'!$X$6&amp;'Reg 85'!AL$10&amp;'Reg 85'!$B119),('DMR 001C TIN &amp; TP'!$E$3:$E$10005&amp;'DMR 001C TIN &amp; TP'!$B$3:$B$10005&amp;'DMR 001C TIN &amp; TP'!$A$3:$A$10005),0),MATCH('Reg 85'!$AG$11,'DMR 001C TIN &amp; TP'!$A$2:$M$2,0))),"")</f>
        <v/>
      </c>
      <c r="AM119" s="76"/>
      <c r="AN119" s="6"/>
      <c r="AO119" s="54">
        <f t="shared" si="41"/>
        <v>5.7838680508296312</v>
      </c>
      <c r="AP119" s="77" t="str">
        <f t="shared" si="60"/>
        <v/>
      </c>
      <c r="AQ119" s="47"/>
      <c r="AR119" s="6" t="str">
        <f t="array" ref="AR119">_xlfn.IFNA((INDEX('DMR 001C TIN &amp; TP'!$A$3:$M$10005,MATCH(('Reg 85'!$AQ$6&amp;'Reg 85'!$AQ$10&amp;'Reg 85'!$B119),('DMR 001C TIN &amp; TP'!$E$3:$E$10005&amp;'DMR 001C TIN &amp; TP'!$B$3:$B$10005&amp;'DMR 001C TIN &amp; TP'!$A$3:$A$10005),0),MATCH('Reg 85'!$AR$11,'DMR 001C TIN &amp; TP'!$A$2:$M$2,0))),"")</f>
        <v/>
      </c>
      <c r="AS119" s="6" t="str">
        <f t="array" ref="AS119">_xlfn.IFNA((INDEX('DMR 001C TIN &amp; TP'!$A$3:$M$10005,MATCH(('Reg 85'!$AQ$6&amp;'Reg 85'!$AQ$10&amp;'Reg 85'!$B119),('DMR 001C TIN &amp; TP'!$E$3:$E$10005&amp;'DMR 001C TIN &amp; TP'!$B$3:$B$10005&amp;'DMR 001C TIN &amp; TP'!$A$3:$A$10005),0),MATCH('Reg 85'!$AS$11,'DMR 001C TIN &amp; TP'!$A$2:$M$2,0))),"")</f>
        <v/>
      </c>
      <c r="AT119" s="53" t="str">
        <f t="shared" si="55"/>
        <v/>
      </c>
      <c r="AV119" s="6" t="str">
        <f t="array" ref="AV119">_xlfn.IFNA((INDEX('DMR 001C TIN &amp; TP'!$A$3:$M$10005,MATCH(('Reg 85'!$AQ$6&amp;'Reg 85'!$AU$10&amp;'Reg 85'!$B119),('DMR 001C TIN &amp; TP'!$E$3:$E$10005&amp;'DMR 001C TIN &amp; TP'!$B$3:$B$10005&amp;'DMR 001C TIN &amp; TP'!$A$3:$A$10005),0),MATCH('Reg 85'!$AV$11,'DMR 001C TIN &amp; TP'!$A$2:$M$2,0))),"")</f>
        <v/>
      </c>
      <c r="AW119" s="6" t="str">
        <f t="array" ref="AW119">_xlfn.IFNA((INDEX('DMR 001C TIN &amp; TP'!$A$3:$M$10005,MATCH(('Reg 85'!$AQ$6&amp;'Reg 85'!$AU$10&amp;'Reg 85'!$B119),('DMR 001C TIN &amp; TP'!$E$3:$E$10005&amp;'DMR 001C TIN &amp; TP'!$B$3:$B$10005&amp;'DMR 001C TIN &amp; TP'!$A$3:$A$10005),0),MATCH('Reg 85'!$AW$11,'DMR 001C TIN &amp; TP'!$A$2:$M$2,0))),"")</f>
        <v/>
      </c>
      <c r="AX119" s="53" t="str">
        <f t="shared" si="56"/>
        <v/>
      </c>
      <c r="AY119" s="55" t="str">
        <f t="shared" si="57"/>
        <v/>
      </c>
      <c r="AZ119" s="77" t="str">
        <f t="shared" si="61"/>
        <v/>
      </c>
      <c r="BA119" s="6" t="str">
        <f t="array" ref="BA119">_xlfn.IFNA((INDEX('DMR 001C TIN &amp; TP'!$A$3:$M$10005,MATCH(('Reg 85'!$AQ$6&amp;'Reg 85'!BA$10&amp;'Reg 85'!$B119),('DMR 001C TIN &amp; TP'!$E$3:$E$10005&amp;'DMR 001C TIN &amp; TP'!$B$3:$B$10005&amp;'DMR 001C TIN &amp; TP'!$A$3:$A$10005),0),MATCH('Reg 85'!$AG$11,'DMR 001C TIN &amp; TP'!$A$2:$M$2,0))),"")</f>
        <v/>
      </c>
      <c r="BB119" s="6" t="str">
        <f t="array" ref="BB119">_xlfn.IFNA((INDEX('DMR 001C TIN &amp; TP'!$A$3:$M$10005,MATCH(('Reg 85'!$AQ$6&amp;'Reg 85'!BB$10&amp;'Reg 85'!$B119),('DMR 001C TIN &amp; TP'!$E$3:$E$10005&amp;'DMR 001C TIN &amp; TP'!$B$3:$B$10005&amp;'DMR 001C TIN &amp; TP'!$A$3:$A$10005),0),MATCH('Reg 85'!$AG$11,'DMR 001C TIN &amp; TP'!$A$2:$M$2,0))),"")</f>
        <v/>
      </c>
      <c r="BC119" s="6" t="str">
        <f t="array" ref="BC119">_xlfn.IFNA((INDEX('DMR 001C TIN &amp; TP'!$A$3:$M$10005,MATCH(('Reg 85'!$AQ$6&amp;'Reg 85'!BC$10&amp;'Reg 85'!$B119),('DMR 001C TIN &amp; TP'!$E$3:$E$10005&amp;'DMR 001C TIN &amp; TP'!$B$3:$B$10005&amp;'DMR 001C TIN &amp; TP'!$A$3:$A$10005),0),MATCH('Reg 85'!$AG$11,'DMR 001C TIN &amp; TP'!$A$2:$M$2,0))),"")</f>
        <v/>
      </c>
      <c r="BD119" s="6" t="str">
        <f t="array" ref="BD119">_xlfn.IFNA((INDEX('DMR 001C TIN &amp; TP'!$A$3:$M$10005,MATCH(('Reg 85'!$AQ$6&amp;'Reg 85'!BD$10&amp;'Reg 85'!$B119),('DMR 001C TIN &amp; TP'!$E$3:$E$10005&amp;'DMR 001C TIN &amp; TP'!$B$3:$B$10005&amp;'DMR 001C TIN &amp; TP'!$A$3:$A$10005),0),MATCH('Reg 85'!$AG$11,'DMR 001C TIN &amp; TP'!$A$2:$M$2,0))),"")</f>
        <v/>
      </c>
      <c r="BE119" s="6" t="str">
        <f t="array" ref="BE119">_xlfn.IFNA((INDEX('DMR 001C TIN &amp; TP'!$A$3:$M$10005,MATCH(('Reg 85'!$AQ$6&amp;'Reg 85'!BE$10&amp;'Reg 85'!$B119),('DMR 001C TIN &amp; TP'!$E$3:$E$10005&amp;'DMR 001C TIN &amp; TP'!$B$3:$B$10005&amp;'DMR 001C TIN &amp; TP'!$A$3:$A$10005),0),MATCH('Reg 85'!$AG$11,'DMR 001C TIN &amp; TP'!$A$2:$M$2,0))),"")</f>
        <v/>
      </c>
      <c r="BF119" s="6" t="str">
        <f t="array" ref="BF119">_xlfn.IFNA((INDEX('DMR 001C TIN &amp; TP'!$A$3:$M$10005,MATCH(('Reg 85'!$AQ$6&amp;'Reg 85'!BF$10&amp;'Reg 85'!$B119),('DMR 001C TIN &amp; TP'!$E$3:$E$10005&amp;'DMR 001C TIN &amp; TP'!$B$3:$B$10005&amp;'DMR 001C TIN &amp; TP'!$A$3:$A$10005),0),MATCH('Reg 85'!$AG$11,'DMR 001C TIN &amp; TP'!$A$2:$M$2,0))),"")</f>
        <v/>
      </c>
    </row>
    <row r="120" spans="1:58">
      <c r="A120" s="3" t="str">
        <f t="shared" si="42"/>
        <v>Tue</v>
      </c>
      <c r="B120" s="96">
        <f t="shared" si="58"/>
        <v>43452</v>
      </c>
      <c r="C120" s="96">
        <f t="shared" si="43"/>
        <v>43465</v>
      </c>
      <c r="D120" s="96">
        <f t="shared" si="44"/>
        <v>43435</v>
      </c>
      <c r="E120" s="95">
        <f t="shared" si="45"/>
        <v>31</v>
      </c>
      <c r="F120" s="7">
        <f t="array" ref="F120">_xlfn.IFNA(INDEX('DMR Flows-Effluent'!$A$3:$F$9999,MATCH(($F$10&amp;$B120),('DMR Flows-Effluent'!$B$3:$B$9999&amp;'DMR Flows-Effluent'!$A$3:$A$9999),0),MATCH($F$8,'DMR Flows-Effluent'!$A$2:$F$2,0)),"")</f>
        <v>46.738900000000001</v>
      </c>
      <c r="G120" s="7">
        <f t="array" ref="G120">_xlfn.IFNA(INDEX('DMR Flows-Effluent'!$A$3:$F$9999,MATCH(($G$10&amp;$B120),('DMR Flows-Effluent'!$B$3:$B$9999&amp;'DMR Flows-Effluent'!$A$3:$A$9999),0),MATCH($F$8,'DMR Flows-Effluent'!$A$2:$F$2,0)),"")</f>
        <v>72.768600000000006</v>
      </c>
      <c r="H120" s="7">
        <f t="shared" si="46"/>
        <v>119.50750000000001</v>
      </c>
      <c r="I120" s="45" t="str">
        <f t="shared" si="47"/>
        <v/>
      </c>
      <c r="J120" s="6" t="str">
        <f t="array" ref="J120">_xlfn.IFNA((INDEX('DMR 001C TIN &amp; TP'!$A$3:$M$10005,MATCH(('Reg 85'!$I$6:$Q$6&amp;'Reg 85'!$I$10:$K$10&amp;'Reg 85'!$B120),('DMR 001C TIN &amp; TP'!$E$3:$E$10005&amp;'DMR 001C TIN &amp; TP'!$B$3:$B$10005&amp;'DMR 001C TIN &amp; TP'!$A$3:$A$10005),0),MATCH('Reg 85'!$J$11,'DMR 001C TIN &amp; TP'!$A$2:$M$2,0))),"")</f>
        <v>0.15</v>
      </c>
      <c r="K120" s="6">
        <f t="array" ref="K120">_xlfn.IFNA((INDEX('DMR 001C TIN &amp; TP'!$A$3:$M$10005,MATCH(('Reg 85'!$I$6:$Q$6&amp;'Reg 85'!$I$10:$K$10&amp;'Reg 85'!$B120),('DMR 001C TIN &amp; TP'!$E$3:$E$10005&amp;'DMR 001C TIN &amp; TP'!$B$3:$B$10005&amp;'DMR 001C TIN &amp; TP'!$A$3:$A$10005),0),MATCH('Reg 85'!$K$11,'DMR 001C TIN &amp; TP'!$A$2:$M$2,0))),"")</f>
        <v>0.33</v>
      </c>
      <c r="L120" s="53">
        <f t="shared" si="59"/>
        <v>0.33</v>
      </c>
      <c r="M120" s="5" t="str">
        <f t="shared" si="48"/>
        <v>&lt;</v>
      </c>
      <c r="N120" s="6" t="str">
        <f t="array" ref="N120">_xlfn.IFNA((INDEX('DMR 001C TIN &amp; TP'!$A$3:$M$10005,MATCH(('Reg 85'!$I$6:$Q$6&amp;'Reg 85'!$M$10&amp;'Reg 85'!$B120),('DMR 001C TIN &amp; TP'!$E$3:$E$10005&amp;'DMR 001C TIN &amp; TP'!$B$3:$B$10005&amp;'DMR 001C TIN &amp; TP'!$A$3:$A$10005),0),MATCH('Reg 85'!$N$11,'DMR 001C TIN &amp; TP'!$A$2:$M$2,0))),"")</f>
        <v>0.15</v>
      </c>
      <c r="O120" s="6">
        <f t="array" ref="O120">_xlfn.IFNA((INDEX('DMR 001C TIN &amp; TP'!$A$3:$M$10005,MATCH(('Reg 85'!$I$6:$Q$6&amp;'Reg 85'!$M$10&amp;'Reg 85'!$B120),('DMR 001C TIN &amp; TP'!$E$3:$E$10005&amp;'DMR 001C TIN &amp; TP'!$B$3:$B$10005&amp;'DMR 001C TIN &amp; TP'!$A$3:$A$10005),0),MATCH('Reg 85'!$O$11,'DMR 001C TIN &amp; TP'!$A$2:$M$2,0))),"")</f>
        <v>0.06</v>
      </c>
      <c r="P120" s="53">
        <f t="shared" si="49"/>
        <v>0</v>
      </c>
      <c r="Q120" s="73">
        <f t="array" ref="Q120">IFERROR(((L120*$F120)+(P120*$G120))/($H120),"")</f>
        <v>0.12906166558584189</v>
      </c>
      <c r="R120" s="6" t="str">
        <f t="array" ref="R120">_xlfn.IFNA((INDEX('DMR 001C TIN &amp; TP'!$A$3:$M$10005,MATCH(('Reg 85'!$I$6:$Q$6&amp;'Reg 85'!R$10&amp;'Reg 85'!$B120),('DMR 001C TIN &amp; TP'!$E$3:$E$10005&amp;'DMR 001C TIN &amp; TP'!$B$3:$B$10005&amp;'DMR 001C TIN &amp; TP'!$A$3:$A$10005),0),MATCH('Reg 85'!$O$11,'DMR 001C TIN &amp; TP'!$A$2:$M$2,0))),"")</f>
        <v/>
      </c>
      <c r="S120" s="6" t="str">
        <f t="array" ref="S120">_xlfn.IFNA((INDEX('DMR 001C TIN &amp; TP'!$A$3:$M$10005,MATCH(('Reg 85'!$I$6:$Q$6&amp;'Reg 85'!S$10&amp;'Reg 85'!$B120),('DMR 001C TIN &amp; TP'!$E$3:$E$10005&amp;'DMR 001C TIN &amp; TP'!$B$3:$B$10005&amp;'DMR 001C TIN &amp; TP'!$A$3:$A$10005),0),MATCH('Reg 85'!$O$11,'DMR 001C TIN &amp; TP'!$A$2:$M$2,0))),"")</f>
        <v/>
      </c>
      <c r="T120" s="6" t="str">
        <f t="array" ref="T120">_xlfn.IFNA((INDEX('DMR 001C TIN &amp; TP'!$A$3:$M$10005,MATCH(('Reg 85'!$I$6:$Q$6&amp;'Reg 85'!T$10&amp;'Reg 85'!$B120),('DMR 001C TIN &amp; TP'!$E$3:$E$10005&amp;'DMR 001C TIN &amp; TP'!$B$3:$B$10005&amp;'DMR 001C TIN &amp; TP'!$A$3:$A$10005),0),MATCH('Reg 85'!$O$11,'DMR 001C TIN &amp; TP'!$A$2:$M$2,0))),"")</f>
        <v/>
      </c>
      <c r="U120" s="6" t="str">
        <f t="array" ref="U120">_xlfn.IFNA((INDEX('DMR 001C TIN &amp; TP'!$A$3:$M$10005,MATCH(('Reg 85'!$I$6:$Q$6&amp;'Reg 85'!U$10&amp;'Reg 85'!$B120),('DMR 001C TIN &amp; TP'!$E$3:$E$10005&amp;'DMR 001C TIN &amp; TP'!$B$3:$B$10005&amp;'DMR 001C TIN &amp; TP'!$A$3:$A$10005),0),MATCH('Reg 85'!$O$11,'DMR 001C TIN &amp; TP'!$A$2:$M$2,0))),"")</f>
        <v/>
      </c>
      <c r="V120" s="6" t="str">
        <f t="array" ref="V120">_xlfn.IFNA((INDEX('DMR 001C TIN &amp; TP'!$A$3:$M$10005,MATCH(('Reg 85'!$I$6:$Q$6&amp;'Reg 85'!V$10&amp;'Reg 85'!$B120),('DMR 001C TIN &amp; TP'!$E$3:$E$10005&amp;'DMR 001C TIN &amp; TP'!$B$3:$B$10005&amp;'DMR 001C TIN &amp; TP'!$A$3:$A$10005),0),MATCH('Reg 85'!$O$11,'DMR 001C TIN &amp; TP'!$A$2:$M$2,0))),"")</f>
        <v/>
      </c>
      <c r="W120" s="6" t="str">
        <f t="array" ref="W120">_xlfn.IFNA((INDEX('DMR 001C TIN &amp; TP'!$A$3:$M$10005,MATCH(('Reg 85'!$I$6:$Q$6&amp;'Reg 85'!W$10&amp;'Reg 85'!$B120),('DMR 001C TIN &amp; TP'!$E$3:$E$10005&amp;'DMR 001C TIN &amp; TP'!$B$3:$B$10005&amp;'DMR 001C TIN &amp; TP'!$A$3:$A$10005),0),MATCH('Reg 85'!$O$11,'DMR 001C TIN &amp; TP'!$A$2:$M$2,0))),"")</f>
        <v/>
      </c>
      <c r="X120" s="5" t="str">
        <f t="shared" si="50"/>
        <v/>
      </c>
      <c r="Y120" s="6" t="str">
        <f t="array" ref="Y120">_xlfn.IFNA((INDEX('DMR 001C TIN &amp; TP'!$A$3:$M$10005,MATCH(('Reg 85'!$X$6&amp;'Reg 85'!$X$10&amp;'Reg 85'!$B120),('DMR 001C TIN &amp; TP'!$E$3:$E$10005&amp;'DMR 001C TIN &amp; TP'!$B$3:$B$10005&amp;'DMR 001C TIN &amp; TP'!$A$3:$A$10005),0),MATCH('Reg 85'!$Y$11,'DMR 001C TIN &amp; TP'!$A$2:$M$2,0))),"")</f>
        <v>0.06</v>
      </c>
      <c r="Z120" s="6">
        <f t="array" ref="Z120">_xlfn.IFNA((INDEX('DMR 001C TIN &amp; TP'!$A$3:$M$10005,MATCH(('Reg 85'!$X$6&amp;'Reg 85'!$X$10&amp;'Reg 85'!$B120),('DMR 001C TIN &amp; TP'!$E$3:$E$10005&amp;'DMR 001C TIN &amp; TP'!$B$3:$B$10005&amp;'DMR 001C TIN &amp; TP'!$A$3:$A$10005),0),MATCH('Reg 85'!$Z$11,'DMR 001C TIN &amp; TP'!$A$2:$M$2,0))),"")</f>
        <v>5.01</v>
      </c>
      <c r="AA120" s="53">
        <f t="shared" si="51"/>
        <v>5.01</v>
      </c>
      <c r="AB120" s="5" t="str">
        <f t="shared" si="52"/>
        <v/>
      </c>
      <c r="AC120" s="6" t="str">
        <f t="array" ref="AC120">_xlfn.IFNA((INDEX('DMR 001C TIN &amp; TP'!$A$3:$M$10005,MATCH(('Reg 85'!$X$6&amp;'Reg 85'!$AB$10&amp;'Reg 85'!$B120),('DMR 001C TIN &amp; TP'!$E$3:$E$10005&amp;'DMR 001C TIN &amp; TP'!$B$3:$B$10005&amp;'DMR 001C TIN &amp; TP'!$A$3:$A$10005),0),MATCH('Reg 85'!$AC$11,'DMR 001C TIN &amp; TP'!$A$2:$M$2,0))),"")</f>
        <v>0.06</v>
      </c>
      <c r="AD120" s="6">
        <f t="array" ref="AD120">_xlfn.IFNA((INDEX('DMR 001C TIN &amp; TP'!$A$3:$M$10005,MATCH(('Reg 85'!$X$6&amp;'Reg 85'!$AB$10&amp;'Reg 85'!$B120),('DMR 001C TIN &amp; TP'!$E$3:$E$10005&amp;'DMR 001C TIN &amp; TP'!$B$3:$B$10005&amp;'DMR 001C TIN &amp; TP'!$A$3:$A$10005),0),MATCH('Reg 85'!$AD$11,'DMR 001C TIN &amp; TP'!$A$2:$M$2,0))),"")</f>
        <v>5.79</v>
      </c>
      <c r="AE120" s="53">
        <f t="shared" si="53"/>
        <v>5.79</v>
      </c>
      <c r="AF120" s="7">
        <f t="shared" si="54"/>
        <v>5.4849451540698286</v>
      </c>
      <c r="AG120" s="6" t="str">
        <f t="array" ref="AG120">_xlfn.IFNA((INDEX('DMR 001C TIN &amp; TP'!$A$3:$M$10005,MATCH(('Reg 85'!$X$6&amp;'Reg 85'!AG$10&amp;'Reg 85'!$B120),('DMR 001C TIN &amp; TP'!$E$3:$E$10005&amp;'DMR 001C TIN &amp; TP'!$B$3:$B$10005&amp;'DMR 001C TIN &amp; TP'!$A$3:$A$10005),0),MATCH('Reg 85'!$AG$11,'DMR 001C TIN &amp; TP'!$A$2:$M$2,0))),"")</f>
        <v/>
      </c>
      <c r="AH120" s="6" t="str">
        <f t="array" ref="AH120">_xlfn.IFNA((INDEX('DMR 001C TIN &amp; TP'!$A$3:$M$10005,MATCH(('Reg 85'!$X$6&amp;'Reg 85'!AH$10&amp;'Reg 85'!$B120),('DMR 001C TIN &amp; TP'!$E$3:$E$10005&amp;'DMR 001C TIN &amp; TP'!$B$3:$B$10005&amp;'DMR 001C TIN &amp; TP'!$A$3:$A$10005),0),MATCH('Reg 85'!$AG$11,'DMR 001C TIN &amp; TP'!$A$2:$M$2,0))),"")</f>
        <v/>
      </c>
      <c r="AI120" s="6" t="str">
        <f t="array" ref="AI120">_xlfn.IFNA((INDEX('DMR 001C TIN &amp; TP'!$A$3:$M$10005,MATCH(('Reg 85'!$X$6&amp;'Reg 85'!AI$10&amp;'Reg 85'!$B120),('DMR 001C TIN &amp; TP'!$E$3:$E$10005&amp;'DMR 001C TIN &amp; TP'!$B$3:$B$10005&amp;'DMR 001C TIN &amp; TP'!$A$3:$A$10005),0),MATCH('Reg 85'!$AG$11,'DMR 001C TIN &amp; TP'!$A$2:$M$2,0))),"")</f>
        <v/>
      </c>
      <c r="AJ120" s="6" t="str">
        <f t="array" ref="AJ120">_xlfn.IFNA((INDEX('DMR 001C TIN &amp; TP'!$A$3:$M$10005,MATCH(('Reg 85'!$X$6&amp;'Reg 85'!AJ$10&amp;'Reg 85'!$B120),('DMR 001C TIN &amp; TP'!$E$3:$E$10005&amp;'DMR 001C TIN &amp; TP'!$B$3:$B$10005&amp;'DMR 001C TIN &amp; TP'!$A$3:$A$10005),0),MATCH('Reg 85'!$AG$11,'DMR 001C TIN &amp; TP'!$A$2:$M$2,0))),"")</f>
        <v/>
      </c>
      <c r="AK120" s="6" t="str">
        <f t="array" ref="AK120">_xlfn.IFNA((INDEX('DMR 001C TIN &amp; TP'!$A$3:$M$10005,MATCH(('Reg 85'!$X$6&amp;'Reg 85'!AK$10&amp;'Reg 85'!$B120),('DMR 001C TIN &amp; TP'!$E$3:$E$10005&amp;'DMR 001C TIN &amp; TP'!$B$3:$B$10005&amp;'DMR 001C TIN &amp; TP'!$A$3:$A$10005),0),MATCH('Reg 85'!$AG$11,'DMR 001C TIN &amp; TP'!$A$2:$M$2,0))),"")</f>
        <v/>
      </c>
      <c r="AL120" s="6" t="str">
        <f t="array" ref="AL120">_xlfn.IFNA((INDEX('DMR 001C TIN &amp; TP'!$A$3:$M$10005,MATCH(('Reg 85'!$X$6&amp;'Reg 85'!AL$10&amp;'Reg 85'!$B120),('DMR 001C TIN &amp; TP'!$E$3:$E$10005&amp;'DMR 001C TIN &amp; TP'!$B$3:$B$10005&amp;'DMR 001C TIN &amp; TP'!$A$3:$A$10005),0),MATCH('Reg 85'!$AG$11,'DMR 001C TIN &amp; TP'!$A$2:$M$2,0))),"")</f>
        <v/>
      </c>
      <c r="AM120" s="76"/>
      <c r="AN120" s="6"/>
      <c r="AO120" s="54">
        <f t="shared" si="41"/>
        <v>5.6140068196556703</v>
      </c>
      <c r="AP120" s="77" t="str">
        <f t="shared" si="60"/>
        <v/>
      </c>
      <c r="AQ120" s="47"/>
      <c r="AR120" s="6" t="str">
        <f t="array" ref="AR120">_xlfn.IFNA((INDEX('DMR 001C TIN &amp; TP'!$A$3:$M$10005,MATCH(('Reg 85'!$AQ$6&amp;'Reg 85'!$AQ$10&amp;'Reg 85'!$B120),('DMR 001C TIN &amp; TP'!$E$3:$E$10005&amp;'DMR 001C TIN &amp; TP'!$B$3:$B$10005&amp;'DMR 001C TIN &amp; TP'!$A$3:$A$10005),0),MATCH('Reg 85'!$AR$11,'DMR 001C TIN &amp; TP'!$A$2:$M$2,0))),"")</f>
        <v/>
      </c>
      <c r="AS120" s="6" t="str">
        <f t="array" ref="AS120">_xlfn.IFNA((INDEX('DMR 001C TIN &amp; TP'!$A$3:$M$10005,MATCH(('Reg 85'!$AQ$6&amp;'Reg 85'!$AQ$10&amp;'Reg 85'!$B120),('DMR 001C TIN &amp; TP'!$E$3:$E$10005&amp;'DMR 001C TIN &amp; TP'!$B$3:$B$10005&amp;'DMR 001C TIN &amp; TP'!$A$3:$A$10005),0),MATCH('Reg 85'!$AS$11,'DMR 001C TIN &amp; TP'!$A$2:$M$2,0))),"")</f>
        <v/>
      </c>
      <c r="AT120" s="53" t="str">
        <f t="shared" si="55"/>
        <v/>
      </c>
      <c r="AV120" s="6" t="str">
        <f t="array" ref="AV120">_xlfn.IFNA((INDEX('DMR 001C TIN &amp; TP'!$A$3:$M$10005,MATCH(('Reg 85'!$AQ$6&amp;'Reg 85'!$AU$10&amp;'Reg 85'!$B120),('DMR 001C TIN &amp; TP'!$E$3:$E$10005&amp;'DMR 001C TIN &amp; TP'!$B$3:$B$10005&amp;'DMR 001C TIN &amp; TP'!$A$3:$A$10005),0),MATCH('Reg 85'!$AV$11,'DMR 001C TIN &amp; TP'!$A$2:$M$2,0))),"")</f>
        <v/>
      </c>
      <c r="AW120" s="6" t="str">
        <f t="array" ref="AW120">_xlfn.IFNA((INDEX('DMR 001C TIN &amp; TP'!$A$3:$M$10005,MATCH(('Reg 85'!$AQ$6&amp;'Reg 85'!$AU$10&amp;'Reg 85'!$B120),('DMR 001C TIN &amp; TP'!$E$3:$E$10005&amp;'DMR 001C TIN &amp; TP'!$B$3:$B$10005&amp;'DMR 001C TIN &amp; TP'!$A$3:$A$10005),0),MATCH('Reg 85'!$AW$11,'DMR 001C TIN &amp; TP'!$A$2:$M$2,0))),"")</f>
        <v/>
      </c>
      <c r="AX120" s="53" t="str">
        <f t="shared" si="56"/>
        <v/>
      </c>
      <c r="AY120" s="55" t="str">
        <f t="shared" si="57"/>
        <v/>
      </c>
      <c r="AZ120" s="77" t="str">
        <f t="shared" si="61"/>
        <v/>
      </c>
      <c r="BA120" s="6" t="str">
        <f t="array" ref="BA120">_xlfn.IFNA((INDEX('DMR 001C TIN &amp; TP'!$A$3:$M$10005,MATCH(('Reg 85'!$AQ$6&amp;'Reg 85'!BA$10&amp;'Reg 85'!$B120),('DMR 001C TIN &amp; TP'!$E$3:$E$10005&amp;'DMR 001C TIN &amp; TP'!$B$3:$B$10005&amp;'DMR 001C TIN &amp; TP'!$A$3:$A$10005),0),MATCH('Reg 85'!$AG$11,'DMR 001C TIN &amp; TP'!$A$2:$M$2,0))),"")</f>
        <v/>
      </c>
      <c r="BB120" s="6" t="str">
        <f t="array" ref="BB120">_xlfn.IFNA((INDEX('DMR 001C TIN &amp; TP'!$A$3:$M$10005,MATCH(('Reg 85'!$AQ$6&amp;'Reg 85'!BB$10&amp;'Reg 85'!$B120),('DMR 001C TIN &amp; TP'!$E$3:$E$10005&amp;'DMR 001C TIN &amp; TP'!$B$3:$B$10005&amp;'DMR 001C TIN &amp; TP'!$A$3:$A$10005),0),MATCH('Reg 85'!$AG$11,'DMR 001C TIN &amp; TP'!$A$2:$M$2,0))),"")</f>
        <v/>
      </c>
      <c r="BC120" s="6" t="str">
        <f t="array" ref="BC120">_xlfn.IFNA((INDEX('DMR 001C TIN &amp; TP'!$A$3:$M$10005,MATCH(('Reg 85'!$AQ$6&amp;'Reg 85'!BC$10&amp;'Reg 85'!$B120),('DMR 001C TIN &amp; TP'!$E$3:$E$10005&amp;'DMR 001C TIN &amp; TP'!$B$3:$B$10005&amp;'DMR 001C TIN &amp; TP'!$A$3:$A$10005),0),MATCH('Reg 85'!$AG$11,'DMR 001C TIN &amp; TP'!$A$2:$M$2,0))),"")</f>
        <v/>
      </c>
      <c r="BD120" s="6" t="str">
        <f t="array" ref="BD120">_xlfn.IFNA((INDEX('DMR 001C TIN &amp; TP'!$A$3:$M$10005,MATCH(('Reg 85'!$AQ$6&amp;'Reg 85'!BD$10&amp;'Reg 85'!$B120),('DMR 001C TIN &amp; TP'!$E$3:$E$10005&amp;'DMR 001C TIN &amp; TP'!$B$3:$B$10005&amp;'DMR 001C TIN &amp; TP'!$A$3:$A$10005),0),MATCH('Reg 85'!$AG$11,'DMR 001C TIN &amp; TP'!$A$2:$M$2,0))),"")</f>
        <v/>
      </c>
      <c r="BE120" s="6" t="str">
        <f t="array" ref="BE120">_xlfn.IFNA((INDEX('DMR 001C TIN &amp; TP'!$A$3:$M$10005,MATCH(('Reg 85'!$AQ$6&amp;'Reg 85'!BE$10&amp;'Reg 85'!$B120),('DMR 001C TIN &amp; TP'!$E$3:$E$10005&amp;'DMR 001C TIN &amp; TP'!$B$3:$B$10005&amp;'DMR 001C TIN &amp; TP'!$A$3:$A$10005),0),MATCH('Reg 85'!$AG$11,'DMR 001C TIN &amp; TP'!$A$2:$M$2,0))),"")</f>
        <v/>
      </c>
      <c r="BF120" s="6" t="str">
        <f t="array" ref="BF120">_xlfn.IFNA((INDEX('DMR 001C TIN &amp; TP'!$A$3:$M$10005,MATCH(('Reg 85'!$AQ$6&amp;'Reg 85'!BF$10&amp;'Reg 85'!$B120),('DMR 001C TIN &amp; TP'!$E$3:$E$10005&amp;'DMR 001C TIN &amp; TP'!$B$3:$B$10005&amp;'DMR 001C TIN &amp; TP'!$A$3:$A$10005),0),MATCH('Reg 85'!$AG$11,'DMR 001C TIN &amp; TP'!$A$2:$M$2,0))),"")</f>
        <v/>
      </c>
    </row>
    <row r="121" spans="1:58">
      <c r="A121" s="3" t="str">
        <f t="shared" si="42"/>
        <v>Wed</v>
      </c>
      <c r="B121" s="96">
        <f t="shared" si="58"/>
        <v>43453</v>
      </c>
      <c r="C121" s="96">
        <f t="shared" si="43"/>
        <v>43465</v>
      </c>
      <c r="D121" s="96">
        <f t="shared" si="44"/>
        <v>43435</v>
      </c>
      <c r="E121" s="95">
        <f t="shared" si="45"/>
        <v>31</v>
      </c>
      <c r="F121" s="7">
        <f t="array" ref="F121">_xlfn.IFNA(INDEX('DMR Flows-Effluent'!$A$3:$F$9999,MATCH(($F$10&amp;$B121),('DMR Flows-Effluent'!$B$3:$B$9999&amp;'DMR Flows-Effluent'!$A$3:$A$9999),0),MATCH($F$8,'DMR Flows-Effluent'!$A$2:$F$2,0)),"")</f>
        <v>49.144500000000001</v>
      </c>
      <c r="G121" s="7">
        <f t="array" ref="G121">_xlfn.IFNA(INDEX('DMR Flows-Effluent'!$A$3:$F$9999,MATCH(($G$10&amp;$B121),('DMR Flows-Effluent'!$B$3:$B$9999&amp;'DMR Flows-Effluent'!$A$3:$A$9999),0),MATCH($F$8,'DMR Flows-Effluent'!$A$2:$F$2,0)),"")</f>
        <v>70.366299999999995</v>
      </c>
      <c r="H121" s="7">
        <f t="shared" si="46"/>
        <v>119.51079999999999</v>
      </c>
      <c r="I121" s="45" t="str">
        <f t="shared" si="47"/>
        <v/>
      </c>
      <c r="J121" s="6" t="str">
        <f t="array" ref="J121">_xlfn.IFNA((INDEX('DMR 001C TIN &amp; TP'!$A$3:$M$10005,MATCH(('Reg 85'!$I$6:$Q$6&amp;'Reg 85'!$I$10:$K$10&amp;'Reg 85'!$B121),('DMR 001C TIN &amp; TP'!$E$3:$E$10005&amp;'DMR 001C TIN &amp; TP'!$B$3:$B$10005&amp;'DMR 001C TIN &amp; TP'!$A$3:$A$10005),0),MATCH('Reg 85'!$J$11,'DMR 001C TIN &amp; TP'!$A$2:$M$2,0))),"")</f>
        <v>0.15</v>
      </c>
      <c r="K121" s="6">
        <f t="array" ref="K121">_xlfn.IFNA((INDEX('DMR 001C TIN &amp; TP'!$A$3:$M$10005,MATCH(('Reg 85'!$I$6:$Q$6&amp;'Reg 85'!$I$10:$K$10&amp;'Reg 85'!$B121),('DMR 001C TIN &amp; TP'!$E$3:$E$10005&amp;'DMR 001C TIN &amp; TP'!$B$3:$B$10005&amp;'DMR 001C TIN &amp; TP'!$A$3:$A$10005),0),MATCH('Reg 85'!$K$11,'DMR 001C TIN &amp; TP'!$A$2:$M$2,0))),"")</f>
        <v>0.68</v>
      </c>
      <c r="L121" s="53">
        <f t="shared" si="59"/>
        <v>0.68</v>
      </c>
      <c r="M121" s="5" t="str">
        <f t="shared" si="48"/>
        <v>&lt;</v>
      </c>
      <c r="N121" s="6" t="str">
        <f t="array" ref="N121">_xlfn.IFNA((INDEX('DMR 001C TIN &amp; TP'!$A$3:$M$10005,MATCH(('Reg 85'!$I$6:$Q$6&amp;'Reg 85'!$M$10&amp;'Reg 85'!$B121),('DMR 001C TIN &amp; TP'!$E$3:$E$10005&amp;'DMR 001C TIN &amp; TP'!$B$3:$B$10005&amp;'DMR 001C TIN &amp; TP'!$A$3:$A$10005),0),MATCH('Reg 85'!$N$11,'DMR 001C TIN &amp; TP'!$A$2:$M$2,0))),"")</f>
        <v>0.15</v>
      </c>
      <c r="O121" s="6">
        <f t="array" ref="O121">_xlfn.IFNA((INDEX('DMR 001C TIN &amp; TP'!$A$3:$M$10005,MATCH(('Reg 85'!$I$6:$Q$6&amp;'Reg 85'!$M$10&amp;'Reg 85'!$B121),('DMR 001C TIN &amp; TP'!$E$3:$E$10005&amp;'DMR 001C TIN &amp; TP'!$B$3:$B$10005&amp;'DMR 001C TIN &amp; TP'!$A$3:$A$10005),0),MATCH('Reg 85'!$O$11,'DMR 001C TIN &amp; TP'!$A$2:$M$2,0))),"")</f>
        <v>0.08</v>
      </c>
      <c r="P121" s="53">
        <f t="shared" si="49"/>
        <v>0</v>
      </c>
      <c r="Q121" s="73">
        <f t="array" ref="Q121">IFERROR(((L121*$F121)+(P121*$G121))/($H121),"")</f>
        <v>0.27962543970921461</v>
      </c>
      <c r="R121" s="6" t="str">
        <f t="array" ref="R121">_xlfn.IFNA((INDEX('DMR 001C TIN &amp; TP'!$A$3:$M$10005,MATCH(('Reg 85'!$I$6:$Q$6&amp;'Reg 85'!R$10&amp;'Reg 85'!$B121),('DMR 001C TIN &amp; TP'!$E$3:$E$10005&amp;'DMR 001C TIN &amp; TP'!$B$3:$B$10005&amp;'DMR 001C TIN &amp; TP'!$A$3:$A$10005),0),MATCH('Reg 85'!$O$11,'DMR 001C TIN &amp; TP'!$A$2:$M$2,0))),"")</f>
        <v/>
      </c>
      <c r="S121" s="6" t="str">
        <f t="array" ref="S121">_xlfn.IFNA((INDEX('DMR 001C TIN &amp; TP'!$A$3:$M$10005,MATCH(('Reg 85'!$I$6:$Q$6&amp;'Reg 85'!S$10&amp;'Reg 85'!$B121),('DMR 001C TIN &amp; TP'!$E$3:$E$10005&amp;'DMR 001C TIN &amp; TP'!$B$3:$B$10005&amp;'DMR 001C TIN &amp; TP'!$A$3:$A$10005),0),MATCH('Reg 85'!$O$11,'DMR 001C TIN &amp; TP'!$A$2:$M$2,0))),"")</f>
        <v/>
      </c>
      <c r="T121" s="6" t="str">
        <f t="array" ref="T121">_xlfn.IFNA((INDEX('DMR 001C TIN &amp; TP'!$A$3:$M$10005,MATCH(('Reg 85'!$I$6:$Q$6&amp;'Reg 85'!T$10&amp;'Reg 85'!$B121),('DMR 001C TIN &amp; TP'!$E$3:$E$10005&amp;'DMR 001C TIN &amp; TP'!$B$3:$B$10005&amp;'DMR 001C TIN &amp; TP'!$A$3:$A$10005),0),MATCH('Reg 85'!$O$11,'DMR 001C TIN &amp; TP'!$A$2:$M$2,0))),"")</f>
        <v/>
      </c>
      <c r="U121" s="6" t="str">
        <f t="array" ref="U121">_xlfn.IFNA((INDEX('DMR 001C TIN &amp; TP'!$A$3:$M$10005,MATCH(('Reg 85'!$I$6:$Q$6&amp;'Reg 85'!U$10&amp;'Reg 85'!$B121),('DMR 001C TIN &amp; TP'!$E$3:$E$10005&amp;'DMR 001C TIN &amp; TP'!$B$3:$B$10005&amp;'DMR 001C TIN &amp; TP'!$A$3:$A$10005),0),MATCH('Reg 85'!$O$11,'DMR 001C TIN &amp; TP'!$A$2:$M$2,0))),"")</f>
        <v/>
      </c>
      <c r="V121" s="6" t="str">
        <f t="array" ref="V121">_xlfn.IFNA((INDEX('DMR 001C TIN &amp; TP'!$A$3:$M$10005,MATCH(('Reg 85'!$I$6:$Q$6&amp;'Reg 85'!V$10&amp;'Reg 85'!$B121),('DMR 001C TIN &amp; TP'!$E$3:$E$10005&amp;'DMR 001C TIN &amp; TP'!$B$3:$B$10005&amp;'DMR 001C TIN &amp; TP'!$A$3:$A$10005),0),MATCH('Reg 85'!$O$11,'DMR 001C TIN &amp; TP'!$A$2:$M$2,0))),"")</f>
        <v/>
      </c>
      <c r="W121" s="6" t="str">
        <f t="array" ref="W121">_xlfn.IFNA((INDEX('DMR 001C TIN &amp; TP'!$A$3:$M$10005,MATCH(('Reg 85'!$I$6:$Q$6&amp;'Reg 85'!W$10&amp;'Reg 85'!$B121),('DMR 001C TIN &amp; TP'!$E$3:$E$10005&amp;'DMR 001C TIN &amp; TP'!$B$3:$B$10005&amp;'DMR 001C TIN &amp; TP'!$A$3:$A$10005),0),MATCH('Reg 85'!$O$11,'DMR 001C TIN &amp; TP'!$A$2:$M$2,0))),"")</f>
        <v/>
      </c>
      <c r="X121" s="5" t="str">
        <f t="shared" si="50"/>
        <v/>
      </c>
      <c r="Y121" s="6" t="str">
        <f t="array" ref="Y121">_xlfn.IFNA((INDEX('DMR 001C TIN &amp; TP'!$A$3:$M$10005,MATCH(('Reg 85'!$X$6&amp;'Reg 85'!$X$10&amp;'Reg 85'!$B121),('DMR 001C TIN &amp; TP'!$E$3:$E$10005&amp;'DMR 001C TIN &amp; TP'!$B$3:$B$10005&amp;'DMR 001C TIN &amp; TP'!$A$3:$A$10005),0),MATCH('Reg 85'!$Y$11,'DMR 001C TIN &amp; TP'!$A$2:$M$2,0))),"")</f>
        <v>0.06</v>
      </c>
      <c r="Z121" s="6">
        <f t="array" ref="Z121">_xlfn.IFNA((INDEX('DMR 001C TIN &amp; TP'!$A$3:$M$10005,MATCH(('Reg 85'!$X$6&amp;'Reg 85'!$X$10&amp;'Reg 85'!$B121),('DMR 001C TIN &amp; TP'!$E$3:$E$10005&amp;'DMR 001C TIN &amp; TP'!$B$3:$B$10005&amp;'DMR 001C TIN &amp; TP'!$A$3:$A$10005),0),MATCH('Reg 85'!$Z$11,'DMR 001C TIN &amp; TP'!$A$2:$M$2,0))),"")</f>
        <v>5.16</v>
      </c>
      <c r="AA121" s="53">
        <f t="shared" si="51"/>
        <v>5.16</v>
      </c>
      <c r="AB121" s="5" t="str">
        <f t="shared" si="52"/>
        <v/>
      </c>
      <c r="AC121" s="6" t="str">
        <f t="array" ref="AC121">_xlfn.IFNA((INDEX('DMR 001C TIN &amp; TP'!$A$3:$M$10005,MATCH(('Reg 85'!$X$6&amp;'Reg 85'!$AB$10&amp;'Reg 85'!$B121),('DMR 001C TIN &amp; TP'!$E$3:$E$10005&amp;'DMR 001C TIN &amp; TP'!$B$3:$B$10005&amp;'DMR 001C TIN &amp; TP'!$A$3:$A$10005),0),MATCH('Reg 85'!$AC$11,'DMR 001C TIN &amp; TP'!$A$2:$M$2,0))),"")</f>
        <v>0.06</v>
      </c>
      <c r="AD121" s="6">
        <f t="array" ref="AD121">_xlfn.IFNA((INDEX('DMR 001C TIN &amp; TP'!$A$3:$M$10005,MATCH(('Reg 85'!$X$6&amp;'Reg 85'!$AB$10&amp;'Reg 85'!$B121),('DMR 001C TIN &amp; TP'!$E$3:$E$10005&amp;'DMR 001C TIN &amp; TP'!$B$3:$B$10005&amp;'DMR 001C TIN &amp; TP'!$A$3:$A$10005),0),MATCH('Reg 85'!$AD$11,'DMR 001C TIN &amp; TP'!$A$2:$M$2,0))),"")</f>
        <v>5.69</v>
      </c>
      <c r="AE121" s="53">
        <f t="shared" si="53"/>
        <v>5.69</v>
      </c>
      <c r="AF121" s="7">
        <f t="shared" si="54"/>
        <v>5.4720566425795836</v>
      </c>
      <c r="AG121" s="6" t="str">
        <f t="array" ref="AG121">_xlfn.IFNA((INDEX('DMR 001C TIN &amp; TP'!$A$3:$M$10005,MATCH(('Reg 85'!$X$6&amp;'Reg 85'!AG$10&amp;'Reg 85'!$B121),('DMR 001C TIN &amp; TP'!$E$3:$E$10005&amp;'DMR 001C TIN &amp; TP'!$B$3:$B$10005&amp;'DMR 001C TIN &amp; TP'!$A$3:$A$10005),0),MATCH('Reg 85'!$AG$11,'DMR 001C TIN &amp; TP'!$A$2:$M$2,0))),"")</f>
        <v/>
      </c>
      <c r="AH121" s="6" t="str">
        <f t="array" ref="AH121">_xlfn.IFNA((INDEX('DMR 001C TIN &amp; TP'!$A$3:$M$10005,MATCH(('Reg 85'!$X$6&amp;'Reg 85'!AH$10&amp;'Reg 85'!$B121),('DMR 001C TIN &amp; TP'!$E$3:$E$10005&amp;'DMR 001C TIN &amp; TP'!$B$3:$B$10005&amp;'DMR 001C TIN &amp; TP'!$A$3:$A$10005),0),MATCH('Reg 85'!$AG$11,'DMR 001C TIN &amp; TP'!$A$2:$M$2,0))),"")</f>
        <v/>
      </c>
      <c r="AI121" s="6" t="str">
        <f t="array" ref="AI121">_xlfn.IFNA((INDEX('DMR 001C TIN &amp; TP'!$A$3:$M$10005,MATCH(('Reg 85'!$X$6&amp;'Reg 85'!AI$10&amp;'Reg 85'!$B121),('DMR 001C TIN &amp; TP'!$E$3:$E$10005&amp;'DMR 001C TIN &amp; TP'!$B$3:$B$10005&amp;'DMR 001C TIN &amp; TP'!$A$3:$A$10005),0),MATCH('Reg 85'!$AG$11,'DMR 001C TIN &amp; TP'!$A$2:$M$2,0))),"")</f>
        <v/>
      </c>
      <c r="AJ121" s="6" t="str">
        <f t="array" ref="AJ121">_xlfn.IFNA((INDEX('DMR 001C TIN &amp; TP'!$A$3:$M$10005,MATCH(('Reg 85'!$X$6&amp;'Reg 85'!AJ$10&amp;'Reg 85'!$B121),('DMR 001C TIN &amp; TP'!$E$3:$E$10005&amp;'DMR 001C TIN &amp; TP'!$B$3:$B$10005&amp;'DMR 001C TIN &amp; TP'!$A$3:$A$10005),0),MATCH('Reg 85'!$AG$11,'DMR 001C TIN &amp; TP'!$A$2:$M$2,0))),"")</f>
        <v/>
      </c>
      <c r="AK121" s="6" t="str">
        <f t="array" ref="AK121">_xlfn.IFNA((INDEX('DMR 001C TIN &amp; TP'!$A$3:$M$10005,MATCH(('Reg 85'!$X$6&amp;'Reg 85'!AK$10&amp;'Reg 85'!$B121),('DMR 001C TIN &amp; TP'!$E$3:$E$10005&amp;'DMR 001C TIN &amp; TP'!$B$3:$B$10005&amp;'DMR 001C TIN &amp; TP'!$A$3:$A$10005),0),MATCH('Reg 85'!$AG$11,'DMR 001C TIN &amp; TP'!$A$2:$M$2,0))),"")</f>
        <v/>
      </c>
      <c r="AL121" s="6" t="str">
        <f t="array" ref="AL121">_xlfn.IFNA((INDEX('DMR 001C TIN &amp; TP'!$A$3:$M$10005,MATCH(('Reg 85'!$X$6&amp;'Reg 85'!AL$10&amp;'Reg 85'!$B121),('DMR 001C TIN &amp; TP'!$E$3:$E$10005&amp;'DMR 001C TIN &amp; TP'!$B$3:$B$10005&amp;'DMR 001C TIN &amp; TP'!$A$3:$A$10005),0),MATCH('Reg 85'!$AG$11,'DMR 001C TIN &amp; TP'!$A$2:$M$2,0))),"")</f>
        <v/>
      </c>
      <c r="AM121" s="76"/>
      <c r="AN121" s="6"/>
      <c r="AO121" s="54">
        <f t="shared" si="41"/>
        <v>5.7516820822887986</v>
      </c>
      <c r="AP121" s="77" t="str">
        <f t="shared" si="60"/>
        <v/>
      </c>
      <c r="AQ121" s="47"/>
      <c r="AR121" s="6" t="str">
        <f t="array" ref="AR121">_xlfn.IFNA((INDEX('DMR 001C TIN &amp; TP'!$A$3:$M$10005,MATCH(('Reg 85'!$AQ$6&amp;'Reg 85'!$AQ$10&amp;'Reg 85'!$B121),('DMR 001C TIN &amp; TP'!$E$3:$E$10005&amp;'DMR 001C TIN &amp; TP'!$B$3:$B$10005&amp;'DMR 001C TIN &amp; TP'!$A$3:$A$10005),0),MATCH('Reg 85'!$AR$11,'DMR 001C TIN &amp; TP'!$A$2:$M$2,0))),"")</f>
        <v/>
      </c>
      <c r="AS121" s="6" t="str">
        <f t="array" ref="AS121">_xlfn.IFNA((INDEX('DMR 001C TIN &amp; TP'!$A$3:$M$10005,MATCH(('Reg 85'!$AQ$6&amp;'Reg 85'!$AQ$10&amp;'Reg 85'!$B121),('DMR 001C TIN &amp; TP'!$E$3:$E$10005&amp;'DMR 001C TIN &amp; TP'!$B$3:$B$10005&amp;'DMR 001C TIN &amp; TP'!$A$3:$A$10005),0),MATCH('Reg 85'!$AS$11,'DMR 001C TIN &amp; TP'!$A$2:$M$2,0))),"")</f>
        <v/>
      </c>
      <c r="AT121" s="53" t="str">
        <f t="shared" si="55"/>
        <v/>
      </c>
      <c r="AV121" s="6" t="str">
        <f t="array" ref="AV121">_xlfn.IFNA((INDEX('DMR 001C TIN &amp; TP'!$A$3:$M$10005,MATCH(('Reg 85'!$AQ$6&amp;'Reg 85'!$AU$10&amp;'Reg 85'!$B121),('DMR 001C TIN &amp; TP'!$E$3:$E$10005&amp;'DMR 001C TIN &amp; TP'!$B$3:$B$10005&amp;'DMR 001C TIN &amp; TP'!$A$3:$A$10005),0),MATCH('Reg 85'!$AV$11,'DMR 001C TIN &amp; TP'!$A$2:$M$2,0))),"")</f>
        <v/>
      </c>
      <c r="AW121" s="6" t="str">
        <f t="array" ref="AW121">_xlfn.IFNA((INDEX('DMR 001C TIN &amp; TP'!$A$3:$M$10005,MATCH(('Reg 85'!$AQ$6&amp;'Reg 85'!$AU$10&amp;'Reg 85'!$B121),('DMR 001C TIN &amp; TP'!$E$3:$E$10005&amp;'DMR 001C TIN &amp; TP'!$B$3:$B$10005&amp;'DMR 001C TIN &amp; TP'!$A$3:$A$10005),0),MATCH('Reg 85'!$AW$11,'DMR 001C TIN &amp; TP'!$A$2:$M$2,0))),"")</f>
        <v/>
      </c>
      <c r="AX121" s="53" t="str">
        <f t="shared" si="56"/>
        <v/>
      </c>
      <c r="AY121" s="55" t="str">
        <f t="shared" si="57"/>
        <v/>
      </c>
      <c r="AZ121" s="77" t="str">
        <f t="shared" si="61"/>
        <v/>
      </c>
      <c r="BA121" s="6" t="str">
        <f t="array" ref="BA121">_xlfn.IFNA((INDEX('DMR 001C TIN &amp; TP'!$A$3:$M$10005,MATCH(('Reg 85'!$AQ$6&amp;'Reg 85'!BA$10&amp;'Reg 85'!$B121),('DMR 001C TIN &amp; TP'!$E$3:$E$10005&amp;'DMR 001C TIN &amp; TP'!$B$3:$B$10005&amp;'DMR 001C TIN &amp; TP'!$A$3:$A$10005),0),MATCH('Reg 85'!$AG$11,'DMR 001C TIN &amp; TP'!$A$2:$M$2,0))),"")</f>
        <v/>
      </c>
      <c r="BB121" s="6" t="str">
        <f t="array" ref="BB121">_xlfn.IFNA((INDEX('DMR 001C TIN &amp; TP'!$A$3:$M$10005,MATCH(('Reg 85'!$AQ$6&amp;'Reg 85'!BB$10&amp;'Reg 85'!$B121),('DMR 001C TIN &amp; TP'!$E$3:$E$10005&amp;'DMR 001C TIN &amp; TP'!$B$3:$B$10005&amp;'DMR 001C TIN &amp; TP'!$A$3:$A$10005),0),MATCH('Reg 85'!$AG$11,'DMR 001C TIN &amp; TP'!$A$2:$M$2,0))),"")</f>
        <v/>
      </c>
      <c r="BC121" s="6" t="str">
        <f t="array" ref="BC121">_xlfn.IFNA((INDEX('DMR 001C TIN &amp; TP'!$A$3:$M$10005,MATCH(('Reg 85'!$AQ$6&amp;'Reg 85'!BC$10&amp;'Reg 85'!$B121),('DMR 001C TIN &amp; TP'!$E$3:$E$10005&amp;'DMR 001C TIN &amp; TP'!$B$3:$B$10005&amp;'DMR 001C TIN &amp; TP'!$A$3:$A$10005),0),MATCH('Reg 85'!$AG$11,'DMR 001C TIN &amp; TP'!$A$2:$M$2,0))),"")</f>
        <v/>
      </c>
      <c r="BD121" s="6" t="str">
        <f t="array" ref="BD121">_xlfn.IFNA((INDEX('DMR 001C TIN &amp; TP'!$A$3:$M$10005,MATCH(('Reg 85'!$AQ$6&amp;'Reg 85'!BD$10&amp;'Reg 85'!$B121),('DMR 001C TIN &amp; TP'!$E$3:$E$10005&amp;'DMR 001C TIN &amp; TP'!$B$3:$B$10005&amp;'DMR 001C TIN &amp; TP'!$A$3:$A$10005),0),MATCH('Reg 85'!$AG$11,'DMR 001C TIN &amp; TP'!$A$2:$M$2,0))),"")</f>
        <v/>
      </c>
      <c r="BE121" s="6" t="str">
        <f t="array" ref="BE121">_xlfn.IFNA((INDEX('DMR 001C TIN &amp; TP'!$A$3:$M$10005,MATCH(('Reg 85'!$AQ$6&amp;'Reg 85'!BE$10&amp;'Reg 85'!$B121),('DMR 001C TIN &amp; TP'!$E$3:$E$10005&amp;'DMR 001C TIN &amp; TP'!$B$3:$B$10005&amp;'DMR 001C TIN &amp; TP'!$A$3:$A$10005),0),MATCH('Reg 85'!$AG$11,'DMR 001C TIN &amp; TP'!$A$2:$M$2,0))),"")</f>
        <v/>
      </c>
      <c r="BF121" s="6" t="str">
        <f t="array" ref="BF121">_xlfn.IFNA((INDEX('DMR 001C TIN &amp; TP'!$A$3:$M$10005,MATCH(('Reg 85'!$AQ$6&amp;'Reg 85'!BF$10&amp;'Reg 85'!$B121),('DMR 001C TIN &amp; TP'!$E$3:$E$10005&amp;'DMR 001C TIN &amp; TP'!$B$3:$B$10005&amp;'DMR 001C TIN &amp; TP'!$A$3:$A$10005),0),MATCH('Reg 85'!$AG$11,'DMR 001C TIN &amp; TP'!$A$2:$M$2,0))),"")</f>
        <v/>
      </c>
    </row>
    <row r="122" spans="1:58">
      <c r="A122" s="3" t="str">
        <f t="shared" si="42"/>
        <v>Thu</v>
      </c>
      <c r="B122" s="96">
        <f t="shared" si="58"/>
        <v>43454</v>
      </c>
      <c r="C122" s="96">
        <f t="shared" si="43"/>
        <v>43465</v>
      </c>
      <c r="D122" s="96">
        <f t="shared" si="44"/>
        <v>43435</v>
      </c>
      <c r="E122" s="95">
        <f t="shared" si="45"/>
        <v>31</v>
      </c>
      <c r="F122" s="7">
        <f t="array" ref="F122">_xlfn.IFNA(INDEX('DMR Flows-Effluent'!$A$3:$F$9999,MATCH(($F$10&amp;$B122),('DMR Flows-Effluent'!$B$3:$B$9999&amp;'DMR Flows-Effluent'!$A$3:$A$9999),0),MATCH($F$8,'DMR Flows-Effluent'!$A$2:$F$2,0)),"")</f>
        <v>46.448700000000002</v>
      </c>
      <c r="G122" s="7">
        <f t="array" ref="G122">_xlfn.IFNA(INDEX('DMR Flows-Effluent'!$A$3:$F$9999,MATCH(($G$10&amp;$B122),('DMR Flows-Effluent'!$B$3:$B$9999&amp;'DMR Flows-Effluent'!$A$3:$A$9999),0),MATCH($F$8,'DMR Flows-Effluent'!$A$2:$F$2,0)),"")</f>
        <v>70.675899999999999</v>
      </c>
      <c r="H122" s="7">
        <f t="shared" si="46"/>
        <v>117.1246</v>
      </c>
      <c r="I122" s="45" t="str">
        <f t="shared" si="47"/>
        <v/>
      </c>
      <c r="J122" s="6" t="str">
        <f t="array" ref="J122">_xlfn.IFNA((INDEX('DMR 001C TIN &amp; TP'!$A$3:$M$10005,MATCH(('Reg 85'!$I$6:$Q$6&amp;'Reg 85'!$I$10:$K$10&amp;'Reg 85'!$B122),('DMR 001C TIN &amp; TP'!$E$3:$E$10005&amp;'DMR 001C TIN &amp; TP'!$B$3:$B$10005&amp;'DMR 001C TIN &amp; TP'!$A$3:$A$10005),0),MATCH('Reg 85'!$J$11,'DMR 001C TIN &amp; TP'!$A$2:$M$2,0))),"")</f>
        <v/>
      </c>
      <c r="K122" s="6" t="str">
        <f t="array" ref="K122">_xlfn.IFNA((INDEX('DMR 001C TIN &amp; TP'!$A$3:$M$10005,MATCH(('Reg 85'!$I$6:$Q$6&amp;'Reg 85'!$I$10:$K$10&amp;'Reg 85'!$B122),('DMR 001C TIN &amp; TP'!$E$3:$E$10005&amp;'DMR 001C TIN &amp; TP'!$B$3:$B$10005&amp;'DMR 001C TIN &amp; TP'!$A$3:$A$10005),0),MATCH('Reg 85'!$K$11,'DMR 001C TIN &amp; TP'!$A$2:$M$2,0))),"")</f>
        <v/>
      </c>
      <c r="L122" s="53" t="str">
        <f t="shared" si="59"/>
        <v/>
      </c>
      <c r="M122" s="5" t="str">
        <f t="shared" si="48"/>
        <v/>
      </c>
      <c r="N122" s="6" t="str">
        <f t="array" ref="N122">_xlfn.IFNA((INDEX('DMR 001C TIN &amp; TP'!$A$3:$M$10005,MATCH(('Reg 85'!$I$6:$Q$6&amp;'Reg 85'!$M$10&amp;'Reg 85'!$B122),('DMR 001C TIN &amp; TP'!$E$3:$E$10005&amp;'DMR 001C TIN &amp; TP'!$B$3:$B$10005&amp;'DMR 001C TIN &amp; TP'!$A$3:$A$10005),0),MATCH('Reg 85'!$N$11,'DMR 001C TIN &amp; TP'!$A$2:$M$2,0))),"")</f>
        <v/>
      </c>
      <c r="O122" s="6" t="str">
        <f t="array" ref="O122">_xlfn.IFNA((INDEX('DMR 001C TIN &amp; TP'!$A$3:$M$10005,MATCH(('Reg 85'!$I$6:$Q$6&amp;'Reg 85'!$M$10&amp;'Reg 85'!$B122),('DMR 001C TIN &amp; TP'!$E$3:$E$10005&amp;'DMR 001C TIN &amp; TP'!$B$3:$B$10005&amp;'DMR 001C TIN &amp; TP'!$A$3:$A$10005),0),MATCH('Reg 85'!$O$11,'DMR 001C TIN &amp; TP'!$A$2:$M$2,0))),"")</f>
        <v/>
      </c>
      <c r="P122" s="53" t="str">
        <f t="shared" si="49"/>
        <v/>
      </c>
      <c r="Q122" s="73" t="str">
        <f t="array" ref="Q122">IFERROR(((L122*$F122)+(P122*$G122))/($H122),"")</f>
        <v/>
      </c>
      <c r="R122" s="6" t="str">
        <f t="array" ref="R122">_xlfn.IFNA((INDEX('DMR 001C TIN &amp; TP'!$A$3:$M$10005,MATCH(('Reg 85'!$I$6:$Q$6&amp;'Reg 85'!R$10&amp;'Reg 85'!$B122),('DMR 001C TIN &amp; TP'!$E$3:$E$10005&amp;'DMR 001C TIN &amp; TP'!$B$3:$B$10005&amp;'DMR 001C TIN &amp; TP'!$A$3:$A$10005),0),MATCH('Reg 85'!$O$11,'DMR 001C TIN &amp; TP'!$A$2:$M$2,0))),"")</f>
        <v/>
      </c>
      <c r="S122" s="6" t="str">
        <f t="array" ref="S122">_xlfn.IFNA((INDEX('DMR 001C TIN &amp; TP'!$A$3:$M$10005,MATCH(('Reg 85'!$I$6:$Q$6&amp;'Reg 85'!S$10&amp;'Reg 85'!$B122),('DMR 001C TIN &amp; TP'!$E$3:$E$10005&amp;'DMR 001C TIN &amp; TP'!$B$3:$B$10005&amp;'DMR 001C TIN &amp; TP'!$A$3:$A$10005),0),MATCH('Reg 85'!$O$11,'DMR 001C TIN &amp; TP'!$A$2:$M$2,0))),"")</f>
        <v/>
      </c>
      <c r="T122" s="6" t="str">
        <f t="array" ref="T122">_xlfn.IFNA((INDEX('DMR 001C TIN &amp; TP'!$A$3:$M$10005,MATCH(('Reg 85'!$I$6:$Q$6&amp;'Reg 85'!T$10&amp;'Reg 85'!$B122),('DMR 001C TIN &amp; TP'!$E$3:$E$10005&amp;'DMR 001C TIN &amp; TP'!$B$3:$B$10005&amp;'DMR 001C TIN &amp; TP'!$A$3:$A$10005),0),MATCH('Reg 85'!$O$11,'DMR 001C TIN &amp; TP'!$A$2:$M$2,0))),"")</f>
        <v/>
      </c>
      <c r="U122" s="6" t="str">
        <f t="array" ref="U122">_xlfn.IFNA((INDEX('DMR 001C TIN &amp; TP'!$A$3:$M$10005,MATCH(('Reg 85'!$I$6:$Q$6&amp;'Reg 85'!U$10&amp;'Reg 85'!$B122),('DMR 001C TIN &amp; TP'!$E$3:$E$10005&amp;'DMR 001C TIN &amp; TP'!$B$3:$B$10005&amp;'DMR 001C TIN &amp; TP'!$A$3:$A$10005),0),MATCH('Reg 85'!$O$11,'DMR 001C TIN &amp; TP'!$A$2:$M$2,0))),"")</f>
        <v/>
      </c>
      <c r="V122" s="6" t="str">
        <f t="array" ref="V122">_xlfn.IFNA((INDEX('DMR 001C TIN &amp; TP'!$A$3:$M$10005,MATCH(('Reg 85'!$I$6:$Q$6&amp;'Reg 85'!V$10&amp;'Reg 85'!$B122),('DMR 001C TIN &amp; TP'!$E$3:$E$10005&amp;'DMR 001C TIN &amp; TP'!$B$3:$B$10005&amp;'DMR 001C TIN &amp; TP'!$A$3:$A$10005),0),MATCH('Reg 85'!$O$11,'DMR 001C TIN &amp; TP'!$A$2:$M$2,0))),"")</f>
        <v/>
      </c>
      <c r="W122" s="6" t="str">
        <f t="array" ref="W122">_xlfn.IFNA((INDEX('DMR 001C TIN &amp; TP'!$A$3:$M$10005,MATCH(('Reg 85'!$I$6:$Q$6&amp;'Reg 85'!W$10&amp;'Reg 85'!$B122),('DMR 001C TIN &amp; TP'!$E$3:$E$10005&amp;'DMR 001C TIN &amp; TP'!$B$3:$B$10005&amp;'DMR 001C TIN &amp; TP'!$A$3:$A$10005),0),MATCH('Reg 85'!$O$11,'DMR 001C TIN &amp; TP'!$A$2:$M$2,0))),"")</f>
        <v/>
      </c>
      <c r="X122" s="5" t="str">
        <f t="shared" si="50"/>
        <v/>
      </c>
      <c r="Y122" s="6" t="str">
        <f t="array" ref="Y122">_xlfn.IFNA((INDEX('DMR 001C TIN &amp; TP'!$A$3:$M$10005,MATCH(('Reg 85'!$X$6&amp;'Reg 85'!$X$10&amp;'Reg 85'!$B122),('DMR 001C TIN &amp; TP'!$E$3:$E$10005&amp;'DMR 001C TIN &amp; TP'!$B$3:$B$10005&amp;'DMR 001C TIN &amp; TP'!$A$3:$A$10005),0),MATCH('Reg 85'!$Y$11,'DMR 001C TIN &amp; TP'!$A$2:$M$2,0))),"")</f>
        <v/>
      </c>
      <c r="Z122" s="6" t="str">
        <f t="array" ref="Z122">_xlfn.IFNA((INDEX('DMR 001C TIN &amp; TP'!$A$3:$M$10005,MATCH(('Reg 85'!$X$6&amp;'Reg 85'!$X$10&amp;'Reg 85'!$B122),('DMR 001C TIN &amp; TP'!$E$3:$E$10005&amp;'DMR 001C TIN &amp; TP'!$B$3:$B$10005&amp;'DMR 001C TIN &amp; TP'!$A$3:$A$10005),0),MATCH('Reg 85'!$Z$11,'DMR 001C TIN &amp; TP'!$A$2:$M$2,0))),"")</f>
        <v/>
      </c>
      <c r="AA122" s="53" t="str">
        <f t="shared" si="51"/>
        <v/>
      </c>
      <c r="AB122" s="5" t="str">
        <f t="shared" si="52"/>
        <v/>
      </c>
      <c r="AC122" s="6" t="str">
        <f t="array" ref="AC122">_xlfn.IFNA((INDEX('DMR 001C TIN &amp; TP'!$A$3:$M$10005,MATCH(('Reg 85'!$X$6&amp;'Reg 85'!$AB$10&amp;'Reg 85'!$B122),('DMR 001C TIN &amp; TP'!$E$3:$E$10005&amp;'DMR 001C TIN &amp; TP'!$B$3:$B$10005&amp;'DMR 001C TIN &amp; TP'!$A$3:$A$10005),0),MATCH('Reg 85'!$AC$11,'DMR 001C TIN &amp; TP'!$A$2:$M$2,0))),"")</f>
        <v/>
      </c>
      <c r="AD122" s="6" t="str">
        <f t="array" ref="AD122">_xlfn.IFNA((INDEX('DMR 001C TIN &amp; TP'!$A$3:$M$10005,MATCH(('Reg 85'!$X$6&amp;'Reg 85'!$AB$10&amp;'Reg 85'!$B122),('DMR 001C TIN &amp; TP'!$E$3:$E$10005&amp;'DMR 001C TIN &amp; TP'!$B$3:$B$10005&amp;'DMR 001C TIN &amp; TP'!$A$3:$A$10005),0),MATCH('Reg 85'!$AD$11,'DMR 001C TIN &amp; TP'!$A$2:$M$2,0))),"")</f>
        <v/>
      </c>
      <c r="AE122" s="53" t="str">
        <f t="shared" si="53"/>
        <v/>
      </c>
      <c r="AF122" s="7" t="str">
        <f t="shared" si="54"/>
        <v/>
      </c>
      <c r="AG122" s="6" t="str">
        <f t="array" ref="AG122">_xlfn.IFNA((INDEX('DMR 001C TIN &amp; TP'!$A$3:$M$10005,MATCH(('Reg 85'!$X$6&amp;'Reg 85'!AG$10&amp;'Reg 85'!$B122),('DMR 001C TIN &amp; TP'!$E$3:$E$10005&amp;'DMR 001C TIN &amp; TP'!$B$3:$B$10005&amp;'DMR 001C TIN &amp; TP'!$A$3:$A$10005),0),MATCH('Reg 85'!$AG$11,'DMR 001C TIN &amp; TP'!$A$2:$M$2,0))),"")</f>
        <v/>
      </c>
      <c r="AH122" s="6" t="str">
        <f t="array" ref="AH122">_xlfn.IFNA((INDEX('DMR 001C TIN &amp; TP'!$A$3:$M$10005,MATCH(('Reg 85'!$X$6&amp;'Reg 85'!AH$10&amp;'Reg 85'!$B122),('DMR 001C TIN &amp; TP'!$E$3:$E$10005&amp;'DMR 001C TIN &amp; TP'!$B$3:$B$10005&amp;'DMR 001C TIN &amp; TP'!$A$3:$A$10005),0),MATCH('Reg 85'!$AG$11,'DMR 001C TIN &amp; TP'!$A$2:$M$2,0))),"")</f>
        <v/>
      </c>
      <c r="AI122" s="6" t="str">
        <f t="array" ref="AI122">_xlfn.IFNA((INDEX('DMR 001C TIN &amp; TP'!$A$3:$M$10005,MATCH(('Reg 85'!$X$6&amp;'Reg 85'!AI$10&amp;'Reg 85'!$B122),('DMR 001C TIN &amp; TP'!$E$3:$E$10005&amp;'DMR 001C TIN &amp; TP'!$B$3:$B$10005&amp;'DMR 001C TIN &amp; TP'!$A$3:$A$10005),0),MATCH('Reg 85'!$AG$11,'DMR 001C TIN &amp; TP'!$A$2:$M$2,0))),"")</f>
        <v/>
      </c>
      <c r="AJ122" s="6" t="str">
        <f t="array" ref="AJ122">_xlfn.IFNA((INDEX('DMR 001C TIN &amp; TP'!$A$3:$M$10005,MATCH(('Reg 85'!$X$6&amp;'Reg 85'!AJ$10&amp;'Reg 85'!$B122),('DMR 001C TIN &amp; TP'!$E$3:$E$10005&amp;'DMR 001C TIN &amp; TP'!$B$3:$B$10005&amp;'DMR 001C TIN &amp; TP'!$A$3:$A$10005),0),MATCH('Reg 85'!$AG$11,'DMR 001C TIN &amp; TP'!$A$2:$M$2,0))),"")</f>
        <v/>
      </c>
      <c r="AK122" s="6" t="str">
        <f t="array" ref="AK122">_xlfn.IFNA((INDEX('DMR 001C TIN &amp; TP'!$A$3:$M$10005,MATCH(('Reg 85'!$X$6&amp;'Reg 85'!AK$10&amp;'Reg 85'!$B122),('DMR 001C TIN &amp; TP'!$E$3:$E$10005&amp;'DMR 001C TIN &amp; TP'!$B$3:$B$10005&amp;'DMR 001C TIN &amp; TP'!$A$3:$A$10005),0),MATCH('Reg 85'!$AG$11,'DMR 001C TIN &amp; TP'!$A$2:$M$2,0))),"")</f>
        <v/>
      </c>
      <c r="AL122" s="6" t="str">
        <f t="array" ref="AL122">_xlfn.IFNA((INDEX('DMR 001C TIN &amp; TP'!$A$3:$M$10005,MATCH(('Reg 85'!$X$6&amp;'Reg 85'!AL$10&amp;'Reg 85'!$B122),('DMR 001C TIN &amp; TP'!$E$3:$E$10005&amp;'DMR 001C TIN &amp; TP'!$B$3:$B$10005&amp;'DMR 001C TIN &amp; TP'!$A$3:$A$10005),0),MATCH('Reg 85'!$AG$11,'DMR 001C TIN &amp; TP'!$A$2:$M$2,0))),"")</f>
        <v/>
      </c>
      <c r="AM122" s="76"/>
      <c r="AN122" s="6"/>
      <c r="AO122" s="54" t="str">
        <f t="shared" si="41"/>
        <v/>
      </c>
      <c r="AP122" s="77" t="str">
        <f t="shared" si="60"/>
        <v/>
      </c>
      <c r="AQ122" s="47"/>
      <c r="AR122" s="6" t="str">
        <f t="array" ref="AR122">_xlfn.IFNA((INDEX('DMR 001C TIN &amp; TP'!$A$3:$M$10005,MATCH(('Reg 85'!$AQ$6&amp;'Reg 85'!$AQ$10&amp;'Reg 85'!$B122),('DMR 001C TIN &amp; TP'!$E$3:$E$10005&amp;'DMR 001C TIN &amp; TP'!$B$3:$B$10005&amp;'DMR 001C TIN &amp; TP'!$A$3:$A$10005),0),MATCH('Reg 85'!$AR$11,'DMR 001C TIN &amp; TP'!$A$2:$M$2,0))),"")</f>
        <v>0.03</v>
      </c>
      <c r="AS122" s="6">
        <f t="array" ref="AS122">_xlfn.IFNA((INDEX('DMR 001C TIN &amp; TP'!$A$3:$M$10005,MATCH(('Reg 85'!$AQ$6&amp;'Reg 85'!$AQ$10&amp;'Reg 85'!$B122),('DMR 001C TIN &amp; TP'!$E$3:$E$10005&amp;'DMR 001C TIN &amp; TP'!$B$3:$B$10005&amp;'DMR 001C TIN &amp; TP'!$A$3:$A$10005),0),MATCH('Reg 85'!$AS$11,'DMR 001C TIN &amp; TP'!$A$2:$M$2,0))),"")</f>
        <v>0.4</v>
      </c>
      <c r="AT122" s="53">
        <f t="shared" si="55"/>
        <v>0.4</v>
      </c>
      <c r="AV122" s="6" t="str">
        <f t="array" ref="AV122">_xlfn.IFNA((INDEX('DMR 001C TIN &amp; TP'!$A$3:$M$10005,MATCH(('Reg 85'!$AQ$6&amp;'Reg 85'!$AU$10&amp;'Reg 85'!$B122),('DMR 001C TIN &amp; TP'!$E$3:$E$10005&amp;'DMR 001C TIN &amp; TP'!$B$3:$B$10005&amp;'DMR 001C TIN &amp; TP'!$A$3:$A$10005),0),MATCH('Reg 85'!$AV$11,'DMR 001C TIN &amp; TP'!$A$2:$M$2,0))),"")</f>
        <v>0.03</v>
      </c>
      <c r="AW122" s="6">
        <f t="array" ref="AW122">_xlfn.IFNA((INDEX('DMR 001C TIN &amp; TP'!$A$3:$M$10005,MATCH(('Reg 85'!$AQ$6&amp;'Reg 85'!$AU$10&amp;'Reg 85'!$B122),('DMR 001C TIN &amp; TP'!$E$3:$E$10005&amp;'DMR 001C TIN &amp; TP'!$B$3:$B$10005&amp;'DMR 001C TIN &amp; TP'!$A$3:$A$10005),0),MATCH('Reg 85'!$AW$11,'DMR 001C TIN &amp; TP'!$A$2:$M$2,0))),"")</f>
        <v>1.08</v>
      </c>
      <c r="AX122" s="53">
        <f t="shared" si="56"/>
        <v>1.08</v>
      </c>
      <c r="AY122" s="55">
        <f t="shared" si="57"/>
        <v>0.81032893175302201</v>
      </c>
      <c r="AZ122" s="77" t="str">
        <f t="shared" si="61"/>
        <v/>
      </c>
      <c r="BA122" s="6" t="str">
        <f t="array" ref="BA122">_xlfn.IFNA((INDEX('DMR 001C TIN &amp; TP'!$A$3:$M$10005,MATCH(('Reg 85'!$AQ$6&amp;'Reg 85'!BA$10&amp;'Reg 85'!$B122),('DMR 001C TIN &amp; TP'!$E$3:$E$10005&amp;'DMR 001C TIN &amp; TP'!$B$3:$B$10005&amp;'DMR 001C TIN &amp; TP'!$A$3:$A$10005),0),MATCH('Reg 85'!$AG$11,'DMR 001C TIN &amp; TP'!$A$2:$M$2,0))),"")</f>
        <v/>
      </c>
      <c r="BB122" s="6" t="str">
        <f t="array" ref="BB122">_xlfn.IFNA((INDEX('DMR 001C TIN &amp; TP'!$A$3:$M$10005,MATCH(('Reg 85'!$AQ$6&amp;'Reg 85'!BB$10&amp;'Reg 85'!$B122),('DMR 001C TIN &amp; TP'!$E$3:$E$10005&amp;'DMR 001C TIN &amp; TP'!$B$3:$B$10005&amp;'DMR 001C TIN &amp; TP'!$A$3:$A$10005),0),MATCH('Reg 85'!$AG$11,'DMR 001C TIN &amp; TP'!$A$2:$M$2,0))),"")</f>
        <v/>
      </c>
      <c r="BC122" s="6" t="str">
        <f t="array" ref="BC122">_xlfn.IFNA((INDEX('DMR 001C TIN &amp; TP'!$A$3:$M$10005,MATCH(('Reg 85'!$AQ$6&amp;'Reg 85'!BC$10&amp;'Reg 85'!$B122),('DMR 001C TIN &amp; TP'!$E$3:$E$10005&amp;'DMR 001C TIN &amp; TP'!$B$3:$B$10005&amp;'DMR 001C TIN &amp; TP'!$A$3:$A$10005),0),MATCH('Reg 85'!$AG$11,'DMR 001C TIN &amp; TP'!$A$2:$M$2,0))),"")</f>
        <v/>
      </c>
      <c r="BD122" s="6" t="str">
        <f t="array" ref="BD122">_xlfn.IFNA((INDEX('DMR 001C TIN &amp; TP'!$A$3:$M$10005,MATCH(('Reg 85'!$AQ$6&amp;'Reg 85'!BD$10&amp;'Reg 85'!$B122),('DMR 001C TIN &amp; TP'!$E$3:$E$10005&amp;'DMR 001C TIN &amp; TP'!$B$3:$B$10005&amp;'DMR 001C TIN &amp; TP'!$A$3:$A$10005),0),MATCH('Reg 85'!$AG$11,'DMR 001C TIN &amp; TP'!$A$2:$M$2,0))),"")</f>
        <v/>
      </c>
      <c r="BE122" s="6" t="str">
        <f t="array" ref="BE122">_xlfn.IFNA((INDEX('DMR 001C TIN &amp; TP'!$A$3:$M$10005,MATCH(('Reg 85'!$AQ$6&amp;'Reg 85'!BE$10&amp;'Reg 85'!$B122),('DMR 001C TIN &amp; TP'!$E$3:$E$10005&amp;'DMR 001C TIN &amp; TP'!$B$3:$B$10005&amp;'DMR 001C TIN &amp; TP'!$A$3:$A$10005),0),MATCH('Reg 85'!$AG$11,'DMR 001C TIN &amp; TP'!$A$2:$M$2,0))),"")</f>
        <v/>
      </c>
      <c r="BF122" s="6" t="str">
        <f t="array" ref="BF122">_xlfn.IFNA((INDEX('DMR 001C TIN &amp; TP'!$A$3:$M$10005,MATCH(('Reg 85'!$AQ$6&amp;'Reg 85'!BF$10&amp;'Reg 85'!$B122),('DMR 001C TIN &amp; TP'!$E$3:$E$10005&amp;'DMR 001C TIN &amp; TP'!$B$3:$B$10005&amp;'DMR 001C TIN &amp; TP'!$A$3:$A$10005),0),MATCH('Reg 85'!$AG$11,'DMR 001C TIN &amp; TP'!$A$2:$M$2,0))),"")</f>
        <v/>
      </c>
    </row>
    <row r="123" spans="1:58">
      <c r="A123" s="3" t="str">
        <f t="shared" si="42"/>
        <v>Fri</v>
      </c>
      <c r="B123" s="96">
        <f t="shared" si="58"/>
        <v>43455</v>
      </c>
      <c r="C123" s="96">
        <f t="shared" si="43"/>
        <v>43465</v>
      </c>
      <c r="D123" s="96">
        <f t="shared" si="44"/>
        <v>43435</v>
      </c>
      <c r="E123" s="95">
        <f t="shared" si="45"/>
        <v>31</v>
      </c>
      <c r="F123" s="7">
        <f t="array" ref="F123">_xlfn.IFNA(INDEX('DMR Flows-Effluent'!$A$3:$F$9999,MATCH(($F$10&amp;$B123),('DMR Flows-Effluent'!$B$3:$B$9999&amp;'DMR Flows-Effluent'!$A$3:$A$9999),0),MATCH($F$8,'DMR Flows-Effluent'!$A$2:$F$2,0)),"")</f>
        <v>49.509700000000002</v>
      </c>
      <c r="G123" s="7">
        <f t="array" ref="G123">_xlfn.IFNA(INDEX('DMR Flows-Effluent'!$A$3:$F$9999,MATCH(($G$10&amp;$B123),('DMR Flows-Effluent'!$B$3:$B$9999&amp;'DMR Flows-Effluent'!$A$3:$A$9999),0),MATCH($F$8,'DMR Flows-Effluent'!$A$2:$F$2,0)),"")</f>
        <v>70.337500000000006</v>
      </c>
      <c r="H123" s="7">
        <f t="shared" si="46"/>
        <v>119.84720000000002</v>
      </c>
      <c r="I123" s="45" t="str">
        <f t="shared" si="47"/>
        <v/>
      </c>
      <c r="J123" s="6" t="str">
        <f t="array" ref="J123">_xlfn.IFNA((INDEX('DMR 001C TIN &amp; TP'!$A$3:$M$10005,MATCH(('Reg 85'!$I$6:$Q$6&amp;'Reg 85'!$I$10:$K$10&amp;'Reg 85'!$B123),('DMR 001C TIN &amp; TP'!$E$3:$E$10005&amp;'DMR 001C TIN &amp; TP'!$B$3:$B$10005&amp;'DMR 001C TIN &amp; TP'!$A$3:$A$10005),0),MATCH('Reg 85'!$J$11,'DMR 001C TIN &amp; TP'!$A$2:$M$2,0))),"")</f>
        <v/>
      </c>
      <c r="K123" s="6" t="str">
        <f t="array" ref="K123">_xlfn.IFNA((INDEX('DMR 001C TIN &amp; TP'!$A$3:$M$10005,MATCH(('Reg 85'!$I$6:$Q$6&amp;'Reg 85'!$I$10:$K$10&amp;'Reg 85'!$B123),('DMR 001C TIN &amp; TP'!$E$3:$E$10005&amp;'DMR 001C TIN &amp; TP'!$B$3:$B$10005&amp;'DMR 001C TIN &amp; TP'!$A$3:$A$10005),0),MATCH('Reg 85'!$K$11,'DMR 001C TIN &amp; TP'!$A$2:$M$2,0))),"")</f>
        <v/>
      </c>
      <c r="L123" s="53" t="str">
        <f t="shared" si="59"/>
        <v/>
      </c>
      <c r="M123" s="5" t="str">
        <f t="shared" si="48"/>
        <v/>
      </c>
      <c r="N123" s="6" t="str">
        <f t="array" ref="N123">_xlfn.IFNA((INDEX('DMR 001C TIN &amp; TP'!$A$3:$M$10005,MATCH(('Reg 85'!$I$6:$Q$6&amp;'Reg 85'!$M$10&amp;'Reg 85'!$B123),('DMR 001C TIN &amp; TP'!$E$3:$E$10005&amp;'DMR 001C TIN &amp; TP'!$B$3:$B$10005&amp;'DMR 001C TIN &amp; TP'!$A$3:$A$10005),0),MATCH('Reg 85'!$N$11,'DMR 001C TIN &amp; TP'!$A$2:$M$2,0))),"")</f>
        <v/>
      </c>
      <c r="O123" s="6" t="str">
        <f t="array" ref="O123">_xlfn.IFNA((INDEX('DMR 001C TIN &amp; TP'!$A$3:$M$10005,MATCH(('Reg 85'!$I$6:$Q$6&amp;'Reg 85'!$M$10&amp;'Reg 85'!$B123),('DMR 001C TIN &amp; TP'!$E$3:$E$10005&amp;'DMR 001C TIN &amp; TP'!$B$3:$B$10005&amp;'DMR 001C TIN &amp; TP'!$A$3:$A$10005),0),MATCH('Reg 85'!$O$11,'DMR 001C TIN &amp; TP'!$A$2:$M$2,0))),"")</f>
        <v/>
      </c>
      <c r="P123" s="53" t="str">
        <f t="shared" si="49"/>
        <v/>
      </c>
      <c r="Q123" s="73" t="str">
        <f t="array" ref="Q123">IFERROR(((L123*$F123)+(P123*$G123))/($H123),"")</f>
        <v/>
      </c>
      <c r="R123" s="6" t="str">
        <f t="array" ref="R123">_xlfn.IFNA((INDEX('DMR 001C TIN &amp; TP'!$A$3:$M$10005,MATCH(('Reg 85'!$I$6:$Q$6&amp;'Reg 85'!R$10&amp;'Reg 85'!$B123),('DMR 001C TIN &amp; TP'!$E$3:$E$10005&amp;'DMR 001C TIN &amp; TP'!$B$3:$B$10005&amp;'DMR 001C TIN &amp; TP'!$A$3:$A$10005),0),MATCH('Reg 85'!$O$11,'DMR 001C TIN &amp; TP'!$A$2:$M$2,0))),"")</f>
        <v/>
      </c>
      <c r="S123" s="6" t="str">
        <f t="array" ref="S123">_xlfn.IFNA((INDEX('DMR 001C TIN &amp; TP'!$A$3:$M$10005,MATCH(('Reg 85'!$I$6:$Q$6&amp;'Reg 85'!S$10&amp;'Reg 85'!$B123),('DMR 001C TIN &amp; TP'!$E$3:$E$10005&amp;'DMR 001C TIN &amp; TP'!$B$3:$B$10005&amp;'DMR 001C TIN &amp; TP'!$A$3:$A$10005),0),MATCH('Reg 85'!$O$11,'DMR 001C TIN &amp; TP'!$A$2:$M$2,0))),"")</f>
        <v/>
      </c>
      <c r="T123" s="6" t="str">
        <f t="array" ref="T123">_xlfn.IFNA((INDEX('DMR 001C TIN &amp; TP'!$A$3:$M$10005,MATCH(('Reg 85'!$I$6:$Q$6&amp;'Reg 85'!T$10&amp;'Reg 85'!$B123),('DMR 001C TIN &amp; TP'!$E$3:$E$10005&amp;'DMR 001C TIN &amp; TP'!$B$3:$B$10005&amp;'DMR 001C TIN &amp; TP'!$A$3:$A$10005),0),MATCH('Reg 85'!$O$11,'DMR 001C TIN &amp; TP'!$A$2:$M$2,0))),"")</f>
        <v/>
      </c>
      <c r="U123" s="6" t="str">
        <f t="array" ref="U123">_xlfn.IFNA((INDEX('DMR 001C TIN &amp; TP'!$A$3:$M$10005,MATCH(('Reg 85'!$I$6:$Q$6&amp;'Reg 85'!U$10&amp;'Reg 85'!$B123),('DMR 001C TIN &amp; TP'!$E$3:$E$10005&amp;'DMR 001C TIN &amp; TP'!$B$3:$B$10005&amp;'DMR 001C TIN &amp; TP'!$A$3:$A$10005),0),MATCH('Reg 85'!$O$11,'DMR 001C TIN &amp; TP'!$A$2:$M$2,0))),"")</f>
        <v/>
      </c>
      <c r="V123" s="6" t="str">
        <f t="array" ref="V123">_xlfn.IFNA((INDEX('DMR 001C TIN &amp; TP'!$A$3:$M$10005,MATCH(('Reg 85'!$I$6:$Q$6&amp;'Reg 85'!V$10&amp;'Reg 85'!$B123),('DMR 001C TIN &amp; TP'!$E$3:$E$10005&amp;'DMR 001C TIN &amp; TP'!$B$3:$B$10005&amp;'DMR 001C TIN &amp; TP'!$A$3:$A$10005),0),MATCH('Reg 85'!$O$11,'DMR 001C TIN &amp; TP'!$A$2:$M$2,0))),"")</f>
        <v/>
      </c>
      <c r="W123" s="6" t="str">
        <f t="array" ref="W123">_xlfn.IFNA((INDEX('DMR 001C TIN &amp; TP'!$A$3:$M$10005,MATCH(('Reg 85'!$I$6:$Q$6&amp;'Reg 85'!W$10&amp;'Reg 85'!$B123),('DMR 001C TIN &amp; TP'!$E$3:$E$10005&amp;'DMR 001C TIN &amp; TP'!$B$3:$B$10005&amp;'DMR 001C TIN &amp; TP'!$A$3:$A$10005),0),MATCH('Reg 85'!$O$11,'DMR 001C TIN &amp; TP'!$A$2:$M$2,0))),"")</f>
        <v/>
      </c>
      <c r="X123" s="5" t="str">
        <f t="shared" si="50"/>
        <v/>
      </c>
      <c r="Y123" s="6" t="str">
        <f t="array" ref="Y123">_xlfn.IFNA((INDEX('DMR 001C TIN &amp; TP'!$A$3:$M$10005,MATCH(('Reg 85'!$X$6&amp;'Reg 85'!$X$10&amp;'Reg 85'!$B123),('DMR 001C TIN &amp; TP'!$E$3:$E$10005&amp;'DMR 001C TIN &amp; TP'!$B$3:$B$10005&amp;'DMR 001C TIN &amp; TP'!$A$3:$A$10005),0),MATCH('Reg 85'!$Y$11,'DMR 001C TIN &amp; TP'!$A$2:$M$2,0))),"")</f>
        <v/>
      </c>
      <c r="Z123" s="6" t="str">
        <f t="array" ref="Z123">_xlfn.IFNA((INDEX('DMR 001C TIN &amp; TP'!$A$3:$M$10005,MATCH(('Reg 85'!$X$6&amp;'Reg 85'!$X$10&amp;'Reg 85'!$B123),('DMR 001C TIN &amp; TP'!$E$3:$E$10005&amp;'DMR 001C TIN &amp; TP'!$B$3:$B$10005&amp;'DMR 001C TIN &amp; TP'!$A$3:$A$10005),0),MATCH('Reg 85'!$Z$11,'DMR 001C TIN &amp; TP'!$A$2:$M$2,0))),"")</f>
        <v/>
      </c>
      <c r="AA123" s="53" t="str">
        <f t="shared" si="51"/>
        <v/>
      </c>
      <c r="AB123" s="5" t="str">
        <f t="shared" si="52"/>
        <v/>
      </c>
      <c r="AC123" s="6" t="str">
        <f t="array" ref="AC123">_xlfn.IFNA((INDEX('DMR 001C TIN &amp; TP'!$A$3:$M$10005,MATCH(('Reg 85'!$X$6&amp;'Reg 85'!$AB$10&amp;'Reg 85'!$B123),('DMR 001C TIN &amp; TP'!$E$3:$E$10005&amp;'DMR 001C TIN &amp; TP'!$B$3:$B$10005&amp;'DMR 001C TIN &amp; TP'!$A$3:$A$10005),0),MATCH('Reg 85'!$AC$11,'DMR 001C TIN &amp; TP'!$A$2:$M$2,0))),"")</f>
        <v/>
      </c>
      <c r="AD123" s="6" t="str">
        <f t="array" ref="AD123">_xlfn.IFNA((INDEX('DMR 001C TIN &amp; TP'!$A$3:$M$10005,MATCH(('Reg 85'!$X$6&amp;'Reg 85'!$AB$10&amp;'Reg 85'!$B123),('DMR 001C TIN &amp; TP'!$E$3:$E$10005&amp;'DMR 001C TIN &amp; TP'!$B$3:$B$10005&amp;'DMR 001C TIN &amp; TP'!$A$3:$A$10005),0),MATCH('Reg 85'!$AD$11,'DMR 001C TIN &amp; TP'!$A$2:$M$2,0))),"")</f>
        <v/>
      </c>
      <c r="AE123" s="53" t="str">
        <f t="shared" si="53"/>
        <v/>
      </c>
      <c r="AF123" s="7" t="str">
        <f t="shared" si="54"/>
        <v/>
      </c>
      <c r="AG123" s="6" t="str">
        <f t="array" ref="AG123">_xlfn.IFNA((INDEX('DMR 001C TIN &amp; TP'!$A$3:$M$10005,MATCH(('Reg 85'!$X$6&amp;'Reg 85'!AG$10&amp;'Reg 85'!$B123),('DMR 001C TIN &amp; TP'!$E$3:$E$10005&amp;'DMR 001C TIN &amp; TP'!$B$3:$B$10005&amp;'DMR 001C TIN &amp; TP'!$A$3:$A$10005),0),MATCH('Reg 85'!$AG$11,'DMR 001C TIN &amp; TP'!$A$2:$M$2,0))),"")</f>
        <v/>
      </c>
      <c r="AH123" s="6" t="str">
        <f t="array" ref="AH123">_xlfn.IFNA((INDEX('DMR 001C TIN &amp; TP'!$A$3:$M$10005,MATCH(('Reg 85'!$X$6&amp;'Reg 85'!AH$10&amp;'Reg 85'!$B123),('DMR 001C TIN &amp; TP'!$E$3:$E$10005&amp;'DMR 001C TIN &amp; TP'!$B$3:$B$10005&amp;'DMR 001C TIN &amp; TP'!$A$3:$A$10005),0),MATCH('Reg 85'!$AG$11,'DMR 001C TIN &amp; TP'!$A$2:$M$2,0))),"")</f>
        <v/>
      </c>
      <c r="AI123" s="6" t="str">
        <f t="array" ref="AI123">_xlfn.IFNA((INDEX('DMR 001C TIN &amp; TP'!$A$3:$M$10005,MATCH(('Reg 85'!$X$6&amp;'Reg 85'!AI$10&amp;'Reg 85'!$B123),('DMR 001C TIN &amp; TP'!$E$3:$E$10005&amp;'DMR 001C TIN &amp; TP'!$B$3:$B$10005&amp;'DMR 001C TIN &amp; TP'!$A$3:$A$10005),0),MATCH('Reg 85'!$AG$11,'DMR 001C TIN &amp; TP'!$A$2:$M$2,0))),"")</f>
        <v/>
      </c>
      <c r="AJ123" s="6" t="str">
        <f t="array" ref="AJ123">_xlfn.IFNA((INDEX('DMR 001C TIN &amp; TP'!$A$3:$M$10005,MATCH(('Reg 85'!$X$6&amp;'Reg 85'!AJ$10&amp;'Reg 85'!$B123),('DMR 001C TIN &amp; TP'!$E$3:$E$10005&amp;'DMR 001C TIN &amp; TP'!$B$3:$B$10005&amp;'DMR 001C TIN &amp; TP'!$A$3:$A$10005),0),MATCH('Reg 85'!$AG$11,'DMR 001C TIN &amp; TP'!$A$2:$M$2,0))),"")</f>
        <v/>
      </c>
      <c r="AK123" s="6" t="str">
        <f t="array" ref="AK123">_xlfn.IFNA((INDEX('DMR 001C TIN &amp; TP'!$A$3:$M$10005,MATCH(('Reg 85'!$X$6&amp;'Reg 85'!AK$10&amp;'Reg 85'!$B123),('DMR 001C TIN &amp; TP'!$E$3:$E$10005&amp;'DMR 001C TIN &amp; TP'!$B$3:$B$10005&amp;'DMR 001C TIN &amp; TP'!$A$3:$A$10005),0),MATCH('Reg 85'!$AG$11,'DMR 001C TIN &amp; TP'!$A$2:$M$2,0))),"")</f>
        <v/>
      </c>
      <c r="AL123" s="6" t="str">
        <f t="array" ref="AL123">_xlfn.IFNA((INDEX('DMR 001C TIN &amp; TP'!$A$3:$M$10005,MATCH(('Reg 85'!$X$6&amp;'Reg 85'!AL$10&amp;'Reg 85'!$B123),('DMR 001C TIN &amp; TP'!$E$3:$E$10005&amp;'DMR 001C TIN &amp; TP'!$B$3:$B$10005&amp;'DMR 001C TIN &amp; TP'!$A$3:$A$10005),0),MATCH('Reg 85'!$AG$11,'DMR 001C TIN &amp; TP'!$A$2:$M$2,0))),"")</f>
        <v/>
      </c>
      <c r="AM123" s="76"/>
      <c r="AN123" s="6"/>
      <c r="AO123" s="54" t="str">
        <f t="shared" si="41"/>
        <v/>
      </c>
      <c r="AP123" s="77" t="str">
        <f t="shared" si="60"/>
        <v/>
      </c>
      <c r="AQ123" s="47"/>
      <c r="AR123" s="6" t="str">
        <f t="array" ref="AR123">_xlfn.IFNA((INDEX('DMR 001C TIN &amp; TP'!$A$3:$M$10005,MATCH(('Reg 85'!$AQ$6&amp;'Reg 85'!$AQ$10&amp;'Reg 85'!$B123),('DMR 001C TIN &amp; TP'!$E$3:$E$10005&amp;'DMR 001C TIN &amp; TP'!$B$3:$B$10005&amp;'DMR 001C TIN &amp; TP'!$A$3:$A$10005),0),MATCH('Reg 85'!$AR$11,'DMR 001C TIN &amp; TP'!$A$2:$M$2,0))),"")</f>
        <v/>
      </c>
      <c r="AS123" s="6" t="str">
        <f t="array" ref="AS123">_xlfn.IFNA((INDEX('DMR 001C TIN &amp; TP'!$A$3:$M$10005,MATCH(('Reg 85'!$AQ$6&amp;'Reg 85'!$AQ$10&amp;'Reg 85'!$B123),('DMR 001C TIN &amp; TP'!$E$3:$E$10005&amp;'DMR 001C TIN &amp; TP'!$B$3:$B$10005&amp;'DMR 001C TIN &amp; TP'!$A$3:$A$10005),0),MATCH('Reg 85'!$AS$11,'DMR 001C TIN &amp; TP'!$A$2:$M$2,0))),"")</f>
        <v/>
      </c>
      <c r="AT123" s="53" t="str">
        <f t="shared" si="55"/>
        <v/>
      </c>
      <c r="AV123" s="6" t="str">
        <f t="array" ref="AV123">_xlfn.IFNA((INDEX('DMR 001C TIN &amp; TP'!$A$3:$M$10005,MATCH(('Reg 85'!$AQ$6&amp;'Reg 85'!$AU$10&amp;'Reg 85'!$B123),('DMR 001C TIN &amp; TP'!$E$3:$E$10005&amp;'DMR 001C TIN &amp; TP'!$B$3:$B$10005&amp;'DMR 001C TIN &amp; TP'!$A$3:$A$10005),0),MATCH('Reg 85'!$AV$11,'DMR 001C TIN &amp; TP'!$A$2:$M$2,0))),"")</f>
        <v/>
      </c>
      <c r="AW123" s="6" t="str">
        <f t="array" ref="AW123">_xlfn.IFNA((INDEX('DMR 001C TIN &amp; TP'!$A$3:$M$10005,MATCH(('Reg 85'!$AQ$6&amp;'Reg 85'!$AU$10&amp;'Reg 85'!$B123),('DMR 001C TIN &amp; TP'!$E$3:$E$10005&amp;'DMR 001C TIN &amp; TP'!$B$3:$B$10005&amp;'DMR 001C TIN &amp; TP'!$A$3:$A$10005),0),MATCH('Reg 85'!$AW$11,'DMR 001C TIN &amp; TP'!$A$2:$M$2,0))),"")</f>
        <v/>
      </c>
      <c r="AX123" s="53" t="str">
        <f t="shared" si="56"/>
        <v/>
      </c>
      <c r="AY123" s="55" t="str">
        <f t="shared" si="57"/>
        <v/>
      </c>
      <c r="AZ123" s="77" t="str">
        <f t="shared" si="61"/>
        <v/>
      </c>
      <c r="BA123" s="6" t="str">
        <f t="array" ref="BA123">_xlfn.IFNA((INDEX('DMR 001C TIN &amp; TP'!$A$3:$M$10005,MATCH(('Reg 85'!$AQ$6&amp;'Reg 85'!BA$10&amp;'Reg 85'!$B123),('DMR 001C TIN &amp; TP'!$E$3:$E$10005&amp;'DMR 001C TIN &amp; TP'!$B$3:$B$10005&amp;'DMR 001C TIN &amp; TP'!$A$3:$A$10005),0),MATCH('Reg 85'!$AG$11,'DMR 001C TIN &amp; TP'!$A$2:$M$2,0))),"")</f>
        <v/>
      </c>
      <c r="BB123" s="6" t="str">
        <f t="array" ref="BB123">_xlfn.IFNA((INDEX('DMR 001C TIN &amp; TP'!$A$3:$M$10005,MATCH(('Reg 85'!$AQ$6&amp;'Reg 85'!BB$10&amp;'Reg 85'!$B123),('DMR 001C TIN &amp; TP'!$E$3:$E$10005&amp;'DMR 001C TIN &amp; TP'!$B$3:$B$10005&amp;'DMR 001C TIN &amp; TP'!$A$3:$A$10005),0),MATCH('Reg 85'!$AG$11,'DMR 001C TIN &amp; TP'!$A$2:$M$2,0))),"")</f>
        <v/>
      </c>
      <c r="BC123" s="6" t="str">
        <f t="array" ref="BC123">_xlfn.IFNA((INDEX('DMR 001C TIN &amp; TP'!$A$3:$M$10005,MATCH(('Reg 85'!$AQ$6&amp;'Reg 85'!BC$10&amp;'Reg 85'!$B123),('DMR 001C TIN &amp; TP'!$E$3:$E$10005&amp;'DMR 001C TIN &amp; TP'!$B$3:$B$10005&amp;'DMR 001C TIN &amp; TP'!$A$3:$A$10005),0),MATCH('Reg 85'!$AG$11,'DMR 001C TIN &amp; TP'!$A$2:$M$2,0))),"")</f>
        <v/>
      </c>
      <c r="BD123" s="6" t="str">
        <f t="array" ref="BD123">_xlfn.IFNA((INDEX('DMR 001C TIN &amp; TP'!$A$3:$M$10005,MATCH(('Reg 85'!$AQ$6&amp;'Reg 85'!BD$10&amp;'Reg 85'!$B123),('DMR 001C TIN &amp; TP'!$E$3:$E$10005&amp;'DMR 001C TIN &amp; TP'!$B$3:$B$10005&amp;'DMR 001C TIN &amp; TP'!$A$3:$A$10005),0),MATCH('Reg 85'!$AG$11,'DMR 001C TIN &amp; TP'!$A$2:$M$2,0))),"")</f>
        <v/>
      </c>
      <c r="BE123" s="6" t="str">
        <f t="array" ref="BE123">_xlfn.IFNA((INDEX('DMR 001C TIN &amp; TP'!$A$3:$M$10005,MATCH(('Reg 85'!$AQ$6&amp;'Reg 85'!BE$10&amp;'Reg 85'!$B123),('DMR 001C TIN &amp; TP'!$E$3:$E$10005&amp;'DMR 001C TIN &amp; TP'!$B$3:$B$10005&amp;'DMR 001C TIN &amp; TP'!$A$3:$A$10005),0),MATCH('Reg 85'!$AG$11,'DMR 001C TIN &amp; TP'!$A$2:$M$2,0))),"")</f>
        <v/>
      </c>
      <c r="BF123" s="6" t="str">
        <f t="array" ref="BF123">_xlfn.IFNA((INDEX('DMR 001C TIN &amp; TP'!$A$3:$M$10005,MATCH(('Reg 85'!$AQ$6&amp;'Reg 85'!BF$10&amp;'Reg 85'!$B123),('DMR 001C TIN &amp; TP'!$E$3:$E$10005&amp;'DMR 001C TIN &amp; TP'!$B$3:$B$10005&amp;'DMR 001C TIN &amp; TP'!$A$3:$A$10005),0),MATCH('Reg 85'!$AG$11,'DMR 001C TIN &amp; TP'!$A$2:$M$2,0))),"")</f>
        <v/>
      </c>
    </row>
    <row r="124" spans="1:58">
      <c r="A124" s="3" t="str">
        <f t="shared" si="42"/>
        <v>Sat</v>
      </c>
      <c r="B124" s="96">
        <f t="shared" si="58"/>
        <v>43456</v>
      </c>
      <c r="C124" s="96">
        <f t="shared" si="43"/>
        <v>43465</v>
      </c>
      <c r="D124" s="96">
        <f t="shared" si="44"/>
        <v>43435</v>
      </c>
      <c r="E124" s="95">
        <f t="shared" si="45"/>
        <v>31</v>
      </c>
      <c r="F124" s="7">
        <f t="array" ref="F124">_xlfn.IFNA(INDEX('DMR Flows-Effluent'!$A$3:$F$9999,MATCH(($F$10&amp;$B124),('DMR Flows-Effluent'!$B$3:$B$9999&amp;'DMR Flows-Effluent'!$A$3:$A$9999),0),MATCH($F$8,'DMR Flows-Effluent'!$A$2:$F$2,0)),"")</f>
        <v>47.352400000000003</v>
      </c>
      <c r="G124" s="7">
        <f t="array" ref="G124">_xlfn.IFNA(INDEX('DMR Flows-Effluent'!$A$3:$F$9999,MATCH(($G$10&amp;$B124),('DMR Flows-Effluent'!$B$3:$B$9999&amp;'DMR Flows-Effluent'!$A$3:$A$9999),0),MATCH($F$8,'DMR Flows-Effluent'!$A$2:$F$2,0)),"")</f>
        <v>66.554900000000004</v>
      </c>
      <c r="H124" s="7">
        <f t="shared" si="46"/>
        <v>113.90730000000001</v>
      </c>
      <c r="I124" s="45" t="str">
        <f t="shared" si="47"/>
        <v/>
      </c>
      <c r="J124" s="6" t="str">
        <f t="array" ref="J124">_xlfn.IFNA((INDEX('DMR 001C TIN &amp; TP'!$A$3:$M$10005,MATCH(('Reg 85'!$I$6:$Q$6&amp;'Reg 85'!$I$10:$K$10&amp;'Reg 85'!$B124),('DMR 001C TIN &amp; TP'!$E$3:$E$10005&amp;'DMR 001C TIN &amp; TP'!$B$3:$B$10005&amp;'DMR 001C TIN &amp; TP'!$A$3:$A$10005),0),MATCH('Reg 85'!$J$11,'DMR 001C TIN &amp; TP'!$A$2:$M$2,0))),"")</f>
        <v/>
      </c>
      <c r="K124" s="6" t="str">
        <f t="array" ref="K124">_xlfn.IFNA((INDEX('DMR 001C TIN &amp; TP'!$A$3:$M$10005,MATCH(('Reg 85'!$I$6:$Q$6&amp;'Reg 85'!$I$10:$K$10&amp;'Reg 85'!$B124),('DMR 001C TIN &amp; TP'!$E$3:$E$10005&amp;'DMR 001C TIN &amp; TP'!$B$3:$B$10005&amp;'DMR 001C TIN &amp; TP'!$A$3:$A$10005),0),MATCH('Reg 85'!$K$11,'DMR 001C TIN &amp; TP'!$A$2:$M$2,0))),"")</f>
        <v/>
      </c>
      <c r="L124" s="53" t="str">
        <f t="shared" si="59"/>
        <v/>
      </c>
      <c r="M124" s="5" t="str">
        <f t="shared" si="48"/>
        <v/>
      </c>
      <c r="N124" s="6" t="str">
        <f t="array" ref="N124">_xlfn.IFNA((INDEX('DMR 001C TIN &amp; TP'!$A$3:$M$10005,MATCH(('Reg 85'!$I$6:$Q$6&amp;'Reg 85'!$M$10&amp;'Reg 85'!$B124),('DMR 001C TIN &amp; TP'!$E$3:$E$10005&amp;'DMR 001C TIN &amp; TP'!$B$3:$B$10005&amp;'DMR 001C TIN &amp; TP'!$A$3:$A$10005),0),MATCH('Reg 85'!$N$11,'DMR 001C TIN &amp; TP'!$A$2:$M$2,0))),"")</f>
        <v/>
      </c>
      <c r="O124" s="6" t="str">
        <f t="array" ref="O124">_xlfn.IFNA((INDEX('DMR 001C TIN &amp; TP'!$A$3:$M$10005,MATCH(('Reg 85'!$I$6:$Q$6&amp;'Reg 85'!$M$10&amp;'Reg 85'!$B124),('DMR 001C TIN &amp; TP'!$E$3:$E$10005&amp;'DMR 001C TIN &amp; TP'!$B$3:$B$10005&amp;'DMR 001C TIN &amp; TP'!$A$3:$A$10005),0),MATCH('Reg 85'!$O$11,'DMR 001C TIN &amp; TP'!$A$2:$M$2,0))),"")</f>
        <v/>
      </c>
      <c r="P124" s="53" t="str">
        <f t="shared" si="49"/>
        <v/>
      </c>
      <c r="Q124" s="73" t="str">
        <f t="array" ref="Q124">IFERROR(((L124*$F124)+(P124*$G124))/($H124),"")</f>
        <v/>
      </c>
      <c r="R124" s="6" t="str">
        <f t="array" ref="R124">_xlfn.IFNA((INDEX('DMR 001C TIN &amp; TP'!$A$3:$M$10005,MATCH(('Reg 85'!$I$6:$Q$6&amp;'Reg 85'!R$10&amp;'Reg 85'!$B124),('DMR 001C TIN &amp; TP'!$E$3:$E$10005&amp;'DMR 001C TIN &amp; TP'!$B$3:$B$10005&amp;'DMR 001C TIN &amp; TP'!$A$3:$A$10005),0),MATCH('Reg 85'!$O$11,'DMR 001C TIN &amp; TP'!$A$2:$M$2,0))),"")</f>
        <v/>
      </c>
      <c r="S124" s="6" t="str">
        <f t="array" ref="S124">_xlfn.IFNA((INDEX('DMR 001C TIN &amp; TP'!$A$3:$M$10005,MATCH(('Reg 85'!$I$6:$Q$6&amp;'Reg 85'!S$10&amp;'Reg 85'!$B124),('DMR 001C TIN &amp; TP'!$E$3:$E$10005&amp;'DMR 001C TIN &amp; TP'!$B$3:$B$10005&amp;'DMR 001C TIN &amp; TP'!$A$3:$A$10005),0),MATCH('Reg 85'!$O$11,'DMR 001C TIN &amp; TP'!$A$2:$M$2,0))),"")</f>
        <v/>
      </c>
      <c r="T124" s="6" t="str">
        <f t="array" ref="T124">_xlfn.IFNA((INDEX('DMR 001C TIN &amp; TP'!$A$3:$M$10005,MATCH(('Reg 85'!$I$6:$Q$6&amp;'Reg 85'!T$10&amp;'Reg 85'!$B124),('DMR 001C TIN &amp; TP'!$E$3:$E$10005&amp;'DMR 001C TIN &amp; TP'!$B$3:$B$10005&amp;'DMR 001C TIN &amp; TP'!$A$3:$A$10005),0),MATCH('Reg 85'!$O$11,'DMR 001C TIN &amp; TP'!$A$2:$M$2,0))),"")</f>
        <v/>
      </c>
      <c r="U124" s="6" t="str">
        <f t="array" ref="U124">_xlfn.IFNA((INDEX('DMR 001C TIN &amp; TP'!$A$3:$M$10005,MATCH(('Reg 85'!$I$6:$Q$6&amp;'Reg 85'!U$10&amp;'Reg 85'!$B124),('DMR 001C TIN &amp; TP'!$E$3:$E$10005&amp;'DMR 001C TIN &amp; TP'!$B$3:$B$10005&amp;'DMR 001C TIN &amp; TP'!$A$3:$A$10005),0),MATCH('Reg 85'!$O$11,'DMR 001C TIN &amp; TP'!$A$2:$M$2,0))),"")</f>
        <v/>
      </c>
      <c r="V124" s="6" t="str">
        <f t="array" ref="V124">_xlfn.IFNA((INDEX('DMR 001C TIN &amp; TP'!$A$3:$M$10005,MATCH(('Reg 85'!$I$6:$Q$6&amp;'Reg 85'!V$10&amp;'Reg 85'!$B124),('DMR 001C TIN &amp; TP'!$E$3:$E$10005&amp;'DMR 001C TIN &amp; TP'!$B$3:$B$10005&amp;'DMR 001C TIN &amp; TP'!$A$3:$A$10005),0),MATCH('Reg 85'!$O$11,'DMR 001C TIN &amp; TP'!$A$2:$M$2,0))),"")</f>
        <v/>
      </c>
      <c r="W124" s="6" t="str">
        <f t="array" ref="W124">_xlfn.IFNA((INDEX('DMR 001C TIN &amp; TP'!$A$3:$M$10005,MATCH(('Reg 85'!$I$6:$Q$6&amp;'Reg 85'!W$10&amp;'Reg 85'!$B124),('DMR 001C TIN &amp; TP'!$E$3:$E$10005&amp;'DMR 001C TIN &amp; TP'!$B$3:$B$10005&amp;'DMR 001C TIN &amp; TP'!$A$3:$A$10005),0),MATCH('Reg 85'!$O$11,'DMR 001C TIN &amp; TP'!$A$2:$M$2,0))),"")</f>
        <v/>
      </c>
      <c r="X124" s="5" t="str">
        <f t="shared" si="50"/>
        <v/>
      </c>
      <c r="Y124" s="6" t="str">
        <f t="array" ref="Y124">_xlfn.IFNA((INDEX('DMR 001C TIN &amp; TP'!$A$3:$M$10005,MATCH(('Reg 85'!$X$6&amp;'Reg 85'!$X$10&amp;'Reg 85'!$B124),('DMR 001C TIN &amp; TP'!$E$3:$E$10005&amp;'DMR 001C TIN &amp; TP'!$B$3:$B$10005&amp;'DMR 001C TIN &amp; TP'!$A$3:$A$10005),0),MATCH('Reg 85'!$Y$11,'DMR 001C TIN &amp; TP'!$A$2:$M$2,0))),"")</f>
        <v/>
      </c>
      <c r="Z124" s="6" t="str">
        <f t="array" ref="Z124">_xlfn.IFNA((INDEX('DMR 001C TIN &amp; TP'!$A$3:$M$10005,MATCH(('Reg 85'!$X$6&amp;'Reg 85'!$X$10&amp;'Reg 85'!$B124),('DMR 001C TIN &amp; TP'!$E$3:$E$10005&amp;'DMR 001C TIN &amp; TP'!$B$3:$B$10005&amp;'DMR 001C TIN &amp; TP'!$A$3:$A$10005),0),MATCH('Reg 85'!$Z$11,'DMR 001C TIN &amp; TP'!$A$2:$M$2,0))),"")</f>
        <v/>
      </c>
      <c r="AA124" s="53" t="str">
        <f t="shared" si="51"/>
        <v/>
      </c>
      <c r="AB124" s="5" t="str">
        <f t="shared" si="52"/>
        <v/>
      </c>
      <c r="AC124" s="6" t="str">
        <f t="array" ref="AC124">_xlfn.IFNA((INDEX('DMR 001C TIN &amp; TP'!$A$3:$M$10005,MATCH(('Reg 85'!$X$6&amp;'Reg 85'!$AB$10&amp;'Reg 85'!$B124),('DMR 001C TIN &amp; TP'!$E$3:$E$10005&amp;'DMR 001C TIN &amp; TP'!$B$3:$B$10005&amp;'DMR 001C TIN &amp; TP'!$A$3:$A$10005),0),MATCH('Reg 85'!$AC$11,'DMR 001C TIN &amp; TP'!$A$2:$M$2,0))),"")</f>
        <v/>
      </c>
      <c r="AD124" s="6" t="str">
        <f t="array" ref="AD124">_xlfn.IFNA((INDEX('DMR 001C TIN &amp; TP'!$A$3:$M$10005,MATCH(('Reg 85'!$X$6&amp;'Reg 85'!$AB$10&amp;'Reg 85'!$B124),('DMR 001C TIN &amp; TP'!$E$3:$E$10005&amp;'DMR 001C TIN &amp; TP'!$B$3:$B$10005&amp;'DMR 001C TIN &amp; TP'!$A$3:$A$10005),0),MATCH('Reg 85'!$AD$11,'DMR 001C TIN &amp; TP'!$A$2:$M$2,0))),"")</f>
        <v/>
      </c>
      <c r="AE124" s="53" t="str">
        <f t="shared" si="53"/>
        <v/>
      </c>
      <c r="AF124" s="7" t="str">
        <f t="shared" si="54"/>
        <v/>
      </c>
      <c r="AG124" s="6" t="str">
        <f t="array" ref="AG124">_xlfn.IFNA((INDEX('DMR 001C TIN &amp; TP'!$A$3:$M$10005,MATCH(('Reg 85'!$X$6&amp;'Reg 85'!AG$10&amp;'Reg 85'!$B124),('DMR 001C TIN &amp; TP'!$E$3:$E$10005&amp;'DMR 001C TIN &amp; TP'!$B$3:$B$10005&amp;'DMR 001C TIN &amp; TP'!$A$3:$A$10005),0),MATCH('Reg 85'!$AG$11,'DMR 001C TIN &amp; TP'!$A$2:$M$2,0))),"")</f>
        <v/>
      </c>
      <c r="AH124" s="6" t="str">
        <f t="array" ref="AH124">_xlfn.IFNA((INDEX('DMR 001C TIN &amp; TP'!$A$3:$M$10005,MATCH(('Reg 85'!$X$6&amp;'Reg 85'!AH$10&amp;'Reg 85'!$B124),('DMR 001C TIN &amp; TP'!$E$3:$E$10005&amp;'DMR 001C TIN &amp; TP'!$B$3:$B$10005&amp;'DMR 001C TIN &amp; TP'!$A$3:$A$10005),0),MATCH('Reg 85'!$AG$11,'DMR 001C TIN &amp; TP'!$A$2:$M$2,0))),"")</f>
        <v/>
      </c>
      <c r="AI124" s="6" t="str">
        <f t="array" ref="AI124">_xlfn.IFNA((INDEX('DMR 001C TIN &amp; TP'!$A$3:$M$10005,MATCH(('Reg 85'!$X$6&amp;'Reg 85'!AI$10&amp;'Reg 85'!$B124),('DMR 001C TIN &amp; TP'!$E$3:$E$10005&amp;'DMR 001C TIN &amp; TP'!$B$3:$B$10005&amp;'DMR 001C TIN &amp; TP'!$A$3:$A$10005),0),MATCH('Reg 85'!$AG$11,'DMR 001C TIN &amp; TP'!$A$2:$M$2,0))),"")</f>
        <v/>
      </c>
      <c r="AJ124" s="6" t="str">
        <f t="array" ref="AJ124">_xlfn.IFNA((INDEX('DMR 001C TIN &amp; TP'!$A$3:$M$10005,MATCH(('Reg 85'!$X$6&amp;'Reg 85'!AJ$10&amp;'Reg 85'!$B124),('DMR 001C TIN &amp; TP'!$E$3:$E$10005&amp;'DMR 001C TIN &amp; TP'!$B$3:$B$10005&amp;'DMR 001C TIN &amp; TP'!$A$3:$A$10005),0),MATCH('Reg 85'!$AG$11,'DMR 001C TIN &amp; TP'!$A$2:$M$2,0))),"")</f>
        <v/>
      </c>
      <c r="AK124" s="6" t="str">
        <f t="array" ref="AK124">_xlfn.IFNA((INDEX('DMR 001C TIN &amp; TP'!$A$3:$M$10005,MATCH(('Reg 85'!$X$6&amp;'Reg 85'!AK$10&amp;'Reg 85'!$B124),('DMR 001C TIN &amp; TP'!$E$3:$E$10005&amp;'DMR 001C TIN &amp; TP'!$B$3:$B$10005&amp;'DMR 001C TIN &amp; TP'!$A$3:$A$10005),0),MATCH('Reg 85'!$AG$11,'DMR 001C TIN &amp; TP'!$A$2:$M$2,0))),"")</f>
        <v/>
      </c>
      <c r="AL124" s="6" t="str">
        <f t="array" ref="AL124">_xlfn.IFNA((INDEX('DMR 001C TIN &amp; TP'!$A$3:$M$10005,MATCH(('Reg 85'!$X$6&amp;'Reg 85'!AL$10&amp;'Reg 85'!$B124),('DMR 001C TIN &amp; TP'!$E$3:$E$10005&amp;'DMR 001C TIN &amp; TP'!$B$3:$B$10005&amp;'DMR 001C TIN &amp; TP'!$A$3:$A$10005),0),MATCH('Reg 85'!$AG$11,'DMR 001C TIN &amp; TP'!$A$2:$M$2,0))),"")</f>
        <v/>
      </c>
      <c r="AM124" s="76"/>
      <c r="AN124" s="6"/>
      <c r="AO124" s="54" t="str">
        <f t="shared" si="41"/>
        <v/>
      </c>
      <c r="AP124" s="77" t="str">
        <f t="shared" si="60"/>
        <v/>
      </c>
      <c r="AQ124" s="47"/>
      <c r="AR124" s="6" t="str">
        <f t="array" ref="AR124">_xlfn.IFNA((INDEX('DMR 001C TIN &amp; TP'!$A$3:$M$10005,MATCH(('Reg 85'!$AQ$6&amp;'Reg 85'!$AQ$10&amp;'Reg 85'!$B124),('DMR 001C TIN &amp; TP'!$E$3:$E$10005&amp;'DMR 001C TIN &amp; TP'!$B$3:$B$10005&amp;'DMR 001C TIN &amp; TP'!$A$3:$A$10005),0),MATCH('Reg 85'!$AR$11,'DMR 001C TIN &amp; TP'!$A$2:$M$2,0))),"")</f>
        <v/>
      </c>
      <c r="AS124" s="6" t="str">
        <f t="array" ref="AS124">_xlfn.IFNA((INDEX('DMR 001C TIN &amp; TP'!$A$3:$M$10005,MATCH(('Reg 85'!$AQ$6&amp;'Reg 85'!$AQ$10&amp;'Reg 85'!$B124),('DMR 001C TIN &amp; TP'!$E$3:$E$10005&amp;'DMR 001C TIN &amp; TP'!$B$3:$B$10005&amp;'DMR 001C TIN &amp; TP'!$A$3:$A$10005),0),MATCH('Reg 85'!$AS$11,'DMR 001C TIN &amp; TP'!$A$2:$M$2,0))),"")</f>
        <v/>
      </c>
      <c r="AT124" s="53" t="str">
        <f t="shared" si="55"/>
        <v/>
      </c>
      <c r="AV124" s="6" t="str">
        <f t="array" ref="AV124">_xlfn.IFNA((INDEX('DMR 001C TIN &amp; TP'!$A$3:$M$10005,MATCH(('Reg 85'!$AQ$6&amp;'Reg 85'!$AU$10&amp;'Reg 85'!$B124),('DMR 001C TIN &amp; TP'!$E$3:$E$10005&amp;'DMR 001C TIN &amp; TP'!$B$3:$B$10005&amp;'DMR 001C TIN &amp; TP'!$A$3:$A$10005),0),MATCH('Reg 85'!$AV$11,'DMR 001C TIN &amp; TP'!$A$2:$M$2,0))),"")</f>
        <v/>
      </c>
      <c r="AW124" s="6" t="str">
        <f t="array" ref="AW124">_xlfn.IFNA((INDEX('DMR 001C TIN &amp; TP'!$A$3:$M$10005,MATCH(('Reg 85'!$AQ$6&amp;'Reg 85'!$AU$10&amp;'Reg 85'!$B124),('DMR 001C TIN &amp; TP'!$E$3:$E$10005&amp;'DMR 001C TIN &amp; TP'!$B$3:$B$10005&amp;'DMR 001C TIN &amp; TP'!$A$3:$A$10005),0),MATCH('Reg 85'!$AW$11,'DMR 001C TIN &amp; TP'!$A$2:$M$2,0))),"")</f>
        <v/>
      </c>
      <c r="AX124" s="53" t="str">
        <f t="shared" si="56"/>
        <v/>
      </c>
      <c r="AY124" s="55" t="str">
        <f t="shared" si="57"/>
        <v/>
      </c>
      <c r="AZ124" s="77" t="str">
        <f t="shared" si="61"/>
        <v/>
      </c>
      <c r="BA124" s="6" t="str">
        <f t="array" ref="BA124">_xlfn.IFNA((INDEX('DMR 001C TIN &amp; TP'!$A$3:$M$10005,MATCH(('Reg 85'!$AQ$6&amp;'Reg 85'!BA$10&amp;'Reg 85'!$B124),('DMR 001C TIN &amp; TP'!$E$3:$E$10005&amp;'DMR 001C TIN &amp; TP'!$B$3:$B$10005&amp;'DMR 001C TIN &amp; TP'!$A$3:$A$10005),0),MATCH('Reg 85'!$AG$11,'DMR 001C TIN &amp; TP'!$A$2:$M$2,0))),"")</f>
        <v/>
      </c>
      <c r="BB124" s="6" t="str">
        <f t="array" ref="BB124">_xlfn.IFNA((INDEX('DMR 001C TIN &amp; TP'!$A$3:$M$10005,MATCH(('Reg 85'!$AQ$6&amp;'Reg 85'!BB$10&amp;'Reg 85'!$B124),('DMR 001C TIN &amp; TP'!$E$3:$E$10005&amp;'DMR 001C TIN &amp; TP'!$B$3:$B$10005&amp;'DMR 001C TIN &amp; TP'!$A$3:$A$10005),0),MATCH('Reg 85'!$AG$11,'DMR 001C TIN &amp; TP'!$A$2:$M$2,0))),"")</f>
        <v/>
      </c>
      <c r="BC124" s="6" t="str">
        <f t="array" ref="BC124">_xlfn.IFNA((INDEX('DMR 001C TIN &amp; TP'!$A$3:$M$10005,MATCH(('Reg 85'!$AQ$6&amp;'Reg 85'!BC$10&amp;'Reg 85'!$B124),('DMR 001C TIN &amp; TP'!$E$3:$E$10005&amp;'DMR 001C TIN &amp; TP'!$B$3:$B$10005&amp;'DMR 001C TIN &amp; TP'!$A$3:$A$10005),0),MATCH('Reg 85'!$AG$11,'DMR 001C TIN &amp; TP'!$A$2:$M$2,0))),"")</f>
        <v/>
      </c>
      <c r="BD124" s="6" t="str">
        <f t="array" ref="BD124">_xlfn.IFNA((INDEX('DMR 001C TIN &amp; TP'!$A$3:$M$10005,MATCH(('Reg 85'!$AQ$6&amp;'Reg 85'!BD$10&amp;'Reg 85'!$B124),('DMR 001C TIN &amp; TP'!$E$3:$E$10005&amp;'DMR 001C TIN &amp; TP'!$B$3:$B$10005&amp;'DMR 001C TIN &amp; TP'!$A$3:$A$10005),0),MATCH('Reg 85'!$AG$11,'DMR 001C TIN &amp; TP'!$A$2:$M$2,0))),"")</f>
        <v/>
      </c>
      <c r="BE124" s="6" t="str">
        <f t="array" ref="BE124">_xlfn.IFNA((INDEX('DMR 001C TIN &amp; TP'!$A$3:$M$10005,MATCH(('Reg 85'!$AQ$6&amp;'Reg 85'!BE$10&amp;'Reg 85'!$B124),('DMR 001C TIN &amp; TP'!$E$3:$E$10005&amp;'DMR 001C TIN &amp; TP'!$B$3:$B$10005&amp;'DMR 001C TIN &amp; TP'!$A$3:$A$10005),0),MATCH('Reg 85'!$AG$11,'DMR 001C TIN &amp; TP'!$A$2:$M$2,0))),"")</f>
        <v/>
      </c>
      <c r="BF124" s="6" t="str">
        <f t="array" ref="BF124">_xlfn.IFNA((INDEX('DMR 001C TIN &amp; TP'!$A$3:$M$10005,MATCH(('Reg 85'!$AQ$6&amp;'Reg 85'!BF$10&amp;'Reg 85'!$B124),('DMR 001C TIN &amp; TP'!$E$3:$E$10005&amp;'DMR 001C TIN &amp; TP'!$B$3:$B$10005&amp;'DMR 001C TIN &amp; TP'!$A$3:$A$10005),0),MATCH('Reg 85'!$AG$11,'DMR 001C TIN &amp; TP'!$A$2:$M$2,0))),"")</f>
        <v/>
      </c>
    </row>
    <row r="125" spans="1:58">
      <c r="A125" s="3" t="str">
        <f t="shared" si="42"/>
        <v>Sun</v>
      </c>
      <c r="B125" s="96">
        <f t="shared" si="58"/>
        <v>43457</v>
      </c>
      <c r="C125" s="96">
        <f t="shared" si="43"/>
        <v>43465</v>
      </c>
      <c r="D125" s="96">
        <f t="shared" si="44"/>
        <v>43435</v>
      </c>
      <c r="E125" s="95">
        <f t="shared" si="45"/>
        <v>31</v>
      </c>
      <c r="F125" s="7">
        <f t="array" ref="F125">_xlfn.IFNA(INDEX('DMR Flows-Effluent'!$A$3:$F$9999,MATCH(($F$10&amp;$B125),('DMR Flows-Effluent'!$B$3:$B$9999&amp;'DMR Flows-Effluent'!$A$3:$A$9999),0),MATCH($F$8,'DMR Flows-Effluent'!$A$2:$F$2,0)),"")</f>
        <v>48.281700000000001</v>
      </c>
      <c r="G125" s="7">
        <f t="array" ref="G125">_xlfn.IFNA(INDEX('DMR Flows-Effluent'!$A$3:$F$9999,MATCH(($G$10&amp;$B125),('DMR Flows-Effluent'!$B$3:$B$9999&amp;'DMR Flows-Effluent'!$A$3:$A$9999),0),MATCH($F$8,'DMR Flows-Effluent'!$A$2:$F$2,0)),"")</f>
        <v>71.271799999999999</v>
      </c>
      <c r="H125" s="7">
        <f t="shared" si="46"/>
        <v>119.5535</v>
      </c>
      <c r="I125" s="45" t="str">
        <f t="shared" si="47"/>
        <v/>
      </c>
      <c r="J125" s="6" t="str">
        <f t="array" ref="J125">_xlfn.IFNA((INDEX('DMR 001C TIN &amp; TP'!$A$3:$M$10005,MATCH(('Reg 85'!$I$6:$Q$6&amp;'Reg 85'!$I$10:$K$10&amp;'Reg 85'!$B125),('DMR 001C TIN &amp; TP'!$E$3:$E$10005&amp;'DMR 001C TIN &amp; TP'!$B$3:$B$10005&amp;'DMR 001C TIN &amp; TP'!$A$3:$A$10005),0),MATCH('Reg 85'!$J$11,'DMR 001C TIN &amp; TP'!$A$2:$M$2,0))),"")</f>
        <v/>
      </c>
      <c r="K125" s="6" t="str">
        <f t="array" ref="K125">_xlfn.IFNA((INDEX('DMR 001C TIN &amp; TP'!$A$3:$M$10005,MATCH(('Reg 85'!$I$6:$Q$6&amp;'Reg 85'!$I$10:$K$10&amp;'Reg 85'!$B125),('DMR 001C TIN &amp; TP'!$E$3:$E$10005&amp;'DMR 001C TIN &amp; TP'!$B$3:$B$10005&amp;'DMR 001C TIN &amp; TP'!$A$3:$A$10005),0),MATCH('Reg 85'!$K$11,'DMR 001C TIN &amp; TP'!$A$2:$M$2,0))),"")</f>
        <v/>
      </c>
      <c r="L125" s="53" t="str">
        <f t="shared" si="59"/>
        <v/>
      </c>
      <c r="M125" s="5" t="str">
        <f t="shared" si="48"/>
        <v/>
      </c>
      <c r="N125" s="6" t="str">
        <f t="array" ref="N125">_xlfn.IFNA((INDEX('DMR 001C TIN &amp; TP'!$A$3:$M$10005,MATCH(('Reg 85'!$I$6:$Q$6&amp;'Reg 85'!$M$10&amp;'Reg 85'!$B125),('DMR 001C TIN &amp; TP'!$E$3:$E$10005&amp;'DMR 001C TIN &amp; TP'!$B$3:$B$10005&amp;'DMR 001C TIN &amp; TP'!$A$3:$A$10005),0),MATCH('Reg 85'!$N$11,'DMR 001C TIN &amp; TP'!$A$2:$M$2,0))),"")</f>
        <v/>
      </c>
      <c r="O125" s="6" t="str">
        <f t="array" ref="O125">_xlfn.IFNA((INDEX('DMR 001C TIN &amp; TP'!$A$3:$M$10005,MATCH(('Reg 85'!$I$6:$Q$6&amp;'Reg 85'!$M$10&amp;'Reg 85'!$B125),('DMR 001C TIN &amp; TP'!$E$3:$E$10005&amp;'DMR 001C TIN &amp; TP'!$B$3:$B$10005&amp;'DMR 001C TIN &amp; TP'!$A$3:$A$10005),0),MATCH('Reg 85'!$O$11,'DMR 001C TIN &amp; TP'!$A$2:$M$2,0))),"")</f>
        <v/>
      </c>
      <c r="P125" s="53" t="str">
        <f t="shared" si="49"/>
        <v/>
      </c>
      <c r="Q125" s="73" t="str">
        <f t="array" ref="Q125">IFERROR(((L125*$F125)+(P125*$G125))/($H125),"")</f>
        <v/>
      </c>
      <c r="R125" s="6" t="str">
        <f t="array" ref="R125">_xlfn.IFNA((INDEX('DMR 001C TIN &amp; TP'!$A$3:$M$10005,MATCH(('Reg 85'!$I$6:$Q$6&amp;'Reg 85'!R$10&amp;'Reg 85'!$B125),('DMR 001C TIN &amp; TP'!$E$3:$E$10005&amp;'DMR 001C TIN &amp; TP'!$B$3:$B$10005&amp;'DMR 001C TIN &amp; TP'!$A$3:$A$10005),0),MATCH('Reg 85'!$O$11,'DMR 001C TIN &amp; TP'!$A$2:$M$2,0))),"")</f>
        <v/>
      </c>
      <c r="S125" s="6" t="str">
        <f t="array" ref="S125">_xlfn.IFNA((INDEX('DMR 001C TIN &amp; TP'!$A$3:$M$10005,MATCH(('Reg 85'!$I$6:$Q$6&amp;'Reg 85'!S$10&amp;'Reg 85'!$B125),('DMR 001C TIN &amp; TP'!$E$3:$E$10005&amp;'DMR 001C TIN &amp; TP'!$B$3:$B$10005&amp;'DMR 001C TIN &amp; TP'!$A$3:$A$10005),0),MATCH('Reg 85'!$O$11,'DMR 001C TIN &amp; TP'!$A$2:$M$2,0))),"")</f>
        <v/>
      </c>
      <c r="T125" s="6" t="str">
        <f t="array" ref="T125">_xlfn.IFNA((INDEX('DMR 001C TIN &amp; TP'!$A$3:$M$10005,MATCH(('Reg 85'!$I$6:$Q$6&amp;'Reg 85'!T$10&amp;'Reg 85'!$B125),('DMR 001C TIN &amp; TP'!$E$3:$E$10005&amp;'DMR 001C TIN &amp; TP'!$B$3:$B$10005&amp;'DMR 001C TIN &amp; TP'!$A$3:$A$10005),0),MATCH('Reg 85'!$O$11,'DMR 001C TIN &amp; TP'!$A$2:$M$2,0))),"")</f>
        <v/>
      </c>
      <c r="U125" s="6" t="str">
        <f t="array" ref="U125">_xlfn.IFNA((INDEX('DMR 001C TIN &amp; TP'!$A$3:$M$10005,MATCH(('Reg 85'!$I$6:$Q$6&amp;'Reg 85'!U$10&amp;'Reg 85'!$B125),('DMR 001C TIN &amp; TP'!$E$3:$E$10005&amp;'DMR 001C TIN &amp; TP'!$B$3:$B$10005&amp;'DMR 001C TIN &amp; TP'!$A$3:$A$10005),0),MATCH('Reg 85'!$O$11,'DMR 001C TIN &amp; TP'!$A$2:$M$2,0))),"")</f>
        <v/>
      </c>
      <c r="V125" s="6" t="str">
        <f t="array" ref="V125">_xlfn.IFNA((INDEX('DMR 001C TIN &amp; TP'!$A$3:$M$10005,MATCH(('Reg 85'!$I$6:$Q$6&amp;'Reg 85'!V$10&amp;'Reg 85'!$B125),('DMR 001C TIN &amp; TP'!$E$3:$E$10005&amp;'DMR 001C TIN &amp; TP'!$B$3:$B$10005&amp;'DMR 001C TIN &amp; TP'!$A$3:$A$10005),0),MATCH('Reg 85'!$O$11,'DMR 001C TIN &amp; TP'!$A$2:$M$2,0))),"")</f>
        <v/>
      </c>
      <c r="W125" s="6" t="str">
        <f t="array" ref="W125">_xlfn.IFNA((INDEX('DMR 001C TIN &amp; TP'!$A$3:$M$10005,MATCH(('Reg 85'!$I$6:$Q$6&amp;'Reg 85'!W$10&amp;'Reg 85'!$B125),('DMR 001C TIN &amp; TP'!$E$3:$E$10005&amp;'DMR 001C TIN &amp; TP'!$B$3:$B$10005&amp;'DMR 001C TIN &amp; TP'!$A$3:$A$10005),0),MATCH('Reg 85'!$O$11,'DMR 001C TIN &amp; TP'!$A$2:$M$2,0))),"")</f>
        <v/>
      </c>
      <c r="X125" s="5" t="str">
        <f t="shared" si="50"/>
        <v/>
      </c>
      <c r="Y125" s="6" t="str">
        <f t="array" ref="Y125">_xlfn.IFNA((INDEX('DMR 001C TIN &amp; TP'!$A$3:$M$10005,MATCH(('Reg 85'!$X$6&amp;'Reg 85'!$X$10&amp;'Reg 85'!$B125),('DMR 001C TIN &amp; TP'!$E$3:$E$10005&amp;'DMR 001C TIN &amp; TP'!$B$3:$B$10005&amp;'DMR 001C TIN &amp; TP'!$A$3:$A$10005),0),MATCH('Reg 85'!$Y$11,'DMR 001C TIN &amp; TP'!$A$2:$M$2,0))),"")</f>
        <v/>
      </c>
      <c r="Z125" s="6" t="str">
        <f t="array" ref="Z125">_xlfn.IFNA((INDEX('DMR 001C TIN &amp; TP'!$A$3:$M$10005,MATCH(('Reg 85'!$X$6&amp;'Reg 85'!$X$10&amp;'Reg 85'!$B125),('DMR 001C TIN &amp; TP'!$E$3:$E$10005&amp;'DMR 001C TIN &amp; TP'!$B$3:$B$10005&amp;'DMR 001C TIN &amp; TP'!$A$3:$A$10005),0),MATCH('Reg 85'!$Z$11,'DMR 001C TIN &amp; TP'!$A$2:$M$2,0))),"")</f>
        <v/>
      </c>
      <c r="AA125" s="53" t="str">
        <f t="shared" si="51"/>
        <v/>
      </c>
      <c r="AB125" s="5" t="str">
        <f t="shared" si="52"/>
        <v/>
      </c>
      <c r="AC125" s="6" t="str">
        <f t="array" ref="AC125">_xlfn.IFNA((INDEX('DMR 001C TIN &amp; TP'!$A$3:$M$10005,MATCH(('Reg 85'!$X$6&amp;'Reg 85'!$AB$10&amp;'Reg 85'!$B125),('DMR 001C TIN &amp; TP'!$E$3:$E$10005&amp;'DMR 001C TIN &amp; TP'!$B$3:$B$10005&amp;'DMR 001C TIN &amp; TP'!$A$3:$A$10005),0),MATCH('Reg 85'!$AC$11,'DMR 001C TIN &amp; TP'!$A$2:$M$2,0))),"")</f>
        <v/>
      </c>
      <c r="AD125" s="6" t="str">
        <f t="array" ref="AD125">_xlfn.IFNA((INDEX('DMR 001C TIN &amp; TP'!$A$3:$M$10005,MATCH(('Reg 85'!$X$6&amp;'Reg 85'!$AB$10&amp;'Reg 85'!$B125),('DMR 001C TIN &amp; TP'!$E$3:$E$10005&amp;'DMR 001C TIN &amp; TP'!$B$3:$B$10005&amp;'DMR 001C TIN &amp; TP'!$A$3:$A$10005),0),MATCH('Reg 85'!$AD$11,'DMR 001C TIN &amp; TP'!$A$2:$M$2,0))),"")</f>
        <v/>
      </c>
      <c r="AE125" s="53" t="str">
        <f t="shared" si="53"/>
        <v/>
      </c>
      <c r="AF125" s="7" t="str">
        <f t="shared" si="54"/>
        <v/>
      </c>
      <c r="AG125" s="6" t="str">
        <f t="array" ref="AG125">_xlfn.IFNA((INDEX('DMR 001C TIN &amp; TP'!$A$3:$M$10005,MATCH(('Reg 85'!$X$6&amp;'Reg 85'!AG$10&amp;'Reg 85'!$B125),('DMR 001C TIN &amp; TP'!$E$3:$E$10005&amp;'DMR 001C TIN &amp; TP'!$B$3:$B$10005&amp;'DMR 001C TIN &amp; TP'!$A$3:$A$10005),0),MATCH('Reg 85'!$AG$11,'DMR 001C TIN &amp; TP'!$A$2:$M$2,0))),"")</f>
        <v/>
      </c>
      <c r="AH125" s="6" t="str">
        <f t="array" ref="AH125">_xlfn.IFNA((INDEX('DMR 001C TIN &amp; TP'!$A$3:$M$10005,MATCH(('Reg 85'!$X$6&amp;'Reg 85'!AH$10&amp;'Reg 85'!$B125),('DMR 001C TIN &amp; TP'!$E$3:$E$10005&amp;'DMR 001C TIN &amp; TP'!$B$3:$B$10005&amp;'DMR 001C TIN &amp; TP'!$A$3:$A$10005),0),MATCH('Reg 85'!$AG$11,'DMR 001C TIN &amp; TP'!$A$2:$M$2,0))),"")</f>
        <v/>
      </c>
      <c r="AI125" s="6" t="str">
        <f t="array" ref="AI125">_xlfn.IFNA((INDEX('DMR 001C TIN &amp; TP'!$A$3:$M$10005,MATCH(('Reg 85'!$X$6&amp;'Reg 85'!AI$10&amp;'Reg 85'!$B125),('DMR 001C TIN &amp; TP'!$E$3:$E$10005&amp;'DMR 001C TIN &amp; TP'!$B$3:$B$10005&amp;'DMR 001C TIN &amp; TP'!$A$3:$A$10005),0),MATCH('Reg 85'!$AG$11,'DMR 001C TIN &amp; TP'!$A$2:$M$2,0))),"")</f>
        <v/>
      </c>
      <c r="AJ125" s="6" t="str">
        <f t="array" ref="AJ125">_xlfn.IFNA((INDEX('DMR 001C TIN &amp; TP'!$A$3:$M$10005,MATCH(('Reg 85'!$X$6&amp;'Reg 85'!AJ$10&amp;'Reg 85'!$B125),('DMR 001C TIN &amp; TP'!$E$3:$E$10005&amp;'DMR 001C TIN &amp; TP'!$B$3:$B$10005&amp;'DMR 001C TIN &amp; TP'!$A$3:$A$10005),0),MATCH('Reg 85'!$AG$11,'DMR 001C TIN &amp; TP'!$A$2:$M$2,0))),"")</f>
        <v/>
      </c>
      <c r="AK125" s="6" t="str">
        <f t="array" ref="AK125">_xlfn.IFNA((INDEX('DMR 001C TIN &amp; TP'!$A$3:$M$10005,MATCH(('Reg 85'!$X$6&amp;'Reg 85'!AK$10&amp;'Reg 85'!$B125),('DMR 001C TIN &amp; TP'!$E$3:$E$10005&amp;'DMR 001C TIN &amp; TP'!$B$3:$B$10005&amp;'DMR 001C TIN &amp; TP'!$A$3:$A$10005),0),MATCH('Reg 85'!$AG$11,'DMR 001C TIN &amp; TP'!$A$2:$M$2,0))),"")</f>
        <v/>
      </c>
      <c r="AL125" s="6" t="str">
        <f t="array" ref="AL125">_xlfn.IFNA((INDEX('DMR 001C TIN &amp; TP'!$A$3:$M$10005,MATCH(('Reg 85'!$X$6&amp;'Reg 85'!AL$10&amp;'Reg 85'!$B125),('DMR 001C TIN &amp; TP'!$E$3:$E$10005&amp;'DMR 001C TIN &amp; TP'!$B$3:$B$10005&amp;'DMR 001C TIN &amp; TP'!$A$3:$A$10005),0),MATCH('Reg 85'!$AG$11,'DMR 001C TIN &amp; TP'!$A$2:$M$2,0))),"")</f>
        <v/>
      </c>
      <c r="AM125" s="76"/>
      <c r="AN125" s="6"/>
      <c r="AO125" s="54" t="str">
        <f t="shared" si="41"/>
        <v/>
      </c>
      <c r="AP125" s="77" t="str">
        <f t="shared" si="60"/>
        <v/>
      </c>
      <c r="AQ125" s="47"/>
      <c r="AR125" s="6" t="str">
        <f t="array" ref="AR125">_xlfn.IFNA((INDEX('DMR 001C TIN &amp; TP'!$A$3:$M$10005,MATCH(('Reg 85'!$AQ$6&amp;'Reg 85'!$AQ$10&amp;'Reg 85'!$B125),('DMR 001C TIN &amp; TP'!$E$3:$E$10005&amp;'DMR 001C TIN &amp; TP'!$B$3:$B$10005&amp;'DMR 001C TIN &amp; TP'!$A$3:$A$10005),0),MATCH('Reg 85'!$AR$11,'DMR 001C TIN &amp; TP'!$A$2:$M$2,0))),"")</f>
        <v>0.03</v>
      </c>
      <c r="AS125" s="6">
        <f t="array" ref="AS125">_xlfn.IFNA((INDEX('DMR 001C TIN &amp; TP'!$A$3:$M$10005,MATCH(('Reg 85'!$AQ$6&amp;'Reg 85'!$AQ$10&amp;'Reg 85'!$B125),('DMR 001C TIN &amp; TP'!$E$3:$E$10005&amp;'DMR 001C TIN &amp; TP'!$B$3:$B$10005&amp;'DMR 001C TIN &amp; TP'!$A$3:$A$10005),0),MATCH('Reg 85'!$AS$11,'DMR 001C TIN &amp; TP'!$A$2:$M$2,0))),"")</f>
        <v>0.32</v>
      </c>
      <c r="AT125" s="53">
        <f t="shared" si="55"/>
        <v>0.32</v>
      </c>
      <c r="AV125" s="6" t="str">
        <f t="array" ref="AV125">_xlfn.IFNA((INDEX('DMR 001C TIN &amp; TP'!$A$3:$M$10005,MATCH(('Reg 85'!$AQ$6&amp;'Reg 85'!$AU$10&amp;'Reg 85'!$B125),('DMR 001C TIN &amp; TP'!$E$3:$E$10005&amp;'DMR 001C TIN &amp; TP'!$B$3:$B$10005&amp;'DMR 001C TIN &amp; TP'!$A$3:$A$10005),0),MATCH('Reg 85'!$AV$11,'DMR 001C TIN &amp; TP'!$A$2:$M$2,0))),"")</f>
        <v>0.03</v>
      </c>
      <c r="AW125" s="6">
        <f t="array" ref="AW125">_xlfn.IFNA((INDEX('DMR 001C TIN &amp; TP'!$A$3:$M$10005,MATCH(('Reg 85'!$AQ$6&amp;'Reg 85'!$AU$10&amp;'Reg 85'!$B125),('DMR 001C TIN &amp; TP'!$E$3:$E$10005&amp;'DMR 001C TIN &amp; TP'!$B$3:$B$10005&amp;'DMR 001C TIN &amp; TP'!$A$3:$A$10005),0),MATCH('Reg 85'!$AW$11,'DMR 001C TIN &amp; TP'!$A$2:$M$2,0))),"")</f>
        <v>2.69</v>
      </c>
      <c r="AX125" s="53">
        <f t="shared" si="56"/>
        <v>2.69</v>
      </c>
      <c r="AY125" s="55">
        <f t="shared" si="57"/>
        <v>1.7328751228529484</v>
      </c>
      <c r="AZ125" s="77" t="str">
        <f t="shared" si="61"/>
        <v/>
      </c>
      <c r="BA125" s="6" t="str">
        <f t="array" ref="BA125">_xlfn.IFNA((INDEX('DMR 001C TIN &amp; TP'!$A$3:$M$10005,MATCH(('Reg 85'!$AQ$6&amp;'Reg 85'!BA$10&amp;'Reg 85'!$B125),('DMR 001C TIN &amp; TP'!$E$3:$E$10005&amp;'DMR 001C TIN &amp; TP'!$B$3:$B$10005&amp;'DMR 001C TIN &amp; TP'!$A$3:$A$10005),0),MATCH('Reg 85'!$AG$11,'DMR 001C TIN &amp; TP'!$A$2:$M$2,0))),"")</f>
        <v/>
      </c>
      <c r="BB125" s="6" t="str">
        <f t="array" ref="BB125">_xlfn.IFNA((INDEX('DMR 001C TIN &amp; TP'!$A$3:$M$10005,MATCH(('Reg 85'!$AQ$6&amp;'Reg 85'!BB$10&amp;'Reg 85'!$B125),('DMR 001C TIN &amp; TP'!$E$3:$E$10005&amp;'DMR 001C TIN &amp; TP'!$B$3:$B$10005&amp;'DMR 001C TIN &amp; TP'!$A$3:$A$10005),0),MATCH('Reg 85'!$AG$11,'DMR 001C TIN &amp; TP'!$A$2:$M$2,0))),"")</f>
        <v/>
      </c>
      <c r="BC125" s="6" t="str">
        <f t="array" ref="BC125">_xlfn.IFNA((INDEX('DMR 001C TIN &amp; TP'!$A$3:$M$10005,MATCH(('Reg 85'!$AQ$6&amp;'Reg 85'!BC$10&amp;'Reg 85'!$B125),('DMR 001C TIN &amp; TP'!$E$3:$E$10005&amp;'DMR 001C TIN &amp; TP'!$B$3:$B$10005&amp;'DMR 001C TIN &amp; TP'!$A$3:$A$10005),0),MATCH('Reg 85'!$AG$11,'DMR 001C TIN &amp; TP'!$A$2:$M$2,0))),"")</f>
        <v/>
      </c>
      <c r="BD125" s="6" t="str">
        <f t="array" ref="BD125">_xlfn.IFNA((INDEX('DMR 001C TIN &amp; TP'!$A$3:$M$10005,MATCH(('Reg 85'!$AQ$6&amp;'Reg 85'!BD$10&amp;'Reg 85'!$B125),('DMR 001C TIN &amp; TP'!$E$3:$E$10005&amp;'DMR 001C TIN &amp; TP'!$B$3:$B$10005&amp;'DMR 001C TIN &amp; TP'!$A$3:$A$10005),0),MATCH('Reg 85'!$AG$11,'DMR 001C TIN &amp; TP'!$A$2:$M$2,0))),"")</f>
        <v/>
      </c>
      <c r="BE125" s="6" t="str">
        <f t="array" ref="BE125">_xlfn.IFNA((INDEX('DMR 001C TIN &amp; TP'!$A$3:$M$10005,MATCH(('Reg 85'!$AQ$6&amp;'Reg 85'!BE$10&amp;'Reg 85'!$B125),('DMR 001C TIN &amp; TP'!$E$3:$E$10005&amp;'DMR 001C TIN &amp; TP'!$B$3:$B$10005&amp;'DMR 001C TIN &amp; TP'!$A$3:$A$10005),0),MATCH('Reg 85'!$AG$11,'DMR 001C TIN &amp; TP'!$A$2:$M$2,0))),"")</f>
        <v/>
      </c>
      <c r="BF125" s="6" t="str">
        <f t="array" ref="BF125">_xlfn.IFNA((INDEX('DMR 001C TIN &amp; TP'!$A$3:$M$10005,MATCH(('Reg 85'!$AQ$6&amp;'Reg 85'!BF$10&amp;'Reg 85'!$B125),('DMR 001C TIN &amp; TP'!$E$3:$E$10005&amp;'DMR 001C TIN &amp; TP'!$B$3:$B$10005&amp;'DMR 001C TIN &amp; TP'!$A$3:$A$10005),0),MATCH('Reg 85'!$AG$11,'DMR 001C TIN &amp; TP'!$A$2:$M$2,0))),"")</f>
        <v/>
      </c>
    </row>
    <row r="126" spans="1:58">
      <c r="A126" s="3" t="str">
        <f t="shared" si="42"/>
        <v>Mon</v>
      </c>
      <c r="B126" s="96">
        <f t="shared" si="58"/>
        <v>43458</v>
      </c>
      <c r="C126" s="96">
        <f t="shared" si="43"/>
        <v>43465</v>
      </c>
      <c r="D126" s="96">
        <f t="shared" si="44"/>
        <v>43435</v>
      </c>
      <c r="E126" s="95">
        <f t="shared" si="45"/>
        <v>31</v>
      </c>
      <c r="F126" s="7">
        <f t="array" ref="F126">_xlfn.IFNA(INDEX('DMR Flows-Effluent'!$A$3:$F$9999,MATCH(($F$10&amp;$B126),('DMR Flows-Effluent'!$B$3:$B$9999&amp;'DMR Flows-Effluent'!$A$3:$A$9999),0),MATCH($F$8,'DMR Flows-Effluent'!$A$2:$F$2,0)),"")</f>
        <v>47.006399999999999</v>
      </c>
      <c r="G126" s="7">
        <f t="array" ref="G126">_xlfn.IFNA(INDEX('DMR Flows-Effluent'!$A$3:$F$9999,MATCH(($G$10&amp;$B126),('DMR Flows-Effluent'!$B$3:$B$9999&amp;'DMR Flows-Effluent'!$A$3:$A$9999),0),MATCH($F$8,'DMR Flows-Effluent'!$A$2:$F$2,0)),"")</f>
        <v>64.980699999999999</v>
      </c>
      <c r="H126" s="7">
        <f t="shared" si="46"/>
        <v>111.9871</v>
      </c>
      <c r="I126" s="45" t="str">
        <f t="shared" si="47"/>
        <v/>
      </c>
      <c r="J126" s="6" t="str">
        <f t="array" ref="J126">_xlfn.IFNA((INDEX('DMR 001C TIN &amp; TP'!$A$3:$M$10005,MATCH(('Reg 85'!$I$6:$Q$6&amp;'Reg 85'!$I$10:$K$10&amp;'Reg 85'!$B126),('DMR 001C TIN &amp; TP'!$E$3:$E$10005&amp;'DMR 001C TIN &amp; TP'!$B$3:$B$10005&amp;'DMR 001C TIN &amp; TP'!$A$3:$A$10005),0),MATCH('Reg 85'!$J$11,'DMR 001C TIN &amp; TP'!$A$2:$M$2,0))),"")</f>
        <v>0.15</v>
      </c>
      <c r="K126" s="6">
        <f t="array" ref="K126">_xlfn.IFNA((INDEX('DMR 001C TIN &amp; TP'!$A$3:$M$10005,MATCH(('Reg 85'!$I$6:$Q$6&amp;'Reg 85'!$I$10:$K$10&amp;'Reg 85'!$B126),('DMR 001C TIN &amp; TP'!$E$3:$E$10005&amp;'DMR 001C TIN &amp; TP'!$B$3:$B$10005&amp;'DMR 001C TIN &amp; TP'!$A$3:$A$10005),0),MATCH('Reg 85'!$K$11,'DMR 001C TIN &amp; TP'!$A$2:$M$2,0))),"")</f>
        <v>0.69</v>
      </c>
      <c r="L126" s="53">
        <f t="shared" si="59"/>
        <v>0.69</v>
      </c>
      <c r="M126" s="5" t="str">
        <f t="shared" si="48"/>
        <v>&lt;</v>
      </c>
      <c r="N126" s="6" t="str">
        <f t="array" ref="N126">_xlfn.IFNA((INDEX('DMR 001C TIN &amp; TP'!$A$3:$M$10005,MATCH(('Reg 85'!$I$6:$Q$6&amp;'Reg 85'!$M$10&amp;'Reg 85'!$B126),('DMR 001C TIN &amp; TP'!$E$3:$E$10005&amp;'DMR 001C TIN &amp; TP'!$B$3:$B$10005&amp;'DMR 001C TIN &amp; TP'!$A$3:$A$10005),0),MATCH('Reg 85'!$N$11,'DMR 001C TIN &amp; TP'!$A$2:$M$2,0))),"")</f>
        <v>0.15</v>
      </c>
      <c r="O126" s="6">
        <f t="array" ref="O126">_xlfn.IFNA((INDEX('DMR 001C TIN &amp; TP'!$A$3:$M$10005,MATCH(('Reg 85'!$I$6:$Q$6&amp;'Reg 85'!$M$10&amp;'Reg 85'!$B126),('DMR 001C TIN &amp; TP'!$E$3:$E$10005&amp;'DMR 001C TIN &amp; TP'!$B$3:$B$10005&amp;'DMR 001C TIN &amp; TP'!$A$3:$A$10005),0),MATCH('Reg 85'!$O$11,'DMR 001C TIN &amp; TP'!$A$2:$M$2,0))),"")</f>
        <v>0.13</v>
      </c>
      <c r="P126" s="53">
        <f t="shared" si="49"/>
        <v>0</v>
      </c>
      <c r="Q126" s="73">
        <f t="array" ref="Q126">IFERROR(((L126*$F126)+(P126*$G126))/($H126),"")</f>
        <v>0.28962635875024889</v>
      </c>
      <c r="R126" s="6" t="str">
        <f t="array" ref="R126">_xlfn.IFNA((INDEX('DMR 001C TIN &amp; TP'!$A$3:$M$10005,MATCH(('Reg 85'!$I$6:$Q$6&amp;'Reg 85'!R$10&amp;'Reg 85'!$B126),('DMR 001C TIN &amp; TP'!$E$3:$E$10005&amp;'DMR 001C TIN &amp; TP'!$B$3:$B$10005&amp;'DMR 001C TIN &amp; TP'!$A$3:$A$10005),0),MATCH('Reg 85'!$O$11,'DMR 001C TIN &amp; TP'!$A$2:$M$2,0))),"")</f>
        <v/>
      </c>
      <c r="S126" s="6" t="str">
        <f t="array" ref="S126">_xlfn.IFNA((INDEX('DMR 001C TIN &amp; TP'!$A$3:$M$10005,MATCH(('Reg 85'!$I$6:$Q$6&amp;'Reg 85'!S$10&amp;'Reg 85'!$B126),('DMR 001C TIN &amp; TP'!$E$3:$E$10005&amp;'DMR 001C TIN &amp; TP'!$B$3:$B$10005&amp;'DMR 001C TIN &amp; TP'!$A$3:$A$10005),0),MATCH('Reg 85'!$O$11,'DMR 001C TIN &amp; TP'!$A$2:$M$2,0))),"")</f>
        <v/>
      </c>
      <c r="T126" s="6" t="str">
        <f t="array" ref="T126">_xlfn.IFNA((INDEX('DMR 001C TIN &amp; TP'!$A$3:$M$10005,MATCH(('Reg 85'!$I$6:$Q$6&amp;'Reg 85'!T$10&amp;'Reg 85'!$B126),('DMR 001C TIN &amp; TP'!$E$3:$E$10005&amp;'DMR 001C TIN &amp; TP'!$B$3:$B$10005&amp;'DMR 001C TIN &amp; TP'!$A$3:$A$10005),0),MATCH('Reg 85'!$O$11,'DMR 001C TIN &amp; TP'!$A$2:$M$2,0))),"")</f>
        <v/>
      </c>
      <c r="U126" s="6" t="str">
        <f t="array" ref="U126">_xlfn.IFNA((INDEX('DMR 001C TIN &amp; TP'!$A$3:$M$10005,MATCH(('Reg 85'!$I$6:$Q$6&amp;'Reg 85'!U$10&amp;'Reg 85'!$B126),('DMR 001C TIN &amp; TP'!$E$3:$E$10005&amp;'DMR 001C TIN &amp; TP'!$B$3:$B$10005&amp;'DMR 001C TIN &amp; TP'!$A$3:$A$10005),0),MATCH('Reg 85'!$O$11,'DMR 001C TIN &amp; TP'!$A$2:$M$2,0))),"")</f>
        <v/>
      </c>
      <c r="V126" s="6" t="str">
        <f t="array" ref="V126">_xlfn.IFNA((INDEX('DMR 001C TIN &amp; TP'!$A$3:$M$10005,MATCH(('Reg 85'!$I$6:$Q$6&amp;'Reg 85'!V$10&amp;'Reg 85'!$B126),('DMR 001C TIN &amp; TP'!$E$3:$E$10005&amp;'DMR 001C TIN &amp; TP'!$B$3:$B$10005&amp;'DMR 001C TIN &amp; TP'!$A$3:$A$10005),0),MATCH('Reg 85'!$O$11,'DMR 001C TIN &amp; TP'!$A$2:$M$2,0))),"")</f>
        <v/>
      </c>
      <c r="W126" s="6" t="str">
        <f t="array" ref="W126">_xlfn.IFNA((INDEX('DMR 001C TIN &amp; TP'!$A$3:$M$10005,MATCH(('Reg 85'!$I$6:$Q$6&amp;'Reg 85'!W$10&amp;'Reg 85'!$B126),('DMR 001C TIN &amp; TP'!$E$3:$E$10005&amp;'DMR 001C TIN &amp; TP'!$B$3:$B$10005&amp;'DMR 001C TIN &amp; TP'!$A$3:$A$10005),0),MATCH('Reg 85'!$O$11,'DMR 001C TIN &amp; TP'!$A$2:$M$2,0))),"")</f>
        <v/>
      </c>
      <c r="X126" s="5" t="str">
        <f t="shared" si="50"/>
        <v/>
      </c>
      <c r="Y126" s="6" t="str">
        <f t="array" ref="Y126">_xlfn.IFNA((INDEX('DMR 001C TIN &amp; TP'!$A$3:$M$10005,MATCH(('Reg 85'!$X$6&amp;'Reg 85'!$X$10&amp;'Reg 85'!$B126),('DMR 001C TIN &amp; TP'!$E$3:$E$10005&amp;'DMR 001C TIN &amp; TP'!$B$3:$B$10005&amp;'DMR 001C TIN &amp; TP'!$A$3:$A$10005),0),MATCH('Reg 85'!$Y$11,'DMR 001C TIN &amp; TP'!$A$2:$M$2,0))),"")</f>
        <v>0.06</v>
      </c>
      <c r="Z126" s="6">
        <f t="array" ref="Z126">_xlfn.IFNA((INDEX('DMR 001C TIN &amp; TP'!$A$3:$M$10005,MATCH(('Reg 85'!$X$6&amp;'Reg 85'!$X$10&amp;'Reg 85'!$B126),('DMR 001C TIN &amp; TP'!$E$3:$E$10005&amp;'DMR 001C TIN &amp; TP'!$B$3:$B$10005&amp;'DMR 001C TIN &amp; TP'!$A$3:$A$10005),0),MATCH('Reg 85'!$Z$11,'DMR 001C TIN &amp; TP'!$A$2:$M$2,0))),"")</f>
        <v>4.99</v>
      </c>
      <c r="AA126" s="53">
        <f t="shared" si="51"/>
        <v>4.99</v>
      </c>
      <c r="AB126" s="5" t="str">
        <f t="shared" si="52"/>
        <v/>
      </c>
      <c r="AC126" s="6" t="str">
        <f t="array" ref="AC126">_xlfn.IFNA((INDEX('DMR 001C TIN &amp; TP'!$A$3:$M$10005,MATCH(('Reg 85'!$X$6&amp;'Reg 85'!$AB$10&amp;'Reg 85'!$B126),('DMR 001C TIN &amp; TP'!$E$3:$E$10005&amp;'DMR 001C TIN &amp; TP'!$B$3:$B$10005&amp;'DMR 001C TIN &amp; TP'!$A$3:$A$10005),0),MATCH('Reg 85'!$AC$11,'DMR 001C TIN &amp; TP'!$A$2:$M$2,0))),"")</f>
        <v>0.06</v>
      </c>
      <c r="AD126" s="6">
        <f t="array" ref="AD126">_xlfn.IFNA((INDEX('DMR 001C TIN &amp; TP'!$A$3:$M$10005,MATCH(('Reg 85'!$X$6&amp;'Reg 85'!$AB$10&amp;'Reg 85'!$B126),('DMR 001C TIN &amp; TP'!$E$3:$E$10005&amp;'DMR 001C TIN &amp; TP'!$B$3:$B$10005&amp;'DMR 001C TIN &amp; TP'!$A$3:$A$10005),0),MATCH('Reg 85'!$AD$11,'DMR 001C TIN &amp; TP'!$A$2:$M$2,0))),"")</f>
        <v>5.88</v>
      </c>
      <c r="AE126" s="53">
        <f t="shared" si="53"/>
        <v>5.88</v>
      </c>
      <c r="AF126" s="7">
        <f t="shared" si="54"/>
        <v>5.5064239720467798</v>
      </c>
      <c r="AG126" s="6" t="str">
        <f t="array" ref="AG126">_xlfn.IFNA((INDEX('DMR 001C TIN &amp; TP'!$A$3:$M$10005,MATCH(('Reg 85'!$X$6&amp;'Reg 85'!AG$10&amp;'Reg 85'!$B126),('DMR 001C TIN &amp; TP'!$E$3:$E$10005&amp;'DMR 001C TIN &amp; TP'!$B$3:$B$10005&amp;'DMR 001C TIN &amp; TP'!$A$3:$A$10005),0),MATCH('Reg 85'!$AG$11,'DMR 001C TIN &amp; TP'!$A$2:$M$2,0))),"")</f>
        <v/>
      </c>
      <c r="AH126" s="6" t="str">
        <f t="array" ref="AH126">_xlfn.IFNA((INDEX('DMR 001C TIN &amp; TP'!$A$3:$M$10005,MATCH(('Reg 85'!$X$6&amp;'Reg 85'!AH$10&amp;'Reg 85'!$B126),('DMR 001C TIN &amp; TP'!$E$3:$E$10005&amp;'DMR 001C TIN &amp; TP'!$B$3:$B$10005&amp;'DMR 001C TIN &amp; TP'!$A$3:$A$10005),0),MATCH('Reg 85'!$AG$11,'DMR 001C TIN &amp; TP'!$A$2:$M$2,0))),"")</f>
        <v/>
      </c>
      <c r="AI126" s="6" t="str">
        <f t="array" ref="AI126">_xlfn.IFNA((INDEX('DMR 001C TIN &amp; TP'!$A$3:$M$10005,MATCH(('Reg 85'!$X$6&amp;'Reg 85'!AI$10&amp;'Reg 85'!$B126),('DMR 001C TIN &amp; TP'!$E$3:$E$10005&amp;'DMR 001C TIN &amp; TP'!$B$3:$B$10005&amp;'DMR 001C TIN &amp; TP'!$A$3:$A$10005),0),MATCH('Reg 85'!$AG$11,'DMR 001C TIN &amp; TP'!$A$2:$M$2,0))),"")</f>
        <v/>
      </c>
      <c r="AJ126" s="6" t="str">
        <f t="array" ref="AJ126">_xlfn.IFNA((INDEX('DMR 001C TIN &amp; TP'!$A$3:$M$10005,MATCH(('Reg 85'!$X$6&amp;'Reg 85'!AJ$10&amp;'Reg 85'!$B126),('DMR 001C TIN &amp; TP'!$E$3:$E$10005&amp;'DMR 001C TIN &amp; TP'!$B$3:$B$10005&amp;'DMR 001C TIN &amp; TP'!$A$3:$A$10005),0),MATCH('Reg 85'!$AG$11,'DMR 001C TIN &amp; TP'!$A$2:$M$2,0))),"")</f>
        <v/>
      </c>
      <c r="AK126" s="6" t="str">
        <f t="array" ref="AK126">_xlfn.IFNA((INDEX('DMR 001C TIN &amp; TP'!$A$3:$M$10005,MATCH(('Reg 85'!$X$6&amp;'Reg 85'!AK$10&amp;'Reg 85'!$B126),('DMR 001C TIN &amp; TP'!$E$3:$E$10005&amp;'DMR 001C TIN &amp; TP'!$B$3:$B$10005&amp;'DMR 001C TIN &amp; TP'!$A$3:$A$10005),0),MATCH('Reg 85'!$AG$11,'DMR 001C TIN &amp; TP'!$A$2:$M$2,0))),"")</f>
        <v/>
      </c>
      <c r="AL126" s="6" t="str">
        <f t="array" ref="AL126">_xlfn.IFNA((INDEX('DMR 001C TIN &amp; TP'!$A$3:$M$10005,MATCH(('Reg 85'!$X$6&amp;'Reg 85'!AL$10&amp;'Reg 85'!$B126),('DMR 001C TIN &amp; TP'!$E$3:$E$10005&amp;'DMR 001C TIN &amp; TP'!$B$3:$B$10005&amp;'DMR 001C TIN &amp; TP'!$A$3:$A$10005),0),MATCH('Reg 85'!$AG$11,'DMR 001C TIN &amp; TP'!$A$2:$M$2,0))),"")</f>
        <v/>
      </c>
      <c r="AM126" s="76"/>
      <c r="AN126" s="6"/>
      <c r="AO126" s="54">
        <f t="shared" si="41"/>
        <v>5.796050330797029</v>
      </c>
      <c r="AP126" s="77" t="str">
        <f t="shared" si="60"/>
        <v/>
      </c>
      <c r="AQ126" s="47"/>
      <c r="AR126" s="6" t="str">
        <f t="array" ref="AR126">_xlfn.IFNA((INDEX('DMR 001C TIN &amp; TP'!$A$3:$M$10005,MATCH(('Reg 85'!$AQ$6&amp;'Reg 85'!$AQ$10&amp;'Reg 85'!$B126),('DMR 001C TIN &amp; TP'!$E$3:$E$10005&amp;'DMR 001C TIN &amp; TP'!$B$3:$B$10005&amp;'DMR 001C TIN &amp; TP'!$A$3:$A$10005),0),MATCH('Reg 85'!$AR$11,'DMR 001C TIN &amp; TP'!$A$2:$M$2,0))),"")</f>
        <v/>
      </c>
      <c r="AS126" s="6" t="str">
        <f t="array" ref="AS126">_xlfn.IFNA((INDEX('DMR 001C TIN &amp; TP'!$A$3:$M$10005,MATCH(('Reg 85'!$AQ$6&amp;'Reg 85'!$AQ$10&amp;'Reg 85'!$B126),('DMR 001C TIN &amp; TP'!$E$3:$E$10005&amp;'DMR 001C TIN &amp; TP'!$B$3:$B$10005&amp;'DMR 001C TIN &amp; TP'!$A$3:$A$10005),0),MATCH('Reg 85'!$AS$11,'DMR 001C TIN &amp; TP'!$A$2:$M$2,0))),"")</f>
        <v/>
      </c>
      <c r="AT126" s="53" t="str">
        <f t="shared" si="55"/>
        <v/>
      </c>
      <c r="AV126" s="6" t="str">
        <f t="array" ref="AV126">_xlfn.IFNA((INDEX('DMR 001C TIN &amp; TP'!$A$3:$M$10005,MATCH(('Reg 85'!$AQ$6&amp;'Reg 85'!$AU$10&amp;'Reg 85'!$B126),('DMR 001C TIN &amp; TP'!$E$3:$E$10005&amp;'DMR 001C TIN &amp; TP'!$B$3:$B$10005&amp;'DMR 001C TIN &amp; TP'!$A$3:$A$10005),0),MATCH('Reg 85'!$AV$11,'DMR 001C TIN &amp; TP'!$A$2:$M$2,0))),"")</f>
        <v/>
      </c>
      <c r="AW126" s="6" t="str">
        <f t="array" ref="AW126">_xlfn.IFNA((INDEX('DMR 001C TIN &amp; TP'!$A$3:$M$10005,MATCH(('Reg 85'!$AQ$6&amp;'Reg 85'!$AU$10&amp;'Reg 85'!$B126),('DMR 001C TIN &amp; TP'!$E$3:$E$10005&amp;'DMR 001C TIN &amp; TP'!$B$3:$B$10005&amp;'DMR 001C TIN &amp; TP'!$A$3:$A$10005),0),MATCH('Reg 85'!$AW$11,'DMR 001C TIN &amp; TP'!$A$2:$M$2,0))),"")</f>
        <v/>
      </c>
      <c r="AX126" s="53" t="str">
        <f t="shared" si="56"/>
        <v/>
      </c>
      <c r="AY126" s="55" t="str">
        <f t="shared" si="57"/>
        <v/>
      </c>
      <c r="AZ126" s="77" t="str">
        <f t="shared" si="61"/>
        <v/>
      </c>
      <c r="BA126" s="6" t="str">
        <f t="array" ref="BA126">_xlfn.IFNA((INDEX('DMR 001C TIN &amp; TP'!$A$3:$M$10005,MATCH(('Reg 85'!$AQ$6&amp;'Reg 85'!BA$10&amp;'Reg 85'!$B126),('DMR 001C TIN &amp; TP'!$E$3:$E$10005&amp;'DMR 001C TIN &amp; TP'!$B$3:$B$10005&amp;'DMR 001C TIN &amp; TP'!$A$3:$A$10005),0),MATCH('Reg 85'!$AG$11,'DMR 001C TIN &amp; TP'!$A$2:$M$2,0))),"")</f>
        <v/>
      </c>
      <c r="BB126" s="6" t="str">
        <f t="array" ref="BB126">_xlfn.IFNA((INDEX('DMR 001C TIN &amp; TP'!$A$3:$M$10005,MATCH(('Reg 85'!$AQ$6&amp;'Reg 85'!BB$10&amp;'Reg 85'!$B126),('DMR 001C TIN &amp; TP'!$E$3:$E$10005&amp;'DMR 001C TIN &amp; TP'!$B$3:$B$10005&amp;'DMR 001C TIN &amp; TP'!$A$3:$A$10005),0),MATCH('Reg 85'!$AG$11,'DMR 001C TIN &amp; TP'!$A$2:$M$2,0))),"")</f>
        <v/>
      </c>
      <c r="BC126" s="6" t="str">
        <f t="array" ref="BC126">_xlfn.IFNA((INDEX('DMR 001C TIN &amp; TP'!$A$3:$M$10005,MATCH(('Reg 85'!$AQ$6&amp;'Reg 85'!BC$10&amp;'Reg 85'!$B126),('DMR 001C TIN &amp; TP'!$E$3:$E$10005&amp;'DMR 001C TIN &amp; TP'!$B$3:$B$10005&amp;'DMR 001C TIN &amp; TP'!$A$3:$A$10005),0),MATCH('Reg 85'!$AG$11,'DMR 001C TIN &amp; TP'!$A$2:$M$2,0))),"")</f>
        <v/>
      </c>
      <c r="BD126" s="6" t="str">
        <f t="array" ref="BD126">_xlfn.IFNA((INDEX('DMR 001C TIN &amp; TP'!$A$3:$M$10005,MATCH(('Reg 85'!$AQ$6&amp;'Reg 85'!BD$10&amp;'Reg 85'!$B126),('DMR 001C TIN &amp; TP'!$E$3:$E$10005&amp;'DMR 001C TIN &amp; TP'!$B$3:$B$10005&amp;'DMR 001C TIN &amp; TP'!$A$3:$A$10005),0),MATCH('Reg 85'!$AG$11,'DMR 001C TIN &amp; TP'!$A$2:$M$2,0))),"")</f>
        <v/>
      </c>
      <c r="BE126" s="6" t="str">
        <f t="array" ref="BE126">_xlfn.IFNA((INDEX('DMR 001C TIN &amp; TP'!$A$3:$M$10005,MATCH(('Reg 85'!$AQ$6&amp;'Reg 85'!BE$10&amp;'Reg 85'!$B126),('DMR 001C TIN &amp; TP'!$E$3:$E$10005&amp;'DMR 001C TIN &amp; TP'!$B$3:$B$10005&amp;'DMR 001C TIN &amp; TP'!$A$3:$A$10005),0),MATCH('Reg 85'!$AG$11,'DMR 001C TIN &amp; TP'!$A$2:$M$2,0))),"")</f>
        <v/>
      </c>
      <c r="BF126" s="6" t="str">
        <f t="array" ref="BF126">_xlfn.IFNA((INDEX('DMR 001C TIN &amp; TP'!$A$3:$M$10005,MATCH(('Reg 85'!$AQ$6&amp;'Reg 85'!BF$10&amp;'Reg 85'!$B126),('DMR 001C TIN &amp; TP'!$E$3:$E$10005&amp;'DMR 001C TIN &amp; TP'!$B$3:$B$10005&amp;'DMR 001C TIN &amp; TP'!$A$3:$A$10005),0),MATCH('Reg 85'!$AG$11,'DMR 001C TIN &amp; TP'!$A$2:$M$2,0))),"")</f>
        <v/>
      </c>
    </row>
    <row r="127" spans="1:58">
      <c r="A127" s="3" t="str">
        <f t="shared" si="42"/>
        <v>Tue</v>
      </c>
      <c r="B127" s="96">
        <f t="shared" si="58"/>
        <v>43459</v>
      </c>
      <c r="C127" s="96">
        <f t="shared" si="43"/>
        <v>43465</v>
      </c>
      <c r="D127" s="96">
        <f t="shared" si="44"/>
        <v>43435</v>
      </c>
      <c r="E127" s="95">
        <f t="shared" si="45"/>
        <v>31</v>
      </c>
      <c r="F127" s="7">
        <f t="array" ref="F127">_xlfn.IFNA(INDEX('DMR Flows-Effluent'!$A$3:$F$9999,MATCH(($F$10&amp;$B127),('DMR Flows-Effluent'!$B$3:$B$9999&amp;'DMR Flows-Effluent'!$A$3:$A$9999),0),MATCH($F$8,'DMR Flows-Effluent'!$A$2:$F$2,0)),"")</f>
        <v>40.655000000000001</v>
      </c>
      <c r="G127" s="7">
        <f t="array" ref="G127">_xlfn.IFNA(INDEX('DMR Flows-Effluent'!$A$3:$F$9999,MATCH(($G$10&amp;$B127),('DMR Flows-Effluent'!$B$3:$B$9999&amp;'DMR Flows-Effluent'!$A$3:$A$9999),0),MATCH($F$8,'DMR Flows-Effluent'!$A$2:$F$2,0)),"")</f>
        <v>67.250299999999996</v>
      </c>
      <c r="H127" s="7">
        <f t="shared" si="46"/>
        <v>107.9053</v>
      </c>
      <c r="I127" s="45" t="str">
        <f t="shared" si="47"/>
        <v/>
      </c>
      <c r="J127" s="6" t="str">
        <f t="array" ref="J127">_xlfn.IFNA((INDEX('DMR 001C TIN &amp; TP'!$A$3:$M$10005,MATCH(('Reg 85'!$I$6:$Q$6&amp;'Reg 85'!$I$10:$K$10&amp;'Reg 85'!$B127),('DMR 001C TIN &amp; TP'!$E$3:$E$10005&amp;'DMR 001C TIN &amp; TP'!$B$3:$B$10005&amp;'DMR 001C TIN &amp; TP'!$A$3:$A$10005),0),MATCH('Reg 85'!$J$11,'DMR 001C TIN &amp; TP'!$A$2:$M$2,0))),"")</f>
        <v>0.15</v>
      </c>
      <c r="K127" s="6">
        <f t="array" ref="K127">_xlfn.IFNA((INDEX('DMR 001C TIN &amp; TP'!$A$3:$M$10005,MATCH(('Reg 85'!$I$6:$Q$6&amp;'Reg 85'!$I$10:$K$10&amp;'Reg 85'!$B127),('DMR 001C TIN &amp; TP'!$E$3:$E$10005&amp;'DMR 001C TIN &amp; TP'!$B$3:$B$10005&amp;'DMR 001C TIN &amp; TP'!$A$3:$A$10005),0),MATCH('Reg 85'!$K$11,'DMR 001C TIN &amp; TP'!$A$2:$M$2,0))),"")</f>
        <v>0.28999999999999998</v>
      </c>
      <c r="L127" s="53">
        <f t="shared" si="59"/>
        <v>0.28999999999999998</v>
      </c>
      <c r="M127" s="5" t="str">
        <f t="shared" si="48"/>
        <v/>
      </c>
      <c r="N127" s="6" t="str">
        <f t="array" ref="N127">_xlfn.IFNA((INDEX('DMR 001C TIN &amp; TP'!$A$3:$M$10005,MATCH(('Reg 85'!$I$6:$Q$6&amp;'Reg 85'!$M$10&amp;'Reg 85'!$B127),('DMR 001C TIN &amp; TP'!$E$3:$E$10005&amp;'DMR 001C TIN &amp; TP'!$B$3:$B$10005&amp;'DMR 001C TIN &amp; TP'!$A$3:$A$10005),0),MATCH('Reg 85'!$N$11,'DMR 001C TIN &amp; TP'!$A$2:$M$2,0))),"")</f>
        <v>0.15</v>
      </c>
      <c r="O127" s="6">
        <f t="array" ref="O127">_xlfn.IFNA((INDEX('DMR 001C TIN &amp; TP'!$A$3:$M$10005,MATCH(('Reg 85'!$I$6:$Q$6&amp;'Reg 85'!$M$10&amp;'Reg 85'!$B127),('DMR 001C TIN &amp; TP'!$E$3:$E$10005&amp;'DMR 001C TIN &amp; TP'!$B$3:$B$10005&amp;'DMR 001C TIN &amp; TP'!$A$3:$A$10005),0),MATCH('Reg 85'!$O$11,'DMR 001C TIN &amp; TP'!$A$2:$M$2,0))),"")</f>
        <v>0.18</v>
      </c>
      <c r="P127" s="53">
        <f t="shared" si="49"/>
        <v>0.18</v>
      </c>
      <c r="Q127" s="73">
        <f t="array" ref="Q127">IFERROR(((L127*$F127)+(P127*$G127))/($H127),"")</f>
        <v>0.22144421080336185</v>
      </c>
      <c r="R127" s="6" t="str">
        <f t="array" ref="R127">_xlfn.IFNA((INDEX('DMR 001C TIN &amp; TP'!$A$3:$M$10005,MATCH(('Reg 85'!$I$6:$Q$6&amp;'Reg 85'!R$10&amp;'Reg 85'!$B127),('DMR 001C TIN &amp; TP'!$E$3:$E$10005&amp;'DMR 001C TIN &amp; TP'!$B$3:$B$10005&amp;'DMR 001C TIN &amp; TP'!$A$3:$A$10005),0),MATCH('Reg 85'!$O$11,'DMR 001C TIN &amp; TP'!$A$2:$M$2,0))),"")</f>
        <v/>
      </c>
      <c r="S127" s="6" t="str">
        <f t="array" ref="S127">_xlfn.IFNA((INDEX('DMR 001C TIN &amp; TP'!$A$3:$M$10005,MATCH(('Reg 85'!$I$6:$Q$6&amp;'Reg 85'!S$10&amp;'Reg 85'!$B127),('DMR 001C TIN &amp; TP'!$E$3:$E$10005&amp;'DMR 001C TIN &amp; TP'!$B$3:$B$10005&amp;'DMR 001C TIN &amp; TP'!$A$3:$A$10005),0),MATCH('Reg 85'!$O$11,'DMR 001C TIN &amp; TP'!$A$2:$M$2,0))),"")</f>
        <v/>
      </c>
      <c r="T127" s="6" t="str">
        <f t="array" ref="T127">_xlfn.IFNA((INDEX('DMR 001C TIN &amp; TP'!$A$3:$M$10005,MATCH(('Reg 85'!$I$6:$Q$6&amp;'Reg 85'!T$10&amp;'Reg 85'!$B127),('DMR 001C TIN &amp; TP'!$E$3:$E$10005&amp;'DMR 001C TIN &amp; TP'!$B$3:$B$10005&amp;'DMR 001C TIN &amp; TP'!$A$3:$A$10005),0),MATCH('Reg 85'!$O$11,'DMR 001C TIN &amp; TP'!$A$2:$M$2,0))),"")</f>
        <v/>
      </c>
      <c r="U127" s="6" t="str">
        <f t="array" ref="U127">_xlfn.IFNA((INDEX('DMR 001C TIN &amp; TP'!$A$3:$M$10005,MATCH(('Reg 85'!$I$6:$Q$6&amp;'Reg 85'!U$10&amp;'Reg 85'!$B127),('DMR 001C TIN &amp; TP'!$E$3:$E$10005&amp;'DMR 001C TIN &amp; TP'!$B$3:$B$10005&amp;'DMR 001C TIN &amp; TP'!$A$3:$A$10005),0),MATCH('Reg 85'!$O$11,'DMR 001C TIN &amp; TP'!$A$2:$M$2,0))),"")</f>
        <v/>
      </c>
      <c r="V127" s="6" t="str">
        <f t="array" ref="V127">_xlfn.IFNA((INDEX('DMR 001C TIN &amp; TP'!$A$3:$M$10005,MATCH(('Reg 85'!$I$6:$Q$6&amp;'Reg 85'!V$10&amp;'Reg 85'!$B127),('DMR 001C TIN &amp; TP'!$E$3:$E$10005&amp;'DMR 001C TIN &amp; TP'!$B$3:$B$10005&amp;'DMR 001C TIN &amp; TP'!$A$3:$A$10005),0),MATCH('Reg 85'!$O$11,'DMR 001C TIN &amp; TP'!$A$2:$M$2,0))),"")</f>
        <v/>
      </c>
      <c r="W127" s="6" t="str">
        <f t="array" ref="W127">_xlfn.IFNA((INDEX('DMR 001C TIN &amp; TP'!$A$3:$M$10005,MATCH(('Reg 85'!$I$6:$Q$6&amp;'Reg 85'!W$10&amp;'Reg 85'!$B127),('DMR 001C TIN &amp; TP'!$E$3:$E$10005&amp;'DMR 001C TIN &amp; TP'!$B$3:$B$10005&amp;'DMR 001C TIN &amp; TP'!$A$3:$A$10005),0),MATCH('Reg 85'!$O$11,'DMR 001C TIN &amp; TP'!$A$2:$M$2,0))),"")</f>
        <v/>
      </c>
      <c r="X127" s="5" t="str">
        <f t="shared" si="50"/>
        <v/>
      </c>
      <c r="Y127" s="6" t="str">
        <f t="array" ref="Y127">_xlfn.IFNA((INDEX('DMR 001C TIN &amp; TP'!$A$3:$M$10005,MATCH(('Reg 85'!$X$6&amp;'Reg 85'!$X$10&amp;'Reg 85'!$B127),('DMR 001C TIN &amp; TP'!$E$3:$E$10005&amp;'DMR 001C TIN &amp; TP'!$B$3:$B$10005&amp;'DMR 001C TIN &amp; TP'!$A$3:$A$10005),0),MATCH('Reg 85'!$Y$11,'DMR 001C TIN &amp; TP'!$A$2:$M$2,0))),"")</f>
        <v>0.18</v>
      </c>
      <c r="Z127" s="6">
        <f t="array" ref="Z127">_xlfn.IFNA((INDEX('DMR 001C TIN &amp; TP'!$A$3:$M$10005,MATCH(('Reg 85'!$X$6&amp;'Reg 85'!$X$10&amp;'Reg 85'!$B127),('DMR 001C TIN &amp; TP'!$E$3:$E$10005&amp;'DMR 001C TIN &amp; TP'!$B$3:$B$10005&amp;'DMR 001C TIN &amp; TP'!$A$3:$A$10005),0),MATCH('Reg 85'!$Z$11,'DMR 001C TIN &amp; TP'!$A$2:$M$2,0))),"")</f>
        <v>5.35</v>
      </c>
      <c r="AA127" s="53">
        <f t="shared" si="51"/>
        <v>5.35</v>
      </c>
      <c r="AB127" s="5" t="str">
        <f t="shared" si="52"/>
        <v/>
      </c>
      <c r="AC127" s="6" t="str">
        <f t="array" ref="AC127">_xlfn.IFNA((INDEX('DMR 001C TIN &amp; TP'!$A$3:$M$10005,MATCH(('Reg 85'!$X$6&amp;'Reg 85'!$AB$10&amp;'Reg 85'!$B127),('DMR 001C TIN &amp; TP'!$E$3:$E$10005&amp;'DMR 001C TIN &amp; TP'!$B$3:$B$10005&amp;'DMR 001C TIN &amp; TP'!$A$3:$A$10005),0),MATCH('Reg 85'!$AC$11,'DMR 001C TIN &amp; TP'!$A$2:$M$2,0))),"")</f>
        <v>0.06</v>
      </c>
      <c r="AD127" s="6">
        <f t="array" ref="AD127">_xlfn.IFNA((INDEX('DMR 001C TIN &amp; TP'!$A$3:$M$10005,MATCH(('Reg 85'!$X$6&amp;'Reg 85'!$AB$10&amp;'Reg 85'!$B127),('DMR 001C TIN &amp; TP'!$E$3:$E$10005&amp;'DMR 001C TIN &amp; TP'!$B$3:$B$10005&amp;'DMR 001C TIN &amp; TP'!$A$3:$A$10005),0),MATCH('Reg 85'!$AD$11,'DMR 001C TIN &amp; TP'!$A$2:$M$2,0))),"")</f>
        <v>6.9</v>
      </c>
      <c r="AE127" s="53">
        <f t="shared" si="53"/>
        <v>6.9</v>
      </c>
      <c r="AF127" s="7">
        <f t="shared" si="54"/>
        <v>6.3160133932253553</v>
      </c>
      <c r="AG127" s="6" t="str">
        <f t="array" ref="AG127">_xlfn.IFNA((INDEX('DMR 001C TIN &amp; TP'!$A$3:$M$10005,MATCH(('Reg 85'!$X$6&amp;'Reg 85'!AG$10&amp;'Reg 85'!$B127),('DMR 001C TIN &amp; TP'!$E$3:$E$10005&amp;'DMR 001C TIN &amp; TP'!$B$3:$B$10005&amp;'DMR 001C TIN &amp; TP'!$A$3:$A$10005),0),MATCH('Reg 85'!$AG$11,'DMR 001C TIN &amp; TP'!$A$2:$M$2,0))),"")</f>
        <v/>
      </c>
      <c r="AH127" s="6" t="str">
        <f t="array" ref="AH127">_xlfn.IFNA((INDEX('DMR 001C TIN &amp; TP'!$A$3:$M$10005,MATCH(('Reg 85'!$X$6&amp;'Reg 85'!AH$10&amp;'Reg 85'!$B127),('DMR 001C TIN &amp; TP'!$E$3:$E$10005&amp;'DMR 001C TIN &amp; TP'!$B$3:$B$10005&amp;'DMR 001C TIN &amp; TP'!$A$3:$A$10005),0),MATCH('Reg 85'!$AG$11,'DMR 001C TIN &amp; TP'!$A$2:$M$2,0))),"")</f>
        <v/>
      </c>
      <c r="AI127" s="6" t="str">
        <f t="array" ref="AI127">_xlfn.IFNA((INDEX('DMR 001C TIN &amp; TP'!$A$3:$M$10005,MATCH(('Reg 85'!$X$6&amp;'Reg 85'!AI$10&amp;'Reg 85'!$B127),('DMR 001C TIN &amp; TP'!$E$3:$E$10005&amp;'DMR 001C TIN &amp; TP'!$B$3:$B$10005&amp;'DMR 001C TIN &amp; TP'!$A$3:$A$10005),0),MATCH('Reg 85'!$AG$11,'DMR 001C TIN &amp; TP'!$A$2:$M$2,0))),"")</f>
        <v/>
      </c>
      <c r="AJ127" s="6" t="str">
        <f t="array" ref="AJ127">_xlfn.IFNA((INDEX('DMR 001C TIN &amp; TP'!$A$3:$M$10005,MATCH(('Reg 85'!$X$6&amp;'Reg 85'!AJ$10&amp;'Reg 85'!$B127),('DMR 001C TIN &amp; TP'!$E$3:$E$10005&amp;'DMR 001C TIN &amp; TP'!$B$3:$B$10005&amp;'DMR 001C TIN &amp; TP'!$A$3:$A$10005),0),MATCH('Reg 85'!$AG$11,'DMR 001C TIN &amp; TP'!$A$2:$M$2,0))),"")</f>
        <v/>
      </c>
      <c r="AK127" s="6" t="str">
        <f t="array" ref="AK127">_xlfn.IFNA((INDEX('DMR 001C TIN &amp; TP'!$A$3:$M$10005,MATCH(('Reg 85'!$X$6&amp;'Reg 85'!AK$10&amp;'Reg 85'!$B127),('DMR 001C TIN &amp; TP'!$E$3:$E$10005&amp;'DMR 001C TIN &amp; TP'!$B$3:$B$10005&amp;'DMR 001C TIN &amp; TP'!$A$3:$A$10005),0),MATCH('Reg 85'!$AG$11,'DMR 001C TIN &amp; TP'!$A$2:$M$2,0))),"")</f>
        <v/>
      </c>
      <c r="AL127" s="6" t="str">
        <f t="array" ref="AL127">_xlfn.IFNA((INDEX('DMR 001C TIN &amp; TP'!$A$3:$M$10005,MATCH(('Reg 85'!$X$6&amp;'Reg 85'!AL$10&amp;'Reg 85'!$B127),('DMR 001C TIN &amp; TP'!$E$3:$E$10005&amp;'DMR 001C TIN &amp; TP'!$B$3:$B$10005&amp;'DMR 001C TIN &amp; TP'!$A$3:$A$10005),0),MATCH('Reg 85'!$AG$11,'DMR 001C TIN &amp; TP'!$A$2:$M$2,0))),"")</f>
        <v/>
      </c>
      <c r="AM127" s="76"/>
      <c r="AN127" s="6"/>
      <c r="AO127" s="54">
        <f t="shared" si="41"/>
        <v>6.5374576040287167</v>
      </c>
      <c r="AP127" s="77" t="str">
        <f t="shared" si="60"/>
        <v/>
      </c>
      <c r="AQ127" s="47"/>
      <c r="AR127" s="6" t="str">
        <f t="array" ref="AR127">_xlfn.IFNA((INDEX('DMR 001C TIN &amp; TP'!$A$3:$M$10005,MATCH(('Reg 85'!$AQ$6&amp;'Reg 85'!$AQ$10&amp;'Reg 85'!$B127),('DMR 001C TIN &amp; TP'!$E$3:$E$10005&amp;'DMR 001C TIN &amp; TP'!$B$3:$B$10005&amp;'DMR 001C TIN &amp; TP'!$A$3:$A$10005),0),MATCH('Reg 85'!$AR$11,'DMR 001C TIN &amp; TP'!$A$2:$M$2,0))),"")</f>
        <v/>
      </c>
      <c r="AS127" s="6" t="str">
        <f t="array" ref="AS127">_xlfn.IFNA((INDEX('DMR 001C TIN &amp; TP'!$A$3:$M$10005,MATCH(('Reg 85'!$AQ$6&amp;'Reg 85'!$AQ$10&amp;'Reg 85'!$B127),('DMR 001C TIN &amp; TP'!$E$3:$E$10005&amp;'DMR 001C TIN &amp; TP'!$B$3:$B$10005&amp;'DMR 001C TIN &amp; TP'!$A$3:$A$10005),0),MATCH('Reg 85'!$AS$11,'DMR 001C TIN &amp; TP'!$A$2:$M$2,0))),"")</f>
        <v/>
      </c>
      <c r="AT127" s="53" t="str">
        <f t="shared" si="55"/>
        <v/>
      </c>
      <c r="AV127" s="6" t="str">
        <f t="array" ref="AV127">_xlfn.IFNA((INDEX('DMR 001C TIN &amp; TP'!$A$3:$M$10005,MATCH(('Reg 85'!$AQ$6&amp;'Reg 85'!$AU$10&amp;'Reg 85'!$B127),('DMR 001C TIN &amp; TP'!$E$3:$E$10005&amp;'DMR 001C TIN &amp; TP'!$B$3:$B$10005&amp;'DMR 001C TIN &amp; TP'!$A$3:$A$10005),0),MATCH('Reg 85'!$AV$11,'DMR 001C TIN &amp; TP'!$A$2:$M$2,0))),"")</f>
        <v/>
      </c>
      <c r="AW127" s="6" t="str">
        <f t="array" ref="AW127">_xlfn.IFNA((INDEX('DMR 001C TIN &amp; TP'!$A$3:$M$10005,MATCH(('Reg 85'!$AQ$6&amp;'Reg 85'!$AU$10&amp;'Reg 85'!$B127),('DMR 001C TIN &amp; TP'!$E$3:$E$10005&amp;'DMR 001C TIN &amp; TP'!$B$3:$B$10005&amp;'DMR 001C TIN &amp; TP'!$A$3:$A$10005),0),MATCH('Reg 85'!$AW$11,'DMR 001C TIN &amp; TP'!$A$2:$M$2,0))),"")</f>
        <v/>
      </c>
      <c r="AX127" s="53" t="str">
        <f t="shared" si="56"/>
        <v/>
      </c>
      <c r="AY127" s="55" t="str">
        <f t="shared" si="57"/>
        <v/>
      </c>
      <c r="AZ127" s="77" t="str">
        <f t="shared" si="61"/>
        <v/>
      </c>
      <c r="BA127" s="6" t="str">
        <f t="array" ref="BA127">_xlfn.IFNA((INDEX('DMR 001C TIN &amp; TP'!$A$3:$M$10005,MATCH(('Reg 85'!$AQ$6&amp;'Reg 85'!BA$10&amp;'Reg 85'!$B127),('DMR 001C TIN &amp; TP'!$E$3:$E$10005&amp;'DMR 001C TIN &amp; TP'!$B$3:$B$10005&amp;'DMR 001C TIN &amp; TP'!$A$3:$A$10005),0),MATCH('Reg 85'!$AG$11,'DMR 001C TIN &amp; TP'!$A$2:$M$2,0))),"")</f>
        <v/>
      </c>
      <c r="BB127" s="6" t="str">
        <f t="array" ref="BB127">_xlfn.IFNA((INDEX('DMR 001C TIN &amp; TP'!$A$3:$M$10005,MATCH(('Reg 85'!$AQ$6&amp;'Reg 85'!BB$10&amp;'Reg 85'!$B127),('DMR 001C TIN &amp; TP'!$E$3:$E$10005&amp;'DMR 001C TIN &amp; TP'!$B$3:$B$10005&amp;'DMR 001C TIN &amp; TP'!$A$3:$A$10005),0),MATCH('Reg 85'!$AG$11,'DMR 001C TIN &amp; TP'!$A$2:$M$2,0))),"")</f>
        <v/>
      </c>
      <c r="BC127" s="6" t="str">
        <f t="array" ref="BC127">_xlfn.IFNA((INDEX('DMR 001C TIN &amp; TP'!$A$3:$M$10005,MATCH(('Reg 85'!$AQ$6&amp;'Reg 85'!BC$10&amp;'Reg 85'!$B127),('DMR 001C TIN &amp; TP'!$E$3:$E$10005&amp;'DMR 001C TIN &amp; TP'!$B$3:$B$10005&amp;'DMR 001C TIN &amp; TP'!$A$3:$A$10005),0),MATCH('Reg 85'!$AG$11,'DMR 001C TIN &amp; TP'!$A$2:$M$2,0))),"")</f>
        <v/>
      </c>
      <c r="BD127" s="6" t="str">
        <f t="array" ref="BD127">_xlfn.IFNA((INDEX('DMR 001C TIN &amp; TP'!$A$3:$M$10005,MATCH(('Reg 85'!$AQ$6&amp;'Reg 85'!BD$10&amp;'Reg 85'!$B127),('DMR 001C TIN &amp; TP'!$E$3:$E$10005&amp;'DMR 001C TIN &amp; TP'!$B$3:$B$10005&amp;'DMR 001C TIN &amp; TP'!$A$3:$A$10005),0),MATCH('Reg 85'!$AG$11,'DMR 001C TIN &amp; TP'!$A$2:$M$2,0))),"")</f>
        <v/>
      </c>
      <c r="BE127" s="6" t="str">
        <f t="array" ref="BE127">_xlfn.IFNA((INDEX('DMR 001C TIN &amp; TP'!$A$3:$M$10005,MATCH(('Reg 85'!$AQ$6&amp;'Reg 85'!BE$10&amp;'Reg 85'!$B127),('DMR 001C TIN &amp; TP'!$E$3:$E$10005&amp;'DMR 001C TIN &amp; TP'!$B$3:$B$10005&amp;'DMR 001C TIN &amp; TP'!$A$3:$A$10005),0),MATCH('Reg 85'!$AG$11,'DMR 001C TIN &amp; TP'!$A$2:$M$2,0))),"")</f>
        <v/>
      </c>
      <c r="BF127" s="6" t="str">
        <f t="array" ref="BF127">_xlfn.IFNA((INDEX('DMR 001C TIN &amp; TP'!$A$3:$M$10005,MATCH(('Reg 85'!$AQ$6&amp;'Reg 85'!BF$10&amp;'Reg 85'!$B127),('DMR 001C TIN &amp; TP'!$E$3:$E$10005&amp;'DMR 001C TIN &amp; TP'!$B$3:$B$10005&amp;'DMR 001C TIN &amp; TP'!$A$3:$A$10005),0),MATCH('Reg 85'!$AG$11,'DMR 001C TIN &amp; TP'!$A$2:$M$2,0))),"")</f>
        <v/>
      </c>
    </row>
    <row r="128" spans="1:58">
      <c r="A128" s="3" t="str">
        <f t="shared" si="42"/>
        <v>Wed</v>
      </c>
      <c r="B128" s="96">
        <f t="shared" si="58"/>
        <v>43460</v>
      </c>
      <c r="C128" s="96">
        <f t="shared" si="43"/>
        <v>43465</v>
      </c>
      <c r="D128" s="96">
        <f t="shared" si="44"/>
        <v>43435</v>
      </c>
      <c r="E128" s="95">
        <f t="shared" si="45"/>
        <v>31</v>
      </c>
      <c r="F128" s="7">
        <f t="array" ref="F128">_xlfn.IFNA(INDEX('DMR Flows-Effluent'!$A$3:$F$9999,MATCH(($F$10&amp;$B128),('DMR Flows-Effluent'!$B$3:$B$9999&amp;'DMR Flows-Effluent'!$A$3:$A$9999),0),MATCH($F$8,'DMR Flows-Effluent'!$A$2:$F$2,0)),"")</f>
        <v>44.053600000000003</v>
      </c>
      <c r="G128" s="7">
        <f t="array" ref="G128">_xlfn.IFNA(INDEX('DMR Flows-Effluent'!$A$3:$F$9999,MATCH(($G$10&amp;$B128),('DMR Flows-Effluent'!$B$3:$B$9999&amp;'DMR Flows-Effluent'!$A$3:$A$9999),0),MATCH($F$8,'DMR Flows-Effluent'!$A$2:$F$2,0)),"")</f>
        <v>68.6922</v>
      </c>
      <c r="H128" s="7">
        <f t="shared" si="46"/>
        <v>112.7458</v>
      </c>
      <c r="I128" s="45" t="str">
        <f t="shared" si="47"/>
        <v/>
      </c>
      <c r="J128" s="6" t="str">
        <f t="array" ref="J128">_xlfn.IFNA((INDEX('DMR 001C TIN &amp; TP'!$A$3:$M$10005,MATCH(('Reg 85'!$I$6:$Q$6&amp;'Reg 85'!$I$10:$K$10&amp;'Reg 85'!$B128),('DMR 001C TIN &amp; TP'!$E$3:$E$10005&amp;'DMR 001C TIN &amp; TP'!$B$3:$B$10005&amp;'DMR 001C TIN &amp; TP'!$A$3:$A$10005),0),MATCH('Reg 85'!$J$11,'DMR 001C TIN &amp; TP'!$A$2:$M$2,0))),"")</f>
        <v>0.15</v>
      </c>
      <c r="K128" s="6">
        <f t="array" ref="K128">_xlfn.IFNA((INDEX('DMR 001C TIN &amp; TP'!$A$3:$M$10005,MATCH(('Reg 85'!$I$6:$Q$6&amp;'Reg 85'!$I$10:$K$10&amp;'Reg 85'!$B128),('DMR 001C TIN &amp; TP'!$E$3:$E$10005&amp;'DMR 001C TIN &amp; TP'!$B$3:$B$10005&amp;'DMR 001C TIN &amp; TP'!$A$3:$A$10005),0),MATCH('Reg 85'!$K$11,'DMR 001C TIN &amp; TP'!$A$2:$M$2,0))),"")</f>
        <v>0.61</v>
      </c>
      <c r="L128" s="53">
        <f t="shared" si="59"/>
        <v>0.61</v>
      </c>
      <c r="M128" s="5" t="str">
        <f t="shared" si="48"/>
        <v>&lt;</v>
      </c>
      <c r="N128" s="6" t="str">
        <f t="array" ref="N128">_xlfn.IFNA((INDEX('DMR 001C TIN &amp; TP'!$A$3:$M$10005,MATCH(('Reg 85'!$I$6:$Q$6&amp;'Reg 85'!$M$10&amp;'Reg 85'!$B128),('DMR 001C TIN &amp; TP'!$E$3:$E$10005&amp;'DMR 001C TIN &amp; TP'!$B$3:$B$10005&amp;'DMR 001C TIN &amp; TP'!$A$3:$A$10005),0),MATCH('Reg 85'!$N$11,'DMR 001C TIN &amp; TP'!$A$2:$M$2,0))),"")</f>
        <v>0.15</v>
      </c>
      <c r="O128" s="6">
        <f t="array" ref="O128">_xlfn.IFNA((INDEX('DMR 001C TIN &amp; TP'!$A$3:$M$10005,MATCH(('Reg 85'!$I$6:$Q$6&amp;'Reg 85'!$M$10&amp;'Reg 85'!$B128),('DMR 001C TIN &amp; TP'!$E$3:$E$10005&amp;'DMR 001C TIN &amp; TP'!$B$3:$B$10005&amp;'DMR 001C TIN &amp; TP'!$A$3:$A$10005),0),MATCH('Reg 85'!$O$11,'DMR 001C TIN &amp; TP'!$A$2:$M$2,0))),"")</f>
        <v>0.11</v>
      </c>
      <c r="P128" s="53">
        <f t="shared" si="49"/>
        <v>0</v>
      </c>
      <c r="Q128" s="73">
        <f t="array" ref="Q128">IFERROR(((L128*$F128)+(P128*$G128))/($H128),"")</f>
        <v>0.23834764576596201</v>
      </c>
      <c r="R128" s="6" t="str">
        <f t="array" ref="R128">_xlfn.IFNA((INDEX('DMR 001C TIN &amp; TP'!$A$3:$M$10005,MATCH(('Reg 85'!$I$6:$Q$6&amp;'Reg 85'!R$10&amp;'Reg 85'!$B128),('DMR 001C TIN &amp; TP'!$E$3:$E$10005&amp;'DMR 001C TIN &amp; TP'!$B$3:$B$10005&amp;'DMR 001C TIN &amp; TP'!$A$3:$A$10005),0),MATCH('Reg 85'!$O$11,'DMR 001C TIN &amp; TP'!$A$2:$M$2,0))),"")</f>
        <v/>
      </c>
      <c r="S128" s="6" t="str">
        <f t="array" ref="S128">_xlfn.IFNA((INDEX('DMR 001C TIN &amp; TP'!$A$3:$M$10005,MATCH(('Reg 85'!$I$6:$Q$6&amp;'Reg 85'!S$10&amp;'Reg 85'!$B128),('DMR 001C TIN &amp; TP'!$E$3:$E$10005&amp;'DMR 001C TIN &amp; TP'!$B$3:$B$10005&amp;'DMR 001C TIN &amp; TP'!$A$3:$A$10005),0),MATCH('Reg 85'!$O$11,'DMR 001C TIN &amp; TP'!$A$2:$M$2,0))),"")</f>
        <v/>
      </c>
      <c r="T128" s="6" t="str">
        <f t="array" ref="T128">_xlfn.IFNA((INDEX('DMR 001C TIN &amp; TP'!$A$3:$M$10005,MATCH(('Reg 85'!$I$6:$Q$6&amp;'Reg 85'!T$10&amp;'Reg 85'!$B128),('DMR 001C TIN &amp; TP'!$E$3:$E$10005&amp;'DMR 001C TIN &amp; TP'!$B$3:$B$10005&amp;'DMR 001C TIN &amp; TP'!$A$3:$A$10005),0),MATCH('Reg 85'!$O$11,'DMR 001C TIN &amp; TP'!$A$2:$M$2,0))),"")</f>
        <v/>
      </c>
      <c r="U128" s="6" t="str">
        <f t="array" ref="U128">_xlfn.IFNA((INDEX('DMR 001C TIN &amp; TP'!$A$3:$M$10005,MATCH(('Reg 85'!$I$6:$Q$6&amp;'Reg 85'!U$10&amp;'Reg 85'!$B128),('DMR 001C TIN &amp; TP'!$E$3:$E$10005&amp;'DMR 001C TIN &amp; TP'!$B$3:$B$10005&amp;'DMR 001C TIN &amp; TP'!$A$3:$A$10005),0),MATCH('Reg 85'!$O$11,'DMR 001C TIN &amp; TP'!$A$2:$M$2,0))),"")</f>
        <v/>
      </c>
      <c r="V128" s="6" t="str">
        <f t="array" ref="V128">_xlfn.IFNA((INDEX('DMR 001C TIN &amp; TP'!$A$3:$M$10005,MATCH(('Reg 85'!$I$6:$Q$6&amp;'Reg 85'!V$10&amp;'Reg 85'!$B128),('DMR 001C TIN &amp; TP'!$E$3:$E$10005&amp;'DMR 001C TIN &amp; TP'!$B$3:$B$10005&amp;'DMR 001C TIN &amp; TP'!$A$3:$A$10005),0),MATCH('Reg 85'!$O$11,'DMR 001C TIN &amp; TP'!$A$2:$M$2,0))),"")</f>
        <v/>
      </c>
      <c r="W128" s="6" t="str">
        <f t="array" ref="W128">_xlfn.IFNA((INDEX('DMR 001C TIN &amp; TP'!$A$3:$M$10005,MATCH(('Reg 85'!$I$6:$Q$6&amp;'Reg 85'!W$10&amp;'Reg 85'!$B128),('DMR 001C TIN &amp; TP'!$E$3:$E$10005&amp;'DMR 001C TIN &amp; TP'!$B$3:$B$10005&amp;'DMR 001C TIN &amp; TP'!$A$3:$A$10005),0),MATCH('Reg 85'!$O$11,'DMR 001C TIN &amp; TP'!$A$2:$M$2,0))),"")</f>
        <v/>
      </c>
      <c r="X128" s="5" t="str">
        <f t="shared" si="50"/>
        <v/>
      </c>
      <c r="Y128" s="6" t="str">
        <f t="array" ref="Y128">_xlfn.IFNA((INDEX('DMR 001C TIN &amp; TP'!$A$3:$M$10005,MATCH(('Reg 85'!$X$6&amp;'Reg 85'!$X$10&amp;'Reg 85'!$B128),('DMR 001C TIN &amp; TP'!$E$3:$E$10005&amp;'DMR 001C TIN &amp; TP'!$B$3:$B$10005&amp;'DMR 001C TIN &amp; TP'!$A$3:$A$10005),0),MATCH('Reg 85'!$Y$11,'DMR 001C TIN &amp; TP'!$A$2:$M$2,0))),"")</f>
        <v>0.06</v>
      </c>
      <c r="Z128" s="6">
        <f t="array" ref="Z128">_xlfn.IFNA((INDEX('DMR 001C TIN &amp; TP'!$A$3:$M$10005,MATCH(('Reg 85'!$X$6&amp;'Reg 85'!$X$10&amp;'Reg 85'!$B128),('DMR 001C TIN &amp; TP'!$E$3:$E$10005&amp;'DMR 001C TIN &amp; TP'!$B$3:$B$10005&amp;'DMR 001C TIN &amp; TP'!$A$3:$A$10005),0),MATCH('Reg 85'!$Z$11,'DMR 001C TIN &amp; TP'!$A$2:$M$2,0))),"")</f>
        <v>5.41</v>
      </c>
      <c r="AA128" s="53">
        <f t="shared" si="51"/>
        <v>5.41</v>
      </c>
      <c r="AB128" s="5" t="str">
        <f t="shared" si="52"/>
        <v/>
      </c>
      <c r="AC128" s="6" t="str">
        <f t="array" ref="AC128">_xlfn.IFNA((INDEX('DMR 001C TIN &amp; TP'!$A$3:$M$10005,MATCH(('Reg 85'!$X$6&amp;'Reg 85'!$AB$10&amp;'Reg 85'!$B128),('DMR 001C TIN &amp; TP'!$E$3:$E$10005&amp;'DMR 001C TIN &amp; TP'!$B$3:$B$10005&amp;'DMR 001C TIN &amp; TP'!$A$3:$A$10005),0),MATCH('Reg 85'!$AC$11,'DMR 001C TIN &amp; TP'!$A$2:$M$2,0))),"")</f>
        <v>0.06</v>
      </c>
      <c r="AD128" s="6">
        <f t="array" ref="AD128">_xlfn.IFNA((INDEX('DMR 001C TIN &amp; TP'!$A$3:$M$10005,MATCH(('Reg 85'!$X$6&amp;'Reg 85'!$AB$10&amp;'Reg 85'!$B128),('DMR 001C TIN &amp; TP'!$E$3:$E$10005&amp;'DMR 001C TIN &amp; TP'!$B$3:$B$10005&amp;'DMR 001C TIN &amp; TP'!$A$3:$A$10005),0),MATCH('Reg 85'!$AD$11,'DMR 001C TIN &amp; TP'!$A$2:$M$2,0))),"")</f>
        <v>7.29</v>
      </c>
      <c r="AE128" s="53">
        <f t="shared" si="53"/>
        <v>7.29</v>
      </c>
      <c r="AF128" s="7">
        <f t="shared" si="54"/>
        <v>6.5554203704262157</v>
      </c>
      <c r="AG128" s="6" t="str">
        <f t="array" ref="AG128">_xlfn.IFNA((INDEX('DMR 001C TIN &amp; TP'!$A$3:$M$10005,MATCH(('Reg 85'!$X$6&amp;'Reg 85'!AG$10&amp;'Reg 85'!$B128),('DMR 001C TIN &amp; TP'!$E$3:$E$10005&amp;'DMR 001C TIN &amp; TP'!$B$3:$B$10005&amp;'DMR 001C TIN &amp; TP'!$A$3:$A$10005),0),MATCH('Reg 85'!$AG$11,'DMR 001C TIN &amp; TP'!$A$2:$M$2,0))),"")</f>
        <v/>
      </c>
      <c r="AH128" s="6" t="str">
        <f t="array" ref="AH128">_xlfn.IFNA((INDEX('DMR 001C TIN &amp; TP'!$A$3:$M$10005,MATCH(('Reg 85'!$X$6&amp;'Reg 85'!AH$10&amp;'Reg 85'!$B128),('DMR 001C TIN &amp; TP'!$E$3:$E$10005&amp;'DMR 001C TIN &amp; TP'!$B$3:$B$10005&amp;'DMR 001C TIN &amp; TP'!$A$3:$A$10005),0),MATCH('Reg 85'!$AG$11,'DMR 001C TIN &amp; TP'!$A$2:$M$2,0))),"")</f>
        <v/>
      </c>
      <c r="AI128" s="6" t="str">
        <f t="array" ref="AI128">_xlfn.IFNA((INDEX('DMR 001C TIN &amp; TP'!$A$3:$M$10005,MATCH(('Reg 85'!$X$6&amp;'Reg 85'!AI$10&amp;'Reg 85'!$B128),('DMR 001C TIN &amp; TP'!$E$3:$E$10005&amp;'DMR 001C TIN &amp; TP'!$B$3:$B$10005&amp;'DMR 001C TIN &amp; TP'!$A$3:$A$10005),0),MATCH('Reg 85'!$AG$11,'DMR 001C TIN &amp; TP'!$A$2:$M$2,0))),"")</f>
        <v/>
      </c>
      <c r="AJ128" s="6" t="str">
        <f t="array" ref="AJ128">_xlfn.IFNA((INDEX('DMR 001C TIN &amp; TP'!$A$3:$M$10005,MATCH(('Reg 85'!$X$6&amp;'Reg 85'!AJ$10&amp;'Reg 85'!$B128),('DMR 001C TIN &amp; TP'!$E$3:$E$10005&amp;'DMR 001C TIN &amp; TP'!$B$3:$B$10005&amp;'DMR 001C TIN &amp; TP'!$A$3:$A$10005),0),MATCH('Reg 85'!$AG$11,'DMR 001C TIN &amp; TP'!$A$2:$M$2,0))),"")</f>
        <v/>
      </c>
      <c r="AK128" s="6" t="str">
        <f t="array" ref="AK128">_xlfn.IFNA((INDEX('DMR 001C TIN &amp; TP'!$A$3:$M$10005,MATCH(('Reg 85'!$X$6&amp;'Reg 85'!AK$10&amp;'Reg 85'!$B128),('DMR 001C TIN &amp; TP'!$E$3:$E$10005&amp;'DMR 001C TIN &amp; TP'!$B$3:$B$10005&amp;'DMR 001C TIN &amp; TP'!$A$3:$A$10005),0),MATCH('Reg 85'!$AG$11,'DMR 001C TIN &amp; TP'!$A$2:$M$2,0))),"")</f>
        <v/>
      </c>
      <c r="AL128" s="6" t="str">
        <f t="array" ref="AL128">_xlfn.IFNA((INDEX('DMR 001C TIN &amp; TP'!$A$3:$M$10005,MATCH(('Reg 85'!$X$6&amp;'Reg 85'!AL$10&amp;'Reg 85'!$B128),('DMR 001C TIN &amp; TP'!$E$3:$E$10005&amp;'DMR 001C TIN &amp; TP'!$B$3:$B$10005&amp;'DMR 001C TIN &amp; TP'!$A$3:$A$10005),0),MATCH('Reg 85'!$AG$11,'DMR 001C TIN &amp; TP'!$A$2:$M$2,0))),"")</f>
        <v/>
      </c>
      <c r="AM128" s="76"/>
      <c r="AN128" s="6"/>
      <c r="AO128" s="54">
        <f t="shared" si="41"/>
        <v>6.7937680161921774</v>
      </c>
      <c r="AP128" s="77" t="str">
        <f t="shared" si="60"/>
        <v/>
      </c>
      <c r="AQ128" s="47"/>
      <c r="AR128" s="6" t="str">
        <f t="array" ref="AR128">_xlfn.IFNA((INDEX('DMR 001C TIN &amp; TP'!$A$3:$M$10005,MATCH(('Reg 85'!$AQ$6&amp;'Reg 85'!$AQ$10&amp;'Reg 85'!$B128),('DMR 001C TIN &amp; TP'!$E$3:$E$10005&amp;'DMR 001C TIN &amp; TP'!$B$3:$B$10005&amp;'DMR 001C TIN &amp; TP'!$A$3:$A$10005),0),MATCH('Reg 85'!$AR$11,'DMR 001C TIN &amp; TP'!$A$2:$M$2,0))),"")</f>
        <v/>
      </c>
      <c r="AS128" s="6" t="str">
        <f t="array" ref="AS128">_xlfn.IFNA((INDEX('DMR 001C TIN &amp; TP'!$A$3:$M$10005,MATCH(('Reg 85'!$AQ$6&amp;'Reg 85'!$AQ$10&amp;'Reg 85'!$B128),('DMR 001C TIN &amp; TP'!$E$3:$E$10005&amp;'DMR 001C TIN &amp; TP'!$B$3:$B$10005&amp;'DMR 001C TIN &amp; TP'!$A$3:$A$10005),0),MATCH('Reg 85'!$AS$11,'DMR 001C TIN &amp; TP'!$A$2:$M$2,0))),"")</f>
        <v/>
      </c>
      <c r="AT128" s="53" t="str">
        <f t="shared" si="55"/>
        <v/>
      </c>
      <c r="AV128" s="6" t="str">
        <f t="array" ref="AV128">_xlfn.IFNA((INDEX('DMR 001C TIN &amp; TP'!$A$3:$M$10005,MATCH(('Reg 85'!$AQ$6&amp;'Reg 85'!$AU$10&amp;'Reg 85'!$B128),('DMR 001C TIN &amp; TP'!$E$3:$E$10005&amp;'DMR 001C TIN &amp; TP'!$B$3:$B$10005&amp;'DMR 001C TIN &amp; TP'!$A$3:$A$10005),0),MATCH('Reg 85'!$AV$11,'DMR 001C TIN &amp; TP'!$A$2:$M$2,0))),"")</f>
        <v/>
      </c>
      <c r="AW128" s="6" t="str">
        <f t="array" ref="AW128">_xlfn.IFNA((INDEX('DMR 001C TIN &amp; TP'!$A$3:$M$10005,MATCH(('Reg 85'!$AQ$6&amp;'Reg 85'!$AU$10&amp;'Reg 85'!$B128),('DMR 001C TIN &amp; TP'!$E$3:$E$10005&amp;'DMR 001C TIN &amp; TP'!$B$3:$B$10005&amp;'DMR 001C TIN &amp; TP'!$A$3:$A$10005),0),MATCH('Reg 85'!$AW$11,'DMR 001C TIN &amp; TP'!$A$2:$M$2,0))),"")</f>
        <v/>
      </c>
      <c r="AX128" s="53" t="str">
        <f t="shared" si="56"/>
        <v/>
      </c>
      <c r="AY128" s="55" t="str">
        <f t="shared" si="57"/>
        <v/>
      </c>
      <c r="AZ128" s="77" t="str">
        <f t="shared" si="61"/>
        <v/>
      </c>
      <c r="BA128" s="6" t="str">
        <f t="array" ref="BA128">_xlfn.IFNA((INDEX('DMR 001C TIN &amp; TP'!$A$3:$M$10005,MATCH(('Reg 85'!$AQ$6&amp;'Reg 85'!BA$10&amp;'Reg 85'!$B128),('DMR 001C TIN &amp; TP'!$E$3:$E$10005&amp;'DMR 001C TIN &amp; TP'!$B$3:$B$10005&amp;'DMR 001C TIN &amp; TP'!$A$3:$A$10005),0),MATCH('Reg 85'!$AG$11,'DMR 001C TIN &amp; TP'!$A$2:$M$2,0))),"")</f>
        <v/>
      </c>
      <c r="BB128" s="6" t="str">
        <f t="array" ref="BB128">_xlfn.IFNA((INDEX('DMR 001C TIN &amp; TP'!$A$3:$M$10005,MATCH(('Reg 85'!$AQ$6&amp;'Reg 85'!BB$10&amp;'Reg 85'!$B128),('DMR 001C TIN &amp; TP'!$E$3:$E$10005&amp;'DMR 001C TIN &amp; TP'!$B$3:$B$10005&amp;'DMR 001C TIN &amp; TP'!$A$3:$A$10005),0),MATCH('Reg 85'!$AG$11,'DMR 001C TIN &amp; TP'!$A$2:$M$2,0))),"")</f>
        <v/>
      </c>
      <c r="BC128" s="6" t="str">
        <f t="array" ref="BC128">_xlfn.IFNA((INDEX('DMR 001C TIN &amp; TP'!$A$3:$M$10005,MATCH(('Reg 85'!$AQ$6&amp;'Reg 85'!BC$10&amp;'Reg 85'!$B128),('DMR 001C TIN &amp; TP'!$E$3:$E$10005&amp;'DMR 001C TIN &amp; TP'!$B$3:$B$10005&amp;'DMR 001C TIN &amp; TP'!$A$3:$A$10005),0),MATCH('Reg 85'!$AG$11,'DMR 001C TIN &amp; TP'!$A$2:$M$2,0))),"")</f>
        <v/>
      </c>
      <c r="BD128" s="6" t="str">
        <f t="array" ref="BD128">_xlfn.IFNA((INDEX('DMR 001C TIN &amp; TP'!$A$3:$M$10005,MATCH(('Reg 85'!$AQ$6&amp;'Reg 85'!BD$10&amp;'Reg 85'!$B128),('DMR 001C TIN &amp; TP'!$E$3:$E$10005&amp;'DMR 001C TIN &amp; TP'!$B$3:$B$10005&amp;'DMR 001C TIN &amp; TP'!$A$3:$A$10005),0),MATCH('Reg 85'!$AG$11,'DMR 001C TIN &amp; TP'!$A$2:$M$2,0))),"")</f>
        <v/>
      </c>
      <c r="BE128" s="6" t="str">
        <f t="array" ref="BE128">_xlfn.IFNA((INDEX('DMR 001C TIN &amp; TP'!$A$3:$M$10005,MATCH(('Reg 85'!$AQ$6&amp;'Reg 85'!BE$10&amp;'Reg 85'!$B128),('DMR 001C TIN &amp; TP'!$E$3:$E$10005&amp;'DMR 001C TIN &amp; TP'!$B$3:$B$10005&amp;'DMR 001C TIN &amp; TP'!$A$3:$A$10005),0),MATCH('Reg 85'!$AG$11,'DMR 001C TIN &amp; TP'!$A$2:$M$2,0))),"")</f>
        <v/>
      </c>
      <c r="BF128" s="6" t="str">
        <f t="array" ref="BF128">_xlfn.IFNA((INDEX('DMR 001C TIN &amp; TP'!$A$3:$M$10005,MATCH(('Reg 85'!$AQ$6&amp;'Reg 85'!BF$10&amp;'Reg 85'!$B128),('DMR 001C TIN &amp; TP'!$E$3:$E$10005&amp;'DMR 001C TIN &amp; TP'!$B$3:$B$10005&amp;'DMR 001C TIN &amp; TP'!$A$3:$A$10005),0),MATCH('Reg 85'!$AG$11,'DMR 001C TIN &amp; TP'!$A$2:$M$2,0))),"")</f>
        <v/>
      </c>
    </row>
    <row r="129" spans="1:58">
      <c r="A129" s="3" t="str">
        <f t="shared" si="42"/>
        <v>Thu</v>
      </c>
      <c r="B129" s="96">
        <f t="shared" si="58"/>
        <v>43461</v>
      </c>
      <c r="C129" s="96">
        <f t="shared" si="43"/>
        <v>43465</v>
      </c>
      <c r="D129" s="96">
        <f t="shared" si="44"/>
        <v>43435</v>
      </c>
      <c r="E129" s="95">
        <f t="shared" si="45"/>
        <v>31</v>
      </c>
      <c r="F129" s="7">
        <f t="array" ref="F129">_xlfn.IFNA(INDEX('DMR Flows-Effluent'!$A$3:$F$9999,MATCH(($F$10&amp;$B129),('DMR Flows-Effluent'!$B$3:$B$9999&amp;'DMR Flows-Effluent'!$A$3:$A$9999),0),MATCH($F$8,'DMR Flows-Effluent'!$A$2:$F$2,0)),"")</f>
        <v>47.0092</v>
      </c>
      <c r="G129" s="7">
        <f t="array" ref="G129">_xlfn.IFNA(INDEX('DMR Flows-Effluent'!$A$3:$F$9999,MATCH(($G$10&amp;$B129),('DMR Flows-Effluent'!$B$3:$B$9999&amp;'DMR Flows-Effluent'!$A$3:$A$9999),0),MATCH($F$8,'DMR Flows-Effluent'!$A$2:$F$2,0)),"")</f>
        <v>68.939400000000006</v>
      </c>
      <c r="H129" s="7">
        <f t="shared" si="46"/>
        <v>115.9486</v>
      </c>
      <c r="I129" s="45" t="str">
        <f t="shared" si="47"/>
        <v/>
      </c>
      <c r="J129" s="6" t="str">
        <f t="array" ref="J129">_xlfn.IFNA((INDEX('DMR 001C TIN &amp; TP'!$A$3:$M$10005,MATCH(('Reg 85'!$I$6:$Q$6&amp;'Reg 85'!$I$10:$K$10&amp;'Reg 85'!$B129),('DMR 001C TIN &amp; TP'!$E$3:$E$10005&amp;'DMR 001C TIN &amp; TP'!$B$3:$B$10005&amp;'DMR 001C TIN &amp; TP'!$A$3:$A$10005),0),MATCH('Reg 85'!$J$11,'DMR 001C TIN &amp; TP'!$A$2:$M$2,0))),"")</f>
        <v/>
      </c>
      <c r="K129" s="6" t="str">
        <f t="array" ref="K129">_xlfn.IFNA((INDEX('DMR 001C TIN &amp; TP'!$A$3:$M$10005,MATCH(('Reg 85'!$I$6:$Q$6&amp;'Reg 85'!$I$10:$K$10&amp;'Reg 85'!$B129),('DMR 001C TIN &amp; TP'!$E$3:$E$10005&amp;'DMR 001C TIN &amp; TP'!$B$3:$B$10005&amp;'DMR 001C TIN &amp; TP'!$A$3:$A$10005),0),MATCH('Reg 85'!$K$11,'DMR 001C TIN &amp; TP'!$A$2:$M$2,0))),"")</f>
        <v/>
      </c>
      <c r="L129" s="53" t="str">
        <f t="shared" si="59"/>
        <v/>
      </c>
      <c r="M129" s="5" t="str">
        <f t="shared" si="48"/>
        <v/>
      </c>
      <c r="N129" s="6" t="str">
        <f t="array" ref="N129">_xlfn.IFNA((INDEX('DMR 001C TIN &amp; TP'!$A$3:$M$10005,MATCH(('Reg 85'!$I$6:$Q$6&amp;'Reg 85'!$M$10&amp;'Reg 85'!$B129),('DMR 001C TIN &amp; TP'!$E$3:$E$10005&amp;'DMR 001C TIN &amp; TP'!$B$3:$B$10005&amp;'DMR 001C TIN &amp; TP'!$A$3:$A$10005),0),MATCH('Reg 85'!$N$11,'DMR 001C TIN &amp; TP'!$A$2:$M$2,0))),"")</f>
        <v/>
      </c>
      <c r="O129" s="6" t="str">
        <f t="array" ref="O129">_xlfn.IFNA((INDEX('DMR 001C TIN &amp; TP'!$A$3:$M$10005,MATCH(('Reg 85'!$I$6:$Q$6&amp;'Reg 85'!$M$10&amp;'Reg 85'!$B129),('DMR 001C TIN &amp; TP'!$E$3:$E$10005&amp;'DMR 001C TIN &amp; TP'!$B$3:$B$10005&amp;'DMR 001C TIN &amp; TP'!$A$3:$A$10005),0),MATCH('Reg 85'!$O$11,'DMR 001C TIN &amp; TP'!$A$2:$M$2,0))),"")</f>
        <v/>
      </c>
      <c r="P129" s="53" t="str">
        <f t="shared" si="49"/>
        <v/>
      </c>
      <c r="Q129" s="73" t="str">
        <f t="array" ref="Q129">IFERROR(((L129*$F129)+(P129*$G129))/($H129),"")</f>
        <v/>
      </c>
      <c r="R129" s="6" t="str">
        <f t="array" ref="R129">_xlfn.IFNA((INDEX('DMR 001C TIN &amp; TP'!$A$3:$M$10005,MATCH(('Reg 85'!$I$6:$Q$6&amp;'Reg 85'!R$10&amp;'Reg 85'!$B129),('DMR 001C TIN &amp; TP'!$E$3:$E$10005&amp;'DMR 001C TIN &amp; TP'!$B$3:$B$10005&amp;'DMR 001C TIN &amp; TP'!$A$3:$A$10005),0),MATCH('Reg 85'!$O$11,'DMR 001C TIN &amp; TP'!$A$2:$M$2,0))),"")</f>
        <v/>
      </c>
      <c r="S129" s="6" t="str">
        <f t="array" ref="S129">_xlfn.IFNA((INDEX('DMR 001C TIN &amp; TP'!$A$3:$M$10005,MATCH(('Reg 85'!$I$6:$Q$6&amp;'Reg 85'!S$10&amp;'Reg 85'!$B129),('DMR 001C TIN &amp; TP'!$E$3:$E$10005&amp;'DMR 001C TIN &amp; TP'!$B$3:$B$10005&amp;'DMR 001C TIN &amp; TP'!$A$3:$A$10005),0),MATCH('Reg 85'!$O$11,'DMR 001C TIN &amp; TP'!$A$2:$M$2,0))),"")</f>
        <v/>
      </c>
      <c r="T129" s="6" t="str">
        <f t="array" ref="T129">_xlfn.IFNA((INDEX('DMR 001C TIN &amp; TP'!$A$3:$M$10005,MATCH(('Reg 85'!$I$6:$Q$6&amp;'Reg 85'!T$10&amp;'Reg 85'!$B129),('DMR 001C TIN &amp; TP'!$E$3:$E$10005&amp;'DMR 001C TIN &amp; TP'!$B$3:$B$10005&amp;'DMR 001C TIN &amp; TP'!$A$3:$A$10005),0),MATCH('Reg 85'!$O$11,'DMR 001C TIN &amp; TP'!$A$2:$M$2,0))),"")</f>
        <v/>
      </c>
      <c r="U129" s="6" t="str">
        <f t="array" ref="U129">_xlfn.IFNA((INDEX('DMR 001C TIN &amp; TP'!$A$3:$M$10005,MATCH(('Reg 85'!$I$6:$Q$6&amp;'Reg 85'!U$10&amp;'Reg 85'!$B129),('DMR 001C TIN &amp; TP'!$E$3:$E$10005&amp;'DMR 001C TIN &amp; TP'!$B$3:$B$10005&amp;'DMR 001C TIN &amp; TP'!$A$3:$A$10005),0),MATCH('Reg 85'!$O$11,'DMR 001C TIN &amp; TP'!$A$2:$M$2,0))),"")</f>
        <v/>
      </c>
      <c r="V129" s="6" t="str">
        <f t="array" ref="V129">_xlfn.IFNA((INDEX('DMR 001C TIN &amp; TP'!$A$3:$M$10005,MATCH(('Reg 85'!$I$6:$Q$6&amp;'Reg 85'!V$10&amp;'Reg 85'!$B129),('DMR 001C TIN &amp; TP'!$E$3:$E$10005&amp;'DMR 001C TIN &amp; TP'!$B$3:$B$10005&amp;'DMR 001C TIN &amp; TP'!$A$3:$A$10005),0),MATCH('Reg 85'!$O$11,'DMR 001C TIN &amp; TP'!$A$2:$M$2,0))),"")</f>
        <v/>
      </c>
      <c r="W129" s="6" t="str">
        <f t="array" ref="W129">_xlfn.IFNA((INDEX('DMR 001C TIN &amp; TP'!$A$3:$M$10005,MATCH(('Reg 85'!$I$6:$Q$6&amp;'Reg 85'!W$10&amp;'Reg 85'!$B129),('DMR 001C TIN &amp; TP'!$E$3:$E$10005&amp;'DMR 001C TIN &amp; TP'!$B$3:$B$10005&amp;'DMR 001C TIN &amp; TP'!$A$3:$A$10005),0),MATCH('Reg 85'!$O$11,'DMR 001C TIN &amp; TP'!$A$2:$M$2,0))),"")</f>
        <v/>
      </c>
      <c r="X129" s="5" t="str">
        <f t="shared" si="50"/>
        <v/>
      </c>
      <c r="Y129" s="6" t="str">
        <f t="array" ref="Y129">_xlfn.IFNA((INDEX('DMR 001C TIN &amp; TP'!$A$3:$M$10005,MATCH(('Reg 85'!$X$6&amp;'Reg 85'!$X$10&amp;'Reg 85'!$B129),('DMR 001C TIN &amp; TP'!$E$3:$E$10005&amp;'DMR 001C TIN &amp; TP'!$B$3:$B$10005&amp;'DMR 001C TIN &amp; TP'!$A$3:$A$10005),0),MATCH('Reg 85'!$Y$11,'DMR 001C TIN &amp; TP'!$A$2:$M$2,0))),"")</f>
        <v/>
      </c>
      <c r="Z129" s="6" t="str">
        <f t="array" ref="Z129">_xlfn.IFNA((INDEX('DMR 001C TIN &amp; TP'!$A$3:$M$10005,MATCH(('Reg 85'!$X$6&amp;'Reg 85'!$X$10&amp;'Reg 85'!$B129),('DMR 001C TIN &amp; TP'!$E$3:$E$10005&amp;'DMR 001C TIN &amp; TP'!$B$3:$B$10005&amp;'DMR 001C TIN &amp; TP'!$A$3:$A$10005),0),MATCH('Reg 85'!$Z$11,'DMR 001C TIN &amp; TP'!$A$2:$M$2,0))),"")</f>
        <v/>
      </c>
      <c r="AA129" s="53" t="str">
        <f t="shared" si="51"/>
        <v/>
      </c>
      <c r="AB129" s="5" t="str">
        <f t="shared" si="52"/>
        <v/>
      </c>
      <c r="AC129" s="6" t="str">
        <f t="array" ref="AC129">_xlfn.IFNA((INDEX('DMR 001C TIN &amp; TP'!$A$3:$M$10005,MATCH(('Reg 85'!$X$6&amp;'Reg 85'!$AB$10&amp;'Reg 85'!$B129),('DMR 001C TIN &amp; TP'!$E$3:$E$10005&amp;'DMR 001C TIN &amp; TP'!$B$3:$B$10005&amp;'DMR 001C TIN &amp; TP'!$A$3:$A$10005),0),MATCH('Reg 85'!$AC$11,'DMR 001C TIN &amp; TP'!$A$2:$M$2,0))),"")</f>
        <v/>
      </c>
      <c r="AD129" s="6" t="str">
        <f t="array" ref="AD129">_xlfn.IFNA((INDEX('DMR 001C TIN &amp; TP'!$A$3:$M$10005,MATCH(('Reg 85'!$X$6&amp;'Reg 85'!$AB$10&amp;'Reg 85'!$B129),('DMR 001C TIN &amp; TP'!$E$3:$E$10005&amp;'DMR 001C TIN &amp; TP'!$B$3:$B$10005&amp;'DMR 001C TIN &amp; TP'!$A$3:$A$10005),0),MATCH('Reg 85'!$AD$11,'DMR 001C TIN &amp; TP'!$A$2:$M$2,0))),"")</f>
        <v/>
      </c>
      <c r="AE129" s="53" t="str">
        <f t="shared" si="53"/>
        <v/>
      </c>
      <c r="AF129" s="7" t="str">
        <f t="shared" si="54"/>
        <v/>
      </c>
      <c r="AG129" s="6" t="str">
        <f t="array" ref="AG129">_xlfn.IFNA((INDEX('DMR 001C TIN &amp; TP'!$A$3:$M$10005,MATCH(('Reg 85'!$X$6&amp;'Reg 85'!AG$10&amp;'Reg 85'!$B129),('DMR 001C TIN &amp; TP'!$E$3:$E$10005&amp;'DMR 001C TIN &amp; TP'!$B$3:$B$10005&amp;'DMR 001C TIN &amp; TP'!$A$3:$A$10005),0),MATCH('Reg 85'!$AG$11,'DMR 001C TIN &amp; TP'!$A$2:$M$2,0))),"")</f>
        <v/>
      </c>
      <c r="AH129" s="6" t="str">
        <f t="array" ref="AH129">_xlfn.IFNA((INDEX('DMR 001C TIN &amp; TP'!$A$3:$M$10005,MATCH(('Reg 85'!$X$6&amp;'Reg 85'!AH$10&amp;'Reg 85'!$B129),('DMR 001C TIN &amp; TP'!$E$3:$E$10005&amp;'DMR 001C TIN &amp; TP'!$B$3:$B$10005&amp;'DMR 001C TIN &amp; TP'!$A$3:$A$10005),0),MATCH('Reg 85'!$AG$11,'DMR 001C TIN &amp; TP'!$A$2:$M$2,0))),"")</f>
        <v/>
      </c>
      <c r="AI129" s="6" t="str">
        <f t="array" ref="AI129">_xlfn.IFNA((INDEX('DMR 001C TIN &amp; TP'!$A$3:$M$10005,MATCH(('Reg 85'!$X$6&amp;'Reg 85'!AI$10&amp;'Reg 85'!$B129),('DMR 001C TIN &amp; TP'!$E$3:$E$10005&amp;'DMR 001C TIN &amp; TP'!$B$3:$B$10005&amp;'DMR 001C TIN &amp; TP'!$A$3:$A$10005),0),MATCH('Reg 85'!$AG$11,'DMR 001C TIN &amp; TP'!$A$2:$M$2,0))),"")</f>
        <v/>
      </c>
      <c r="AJ129" s="6" t="str">
        <f t="array" ref="AJ129">_xlfn.IFNA((INDEX('DMR 001C TIN &amp; TP'!$A$3:$M$10005,MATCH(('Reg 85'!$X$6&amp;'Reg 85'!AJ$10&amp;'Reg 85'!$B129),('DMR 001C TIN &amp; TP'!$E$3:$E$10005&amp;'DMR 001C TIN &amp; TP'!$B$3:$B$10005&amp;'DMR 001C TIN &amp; TP'!$A$3:$A$10005),0),MATCH('Reg 85'!$AG$11,'DMR 001C TIN &amp; TP'!$A$2:$M$2,0))),"")</f>
        <v/>
      </c>
      <c r="AK129" s="6" t="str">
        <f t="array" ref="AK129">_xlfn.IFNA((INDEX('DMR 001C TIN &amp; TP'!$A$3:$M$10005,MATCH(('Reg 85'!$X$6&amp;'Reg 85'!AK$10&amp;'Reg 85'!$B129),('DMR 001C TIN &amp; TP'!$E$3:$E$10005&amp;'DMR 001C TIN &amp; TP'!$B$3:$B$10005&amp;'DMR 001C TIN &amp; TP'!$A$3:$A$10005),0),MATCH('Reg 85'!$AG$11,'DMR 001C TIN &amp; TP'!$A$2:$M$2,0))),"")</f>
        <v/>
      </c>
      <c r="AL129" s="6" t="str">
        <f t="array" ref="AL129">_xlfn.IFNA((INDEX('DMR 001C TIN &amp; TP'!$A$3:$M$10005,MATCH(('Reg 85'!$X$6&amp;'Reg 85'!AL$10&amp;'Reg 85'!$B129),('DMR 001C TIN &amp; TP'!$E$3:$E$10005&amp;'DMR 001C TIN &amp; TP'!$B$3:$B$10005&amp;'DMR 001C TIN &amp; TP'!$A$3:$A$10005),0),MATCH('Reg 85'!$AG$11,'DMR 001C TIN &amp; TP'!$A$2:$M$2,0))),"")</f>
        <v/>
      </c>
      <c r="AM129" s="76"/>
      <c r="AN129" s="6"/>
      <c r="AO129" s="54" t="str">
        <f t="shared" si="41"/>
        <v/>
      </c>
      <c r="AP129" s="77" t="str">
        <f t="shared" si="60"/>
        <v/>
      </c>
      <c r="AQ129" s="47"/>
      <c r="AR129" s="6" t="str">
        <f t="array" ref="AR129">_xlfn.IFNA((INDEX('DMR 001C TIN &amp; TP'!$A$3:$M$10005,MATCH(('Reg 85'!$AQ$6&amp;'Reg 85'!$AQ$10&amp;'Reg 85'!$B129),('DMR 001C TIN &amp; TP'!$E$3:$E$10005&amp;'DMR 001C TIN &amp; TP'!$B$3:$B$10005&amp;'DMR 001C TIN &amp; TP'!$A$3:$A$10005),0),MATCH('Reg 85'!$AR$11,'DMR 001C TIN &amp; TP'!$A$2:$M$2,0))),"")</f>
        <v>0.03</v>
      </c>
      <c r="AS129" s="6">
        <f t="array" ref="AS129">_xlfn.IFNA((INDEX('DMR 001C TIN &amp; TP'!$A$3:$M$10005,MATCH(('Reg 85'!$AQ$6&amp;'Reg 85'!$AQ$10&amp;'Reg 85'!$B129),('DMR 001C TIN &amp; TP'!$E$3:$E$10005&amp;'DMR 001C TIN &amp; TP'!$B$3:$B$10005&amp;'DMR 001C TIN &amp; TP'!$A$3:$A$10005),0),MATCH('Reg 85'!$AS$11,'DMR 001C TIN &amp; TP'!$A$2:$M$2,0))),"")</f>
        <v>0.33</v>
      </c>
      <c r="AT129" s="53">
        <f t="shared" si="55"/>
        <v>0.33</v>
      </c>
      <c r="AV129" s="6" t="str">
        <f t="array" ref="AV129">_xlfn.IFNA((INDEX('DMR 001C TIN &amp; TP'!$A$3:$M$10005,MATCH(('Reg 85'!$AQ$6&amp;'Reg 85'!$AU$10&amp;'Reg 85'!$B129),('DMR 001C TIN &amp; TP'!$E$3:$E$10005&amp;'DMR 001C TIN &amp; TP'!$B$3:$B$10005&amp;'DMR 001C TIN &amp; TP'!$A$3:$A$10005),0),MATCH('Reg 85'!$AV$11,'DMR 001C TIN &amp; TP'!$A$2:$M$2,0))),"")</f>
        <v>0.03</v>
      </c>
      <c r="AW129" s="6">
        <f t="array" ref="AW129">_xlfn.IFNA((INDEX('DMR 001C TIN &amp; TP'!$A$3:$M$10005,MATCH(('Reg 85'!$AQ$6&amp;'Reg 85'!$AU$10&amp;'Reg 85'!$B129),('DMR 001C TIN &amp; TP'!$E$3:$E$10005&amp;'DMR 001C TIN &amp; TP'!$B$3:$B$10005&amp;'DMR 001C TIN &amp; TP'!$A$3:$A$10005),0),MATCH('Reg 85'!$AW$11,'DMR 001C TIN &amp; TP'!$A$2:$M$2,0))),"")</f>
        <v>4.33</v>
      </c>
      <c r="AX129" s="53">
        <f t="shared" si="56"/>
        <v>4.33</v>
      </c>
      <c r="AY129" s="55">
        <f t="shared" si="57"/>
        <v>2.7082745112920725</v>
      </c>
      <c r="AZ129" s="77" t="str">
        <f t="shared" si="61"/>
        <v/>
      </c>
      <c r="BA129" s="6" t="str">
        <f t="array" ref="BA129">_xlfn.IFNA((INDEX('DMR 001C TIN &amp; TP'!$A$3:$M$10005,MATCH(('Reg 85'!$AQ$6&amp;'Reg 85'!BA$10&amp;'Reg 85'!$B129),('DMR 001C TIN &amp; TP'!$E$3:$E$10005&amp;'DMR 001C TIN &amp; TP'!$B$3:$B$10005&amp;'DMR 001C TIN &amp; TP'!$A$3:$A$10005),0),MATCH('Reg 85'!$AG$11,'DMR 001C TIN &amp; TP'!$A$2:$M$2,0))),"")</f>
        <v/>
      </c>
      <c r="BB129" s="6" t="str">
        <f t="array" ref="BB129">_xlfn.IFNA((INDEX('DMR 001C TIN &amp; TP'!$A$3:$M$10005,MATCH(('Reg 85'!$AQ$6&amp;'Reg 85'!BB$10&amp;'Reg 85'!$B129),('DMR 001C TIN &amp; TP'!$E$3:$E$10005&amp;'DMR 001C TIN &amp; TP'!$B$3:$B$10005&amp;'DMR 001C TIN &amp; TP'!$A$3:$A$10005),0),MATCH('Reg 85'!$AG$11,'DMR 001C TIN &amp; TP'!$A$2:$M$2,0))),"")</f>
        <v/>
      </c>
      <c r="BC129" s="6" t="str">
        <f t="array" ref="BC129">_xlfn.IFNA((INDEX('DMR 001C TIN &amp; TP'!$A$3:$M$10005,MATCH(('Reg 85'!$AQ$6&amp;'Reg 85'!BC$10&amp;'Reg 85'!$B129),('DMR 001C TIN &amp; TP'!$E$3:$E$10005&amp;'DMR 001C TIN &amp; TP'!$B$3:$B$10005&amp;'DMR 001C TIN &amp; TP'!$A$3:$A$10005),0),MATCH('Reg 85'!$AG$11,'DMR 001C TIN &amp; TP'!$A$2:$M$2,0))),"")</f>
        <v/>
      </c>
      <c r="BD129" s="6" t="str">
        <f t="array" ref="BD129">_xlfn.IFNA((INDEX('DMR 001C TIN &amp; TP'!$A$3:$M$10005,MATCH(('Reg 85'!$AQ$6&amp;'Reg 85'!BD$10&amp;'Reg 85'!$B129),('DMR 001C TIN &amp; TP'!$E$3:$E$10005&amp;'DMR 001C TIN &amp; TP'!$B$3:$B$10005&amp;'DMR 001C TIN &amp; TP'!$A$3:$A$10005),0),MATCH('Reg 85'!$AG$11,'DMR 001C TIN &amp; TP'!$A$2:$M$2,0))),"")</f>
        <v/>
      </c>
      <c r="BE129" s="6" t="str">
        <f t="array" ref="BE129">_xlfn.IFNA((INDEX('DMR 001C TIN &amp; TP'!$A$3:$M$10005,MATCH(('Reg 85'!$AQ$6&amp;'Reg 85'!BE$10&amp;'Reg 85'!$B129),('DMR 001C TIN &amp; TP'!$E$3:$E$10005&amp;'DMR 001C TIN &amp; TP'!$B$3:$B$10005&amp;'DMR 001C TIN &amp; TP'!$A$3:$A$10005),0),MATCH('Reg 85'!$AG$11,'DMR 001C TIN &amp; TP'!$A$2:$M$2,0))),"")</f>
        <v/>
      </c>
      <c r="BF129" s="6" t="str">
        <f t="array" ref="BF129">_xlfn.IFNA((INDEX('DMR 001C TIN &amp; TP'!$A$3:$M$10005,MATCH(('Reg 85'!$AQ$6&amp;'Reg 85'!BF$10&amp;'Reg 85'!$B129),('DMR 001C TIN &amp; TP'!$E$3:$E$10005&amp;'DMR 001C TIN &amp; TP'!$B$3:$B$10005&amp;'DMR 001C TIN &amp; TP'!$A$3:$A$10005),0),MATCH('Reg 85'!$AG$11,'DMR 001C TIN &amp; TP'!$A$2:$M$2,0))),"")</f>
        <v/>
      </c>
    </row>
    <row r="130" spans="1:58">
      <c r="A130" s="3" t="str">
        <f t="shared" si="42"/>
        <v>Fri</v>
      </c>
      <c r="B130" s="96">
        <f t="shared" si="58"/>
        <v>43462</v>
      </c>
      <c r="C130" s="96">
        <f t="shared" si="43"/>
        <v>43465</v>
      </c>
      <c r="D130" s="96">
        <f t="shared" si="44"/>
        <v>43435</v>
      </c>
      <c r="E130" s="95">
        <f t="shared" si="45"/>
        <v>31</v>
      </c>
      <c r="F130" s="7">
        <f t="array" ref="F130">_xlfn.IFNA(INDEX('DMR Flows-Effluent'!$A$3:$F$9999,MATCH(($F$10&amp;$B130),('DMR Flows-Effluent'!$B$3:$B$9999&amp;'DMR Flows-Effluent'!$A$3:$A$9999),0),MATCH($F$8,'DMR Flows-Effluent'!$A$2:$F$2,0)),"")</f>
        <v>44.758200000000002</v>
      </c>
      <c r="G130" s="7">
        <f t="array" ref="G130">_xlfn.IFNA(INDEX('DMR Flows-Effluent'!$A$3:$F$9999,MATCH(($G$10&amp;$B130),('DMR Flows-Effluent'!$B$3:$B$9999&amp;'DMR Flows-Effluent'!$A$3:$A$9999),0),MATCH($F$8,'DMR Flows-Effluent'!$A$2:$F$2,0)),"")</f>
        <v>68.177700000000002</v>
      </c>
      <c r="H130" s="7">
        <f t="shared" si="46"/>
        <v>112.9359</v>
      </c>
      <c r="I130" s="45" t="str">
        <f t="shared" si="47"/>
        <v/>
      </c>
      <c r="J130" s="6" t="str">
        <f t="array" ref="J130">_xlfn.IFNA((INDEX('DMR 001C TIN &amp; TP'!$A$3:$M$10005,MATCH(('Reg 85'!$I$6:$Q$6&amp;'Reg 85'!$I$10:$K$10&amp;'Reg 85'!$B130),('DMR 001C TIN &amp; TP'!$E$3:$E$10005&amp;'DMR 001C TIN &amp; TP'!$B$3:$B$10005&amp;'DMR 001C TIN &amp; TP'!$A$3:$A$10005),0),MATCH('Reg 85'!$J$11,'DMR 001C TIN &amp; TP'!$A$2:$M$2,0))),"")</f>
        <v/>
      </c>
      <c r="K130" s="6" t="str">
        <f t="array" ref="K130">_xlfn.IFNA((INDEX('DMR 001C TIN &amp; TP'!$A$3:$M$10005,MATCH(('Reg 85'!$I$6:$Q$6&amp;'Reg 85'!$I$10:$K$10&amp;'Reg 85'!$B130),('DMR 001C TIN &amp; TP'!$E$3:$E$10005&amp;'DMR 001C TIN &amp; TP'!$B$3:$B$10005&amp;'DMR 001C TIN &amp; TP'!$A$3:$A$10005),0),MATCH('Reg 85'!$K$11,'DMR 001C TIN &amp; TP'!$A$2:$M$2,0))),"")</f>
        <v/>
      </c>
      <c r="L130" s="53" t="str">
        <f t="shared" si="59"/>
        <v/>
      </c>
      <c r="M130" s="5" t="str">
        <f t="shared" si="48"/>
        <v/>
      </c>
      <c r="N130" s="6" t="str">
        <f t="array" ref="N130">_xlfn.IFNA((INDEX('DMR 001C TIN &amp; TP'!$A$3:$M$10005,MATCH(('Reg 85'!$I$6:$Q$6&amp;'Reg 85'!$M$10&amp;'Reg 85'!$B130),('DMR 001C TIN &amp; TP'!$E$3:$E$10005&amp;'DMR 001C TIN &amp; TP'!$B$3:$B$10005&amp;'DMR 001C TIN &amp; TP'!$A$3:$A$10005),0),MATCH('Reg 85'!$N$11,'DMR 001C TIN &amp; TP'!$A$2:$M$2,0))),"")</f>
        <v/>
      </c>
      <c r="O130" s="6" t="str">
        <f t="array" ref="O130">_xlfn.IFNA((INDEX('DMR 001C TIN &amp; TP'!$A$3:$M$10005,MATCH(('Reg 85'!$I$6:$Q$6&amp;'Reg 85'!$M$10&amp;'Reg 85'!$B130),('DMR 001C TIN &amp; TP'!$E$3:$E$10005&amp;'DMR 001C TIN &amp; TP'!$B$3:$B$10005&amp;'DMR 001C TIN &amp; TP'!$A$3:$A$10005),0),MATCH('Reg 85'!$O$11,'DMR 001C TIN &amp; TP'!$A$2:$M$2,0))),"")</f>
        <v/>
      </c>
      <c r="P130" s="53" t="str">
        <f t="shared" si="49"/>
        <v/>
      </c>
      <c r="Q130" s="73" t="str">
        <f t="array" ref="Q130">IFERROR(((L130*$F130)+(P130*$G130))/($H130),"")</f>
        <v/>
      </c>
      <c r="R130" s="6" t="str">
        <f t="array" ref="R130">_xlfn.IFNA((INDEX('DMR 001C TIN &amp; TP'!$A$3:$M$10005,MATCH(('Reg 85'!$I$6:$Q$6&amp;'Reg 85'!R$10&amp;'Reg 85'!$B130),('DMR 001C TIN &amp; TP'!$E$3:$E$10005&amp;'DMR 001C TIN &amp; TP'!$B$3:$B$10005&amp;'DMR 001C TIN &amp; TP'!$A$3:$A$10005),0),MATCH('Reg 85'!$O$11,'DMR 001C TIN &amp; TP'!$A$2:$M$2,0))),"")</f>
        <v/>
      </c>
      <c r="S130" s="6" t="str">
        <f t="array" ref="S130">_xlfn.IFNA((INDEX('DMR 001C TIN &amp; TP'!$A$3:$M$10005,MATCH(('Reg 85'!$I$6:$Q$6&amp;'Reg 85'!S$10&amp;'Reg 85'!$B130),('DMR 001C TIN &amp; TP'!$E$3:$E$10005&amp;'DMR 001C TIN &amp; TP'!$B$3:$B$10005&amp;'DMR 001C TIN &amp; TP'!$A$3:$A$10005),0),MATCH('Reg 85'!$O$11,'DMR 001C TIN &amp; TP'!$A$2:$M$2,0))),"")</f>
        <v/>
      </c>
      <c r="T130" s="6" t="str">
        <f t="array" ref="T130">_xlfn.IFNA((INDEX('DMR 001C TIN &amp; TP'!$A$3:$M$10005,MATCH(('Reg 85'!$I$6:$Q$6&amp;'Reg 85'!T$10&amp;'Reg 85'!$B130),('DMR 001C TIN &amp; TP'!$E$3:$E$10005&amp;'DMR 001C TIN &amp; TP'!$B$3:$B$10005&amp;'DMR 001C TIN &amp; TP'!$A$3:$A$10005),0),MATCH('Reg 85'!$O$11,'DMR 001C TIN &amp; TP'!$A$2:$M$2,0))),"")</f>
        <v/>
      </c>
      <c r="U130" s="6" t="str">
        <f t="array" ref="U130">_xlfn.IFNA((INDEX('DMR 001C TIN &amp; TP'!$A$3:$M$10005,MATCH(('Reg 85'!$I$6:$Q$6&amp;'Reg 85'!U$10&amp;'Reg 85'!$B130),('DMR 001C TIN &amp; TP'!$E$3:$E$10005&amp;'DMR 001C TIN &amp; TP'!$B$3:$B$10005&amp;'DMR 001C TIN &amp; TP'!$A$3:$A$10005),0),MATCH('Reg 85'!$O$11,'DMR 001C TIN &amp; TP'!$A$2:$M$2,0))),"")</f>
        <v/>
      </c>
      <c r="V130" s="6" t="str">
        <f t="array" ref="V130">_xlfn.IFNA((INDEX('DMR 001C TIN &amp; TP'!$A$3:$M$10005,MATCH(('Reg 85'!$I$6:$Q$6&amp;'Reg 85'!V$10&amp;'Reg 85'!$B130),('DMR 001C TIN &amp; TP'!$E$3:$E$10005&amp;'DMR 001C TIN &amp; TP'!$B$3:$B$10005&amp;'DMR 001C TIN &amp; TP'!$A$3:$A$10005),0),MATCH('Reg 85'!$O$11,'DMR 001C TIN &amp; TP'!$A$2:$M$2,0))),"")</f>
        <v/>
      </c>
      <c r="W130" s="6" t="str">
        <f t="array" ref="W130">_xlfn.IFNA((INDEX('DMR 001C TIN &amp; TP'!$A$3:$M$10005,MATCH(('Reg 85'!$I$6:$Q$6&amp;'Reg 85'!W$10&amp;'Reg 85'!$B130),('DMR 001C TIN &amp; TP'!$E$3:$E$10005&amp;'DMR 001C TIN &amp; TP'!$B$3:$B$10005&amp;'DMR 001C TIN &amp; TP'!$A$3:$A$10005),0),MATCH('Reg 85'!$O$11,'DMR 001C TIN &amp; TP'!$A$2:$M$2,0))),"")</f>
        <v/>
      </c>
      <c r="X130" s="5" t="str">
        <f t="shared" si="50"/>
        <v/>
      </c>
      <c r="Y130" s="6" t="str">
        <f t="array" ref="Y130">_xlfn.IFNA((INDEX('DMR 001C TIN &amp; TP'!$A$3:$M$10005,MATCH(('Reg 85'!$X$6&amp;'Reg 85'!$X$10&amp;'Reg 85'!$B130),('DMR 001C TIN &amp; TP'!$E$3:$E$10005&amp;'DMR 001C TIN &amp; TP'!$B$3:$B$10005&amp;'DMR 001C TIN &amp; TP'!$A$3:$A$10005),0),MATCH('Reg 85'!$Y$11,'DMR 001C TIN &amp; TP'!$A$2:$M$2,0))),"")</f>
        <v/>
      </c>
      <c r="Z130" s="6" t="str">
        <f t="array" ref="Z130">_xlfn.IFNA((INDEX('DMR 001C TIN &amp; TP'!$A$3:$M$10005,MATCH(('Reg 85'!$X$6&amp;'Reg 85'!$X$10&amp;'Reg 85'!$B130),('DMR 001C TIN &amp; TP'!$E$3:$E$10005&amp;'DMR 001C TIN &amp; TP'!$B$3:$B$10005&amp;'DMR 001C TIN &amp; TP'!$A$3:$A$10005),0),MATCH('Reg 85'!$Z$11,'DMR 001C TIN &amp; TP'!$A$2:$M$2,0))),"")</f>
        <v/>
      </c>
      <c r="AA130" s="53" t="str">
        <f t="shared" si="51"/>
        <v/>
      </c>
      <c r="AB130" s="5" t="str">
        <f t="shared" si="52"/>
        <v/>
      </c>
      <c r="AC130" s="6" t="str">
        <f t="array" ref="AC130">_xlfn.IFNA((INDEX('DMR 001C TIN &amp; TP'!$A$3:$M$10005,MATCH(('Reg 85'!$X$6&amp;'Reg 85'!$AB$10&amp;'Reg 85'!$B130),('DMR 001C TIN &amp; TP'!$E$3:$E$10005&amp;'DMR 001C TIN &amp; TP'!$B$3:$B$10005&amp;'DMR 001C TIN &amp; TP'!$A$3:$A$10005),0),MATCH('Reg 85'!$AC$11,'DMR 001C TIN &amp; TP'!$A$2:$M$2,0))),"")</f>
        <v/>
      </c>
      <c r="AD130" s="6" t="str">
        <f t="array" ref="AD130">_xlfn.IFNA((INDEX('DMR 001C TIN &amp; TP'!$A$3:$M$10005,MATCH(('Reg 85'!$X$6&amp;'Reg 85'!$AB$10&amp;'Reg 85'!$B130),('DMR 001C TIN &amp; TP'!$E$3:$E$10005&amp;'DMR 001C TIN &amp; TP'!$B$3:$B$10005&amp;'DMR 001C TIN &amp; TP'!$A$3:$A$10005),0),MATCH('Reg 85'!$AD$11,'DMR 001C TIN &amp; TP'!$A$2:$M$2,0))),"")</f>
        <v/>
      </c>
      <c r="AE130" s="53" t="str">
        <f t="shared" si="53"/>
        <v/>
      </c>
      <c r="AF130" s="7" t="str">
        <f t="shared" si="54"/>
        <v/>
      </c>
      <c r="AG130" s="6" t="str">
        <f t="array" ref="AG130">_xlfn.IFNA((INDEX('DMR 001C TIN &amp; TP'!$A$3:$M$10005,MATCH(('Reg 85'!$X$6&amp;'Reg 85'!AG$10&amp;'Reg 85'!$B130),('DMR 001C TIN &amp; TP'!$E$3:$E$10005&amp;'DMR 001C TIN &amp; TP'!$B$3:$B$10005&amp;'DMR 001C TIN &amp; TP'!$A$3:$A$10005),0),MATCH('Reg 85'!$AG$11,'DMR 001C TIN &amp; TP'!$A$2:$M$2,0))),"")</f>
        <v/>
      </c>
      <c r="AH130" s="6" t="str">
        <f t="array" ref="AH130">_xlfn.IFNA((INDEX('DMR 001C TIN &amp; TP'!$A$3:$M$10005,MATCH(('Reg 85'!$X$6&amp;'Reg 85'!AH$10&amp;'Reg 85'!$B130),('DMR 001C TIN &amp; TP'!$E$3:$E$10005&amp;'DMR 001C TIN &amp; TP'!$B$3:$B$10005&amp;'DMR 001C TIN &amp; TP'!$A$3:$A$10005),0),MATCH('Reg 85'!$AG$11,'DMR 001C TIN &amp; TP'!$A$2:$M$2,0))),"")</f>
        <v/>
      </c>
      <c r="AI130" s="6" t="str">
        <f t="array" ref="AI130">_xlfn.IFNA((INDEX('DMR 001C TIN &amp; TP'!$A$3:$M$10005,MATCH(('Reg 85'!$X$6&amp;'Reg 85'!AI$10&amp;'Reg 85'!$B130),('DMR 001C TIN &amp; TP'!$E$3:$E$10005&amp;'DMR 001C TIN &amp; TP'!$B$3:$B$10005&amp;'DMR 001C TIN &amp; TP'!$A$3:$A$10005),0),MATCH('Reg 85'!$AG$11,'DMR 001C TIN &amp; TP'!$A$2:$M$2,0))),"")</f>
        <v/>
      </c>
      <c r="AJ130" s="6" t="str">
        <f t="array" ref="AJ130">_xlfn.IFNA((INDEX('DMR 001C TIN &amp; TP'!$A$3:$M$10005,MATCH(('Reg 85'!$X$6&amp;'Reg 85'!AJ$10&amp;'Reg 85'!$B130),('DMR 001C TIN &amp; TP'!$E$3:$E$10005&amp;'DMR 001C TIN &amp; TP'!$B$3:$B$10005&amp;'DMR 001C TIN &amp; TP'!$A$3:$A$10005),0),MATCH('Reg 85'!$AG$11,'DMR 001C TIN &amp; TP'!$A$2:$M$2,0))),"")</f>
        <v/>
      </c>
      <c r="AK130" s="6" t="str">
        <f t="array" ref="AK130">_xlfn.IFNA((INDEX('DMR 001C TIN &amp; TP'!$A$3:$M$10005,MATCH(('Reg 85'!$X$6&amp;'Reg 85'!AK$10&amp;'Reg 85'!$B130),('DMR 001C TIN &amp; TP'!$E$3:$E$10005&amp;'DMR 001C TIN &amp; TP'!$B$3:$B$10005&amp;'DMR 001C TIN &amp; TP'!$A$3:$A$10005),0),MATCH('Reg 85'!$AG$11,'DMR 001C TIN &amp; TP'!$A$2:$M$2,0))),"")</f>
        <v/>
      </c>
      <c r="AL130" s="6" t="str">
        <f t="array" ref="AL130">_xlfn.IFNA((INDEX('DMR 001C TIN &amp; TP'!$A$3:$M$10005,MATCH(('Reg 85'!$X$6&amp;'Reg 85'!AL$10&amp;'Reg 85'!$B130),('DMR 001C TIN &amp; TP'!$E$3:$E$10005&amp;'DMR 001C TIN &amp; TP'!$B$3:$B$10005&amp;'DMR 001C TIN &amp; TP'!$A$3:$A$10005),0),MATCH('Reg 85'!$AG$11,'DMR 001C TIN &amp; TP'!$A$2:$M$2,0))),"")</f>
        <v/>
      </c>
      <c r="AM130" s="76"/>
      <c r="AN130" s="6"/>
      <c r="AO130" s="54" t="str">
        <f t="shared" si="41"/>
        <v/>
      </c>
      <c r="AP130" s="77" t="str">
        <f t="shared" si="60"/>
        <v/>
      </c>
      <c r="AQ130" s="47"/>
      <c r="AR130" s="6" t="str">
        <f t="array" ref="AR130">_xlfn.IFNA((INDEX('DMR 001C TIN &amp; TP'!$A$3:$M$10005,MATCH(('Reg 85'!$AQ$6&amp;'Reg 85'!$AQ$10&amp;'Reg 85'!$B130),('DMR 001C TIN &amp; TP'!$E$3:$E$10005&amp;'DMR 001C TIN &amp; TP'!$B$3:$B$10005&amp;'DMR 001C TIN &amp; TP'!$A$3:$A$10005),0),MATCH('Reg 85'!$AR$11,'DMR 001C TIN &amp; TP'!$A$2:$M$2,0))),"")</f>
        <v/>
      </c>
      <c r="AS130" s="6" t="str">
        <f t="array" ref="AS130">_xlfn.IFNA((INDEX('DMR 001C TIN &amp; TP'!$A$3:$M$10005,MATCH(('Reg 85'!$AQ$6&amp;'Reg 85'!$AQ$10&amp;'Reg 85'!$B130),('DMR 001C TIN &amp; TP'!$E$3:$E$10005&amp;'DMR 001C TIN &amp; TP'!$B$3:$B$10005&amp;'DMR 001C TIN &amp; TP'!$A$3:$A$10005),0),MATCH('Reg 85'!$AS$11,'DMR 001C TIN &amp; TP'!$A$2:$M$2,0))),"")</f>
        <v/>
      </c>
      <c r="AT130" s="53" t="str">
        <f t="shared" si="55"/>
        <v/>
      </c>
      <c r="AV130" s="6" t="str">
        <f t="array" ref="AV130">_xlfn.IFNA((INDEX('DMR 001C TIN &amp; TP'!$A$3:$M$10005,MATCH(('Reg 85'!$AQ$6&amp;'Reg 85'!$AU$10&amp;'Reg 85'!$B130),('DMR 001C TIN &amp; TP'!$E$3:$E$10005&amp;'DMR 001C TIN &amp; TP'!$B$3:$B$10005&amp;'DMR 001C TIN &amp; TP'!$A$3:$A$10005),0),MATCH('Reg 85'!$AV$11,'DMR 001C TIN &amp; TP'!$A$2:$M$2,0))),"")</f>
        <v/>
      </c>
      <c r="AW130" s="6" t="str">
        <f t="array" ref="AW130">_xlfn.IFNA((INDEX('DMR 001C TIN &amp; TP'!$A$3:$M$10005,MATCH(('Reg 85'!$AQ$6&amp;'Reg 85'!$AU$10&amp;'Reg 85'!$B130),('DMR 001C TIN &amp; TP'!$E$3:$E$10005&amp;'DMR 001C TIN &amp; TP'!$B$3:$B$10005&amp;'DMR 001C TIN &amp; TP'!$A$3:$A$10005),0),MATCH('Reg 85'!$AW$11,'DMR 001C TIN &amp; TP'!$A$2:$M$2,0))),"")</f>
        <v/>
      </c>
      <c r="AX130" s="53" t="str">
        <f t="shared" si="56"/>
        <v/>
      </c>
      <c r="AY130" s="55" t="str">
        <f t="shared" si="57"/>
        <v/>
      </c>
      <c r="AZ130" s="77" t="str">
        <f t="shared" si="61"/>
        <v/>
      </c>
      <c r="BA130" s="6" t="str">
        <f t="array" ref="BA130">_xlfn.IFNA((INDEX('DMR 001C TIN &amp; TP'!$A$3:$M$10005,MATCH(('Reg 85'!$AQ$6&amp;'Reg 85'!BA$10&amp;'Reg 85'!$B130),('DMR 001C TIN &amp; TP'!$E$3:$E$10005&amp;'DMR 001C TIN &amp; TP'!$B$3:$B$10005&amp;'DMR 001C TIN &amp; TP'!$A$3:$A$10005),0),MATCH('Reg 85'!$AG$11,'DMR 001C TIN &amp; TP'!$A$2:$M$2,0))),"")</f>
        <v/>
      </c>
      <c r="BB130" s="6" t="str">
        <f t="array" ref="BB130">_xlfn.IFNA((INDEX('DMR 001C TIN &amp; TP'!$A$3:$M$10005,MATCH(('Reg 85'!$AQ$6&amp;'Reg 85'!BB$10&amp;'Reg 85'!$B130),('DMR 001C TIN &amp; TP'!$E$3:$E$10005&amp;'DMR 001C TIN &amp; TP'!$B$3:$B$10005&amp;'DMR 001C TIN &amp; TP'!$A$3:$A$10005),0),MATCH('Reg 85'!$AG$11,'DMR 001C TIN &amp; TP'!$A$2:$M$2,0))),"")</f>
        <v/>
      </c>
      <c r="BC130" s="6" t="str">
        <f t="array" ref="BC130">_xlfn.IFNA((INDEX('DMR 001C TIN &amp; TP'!$A$3:$M$10005,MATCH(('Reg 85'!$AQ$6&amp;'Reg 85'!BC$10&amp;'Reg 85'!$B130),('DMR 001C TIN &amp; TP'!$E$3:$E$10005&amp;'DMR 001C TIN &amp; TP'!$B$3:$B$10005&amp;'DMR 001C TIN &amp; TP'!$A$3:$A$10005),0),MATCH('Reg 85'!$AG$11,'DMR 001C TIN &amp; TP'!$A$2:$M$2,0))),"")</f>
        <v/>
      </c>
      <c r="BD130" s="6" t="str">
        <f t="array" ref="BD130">_xlfn.IFNA((INDEX('DMR 001C TIN &amp; TP'!$A$3:$M$10005,MATCH(('Reg 85'!$AQ$6&amp;'Reg 85'!BD$10&amp;'Reg 85'!$B130),('DMR 001C TIN &amp; TP'!$E$3:$E$10005&amp;'DMR 001C TIN &amp; TP'!$B$3:$B$10005&amp;'DMR 001C TIN &amp; TP'!$A$3:$A$10005),0),MATCH('Reg 85'!$AG$11,'DMR 001C TIN &amp; TP'!$A$2:$M$2,0))),"")</f>
        <v/>
      </c>
      <c r="BE130" s="6" t="str">
        <f t="array" ref="BE130">_xlfn.IFNA((INDEX('DMR 001C TIN &amp; TP'!$A$3:$M$10005,MATCH(('Reg 85'!$AQ$6&amp;'Reg 85'!BE$10&amp;'Reg 85'!$B130),('DMR 001C TIN &amp; TP'!$E$3:$E$10005&amp;'DMR 001C TIN &amp; TP'!$B$3:$B$10005&amp;'DMR 001C TIN &amp; TP'!$A$3:$A$10005),0),MATCH('Reg 85'!$AG$11,'DMR 001C TIN &amp; TP'!$A$2:$M$2,0))),"")</f>
        <v/>
      </c>
      <c r="BF130" s="6" t="str">
        <f t="array" ref="BF130">_xlfn.IFNA((INDEX('DMR 001C TIN &amp; TP'!$A$3:$M$10005,MATCH(('Reg 85'!$AQ$6&amp;'Reg 85'!BF$10&amp;'Reg 85'!$B130),('DMR 001C TIN &amp; TP'!$E$3:$E$10005&amp;'DMR 001C TIN &amp; TP'!$B$3:$B$10005&amp;'DMR 001C TIN &amp; TP'!$A$3:$A$10005),0),MATCH('Reg 85'!$AG$11,'DMR 001C TIN &amp; TP'!$A$2:$M$2,0))),"")</f>
        <v/>
      </c>
    </row>
    <row r="131" spans="1:58">
      <c r="A131" s="3" t="str">
        <f t="shared" si="42"/>
        <v>Sat</v>
      </c>
      <c r="B131" s="96">
        <f t="shared" si="58"/>
        <v>43463</v>
      </c>
      <c r="C131" s="96">
        <f t="shared" si="43"/>
        <v>43465</v>
      </c>
      <c r="D131" s="96">
        <f t="shared" si="44"/>
        <v>43435</v>
      </c>
      <c r="E131" s="95">
        <f t="shared" si="45"/>
        <v>31</v>
      </c>
      <c r="F131" s="7">
        <f t="array" ref="F131">_xlfn.IFNA(INDEX('DMR Flows-Effluent'!$A$3:$F$9999,MATCH(($F$10&amp;$B131),('DMR Flows-Effluent'!$B$3:$B$9999&amp;'DMR Flows-Effluent'!$A$3:$A$9999),0),MATCH($F$8,'DMR Flows-Effluent'!$A$2:$F$2,0)),"")</f>
        <v>46.627200000000002</v>
      </c>
      <c r="G131" s="7">
        <f t="array" ref="G131">_xlfn.IFNA(INDEX('DMR Flows-Effluent'!$A$3:$F$9999,MATCH(($G$10&amp;$B131),('DMR Flows-Effluent'!$B$3:$B$9999&amp;'DMR Flows-Effluent'!$A$3:$A$9999),0),MATCH($F$8,'DMR Flows-Effluent'!$A$2:$F$2,0)),"")</f>
        <v>67.231200000000001</v>
      </c>
      <c r="H131" s="7">
        <f t="shared" si="46"/>
        <v>113.8584</v>
      </c>
      <c r="I131" s="45" t="str">
        <f t="shared" si="47"/>
        <v/>
      </c>
      <c r="J131" s="6" t="str">
        <f t="array" ref="J131">_xlfn.IFNA((INDEX('DMR 001C TIN &amp; TP'!$A$3:$M$10005,MATCH(('Reg 85'!$I$6:$Q$6&amp;'Reg 85'!$I$10:$K$10&amp;'Reg 85'!$B131),('DMR 001C TIN &amp; TP'!$E$3:$E$10005&amp;'DMR 001C TIN &amp; TP'!$B$3:$B$10005&amp;'DMR 001C TIN &amp; TP'!$A$3:$A$10005),0),MATCH('Reg 85'!$J$11,'DMR 001C TIN &amp; TP'!$A$2:$M$2,0))),"")</f>
        <v/>
      </c>
      <c r="K131" s="6" t="str">
        <f t="array" ref="K131">_xlfn.IFNA((INDEX('DMR 001C TIN &amp; TP'!$A$3:$M$10005,MATCH(('Reg 85'!$I$6:$Q$6&amp;'Reg 85'!$I$10:$K$10&amp;'Reg 85'!$B131),('DMR 001C TIN &amp; TP'!$E$3:$E$10005&amp;'DMR 001C TIN &amp; TP'!$B$3:$B$10005&amp;'DMR 001C TIN &amp; TP'!$A$3:$A$10005),0),MATCH('Reg 85'!$K$11,'DMR 001C TIN &amp; TP'!$A$2:$M$2,0))),"")</f>
        <v/>
      </c>
      <c r="L131" s="53" t="str">
        <f t="shared" si="59"/>
        <v/>
      </c>
      <c r="M131" s="5" t="str">
        <f t="shared" si="48"/>
        <v/>
      </c>
      <c r="N131" s="6" t="str">
        <f t="array" ref="N131">_xlfn.IFNA((INDEX('DMR 001C TIN &amp; TP'!$A$3:$M$10005,MATCH(('Reg 85'!$I$6:$Q$6&amp;'Reg 85'!$M$10&amp;'Reg 85'!$B131),('DMR 001C TIN &amp; TP'!$E$3:$E$10005&amp;'DMR 001C TIN &amp; TP'!$B$3:$B$10005&amp;'DMR 001C TIN &amp; TP'!$A$3:$A$10005),0),MATCH('Reg 85'!$N$11,'DMR 001C TIN &amp; TP'!$A$2:$M$2,0))),"")</f>
        <v/>
      </c>
      <c r="O131" s="6" t="str">
        <f t="array" ref="O131">_xlfn.IFNA((INDEX('DMR 001C TIN &amp; TP'!$A$3:$M$10005,MATCH(('Reg 85'!$I$6:$Q$6&amp;'Reg 85'!$M$10&amp;'Reg 85'!$B131),('DMR 001C TIN &amp; TP'!$E$3:$E$10005&amp;'DMR 001C TIN &amp; TP'!$B$3:$B$10005&amp;'DMR 001C TIN &amp; TP'!$A$3:$A$10005),0),MATCH('Reg 85'!$O$11,'DMR 001C TIN &amp; TP'!$A$2:$M$2,0))),"")</f>
        <v/>
      </c>
      <c r="P131" s="53" t="str">
        <f t="shared" si="49"/>
        <v/>
      </c>
      <c r="Q131" s="73" t="str">
        <f t="array" ref="Q131">IFERROR(((L131*$F131)+(P131*$G131))/($H131),"")</f>
        <v/>
      </c>
      <c r="R131" s="6" t="str">
        <f t="array" ref="R131">_xlfn.IFNA((INDEX('DMR 001C TIN &amp; TP'!$A$3:$M$10005,MATCH(('Reg 85'!$I$6:$Q$6&amp;'Reg 85'!R$10&amp;'Reg 85'!$B131),('DMR 001C TIN &amp; TP'!$E$3:$E$10005&amp;'DMR 001C TIN &amp; TP'!$B$3:$B$10005&amp;'DMR 001C TIN &amp; TP'!$A$3:$A$10005),0),MATCH('Reg 85'!$O$11,'DMR 001C TIN &amp; TP'!$A$2:$M$2,0))),"")</f>
        <v/>
      </c>
      <c r="S131" s="6" t="str">
        <f t="array" ref="S131">_xlfn.IFNA((INDEX('DMR 001C TIN &amp; TP'!$A$3:$M$10005,MATCH(('Reg 85'!$I$6:$Q$6&amp;'Reg 85'!S$10&amp;'Reg 85'!$B131),('DMR 001C TIN &amp; TP'!$E$3:$E$10005&amp;'DMR 001C TIN &amp; TP'!$B$3:$B$10005&amp;'DMR 001C TIN &amp; TP'!$A$3:$A$10005),0),MATCH('Reg 85'!$O$11,'DMR 001C TIN &amp; TP'!$A$2:$M$2,0))),"")</f>
        <v/>
      </c>
      <c r="T131" s="6" t="str">
        <f t="array" ref="T131">_xlfn.IFNA((INDEX('DMR 001C TIN &amp; TP'!$A$3:$M$10005,MATCH(('Reg 85'!$I$6:$Q$6&amp;'Reg 85'!T$10&amp;'Reg 85'!$B131),('DMR 001C TIN &amp; TP'!$E$3:$E$10005&amp;'DMR 001C TIN &amp; TP'!$B$3:$B$10005&amp;'DMR 001C TIN &amp; TP'!$A$3:$A$10005),0),MATCH('Reg 85'!$O$11,'DMR 001C TIN &amp; TP'!$A$2:$M$2,0))),"")</f>
        <v/>
      </c>
      <c r="U131" s="6" t="str">
        <f t="array" ref="U131">_xlfn.IFNA((INDEX('DMR 001C TIN &amp; TP'!$A$3:$M$10005,MATCH(('Reg 85'!$I$6:$Q$6&amp;'Reg 85'!U$10&amp;'Reg 85'!$B131),('DMR 001C TIN &amp; TP'!$E$3:$E$10005&amp;'DMR 001C TIN &amp; TP'!$B$3:$B$10005&amp;'DMR 001C TIN &amp; TP'!$A$3:$A$10005),0),MATCH('Reg 85'!$O$11,'DMR 001C TIN &amp; TP'!$A$2:$M$2,0))),"")</f>
        <v/>
      </c>
      <c r="V131" s="6" t="str">
        <f t="array" ref="V131">_xlfn.IFNA((INDEX('DMR 001C TIN &amp; TP'!$A$3:$M$10005,MATCH(('Reg 85'!$I$6:$Q$6&amp;'Reg 85'!V$10&amp;'Reg 85'!$B131),('DMR 001C TIN &amp; TP'!$E$3:$E$10005&amp;'DMR 001C TIN &amp; TP'!$B$3:$B$10005&amp;'DMR 001C TIN &amp; TP'!$A$3:$A$10005),0),MATCH('Reg 85'!$O$11,'DMR 001C TIN &amp; TP'!$A$2:$M$2,0))),"")</f>
        <v/>
      </c>
      <c r="W131" s="6" t="str">
        <f t="array" ref="W131">_xlfn.IFNA((INDEX('DMR 001C TIN &amp; TP'!$A$3:$M$10005,MATCH(('Reg 85'!$I$6:$Q$6&amp;'Reg 85'!W$10&amp;'Reg 85'!$B131),('DMR 001C TIN &amp; TP'!$E$3:$E$10005&amp;'DMR 001C TIN &amp; TP'!$B$3:$B$10005&amp;'DMR 001C TIN &amp; TP'!$A$3:$A$10005),0),MATCH('Reg 85'!$O$11,'DMR 001C TIN &amp; TP'!$A$2:$M$2,0))),"")</f>
        <v/>
      </c>
      <c r="X131" s="5" t="str">
        <f t="shared" si="50"/>
        <v/>
      </c>
      <c r="Y131" s="6" t="str">
        <f t="array" ref="Y131">_xlfn.IFNA((INDEX('DMR 001C TIN &amp; TP'!$A$3:$M$10005,MATCH(('Reg 85'!$X$6&amp;'Reg 85'!$X$10&amp;'Reg 85'!$B131),('DMR 001C TIN &amp; TP'!$E$3:$E$10005&amp;'DMR 001C TIN &amp; TP'!$B$3:$B$10005&amp;'DMR 001C TIN &amp; TP'!$A$3:$A$10005),0),MATCH('Reg 85'!$Y$11,'DMR 001C TIN &amp; TP'!$A$2:$M$2,0))),"")</f>
        <v/>
      </c>
      <c r="Z131" s="6" t="str">
        <f t="array" ref="Z131">_xlfn.IFNA((INDEX('DMR 001C TIN &amp; TP'!$A$3:$M$10005,MATCH(('Reg 85'!$X$6&amp;'Reg 85'!$X$10&amp;'Reg 85'!$B131),('DMR 001C TIN &amp; TP'!$E$3:$E$10005&amp;'DMR 001C TIN &amp; TP'!$B$3:$B$10005&amp;'DMR 001C TIN &amp; TP'!$A$3:$A$10005),0),MATCH('Reg 85'!$Z$11,'DMR 001C TIN &amp; TP'!$A$2:$M$2,0))),"")</f>
        <v/>
      </c>
      <c r="AA131" s="53" t="str">
        <f t="shared" si="51"/>
        <v/>
      </c>
      <c r="AB131" s="5" t="str">
        <f t="shared" si="52"/>
        <v/>
      </c>
      <c r="AC131" s="6" t="str">
        <f t="array" ref="AC131">_xlfn.IFNA((INDEX('DMR 001C TIN &amp; TP'!$A$3:$M$10005,MATCH(('Reg 85'!$X$6&amp;'Reg 85'!$AB$10&amp;'Reg 85'!$B131),('DMR 001C TIN &amp; TP'!$E$3:$E$10005&amp;'DMR 001C TIN &amp; TP'!$B$3:$B$10005&amp;'DMR 001C TIN &amp; TP'!$A$3:$A$10005),0),MATCH('Reg 85'!$AC$11,'DMR 001C TIN &amp; TP'!$A$2:$M$2,0))),"")</f>
        <v/>
      </c>
      <c r="AD131" s="6" t="str">
        <f t="array" ref="AD131">_xlfn.IFNA((INDEX('DMR 001C TIN &amp; TP'!$A$3:$M$10005,MATCH(('Reg 85'!$X$6&amp;'Reg 85'!$AB$10&amp;'Reg 85'!$B131),('DMR 001C TIN &amp; TP'!$E$3:$E$10005&amp;'DMR 001C TIN &amp; TP'!$B$3:$B$10005&amp;'DMR 001C TIN &amp; TP'!$A$3:$A$10005),0),MATCH('Reg 85'!$AD$11,'DMR 001C TIN &amp; TP'!$A$2:$M$2,0))),"")</f>
        <v/>
      </c>
      <c r="AE131" s="53" t="str">
        <f t="shared" si="53"/>
        <v/>
      </c>
      <c r="AF131" s="7" t="str">
        <f t="shared" si="54"/>
        <v/>
      </c>
      <c r="AG131" s="6" t="str">
        <f t="array" ref="AG131">_xlfn.IFNA((INDEX('DMR 001C TIN &amp; TP'!$A$3:$M$10005,MATCH(('Reg 85'!$X$6&amp;'Reg 85'!AG$10&amp;'Reg 85'!$B131),('DMR 001C TIN &amp; TP'!$E$3:$E$10005&amp;'DMR 001C TIN &amp; TP'!$B$3:$B$10005&amp;'DMR 001C TIN &amp; TP'!$A$3:$A$10005),0),MATCH('Reg 85'!$AG$11,'DMR 001C TIN &amp; TP'!$A$2:$M$2,0))),"")</f>
        <v/>
      </c>
      <c r="AH131" s="6" t="str">
        <f t="array" ref="AH131">_xlfn.IFNA((INDEX('DMR 001C TIN &amp; TP'!$A$3:$M$10005,MATCH(('Reg 85'!$X$6&amp;'Reg 85'!AH$10&amp;'Reg 85'!$B131),('DMR 001C TIN &amp; TP'!$E$3:$E$10005&amp;'DMR 001C TIN &amp; TP'!$B$3:$B$10005&amp;'DMR 001C TIN &amp; TP'!$A$3:$A$10005),0),MATCH('Reg 85'!$AG$11,'DMR 001C TIN &amp; TP'!$A$2:$M$2,0))),"")</f>
        <v/>
      </c>
      <c r="AI131" s="6" t="str">
        <f t="array" ref="AI131">_xlfn.IFNA((INDEX('DMR 001C TIN &amp; TP'!$A$3:$M$10005,MATCH(('Reg 85'!$X$6&amp;'Reg 85'!AI$10&amp;'Reg 85'!$B131),('DMR 001C TIN &amp; TP'!$E$3:$E$10005&amp;'DMR 001C TIN &amp; TP'!$B$3:$B$10005&amp;'DMR 001C TIN &amp; TP'!$A$3:$A$10005),0),MATCH('Reg 85'!$AG$11,'DMR 001C TIN &amp; TP'!$A$2:$M$2,0))),"")</f>
        <v/>
      </c>
      <c r="AJ131" s="6" t="str">
        <f t="array" ref="AJ131">_xlfn.IFNA((INDEX('DMR 001C TIN &amp; TP'!$A$3:$M$10005,MATCH(('Reg 85'!$X$6&amp;'Reg 85'!AJ$10&amp;'Reg 85'!$B131),('DMR 001C TIN &amp; TP'!$E$3:$E$10005&amp;'DMR 001C TIN &amp; TP'!$B$3:$B$10005&amp;'DMR 001C TIN &amp; TP'!$A$3:$A$10005),0),MATCH('Reg 85'!$AG$11,'DMR 001C TIN &amp; TP'!$A$2:$M$2,0))),"")</f>
        <v/>
      </c>
      <c r="AK131" s="6" t="str">
        <f t="array" ref="AK131">_xlfn.IFNA((INDEX('DMR 001C TIN &amp; TP'!$A$3:$M$10005,MATCH(('Reg 85'!$X$6&amp;'Reg 85'!AK$10&amp;'Reg 85'!$B131),('DMR 001C TIN &amp; TP'!$E$3:$E$10005&amp;'DMR 001C TIN &amp; TP'!$B$3:$B$10005&amp;'DMR 001C TIN &amp; TP'!$A$3:$A$10005),0),MATCH('Reg 85'!$AG$11,'DMR 001C TIN &amp; TP'!$A$2:$M$2,0))),"")</f>
        <v/>
      </c>
      <c r="AL131" s="6" t="str">
        <f t="array" ref="AL131">_xlfn.IFNA((INDEX('DMR 001C TIN &amp; TP'!$A$3:$M$10005,MATCH(('Reg 85'!$X$6&amp;'Reg 85'!AL$10&amp;'Reg 85'!$B131),('DMR 001C TIN &amp; TP'!$E$3:$E$10005&amp;'DMR 001C TIN &amp; TP'!$B$3:$B$10005&amp;'DMR 001C TIN &amp; TP'!$A$3:$A$10005),0),MATCH('Reg 85'!$AG$11,'DMR 001C TIN &amp; TP'!$A$2:$M$2,0))),"")</f>
        <v/>
      </c>
      <c r="AM131" s="76"/>
      <c r="AN131" s="6"/>
      <c r="AO131" s="54" t="str">
        <f t="shared" si="41"/>
        <v/>
      </c>
      <c r="AP131" s="77" t="str">
        <f t="shared" si="60"/>
        <v/>
      </c>
      <c r="AQ131" s="47"/>
      <c r="AR131" s="6" t="str">
        <f t="array" ref="AR131">_xlfn.IFNA((INDEX('DMR 001C TIN &amp; TP'!$A$3:$M$10005,MATCH(('Reg 85'!$AQ$6&amp;'Reg 85'!$AQ$10&amp;'Reg 85'!$B131),('DMR 001C TIN &amp; TP'!$E$3:$E$10005&amp;'DMR 001C TIN &amp; TP'!$B$3:$B$10005&amp;'DMR 001C TIN &amp; TP'!$A$3:$A$10005),0),MATCH('Reg 85'!$AR$11,'DMR 001C TIN &amp; TP'!$A$2:$M$2,0))),"")</f>
        <v/>
      </c>
      <c r="AS131" s="6" t="str">
        <f t="array" ref="AS131">_xlfn.IFNA((INDEX('DMR 001C TIN &amp; TP'!$A$3:$M$10005,MATCH(('Reg 85'!$AQ$6&amp;'Reg 85'!$AQ$10&amp;'Reg 85'!$B131),('DMR 001C TIN &amp; TP'!$E$3:$E$10005&amp;'DMR 001C TIN &amp; TP'!$B$3:$B$10005&amp;'DMR 001C TIN &amp; TP'!$A$3:$A$10005),0),MATCH('Reg 85'!$AS$11,'DMR 001C TIN &amp; TP'!$A$2:$M$2,0))),"")</f>
        <v/>
      </c>
      <c r="AT131" s="53" t="str">
        <f t="shared" si="55"/>
        <v/>
      </c>
      <c r="AV131" s="6" t="str">
        <f t="array" ref="AV131">_xlfn.IFNA((INDEX('DMR 001C TIN &amp; TP'!$A$3:$M$10005,MATCH(('Reg 85'!$AQ$6&amp;'Reg 85'!$AU$10&amp;'Reg 85'!$B131),('DMR 001C TIN &amp; TP'!$E$3:$E$10005&amp;'DMR 001C TIN &amp; TP'!$B$3:$B$10005&amp;'DMR 001C TIN &amp; TP'!$A$3:$A$10005),0),MATCH('Reg 85'!$AV$11,'DMR 001C TIN &amp; TP'!$A$2:$M$2,0))),"")</f>
        <v/>
      </c>
      <c r="AW131" s="6" t="str">
        <f t="array" ref="AW131">_xlfn.IFNA((INDEX('DMR 001C TIN &amp; TP'!$A$3:$M$10005,MATCH(('Reg 85'!$AQ$6&amp;'Reg 85'!$AU$10&amp;'Reg 85'!$B131),('DMR 001C TIN &amp; TP'!$E$3:$E$10005&amp;'DMR 001C TIN &amp; TP'!$B$3:$B$10005&amp;'DMR 001C TIN &amp; TP'!$A$3:$A$10005),0),MATCH('Reg 85'!$AW$11,'DMR 001C TIN &amp; TP'!$A$2:$M$2,0))),"")</f>
        <v/>
      </c>
      <c r="AX131" s="53" t="str">
        <f t="shared" si="56"/>
        <v/>
      </c>
      <c r="AY131" s="55" t="str">
        <f t="shared" si="57"/>
        <v/>
      </c>
      <c r="AZ131" s="77" t="str">
        <f t="shared" si="61"/>
        <v/>
      </c>
      <c r="BA131" s="6" t="str">
        <f t="array" ref="BA131">_xlfn.IFNA((INDEX('DMR 001C TIN &amp; TP'!$A$3:$M$10005,MATCH(('Reg 85'!$AQ$6&amp;'Reg 85'!BA$10&amp;'Reg 85'!$B131),('DMR 001C TIN &amp; TP'!$E$3:$E$10005&amp;'DMR 001C TIN &amp; TP'!$B$3:$B$10005&amp;'DMR 001C TIN &amp; TP'!$A$3:$A$10005),0),MATCH('Reg 85'!$AG$11,'DMR 001C TIN &amp; TP'!$A$2:$M$2,0))),"")</f>
        <v/>
      </c>
      <c r="BB131" s="6" t="str">
        <f t="array" ref="BB131">_xlfn.IFNA((INDEX('DMR 001C TIN &amp; TP'!$A$3:$M$10005,MATCH(('Reg 85'!$AQ$6&amp;'Reg 85'!BB$10&amp;'Reg 85'!$B131),('DMR 001C TIN &amp; TP'!$E$3:$E$10005&amp;'DMR 001C TIN &amp; TP'!$B$3:$B$10005&amp;'DMR 001C TIN &amp; TP'!$A$3:$A$10005),0),MATCH('Reg 85'!$AG$11,'DMR 001C TIN &amp; TP'!$A$2:$M$2,0))),"")</f>
        <v/>
      </c>
      <c r="BC131" s="6" t="str">
        <f t="array" ref="BC131">_xlfn.IFNA((INDEX('DMR 001C TIN &amp; TP'!$A$3:$M$10005,MATCH(('Reg 85'!$AQ$6&amp;'Reg 85'!BC$10&amp;'Reg 85'!$B131),('DMR 001C TIN &amp; TP'!$E$3:$E$10005&amp;'DMR 001C TIN &amp; TP'!$B$3:$B$10005&amp;'DMR 001C TIN &amp; TP'!$A$3:$A$10005),0),MATCH('Reg 85'!$AG$11,'DMR 001C TIN &amp; TP'!$A$2:$M$2,0))),"")</f>
        <v/>
      </c>
      <c r="BD131" s="6" t="str">
        <f t="array" ref="BD131">_xlfn.IFNA((INDEX('DMR 001C TIN &amp; TP'!$A$3:$M$10005,MATCH(('Reg 85'!$AQ$6&amp;'Reg 85'!BD$10&amp;'Reg 85'!$B131),('DMR 001C TIN &amp; TP'!$E$3:$E$10005&amp;'DMR 001C TIN &amp; TP'!$B$3:$B$10005&amp;'DMR 001C TIN &amp; TP'!$A$3:$A$10005),0),MATCH('Reg 85'!$AG$11,'DMR 001C TIN &amp; TP'!$A$2:$M$2,0))),"")</f>
        <v/>
      </c>
      <c r="BE131" s="6" t="str">
        <f t="array" ref="BE131">_xlfn.IFNA((INDEX('DMR 001C TIN &amp; TP'!$A$3:$M$10005,MATCH(('Reg 85'!$AQ$6&amp;'Reg 85'!BE$10&amp;'Reg 85'!$B131),('DMR 001C TIN &amp; TP'!$E$3:$E$10005&amp;'DMR 001C TIN &amp; TP'!$B$3:$B$10005&amp;'DMR 001C TIN &amp; TP'!$A$3:$A$10005),0),MATCH('Reg 85'!$AG$11,'DMR 001C TIN &amp; TP'!$A$2:$M$2,0))),"")</f>
        <v/>
      </c>
      <c r="BF131" s="6" t="str">
        <f t="array" ref="BF131">_xlfn.IFNA((INDEX('DMR 001C TIN &amp; TP'!$A$3:$M$10005,MATCH(('Reg 85'!$AQ$6&amp;'Reg 85'!BF$10&amp;'Reg 85'!$B131),('DMR 001C TIN &amp; TP'!$E$3:$E$10005&amp;'DMR 001C TIN &amp; TP'!$B$3:$B$10005&amp;'DMR 001C TIN &amp; TP'!$A$3:$A$10005),0),MATCH('Reg 85'!$AG$11,'DMR 001C TIN &amp; TP'!$A$2:$M$2,0))),"")</f>
        <v/>
      </c>
    </row>
    <row r="132" spans="1:58">
      <c r="A132" s="3" t="str">
        <f t="shared" si="42"/>
        <v>Sun</v>
      </c>
      <c r="B132" s="96">
        <f t="shared" si="58"/>
        <v>43464</v>
      </c>
      <c r="C132" s="96">
        <f t="shared" si="43"/>
        <v>43465</v>
      </c>
      <c r="D132" s="96">
        <f t="shared" si="44"/>
        <v>43435</v>
      </c>
      <c r="E132" s="95">
        <f t="shared" si="45"/>
        <v>31</v>
      </c>
      <c r="F132" s="7">
        <f t="array" ref="F132">_xlfn.IFNA(INDEX('DMR Flows-Effluent'!$A$3:$F$9999,MATCH(($F$10&amp;$B132),('DMR Flows-Effluent'!$B$3:$B$9999&amp;'DMR Flows-Effluent'!$A$3:$A$9999),0),MATCH($F$8,'DMR Flows-Effluent'!$A$2:$F$2,0)),"")</f>
        <v>50.515599999999999</v>
      </c>
      <c r="G132" s="7">
        <f t="array" ref="G132">_xlfn.IFNA(INDEX('DMR Flows-Effluent'!$A$3:$F$9999,MATCH(($G$10&amp;$B132),('DMR Flows-Effluent'!$B$3:$B$9999&amp;'DMR Flows-Effluent'!$A$3:$A$9999),0),MATCH($F$8,'DMR Flows-Effluent'!$A$2:$F$2,0)),"")</f>
        <v>70.462999999999994</v>
      </c>
      <c r="H132" s="7">
        <f t="shared" si="46"/>
        <v>120.9786</v>
      </c>
      <c r="I132" s="45" t="str">
        <f t="shared" si="47"/>
        <v/>
      </c>
      <c r="J132" s="6" t="str">
        <f t="array" ref="J132">_xlfn.IFNA((INDEX('DMR 001C TIN &amp; TP'!$A$3:$M$10005,MATCH(('Reg 85'!$I$6:$Q$6&amp;'Reg 85'!$I$10:$K$10&amp;'Reg 85'!$B132),('DMR 001C TIN &amp; TP'!$E$3:$E$10005&amp;'DMR 001C TIN &amp; TP'!$B$3:$B$10005&amp;'DMR 001C TIN &amp; TP'!$A$3:$A$10005),0),MATCH('Reg 85'!$J$11,'DMR 001C TIN &amp; TP'!$A$2:$M$2,0))),"")</f>
        <v/>
      </c>
      <c r="K132" s="6" t="str">
        <f t="array" ref="K132">_xlfn.IFNA((INDEX('DMR 001C TIN &amp; TP'!$A$3:$M$10005,MATCH(('Reg 85'!$I$6:$Q$6&amp;'Reg 85'!$I$10:$K$10&amp;'Reg 85'!$B132),('DMR 001C TIN &amp; TP'!$E$3:$E$10005&amp;'DMR 001C TIN &amp; TP'!$B$3:$B$10005&amp;'DMR 001C TIN &amp; TP'!$A$3:$A$10005),0),MATCH('Reg 85'!$K$11,'DMR 001C TIN &amp; TP'!$A$2:$M$2,0))),"")</f>
        <v/>
      </c>
      <c r="L132" s="53" t="str">
        <f t="shared" si="59"/>
        <v/>
      </c>
      <c r="M132" s="5" t="str">
        <f t="shared" si="48"/>
        <v/>
      </c>
      <c r="N132" s="6" t="str">
        <f t="array" ref="N132">_xlfn.IFNA((INDEX('DMR 001C TIN &amp; TP'!$A$3:$M$10005,MATCH(('Reg 85'!$I$6:$Q$6&amp;'Reg 85'!$M$10&amp;'Reg 85'!$B132),('DMR 001C TIN &amp; TP'!$E$3:$E$10005&amp;'DMR 001C TIN &amp; TP'!$B$3:$B$10005&amp;'DMR 001C TIN &amp; TP'!$A$3:$A$10005),0),MATCH('Reg 85'!$N$11,'DMR 001C TIN &amp; TP'!$A$2:$M$2,0))),"")</f>
        <v/>
      </c>
      <c r="O132" s="6" t="str">
        <f t="array" ref="O132">_xlfn.IFNA((INDEX('DMR 001C TIN &amp; TP'!$A$3:$M$10005,MATCH(('Reg 85'!$I$6:$Q$6&amp;'Reg 85'!$M$10&amp;'Reg 85'!$B132),('DMR 001C TIN &amp; TP'!$E$3:$E$10005&amp;'DMR 001C TIN &amp; TP'!$B$3:$B$10005&amp;'DMR 001C TIN &amp; TP'!$A$3:$A$10005),0),MATCH('Reg 85'!$O$11,'DMR 001C TIN &amp; TP'!$A$2:$M$2,0))),"")</f>
        <v/>
      </c>
      <c r="P132" s="53" t="str">
        <f t="shared" si="49"/>
        <v/>
      </c>
      <c r="Q132" s="73" t="str">
        <f t="array" ref="Q132">IFERROR(((L132*$F132)+(P132*$G132))/($H132),"")</f>
        <v/>
      </c>
      <c r="R132" s="6" t="str">
        <f t="array" ref="R132">_xlfn.IFNA((INDEX('DMR 001C TIN &amp; TP'!$A$3:$M$10005,MATCH(('Reg 85'!$I$6:$Q$6&amp;'Reg 85'!R$10&amp;'Reg 85'!$B132),('DMR 001C TIN &amp; TP'!$E$3:$E$10005&amp;'DMR 001C TIN &amp; TP'!$B$3:$B$10005&amp;'DMR 001C TIN &amp; TP'!$A$3:$A$10005),0),MATCH('Reg 85'!$O$11,'DMR 001C TIN &amp; TP'!$A$2:$M$2,0))),"")</f>
        <v/>
      </c>
      <c r="S132" s="6" t="str">
        <f t="array" ref="S132">_xlfn.IFNA((INDEX('DMR 001C TIN &amp; TP'!$A$3:$M$10005,MATCH(('Reg 85'!$I$6:$Q$6&amp;'Reg 85'!S$10&amp;'Reg 85'!$B132),('DMR 001C TIN &amp; TP'!$E$3:$E$10005&amp;'DMR 001C TIN &amp; TP'!$B$3:$B$10005&amp;'DMR 001C TIN &amp; TP'!$A$3:$A$10005),0),MATCH('Reg 85'!$O$11,'DMR 001C TIN &amp; TP'!$A$2:$M$2,0))),"")</f>
        <v/>
      </c>
      <c r="T132" s="6" t="str">
        <f t="array" ref="T132">_xlfn.IFNA((INDEX('DMR 001C TIN &amp; TP'!$A$3:$M$10005,MATCH(('Reg 85'!$I$6:$Q$6&amp;'Reg 85'!T$10&amp;'Reg 85'!$B132),('DMR 001C TIN &amp; TP'!$E$3:$E$10005&amp;'DMR 001C TIN &amp; TP'!$B$3:$B$10005&amp;'DMR 001C TIN &amp; TP'!$A$3:$A$10005),0),MATCH('Reg 85'!$O$11,'DMR 001C TIN &amp; TP'!$A$2:$M$2,0))),"")</f>
        <v/>
      </c>
      <c r="U132" s="6" t="str">
        <f t="array" ref="U132">_xlfn.IFNA((INDEX('DMR 001C TIN &amp; TP'!$A$3:$M$10005,MATCH(('Reg 85'!$I$6:$Q$6&amp;'Reg 85'!U$10&amp;'Reg 85'!$B132),('DMR 001C TIN &amp; TP'!$E$3:$E$10005&amp;'DMR 001C TIN &amp; TP'!$B$3:$B$10005&amp;'DMR 001C TIN &amp; TP'!$A$3:$A$10005),0),MATCH('Reg 85'!$O$11,'DMR 001C TIN &amp; TP'!$A$2:$M$2,0))),"")</f>
        <v/>
      </c>
      <c r="V132" s="6" t="str">
        <f t="array" ref="V132">_xlfn.IFNA((INDEX('DMR 001C TIN &amp; TP'!$A$3:$M$10005,MATCH(('Reg 85'!$I$6:$Q$6&amp;'Reg 85'!V$10&amp;'Reg 85'!$B132),('DMR 001C TIN &amp; TP'!$E$3:$E$10005&amp;'DMR 001C TIN &amp; TP'!$B$3:$B$10005&amp;'DMR 001C TIN &amp; TP'!$A$3:$A$10005),0),MATCH('Reg 85'!$O$11,'DMR 001C TIN &amp; TP'!$A$2:$M$2,0))),"")</f>
        <v/>
      </c>
      <c r="W132" s="6" t="str">
        <f t="array" ref="W132">_xlfn.IFNA((INDEX('DMR 001C TIN &amp; TP'!$A$3:$M$10005,MATCH(('Reg 85'!$I$6:$Q$6&amp;'Reg 85'!W$10&amp;'Reg 85'!$B132),('DMR 001C TIN &amp; TP'!$E$3:$E$10005&amp;'DMR 001C TIN &amp; TP'!$B$3:$B$10005&amp;'DMR 001C TIN &amp; TP'!$A$3:$A$10005),0),MATCH('Reg 85'!$O$11,'DMR 001C TIN &amp; TP'!$A$2:$M$2,0))),"")</f>
        <v/>
      </c>
      <c r="X132" s="5" t="str">
        <f t="shared" si="50"/>
        <v/>
      </c>
      <c r="Y132" s="6" t="str">
        <f t="array" ref="Y132">_xlfn.IFNA((INDEX('DMR 001C TIN &amp; TP'!$A$3:$M$10005,MATCH(('Reg 85'!$X$6&amp;'Reg 85'!$X$10&amp;'Reg 85'!$B132),('DMR 001C TIN &amp; TP'!$E$3:$E$10005&amp;'DMR 001C TIN &amp; TP'!$B$3:$B$10005&amp;'DMR 001C TIN &amp; TP'!$A$3:$A$10005),0),MATCH('Reg 85'!$Y$11,'DMR 001C TIN &amp; TP'!$A$2:$M$2,0))),"")</f>
        <v/>
      </c>
      <c r="Z132" s="6" t="str">
        <f t="array" ref="Z132">_xlfn.IFNA((INDEX('DMR 001C TIN &amp; TP'!$A$3:$M$10005,MATCH(('Reg 85'!$X$6&amp;'Reg 85'!$X$10&amp;'Reg 85'!$B132),('DMR 001C TIN &amp; TP'!$E$3:$E$10005&amp;'DMR 001C TIN &amp; TP'!$B$3:$B$10005&amp;'DMR 001C TIN &amp; TP'!$A$3:$A$10005),0),MATCH('Reg 85'!$Z$11,'DMR 001C TIN &amp; TP'!$A$2:$M$2,0))),"")</f>
        <v/>
      </c>
      <c r="AA132" s="53" t="str">
        <f t="shared" si="51"/>
        <v/>
      </c>
      <c r="AB132" s="5" t="str">
        <f t="shared" si="52"/>
        <v/>
      </c>
      <c r="AC132" s="6" t="str">
        <f t="array" ref="AC132">_xlfn.IFNA((INDEX('DMR 001C TIN &amp; TP'!$A$3:$M$10005,MATCH(('Reg 85'!$X$6&amp;'Reg 85'!$AB$10&amp;'Reg 85'!$B132),('DMR 001C TIN &amp; TP'!$E$3:$E$10005&amp;'DMR 001C TIN &amp; TP'!$B$3:$B$10005&amp;'DMR 001C TIN &amp; TP'!$A$3:$A$10005),0),MATCH('Reg 85'!$AC$11,'DMR 001C TIN &amp; TP'!$A$2:$M$2,0))),"")</f>
        <v/>
      </c>
      <c r="AD132" s="6" t="str">
        <f t="array" ref="AD132">_xlfn.IFNA((INDEX('DMR 001C TIN &amp; TP'!$A$3:$M$10005,MATCH(('Reg 85'!$X$6&amp;'Reg 85'!$AB$10&amp;'Reg 85'!$B132),('DMR 001C TIN &amp; TP'!$E$3:$E$10005&amp;'DMR 001C TIN &amp; TP'!$B$3:$B$10005&amp;'DMR 001C TIN &amp; TP'!$A$3:$A$10005),0),MATCH('Reg 85'!$AD$11,'DMR 001C TIN &amp; TP'!$A$2:$M$2,0))),"")</f>
        <v/>
      </c>
      <c r="AE132" s="53" t="str">
        <f t="shared" si="53"/>
        <v/>
      </c>
      <c r="AF132" s="7" t="str">
        <f t="shared" si="54"/>
        <v/>
      </c>
      <c r="AG132" s="6" t="str">
        <f t="array" ref="AG132">_xlfn.IFNA((INDEX('DMR 001C TIN &amp; TP'!$A$3:$M$10005,MATCH(('Reg 85'!$X$6&amp;'Reg 85'!AG$10&amp;'Reg 85'!$B132),('DMR 001C TIN &amp; TP'!$E$3:$E$10005&amp;'DMR 001C TIN &amp; TP'!$B$3:$B$10005&amp;'DMR 001C TIN &amp; TP'!$A$3:$A$10005),0),MATCH('Reg 85'!$AG$11,'DMR 001C TIN &amp; TP'!$A$2:$M$2,0))),"")</f>
        <v/>
      </c>
      <c r="AH132" s="6" t="str">
        <f t="array" ref="AH132">_xlfn.IFNA((INDEX('DMR 001C TIN &amp; TP'!$A$3:$M$10005,MATCH(('Reg 85'!$X$6&amp;'Reg 85'!AH$10&amp;'Reg 85'!$B132),('DMR 001C TIN &amp; TP'!$E$3:$E$10005&amp;'DMR 001C TIN &amp; TP'!$B$3:$B$10005&amp;'DMR 001C TIN &amp; TP'!$A$3:$A$10005),0),MATCH('Reg 85'!$AG$11,'DMR 001C TIN &amp; TP'!$A$2:$M$2,0))),"")</f>
        <v/>
      </c>
      <c r="AI132" s="6" t="str">
        <f t="array" ref="AI132">_xlfn.IFNA((INDEX('DMR 001C TIN &amp; TP'!$A$3:$M$10005,MATCH(('Reg 85'!$X$6&amp;'Reg 85'!AI$10&amp;'Reg 85'!$B132),('DMR 001C TIN &amp; TP'!$E$3:$E$10005&amp;'DMR 001C TIN &amp; TP'!$B$3:$B$10005&amp;'DMR 001C TIN &amp; TP'!$A$3:$A$10005),0),MATCH('Reg 85'!$AG$11,'DMR 001C TIN &amp; TP'!$A$2:$M$2,0))),"")</f>
        <v/>
      </c>
      <c r="AJ132" s="6" t="str">
        <f t="array" ref="AJ132">_xlfn.IFNA((INDEX('DMR 001C TIN &amp; TP'!$A$3:$M$10005,MATCH(('Reg 85'!$X$6&amp;'Reg 85'!AJ$10&amp;'Reg 85'!$B132),('DMR 001C TIN &amp; TP'!$E$3:$E$10005&amp;'DMR 001C TIN &amp; TP'!$B$3:$B$10005&amp;'DMR 001C TIN &amp; TP'!$A$3:$A$10005),0),MATCH('Reg 85'!$AG$11,'DMR 001C TIN &amp; TP'!$A$2:$M$2,0))),"")</f>
        <v/>
      </c>
      <c r="AK132" s="6" t="str">
        <f t="array" ref="AK132">_xlfn.IFNA((INDEX('DMR 001C TIN &amp; TP'!$A$3:$M$10005,MATCH(('Reg 85'!$X$6&amp;'Reg 85'!AK$10&amp;'Reg 85'!$B132),('DMR 001C TIN &amp; TP'!$E$3:$E$10005&amp;'DMR 001C TIN &amp; TP'!$B$3:$B$10005&amp;'DMR 001C TIN &amp; TP'!$A$3:$A$10005),0),MATCH('Reg 85'!$AG$11,'DMR 001C TIN &amp; TP'!$A$2:$M$2,0))),"")</f>
        <v/>
      </c>
      <c r="AL132" s="6" t="str">
        <f t="array" ref="AL132">_xlfn.IFNA((INDEX('DMR 001C TIN &amp; TP'!$A$3:$M$10005,MATCH(('Reg 85'!$X$6&amp;'Reg 85'!AL$10&amp;'Reg 85'!$B132),('DMR 001C TIN &amp; TP'!$E$3:$E$10005&amp;'DMR 001C TIN &amp; TP'!$B$3:$B$10005&amp;'DMR 001C TIN &amp; TP'!$A$3:$A$10005),0),MATCH('Reg 85'!$AG$11,'DMR 001C TIN &amp; TP'!$A$2:$M$2,0))),"")</f>
        <v/>
      </c>
      <c r="AM132" s="76"/>
      <c r="AN132" s="6"/>
      <c r="AO132" s="54" t="str">
        <f t="shared" si="41"/>
        <v/>
      </c>
      <c r="AP132" s="77" t="str">
        <f t="shared" si="60"/>
        <v/>
      </c>
      <c r="AQ132" s="47"/>
      <c r="AR132" s="6" t="str">
        <f t="array" ref="AR132">_xlfn.IFNA((INDEX('DMR 001C TIN &amp; TP'!$A$3:$M$10005,MATCH(('Reg 85'!$AQ$6&amp;'Reg 85'!$AQ$10&amp;'Reg 85'!$B132),('DMR 001C TIN &amp; TP'!$E$3:$E$10005&amp;'DMR 001C TIN &amp; TP'!$B$3:$B$10005&amp;'DMR 001C TIN &amp; TP'!$A$3:$A$10005),0),MATCH('Reg 85'!$AR$11,'DMR 001C TIN &amp; TP'!$A$2:$M$2,0))),"")</f>
        <v>0.03</v>
      </c>
      <c r="AS132" s="6">
        <f t="array" ref="AS132">_xlfn.IFNA((INDEX('DMR 001C TIN &amp; TP'!$A$3:$M$10005,MATCH(('Reg 85'!$AQ$6&amp;'Reg 85'!$AQ$10&amp;'Reg 85'!$B132),('DMR 001C TIN &amp; TP'!$E$3:$E$10005&amp;'DMR 001C TIN &amp; TP'!$B$3:$B$10005&amp;'DMR 001C TIN &amp; TP'!$A$3:$A$10005),0),MATCH('Reg 85'!$AS$11,'DMR 001C TIN &amp; TP'!$A$2:$M$2,0))),"")</f>
        <v>0.27</v>
      </c>
      <c r="AT132" s="53">
        <f t="shared" si="55"/>
        <v>0.27</v>
      </c>
      <c r="AV132" s="6" t="str">
        <f t="array" ref="AV132">_xlfn.IFNA((INDEX('DMR 001C TIN &amp; TP'!$A$3:$M$10005,MATCH(('Reg 85'!$AQ$6&amp;'Reg 85'!$AU$10&amp;'Reg 85'!$B132),('DMR 001C TIN &amp; TP'!$E$3:$E$10005&amp;'DMR 001C TIN &amp; TP'!$B$3:$B$10005&amp;'DMR 001C TIN &amp; TP'!$A$3:$A$10005),0),MATCH('Reg 85'!$AV$11,'DMR 001C TIN &amp; TP'!$A$2:$M$2,0))),"")</f>
        <v>0.03</v>
      </c>
      <c r="AW132" s="6">
        <f t="array" ref="AW132">_xlfn.IFNA((INDEX('DMR 001C TIN &amp; TP'!$A$3:$M$10005,MATCH(('Reg 85'!$AQ$6&amp;'Reg 85'!$AU$10&amp;'Reg 85'!$B132),('DMR 001C TIN &amp; TP'!$E$3:$E$10005&amp;'DMR 001C TIN &amp; TP'!$B$3:$B$10005&amp;'DMR 001C TIN &amp; TP'!$A$3:$A$10005),0),MATCH('Reg 85'!$AW$11,'DMR 001C TIN &amp; TP'!$A$2:$M$2,0))),"")</f>
        <v>3.57</v>
      </c>
      <c r="AX132" s="53">
        <f t="shared" si="56"/>
        <v>3.57</v>
      </c>
      <c r="AY132" s="55">
        <f t="shared" si="57"/>
        <v>2.1920581160635022</v>
      </c>
      <c r="AZ132" s="77" t="str">
        <f t="shared" si="61"/>
        <v/>
      </c>
      <c r="BA132" s="6" t="str">
        <f t="array" ref="BA132">_xlfn.IFNA((INDEX('DMR 001C TIN &amp; TP'!$A$3:$M$10005,MATCH(('Reg 85'!$AQ$6&amp;'Reg 85'!BA$10&amp;'Reg 85'!$B132),('DMR 001C TIN &amp; TP'!$E$3:$E$10005&amp;'DMR 001C TIN &amp; TP'!$B$3:$B$10005&amp;'DMR 001C TIN &amp; TP'!$A$3:$A$10005),0),MATCH('Reg 85'!$AG$11,'DMR 001C TIN &amp; TP'!$A$2:$M$2,0))),"")</f>
        <v/>
      </c>
      <c r="BB132" s="6" t="str">
        <f t="array" ref="BB132">_xlfn.IFNA((INDEX('DMR 001C TIN &amp; TP'!$A$3:$M$10005,MATCH(('Reg 85'!$AQ$6&amp;'Reg 85'!BB$10&amp;'Reg 85'!$B132),('DMR 001C TIN &amp; TP'!$E$3:$E$10005&amp;'DMR 001C TIN &amp; TP'!$B$3:$B$10005&amp;'DMR 001C TIN &amp; TP'!$A$3:$A$10005),0),MATCH('Reg 85'!$AG$11,'DMR 001C TIN &amp; TP'!$A$2:$M$2,0))),"")</f>
        <v/>
      </c>
      <c r="BC132" s="6" t="str">
        <f t="array" ref="BC132">_xlfn.IFNA((INDEX('DMR 001C TIN &amp; TP'!$A$3:$M$10005,MATCH(('Reg 85'!$AQ$6&amp;'Reg 85'!BC$10&amp;'Reg 85'!$B132),('DMR 001C TIN &amp; TP'!$E$3:$E$10005&amp;'DMR 001C TIN &amp; TP'!$B$3:$B$10005&amp;'DMR 001C TIN &amp; TP'!$A$3:$A$10005),0),MATCH('Reg 85'!$AG$11,'DMR 001C TIN &amp; TP'!$A$2:$M$2,0))),"")</f>
        <v/>
      </c>
      <c r="BD132" s="6" t="str">
        <f t="array" ref="BD132">_xlfn.IFNA((INDEX('DMR 001C TIN &amp; TP'!$A$3:$M$10005,MATCH(('Reg 85'!$AQ$6&amp;'Reg 85'!BD$10&amp;'Reg 85'!$B132),('DMR 001C TIN &amp; TP'!$E$3:$E$10005&amp;'DMR 001C TIN &amp; TP'!$B$3:$B$10005&amp;'DMR 001C TIN &amp; TP'!$A$3:$A$10005),0),MATCH('Reg 85'!$AG$11,'DMR 001C TIN &amp; TP'!$A$2:$M$2,0))),"")</f>
        <v/>
      </c>
      <c r="BE132" s="6" t="str">
        <f t="array" ref="BE132">_xlfn.IFNA((INDEX('DMR 001C TIN &amp; TP'!$A$3:$M$10005,MATCH(('Reg 85'!$AQ$6&amp;'Reg 85'!BE$10&amp;'Reg 85'!$B132),('DMR 001C TIN &amp; TP'!$E$3:$E$10005&amp;'DMR 001C TIN &amp; TP'!$B$3:$B$10005&amp;'DMR 001C TIN &amp; TP'!$A$3:$A$10005),0),MATCH('Reg 85'!$AG$11,'DMR 001C TIN &amp; TP'!$A$2:$M$2,0))),"")</f>
        <v/>
      </c>
      <c r="BF132" s="6" t="str">
        <f t="array" ref="BF132">_xlfn.IFNA((INDEX('DMR 001C TIN &amp; TP'!$A$3:$M$10005,MATCH(('Reg 85'!$AQ$6&amp;'Reg 85'!BF$10&amp;'Reg 85'!$B132),('DMR 001C TIN &amp; TP'!$E$3:$E$10005&amp;'DMR 001C TIN &amp; TP'!$B$3:$B$10005&amp;'DMR 001C TIN &amp; TP'!$A$3:$A$10005),0),MATCH('Reg 85'!$AG$11,'DMR 001C TIN &amp; TP'!$A$2:$M$2,0))),"")</f>
        <v/>
      </c>
    </row>
    <row r="133" spans="1:58">
      <c r="A133" s="3" t="str">
        <f t="shared" si="42"/>
        <v>Mon</v>
      </c>
      <c r="B133" s="96">
        <f t="shared" si="58"/>
        <v>43465</v>
      </c>
      <c r="C133" s="96">
        <f t="shared" si="43"/>
        <v>43465</v>
      </c>
      <c r="D133" s="96">
        <f t="shared" si="44"/>
        <v>43435</v>
      </c>
      <c r="E133" s="95">
        <f t="shared" si="45"/>
        <v>31</v>
      </c>
      <c r="F133" s="7">
        <f t="array" ref="F133">_xlfn.IFNA(INDEX('DMR Flows-Effluent'!$A$3:$F$9999,MATCH(($F$10&amp;$B133),('DMR Flows-Effluent'!$B$3:$B$9999&amp;'DMR Flows-Effluent'!$A$3:$A$9999),0),MATCH($F$8,'DMR Flows-Effluent'!$A$2:$F$2,0)),"")</f>
        <v>47.833100000000002</v>
      </c>
      <c r="G133" s="7">
        <f t="array" ref="G133">_xlfn.IFNA(INDEX('DMR Flows-Effluent'!$A$3:$F$9999,MATCH(($G$10&amp;$B133),('DMR Flows-Effluent'!$B$3:$B$9999&amp;'DMR Flows-Effluent'!$A$3:$A$9999),0),MATCH($F$8,'DMR Flows-Effluent'!$A$2:$F$2,0)),"")</f>
        <v>67.004400000000004</v>
      </c>
      <c r="H133" s="7">
        <f t="shared" si="46"/>
        <v>114.83750000000001</v>
      </c>
      <c r="I133" s="45" t="str">
        <f t="shared" si="47"/>
        <v/>
      </c>
      <c r="J133" s="6" t="str">
        <f t="array" ref="J133">_xlfn.IFNA((INDEX('DMR 001C TIN &amp; TP'!$A$3:$M$10005,MATCH(('Reg 85'!$I$6:$Q$6&amp;'Reg 85'!$I$10:$K$10&amp;'Reg 85'!$B133),('DMR 001C TIN &amp; TP'!$E$3:$E$10005&amp;'DMR 001C TIN &amp; TP'!$B$3:$B$10005&amp;'DMR 001C TIN &amp; TP'!$A$3:$A$10005),0),MATCH('Reg 85'!$J$11,'DMR 001C TIN &amp; TP'!$A$2:$M$2,0))),"")</f>
        <v>0.15</v>
      </c>
      <c r="K133" s="6">
        <f t="array" ref="K133">_xlfn.IFNA((INDEX('DMR 001C TIN &amp; TP'!$A$3:$M$10005,MATCH(('Reg 85'!$I$6:$Q$6&amp;'Reg 85'!$I$10:$K$10&amp;'Reg 85'!$B133),('DMR 001C TIN &amp; TP'!$E$3:$E$10005&amp;'DMR 001C TIN &amp; TP'!$B$3:$B$10005&amp;'DMR 001C TIN &amp; TP'!$A$3:$A$10005),0),MATCH('Reg 85'!$K$11,'DMR 001C TIN &amp; TP'!$A$2:$M$2,0))),"")</f>
        <v>0.62</v>
      </c>
      <c r="L133" s="53">
        <f t="shared" si="59"/>
        <v>0.62</v>
      </c>
      <c r="M133" s="5" t="str">
        <f t="shared" si="48"/>
        <v/>
      </c>
      <c r="N133" s="6" t="str">
        <f t="array" ref="N133">_xlfn.IFNA((INDEX('DMR 001C TIN &amp; TP'!$A$3:$M$10005,MATCH(('Reg 85'!$I$6:$Q$6&amp;'Reg 85'!$M$10&amp;'Reg 85'!$B133),('DMR 001C TIN &amp; TP'!$E$3:$E$10005&amp;'DMR 001C TIN &amp; TP'!$B$3:$B$10005&amp;'DMR 001C TIN &amp; TP'!$A$3:$A$10005),0),MATCH('Reg 85'!$N$11,'DMR 001C TIN &amp; TP'!$A$2:$M$2,0))),"")</f>
        <v>0.15</v>
      </c>
      <c r="O133" s="6">
        <f t="array" ref="O133">_xlfn.IFNA((INDEX('DMR 001C TIN &amp; TP'!$A$3:$M$10005,MATCH(('Reg 85'!$I$6:$Q$6&amp;'Reg 85'!$M$10&amp;'Reg 85'!$B133),('DMR 001C TIN &amp; TP'!$E$3:$E$10005&amp;'DMR 001C TIN &amp; TP'!$B$3:$B$10005&amp;'DMR 001C TIN &amp; TP'!$A$3:$A$10005),0),MATCH('Reg 85'!$O$11,'DMR 001C TIN &amp; TP'!$A$2:$M$2,0))),"")</f>
        <v>0.93</v>
      </c>
      <c r="P133" s="53">
        <f t="shared" si="49"/>
        <v>0.93</v>
      </c>
      <c r="Q133" s="73">
        <f t="array" ref="Q133">IFERROR(((L133*$F133)+(P133*$G133))/($H133),"")</f>
        <v>0.8008761423750953</v>
      </c>
      <c r="R133" s="6" t="str">
        <f t="array" ref="R133">_xlfn.IFNA((INDEX('DMR 001C TIN &amp; TP'!$A$3:$M$10005,MATCH(('Reg 85'!$I$6:$Q$6&amp;'Reg 85'!R$10&amp;'Reg 85'!$B133),('DMR 001C TIN &amp; TP'!$E$3:$E$10005&amp;'DMR 001C TIN &amp; TP'!$B$3:$B$10005&amp;'DMR 001C TIN &amp; TP'!$A$3:$A$10005),0),MATCH('Reg 85'!$O$11,'DMR 001C TIN &amp; TP'!$A$2:$M$2,0))),"")</f>
        <v/>
      </c>
      <c r="S133" s="6" t="str">
        <f t="array" ref="S133">_xlfn.IFNA((INDEX('DMR 001C TIN &amp; TP'!$A$3:$M$10005,MATCH(('Reg 85'!$I$6:$Q$6&amp;'Reg 85'!S$10&amp;'Reg 85'!$B133),('DMR 001C TIN &amp; TP'!$E$3:$E$10005&amp;'DMR 001C TIN &amp; TP'!$B$3:$B$10005&amp;'DMR 001C TIN &amp; TP'!$A$3:$A$10005),0),MATCH('Reg 85'!$O$11,'DMR 001C TIN &amp; TP'!$A$2:$M$2,0))),"")</f>
        <v/>
      </c>
      <c r="T133" s="6" t="str">
        <f t="array" ref="T133">_xlfn.IFNA((INDEX('DMR 001C TIN &amp; TP'!$A$3:$M$10005,MATCH(('Reg 85'!$I$6:$Q$6&amp;'Reg 85'!T$10&amp;'Reg 85'!$B133),('DMR 001C TIN &amp; TP'!$E$3:$E$10005&amp;'DMR 001C TIN &amp; TP'!$B$3:$B$10005&amp;'DMR 001C TIN &amp; TP'!$A$3:$A$10005),0),MATCH('Reg 85'!$O$11,'DMR 001C TIN &amp; TP'!$A$2:$M$2,0))),"")</f>
        <v/>
      </c>
      <c r="U133" s="6" t="str">
        <f t="array" ref="U133">_xlfn.IFNA((INDEX('DMR 001C TIN &amp; TP'!$A$3:$M$10005,MATCH(('Reg 85'!$I$6:$Q$6&amp;'Reg 85'!U$10&amp;'Reg 85'!$B133),('DMR 001C TIN &amp; TP'!$E$3:$E$10005&amp;'DMR 001C TIN &amp; TP'!$B$3:$B$10005&amp;'DMR 001C TIN &amp; TP'!$A$3:$A$10005),0),MATCH('Reg 85'!$O$11,'DMR 001C TIN &amp; TP'!$A$2:$M$2,0))),"")</f>
        <v/>
      </c>
      <c r="V133" s="6" t="str">
        <f t="array" ref="V133">_xlfn.IFNA((INDEX('DMR 001C TIN &amp; TP'!$A$3:$M$10005,MATCH(('Reg 85'!$I$6:$Q$6&amp;'Reg 85'!V$10&amp;'Reg 85'!$B133),('DMR 001C TIN &amp; TP'!$E$3:$E$10005&amp;'DMR 001C TIN &amp; TP'!$B$3:$B$10005&amp;'DMR 001C TIN &amp; TP'!$A$3:$A$10005),0),MATCH('Reg 85'!$O$11,'DMR 001C TIN &amp; TP'!$A$2:$M$2,0))),"")</f>
        <v/>
      </c>
      <c r="W133" s="6" t="str">
        <f t="array" ref="W133">_xlfn.IFNA((INDEX('DMR 001C TIN &amp; TP'!$A$3:$M$10005,MATCH(('Reg 85'!$I$6:$Q$6&amp;'Reg 85'!W$10&amp;'Reg 85'!$B133),('DMR 001C TIN &amp; TP'!$E$3:$E$10005&amp;'DMR 001C TIN &amp; TP'!$B$3:$B$10005&amp;'DMR 001C TIN &amp; TP'!$A$3:$A$10005),0),MATCH('Reg 85'!$O$11,'DMR 001C TIN &amp; TP'!$A$2:$M$2,0))),"")</f>
        <v/>
      </c>
      <c r="X133" s="5" t="str">
        <f t="shared" si="50"/>
        <v/>
      </c>
      <c r="Y133" s="6" t="str">
        <f t="array" ref="Y133">_xlfn.IFNA((INDEX('DMR 001C TIN &amp; TP'!$A$3:$M$10005,MATCH(('Reg 85'!$X$6&amp;'Reg 85'!$X$10&amp;'Reg 85'!$B133),('DMR 001C TIN &amp; TP'!$E$3:$E$10005&amp;'DMR 001C TIN &amp; TP'!$B$3:$B$10005&amp;'DMR 001C TIN &amp; TP'!$A$3:$A$10005),0),MATCH('Reg 85'!$Y$11,'DMR 001C TIN &amp; TP'!$A$2:$M$2,0))),"")</f>
        <v>0.06</v>
      </c>
      <c r="Z133" s="6">
        <f t="array" ref="Z133">_xlfn.IFNA((INDEX('DMR 001C TIN &amp; TP'!$A$3:$M$10005,MATCH(('Reg 85'!$X$6&amp;'Reg 85'!$X$10&amp;'Reg 85'!$B133),('DMR 001C TIN &amp; TP'!$E$3:$E$10005&amp;'DMR 001C TIN &amp; TP'!$B$3:$B$10005&amp;'DMR 001C TIN &amp; TP'!$A$3:$A$10005),0),MATCH('Reg 85'!$Z$11,'DMR 001C TIN &amp; TP'!$A$2:$M$2,0))),"")</f>
        <v>5.45</v>
      </c>
      <c r="AA133" s="53">
        <f t="shared" si="51"/>
        <v>5.45</v>
      </c>
      <c r="AB133" s="5" t="str">
        <f t="shared" si="52"/>
        <v/>
      </c>
      <c r="AC133" s="6" t="str">
        <f t="array" ref="AC133">_xlfn.IFNA((INDEX('DMR 001C TIN &amp; TP'!$A$3:$M$10005,MATCH(('Reg 85'!$X$6&amp;'Reg 85'!$AB$10&amp;'Reg 85'!$B133),('DMR 001C TIN &amp; TP'!$E$3:$E$10005&amp;'DMR 001C TIN &amp; TP'!$B$3:$B$10005&amp;'DMR 001C TIN &amp; TP'!$A$3:$A$10005),0),MATCH('Reg 85'!$AC$11,'DMR 001C TIN &amp; TP'!$A$2:$M$2,0))),"")</f>
        <v>0.06</v>
      </c>
      <c r="AD133" s="6">
        <f t="array" ref="AD133">_xlfn.IFNA((INDEX('DMR 001C TIN &amp; TP'!$A$3:$M$10005,MATCH(('Reg 85'!$X$6&amp;'Reg 85'!$AB$10&amp;'Reg 85'!$B133),('DMR 001C TIN &amp; TP'!$E$3:$E$10005&amp;'DMR 001C TIN &amp; TP'!$B$3:$B$10005&amp;'DMR 001C TIN &amp; TP'!$A$3:$A$10005),0),MATCH('Reg 85'!$AD$11,'DMR 001C TIN &amp; TP'!$A$2:$M$2,0))),"")</f>
        <v>6.68</v>
      </c>
      <c r="AE133" s="53">
        <f t="shared" si="53"/>
        <v>6.68</v>
      </c>
      <c r="AF133" s="7">
        <f t="shared" si="54"/>
        <v>6.1676698552302165</v>
      </c>
      <c r="AG133" s="6" t="str">
        <f t="array" ref="AG133">_xlfn.IFNA((INDEX('DMR 001C TIN &amp; TP'!$A$3:$M$10005,MATCH(('Reg 85'!$X$6&amp;'Reg 85'!AG$10&amp;'Reg 85'!$B133),('DMR 001C TIN &amp; TP'!$E$3:$E$10005&amp;'DMR 001C TIN &amp; TP'!$B$3:$B$10005&amp;'DMR 001C TIN &amp; TP'!$A$3:$A$10005),0),MATCH('Reg 85'!$AG$11,'DMR 001C TIN &amp; TP'!$A$2:$M$2,0))),"")</f>
        <v/>
      </c>
      <c r="AH133" s="6" t="str">
        <f t="array" ref="AH133">_xlfn.IFNA((INDEX('DMR 001C TIN &amp; TP'!$A$3:$M$10005,MATCH(('Reg 85'!$X$6&amp;'Reg 85'!AH$10&amp;'Reg 85'!$B133),('DMR 001C TIN &amp; TP'!$E$3:$E$10005&amp;'DMR 001C TIN &amp; TP'!$B$3:$B$10005&amp;'DMR 001C TIN &amp; TP'!$A$3:$A$10005),0),MATCH('Reg 85'!$AG$11,'DMR 001C TIN &amp; TP'!$A$2:$M$2,0))),"")</f>
        <v/>
      </c>
      <c r="AI133" s="6" t="str">
        <f t="array" ref="AI133">_xlfn.IFNA((INDEX('DMR 001C TIN &amp; TP'!$A$3:$M$10005,MATCH(('Reg 85'!$X$6&amp;'Reg 85'!AI$10&amp;'Reg 85'!$B133),('DMR 001C TIN &amp; TP'!$E$3:$E$10005&amp;'DMR 001C TIN &amp; TP'!$B$3:$B$10005&amp;'DMR 001C TIN &amp; TP'!$A$3:$A$10005),0),MATCH('Reg 85'!$AG$11,'DMR 001C TIN &amp; TP'!$A$2:$M$2,0))),"")</f>
        <v/>
      </c>
      <c r="AJ133" s="6" t="str">
        <f t="array" ref="AJ133">_xlfn.IFNA((INDEX('DMR 001C TIN &amp; TP'!$A$3:$M$10005,MATCH(('Reg 85'!$X$6&amp;'Reg 85'!AJ$10&amp;'Reg 85'!$B133),('DMR 001C TIN &amp; TP'!$E$3:$E$10005&amp;'DMR 001C TIN &amp; TP'!$B$3:$B$10005&amp;'DMR 001C TIN &amp; TP'!$A$3:$A$10005),0),MATCH('Reg 85'!$AG$11,'DMR 001C TIN &amp; TP'!$A$2:$M$2,0))),"")</f>
        <v/>
      </c>
      <c r="AK133" s="6" t="str">
        <f t="array" ref="AK133">_xlfn.IFNA((INDEX('DMR 001C TIN &amp; TP'!$A$3:$M$10005,MATCH(('Reg 85'!$X$6&amp;'Reg 85'!AK$10&amp;'Reg 85'!$B133),('DMR 001C TIN &amp; TP'!$E$3:$E$10005&amp;'DMR 001C TIN &amp; TP'!$B$3:$B$10005&amp;'DMR 001C TIN &amp; TP'!$A$3:$A$10005),0),MATCH('Reg 85'!$AG$11,'DMR 001C TIN &amp; TP'!$A$2:$M$2,0))),"")</f>
        <v/>
      </c>
      <c r="AL133" s="6" t="str">
        <f t="array" ref="AL133">_xlfn.IFNA((INDEX('DMR 001C TIN &amp; TP'!$A$3:$M$10005,MATCH(('Reg 85'!$X$6&amp;'Reg 85'!AL$10&amp;'Reg 85'!$B133),('DMR 001C TIN &amp; TP'!$E$3:$E$10005&amp;'DMR 001C TIN &amp; TP'!$B$3:$B$10005&amp;'DMR 001C TIN &amp; TP'!$A$3:$A$10005),0),MATCH('Reg 85'!$AG$11,'DMR 001C TIN &amp; TP'!$A$2:$M$2,0))),"")</f>
        <v/>
      </c>
      <c r="AM133" s="76"/>
      <c r="AN133" s="6"/>
      <c r="AO133" s="54">
        <f t="shared" si="41"/>
        <v>6.9685459976053119</v>
      </c>
      <c r="AP133" s="77">
        <f>COUNT(AO103:AO133)</f>
        <v>13</v>
      </c>
      <c r="AQ133" s="47"/>
      <c r="AR133" s="6" t="str">
        <f t="array" ref="AR133">_xlfn.IFNA((INDEX('DMR 001C TIN &amp; TP'!$A$3:$M$10005,MATCH(('Reg 85'!$AQ$6&amp;'Reg 85'!$AQ$10&amp;'Reg 85'!$B133),('DMR 001C TIN &amp; TP'!$E$3:$E$10005&amp;'DMR 001C TIN &amp; TP'!$B$3:$B$10005&amp;'DMR 001C TIN &amp; TP'!$A$3:$A$10005),0),MATCH('Reg 85'!$AR$11,'DMR 001C TIN &amp; TP'!$A$2:$M$2,0))),"")</f>
        <v/>
      </c>
      <c r="AS133" s="6" t="str">
        <f t="array" ref="AS133">_xlfn.IFNA((INDEX('DMR 001C TIN &amp; TP'!$A$3:$M$10005,MATCH(('Reg 85'!$AQ$6&amp;'Reg 85'!$AQ$10&amp;'Reg 85'!$B133),('DMR 001C TIN &amp; TP'!$E$3:$E$10005&amp;'DMR 001C TIN &amp; TP'!$B$3:$B$10005&amp;'DMR 001C TIN &amp; TP'!$A$3:$A$10005),0),MATCH('Reg 85'!$AS$11,'DMR 001C TIN &amp; TP'!$A$2:$M$2,0))),"")</f>
        <v/>
      </c>
      <c r="AT133" s="53" t="str">
        <f t="shared" si="55"/>
        <v/>
      </c>
      <c r="AV133" s="6" t="str">
        <f t="array" ref="AV133">_xlfn.IFNA((INDEX('DMR 001C TIN &amp; TP'!$A$3:$M$10005,MATCH(('Reg 85'!$AQ$6&amp;'Reg 85'!$AU$10&amp;'Reg 85'!$B133),('DMR 001C TIN &amp; TP'!$E$3:$E$10005&amp;'DMR 001C TIN &amp; TP'!$B$3:$B$10005&amp;'DMR 001C TIN &amp; TP'!$A$3:$A$10005),0),MATCH('Reg 85'!$AV$11,'DMR 001C TIN &amp; TP'!$A$2:$M$2,0))),"")</f>
        <v/>
      </c>
      <c r="AW133" s="6" t="str">
        <f t="array" ref="AW133">_xlfn.IFNA((INDEX('DMR 001C TIN &amp; TP'!$A$3:$M$10005,MATCH(('Reg 85'!$AQ$6&amp;'Reg 85'!$AU$10&amp;'Reg 85'!$B133),('DMR 001C TIN &amp; TP'!$E$3:$E$10005&amp;'DMR 001C TIN &amp; TP'!$B$3:$B$10005&amp;'DMR 001C TIN &amp; TP'!$A$3:$A$10005),0),MATCH('Reg 85'!$AW$11,'DMR 001C TIN &amp; TP'!$A$2:$M$2,0))),"")</f>
        <v/>
      </c>
      <c r="AX133" s="53" t="str">
        <f t="shared" si="56"/>
        <v/>
      </c>
      <c r="AY133" s="55" t="str">
        <f t="shared" si="57"/>
        <v/>
      </c>
      <c r="AZ133" s="77">
        <f>COUNT(AY103:AY133)</f>
        <v>9</v>
      </c>
      <c r="BA133" s="6" t="str">
        <f t="array" ref="BA133">_xlfn.IFNA((INDEX('DMR 001C TIN &amp; TP'!$A$3:$M$10005,MATCH(('Reg 85'!$AQ$6&amp;'Reg 85'!BA$10&amp;'Reg 85'!$B133),('DMR 001C TIN &amp; TP'!$E$3:$E$10005&amp;'DMR 001C TIN &amp; TP'!$B$3:$B$10005&amp;'DMR 001C TIN &amp; TP'!$A$3:$A$10005),0),MATCH('Reg 85'!$AG$11,'DMR 001C TIN &amp; TP'!$A$2:$M$2,0))),"")</f>
        <v/>
      </c>
      <c r="BB133" s="6" t="str">
        <f t="array" ref="BB133">_xlfn.IFNA((INDEX('DMR 001C TIN &amp; TP'!$A$3:$M$10005,MATCH(('Reg 85'!$AQ$6&amp;'Reg 85'!BB$10&amp;'Reg 85'!$B133),('DMR 001C TIN &amp; TP'!$E$3:$E$10005&amp;'DMR 001C TIN &amp; TP'!$B$3:$B$10005&amp;'DMR 001C TIN &amp; TP'!$A$3:$A$10005),0),MATCH('Reg 85'!$AG$11,'DMR 001C TIN &amp; TP'!$A$2:$M$2,0))),"")</f>
        <v/>
      </c>
      <c r="BC133" s="6" t="str">
        <f t="array" ref="BC133">_xlfn.IFNA((INDEX('DMR 001C TIN &amp; TP'!$A$3:$M$10005,MATCH(('Reg 85'!$AQ$6&amp;'Reg 85'!BC$10&amp;'Reg 85'!$B133),('DMR 001C TIN &amp; TP'!$E$3:$E$10005&amp;'DMR 001C TIN &amp; TP'!$B$3:$B$10005&amp;'DMR 001C TIN &amp; TP'!$A$3:$A$10005),0),MATCH('Reg 85'!$AG$11,'DMR 001C TIN &amp; TP'!$A$2:$M$2,0))),"")</f>
        <v/>
      </c>
      <c r="BD133" s="6" t="str">
        <f t="array" ref="BD133">_xlfn.IFNA((INDEX('DMR 001C TIN &amp; TP'!$A$3:$M$10005,MATCH(('Reg 85'!$AQ$6&amp;'Reg 85'!BD$10&amp;'Reg 85'!$B133),('DMR 001C TIN &amp; TP'!$E$3:$E$10005&amp;'DMR 001C TIN &amp; TP'!$B$3:$B$10005&amp;'DMR 001C TIN &amp; TP'!$A$3:$A$10005),0),MATCH('Reg 85'!$AG$11,'DMR 001C TIN &amp; TP'!$A$2:$M$2,0))),"")</f>
        <v/>
      </c>
      <c r="BE133" s="6" t="str">
        <f t="array" ref="BE133">_xlfn.IFNA((INDEX('DMR 001C TIN &amp; TP'!$A$3:$M$10005,MATCH(('Reg 85'!$AQ$6&amp;'Reg 85'!BE$10&amp;'Reg 85'!$B133),('DMR 001C TIN &amp; TP'!$E$3:$E$10005&amp;'DMR 001C TIN &amp; TP'!$B$3:$B$10005&amp;'DMR 001C TIN &amp; TP'!$A$3:$A$10005),0),MATCH('Reg 85'!$AG$11,'DMR 001C TIN &amp; TP'!$A$2:$M$2,0))),"")</f>
        <v/>
      </c>
      <c r="BF133" s="6" t="str">
        <f t="array" ref="BF133">_xlfn.IFNA((INDEX('DMR 001C TIN &amp; TP'!$A$3:$M$10005,MATCH(('Reg 85'!$AQ$6&amp;'Reg 85'!BF$10&amp;'Reg 85'!$B133),('DMR 001C TIN &amp; TP'!$E$3:$E$10005&amp;'DMR 001C TIN &amp; TP'!$B$3:$B$10005&amp;'DMR 001C TIN &amp; TP'!$A$3:$A$10005),0),MATCH('Reg 85'!$AG$11,'DMR 001C TIN &amp; TP'!$A$2:$M$2,0))),"")</f>
        <v/>
      </c>
    </row>
    <row r="134" spans="1:58">
      <c r="A134" s="3" t="str">
        <f t="shared" si="42"/>
        <v>Tue</v>
      </c>
      <c r="B134" s="96">
        <f t="shared" si="58"/>
        <v>43466</v>
      </c>
      <c r="C134" s="96">
        <f t="shared" si="43"/>
        <v>43496</v>
      </c>
      <c r="D134" s="96">
        <f t="shared" si="44"/>
        <v>43466</v>
      </c>
      <c r="E134" s="95">
        <f t="shared" si="45"/>
        <v>31</v>
      </c>
      <c r="F134" s="7">
        <f t="array" ref="F134">_xlfn.IFNA(INDEX('DMR Flows-Effluent'!$A$3:$F$9999,MATCH(($F$10&amp;$B134),('DMR Flows-Effluent'!$B$3:$B$9999&amp;'DMR Flows-Effluent'!$A$3:$A$9999),0),MATCH($F$8,'DMR Flows-Effluent'!$A$2:$F$2,0)),"")</f>
        <v>47.741900000000001</v>
      </c>
      <c r="G134" s="7">
        <f t="array" ref="G134">_xlfn.IFNA(INDEX('DMR Flows-Effluent'!$A$3:$F$9999,MATCH(($G$10&amp;$B134),('DMR Flows-Effluent'!$B$3:$B$9999&amp;'DMR Flows-Effluent'!$A$3:$A$9999),0),MATCH($F$8,'DMR Flows-Effluent'!$A$2:$F$2,0)),"")</f>
        <v>69.189099999999996</v>
      </c>
      <c r="H134" s="7">
        <f t="shared" si="46"/>
        <v>116.931</v>
      </c>
      <c r="I134" s="45" t="str">
        <f t="shared" si="47"/>
        <v/>
      </c>
      <c r="J134" s="6" t="str">
        <f t="array" ref="J134">_xlfn.IFNA((INDEX('DMR 001C TIN &amp; TP'!$A$3:$M$10005,MATCH(('Reg 85'!$I$6:$Q$6&amp;'Reg 85'!$I$10:$K$10&amp;'Reg 85'!$B134),('DMR 001C TIN &amp; TP'!$E$3:$E$10005&amp;'DMR 001C TIN &amp; TP'!$B$3:$B$10005&amp;'DMR 001C TIN &amp; TP'!$A$3:$A$10005),0),MATCH('Reg 85'!$J$11,'DMR 001C TIN &amp; TP'!$A$2:$M$2,0))),"")</f>
        <v>0.15</v>
      </c>
      <c r="K134" s="6">
        <f t="array" ref="K134">_xlfn.IFNA((INDEX('DMR 001C TIN &amp; TP'!$A$3:$M$10005,MATCH(('Reg 85'!$I$6:$Q$6&amp;'Reg 85'!$I$10:$K$10&amp;'Reg 85'!$B134),('DMR 001C TIN &amp; TP'!$E$3:$E$10005&amp;'DMR 001C TIN &amp; TP'!$B$3:$B$10005&amp;'DMR 001C TIN &amp; TP'!$A$3:$A$10005),0),MATCH('Reg 85'!$K$11,'DMR 001C TIN &amp; TP'!$A$2:$M$2,0))),"")</f>
        <v>0.59</v>
      </c>
      <c r="L134" s="53">
        <f t="shared" si="59"/>
        <v>0.59</v>
      </c>
      <c r="M134" s="5" t="str">
        <f t="shared" si="48"/>
        <v/>
      </c>
      <c r="N134" s="6" t="str">
        <f t="array" ref="N134">_xlfn.IFNA((INDEX('DMR 001C TIN &amp; TP'!$A$3:$M$10005,MATCH(('Reg 85'!$I$6:$Q$6&amp;'Reg 85'!$M$10&amp;'Reg 85'!$B134),('DMR 001C TIN &amp; TP'!$E$3:$E$10005&amp;'DMR 001C TIN &amp; TP'!$B$3:$B$10005&amp;'DMR 001C TIN &amp; TP'!$A$3:$A$10005),0),MATCH('Reg 85'!$N$11,'DMR 001C TIN &amp; TP'!$A$2:$M$2,0))),"")</f>
        <v>0.15</v>
      </c>
      <c r="O134" s="6">
        <f t="array" ref="O134">_xlfn.IFNA((INDEX('DMR 001C TIN &amp; TP'!$A$3:$M$10005,MATCH(('Reg 85'!$I$6:$Q$6&amp;'Reg 85'!$M$10&amp;'Reg 85'!$B134),('DMR 001C TIN &amp; TP'!$E$3:$E$10005&amp;'DMR 001C TIN &amp; TP'!$B$3:$B$10005&amp;'DMR 001C TIN &amp; TP'!$A$3:$A$10005),0),MATCH('Reg 85'!$O$11,'DMR 001C TIN &amp; TP'!$A$2:$M$2,0))),"")</f>
        <v>0.95</v>
      </c>
      <c r="P134" s="53">
        <f t="shared" si="49"/>
        <v>0.95</v>
      </c>
      <c r="Q134" s="73">
        <f t="array" ref="Q134">IFERROR(((L134*$F134)+(P134*$G134))/($H134),"")</f>
        <v>0.80301516278831098</v>
      </c>
      <c r="R134" s="6" t="str">
        <f t="array" ref="R134">_xlfn.IFNA((INDEX('DMR 001C TIN &amp; TP'!$A$3:$M$10005,MATCH(('Reg 85'!$I$6:$Q$6&amp;'Reg 85'!R$10&amp;'Reg 85'!$B134),('DMR 001C TIN &amp; TP'!$E$3:$E$10005&amp;'DMR 001C TIN &amp; TP'!$B$3:$B$10005&amp;'DMR 001C TIN &amp; TP'!$A$3:$A$10005),0),MATCH('Reg 85'!$O$11,'DMR 001C TIN &amp; TP'!$A$2:$M$2,0))),"")</f>
        <v/>
      </c>
      <c r="S134" s="6" t="str">
        <f t="array" ref="S134">_xlfn.IFNA((INDEX('DMR 001C TIN &amp; TP'!$A$3:$M$10005,MATCH(('Reg 85'!$I$6:$Q$6&amp;'Reg 85'!S$10&amp;'Reg 85'!$B134),('DMR 001C TIN &amp; TP'!$E$3:$E$10005&amp;'DMR 001C TIN &amp; TP'!$B$3:$B$10005&amp;'DMR 001C TIN &amp; TP'!$A$3:$A$10005),0),MATCH('Reg 85'!$O$11,'DMR 001C TIN &amp; TP'!$A$2:$M$2,0))),"")</f>
        <v/>
      </c>
      <c r="T134" s="6" t="str">
        <f t="array" ref="T134">_xlfn.IFNA((INDEX('DMR 001C TIN &amp; TP'!$A$3:$M$10005,MATCH(('Reg 85'!$I$6:$Q$6&amp;'Reg 85'!T$10&amp;'Reg 85'!$B134),('DMR 001C TIN &amp; TP'!$E$3:$E$10005&amp;'DMR 001C TIN &amp; TP'!$B$3:$B$10005&amp;'DMR 001C TIN &amp; TP'!$A$3:$A$10005),0),MATCH('Reg 85'!$O$11,'DMR 001C TIN &amp; TP'!$A$2:$M$2,0))),"")</f>
        <v/>
      </c>
      <c r="U134" s="6" t="str">
        <f t="array" ref="U134">_xlfn.IFNA((INDEX('DMR 001C TIN &amp; TP'!$A$3:$M$10005,MATCH(('Reg 85'!$I$6:$Q$6&amp;'Reg 85'!U$10&amp;'Reg 85'!$B134),('DMR 001C TIN &amp; TP'!$E$3:$E$10005&amp;'DMR 001C TIN &amp; TP'!$B$3:$B$10005&amp;'DMR 001C TIN &amp; TP'!$A$3:$A$10005),0),MATCH('Reg 85'!$O$11,'DMR 001C TIN &amp; TP'!$A$2:$M$2,0))),"")</f>
        <v/>
      </c>
      <c r="V134" s="6" t="str">
        <f t="array" ref="V134">_xlfn.IFNA((INDEX('DMR 001C TIN &amp; TP'!$A$3:$M$10005,MATCH(('Reg 85'!$I$6:$Q$6&amp;'Reg 85'!V$10&amp;'Reg 85'!$B134),('DMR 001C TIN &amp; TP'!$E$3:$E$10005&amp;'DMR 001C TIN &amp; TP'!$B$3:$B$10005&amp;'DMR 001C TIN &amp; TP'!$A$3:$A$10005),0),MATCH('Reg 85'!$O$11,'DMR 001C TIN &amp; TP'!$A$2:$M$2,0))),"")</f>
        <v/>
      </c>
      <c r="W134" s="6" t="str">
        <f t="array" ref="W134">_xlfn.IFNA((INDEX('DMR 001C TIN &amp; TP'!$A$3:$M$10005,MATCH(('Reg 85'!$I$6:$Q$6&amp;'Reg 85'!W$10&amp;'Reg 85'!$B134),('DMR 001C TIN &amp; TP'!$E$3:$E$10005&amp;'DMR 001C TIN &amp; TP'!$B$3:$B$10005&amp;'DMR 001C TIN &amp; TP'!$A$3:$A$10005),0),MATCH('Reg 85'!$O$11,'DMR 001C TIN &amp; TP'!$A$2:$M$2,0))),"")</f>
        <v/>
      </c>
      <c r="X134" s="5" t="str">
        <f t="shared" si="50"/>
        <v/>
      </c>
      <c r="Y134" s="6" t="str">
        <f t="array" ref="Y134">_xlfn.IFNA((INDEX('DMR 001C TIN &amp; TP'!$A$3:$M$10005,MATCH(('Reg 85'!$X$6&amp;'Reg 85'!$X$10&amp;'Reg 85'!$B134),('DMR 001C TIN &amp; TP'!$E$3:$E$10005&amp;'DMR 001C TIN &amp; TP'!$B$3:$B$10005&amp;'DMR 001C TIN &amp; TP'!$A$3:$A$10005),0),MATCH('Reg 85'!$Y$11,'DMR 001C TIN &amp; TP'!$A$2:$M$2,0))),"")</f>
        <v>0.18</v>
      </c>
      <c r="Z134" s="6">
        <f t="array" ref="Z134">_xlfn.IFNA((INDEX('DMR 001C TIN &amp; TP'!$A$3:$M$10005,MATCH(('Reg 85'!$X$6&amp;'Reg 85'!$X$10&amp;'Reg 85'!$B134),('DMR 001C TIN &amp; TP'!$E$3:$E$10005&amp;'DMR 001C TIN &amp; TP'!$B$3:$B$10005&amp;'DMR 001C TIN &amp; TP'!$A$3:$A$10005),0),MATCH('Reg 85'!$Z$11,'DMR 001C TIN &amp; TP'!$A$2:$M$2,0))),"")</f>
        <v>5.57</v>
      </c>
      <c r="AA134" s="53">
        <f t="shared" si="51"/>
        <v>5.57</v>
      </c>
      <c r="AB134" s="5" t="str">
        <f t="shared" si="52"/>
        <v/>
      </c>
      <c r="AC134" s="6" t="str">
        <f t="array" ref="AC134">_xlfn.IFNA((INDEX('DMR 001C TIN &amp; TP'!$A$3:$M$10005,MATCH(('Reg 85'!$X$6&amp;'Reg 85'!$AB$10&amp;'Reg 85'!$B134),('DMR 001C TIN &amp; TP'!$E$3:$E$10005&amp;'DMR 001C TIN &amp; TP'!$B$3:$B$10005&amp;'DMR 001C TIN &amp; TP'!$A$3:$A$10005),0),MATCH('Reg 85'!$AC$11,'DMR 001C TIN &amp; TP'!$A$2:$M$2,0))),"")</f>
        <v>0.06</v>
      </c>
      <c r="AD134" s="6">
        <f t="array" ref="AD134">_xlfn.IFNA((INDEX('DMR 001C TIN &amp; TP'!$A$3:$M$10005,MATCH(('Reg 85'!$X$6&amp;'Reg 85'!$AB$10&amp;'Reg 85'!$B134),('DMR 001C TIN &amp; TP'!$E$3:$E$10005&amp;'DMR 001C TIN &amp; TP'!$B$3:$B$10005&amp;'DMR 001C TIN &amp; TP'!$A$3:$A$10005),0),MATCH('Reg 85'!$AD$11,'DMR 001C TIN &amp; TP'!$A$2:$M$2,0))),"")</f>
        <v>7.22</v>
      </c>
      <c r="AE134" s="53">
        <f t="shared" si="53"/>
        <v>7.22</v>
      </c>
      <c r="AF134" s="7">
        <f t="shared" si="54"/>
        <v>6.5463194961130924</v>
      </c>
      <c r="AG134" s="6" t="str">
        <f t="array" ref="AG134">_xlfn.IFNA((INDEX('DMR 001C TIN &amp; TP'!$A$3:$M$10005,MATCH(('Reg 85'!$X$6&amp;'Reg 85'!AG$10&amp;'Reg 85'!$B134),('DMR 001C TIN &amp; TP'!$E$3:$E$10005&amp;'DMR 001C TIN &amp; TP'!$B$3:$B$10005&amp;'DMR 001C TIN &amp; TP'!$A$3:$A$10005),0),MATCH('Reg 85'!$AG$11,'DMR 001C TIN &amp; TP'!$A$2:$M$2,0))),"")</f>
        <v/>
      </c>
      <c r="AH134" s="6" t="str">
        <f t="array" ref="AH134">_xlfn.IFNA((INDEX('DMR 001C TIN &amp; TP'!$A$3:$M$10005,MATCH(('Reg 85'!$X$6&amp;'Reg 85'!AH$10&amp;'Reg 85'!$B134),('DMR 001C TIN &amp; TP'!$E$3:$E$10005&amp;'DMR 001C TIN &amp; TP'!$B$3:$B$10005&amp;'DMR 001C TIN &amp; TP'!$A$3:$A$10005),0),MATCH('Reg 85'!$AG$11,'DMR 001C TIN &amp; TP'!$A$2:$M$2,0))),"")</f>
        <v/>
      </c>
      <c r="AI134" s="6" t="str">
        <f t="array" ref="AI134">_xlfn.IFNA((INDEX('DMR 001C TIN &amp; TP'!$A$3:$M$10005,MATCH(('Reg 85'!$X$6&amp;'Reg 85'!AI$10&amp;'Reg 85'!$B134),('DMR 001C TIN &amp; TP'!$E$3:$E$10005&amp;'DMR 001C TIN &amp; TP'!$B$3:$B$10005&amp;'DMR 001C TIN &amp; TP'!$A$3:$A$10005),0),MATCH('Reg 85'!$AG$11,'DMR 001C TIN &amp; TP'!$A$2:$M$2,0))),"")</f>
        <v/>
      </c>
      <c r="AJ134" s="6" t="str">
        <f t="array" ref="AJ134">_xlfn.IFNA((INDEX('DMR 001C TIN &amp; TP'!$A$3:$M$10005,MATCH(('Reg 85'!$X$6&amp;'Reg 85'!AJ$10&amp;'Reg 85'!$B134),('DMR 001C TIN &amp; TP'!$E$3:$E$10005&amp;'DMR 001C TIN &amp; TP'!$B$3:$B$10005&amp;'DMR 001C TIN &amp; TP'!$A$3:$A$10005),0),MATCH('Reg 85'!$AG$11,'DMR 001C TIN &amp; TP'!$A$2:$M$2,0))),"")</f>
        <v/>
      </c>
      <c r="AK134" s="6" t="str">
        <f t="array" ref="AK134">_xlfn.IFNA((INDEX('DMR 001C TIN &amp; TP'!$A$3:$M$10005,MATCH(('Reg 85'!$X$6&amp;'Reg 85'!AK$10&amp;'Reg 85'!$B134),('DMR 001C TIN &amp; TP'!$E$3:$E$10005&amp;'DMR 001C TIN &amp; TP'!$B$3:$B$10005&amp;'DMR 001C TIN &amp; TP'!$A$3:$A$10005),0),MATCH('Reg 85'!$AG$11,'DMR 001C TIN &amp; TP'!$A$2:$M$2,0))),"")</f>
        <v/>
      </c>
      <c r="AL134" s="6" t="str">
        <f t="array" ref="AL134">_xlfn.IFNA((INDEX('DMR 001C TIN &amp; TP'!$A$3:$M$10005,MATCH(('Reg 85'!$X$6&amp;'Reg 85'!AL$10&amp;'Reg 85'!$B134),('DMR 001C TIN &amp; TP'!$E$3:$E$10005&amp;'DMR 001C TIN &amp; TP'!$B$3:$B$10005&amp;'DMR 001C TIN &amp; TP'!$A$3:$A$10005),0),MATCH('Reg 85'!$AG$11,'DMR 001C TIN &amp; TP'!$A$2:$M$2,0))),"")</f>
        <v/>
      </c>
      <c r="AM134" s="76"/>
      <c r="AN134" s="6"/>
      <c r="AO134" s="54">
        <f t="shared" si="41"/>
        <v>7.3493346589014035</v>
      </c>
      <c r="AP134" s="77" t="str">
        <f t="shared" si="60"/>
        <v/>
      </c>
      <c r="AQ134" s="47"/>
      <c r="AR134" s="6" t="str">
        <f t="array" ref="AR134">_xlfn.IFNA((INDEX('DMR 001C TIN &amp; TP'!$A$3:$M$10005,MATCH(('Reg 85'!$AQ$6&amp;'Reg 85'!$AQ$10&amp;'Reg 85'!$B134),('DMR 001C TIN &amp; TP'!$E$3:$E$10005&amp;'DMR 001C TIN &amp; TP'!$B$3:$B$10005&amp;'DMR 001C TIN &amp; TP'!$A$3:$A$10005),0),MATCH('Reg 85'!$AR$11,'DMR 001C TIN &amp; TP'!$A$2:$M$2,0))),"")</f>
        <v/>
      </c>
      <c r="AS134" s="6" t="str">
        <f t="array" ref="AS134">_xlfn.IFNA((INDEX('DMR 001C TIN &amp; TP'!$A$3:$M$10005,MATCH(('Reg 85'!$AQ$6&amp;'Reg 85'!$AQ$10&amp;'Reg 85'!$B134),('DMR 001C TIN &amp; TP'!$E$3:$E$10005&amp;'DMR 001C TIN &amp; TP'!$B$3:$B$10005&amp;'DMR 001C TIN &amp; TP'!$A$3:$A$10005),0),MATCH('Reg 85'!$AS$11,'DMR 001C TIN &amp; TP'!$A$2:$M$2,0))),"")</f>
        <v/>
      </c>
      <c r="AT134" s="53" t="str">
        <f t="shared" si="55"/>
        <v/>
      </c>
      <c r="AV134" s="6" t="str">
        <f t="array" ref="AV134">_xlfn.IFNA((INDEX('DMR 001C TIN &amp; TP'!$A$3:$M$10005,MATCH(('Reg 85'!$AQ$6&amp;'Reg 85'!$AU$10&amp;'Reg 85'!$B134),('DMR 001C TIN &amp; TP'!$E$3:$E$10005&amp;'DMR 001C TIN &amp; TP'!$B$3:$B$10005&amp;'DMR 001C TIN &amp; TP'!$A$3:$A$10005),0),MATCH('Reg 85'!$AV$11,'DMR 001C TIN &amp; TP'!$A$2:$M$2,0))),"")</f>
        <v/>
      </c>
      <c r="AW134" s="6" t="str">
        <f t="array" ref="AW134">_xlfn.IFNA((INDEX('DMR 001C TIN &amp; TP'!$A$3:$M$10005,MATCH(('Reg 85'!$AQ$6&amp;'Reg 85'!$AU$10&amp;'Reg 85'!$B134),('DMR 001C TIN &amp; TP'!$E$3:$E$10005&amp;'DMR 001C TIN &amp; TP'!$B$3:$B$10005&amp;'DMR 001C TIN &amp; TP'!$A$3:$A$10005),0),MATCH('Reg 85'!$AW$11,'DMR 001C TIN &amp; TP'!$A$2:$M$2,0))),"")</f>
        <v/>
      </c>
      <c r="AX134" s="53" t="str">
        <f t="shared" si="56"/>
        <v/>
      </c>
      <c r="AY134" s="55" t="str">
        <f t="shared" si="57"/>
        <v/>
      </c>
      <c r="AZ134" s="77" t="str">
        <f t="shared" si="61"/>
        <v/>
      </c>
      <c r="BA134" s="6" t="str">
        <f t="array" ref="BA134">_xlfn.IFNA((INDEX('DMR 001C TIN &amp; TP'!$A$3:$M$10005,MATCH(('Reg 85'!$AQ$6&amp;'Reg 85'!BA$10&amp;'Reg 85'!$B134),('DMR 001C TIN &amp; TP'!$E$3:$E$10005&amp;'DMR 001C TIN &amp; TP'!$B$3:$B$10005&amp;'DMR 001C TIN &amp; TP'!$A$3:$A$10005),0),MATCH('Reg 85'!$AG$11,'DMR 001C TIN &amp; TP'!$A$2:$M$2,0))),"")</f>
        <v/>
      </c>
      <c r="BB134" s="6" t="str">
        <f t="array" ref="BB134">_xlfn.IFNA((INDEX('DMR 001C TIN &amp; TP'!$A$3:$M$10005,MATCH(('Reg 85'!$AQ$6&amp;'Reg 85'!BB$10&amp;'Reg 85'!$B134),('DMR 001C TIN &amp; TP'!$E$3:$E$10005&amp;'DMR 001C TIN &amp; TP'!$B$3:$B$10005&amp;'DMR 001C TIN &amp; TP'!$A$3:$A$10005),0),MATCH('Reg 85'!$AG$11,'DMR 001C TIN &amp; TP'!$A$2:$M$2,0))),"")</f>
        <v/>
      </c>
      <c r="BC134" s="6" t="str">
        <f t="array" ref="BC134">_xlfn.IFNA((INDEX('DMR 001C TIN &amp; TP'!$A$3:$M$10005,MATCH(('Reg 85'!$AQ$6&amp;'Reg 85'!BC$10&amp;'Reg 85'!$B134),('DMR 001C TIN &amp; TP'!$E$3:$E$10005&amp;'DMR 001C TIN &amp; TP'!$B$3:$B$10005&amp;'DMR 001C TIN &amp; TP'!$A$3:$A$10005),0),MATCH('Reg 85'!$AG$11,'DMR 001C TIN &amp; TP'!$A$2:$M$2,0))),"")</f>
        <v/>
      </c>
      <c r="BD134" s="6" t="str">
        <f t="array" ref="BD134">_xlfn.IFNA((INDEX('DMR 001C TIN &amp; TP'!$A$3:$M$10005,MATCH(('Reg 85'!$AQ$6&amp;'Reg 85'!BD$10&amp;'Reg 85'!$B134),('DMR 001C TIN &amp; TP'!$E$3:$E$10005&amp;'DMR 001C TIN &amp; TP'!$B$3:$B$10005&amp;'DMR 001C TIN &amp; TP'!$A$3:$A$10005),0),MATCH('Reg 85'!$AG$11,'DMR 001C TIN &amp; TP'!$A$2:$M$2,0))),"")</f>
        <v/>
      </c>
      <c r="BE134" s="6" t="str">
        <f t="array" ref="BE134">_xlfn.IFNA((INDEX('DMR 001C TIN &amp; TP'!$A$3:$M$10005,MATCH(('Reg 85'!$AQ$6&amp;'Reg 85'!BE$10&amp;'Reg 85'!$B134),('DMR 001C TIN &amp; TP'!$E$3:$E$10005&amp;'DMR 001C TIN &amp; TP'!$B$3:$B$10005&amp;'DMR 001C TIN &amp; TP'!$A$3:$A$10005),0),MATCH('Reg 85'!$AG$11,'DMR 001C TIN &amp; TP'!$A$2:$M$2,0))),"")</f>
        <v/>
      </c>
      <c r="BF134" s="6" t="str">
        <f t="array" ref="BF134">_xlfn.IFNA((INDEX('DMR 001C TIN &amp; TP'!$A$3:$M$10005,MATCH(('Reg 85'!$AQ$6&amp;'Reg 85'!BF$10&amp;'Reg 85'!$B134),('DMR 001C TIN &amp; TP'!$E$3:$E$10005&amp;'DMR 001C TIN &amp; TP'!$B$3:$B$10005&amp;'DMR 001C TIN &amp; TP'!$A$3:$A$10005),0),MATCH('Reg 85'!$AG$11,'DMR 001C TIN &amp; TP'!$A$2:$M$2,0))),"")</f>
        <v/>
      </c>
    </row>
    <row r="135" spans="1:58">
      <c r="A135" s="3" t="str">
        <f t="shared" si="42"/>
        <v>Wed</v>
      </c>
      <c r="B135" s="96">
        <f t="shared" si="58"/>
        <v>43467</v>
      </c>
      <c r="C135" s="96">
        <f t="shared" si="43"/>
        <v>43496</v>
      </c>
      <c r="D135" s="96">
        <f t="shared" si="44"/>
        <v>43466</v>
      </c>
      <c r="E135" s="95">
        <f t="shared" si="45"/>
        <v>31</v>
      </c>
      <c r="F135" s="7">
        <f t="array" ref="F135">_xlfn.IFNA(INDEX('DMR Flows-Effluent'!$A$3:$F$9999,MATCH(($F$10&amp;$B135),('DMR Flows-Effluent'!$B$3:$B$9999&amp;'DMR Flows-Effluent'!$A$3:$A$9999),0),MATCH($F$8,'DMR Flows-Effluent'!$A$2:$F$2,0)),"")</f>
        <v>47.084299999999999</v>
      </c>
      <c r="G135" s="7">
        <f t="array" ref="G135">_xlfn.IFNA(INDEX('DMR Flows-Effluent'!$A$3:$F$9999,MATCH(($G$10&amp;$B135),('DMR Flows-Effluent'!$B$3:$B$9999&amp;'DMR Flows-Effluent'!$A$3:$A$9999),0),MATCH($F$8,'DMR Flows-Effluent'!$A$2:$F$2,0)),"")</f>
        <v>71.335300000000004</v>
      </c>
      <c r="H135" s="7">
        <f t="shared" si="46"/>
        <v>118.4196</v>
      </c>
      <c r="I135" s="45" t="str">
        <f t="shared" si="47"/>
        <v/>
      </c>
      <c r="J135" s="6" t="str">
        <f t="array" ref="J135">_xlfn.IFNA((INDEX('DMR 001C TIN &amp; TP'!$A$3:$M$10005,MATCH(('Reg 85'!$I$6:$Q$6&amp;'Reg 85'!$I$10:$K$10&amp;'Reg 85'!$B135),('DMR 001C TIN &amp; TP'!$E$3:$E$10005&amp;'DMR 001C TIN &amp; TP'!$B$3:$B$10005&amp;'DMR 001C TIN &amp; TP'!$A$3:$A$10005),0),MATCH('Reg 85'!$J$11,'DMR 001C TIN &amp; TP'!$A$2:$M$2,0))),"")</f>
        <v>0.15</v>
      </c>
      <c r="K135" s="6" t="str">
        <f t="array" ref="K135">_xlfn.IFNA((INDEX('DMR 001C TIN &amp; TP'!$A$3:$M$10005,MATCH(('Reg 85'!$I$6:$Q$6&amp;'Reg 85'!$I$10:$K$10&amp;'Reg 85'!$B135),('DMR 001C TIN &amp; TP'!$E$3:$E$10005&amp;'DMR 001C TIN &amp; TP'!$B$3:$B$10005&amp;'DMR 001C TIN &amp; TP'!$A$3:$A$10005),0),MATCH('Reg 85'!$K$11,'DMR 001C TIN &amp; TP'!$A$2:$M$2,0))),"")</f>
        <v>Scratched</v>
      </c>
      <c r="L135" s="53" t="str">
        <f t="shared" si="59"/>
        <v/>
      </c>
      <c r="M135" s="5" t="str">
        <f t="shared" si="48"/>
        <v/>
      </c>
      <c r="N135" s="6" t="str">
        <f t="array" ref="N135">_xlfn.IFNA((INDEX('DMR 001C TIN &amp; TP'!$A$3:$M$10005,MATCH(('Reg 85'!$I$6:$Q$6&amp;'Reg 85'!$M$10&amp;'Reg 85'!$B135),('DMR 001C TIN &amp; TP'!$E$3:$E$10005&amp;'DMR 001C TIN &amp; TP'!$B$3:$B$10005&amp;'DMR 001C TIN &amp; TP'!$A$3:$A$10005),0),MATCH('Reg 85'!$N$11,'DMR 001C TIN &amp; TP'!$A$2:$M$2,0))),"")</f>
        <v>0.15</v>
      </c>
      <c r="O135" s="6" t="str">
        <f t="array" ref="O135">_xlfn.IFNA((INDEX('DMR 001C TIN &amp; TP'!$A$3:$M$10005,MATCH(('Reg 85'!$I$6:$Q$6&amp;'Reg 85'!$M$10&amp;'Reg 85'!$B135),('DMR 001C TIN &amp; TP'!$E$3:$E$10005&amp;'DMR 001C TIN &amp; TP'!$B$3:$B$10005&amp;'DMR 001C TIN &amp; TP'!$A$3:$A$10005),0),MATCH('Reg 85'!$O$11,'DMR 001C TIN &amp; TP'!$A$2:$M$2,0))),"")</f>
        <v>Scratched</v>
      </c>
      <c r="P135" s="53" t="str">
        <f t="shared" si="49"/>
        <v/>
      </c>
      <c r="Q135" s="73" t="str">
        <f t="array" ref="Q135">IFERROR(((L135*$F135)+(P135*$G135))/($H135),"")</f>
        <v/>
      </c>
      <c r="R135" s="6" t="str">
        <f t="array" ref="R135">_xlfn.IFNA((INDEX('DMR 001C TIN &amp; TP'!$A$3:$M$10005,MATCH(('Reg 85'!$I$6:$Q$6&amp;'Reg 85'!R$10&amp;'Reg 85'!$B135),('DMR 001C TIN &amp; TP'!$E$3:$E$10005&amp;'DMR 001C TIN &amp; TP'!$B$3:$B$10005&amp;'DMR 001C TIN &amp; TP'!$A$3:$A$10005),0),MATCH('Reg 85'!$O$11,'DMR 001C TIN &amp; TP'!$A$2:$M$2,0))),"")</f>
        <v/>
      </c>
      <c r="S135" s="6" t="str">
        <f t="array" ref="S135">_xlfn.IFNA((INDEX('DMR 001C TIN &amp; TP'!$A$3:$M$10005,MATCH(('Reg 85'!$I$6:$Q$6&amp;'Reg 85'!S$10&amp;'Reg 85'!$B135),('DMR 001C TIN &amp; TP'!$E$3:$E$10005&amp;'DMR 001C TIN &amp; TP'!$B$3:$B$10005&amp;'DMR 001C TIN &amp; TP'!$A$3:$A$10005),0),MATCH('Reg 85'!$O$11,'DMR 001C TIN &amp; TP'!$A$2:$M$2,0))),"")</f>
        <v/>
      </c>
      <c r="T135" s="6" t="str">
        <f t="array" ref="T135">_xlfn.IFNA((INDEX('DMR 001C TIN &amp; TP'!$A$3:$M$10005,MATCH(('Reg 85'!$I$6:$Q$6&amp;'Reg 85'!T$10&amp;'Reg 85'!$B135),('DMR 001C TIN &amp; TP'!$E$3:$E$10005&amp;'DMR 001C TIN &amp; TP'!$B$3:$B$10005&amp;'DMR 001C TIN &amp; TP'!$A$3:$A$10005),0),MATCH('Reg 85'!$O$11,'DMR 001C TIN &amp; TP'!$A$2:$M$2,0))),"")</f>
        <v/>
      </c>
      <c r="U135" s="6" t="str">
        <f t="array" ref="U135">_xlfn.IFNA((INDEX('DMR 001C TIN &amp; TP'!$A$3:$M$10005,MATCH(('Reg 85'!$I$6:$Q$6&amp;'Reg 85'!U$10&amp;'Reg 85'!$B135),('DMR 001C TIN &amp; TP'!$E$3:$E$10005&amp;'DMR 001C TIN &amp; TP'!$B$3:$B$10005&amp;'DMR 001C TIN &amp; TP'!$A$3:$A$10005),0),MATCH('Reg 85'!$O$11,'DMR 001C TIN &amp; TP'!$A$2:$M$2,0))),"")</f>
        <v/>
      </c>
      <c r="V135" s="6" t="str">
        <f t="array" ref="V135">_xlfn.IFNA((INDEX('DMR 001C TIN &amp; TP'!$A$3:$M$10005,MATCH(('Reg 85'!$I$6:$Q$6&amp;'Reg 85'!V$10&amp;'Reg 85'!$B135),('DMR 001C TIN &amp; TP'!$E$3:$E$10005&amp;'DMR 001C TIN &amp; TP'!$B$3:$B$10005&amp;'DMR 001C TIN &amp; TP'!$A$3:$A$10005),0),MATCH('Reg 85'!$O$11,'DMR 001C TIN &amp; TP'!$A$2:$M$2,0))),"")</f>
        <v/>
      </c>
      <c r="W135" s="6" t="str">
        <f t="array" ref="W135">_xlfn.IFNA((INDEX('DMR 001C TIN &amp; TP'!$A$3:$M$10005,MATCH(('Reg 85'!$I$6:$Q$6&amp;'Reg 85'!W$10&amp;'Reg 85'!$B135),('DMR 001C TIN &amp; TP'!$E$3:$E$10005&amp;'DMR 001C TIN &amp; TP'!$B$3:$B$10005&amp;'DMR 001C TIN &amp; TP'!$A$3:$A$10005),0),MATCH('Reg 85'!$O$11,'DMR 001C TIN &amp; TP'!$A$2:$M$2,0))),"")</f>
        <v/>
      </c>
      <c r="X135" s="5" t="str">
        <f t="shared" si="50"/>
        <v/>
      </c>
      <c r="Y135" s="6" t="str">
        <f t="array" ref="Y135">_xlfn.IFNA((INDEX('DMR 001C TIN &amp; TP'!$A$3:$M$10005,MATCH(('Reg 85'!$X$6&amp;'Reg 85'!$X$10&amp;'Reg 85'!$B135),('DMR 001C TIN &amp; TP'!$E$3:$E$10005&amp;'DMR 001C TIN &amp; TP'!$B$3:$B$10005&amp;'DMR 001C TIN &amp; TP'!$A$3:$A$10005),0),MATCH('Reg 85'!$Y$11,'DMR 001C TIN &amp; TP'!$A$2:$M$2,0))),"")</f>
        <v>0.06</v>
      </c>
      <c r="Z135" s="6" t="str">
        <f t="array" ref="Z135">_xlfn.IFNA((INDEX('DMR 001C TIN &amp; TP'!$A$3:$M$10005,MATCH(('Reg 85'!$X$6&amp;'Reg 85'!$X$10&amp;'Reg 85'!$B135),('DMR 001C TIN &amp; TP'!$E$3:$E$10005&amp;'DMR 001C TIN &amp; TP'!$B$3:$B$10005&amp;'DMR 001C TIN &amp; TP'!$A$3:$A$10005),0),MATCH('Reg 85'!$Z$11,'DMR 001C TIN &amp; TP'!$A$2:$M$2,0))),"")</f>
        <v>Scratched</v>
      </c>
      <c r="AA135" s="53" t="str">
        <f t="shared" si="51"/>
        <v/>
      </c>
      <c r="AB135" s="5" t="str">
        <f t="shared" si="52"/>
        <v/>
      </c>
      <c r="AC135" s="6" t="str">
        <f t="array" ref="AC135">_xlfn.IFNA((INDEX('DMR 001C TIN &amp; TP'!$A$3:$M$10005,MATCH(('Reg 85'!$X$6&amp;'Reg 85'!$AB$10&amp;'Reg 85'!$B135),('DMR 001C TIN &amp; TP'!$E$3:$E$10005&amp;'DMR 001C TIN &amp; TP'!$B$3:$B$10005&amp;'DMR 001C TIN &amp; TP'!$A$3:$A$10005),0),MATCH('Reg 85'!$AC$11,'DMR 001C TIN &amp; TP'!$A$2:$M$2,0))),"")</f>
        <v>0.06</v>
      </c>
      <c r="AD135" s="6" t="str">
        <f t="array" ref="AD135">_xlfn.IFNA((INDEX('DMR 001C TIN &amp; TP'!$A$3:$M$10005,MATCH(('Reg 85'!$X$6&amp;'Reg 85'!$AB$10&amp;'Reg 85'!$B135),('DMR 001C TIN &amp; TP'!$E$3:$E$10005&amp;'DMR 001C TIN &amp; TP'!$B$3:$B$10005&amp;'DMR 001C TIN &amp; TP'!$A$3:$A$10005),0),MATCH('Reg 85'!$AD$11,'DMR 001C TIN &amp; TP'!$A$2:$M$2,0))),"")</f>
        <v>Scratched</v>
      </c>
      <c r="AE135" s="53" t="str">
        <f t="shared" si="53"/>
        <v/>
      </c>
      <c r="AF135" s="7" t="str">
        <f t="shared" si="54"/>
        <v/>
      </c>
      <c r="AG135" s="6" t="str">
        <f t="array" ref="AG135">_xlfn.IFNA((INDEX('DMR 001C TIN &amp; TP'!$A$3:$M$10005,MATCH(('Reg 85'!$X$6&amp;'Reg 85'!AG$10&amp;'Reg 85'!$B135),('DMR 001C TIN &amp; TP'!$E$3:$E$10005&amp;'DMR 001C TIN &amp; TP'!$B$3:$B$10005&amp;'DMR 001C TIN &amp; TP'!$A$3:$A$10005),0),MATCH('Reg 85'!$AG$11,'DMR 001C TIN &amp; TP'!$A$2:$M$2,0))),"")</f>
        <v/>
      </c>
      <c r="AH135" s="6" t="str">
        <f t="array" ref="AH135">_xlfn.IFNA((INDEX('DMR 001C TIN &amp; TP'!$A$3:$M$10005,MATCH(('Reg 85'!$X$6&amp;'Reg 85'!AH$10&amp;'Reg 85'!$B135),('DMR 001C TIN &amp; TP'!$E$3:$E$10005&amp;'DMR 001C TIN &amp; TP'!$B$3:$B$10005&amp;'DMR 001C TIN &amp; TP'!$A$3:$A$10005),0),MATCH('Reg 85'!$AG$11,'DMR 001C TIN &amp; TP'!$A$2:$M$2,0))),"")</f>
        <v/>
      </c>
      <c r="AI135" s="6" t="str">
        <f t="array" ref="AI135">_xlfn.IFNA((INDEX('DMR 001C TIN &amp; TP'!$A$3:$M$10005,MATCH(('Reg 85'!$X$6&amp;'Reg 85'!AI$10&amp;'Reg 85'!$B135),('DMR 001C TIN &amp; TP'!$E$3:$E$10005&amp;'DMR 001C TIN &amp; TP'!$B$3:$B$10005&amp;'DMR 001C TIN &amp; TP'!$A$3:$A$10005),0),MATCH('Reg 85'!$AG$11,'DMR 001C TIN &amp; TP'!$A$2:$M$2,0))),"")</f>
        <v/>
      </c>
      <c r="AJ135" s="6" t="str">
        <f t="array" ref="AJ135">_xlfn.IFNA((INDEX('DMR 001C TIN &amp; TP'!$A$3:$M$10005,MATCH(('Reg 85'!$X$6&amp;'Reg 85'!AJ$10&amp;'Reg 85'!$B135),('DMR 001C TIN &amp; TP'!$E$3:$E$10005&amp;'DMR 001C TIN &amp; TP'!$B$3:$B$10005&amp;'DMR 001C TIN &amp; TP'!$A$3:$A$10005),0),MATCH('Reg 85'!$AG$11,'DMR 001C TIN &amp; TP'!$A$2:$M$2,0))),"")</f>
        <v/>
      </c>
      <c r="AK135" s="6" t="str">
        <f t="array" ref="AK135">_xlfn.IFNA((INDEX('DMR 001C TIN &amp; TP'!$A$3:$M$10005,MATCH(('Reg 85'!$X$6&amp;'Reg 85'!AK$10&amp;'Reg 85'!$B135),('DMR 001C TIN &amp; TP'!$E$3:$E$10005&amp;'DMR 001C TIN &amp; TP'!$B$3:$B$10005&amp;'DMR 001C TIN &amp; TP'!$A$3:$A$10005),0),MATCH('Reg 85'!$AG$11,'DMR 001C TIN &amp; TP'!$A$2:$M$2,0))),"")</f>
        <v/>
      </c>
      <c r="AL135" s="6" t="str">
        <f t="array" ref="AL135">_xlfn.IFNA((INDEX('DMR 001C TIN &amp; TP'!$A$3:$M$10005,MATCH(('Reg 85'!$X$6&amp;'Reg 85'!AL$10&amp;'Reg 85'!$B135),('DMR 001C TIN &amp; TP'!$E$3:$E$10005&amp;'DMR 001C TIN &amp; TP'!$B$3:$B$10005&amp;'DMR 001C TIN &amp; TP'!$A$3:$A$10005),0),MATCH('Reg 85'!$AG$11,'DMR 001C TIN &amp; TP'!$A$2:$M$2,0))),"")</f>
        <v/>
      </c>
      <c r="AM135" s="76"/>
      <c r="AN135" s="6"/>
      <c r="AO135" s="54" t="str">
        <f t="shared" si="41"/>
        <v/>
      </c>
      <c r="AP135" s="77" t="str">
        <f t="shared" si="60"/>
        <v/>
      </c>
      <c r="AQ135" s="47"/>
      <c r="AR135" s="6" t="str">
        <f t="array" ref="AR135">_xlfn.IFNA((INDEX('DMR 001C TIN &amp; TP'!$A$3:$M$10005,MATCH(('Reg 85'!$AQ$6&amp;'Reg 85'!$AQ$10&amp;'Reg 85'!$B135),('DMR 001C TIN &amp; TP'!$E$3:$E$10005&amp;'DMR 001C TIN &amp; TP'!$B$3:$B$10005&amp;'DMR 001C TIN &amp; TP'!$A$3:$A$10005),0),MATCH('Reg 85'!$AR$11,'DMR 001C TIN &amp; TP'!$A$2:$M$2,0))),"")</f>
        <v/>
      </c>
      <c r="AS135" s="6" t="str">
        <f t="array" ref="AS135">_xlfn.IFNA((INDEX('DMR 001C TIN &amp; TP'!$A$3:$M$10005,MATCH(('Reg 85'!$AQ$6&amp;'Reg 85'!$AQ$10&amp;'Reg 85'!$B135),('DMR 001C TIN &amp; TP'!$E$3:$E$10005&amp;'DMR 001C TIN &amp; TP'!$B$3:$B$10005&amp;'DMR 001C TIN &amp; TP'!$A$3:$A$10005),0),MATCH('Reg 85'!$AS$11,'DMR 001C TIN &amp; TP'!$A$2:$M$2,0))),"")</f>
        <v/>
      </c>
      <c r="AT135" s="53" t="str">
        <f t="shared" si="55"/>
        <v/>
      </c>
      <c r="AV135" s="6" t="str">
        <f t="array" ref="AV135">_xlfn.IFNA((INDEX('DMR 001C TIN &amp; TP'!$A$3:$M$10005,MATCH(('Reg 85'!$AQ$6&amp;'Reg 85'!$AU$10&amp;'Reg 85'!$B135),('DMR 001C TIN &amp; TP'!$E$3:$E$10005&amp;'DMR 001C TIN &amp; TP'!$B$3:$B$10005&amp;'DMR 001C TIN &amp; TP'!$A$3:$A$10005),0),MATCH('Reg 85'!$AV$11,'DMR 001C TIN &amp; TP'!$A$2:$M$2,0))),"")</f>
        <v/>
      </c>
      <c r="AW135" s="6" t="str">
        <f t="array" ref="AW135">_xlfn.IFNA((INDEX('DMR 001C TIN &amp; TP'!$A$3:$M$10005,MATCH(('Reg 85'!$AQ$6&amp;'Reg 85'!$AU$10&amp;'Reg 85'!$B135),('DMR 001C TIN &amp; TP'!$E$3:$E$10005&amp;'DMR 001C TIN &amp; TP'!$B$3:$B$10005&amp;'DMR 001C TIN &amp; TP'!$A$3:$A$10005),0),MATCH('Reg 85'!$AW$11,'DMR 001C TIN &amp; TP'!$A$2:$M$2,0))),"")</f>
        <v/>
      </c>
      <c r="AX135" s="53" t="str">
        <f t="shared" si="56"/>
        <v/>
      </c>
      <c r="AY135" s="55" t="str">
        <f t="shared" si="57"/>
        <v/>
      </c>
      <c r="AZ135" s="77" t="str">
        <f t="shared" si="61"/>
        <v/>
      </c>
      <c r="BA135" s="6" t="str">
        <f t="array" ref="BA135">_xlfn.IFNA((INDEX('DMR 001C TIN &amp; TP'!$A$3:$M$10005,MATCH(('Reg 85'!$AQ$6&amp;'Reg 85'!BA$10&amp;'Reg 85'!$B135),('DMR 001C TIN &amp; TP'!$E$3:$E$10005&amp;'DMR 001C TIN &amp; TP'!$B$3:$B$10005&amp;'DMR 001C TIN &amp; TP'!$A$3:$A$10005),0),MATCH('Reg 85'!$AG$11,'DMR 001C TIN &amp; TP'!$A$2:$M$2,0))),"")</f>
        <v/>
      </c>
      <c r="BB135" s="6" t="str">
        <f t="array" ref="BB135">_xlfn.IFNA((INDEX('DMR 001C TIN &amp; TP'!$A$3:$M$10005,MATCH(('Reg 85'!$AQ$6&amp;'Reg 85'!BB$10&amp;'Reg 85'!$B135),('DMR 001C TIN &amp; TP'!$E$3:$E$10005&amp;'DMR 001C TIN &amp; TP'!$B$3:$B$10005&amp;'DMR 001C TIN &amp; TP'!$A$3:$A$10005),0),MATCH('Reg 85'!$AG$11,'DMR 001C TIN &amp; TP'!$A$2:$M$2,0))),"")</f>
        <v/>
      </c>
      <c r="BC135" s="6" t="str">
        <f t="array" ref="BC135">_xlfn.IFNA((INDEX('DMR 001C TIN &amp; TP'!$A$3:$M$10005,MATCH(('Reg 85'!$AQ$6&amp;'Reg 85'!BC$10&amp;'Reg 85'!$B135),('DMR 001C TIN &amp; TP'!$E$3:$E$10005&amp;'DMR 001C TIN &amp; TP'!$B$3:$B$10005&amp;'DMR 001C TIN &amp; TP'!$A$3:$A$10005),0),MATCH('Reg 85'!$AG$11,'DMR 001C TIN &amp; TP'!$A$2:$M$2,0))),"")</f>
        <v/>
      </c>
      <c r="BD135" s="6" t="str">
        <f t="array" ref="BD135">_xlfn.IFNA((INDEX('DMR 001C TIN &amp; TP'!$A$3:$M$10005,MATCH(('Reg 85'!$AQ$6&amp;'Reg 85'!BD$10&amp;'Reg 85'!$B135),('DMR 001C TIN &amp; TP'!$E$3:$E$10005&amp;'DMR 001C TIN &amp; TP'!$B$3:$B$10005&amp;'DMR 001C TIN &amp; TP'!$A$3:$A$10005),0),MATCH('Reg 85'!$AG$11,'DMR 001C TIN &amp; TP'!$A$2:$M$2,0))),"")</f>
        <v/>
      </c>
      <c r="BE135" s="6" t="str">
        <f t="array" ref="BE135">_xlfn.IFNA((INDEX('DMR 001C TIN &amp; TP'!$A$3:$M$10005,MATCH(('Reg 85'!$AQ$6&amp;'Reg 85'!BE$10&amp;'Reg 85'!$B135),('DMR 001C TIN &amp; TP'!$E$3:$E$10005&amp;'DMR 001C TIN &amp; TP'!$B$3:$B$10005&amp;'DMR 001C TIN &amp; TP'!$A$3:$A$10005),0),MATCH('Reg 85'!$AG$11,'DMR 001C TIN &amp; TP'!$A$2:$M$2,0))),"")</f>
        <v/>
      </c>
      <c r="BF135" s="6" t="str">
        <f t="array" ref="BF135">_xlfn.IFNA((INDEX('DMR 001C TIN &amp; TP'!$A$3:$M$10005,MATCH(('Reg 85'!$AQ$6&amp;'Reg 85'!BF$10&amp;'Reg 85'!$B135),('DMR 001C TIN &amp; TP'!$E$3:$E$10005&amp;'DMR 001C TIN &amp; TP'!$B$3:$B$10005&amp;'DMR 001C TIN &amp; TP'!$A$3:$A$10005),0),MATCH('Reg 85'!$AG$11,'DMR 001C TIN &amp; TP'!$A$2:$M$2,0))),"")</f>
        <v/>
      </c>
    </row>
    <row r="136" spans="1:58">
      <c r="A136" s="3" t="str">
        <f t="shared" si="42"/>
        <v>Thu</v>
      </c>
      <c r="B136" s="96">
        <f t="shared" si="58"/>
        <v>43468</v>
      </c>
      <c r="C136" s="96">
        <f t="shared" si="43"/>
        <v>43496</v>
      </c>
      <c r="D136" s="96">
        <f t="shared" si="44"/>
        <v>43466</v>
      </c>
      <c r="E136" s="95">
        <f t="shared" si="45"/>
        <v>31</v>
      </c>
      <c r="F136" s="7">
        <f t="array" ref="F136">_xlfn.IFNA(INDEX('DMR Flows-Effluent'!$A$3:$F$9999,MATCH(($F$10&amp;$B136),('DMR Flows-Effluent'!$B$3:$B$9999&amp;'DMR Flows-Effluent'!$A$3:$A$9999),0),MATCH($F$8,'DMR Flows-Effluent'!$A$2:$F$2,0)),"")</f>
        <v>46.247</v>
      </c>
      <c r="G136" s="7">
        <f t="array" ref="G136">_xlfn.IFNA(INDEX('DMR Flows-Effluent'!$A$3:$F$9999,MATCH(($G$10&amp;$B136),('DMR Flows-Effluent'!$B$3:$B$9999&amp;'DMR Flows-Effluent'!$A$3:$A$9999),0),MATCH($F$8,'DMR Flows-Effluent'!$A$2:$F$2,0)),"")</f>
        <v>74.260599999999997</v>
      </c>
      <c r="H136" s="7">
        <f t="shared" si="46"/>
        <v>120.5076</v>
      </c>
      <c r="I136" s="45" t="str">
        <f t="shared" si="47"/>
        <v/>
      </c>
      <c r="J136" s="6" t="str">
        <f t="array" ref="J136">_xlfn.IFNA((INDEX('DMR 001C TIN &amp; TP'!$A$3:$M$10005,MATCH(('Reg 85'!$I$6:$Q$6&amp;'Reg 85'!$I$10:$K$10&amp;'Reg 85'!$B136),('DMR 001C TIN &amp; TP'!$E$3:$E$10005&amp;'DMR 001C TIN &amp; TP'!$B$3:$B$10005&amp;'DMR 001C TIN &amp; TP'!$A$3:$A$10005),0),MATCH('Reg 85'!$J$11,'DMR 001C TIN &amp; TP'!$A$2:$M$2,0))),"")</f>
        <v/>
      </c>
      <c r="K136" s="6" t="str">
        <f t="array" ref="K136">_xlfn.IFNA((INDEX('DMR 001C TIN &amp; TP'!$A$3:$M$10005,MATCH(('Reg 85'!$I$6:$Q$6&amp;'Reg 85'!$I$10:$K$10&amp;'Reg 85'!$B136),('DMR 001C TIN &amp; TP'!$E$3:$E$10005&amp;'DMR 001C TIN &amp; TP'!$B$3:$B$10005&amp;'DMR 001C TIN &amp; TP'!$A$3:$A$10005),0),MATCH('Reg 85'!$K$11,'DMR 001C TIN &amp; TP'!$A$2:$M$2,0))),"")</f>
        <v/>
      </c>
      <c r="L136" s="53" t="str">
        <f t="shared" si="59"/>
        <v/>
      </c>
      <c r="M136" s="5" t="str">
        <f t="shared" si="48"/>
        <v/>
      </c>
      <c r="N136" s="6" t="str">
        <f t="array" ref="N136">_xlfn.IFNA((INDEX('DMR 001C TIN &amp; TP'!$A$3:$M$10005,MATCH(('Reg 85'!$I$6:$Q$6&amp;'Reg 85'!$M$10&amp;'Reg 85'!$B136),('DMR 001C TIN &amp; TP'!$E$3:$E$10005&amp;'DMR 001C TIN &amp; TP'!$B$3:$B$10005&amp;'DMR 001C TIN &amp; TP'!$A$3:$A$10005),0),MATCH('Reg 85'!$N$11,'DMR 001C TIN &amp; TP'!$A$2:$M$2,0))),"")</f>
        <v/>
      </c>
      <c r="O136" s="6" t="str">
        <f t="array" ref="O136">_xlfn.IFNA((INDEX('DMR 001C TIN &amp; TP'!$A$3:$M$10005,MATCH(('Reg 85'!$I$6:$Q$6&amp;'Reg 85'!$M$10&amp;'Reg 85'!$B136),('DMR 001C TIN &amp; TP'!$E$3:$E$10005&amp;'DMR 001C TIN &amp; TP'!$B$3:$B$10005&amp;'DMR 001C TIN &amp; TP'!$A$3:$A$10005),0),MATCH('Reg 85'!$O$11,'DMR 001C TIN &amp; TP'!$A$2:$M$2,0))),"")</f>
        <v/>
      </c>
      <c r="P136" s="53" t="str">
        <f t="shared" si="49"/>
        <v/>
      </c>
      <c r="Q136" s="73" t="str">
        <f t="array" ref="Q136">IFERROR(((L136*$F136)+(P136*$G136))/($H136),"")</f>
        <v/>
      </c>
      <c r="R136" s="6" t="str">
        <f t="array" ref="R136">_xlfn.IFNA((INDEX('DMR 001C TIN &amp; TP'!$A$3:$M$10005,MATCH(('Reg 85'!$I$6:$Q$6&amp;'Reg 85'!R$10&amp;'Reg 85'!$B136),('DMR 001C TIN &amp; TP'!$E$3:$E$10005&amp;'DMR 001C TIN &amp; TP'!$B$3:$B$10005&amp;'DMR 001C TIN &amp; TP'!$A$3:$A$10005),0),MATCH('Reg 85'!$O$11,'DMR 001C TIN &amp; TP'!$A$2:$M$2,0))),"")</f>
        <v/>
      </c>
      <c r="S136" s="6" t="str">
        <f t="array" ref="S136">_xlfn.IFNA((INDEX('DMR 001C TIN &amp; TP'!$A$3:$M$10005,MATCH(('Reg 85'!$I$6:$Q$6&amp;'Reg 85'!S$10&amp;'Reg 85'!$B136),('DMR 001C TIN &amp; TP'!$E$3:$E$10005&amp;'DMR 001C TIN &amp; TP'!$B$3:$B$10005&amp;'DMR 001C TIN &amp; TP'!$A$3:$A$10005),0),MATCH('Reg 85'!$O$11,'DMR 001C TIN &amp; TP'!$A$2:$M$2,0))),"")</f>
        <v/>
      </c>
      <c r="T136" s="6" t="str">
        <f t="array" ref="T136">_xlfn.IFNA((INDEX('DMR 001C TIN &amp; TP'!$A$3:$M$10005,MATCH(('Reg 85'!$I$6:$Q$6&amp;'Reg 85'!T$10&amp;'Reg 85'!$B136),('DMR 001C TIN &amp; TP'!$E$3:$E$10005&amp;'DMR 001C TIN &amp; TP'!$B$3:$B$10005&amp;'DMR 001C TIN &amp; TP'!$A$3:$A$10005),0),MATCH('Reg 85'!$O$11,'DMR 001C TIN &amp; TP'!$A$2:$M$2,0))),"")</f>
        <v/>
      </c>
      <c r="U136" s="6" t="str">
        <f t="array" ref="U136">_xlfn.IFNA((INDEX('DMR 001C TIN &amp; TP'!$A$3:$M$10005,MATCH(('Reg 85'!$I$6:$Q$6&amp;'Reg 85'!U$10&amp;'Reg 85'!$B136),('DMR 001C TIN &amp; TP'!$E$3:$E$10005&amp;'DMR 001C TIN &amp; TP'!$B$3:$B$10005&amp;'DMR 001C TIN &amp; TP'!$A$3:$A$10005),0),MATCH('Reg 85'!$O$11,'DMR 001C TIN &amp; TP'!$A$2:$M$2,0))),"")</f>
        <v/>
      </c>
      <c r="V136" s="6" t="str">
        <f t="array" ref="V136">_xlfn.IFNA((INDEX('DMR 001C TIN &amp; TP'!$A$3:$M$10005,MATCH(('Reg 85'!$I$6:$Q$6&amp;'Reg 85'!V$10&amp;'Reg 85'!$B136),('DMR 001C TIN &amp; TP'!$E$3:$E$10005&amp;'DMR 001C TIN &amp; TP'!$B$3:$B$10005&amp;'DMR 001C TIN &amp; TP'!$A$3:$A$10005),0),MATCH('Reg 85'!$O$11,'DMR 001C TIN &amp; TP'!$A$2:$M$2,0))),"")</f>
        <v/>
      </c>
      <c r="W136" s="6" t="str">
        <f t="array" ref="W136">_xlfn.IFNA((INDEX('DMR 001C TIN &amp; TP'!$A$3:$M$10005,MATCH(('Reg 85'!$I$6:$Q$6&amp;'Reg 85'!W$10&amp;'Reg 85'!$B136),('DMR 001C TIN &amp; TP'!$E$3:$E$10005&amp;'DMR 001C TIN &amp; TP'!$B$3:$B$10005&amp;'DMR 001C TIN &amp; TP'!$A$3:$A$10005),0),MATCH('Reg 85'!$O$11,'DMR 001C TIN &amp; TP'!$A$2:$M$2,0))),"")</f>
        <v/>
      </c>
      <c r="X136" s="5" t="str">
        <f t="shared" si="50"/>
        <v/>
      </c>
      <c r="Y136" s="6" t="str">
        <f t="array" ref="Y136">_xlfn.IFNA((INDEX('DMR 001C TIN &amp; TP'!$A$3:$M$10005,MATCH(('Reg 85'!$X$6&amp;'Reg 85'!$X$10&amp;'Reg 85'!$B136),('DMR 001C TIN &amp; TP'!$E$3:$E$10005&amp;'DMR 001C TIN &amp; TP'!$B$3:$B$10005&amp;'DMR 001C TIN &amp; TP'!$A$3:$A$10005),0),MATCH('Reg 85'!$Y$11,'DMR 001C TIN &amp; TP'!$A$2:$M$2,0))),"")</f>
        <v/>
      </c>
      <c r="Z136" s="6" t="str">
        <f t="array" ref="Z136">_xlfn.IFNA((INDEX('DMR 001C TIN &amp; TP'!$A$3:$M$10005,MATCH(('Reg 85'!$X$6&amp;'Reg 85'!$X$10&amp;'Reg 85'!$B136),('DMR 001C TIN &amp; TP'!$E$3:$E$10005&amp;'DMR 001C TIN &amp; TP'!$B$3:$B$10005&amp;'DMR 001C TIN &amp; TP'!$A$3:$A$10005),0),MATCH('Reg 85'!$Z$11,'DMR 001C TIN &amp; TP'!$A$2:$M$2,0))),"")</f>
        <v/>
      </c>
      <c r="AA136" s="53" t="str">
        <f t="shared" si="51"/>
        <v/>
      </c>
      <c r="AB136" s="5" t="str">
        <f t="shared" si="52"/>
        <v/>
      </c>
      <c r="AC136" s="6" t="str">
        <f t="array" ref="AC136">_xlfn.IFNA((INDEX('DMR 001C TIN &amp; TP'!$A$3:$M$10005,MATCH(('Reg 85'!$X$6&amp;'Reg 85'!$AB$10&amp;'Reg 85'!$B136),('DMR 001C TIN &amp; TP'!$E$3:$E$10005&amp;'DMR 001C TIN &amp; TP'!$B$3:$B$10005&amp;'DMR 001C TIN &amp; TP'!$A$3:$A$10005),0),MATCH('Reg 85'!$AC$11,'DMR 001C TIN &amp; TP'!$A$2:$M$2,0))),"")</f>
        <v/>
      </c>
      <c r="AD136" s="6" t="str">
        <f t="array" ref="AD136">_xlfn.IFNA((INDEX('DMR 001C TIN &amp; TP'!$A$3:$M$10005,MATCH(('Reg 85'!$X$6&amp;'Reg 85'!$AB$10&amp;'Reg 85'!$B136),('DMR 001C TIN &amp; TP'!$E$3:$E$10005&amp;'DMR 001C TIN &amp; TP'!$B$3:$B$10005&amp;'DMR 001C TIN &amp; TP'!$A$3:$A$10005),0),MATCH('Reg 85'!$AD$11,'DMR 001C TIN &amp; TP'!$A$2:$M$2,0))),"")</f>
        <v/>
      </c>
      <c r="AE136" s="53" t="str">
        <f t="shared" si="53"/>
        <v/>
      </c>
      <c r="AF136" s="7" t="str">
        <f t="shared" si="54"/>
        <v/>
      </c>
      <c r="AG136" s="6" t="str">
        <f t="array" ref="AG136">_xlfn.IFNA((INDEX('DMR 001C TIN &amp; TP'!$A$3:$M$10005,MATCH(('Reg 85'!$X$6&amp;'Reg 85'!AG$10&amp;'Reg 85'!$B136),('DMR 001C TIN &amp; TP'!$E$3:$E$10005&amp;'DMR 001C TIN &amp; TP'!$B$3:$B$10005&amp;'DMR 001C TIN &amp; TP'!$A$3:$A$10005),0),MATCH('Reg 85'!$AG$11,'DMR 001C TIN &amp; TP'!$A$2:$M$2,0))),"")</f>
        <v/>
      </c>
      <c r="AH136" s="6" t="str">
        <f t="array" ref="AH136">_xlfn.IFNA((INDEX('DMR 001C TIN &amp; TP'!$A$3:$M$10005,MATCH(('Reg 85'!$X$6&amp;'Reg 85'!AH$10&amp;'Reg 85'!$B136),('DMR 001C TIN &amp; TP'!$E$3:$E$10005&amp;'DMR 001C TIN &amp; TP'!$B$3:$B$10005&amp;'DMR 001C TIN &amp; TP'!$A$3:$A$10005),0),MATCH('Reg 85'!$AG$11,'DMR 001C TIN &amp; TP'!$A$2:$M$2,0))),"")</f>
        <v/>
      </c>
      <c r="AI136" s="6" t="str">
        <f t="array" ref="AI136">_xlfn.IFNA((INDEX('DMR 001C TIN &amp; TP'!$A$3:$M$10005,MATCH(('Reg 85'!$X$6&amp;'Reg 85'!AI$10&amp;'Reg 85'!$B136),('DMR 001C TIN &amp; TP'!$E$3:$E$10005&amp;'DMR 001C TIN &amp; TP'!$B$3:$B$10005&amp;'DMR 001C TIN &amp; TP'!$A$3:$A$10005),0),MATCH('Reg 85'!$AG$11,'DMR 001C TIN &amp; TP'!$A$2:$M$2,0))),"")</f>
        <v/>
      </c>
      <c r="AJ136" s="6" t="str">
        <f t="array" ref="AJ136">_xlfn.IFNA((INDEX('DMR 001C TIN &amp; TP'!$A$3:$M$10005,MATCH(('Reg 85'!$X$6&amp;'Reg 85'!AJ$10&amp;'Reg 85'!$B136),('DMR 001C TIN &amp; TP'!$E$3:$E$10005&amp;'DMR 001C TIN &amp; TP'!$B$3:$B$10005&amp;'DMR 001C TIN &amp; TP'!$A$3:$A$10005),0),MATCH('Reg 85'!$AG$11,'DMR 001C TIN &amp; TP'!$A$2:$M$2,0))),"")</f>
        <v/>
      </c>
      <c r="AK136" s="6" t="str">
        <f t="array" ref="AK136">_xlfn.IFNA((INDEX('DMR 001C TIN &amp; TP'!$A$3:$M$10005,MATCH(('Reg 85'!$X$6&amp;'Reg 85'!AK$10&amp;'Reg 85'!$B136),('DMR 001C TIN &amp; TP'!$E$3:$E$10005&amp;'DMR 001C TIN &amp; TP'!$B$3:$B$10005&amp;'DMR 001C TIN &amp; TP'!$A$3:$A$10005),0),MATCH('Reg 85'!$AG$11,'DMR 001C TIN &amp; TP'!$A$2:$M$2,0))),"")</f>
        <v/>
      </c>
      <c r="AL136" s="6" t="str">
        <f t="array" ref="AL136">_xlfn.IFNA((INDEX('DMR 001C TIN &amp; TP'!$A$3:$M$10005,MATCH(('Reg 85'!$X$6&amp;'Reg 85'!AL$10&amp;'Reg 85'!$B136),('DMR 001C TIN &amp; TP'!$E$3:$E$10005&amp;'DMR 001C TIN &amp; TP'!$B$3:$B$10005&amp;'DMR 001C TIN &amp; TP'!$A$3:$A$10005),0),MATCH('Reg 85'!$AG$11,'DMR 001C TIN &amp; TP'!$A$2:$M$2,0))),"")</f>
        <v/>
      </c>
      <c r="AM136" s="76"/>
      <c r="AN136" s="6"/>
      <c r="AO136" s="54" t="str">
        <f t="shared" si="41"/>
        <v/>
      </c>
      <c r="AP136" s="77" t="str">
        <f t="shared" si="60"/>
        <v/>
      </c>
      <c r="AQ136" s="47"/>
      <c r="AR136" s="6" t="str">
        <f t="array" ref="AR136">_xlfn.IFNA((INDEX('DMR 001C TIN &amp; TP'!$A$3:$M$10005,MATCH(('Reg 85'!$AQ$6&amp;'Reg 85'!$AQ$10&amp;'Reg 85'!$B136),('DMR 001C TIN &amp; TP'!$E$3:$E$10005&amp;'DMR 001C TIN &amp; TP'!$B$3:$B$10005&amp;'DMR 001C TIN &amp; TP'!$A$3:$A$10005),0),MATCH('Reg 85'!$AR$11,'DMR 001C TIN &amp; TP'!$A$2:$M$2,0))),"")</f>
        <v>0.03</v>
      </c>
      <c r="AS136" s="6">
        <f t="array" ref="AS136">_xlfn.IFNA((INDEX('DMR 001C TIN &amp; TP'!$A$3:$M$10005,MATCH(('Reg 85'!$AQ$6&amp;'Reg 85'!$AQ$10&amp;'Reg 85'!$B136),('DMR 001C TIN &amp; TP'!$E$3:$E$10005&amp;'DMR 001C TIN &amp; TP'!$B$3:$B$10005&amp;'DMR 001C TIN &amp; TP'!$A$3:$A$10005),0),MATCH('Reg 85'!$AS$11,'DMR 001C TIN &amp; TP'!$A$2:$M$2,0))),"")</f>
        <v>0.28999999999999998</v>
      </c>
      <c r="AT136" s="53">
        <f t="shared" si="55"/>
        <v>0.28999999999999998</v>
      </c>
      <c r="AV136" s="6" t="str">
        <f t="array" ref="AV136">_xlfn.IFNA((INDEX('DMR 001C TIN &amp; TP'!$A$3:$M$10005,MATCH(('Reg 85'!$AQ$6&amp;'Reg 85'!$AU$10&amp;'Reg 85'!$B136),('DMR 001C TIN &amp; TP'!$E$3:$E$10005&amp;'DMR 001C TIN &amp; TP'!$B$3:$B$10005&amp;'DMR 001C TIN &amp; TP'!$A$3:$A$10005),0),MATCH('Reg 85'!$AV$11,'DMR 001C TIN &amp; TP'!$A$2:$M$2,0))),"")</f>
        <v>0.03</v>
      </c>
      <c r="AW136" s="6">
        <f t="array" ref="AW136">_xlfn.IFNA((INDEX('DMR 001C TIN &amp; TP'!$A$3:$M$10005,MATCH(('Reg 85'!$AQ$6&amp;'Reg 85'!$AU$10&amp;'Reg 85'!$B136),('DMR 001C TIN &amp; TP'!$E$3:$E$10005&amp;'DMR 001C TIN &amp; TP'!$B$3:$B$10005&amp;'DMR 001C TIN &amp; TP'!$A$3:$A$10005),0),MATCH('Reg 85'!$AW$11,'DMR 001C TIN &amp; TP'!$A$2:$M$2,0))),"")</f>
        <v>4.22</v>
      </c>
      <c r="AX136" s="53">
        <f t="shared" si="56"/>
        <v>4.22</v>
      </c>
      <c r="AY136" s="55">
        <f t="shared" si="57"/>
        <v>2.7117904762853131</v>
      </c>
      <c r="AZ136" s="77" t="str">
        <f t="shared" si="61"/>
        <v/>
      </c>
      <c r="BA136" s="6" t="str">
        <f t="array" ref="BA136">_xlfn.IFNA((INDEX('DMR 001C TIN &amp; TP'!$A$3:$M$10005,MATCH(('Reg 85'!$AQ$6&amp;'Reg 85'!BA$10&amp;'Reg 85'!$B136),('DMR 001C TIN &amp; TP'!$E$3:$E$10005&amp;'DMR 001C TIN &amp; TP'!$B$3:$B$10005&amp;'DMR 001C TIN &amp; TP'!$A$3:$A$10005),0),MATCH('Reg 85'!$AG$11,'DMR 001C TIN &amp; TP'!$A$2:$M$2,0))),"")</f>
        <v/>
      </c>
      <c r="BB136" s="6" t="str">
        <f t="array" ref="BB136">_xlfn.IFNA((INDEX('DMR 001C TIN &amp; TP'!$A$3:$M$10005,MATCH(('Reg 85'!$AQ$6&amp;'Reg 85'!BB$10&amp;'Reg 85'!$B136),('DMR 001C TIN &amp; TP'!$E$3:$E$10005&amp;'DMR 001C TIN &amp; TP'!$B$3:$B$10005&amp;'DMR 001C TIN &amp; TP'!$A$3:$A$10005),0),MATCH('Reg 85'!$AG$11,'DMR 001C TIN &amp; TP'!$A$2:$M$2,0))),"")</f>
        <v/>
      </c>
      <c r="BC136" s="6" t="str">
        <f t="array" ref="BC136">_xlfn.IFNA((INDEX('DMR 001C TIN &amp; TP'!$A$3:$M$10005,MATCH(('Reg 85'!$AQ$6&amp;'Reg 85'!BC$10&amp;'Reg 85'!$B136),('DMR 001C TIN &amp; TP'!$E$3:$E$10005&amp;'DMR 001C TIN &amp; TP'!$B$3:$B$10005&amp;'DMR 001C TIN &amp; TP'!$A$3:$A$10005),0),MATCH('Reg 85'!$AG$11,'DMR 001C TIN &amp; TP'!$A$2:$M$2,0))),"")</f>
        <v/>
      </c>
      <c r="BD136" s="6" t="str">
        <f t="array" ref="BD136">_xlfn.IFNA((INDEX('DMR 001C TIN &amp; TP'!$A$3:$M$10005,MATCH(('Reg 85'!$AQ$6&amp;'Reg 85'!BD$10&amp;'Reg 85'!$B136),('DMR 001C TIN &amp; TP'!$E$3:$E$10005&amp;'DMR 001C TIN &amp; TP'!$B$3:$B$10005&amp;'DMR 001C TIN &amp; TP'!$A$3:$A$10005),0),MATCH('Reg 85'!$AG$11,'DMR 001C TIN &amp; TP'!$A$2:$M$2,0))),"")</f>
        <v/>
      </c>
      <c r="BE136" s="6" t="str">
        <f t="array" ref="BE136">_xlfn.IFNA((INDEX('DMR 001C TIN &amp; TP'!$A$3:$M$10005,MATCH(('Reg 85'!$AQ$6&amp;'Reg 85'!BE$10&amp;'Reg 85'!$B136),('DMR 001C TIN &amp; TP'!$E$3:$E$10005&amp;'DMR 001C TIN &amp; TP'!$B$3:$B$10005&amp;'DMR 001C TIN &amp; TP'!$A$3:$A$10005),0),MATCH('Reg 85'!$AG$11,'DMR 001C TIN &amp; TP'!$A$2:$M$2,0))),"")</f>
        <v/>
      </c>
      <c r="BF136" s="6" t="str">
        <f t="array" ref="BF136">_xlfn.IFNA((INDEX('DMR 001C TIN &amp; TP'!$A$3:$M$10005,MATCH(('Reg 85'!$AQ$6&amp;'Reg 85'!BF$10&amp;'Reg 85'!$B136),('DMR 001C TIN &amp; TP'!$E$3:$E$10005&amp;'DMR 001C TIN &amp; TP'!$B$3:$B$10005&amp;'DMR 001C TIN &amp; TP'!$A$3:$A$10005),0),MATCH('Reg 85'!$AG$11,'DMR 001C TIN &amp; TP'!$A$2:$M$2,0))),"")</f>
        <v/>
      </c>
    </row>
    <row r="137" spans="1:58">
      <c r="A137" s="3" t="str">
        <f t="shared" si="42"/>
        <v>Fri</v>
      </c>
      <c r="B137" s="96">
        <f t="shared" si="58"/>
        <v>43469</v>
      </c>
      <c r="C137" s="96">
        <f t="shared" si="43"/>
        <v>43496</v>
      </c>
      <c r="D137" s="96">
        <f t="shared" si="44"/>
        <v>43466</v>
      </c>
      <c r="E137" s="95">
        <f t="shared" si="45"/>
        <v>31</v>
      </c>
      <c r="F137" s="7">
        <f t="array" ref="F137">_xlfn.IFNA(INDEX('DMR Flows-Effluent'!$A$3:$F$9999,MATCH(($F$10&amp;$B137),('DMR Flows-Effluent'!$B$3:$B$9999&amp;'DMR Flows-Effluent'!$A$3:$A$9999),0),MATCH($F$8,'DMR Flows-Effluent'!$A$2:$F$2,0)),"")</f>
        <v>47.89</v>
      </c>
      <c r="G137" s="7">
        <f t="array" ref="G137">_xlfn.IFNA(INDEX('DMR Flows-Effluent'!$A$3:$F$9999,MATCH(($G$10&amp;$B137),('DMR Flows-Effluent'!$B$3:$B$9999&amp;'DMR Flows-Effluent'!$A$3:$A$9999),0),MATCH($F$8,'DMR Flows-Effluent'!$A$2:$F$2,0)),"")</f>
        <v>71.687399999999997</v>
      </c>
      <c r="H137" s="7">
        <f t="shared" si="46"/>
        <v>119.5774</v>
      </c>
      <c r="I137" s="45" t="str">
        <f t="shared" si="47"/>
        <v/>
      </c>
      <c r="J137" s="6" t="str">
        <f t="array" ref="J137">_xlfn.IFNA((INDEX('DMR 001C TIN &amp; TP'!$A$3:$M$10005,MATCH(('Reg 85'!$I$6:$Q$6&amp;'Reg 85'!$I$10:$K$10&amp;'Reg 85'!$B137),('DMR 001C TIN &amp; TP'!$E$3:$E$10005&amp;'DMR 001C TIN &amp; TP'!$B$3:$B$10005&amp;'DMR 001C TIN &amp; TP'!$A$3:$A$10005),0),MATCH('Reg 85'!$J$11,'DMR 001C TIN &amp; TP'!$A$2:$M$2,0))),"")</f>
        <v>0.15</v>
      </c>
      <c r="K137" s="6">
        <f t="array" ref="K137">_xlfn.IFNA((INDEX('DMR 001C TIN &amp; TP'!$A$3:$M$10005,MATCH(('Reg 85'!$I$6:$Q$6&amp;'Reg 85'!$I$10:$K$10&amp;'Reg 85'!$B137),('DMR 001C TIN &amp; TP'!$E$3:$E$10005&amp;'DMR 001C TIN &amp; TP'!$B$3:$B$10005&amp;'DMR 001C TIN &amp; TP'!$A$3:$A$10005),0),MATCH('Reg 85'!$K$11,'DMR 001C TIN &amp; TP'!$A$2:$M$2,0))),"")</f>
        <v>1.1000000000000001</v>
      </c>
      <c r="L137" s="53">
        <f t="shared" si="59"/>
        <v>1.1000000000000001</v>
      </c>
      <c r="M137" s="5" t="str">
        <f t="shared" si="48"/>
        <v>&lt;</v>
      </c>
      <c r="N137" s="6" t="str">
        <f t="array" ref="N137">_xlfn.IFNA((INDEX('DMR 001C TIN &amp; TP'!$A$3:$M$10005,MATCH(('Reg 85'!$I$6:$Q$6&amp;'Reg 85'!$M$10&amp;'Reg 85'!$B137),('DMR 001C TIN &amp; TP'!$E$3:$E$10005&amp;'DMR 001C TIN &amp; TP'!$B$3:$B$10005&amp;'DMR 001C TIN &amp; TP'!$A$3:$A$10005),0),MATCH('Reg 85'!$N$11,'DMR 001C TIN &amp; TP'!$A$2:$M$2,0))),"")</f>
        <v>0.15</v>
      </c>
      <c r="O137" s="6">
        <f t="array" ref="O137">_xlfn.IFNA((INDEX('DMR 001C TIN &amp; TP'!$A$3:$M$10005,MATCH(('Reg 85'!$I$6:$Q$6&amp;'Reg 85'!$M$10&amp;'Reg 85'!$B137),('DMR 001C TIN &amp; TP'!$E$3:$E$10005&amp;'DMR 001C TIN &amp; TP'!$B$3:$B$10005&amp;'DMR 001C TIN &amp; TP'!$A$3:$A$10005),0),MATCH('Reg 85'!$O$11,'DMR 001C TIN &amp; TP'!$A$2:$M$2,0))),"")</f>
        <v>0.11</v>
      </c>
      <c r="P137" s="53">
        <f t="shared" si="49"/>
        <v>0</v>
      </c>
      <c r="Q137" s="73">
        <f t="array" ref="Q137">IFERROR(((L137*$F137)+(P137*$G137))/($H137),"")</f>
        <v>0.44054311266175716</v>
      </c>
      <c r="R137" s="6" t="str">
        <f t="array" ref="R137">_xlfn.IFNA((INDEX('DMR 001C TIN &amp; TP'!$A$3:$M$10005,MATCH(('Reg 85'!$I$6:$Q$6&amp;'Reg 85'!R$10&amp;'Reg 85'!$B137),('DMR 001C TIN &amp; TP'!$E$3:$E$10005&amp;'DMR 001C TIN &amp; TP'!$B$3:$B$10005&amp;'DMR 001C TIN &amp; TP'!$A$3:$A$10005),0),MATCH('Reg 85'!$O$11,'DMR 001C TIN &amp; TP'!$A$2:$M$2,0))),"")</f>
        <v/>
      </c>
      <c r="S137" s="6" t="str">
        <f t="array" ref="S137">_xlfn.IFNA((INDEX('DMR 001C TIN &amp; TP'!$A$3:$M$10005,MATCH(('Reg 85'!$I$6:$Q$6&amp;'Reg 85'!S$10&amp;'Reg 85'!$B137),('DMR 001C TIN &amp; TP'!$E$3:$E$10005&amp;'DMR 001C TIN &amp; TP'!$B$3:$B$10005&amp;'DMR 001C TIN &amp; TP'!$A$3:$A$10005),0),MATCH('Reg 85'!$O$11,'DMR 001C TIN &amp; TP'!$A$2:$M$2,0))),"")</f>
        <v/>
      </c>
      <c r="T137" s="6" t="str">
        <f t="array" ref="T137">_xlfn.IFNA((INDEX('DMR 001C TIN &amp; TP'!$A$3:$M$10005,MATCH(('Reg 85'!$I$6:$Q$6&amp;'Reg 85'!T$10&amp;'Reg 85'!$B137),('DMR 001C TIN &amp; TP'!$E$3:$E$10005&amp;'DMR 001C TIN &amp; TP'!$B$3:$B$10005&amp;'DMR 001C TIN &amp; TP'!$A$3:$A$10005),0),MATCH('Reg 85'!$O$11,'DMR 001C TIN &amp; TP'!$A$2:$M$2,0))),"")</f>
        <v/>
      </c>
      <c r="U137" s="6" t="str">
        <f t="array" ref="U137">_xlfn.IFNA((INDEX('DMR 001C TIN &amp; TP'!$A$3:$M$10005,MATCH(('Reg 85'!$I$6:$Q$6&amp;'Reg 85'!U$10&amp;'Reg 85'!$B137),('DMR 001C TIN &amp; TP'!$E$3:$E$10005&amp;'DMR 001C TIN &amp; TP'!$B$3:$B$10005&amp;'DMR 001C TIN &amp; TP'!$A$3:$A$10005),0),MATCH('Reg 85'!$O$11,'DMR 001C TIN &amp; TP'!$A$2:$M$2,0))),"")</f>
        <v/>
      </c>
      <c r="V137" s="6" t="str">
        <f t="array" ref="V137">_xlfn.IFNA((INDEX('DMR 001C TIN &amp; TP'!$A$3:$M$10005,MATCH(('Reg 85'!$I$6:$Q$6&amp;'Reg 85'!V$10&amp;'Reg 85'!$B137),('DMR 001C TIN &amp; TP'!$E$3:$E$10005&amp;'DMR 001C TIN &amp; TP'!$B$3:$B$10005&amp;'DMR 001C TIN &amp; TP'!$A$3:$A$10005),0),MATCH('Reg 85'!$O$11,'DMR 001C TIN &amp; TP'!$A$2:$M$2,0))),"")</f>
        <v/>
      </c>
      <c r="W137" s="6" t="str">
        <f t="array" ref="W137">_xlfn.IFNA((INDEX('DMR 001C TIN &amp; TP'!$A$3:$M$10005,MATCH(('Reg 85'!$I$6:$Q$6&amp;'Reg 85'!W$10&amp;'Reg 85'!$B137),('DMR 001C TIN &amp; TP'!$E$3:$E$10005&amp;'DMR 001C TIN &amp; TP'!$B$3:$B$10005&amp;'DMR 001C TIN &amp; TP'!$A$3:$A$10005),0),MATCH('Reg 85'!$O$11,'DMR 001C TIN &amp; TP'!$A$2:$M$2,0))),"")</f>
        <v/>
      </c>
      <c r="X137" s="5" t="str">
        <f t="shared" si="50"/>
        <v/>
      </c>
      <c r="Y137" s="6" t="str">
        <f t="array" ref="Y137">_xlfn.IFNA((INDEX('DMR 001C TIN &amp; TP'!$A$3:$M$10005,MATCH(('Reg 85'!$X$6&amp;'Reg 85'!$X$10&amp;'Reg 85'!$B137),('DMR 001C TIN &amp; TP'!$E$3:$E$10005&amp;'DMR 001C TIN &amp; TP'!$B$3:$B$10005&amp;'DMR 001C TIN &amp; TP'!$A$3:$A$10005),0),MATCH('Reg 85'!$Y$11,'DMR 001C TIN &amp; TP'!$A$2:$M$2,0))),"")</f>
        <v>0.06</v>
      </c>
      <c r="Z137" s="6">
        <f t="array" ref="Z137">_xlfn.IFNA((INDEX('DMR 001C TIN &amp; TP'!$A$3:$M$10005,MATCH(('Reg 85'!$X$6&amp;'Reg 85'!$X$10&amp;'Reg 85'!$B137),('DMR 001C TIN &amp; TP'!$E$3:$E$10005&amp;'DMR 001C TIN &amp; TP'!$B$3:$B$10005&amp;'DMR 001C TIN &amp; TP'!$A$3:$A$10005),0),MATCH('Reg 85'!$Z$11,'DMR 001C TIN &amp; TP'!$A$2:$M$2,0))),"")</f>
        <v>4.05</v>
      </c>
      <c r="AA137" s="53">
        <f t="shared" si="51"/>
        <v>4.05</v>
      </c>
      <c r="AB137" s="5" t="str">
        <f t="shared" si="52"/>
        <v/>
      </c>
      <c r="AC137" s="6" t="str">
        <f t="array" ref="AC137">_xlfn.IFNA((INDEX('DMR 001C TIN &amp; TP'!$A$3:$M$10005,MATCH(('Reg 85'!$X$6&amp;'Reg 85'!$AB$10&amp;'Reg 85'!$B137),('DMR 001C TIN &amp; TP'!$E$3:$E$10005&amp;'DMR 001C TIN &amp; TP'!$B$3:$B$10005&amp;'DMR 001C TIN &amp; TP'!$A$3:$A$10005),0),MATCH('Reg 85'!$AC$11,'DMR 001C TIN &amp; TP'!$A$2:$M$2,0))),"")</f>
        <v>0.06</v>
      </c>
      <c r="AD137" s="6">
        <f t="array" ref="AD137">_xlfn.IFNA((INDEX('DMR 001C TIN &amp; TP'!$A$3:$M$10005,MATCH(('Reg 85'!$X$6&amp;'Reg 85'!$AB$10&amp;'Reg 85'!$B137),('DMR 001C TIN &amp; TP'!$E$3:$E$10005&amp;'DMR 001C TIN &amp; TP'!$B$3:$B$10005&amp;'DMR 001C TIN &amp; TP'!$A$3:$A$10005),0),MATCH('Reg 85'!$AD$11,'DMR 001C TIN &amp; TP'!$A$2:$M$2,0))),"")</f>
        <v>6.51</v>
      </c>
      <c r="AE137" s="53">
        <f t="shared" si="53"/>
        <v>6.51</v>
      </c>
      <c r="AF137" s="7">
        <f t="shared" si="54"/>
        <v>5.5247854025927969</v>
      </c>
      <c r="AG137" s="6" t="str">
        <f t="array" ref="AG137">_xlfn.IFNA((INDEX('DMR 001C TIN &amp; TP'!$A$3:$M$10005,MATCH(('Reg 85'!$X$6&amp;'Reg 85'!AG$10&amp;'Reg 85'!$B137),('DMR 001C TIN &amp; TP'!$E$3:$E$10005&amp;'DMR 001C TIN &amp; TP'!$B$3:$B$10005&amp;'DMR 001C TIN &amp; TP'!$A$3:$A$10005),0),MATCH('Reg 85'!$AG$11,'DMR 001C TIN &amp; TP'!$A$2:$M$2,0))),"")</f>
        <v/>
      </c>
      <c r="AH137" s="6" t="str">
        <f t="array" ref="AH137">_xlfn.IFNA((INDEX('DMR 001C TIN &amp; TP'!$A$3:$M$10005,MATCH(('Reg 85'!$X$6&amp;'Reg 85'!AH$10&amp;'Reg 85'!$B137),('DMR 001C TIN &amp; TP'!$E$3:$E$10005&amp;'DMR 001C TIN &amp; TP'!$B$3:$B$10005&amp;'DMR 001C TIN &amp; TP'!$A$3:$A$10005),0),MATCH('Reg 85'!$AG$11,'DMR 001C TIN &amp; TP'!$A$2:$M$2,0))),"")</f>
        <v/>
      </c>
      <c r="AI137" s="6" t="str">
        <f t="array" ref="AI137">_xlfn.IFNA((INDEX('DMR 001C TIN &amp; TP'!$A$3:$M$10005,MATCH(('Reg 85'!$X$6&amp;'Reg 85'!AI$10&amp;'Reg 85'!$B137),('DMR 001C TIN &amp; TP'!$E$3:$E$10005&amp;'DMR 001C TIN &amp; TP'!$B$3:$B$10005&amp;'DMR 001C TIN &amp; TP'!$A$3:$A$10005),0),MATCH('Reg 85'!$AG$11,'DMR 001C TIN &amp; TP'!$A$2:$M$2,0))),"")</f>
        <v/>
      </c>
      <c r="AJ137" s="6" t="str">
        <f t="array" ref="AJ137">_xlfn.IFNA((INDEX('DMR 001C TIN &amp; TP'!$A$3:$M$10005,MATCH(('Reg 85'!$X$6&amp;'Reg 85'!AJ$10&amp;'Reg 85'!$B137),('DMR 001C TIN &amp; TP'!$E$3:$E$10005&amp;'DMR 001C TIN &amp; TP'!$B$3:$B$10005&amp;'DMR 001C TIN &amp; TP'!$A$3:$A$10005),0),MATCH('Reg 85'!$AG$11,'DMR 001C TIN &amp; TP'!$A$2:$M$2,0))),"")</f>
        <v/>
      </c>
      <c r="AK137" s="6" t="str">
        <f t="array" ref="AK137">_xlfn.IFNA((INDEX('DMR 001C TIN &amp; TP'!$A$3:$M$10005,MATCH(('Reg 85'!$X$6&amp;'Reg 85'!AK$10&amp;'Reg 85'!$B137),('DMR 001C TIN &amp; TP'!$E$3:$E$10005&amp;'DMR 001C TIN &amp; TP'!$B$3:$B$10005&amp;'DMR 001C TIN &amp; TP'!$A$3:$A$10005),0),MATCH('Reg 85'!$AG$11,'DMR 001C TIN &amp; TP'!$A$2:$M$2,0))),"")</f>
        <v/>
      </c>
      <c r="AL137" s="6" t="str">
        <f t="array" ref="AL137">_xlfn.IFNA((INDEX('DMR 001C TIN &amp; TP'!$A$3:$M$10005,MATCH(('Reg 85'!$X$6&amp;'Reg 85'!AL$10&amp;'Reg 85'!$B137),('DMR 001C TIN &amp; TP'!$E$3:$E$10005&amp;'DMR 001C TIN &amp; TP'!$B$3:$B$10005&amp;'DMR 001C TIN &amp; TP'!$A$3:$A$10005),0),MATCH('Reg 85'!$AG$11,'DMR 001C TIN &amp; TP'!$A$2:$M$2,0))),"")</f>
        <v/>
      </c>
      <c r="AM137" s="76"/>
      <c r="AN137" s="6"/>
      <c r="AO137" s="54">
        <f t="shared" si="41"/>
        <v>5.9653285152545541</v>
      </c>
      <c r="AP137" s="77" t="str">
        <f t="shared" si="60"/>
        <v/>
      </c>
      <c r="AQ137" s="47"/>
      <c r="AR137" s="6" t="str">
        <f t="array" ref="AR137">_xlfn.IFNA((INDEX('DMR 001C TIN &amp; TP'!$A$3:$M$10005,MATCH(('Reg 85'!$AQ$6&amp;'Reg 85'!$AQ$10&amp;'Reg 85'!$B137),('DMR 001C TIN &amp; TP'!$E$3:$E$10005&amp;'DMR 001C TIN &amp; TP'!$B$3:$B$10005&amp;'DMR 001C TIN &amp; TP'!$A$3:$A$10005),0),MATCH('Reg 85'!$AR$11,'DMR 001C TIN &amp; TP'!$A$2:$M$2,0))),"")</f>
        <v/>
      </c>
      <c r="AS137" s="6" t="str">
        <f t="array" ref="AS137">_xlfn.IFNA((INDEX('DMR 001C TIN &amp; TP'!$A$3:$M$10005,MATCH(('Reg 85'!$AQ$6&amp;'Reg 85'!$AQ$10&amp;'Reg 85'!$B137),('DMR 001C TIN &amp; TP'!$E$3:$E$10005&amp;'DMR 001C TIN &amp; TP'!$B$3:$B$10005&amp;'DMR 001C TIN &amp; TP'!$A$3:$A$10005),0),MATCH('Reg 85'!$AS$11,'DMR 001C TIN &amp; TP'!$A$2:$M$2,0))),"")</f>
        <v/>
      </c>
      <c r="AT137" s="53" t="str">
        <f t="shared" si="55"/>
        <v/>
      </c>
      <c r="AV137" s="6" t="str">
        <f t="array" ref="AV137">_xlfn.IFNA((INDEX('DMR 001C TIN &amp; TP'!$A$3:$M$10005,MATCH(('Reg 85'!$AQ$6&amp;'Reg 85'!$AU$10&amp;'Reg 85'!$B137),('DMR 001C TIN &amp; TP'!$E$3:$E$10005&amp;'DMR 001C TIN &amp; TP'!$B$3:$B$10005&amp;'DMR 001C TIN &amp; TP'!$A$3:$A$10005),0),MATCH('Reg 85'!$AV$11,'DMR 001C TIN &amp; TP'!$A$2:$M$2,0))),"")</f>
        <v/>
      </c>
      <c r="AW137" s="6" t="str">
        <f t="array" ref="AW137">_xlfn.IFNA((INDEX('DMR 001C TIN &amp; TP'!$A$3:$M$10005,MATCH(('Reg 85'!$AQ$6&amp;'Reg 85'!$AU$10&amp;'Reg 85'!$B137),('DMR 001C TIN &amp; TP'!$E$3:$E$10005&amp;'DMR 001C TIN &amp; TP'!$B$3:$B$10005&amp;'DMR 001C TIN &amp; TP'!$A$3:$A$10005),0),MATCH('Reg 85'!$AW$11,'DMR 001C TIN &amp; TP'!$A$2:$M$2,0))),"")</f>
        <v/>
      </c>
      <c r="AX137" s="53" t="str">
        <f t="shared" si="56"/>
        <v/>
      </c>
      <c r="AY137" s="55" t="str">
        <f t="shared" si="57"/>
        <v/>
      </c>
      <c r="AZ137" s="77" t="str">
        <f t="shared" si="61"/>
        <v/>
      </c>
      <c r="BA137" s="6" t="str">
        <f t="array" ref="BA137">_xlfn.IFNA((INDEX('DMR 001C TIN &amp; TP'!$A$3:$M$10005,MATCH(('Reg 85'!$AQ$6&amp;'Reg 85'!BA$10&amp;'Reg 85'!$B137),('DMR 001C TIN &amp; TP'!$E$3:$E$10005&amp;'DMR 001C TIN &amp; TP'!$B$3:$B$10005&amp;'DMR 001C TIN &amp; TP'!$A$3:$A$10005),0),MATCH('Reg 85'!$AG$11,'DMR 001C TIN &amp; TP'!$A$2:$M$2,0))),"")</f>
        <v/>
      </c>
      <c r="BB137" s="6" t="str">
        <f t="array" ref="BB137">_xlfn.IFNA((INDEX('DMR 001C TIN &amp; TP'!$A$3:$M$10005,MATCH(('Reg 85'!$AQ$6&amp;'Reg 85'!BB$10&amp;'Reg 85'!$B137),('DMR 001C TIN &amp; TP'!$E$3:$E$10005&amp;'DMR 001C TIN &amp; TP'!$B$3:$B$10005&amp;'DMR 001C TIN &amp; TP'!$A$3:$A$10005),0),MATCH('Reg 85'!$AG$11,'DMR 001C TIN &amp; TP'!$A$2:$M$2,0))),"")</f>
        <v/>
      </c>
      <c r="BC137" s="6" t="str">
        <f t="array" ref="BC137">_xlfn.IFNA((INDEX('DMR 001C TIN &amp; TP'!$A$3:$M$10005,MATCH(('Reg 85'!$AQ$6&amp;'Reg 85'!BC$10&amp;'Reg 85'!$B137),('DMR 001C TIN &amp; TP'!$E$3:$E$10005&amp;'DMR 001C TIN &amp; TP'!$B$3:$B$10005&amp;'DMR 001C TIN &amp; TP'!$A$3:$A$10005),0),MATCH('Reg 85'!$AG$11,'DMR 001C TIN &amp; TP'!$A$2:$M$2,0))),"")</f>
        <v/>
      </c>
      <c r="BD137" s="6" t="str">
        <f t="array" ref="BD137">_xlfn.IFNA((INDEX('DMR 001C TIN &amp; TP'!$A$3:$M$10005,MATCH(('Reg 85'!$AQ$6&amp;'Reg 85'!BD$10&amp;'Reg 85'!$B137),('DMR 001C TIN &amp; TP'!$E$3:$E$10005&amp;'DMR 001C TIN &amp; TP'!$B$3:$B$10005&amp;'DMR 001C TIN &amp; TP'!$A$3:$A$10005),0),MATCH('Reg 85'!$AG$11,'DMR 001C TIN &amp; TP'!$A$2:$M$2,0))),"")</f>
        <v/>
      </c>
      <c r="BE137" s="6" t="str">
        <f t="array" ref="BE137">_xlfn.IFNA((INDEX('DMR 001C TIN &amp; TP'!$A$3:$M$10005,MATCH(('Reg 85'!$AQ$6&amp;'Reg 85'!BE$10&amp;'Reg 85'!$B137),('DMR 001C TIN &amp; TP'!$E$3:$E$10005&amp;'DMR 001C TIN &amp; TP'!$B$3:$B$10005&amp;'DMR 001C TIN &amp; TP'!$A$3:$A$10005),0),MATCH('Reg 85'!$AG$11,'DMR 001C TIN &amp; TP'!$A$2:$M$2,0))),"")</f>
        <v/>
      </c>
      <c r="BF137" s="6" t="str">
        <f t="array" ref="BF137">_xlfn.IFNA((INDEX('DMR 001C TIN &amp; TP'!$A$3:$M$10005,MATCH(('Reg 85'!$AQ$6&amp;'Reg 85'!BF$10&amp;'Reg 85'!$B137),('DMR 001C TIN &amp; TP'!$E$3:$E$10005&amp;'DMR 001C TIN &amp; TP'!$B$3:$B$10005&amp;'DMR 001C TIN &amp; TP'!$A$3:$A$10005),0),MATCH('Reg 85'!$AG$11,'DMR 001C TIN &amp; TP'!$A$2:$M$2,0))),"")</f>
        <v/>
      </c>
    </row>
    <row r="138" spans="1:58">
      <c r="A138" s="3" t="str">
        <f t="shared" si="42"/>
        <v>Sat</v>
      </c>
      <c r="B138" s="96">
        <f t="shared" si="58"/>
        <v>43470</v>
      </c>
      <c r="C138" s="96">
        <f t="shared" si="43"/>
        <v>43496</v>
      </c>
      <c r="D138" s="96">
        <f t="shared" si="44"/>
        <v>43466</v>
      </c>
      <c r="E138" s="95">
        <f t="shared" si="45"/>
        <v>31</v>
      </c>
      <c r="F138" s="7">
        <f t="array" ref="F138">_xlfn.IFNA(INDEX('DMR Flows-Effluent'!$A$3:$F$9999,MATCH(($F$10&amp;$B138),('DMR Flows-Effluent'!$B$3:$B$9999&amp;'DMR Flows-Effluent'!$A$3:$A$9999),0),MATCH($F$8,'DMR Flows-Effluent'!$A$2:$F$2,0)),"")</f>
        <v>47.992100000000001</v>
      </c>
      <c r="G138" s="7">
        <f t="array" ref="G138">_xlfn.IFNA(INDEX('DMR Flows-Effluent'!$A$3:$F$9999,MATCH(($G$10&amp;$B138),('DMR Flows-Effluent'!$B$3:$B$9999&amp;'DMR Flows-Effluent'!$A$3:$A$9999),0),MATCH($F$8,'DMR Flows-Effluent'!$A$2:$F$2,0)),"")</f>
        <v>70.198899999999995</v>
      </c>
      <c r="H138" s="7">
        <f t="shared" si="46"/>
        <v>118.191</v>
      </c>
      <c r="I138" s="45" t="str">
        <f t="shared" si="47"/>
        <v/>
      </c>
      <c r="J138" s="6" t="str">
        <f t="array" ref="J138">_xlfn.IFNA((INDEX('DMR 001C TIN &amp; TP'!$A$3:$M$10005,MATCH(('Reg 85'!$I$6:$Q$6&amp;'Reg 85'!$I$10:$K$10&amp;'Reg 85'!$B138),('DMR 001C TIN &amp; TP'!$E$3:$E$10005&amp;'DMR 001C TIN &amp; TP'!$B$3:$B$10005&amp;'DMR 001C TIN &amp; TP'!$A$3:$A$10005),0),MATCH('Reg 85'!$J$11,'DMR 001C TIN &amp; TP'!$A$2:$M$2,0))),"")</f>
        <v/>
      </c>
      <c r="K138" s="6" t="str">
        <f t="array" ref="K138">_xlfn.IFNA((INDEX('DMR 001C TIN &amp; TP'!$A$3:$M$10005,MATCH(('Reg 85'!$I$6:$Q$6&amp;'Reg 85'!$I$10:$K$10&amp;'Reg 85'!$B138),('DMR 001C TIN &amp; TP'!$E$3:$E$10005&amp;'DMR 001C TIN &amp; TP'!$B$3:$B$10005&amp;'DMR 001C TIN &amp; TP'!$A$3:$A$10005),0),MATCH('Reg 85'!$K$11,'DMR 001C TIN &amp; TP'!$A$2:$M$2,0))),"")</f>
        <v/>
      </c>
      <c r="L138" s="53" t="str">
        <f t="shared" si="59"/>
        <v/>
      </c>
      <c r="M138" s="5" t="str">
        <f t="shared" si="48"/>
        <v/>
      </c>
      <c r="N138" s="6" t="str">
        <f t="array" ref="N138">_xlfn.IFNA((INDEX('DMR 001C TIN &amp; TP'!$A$3:$M$10005,MATCH(('Reg 85'!$I$6:$Q$6&amp;'Reg 85'!$M$10&amp;'Reg 85'!$B138),('DMR 001C TIN &amp; TP'!$E$3:$E$10005&amp;'DMR 001C TIN &amp; TP'!$B$3:$B$10005&amp;'DMR 001C TIN &amp; TP'!$A$3:$A$10005),0),MATCH('Reg 85'!$N$11,'DMR 001C TIN &amp; TP'!$A$2:$M$2,0))),"")</f>
        <v/>
      </c>
      <c r="O138" s="6" t="str">
        <f t="array" ref="O138">_xlfn.IFNA((INDEX('DMR 001C TIN &amp; TP'!$A$3:$M$10005,MATCH(('Reg 85'!$I$6:$Q$6&amp;'Reg 85'!$M$10&amp;'Reg 85'!$B138),('DMR 001C TIN &amp; TP'!$E$3:$E$10005&amp;'DMR 001C TIN &amp; TP'!$B$3:$B$10005&amp;'DMR 001C TIN &amp; TP'!$A$3:$A$10005),0),MATCH('Reg 85'!$O$11,'DMR 001C TIN &amp; TP'!$A$2:$M$2,0))),"")</f>
        <v/>
      </c>
      <c r="P138" s="53" t="str">
        <f t="shared" si="49"/>
        <v/>
      </c>
      <c r="Q138" s="73" t="str">
        <f t="array" ref="Q138">IFERROR(((L138*$F138)+(P138*$G138))/($H138),"")</f>
        <v/>
      </c>
      <c r="R138" s="6" t="str">
        <f t="array" ref="R138">_xlfn.IFNA((INDEX('DMR 001C TIN &amp; TP'!$A$3:$M$10005,MATCH(('Reg 85'!$I$6:$Q$6&amp;'Reg 85'!R$10&amp;'Reg 85'!$B138),('DMR 001C TIN &amp; TP'!$E$3:$E$10005&amp;'DMR 001C TIN &amp; TP'!$B$3:$B$10005&amp;'DMR 001C TIN &amp; TP'!$A$3:$A$10005),0),MATCH('Reg 85'!$O$11,'DMR 001C TIN &amp; TP'!$A$2:$M$2,0))),"")</f>
        <v/>
      </c>
      <c r="S138" s="6" t="str">
        <f t="array" ref="S138">_xlfn.IFNA((INDEX('DMR 001C TIN &amp; TP'!$A$3:$M$10005,MATCH(('Reg 85'!$I$6:$Q$6&amp;'Reg 85'!S$10&amp;'Reg 85'!$B138),('DMR 001C TIN &amp; TP'!$E$3:$E$10005&amp;'DMR 001C TIN &amp; TP'!$B$3:$B$10005&amp;'DMR 001C TIN &amp; TP'!$A$3:$A$10005),0),MATCH('Reg 85'!$O$11,'DMR 001C TIN &amp; TP'!$A$2:$M$2,0))),"")</f>
        <v/>
      </c>
      <c r="T138" s="6" t="str">
        <f t="array" ref="T138">_xlfn.IFNA((INDEX('DMR 001C TIN &amp; TP'!$A$3:$M$10005,MATCH(('Reg 85'!$I$6:$Q$6&amp;'Reg 85'!T$10&amp;'Reg 85'!$B138),('DMR 001C TIN &amp; TP'!$E$3:$E$10005&amp;'DMR 001C TIN &amp; TP'!$B$3:$B$10005&amp;'DMR 001C TIN &amp; TP'!$A$3:$A$10005),0),MATCH('Reg 85'!$O$11,'DMR 001C TIN &amp; TP'!$A$2:$M$2,0))),"")</f>
        <v/>
      </c>
      <c r="U138" s="6" t="str">
        <f t="array" ref="U138">_xlfn.IFNA((INDEX('DMR 001C TIN &amp; TP'!$A$3:$M$10005,MATCH(('Reg 85'!$I$6:$Q$6&amp;'Reg 85'!U$10&amp;'Reg 85'!$B138),('DMR 001C TIN &amp; TP'!$E$3:$E$10005&amp;'DMR 001C TIN &amp; TP'!$B$3:$B$10005&amp;'DMR 001C TIN &amp; TP'!$A$3:$A$10005),0),MATCH('Reg 85'!$O$11,'DMR 001C TIN &amp; TP'!$A$2:$M$2,0))),"")</f>
        <v/>
      </c>
      <c r="V138" s="6" t="str">
        <f t="array" ref="V138">_xlfn.IFNA((INDEX('DMR 001C TIN &amp; TP'!$A$3:$M$10005,MATCH(('Reg 85'!$I$6:$Q$6&amp;'Reg 85'!V$10&amp;'Reg 85'!$B138),('DMR 001C TIN &amp; TP'!$E$3:$E$10005&amp;'DMR 001C TIN &amp; TP'!$B$3:$B$10005&amp;'DMR 001C TIN &amp; TP'!$A$3:$A$10005),0),MATCH('Reg 85'!$O$11,'DMR 001C TIN &amp; TP'!$A$2:$M$2,0))),"")</f>
        <v/>
      </c>
      <c r="W138" s="6" t="str">
        <f t="array" ref="W138">_xlfn.IFNA((INDEX('DMR 001C TIN &amp; TP'!$A$3:$M$10005,MATCH(('Reg 85'!$I$6:$Q$6&amp;'Reg 85'!W$10&amp;'Reg 85'!$B138),('DMR 001C TIN &amp; TP'!$E$3:$E$10005&amp;'DMR 001C TIN &amp; TP'!$B$3:$B$10005&amp;'DMR 001C TIN &amp; TP'!$A$3:$A$10005),0),MATCH('Reg 85'!$O$11,'DMR 001C TIN &amp; TP'!$A$2:$M$2,0))),"")</f>
        <v/>
      </c>
      <c r="X138" s="5" t="str">
        <f t="shared" si="50"/>
        <v/>
      </c>
      <c r="Y138" s="6" t="str">
        <f t="array" ref="Y138">_xlfn.IFNA((INDEX('DMR 001C TIN &amp; TP'!$A$3:$M$10005,MATCH(('Reg 85'!$X$6&amp;'Reg 85'!$X$10&amp;'Reg 85'!$B138),('DMR 001C TIN &amp; TP'!$E$3:$E$10005&amp;'DMR 001C TIN &amp; TP'!$B$3:$B$10005&amp;'DMR 001C TIN &amp; TP'!$A$3:$A$10005),0),MATCH('Reg 85'!$Y$11,'DMR 001C TIN &amp; TP'!$A$2:$M$2,0))),"")</f>
        <v/>
      </c>
      <c r="Z138" s="6" t="str">
        <f t="array" ref="Z138">_xlfn.IFNA((INDEX('DMR 001C TIN &amp; TP'!$A$3:$M$10005,MATCH(('Reg 85'!$X$6&amp;'Reg 85'!$X$10&amp;'Reg 85'!$B138),('DMR 001C TIN &amp; TP'!$E$3:$E$10005&amp;'DMR 001C TIN &amp; TP'!$B$3:$B$10005&amp;'DMR 001C TIN &amp; TP'!$A$3:$A$10005),0),MATCH('Reg 85'!$Z$11,'DMR 001C TIN &amp; TP'!$A$2:$M$2,0))),"")</f>
        <v/>
      </c>
      <c r="AA138" s="53" t="str">
        <f t="shared" si="51"/>
        <v/>
      </c>
      <c r="AB138" s="5" t="str">
        <f t="shared" si="52"/>
        <v/>
      </c>
      <c r="AC138" s="6" t="str">
        <f t="array" ref="AC138">_xlfn.IFNA((INDEX('DMR 001C TIN &amp; TP'!$A$3:$M$10005,MATCH(('Reg 85'!$X$6&amp;'Reg 85'!$AB$10&amp;'Reg 85'!$B138),('DMR 001C TIN &amp; TP'!$E$3:$E$10005&amp;'DMR 001C TIN &amp; TP'!$B$3:$B$10005&amp;'DMR 001C TIN &amp; TP'!$A$3:$A$10005),0),MATCH('Reg 85'!$AC$11,'DMR 001C TIN &amp; TP'!$A$2:$M$2,0))),"")</f>
        <v/>
      </c>
      <c r="AD138" s="6" t="str">
        <f t="array" ref="AD138">_xlfn.IFNA((INDEX('DMR 001C TIN &amp; TP'!$A$3:$M$10005,MATCH(('Reg 85'!$X$6&amp;'Reg 85'!$AB$10&amp;'Reg 85'!$B138),('DMR 001C TIN &amp; TP'!$E$3:$E$10005&amp;'DMR 001C TIN &amp; TP'!$B$3:$B$10005&amp;'DMR 001C TIN &amp; TP'!$A$3:$A$10005),0),MATCH('Reg 85'!$AD$11,'DMR 001C TIN &amp; TP'!$A$2:$M$2,0))),"")</f>
        <v/>
      </c>
      <c r="AE138" s="53" t="str">
        <f t="shared" si="53"/>
        <v/>
      </c>
      <c r="AF138" s="7" t="str">
        <f t="shared" si="54"/>
        <v/>
      </c>
      <c r="AG138" s="6" t="str">
        <f t="array" ref="AG138">_xlfn.IFNA((INDEX('DMR 001C TIN &amp; TP'!$A$3:$M$10005,MATCH(('Reg 85'!$X$6&amp;'Reg 85'!AG$10&amp;'Reg 85'!$B138),('DMR 001C TIN &amp; TP'!$E$3:$E$10005&amp;'DMR 001C TIN &amp; TP'!$B$3:$B$10005&amp;'DMR 001C TIN &amp; TP'!$A$3:$A$10005),0),MATCH('Reg 85'!$AG$11,'DMR 001C TIN &amp; TP'!$A$2:$M$2,0))),"")</f>
        <v/>
      </c>
      <c r="AH138" s="6" t="str">
        <f t="array" ref="AH138">_xlfn.IFNA((INDEX('DMR 001C TIN &amp; TP'!$A$3:$M$10005,MATCH(('Reg 85'!$X$6&amp;'Reg 85'!AH$10&amp;'Reg 85'!$B138),('DMR 001C TIN &amp; TP'!$E$3:$E$10005&amp;'DMR 001C TIN &amp; TP'!$B$3:$B$10005&amp;'DMR 001C TIN &amp; TP'!$A$3:$A$10005),0),MATCH('Reg 85'!$AG$11,'DMR 001C TIN &amp; TP'!$A$2:$M$2,0))),"")</f>
        <v/>
      </c>
      <c r="AI138" s="6" t="str">
        <f t="array" ref="AI138">_xlfn.IFNA((INDEX('DMR 001C TIN &amp; TP'!$A$3:$M$10005,MATCH(('Reg 85'!$X$6&amp;'Reg 85'!AI$10&amp;'Reg 85'!$B138),('DMR 001C TIN &amp; TP'!$E$3:$E$10005&amp;'DMR 001C TIN &amp; TP'!$B$3:$B$10005&amp;'DMR 001C TIN &amp; TP'!$A$3:$A$10005),0),MATCH('Reg 85'!$AG$11,'DMR 001C TIN &amp; TP'!$A$2:$M$2,0))),"")</f>
        <v/>
      </c>
      <c r="AJ138" s="6" t="str">
        <f t="array" ref="AJ138">_xlfn.IFNA((INDEX('DMR 001C TIN &amp; TP'!$A$3:$M$10005,MATCH(('Reg 85'!$X$6&amp;'Reg 85'!AJ$10&amp;'Reg 85'!$B138),('DMR 001C TIN &amp; TP'!$E$3:$E$10005&amp;'DMR 001C TIN &amp; TP'!$B$3:$B$10005&amp;'DMR 001C TIN &amp; TP'!$A$3:$A$10005),0),MATCH('Reg 85'!$AG$11,'DMR 001C TIN &amp; TP'!$A$2:$M$2,0))),"")</f>
        <v/>
      </c>
      <c r="AK138" s="6" t="str">
        <f t="array" ref="AK138">_xlfn.IFNA((INDEX('DMR 001C TIN &amp; TP'!$A$3:$M$10005,MATCH(('Reg 85'!$X$6&amp;'Reg 85'!AK$10&amp;'Reg 85'!$B138),('DMR 001C TIN &amp; TP'!$E$3:$E$10005&amp;'DMR 001C TIN &amp; TP'!$B$3:$B$10005&amp;'DMR 001C TIN &amp; TP'!$A$3:$A$10005),0),MATCH('Reg 85'!$AG$11,'DMR 001C TIN &amp; TP'!$A$2:$M$2,0))),"")</f>
        <v/>
      </c>
      <c r="AL138" s="6" t="str">
        <f t="array" ref="AL138">_xlfn.IFNA((INDEX('DMR 001C TIN &amp; TP'!$A$3:$M$10005,MATCH(('Reg 85'!$X$6&amp;'Reg 85'!AL$10&amp;'Reg 85'!$B138),('DMR 001C TIN &amp; TP'!$E$3:$E$10005&amp;'DMR 001C TIN &amp; TP'!$B$3:$B$10005&amp;'DMR 001C TIN &amp; TP'!$A$3:$A$10005),0),MATCH('Reg 85'!$AG$11,'DMR 001C TIN &amp; TP'!$A$2:$M$2,0))),"")</f>
        <v/>
      </c>
      <c r="AM138" s="76"/>
      <c r="AN138" s="6"/>
      <c r="AO138" s="54" t="str">
        <f t="shared" si="41"/>
        <v/>
      </c>
      <c r="AP138" s="77" t="str">
        <f t="shared" si="60"/>
        <v/>
      </c>
      <c r="AQ138" s="47"/>
      <c r="AR138" s="6" t="str">
        <f t="array" ref="AR138">_xlfn.IFNA((INDEX('DMR 001C TIN &amp; TP'!$A$3:$M$10005,MATCH(('Reg 85'!$AQ$6&amp;'Reg 85'!$AQ$10&amp;'Reg 85'!$B138),('DMR 001C TIN &amp; TP'!$E$3:$E$10005&amp;'DMR 001C TIN &amp; TP'!$B$3:$B$10005&amp;'DMR 001C TIN &amp; TP'!$A$3:$A$10005),0),MATCH('Reg 85'!$AR$11,'DMR 001C TIN &amp; TP'!$A$2:$M$2,0))),"")</f>
        <v/>
      </c>
      <c r="AS138" s="6" t="str">
        <f t="array" ref="AS138">_xlfn.IFNA((INDEX('DMR 001C TIN &amp; TP'!$A$3:$M$10005,MATCH(('Reg 85'!$AQ$6&amp;'Reg 85'!$AQ$10&amp;'Reg 85'!$B138),('DMR 001C TIN &amp; TP'!$E$3:$E$10005&amp;'DMR 001C TIN &amp; TP'!$B$3:$B$10005&amp;'DMR 001C TIN &amp; TP'!$A$3:$A$10005),0),MATCH('Reg 85'!$AS$11,'DMR 001C TIN &amp; TP'!$A$2:$M$2,0))),"")</f>
        <v/>
      </c>
      <c r="AT138" s="53" t="str">
        <f t="shared" si="55"/>
        <v/>
      </c>
      <c r="AV138" s="6" t="str">
        <f t="array" ref="AV138">_xlfn.IFNA((INDEX('DMR 001C TIN &amp; TP'!$A$3:$M$10005,MATCH(('Reg 85'!$AQ$6&amp;'Reg 85'!$AU$10&amp;'Reg 85'!$B138),('DMR 001C TIN &amp; TP'!$E$3:$E$10005&amp;'DMR 001C TIN &amp; TP'!$B$3:$B$10005&amp;'DMR 001C TIN &amp; TP'!$A$3:$A$10005),0),MATCH('Reg 85'!$AV$11,'DMR 001C TIN &amp; TP'!$A$2:$M$2,0))),"")</f>
        <v/>
      </c>
      <c r="AW138" s="6" t="str">
        <f t="array" ref="AW138">_xlfn.IFNA((INDEX('DMR 001C TIN &amp; TP'!$A$3:$M$10005,MATCH(('Reg 85'!$AQ$6&amp;'Reg 85'!$AU$10&amp;'Reg 85'!$B138),('DMR 001C TIN &amp; TP'!$E$3:$E$10005&amp;'DMR 001C TIN &amp; TP'!$B$3:$B$10005&amp;'DMR 001C TIN &amp; TP'!$A$3:$A$10005),0),MATCH('Reg 85'!$AW$11,'DMR 001C TIN &amp; TP'!$A$2:$M$2,0))),"")</f>
        <v/>
      </c>
      <c r="AX138" s="53" t="str">
        <f t="shared" si="56"/>
        <v/>
      </c>
      <c r="AY138" s="55" t="str">
        <f t="shared" si="57"/>
        <v/>
      </c>
      <c r="AZ138" s="77" t="str">
        <f t="shared" si="61"/>
        <v/>
      </c>
      <c r="BA138" s="6" t="str">
        <f t="array" ref="BA138">_xlfn.IFNA((INDEX('DMR 001C TIN &amp; TP'!$A$3:$M$10005,MATCH(('Reg 85'!$AQ$6&amp;'Reg 85'!BA$10&amp;'Reg 85'!$B138),('DMR 001C TIN &amp; TP'!$E$3:$E$10005&amp;'DMR 001C TIN &amp; TP'!$B$3:$B$10005&amp;'DMR 001C TIN &amp; TP'!$A$3:$A$10005),0),MATCH('Reg 85'!$AG$11,'DMR 001C TIN &amp; TP'!$A$2:$M$2,0))),"")</f>
        <v/>
      </c>
      <c r="BB138" s="6" t="str">
        <f t="array" ref="BB138">_xlfn.IFNA((INDEX('DMR 001C TIN &amp; TP'!$A$3:$M$10005,MATCH(('Reg 85'!$AQ$6&amp;'Reg 85'!BB$10&amp;'Reg 85'!$B138),('DMR 001C TIN &amp; TP'!$E$3:$E$10005&amp;'DMR 001C TIN &amp; TP'!$B$3:$B$10005&amp;'DMR 001C TIN &amp; TP'!$A$3:$A$10005),0),MATCH('Reg 85'!$AG$11,'DMR 001C TIN &amp; TP'!$A$2:$M$2,0))),"")</f>
        <v/>
      </c>
      <c r="BC138" s="6" t="str">
        <f t="array" ref="BC138">_xlfn.IFNA((INDEX('DMR 001C TIN &amp; TP'!$A$3:$M$10005,MATCH(('Reg 85'!$AQ$6&amp;'Reg 85'!BC$10&amp;'Reg 85'!$B138),('DMR 001C TIN &amp; TP'!$E$3:$E$10005&amp;'DMR 001C TIN &amp; TP'!$B$3:$B$10005&amp;'DMR 001C TIN &amp; TP'!$A$3:$A$10005),0),MATCH('Reg 85'!$AG$11,'DMR 001C TIN &amp; TP'!$A$2:$M$2,0))),"")</f>
        <v/>
      </c>
      <c r="BD138" s="6" t="str">
        <f t="array" ref="BD138">_xlfn.IFNA((INDEX('DMR 001C TIN &amp; TP'!$A$3:$M$10005,MATCH(('Reg 85'!$AQ$6&amp;'Reg 85'!BD$10&amp;'Reg 85'!$B138),('DMR 001C TIN &amp; TP'!$E$3:$E$10005&amp;'DMR 001C TIN &amp; TP'!$B$3:$B$10005&amp;'DMR 001C TIN &amp; TP'!$A$3:$A$10005),0),MATCH('Reg 85'!$AG$11,'DMR 001C TIN &amp; TP'!$A$2:$M$2,0))),"")</f>
        <v/>
      </c>
      <c r="BE138" s="6" t="str">
        <f t="array" ref="BE138">_xlfn.IFNA((INDEX('DMR 001C TIN &amp; TP'!$A$3:$M$10005,MATCH(('Reg 85'!$AQ$6&amp;'Reg 85'!BE$10&amp;'Reg 85'!$B138),('DMR 001C TIN &amp; TP'!$E$3:$E$10005&amp;'DMR 001C TIN &amp; TP'!$B$3:$B$10005&amp;'DMR 001C TIN &amp; TP'!$A$3:$A$10005),0),MATCH('Reg 85'!$AG$11,'DMR 001C TIN &amp; TP'!$A$2:$M$2,0))),"")</f>
        <v/>
      </c>
      <c r="BF138" s="6" t="str">
        <f t="array" ref="BF138">_xlfn.IFNA((INDEX('DMR 001C TIN &amp; TP'!$A$3:$M$10005,MATCH(('Reg 85'!$AQ$6&amp;'Reg 85'!BF$10&amp;'Reg 85'!$B138),('DMR 001C TIN &amp; TP'!$E$3:$E$10005&amp;'DMR 001C TIN &amp; TP'!$B$3:$B$10005&amp;'DMR 001C TIN &amp; TP'!$A$3:$A$10005),0),MATCH('Reg 85'!$AG$11,'DMR 001C TIN &amp; TP'!$A$2:$M$2,0))),"")</f>
        <v/>
      </c>
    </row>
    <row r="139" spans="1:58">
      <c r="A139" s="3" t="str">
        <f t="shared" si="42"/>
        <v>Sun</v>
      </c>
      <c r="B139" s="96">
        <f t="shared" si="58"/>
        <v>43471</v>
      </c>
      <c r="C139" s="96">
        <f t="shared" si="43"/>
        <v>43496</v>
      </c>
      <c r="D139" s="96">
        <f t="shared" si="44"/>
        <v>43466</v>
      </c>
      <c r="E139" s="95">
        <f t="shared" si="45"/>
        <v>31</v>
      </c>
      <c r="F139" s="7">
        <f t="array" ref="F139">_xlfn.IFNA(INDEX('DMR Flows-Effluent'!$A$3:$F$9999,MATCH(($F$10&amp;$B139),('DMR Flows-Effluent'!$B$3:$B$9999&amp;'DMR Flows-Effluent'!$A$3:$A$9999),0),MATCH($F$8,'DMR Flows-Effluent'!$A$2:$F$2,0)),"")</f>
        <v>54.5426</v>
      </c>
      <c r="G139" s="7">
        <f t="array" ref="G139">_xlfn.IFNA(INDEX('DMR Flows-Effluent'!$A$3:$F$9999,MATCH(($G$10&amp;$B139),('DMR Flows-Effluent'!$B$3:$B$9999&amp;'DMR Flows-Effluent'!$A$3:$A$9999),0),MATCH($F$8,'DMR Flows-Effluent'!$A$2:$F$2,0)),"")</f>
        <v>71.410700000000006</v>
      </c>
      <c r="H139" s="7">
        <f t="shared" si="46"/>
        <v>125.95330000000001</v>
      </c>
      <c r="I139" s="45" t="str">
        <f t="shared" si="47"/>
        <v/>
      </c>
      <c r="J139" s="6" t="str">
        <f t="array" ref="J139">_xlfn.IFNA((INDEX('DMR 001C TIN &amp; TP'!$A$3:$M$10005,MATCH(('Reg 85'!$I$6:$Q$6&amp;'Reg 85'!$I$10:$K$10&amp;'Reg 85'!$B139),('DMR 001C TIN &amp; TP'!$E$3:$E$10005&amp;'DMR 001C TIN &amp; TP'!$B$3:$B$10005&amp;'DMR 001C TIN &amp; TP'!$A$3:$A$10005),0),MATCH('Reg 85'!$J$11,'DMR 001C TIN &amp; TP'!$A$2:$M$2,0))),"")</f>
        <v/>
      </c>
      <c r="K139" s="6" t="str">
        <f t="array" ref="K139">_xlfn.IFNA((INDEX('DMR 001C TIN &amp; TP'!$A$3:$M$10005,MATCH(('Reg 85'!$I$6:$Q$6&amp;'Reg 85'!$I$10:$K$10&amp;'Reg 85'!$B139),('DMR 001C TIN &amp; TP'!$E$3:$E$10005&amp;'DMR 001C TIN &amp; TP'!$B$3:$B$10005&amp;'DMR 001C TIN &amp; TP'!$A$3:$A$10005),0),MATCH('Reg 85'!$K$11,'DMR 001C TIN &amp; TP'!$A$2:$M$2,0))),"")</f>
        <v/>
      </c>
      <c r="L139" s="53" t="str">
        <f t="shared" si="59"/>
        <v/>
      </c>
      <c r="M139" s="5" t="str">
        <f t="shared" si="48"/>
        <v/>
      </c>
      <c r="N139" s="6" t="str">
        <f t="array" ref="N139">_xlfn.IFNA((INDEX('DMR 001C TIN &amp; TP'!$A$3:$M$10005,MATCH(('Reg 85'!$I$6:$Q$6&amp;'Reg 85'!$M$10&amp;'Reg 85'!$B139),('DMR 001C TIN &amp; TP'!$E$3:$E$10005&amp;'DMR 001C TIN &amp; TP'!$B$3:$B$10005&amp;'DMR 001C TIN &amp; TP'!$A$3:$A$10005),0),MATCH('Reg 85'!$N$11,'DMR 001C TIN &amp; TP'!$A$2:$M$2,0))),"")</f>
        <v/>
      </c>
      <c r="O139" s="6" t="str">
        <f t="array" ref="O139">_xlfn.IFNA((INDEX('DMR 001C TIN &amp; TP'!$A$3:$M$10005,MATCH(('Reg 85'!$I$6:$Q$6&amp;'Reg 85'!$M$10&amp;'Reg 85'!$B139),('DMR 001C TIN &amp; TP'!$E$3:$E$10005&amp;'DMR 001C TIN &amp; TP'!$B$3:$B$10005&amp;'DMR 001C TIN &amp; TP'!$A$3:$A$10005),0),MATCH('Reg 85'!$O$11,'DMR 001C TIN &amp; TP'!$A$2:$M$2,0))),"")</f>
        <v/>
      </c>
      <c r="P139" s="53" t="str">
        <f t="shared" si="49"/>
        <v/>
      </c>
      <c r="Q139" s="73" t="str">
        <f t="array" ref="Q139">IFERROR(((L139*$F139)+(P139*$G139))/($H139),"")</f>
        <v/>
      </c>
      <c r="R139" s="6" t="str">
        <f t="array" ref="R139">_xlfn.IFNA((INDEX('DMR 001C TIN &amp; TP'!$A$3:$M$10005,MATCH(('Reg 85'!$I$6:$Q$6&amp;'Reg 85'!R$10&amp;'Reg 85'!$B139),('DMR 001C TIN &amp; TP'!$E$3:$E$10005&amp;'DMR 001C TIN &amp; TP'!$B$3:$B$10005&amp;'DMR 001C TIN &amp; TP'!$A$3:$A$10005),0),MATCH('Reg 85'!$O$11,'DMR 001C TIN &amp; TP'!$A$2:$M$2,0))),"")</f>
        <v/>
      </c>
      <c r="S139" s="6" t="str">
        <f t="array" ref="S139">_xlfn.IFNA((INDEX('DMR 001C TIN &amp; TP'!$A$3:$M$10005,MATCH(('Reg 85'!$I$6:$Q$6&amp;'Reg 85'!S$10&amp;'Reg 85'!$B139),('DMR 001C TIN &amp; TP'!$E$3:$E$10005&amp;'DMR 001C TIN &amp; TP'!$B$3:$B$10005&amp;'DMR 001C TIN &amp; TP'!$A$3:$A$10005),0),MATCH('Reg 85'!$O$11,'DMR 001C TIN &amp; TP'!$A$2:$M$2,0))),"")</f>
        <v/>
      </c>
      <c r="T139" s="6" t="str">
        <f t="array" ref="T139">_xlfn.IFNA((INDEX('DMR 001C TIN &amp; TP'!$A$3:$M$10005,MATCH(('Reg 85'!$I$6:$Q$6&amp;'Reg 85'!T$10&amp;'Reg 85'!$B139),('DMR 001C TIN &amp; TP'!$E$3:$E$10005&amp;'DMR 001C TIN &amp; TP'!$B$3:$B$10005&amp;'DMR 001C TIN &amp; TP'!$A$3:$A$10005),0),MATCH('Reg 85'!$O$11,'DMR 001C TIN &amp; TP'!$A$2:$M$2,0))),"")</f>
        <v/>
      </c>
      <c r="U139" s="6" t="str">
        <f t="array" ref="U139">_xlfn.IFNA((INDEX('DMR 001C TIN &amp; TP'!$A$3:$M$10005,MATCH(('Reg 85'!$I$6:$Q$6&amp;'Reg 85'!U$10&amp;'Reg 85'!$B139),('DMR 001C TIN &amp; TP'!$E$3:$E$10005&amp;'DMR 001C TIN &amp; TP'!$B$3:$B$10005&amp;'DMR 001C TIN &amp; TP'!$A$3:$A$10005),0),MATCH('Reg 85'!$O$11,'DMR 001C TIN &amp; TP'!$A$2:$M$2,0))),"")</f>
        <v/>
      </c>
      <c r="V139" s="6" t="str">
        <f t="array" ref="V139">_xlfn.IFNA((INDEX('DMR 001C TIN &amp; TP'!$A$3:$M$10005,MATCH(('Reg 85'!$I$6:$Q$6&amp;'Reg 85'!V$10&amp;'Reg 85'!$B139),('DMR 001C TIN &amp; TP'!$E$3:$E$10005&amp;'DMR 001C TIN &amp; TP'!$B$3:$B$10005&amp;'DMR 001C TIN &amp; TP'!$A$3:$A$10005),0),MATCH('Reg 85'!$O$11,'DMR 001C TIN &amp; TP'!$A$2:$M$2,0))),"")</f>
        <v/>
      </c>
      <c r="W139" s="6" t="str">
        <f t="array" ref="W139">_xlfn.IFNA((INDEX('DMR 001C TIN &amp; TP'!$A$3:$M$10005,MATCH(('Reg 85'!$I$6:$Q$6&amp;'Reg 85'!W$10&amp;'Reg 85'!$B139),('DMR 001C TIN &amp; TP'!$E$3:$E$10005&amp;'DMR 001C TIN &amp; TP'!$B$3:$B$10005&amp;'DMR 001C TIN &amp; TP'!$A$3:$A$10005),0),MATCH('Reg 85'!$O$11,'DMR 001C TIN &amp; TP'!$A$2:$M$2,0))),"")</f>
        <v/>
      </c>
      <c r="X139" s="5" t="str">
        <f t="shared" si="50"/>
        <v/>
      </c>
      <c r="Y139" s="6" t="str">
        <f t="array" ref="Y139">_xlfn.IFNA((INDEX('DMR 001C TIN &amp; TP'!$A$3:$M$10005,MATCH(('Reg 85'!$X$6&amp;'Reg 85'!$X$10&amp;'Reg 85'!$B139),('DMR 001C TIN &amp; TP'!$E$3:$E$10005&amp;'DMR 001C TIN &amp; TP'!$B$3:$B$10005&amp;'DMR 001C TIN &amp; TP'!$A$3:$A$10005),0),MATCH('Reg 85'!$Y$11,'DMR 001C TIN &amp; TP'!$A$2:$M$2,0))),"")</f>
        <v/>
      </c>
      <c r="Z139" s="6" t="str">
        <f t="array" ref="Z139">_xlfn.IFNA((INDEX('DMR 001C TIN &amp; TP'!$A$3:$M$10005,MATCH(('Reg 85'!$X$6&amp;'Reg 85'!$X$10&amp;'Reg 85'!$B139),('DMR 001C TIN &amp; TP'!$E$3:$E$10005&amp;'DMR 001C TIN &amp; TP'!$B$3:$B$10005&amp;'DMR 001C TIN &amp; TP'!$A$3:$A$10005),0),MATCH('Reg 85'!$Z$11,'DMR 001C TIN &amp; TP'!$A$2:$M$2,0))),"")</f>
        <v/>
      </c>
      <c r="AA139" s="53" t="str">
        <f t="shared" si="51"/>
        <v/>
      </c>
      <c r="AB139" s="5" t="str">
        <f t="shared" si="52"/>
        <v/>
      </c>
      <c r="AC139" s="6" t="str">
        <f t="array" ref="AC139">_xlfn.IFNA((INDEX('DMR 001C TIN &amp; TP'!$A$3:$M$10005,MATCH(('Reg 85'!$X$6&amp;'Reg 85'!$AB$10&amp;'Reg 85'!$B139),('DMR 001C TIN &amp; TP'!$E$3:$E$10005&amp;'DMR 001C TIN &amp; TP'!$B$3:$B$10005&amp;'DMR 001C TIN &amp; TP'!$A$3:$A$10005),0),MATCH('Reg 85'!$AC$11,'DMR 001C TIN &amp; TP'!$A$2:$M$2,0))),"")</f>
        <v/>
      </c>
      <c r="AD139" s="6" t="str">
        <f t="array" ref="AD139">_xlfn.IFNA((INDEX('DMR 001C TIN &amp; TP'!$A$3:$M$10005,MATCH(('Reg 85'!$X$6&amp;'Reg 85'!$AB$10&amp;'Reg 85'!$B139),('DMR 001C TIN &amp; TP'!$E$3:$E$10005&amp;'DMR 001C TIN &amp; TP'!$B$3:$B$10005&amp;'DMR 001C TIN &amp; TP'!$A$3:$A$10005),0),MATCH('Reg 85'!$AD$11,'DMR 001C TIN &amp; TP'!$A$2:$M$2,0))),"")</f>
        <v/>
      </c>
      <c r="AE139" s="53" t="str">
        <f t="shared" si="53"/>
        <v/>
      </c>
      <c r="AF139" s="7" t="str">
        <f t="shared" si="54"/>
        <v/>
      </c>
      <c r="AG139" s="6" t="str">
        <f t="array" ref="AG139">_xlfn.IFNA((INDEX('DMR 001C TIN &amp; TP'!$A$3:$M$10005,MATCH(('Reg 85'!$X$6&amp;'Reg 85'!AG$10&amp;'Reg 85'!$B139),('DMR 001C TIN &amp; TP'!$E$3:$E$10005&amp;'DMR 001C TIN &amp; TP'!$B$3:$B$10005&amp;'DMR 001C TIN &amp; TP'!$A$3:$A$10005),0),MATCH('Reg 85'!$AG$11,'DMR 001C TIN &amp; TP'!$A$2:$M$2,0))),"")</f>
        <v/>
      </c>
      <c r="AH139" s="6" t="str">
        <f t="array" ref="AH139">_xlfn.IFNA((INDEX('DMR 001C TIN &amp; TP'!$A$3:$M$10005,MATCH(('Reg 85'!$X$6&amp;'Reg 85'!AH$10&amp;'Reg 85'!$B139),('DMR 001C TIN &amp; TP'!$E$3:$E$10005&amp;'DMR 001C TIN &amp; TP'!$B$3:$B$10005&amp;'DMR 001C TIN &amp; TP'!$A$3:$A$10005),0),MATCH('Reg 85'!$AG$11,'DMR 001C TIN &amp; TP'!$A$2:$M$2,0))),"")</f>
        <v/>
      </c>
      <c r="AI139" s="6" t="str">
        <f t="array" ref="AI139">_xlfn.IFNA((INDEX('DMR 001C TIN &amp; TP'!$A$3:$M$10005,MATCH(('Reg 85'!$X$6&amp;'Reg 85'!AI$10&amp;'Reg 85'!$B139),('DMR 001C TIN &amp; TP'!$E$3:$E$10005&amp;'DMR 001C TIN &amp; TP'!$B$3:$B$10005&amp;'DMR 001C TIN &amp; TP'!$A$3:$A$10005),0),MATCH('Reg 85'!$AG$11,'DMR 001C TIN &amp; TP'!$A$2:$M$2,0))),"")</f>
        <v/>
      </c>
      <c r="AJ139" s="6" t="str">
        <f t="array" ref="AJ139">_xlfn.IFNA((INDEX('DMR 001C TIN &amp; TP'!$A$3:$M$10005,MATCH(('Reg 85'!$X$6&amp;'Reg 85'!AJ$10&amp;'Reg 85'!$B139),('DMR 001C TIN &amp; TP'!$E$3:$E$10005&amp;'DMR 001C TIN &amp; TP'!$B$3:$B$10005&amp;'DMR 001C TIN &amp; TP'!$A$3:$A$10005),0),MATCH('Reg 85'!$AG$11,'DMR 001C TIN &amp; TP'!$A$2:$M$2,0))),"")</f>
        <v/>
      </c>
      <c r="AK139" s="6" t="str">
        <f t="array" ref="AK139">_xlfn.IFNA((INDEX('DMR 001C TIN &amp; TP'!$A$3:$M$10005,MATCH(('Reg 85'!$X$6&amp;'Reg 85'!AK$10&amp;'Reg 85'!$B139),('DMR 001C TIN &amp; TP'!$E$3:$E$10005&amp;'DMR 001C TIN &amp; TP'!$B$3:$B$10005&amp;'DMR 001C TIN &amp; TP'!$A$3:$A$10005),0),MATCH('Reg 85'!$AG$11,'DMR 001C TIN &amp; TP'!$A$2:$M$2,0))),"")</f>
        <v/>
      </c>
      <c r="AL139" s="6" t="str">
        <f t="array" ref="AL139">_xlfn.IFNA((INDEX('DMR 001C TIN &amp; TP'!$A$3:$M$10005,MATCH(('Reg 85'!$X$6&amp;'Reg 85'!AL$10&amp;'Reg 85'!$B139),('DMR 001C TIN &amp; TP'!$E$3:$E$10005&amp;'DMR 001C TIN &amp; TP'!$B$3:$B$10005&amp;'DMR 001C TIN &amp; TP'!$A$3:$A$10005),0),MATCH('Reg 85'!$AG$11,'DMR 001C TIN &amp; TP'!$A$2:$M$2,0))),"")</f>
        <v/>
      </c>
      <c r="AM139" s="76"/>
      <c r="AN139" s="6"/>
      <c r="AO139" s="54" t="str">
        <f t="shared" si="41"/>
        <v/>
      </c>
      <c r="AP139" s="77" t="str">
        <f t="shared" si="60"/>
        <v/>
      </c>
      <c r="AQ139" s="47"/>
      <c r="AR139" s="6" t="str">
        <f t="array" ref="AR139">_xlfn.IFNA((INDEX('DMR 001C TIN &amp; TP'!$A$3:$M$10005,MATCH(('Reg 85'!$AQ$6&amp;'Reg 85'!$AQ$10&amp;'Reg 85'!$B139),('DMR 001C TIN &amp; TP'!$E$3:$E$10005&amp;'DMR 001C TIN &amp; TP'!$B$3:$B$10005&amp;'DMR 001C TIN &amp; TP'!$A$3:$A$10005),0),MATCH('Reg 85'!$AR$11,'DMR 001C TIN &amp; TP'!$A$2:$M$2,0))),"")</f>
        <v>0.03</v>
      </c>
      <c r="AS139" s="6">
        <f t="array" ref="AS139">_xlfn.IFNA((INDEX('DMR 001C TIN &amp; TP'!$A$3:$M$10005,MATCH(('Reg 85'!$AQ$6&amp;'Reg 85'!$AQ$10&amp;'Reg 85'!$B139),('DMR 001C TIN &amp; TP'!$E$3:$E$10005&amp;'DMR 001C TIN &amp; TP'!$B$3:$B$10005&amp;'DMR 001C TIN &amp; TP'!$A$3:$A$10005),0),MATCH('Reg 85'!$AS$11,'DMR 001C TIN &amp; TP'!$A$2:$M$2,0))),"")</f>
        <v>0.26</v>
      </c>
      <c r="AT139" s="53">
        <f t="shared" si="55"/>
        <v>0.26</v>
      </c>
      <c r="AV139" s="6" t="str">
        <f t="array" ref="AV139">_xlfn.IFNA((INDEX('DMR 001C TIN &amp; TP'!$A$3:$M$10005,MATCH(('Reg 85'!$AQ$6&amp;'Reg 85'!$AU$10&amp;'Reg 85'!$B139),('DMR 001C TIN &amp; TP'!$E$3:$E$10005&amp;'DMR 001C TIN &amp; TP'!$B$3:$B$10005&amp;'DMR 001C TIN &amp; TP'!$A$3:$A$10005),0),MATCH('Reg 85'!$AV$11,'DMR 001C TIN &amp; TP'!$A$2:$M$2,0))),"")</f>
        <v>0.06</v>
      </c>
      <c r="AW139" s="6">
        <f t="array" ref="AW139">_xlfn.IFNA((INDEX('DMR 001C TIN &amp; TP'!$A$3:$M$10005,MATCH(('Reg 85'!$AQ$6&amp;'Reg 85'!$AU$10&amp;'Reg 85'!$B139),('DMR 001C TIN &amp; TP'!$E$3:$E$10005&amp;'DMR 001C TIN &amp; TP'!$B$3:$B$10005&amp;'DMR 001C TIN &amp; TP'!$A$3:$A$10005),0),MATCH('Reg 85'!$AW$11,'DMR 001C TIN &amp; TP'!$A$2:$M$2,0))),"")</f>
        <v>4.1100000000000003</v>
      </c>
      <c r="AX139" s="53">
        <f t="shared" si="56"/>
        <v>4.1100000000000003</v>
      </c>
      <c r="AY139" s="55">
        <f t="shared" si="57"/>
        <v>2.4428026339921227</v>
      </c>
      <c r="AZ139" s="77" t="str">
        <f t="shared" si="61"/>
        <v/>
      </c>
      <c r="BA139" s="6" t="str">
        <f t="array" ref="BA139">_xlfn.IFNA((INDEX('DMR 001C TIN &amp; TP'!$A$3:$M$10005,MATCH(('Reg 85'!$AQ$6&amp;'Reg 85'!BA$10&amp;'Reg 85'!$B139),('DMR 001C TIN &amp; TP'!$E$3:$E$10005&amp;'DMR 001C TIN &amp; TP'!$B$3:$B$10005&amp;'DMR 001C TIN &amp; TP'!$A$3:$A$10005),0),MATCH('Reg 85'!$AG$11,'DMR 001C TIN &amp; TP'!$A$2:$M$2,0))),"")</f>
        <v/>
      </c>
      <c r="BB139" s="6" t="str">
        <f t="array" ref="BB139">_xlfn.IFNA((INDEX('DMR 001C TIN &amp; TP'!$A$3:$M$10005,MATCH(('Reg 85'!$AQ$6&amp;'Reg 85'!BB$10&amp;'Reg 85'!$B139),('DMR 001C TIN &amp; TP'!$E$3:$E$10005&amp;'DMR 001C TIN &amp; TP'!$B$3:$B$10005&amp;'DMR 001C TIN &amp; TP'!$A$3:$A$10005),0),MATCH('Reg 85'!$AG$11,'DMR 001C TIN &amp; TP'!$A$2:$M$2,0))),"")</f>
        <v/>
      </c>
      <c r="BC139" s="6" t="str">
        <f t="array" ref="BC139">_xlfn.IFNA((INDEX('DMR 001C TIN &amp; TP'!$A$3:$M$10005,MATCH(('Reg 85'!$AQ$6&amp;'Reg 85'!BC$10&amp;'Reg 85'!$B139),('DMR 001C TIN &amp; TP'!$E$3:$E$10005&amp;'DMR 001C TIN &amp; TP'!$B$3:$B$10005&amp;'DMR 001C TIN &amp; TP'!$A$3:$A$10005),0),MATCH('Reg 85'!$AG$11,'DMR 001C TIN &amp; TP'!$A$2:$M$2,0))),"")</f>
        <v/>
      </c>
      <c r="BD139" s="6" t="str">
        <f t="array" ref="BD139">_xlfn.IFNA((INDEX('DMR 001C TIN &amp; TP'!$A$3:$M$10005,MATCH(('Reg 85'!$AQ$6&amp;'Reg 85'!BD$10&amp;'Reg 85'!$B139),('DMR 001C TIN &amp; TP'!$E$3:$E$10005&amp;'DMR 001C TIN &amp; TP'!$B$3:$B$10005&amp;'DMR 001C TIN &amp; TP'!$A$3:$A$10005),0),MATCH('Reg 85'!$AG$11,'DMR 001C TIN &amp; TP'!$A$2:$M$2,0))),"")</f>
        <v/>
      </c>
      <c r="BE139" s="6" t="str">
        <f t="array" ref="BE139">_xlfn.IFNA((INDEX('DMR 001C TIN &amp; TP'!$A$3:$M$10005,MATCH(('Reg 85'!$AQ$6&amp;'Reg 85'!BE$10&amp;'Reg 85'!$B139),('DMR 001C TIN &amp; TP'!$E$3:$E$10005&amp;'DMR 001C TIN &amp; TP'!$B$3:$B$10005&amp;'DMR 001C TIN &amp; TP'!$A$3:$A$10005),0),MATCH('Reg 85'!$AG$11,'DMR 001C TIN &amp; TP'!$A$2:$M$2,0))),"")</f>
        <v/>
      </c>
      <c r="BF139" s="6" t="str">
        <f t="array" ref="BF139">_xlfn.IFNA((INDEX('DMR 001C TIN &amp; TP'!$A$3:$M$10005,MATCH(('Reg 85'!$AQ$6&amp;'Reg 85'!BF$10&amp;'Reg 85'!$B139),('DMR 001C TIN &amp; TP'!$E$3:$E$10005&amp;'DMR 001C TIN &amp; TP'!$B$3:$B$10005&amp;'DMR 001C TIN &amp; TP'!$A$3:$A$10005),0),MATCH('Reg 85'!$AG$11,'DMR 001C TIN &amp; TP'!$A$2:$M$2,0))),"")</f>
        <v/>
      </c>
    </row>
    <row r="140" spans="1:58">
      <c r="A140" s="3" t="str">
        <f t="shared" si="42"/>
        <v>Mon</v>
      </c>
      <c r="B140" s="96">
        <f t="shared" si="58"/>
        <v>43472</v>
      </c>
      <c r="C140" s="96">
        <f t="shared" si="43"/>
        <v>43496</v>
      </c>
      <c r="D140" s="96">
        <f t="shared" si="44"/>
        <v>43466</v>
      </c>
      <c r="E140" s="95">
        <f t="shared" si="45"/>
        <v>31</v>
      </c>
      <c r="F140" s="7">
        <f t="array" ref="F140">_xlfn.IFNA(INDEX('DMR Flows-Effluent'!$A$3:$F$9999,MATCH(($F$10&amp;$B140),('DMR Flows-Effluent'!$B$3:$B$9999&amp;'DMR Flows-Effluent'!$A$3:$A$9999),0),MATCH($F$8,'DMR Flows-Effluent'!$A$2:$F$2,0)),"")</f>
        <v>45.930999999999997</v>
      </c>
      <c r="G140" s="7">
        <f t="array" ref="G140">_xlfn.IFNA(INDEX('DMR Flows-Effluent'!$A$3:$F$9999,MATCH(($G$10&amp;$B140),('DMR Flows-Effluent'!$B$3:$B$9999&amp;'DMR Flows-Effluent'!$A$3:$A$9999),0),MATCH($F$8,'DMR Flows-Effluent'!$A$2:$F$2,0)),"")</f>
        <v>73.273899999999998</v>
      </c>
      <c r="H140" s="7">
        <f t="shared" si="46"/>
        <v>119.20489999999999</v>
      </c>
      <c r="I140" s="45" t="str">
        <f t="shared" si="47"/>
        <v/>
      </c>
      <c r="J140" s="6" t="str">
        <f t="array" ref="J140">_xlfn.IFNA((INDEX('DMR 001C TIN &amp; TP'!$A$3:$M$10005,MATCH(('Reg 85'!$I$6:$Q$6&amp;'Reg 85'!$I$10:$K$10&amp;'Reg 85'!$B140),('DMR 001C TIN &amp; TP'!$E$3:$E$10005&amp;'DMR 001C TIN &amp; TP'!$B$3:$B$10005&amp;'DMR 001C TIN &amp; TP'!$A$3:$A$10005),0),MATCH('Reg 85'!$J$11,'DMR 001C TIN &amp; TP'!$A$2:$M$2,0))),"")</f>
        <v>0.15</v>
      </c>
      <c r="K140" s="6">
        <f t="array" ref="K140">_xlfn.IFNA((INDEX('DMR 001C TIN &amp; TP'!$A$3:$M$10005,MATCH(('Reg 85'!$I$6:$Q$6&amp;'Reg 85'!$I$10:$K$10&amp;'Reg 85'!$B140),('DMR 001C TIN &amp; TP'!$E$3:$E$10005&amp;'DMR 001C TIN &amp; TP'!$B$3:$B$10005&amp;'DMR 001C TIN &amp; TP'!$A$3:$A$10005),0),MATCH('Reg 85'!$K$11,'DMR 001C TIN &amp; TP'!$A$2:$M$2,0))),"")</f>
        <v>0.5</v>
      </c>
      <c r="L140" s="53">
        <f t="shared" si="59"/>
        <v>0.5</v>
      </c>
      <c r="M140" s="5" t="str">
        <f t="shared" si="48"/>
        <v>&lt;</v>
      </c>
      <c r="N140" s="6" t="str">
        <f t="array" ref="N140">_xlfn.IFNA((INDEX('DMR 001C TIN &amp; TP'!$A$3:$M$10005,MATCH(('Reg 85'!$I$6:$Q$6&amp;'Reg 85'!$M$10&amp;'Reg 85'!$B140),('DMR 001C TIN &amp; TP'!$E$3:$E$10005&amp;'DMR 001C TIN &amp; TP'!$B$3:$B$10005&amp;'DMR 001C TIN &amp; TP'!$A$3:$A$10005),0),MATCH('Reg 85'!$N$11,'DMR 001C TIN &amp; TP'!$A$2:$M$2,0))),"")</f>
        <v>0.15</v>
      </c>
      <c r="O140" s="6">
        <f t="array" ref="O140">_xlfn.IFNA((INDEX('DMR 001C TIN &amp; TP'!$A$3:$M$10005,MATCH(('Reg 85'!$I$6:$Q$6&amp;'Reg 85'!$M$10&amp;'Reg 85'!$B140),('DMR 001C TIN &amp; TP'!$E$3:$E$10005&amp;'DMR 001C TIN &amp; TP'!$B$3:$B$10005&amp;'DMR 001C TIN &amp; TP'!$A$3:$A$10005),0),MATCH('Reg 85'!$O$11,'DMR 001C TIN &amp; TP'!$A$2:$M$2,0))),"")</f>
        <v>7.0000000000000007E-2</v>
      </c>
      <c r="P140" s="53">
        <f t="shared" si="49"/>
        <v>0</v>
      </c>
      <c r="Q140" s="73">
        <f t="array" ref="Q140">IFERROR(((L140*$F140)+(P140*$G140))/($H140),"")</f>
        <v>0.19265567103365716</v>
      </c>
      <c r="R140" s="6" t="str">
        <f t="array" ref="R140">_xlfn.IFNA((INDEX('DMR 001C TIN &amp; TP'!$A$3:$M$10005,MATCH(('Reg 85'!$I$6:$Q$6&amp;'Reg 85'!R$10&amp;'Reg 85'!$B140),('DMR 001C TIN &amp; TP'!$E$3:$E$10005&amp;'DMR 001C TIN &amp; TP'!$B$3:$B$10005&amp;'DMR 001C TIN &amp; TP'!$A$3:$A$10005),0),MATCH('Reg 85'!$O$11,'DMR 001C TIN &amp; TP'!$A$2:$M$2,0))),"")</f>
        <v/>
      </c>
      <c r="S140" s="6" t="str">
        <f t="array" ref="S140">_xlfn.IFNA((INDEX('DMR 001C TIN &amp; TP'!$A$3:$M$10005,MATCH(('Reg 85'!$I$6:$Q$6&amp;'Reg 85'!S$10&amp;'Reg 85'!$B140),('DMR 001C TIN &amp; TP'!$E$3:$E$10005&amp;'DMR 001C TIN &amp; TP'!$B$3:$B$10005&amp;'DMR 001C TIN &amp; TP'!$A$3:$A$10005),0),MATCH('Reg 85'!$O$11,'DMR 001C TIN &amp; TP'!$A$2:$M$2,0))),"")</f>
        <v/>
      </c>
      <c r="T140" s="6" t="str">
        <f t="array" ref="T140">_xlfn.IFNA((INDEX('DMR 001C TIN &amp; TP'!$A$3:$M$10005,MATCH(('Reg 85'!$I$6:$Q$6&amp;'Reg 85'!T$10&amp;'Reg 85'!$B140),('DMR 001C TIN &amp; TP'!$E$3:$E$10005&amp;'DMR 001C TIN &amp; TP'!$B$3:$B$10005&amp;'DMR 001C TIN &amp; TP'!$A$3:$A$10005),0),MATCH('Reg 85'!$O$11,'DMR 001C TIN &amp; TP'!$A$2:$M$2,0))),"")</f>
        <v/>
      </c>
      <c r="U140" s="6" t="str">
        <f t="array" ref="U140">_xlfn.IFNA((INDEX('DMR 001C TIN &amp; TP'!$A$3:$M$10005,MATCH(('Reg 85'!$I$6:$Q$6&amp;'Reg 85'!U$10&amp;'Reg 85'!$B140),('DMR 001C TIN &amp; TP'!$E$3:$E$10005&amp;'DMR 001C TIN &amp; TP'!$B$3:$B$10005&amp;'DMR 001C TIN &amp; TP'!$A$3:$A$10005),0),MATCH('Reg 85'!$O$11,'DMR 001C TIN &amp; TP'!$A$2:$M$2,0))),"")</f>
        <v/>
      </c>
      <c r="V140" s="6" t="str">
        <f t="array" ref="V140">_xlfn.IFNA((INDEX('DMR 001C TIN &amp; TP'!$A$3:$M$10005,MATCH(('Reg 85'!$I$6:$Q$6&amp;'Reg 85'!V$10&amp;'Reg 85'!$B140),('DMR 001C TIN &amp; TP'!$E$3:$E$10005&amp;'DMR 001C TIN &amp; TP'!$B$3:$B$10005&amp;'DMR 001C TIN &amp; TP'!$A$3:$A$10005),0),MATCH('Reg 85'!$O$11,'DMR 001C TIN &amp; TP'!$A$2:$M$2,0))),"")</f>
        <v/>
      </c>
      <c r="W140" s="6" t="str">
        <f t="array" ref="W140">_xlfn.IFNA((INDEX('DMR 001C TIN &amp; TP'!$A$3:$M$10005,MATCH(('Reg 85'!$I$6:$Q$6&amp;'Reg 85'!W$10&amp;'Reg 85'!$B140),('DMR 001C TIN &amp; TP'!$E$3:$E$10005&amp;'DMR 001C TIN &amp; TP'!$B$3:$B$10005&amp;'DMR 001C TIN &amp; TP'!$A$3:$A$10005),0),MATCH('Reg 85'!$O$11,'DMR 001C TIN &amp; TP'!$A$2:$M$2,0))),"")</f>
        <v/>
      </c>
      <c r="X140" s="5" t="str">
        <f t="shared" si="50"/>
        <v/>
      </c>
      <c r="Y140" s="6" t="str">
        <f t="array" ref="Y140">_xlfn.IFNA((INDEX('DMR 001C TIN &amp; TP'!$A$3:$M$10005,MATCH(('Reg 85'!$X$6&amp;'Reg 85'!$X$10&amp;'Reg 85'!$B140),('DMR 001C TIN &amp; TP'!$E$3:$E$10005&amp;'DMR 001C TIN &amp; TP'!$B$3:$B$10005&amp;'DMR 001C TIN &amp; TP'!$A$3:$A$10005),0),MATCH('Reg 85'!$Y$11,'DMR 001C TIN &amp; TP'!$A$2:$M$2,0))),"")</f>
        <v>0.06</v>
      </c>
      <c r="Z140" s="6">
        <f t="array" ref="Z140">_xlfn.IFNA((INDEX('DMR 001C TIN &amp; TP'!$A$3:$M$10005,MATCH(('Reg 85'!$X$6&amp;'Reg 85'!$X$10&amp;'Reg 85'!$B140),('DMR 001C TIN &amp; TP'!$E$3:$E$10005&amp;'DMR 001C TIN &amp; TP'!$B$3:$B$10005&amp;'DMR 001C TIN &amp; TP'!$A$3:$A$10005),0),MATCH('Reg 85'!$Z$11,'DMR 001C TIN &amp; TP'!$A$2:$M$2,0))),"")</f>
        <v>3.95</v>
      </c>
      <c r="AA140" s="53">
        <f t="shared" si="51"/>
        <v>3.95</v>
      </c>
      <c r="AB140" s="5" t="str">
        <f t="shared" si="52"/>
        <v/>
      </c>
      <c r="AC140" s="6" t="str">
        <f t="array" ref="AC140">_xlfn.IFNA((INDEX('DMR 001C TIN &amp; TP'!$A$3:$M$10005,MATCH(('Reg 85'!$X$6&amp;'Reg 85'!$AB$10&amp;'Reg 85'!$B140),('DMR 001C TIN &amp; TP'!$E$3:$E$10005&amp;'DMR 001C TIN &amp; TP'!$B$3:$B$10005&amp;'DMR 001C TIN &amp; TP'!$A$3:$A$10005),0),MATCH('Reg 85'!$AC$11,'DMR 001C TIN &amp; TP'!$A$2:$M$2,0))),"")</f>
        <v>0.18</v>
      </c>
      <c r="AD140" s="6">
        <f t="array" ref="AD140">_xlfn.IFNA((INDEX('DMR 001C TIN &amp; TP'!$A$3:$M$10005,MATCH(('Reg 85'!$X$6&amp;'Reg 85'!$AB$10&amp;'Reg 85'!$B140),('DMR 001C TIN &amp; TP'!$E$3:$E$10005&amp;'DMR 001C TIN &amp; TP'!$B$3:$B$10005&amp;'DMR 001C TIN &amp; TP'!$A$3:$A$10005),0),MATCH('Reg 85'!$AD$11,'DMR 001C TIN &amp; TP'!$A$2:$M$2,0))),"")</f>
        <v>5.54</v>
      </c>
      <c r="AE140" s="53">
        <f t="shared" si="53"/>
        <v>5.54</v>
      </c>
      <c r="AF140" s="7">
        <f t="shared" si="54"/>
        <v>4.9273549661129703</v>
      </c>
      <c r="AG140" s="6" t="str">
        <f t="array" ref="AG140">_xlfn.IFNA((INDEX('DMR 001C TIN &amp; TP'!$A$3:$M$10005,MATCH(('Reg 85'!$X$6&amp;'Reg 85'!AG$10&amp;'Reg 85'!$B140),('DMR 001C TIN &amp; TP'!$E$3:$E$10005&amp;'DMR 001C TIN &amp; TP'!$B$3:$B$10005&amp;'DMR 001C TIN &amp; TP'!$A$3:$A$10005),0),MATCH('Reg 85'!$AG$11,'DMR 001C TIN &amp; TP'!$A$2:$M$2,0))),"")</f>
        <v/>
      </c>
      <c r="AH140" s="6" t="str">
        <f t="array" ref="AH140">_xlfn.IFNA((INDEX('DMR 001C TIN &amp; TP'!$A$3:$M$10005,MATCH(('Reg 85'!$X$6&amp;'Reg 85'!AH$10&amp;'Reg 85'!$B140),('DMR 001C TIN &amp; TP'!$E$3:$E$10005&amp;'DMR 001C TIN &amp; TP'!$B$3:$B$10005&amp;'DMR 001C TIN &amp; TP'!$A$3:$A$10005),0),MATCH('Reg 85'!$AG$11,'DMR 001C TIN &amp; TP'!$A$2:$M$2,0))),"")</f>
        <v/>
      </c>
      <c r="AI140" s="6" t="str">
        <f t="array" ref="AI140">_xlfn.IFNA((INDEX('DMR 001C TIN &amp; TP'!$A$3:$M$10005,MATCH(('Reg 85'!$X$6&amp;'Reg 85'!AI$10&amp;'Reg 85'!$B140),('DMR 001C TIN &amp; TP'!$E$3:$E$10005&amp;'DMR 001C TIN &amp; TP'!$B$3:$B$10005&amp;'DMR 001C TIN &amp; TP'!$A$3:$A$10005),0),MATCH('Reg 85'!$AG$11,'DMR 001C TIN &amp; TP'!$A$2:$M$2,0))),"")</f>
        <v/>
      </c>
      <c r="AJ140" s="6" t="str">
        <f t="array" ref="AJ140">_xlfn.IFNA((INDEX('DMR 001C TIN &amp; TP'!$A$3:$M$10005,MATCH(('Reg 85'!$X$6&amp;'Reg 85'!AJ$10&amp;'Reg 85'!$B140),('DMR 001C TIN &amp; TP'!$E$3:$E$10005&amp;'DMR 001C TIN &amp; TP'!$B$3:$B$10005&amp;'DMR 001C TIN &amp; TP'!$A$3:$A$10005),0),MATCH('Reg 85'!$AG$11,'DMR 001C TIN &amp; TP'!$A$2:$M$2,0))),"")</f>
        <v/>
      </c>
      <c r="AK140" s="6" t="str">
        <f t="array" ref="AK140">_xlfn.IFNA((INDEX('DMR 001C TIN &amp; TP'!$A$3:$M$10005,MATCH(('Reg 85'!$X$6&amp;'Reg 85'!AK$10&amp;'Reg 85'!$B140),('DMR 001C TIN &amp; TP'!$E$3:$E$10005&amp;'DMR 001C TIN &amp; TP'!$B$3:$B$10005&amp;'DMR 001C TIN &amp; TP'!$A$3:$A$10005),0),MATCH('Reg 85'!$AG$11,'DMR 001C TIN &amp; TP'!$A$2:$M$2,0))),"")</f>
        <v/>
      </c>
      <c r="AL140" s="6" t="str">
        <f t="array" ref="AL140">_xlfn.IFNA((INDEX('DMR 001C TIN &amp; TP'!$A$3:$M$10005,MATCH(('Reg 85'!$X$6&amp;'Reg 85'!AL$10&amp;'Reg 85'!$B140),('DMR 001C TIN &amp; TP'!$E$3:$E$10005&amp;'DMR 001C TIN &amp; TP'!$B$3:$B$10005&amp;'DMR 001C TIN &amp; TP'!$A$3:$A$10005),0),MATCH('Reg 85'!$AG$11,'DMR 001C TIN &amp; TP'!$A$2:$M$2,0))),"")</f>
        <v/>
      </c>
      <c r="AM140" s="76"/>
      <c r="AN140" s="6"/>
      <c r="AO140" s="54">
        <f t="shared" ref="AO140:AO203" si="62">IFERROR(Q140+AF140,"")</f>
        <v>5.1200106371466276</v>
      </c>
      <c r="AP140" s="77" t="str">
        <f t="shared" si="60"/>
        <v/>
      </c>
      <c r="AQ140" s="47"/>
      <c r="AR140" s="6" t="str">
        <f t="array" ref="AR140">_xlfn.IFNA((INDEX('DMR 001C TIN &amp; TP'!$A$3:$M$10005,MATCH(('Reg 85'!$AQ$6&amp;'Reg 85'!$AQ$10&amp;'Reg 85'!$B140),('DMR 001C TIN &amp; TP'!$E$3:$E$10005&amp;'DMR 001C TIN &amp; TP'!$B$3:$B$10005&amp;'DMR 001C TIN &amp; TP'!$A$3:$A$10005),0),MATCH('Reg 85'!$AR$11,'DMR 001C TIN &amp; TP'!$A$2:$M$2,0))),"")</f>
        <v/>
      </c>
      <c r="AS140" s="6" t="str">
        <f t="array" ref="AS140">_xlfn.IFNA((INDEX('DMR 001C TIN &amp; TP'!$A$3:$M$10005,MATCH(('Reg 85'!$AQ$6&amp;'Reg 85'!$AQ$10&amp;'Reg 85'!$B140),('DMR 001C TIN &amp; TP'!$E$3:$E$10005&amp;'DMR 001C TIN &amp; TP'!$B$3:$B$10005&amp;'DMR 001C TIN &amp; TP'!$A$3:$A$10005),0),MATCH('Reg 85'!$AS$11,'DMR 001C TIN &amp; TP'!$A$2:$M$2,0))),"")</f>
        <v/>
      </c>
      <c r="AT140" s="53" t="str">
        <f t="shared" si="55"/>
        <v/>
      </c>
      <c r="AV140" s="6" t="str">
        <f t="array" ref="AV140">_xlfn.IFNA((INDEX('DMR 001C TIN &amp; TP'!$A$3:$M$10005,MATCH(('Reg 85'!$AQ$6&amp;'Reg 85'!$AU$10&amp;'Reg 85'!$B140),('DMR 001C TIN &amp; TP'!$E$3:$E$10005&amp;'DMR 001C TIN &amp; TP'!$B$3:$B$10005&amp;'DMR 001C TIN &amp; TP'!$A$3:$A$10005),0),MATCH('Reg 85'!$AV$11,'DMR 001C TIN &amp; TP'!$A$2:$M$2,0))),"")</f>
        <v/>
      </c>
      <c r="AW140" s="6" t="str">
        <f t="array" ref="AW140">_xlfn.IFNA((INDEX('DMR 001C TIN &amp; TP'!$A$3:$M$10005,MATCH(('Reg 85'!$AQ$6&amp;'Reg 85'!$AU$10&amp;'Reg 85'!$B140),('DMR 001C TIN &amp; TP'!$E$3:$E$10005&amp;'DMR 001C TIN &amp; TP'!$B$3:$B$10005&amp;'DMR 001C TIN &amp; TP'!$A$3:$A$10005),0),MATCH('Reg 85'!$AW$11,'DMR 001C TIN &amp; TP'!$A$2:$M$2,0))),"")</f>
        <v/>
      </c>
      <c r="AX140" s="53" t="str">
        <f t="shared" si="56"/>
        <v/>
      </c>
      <c r="AY140" s="55" t="str">
        <f t="shared" si="57"/>
        <v/>
      </c>
      <c r="AZ140" s="77" t="str">
        <f t="shared" si="61"/>
        <v/>
      </c>
      <c r="BA140" s="6" t="str">
        <f t="array" ref="BA140">_xlfn.IFNA((INDEX('DMR 001C TIN &amp; TP'!$A$3:$M$10005,MATCH(('Reg 85'!$AQ$6&amp;'Reg 85'!BA$10&amp;'Reg 85'!$B140),('DMR 001C TIN &amp; TP'!$E$3:$E$10005&amp;'DMR 001C TIN &amp; TP'!$B$3:$B$10005&amp;'DMR 001C TIN &amp; TP'!$A$3:$A$10005),0),MATCH('Reg 85'!$AG$11,'DMR 001C TIN &amp; TP'!$A$2:$M$2,0))),"")</f>
        <v/>
      </c>
      <c r="BB140" s="6" t="str">
        <f t="array" ref="BB140">_xlfn.IFNA((INDEX('DMR 001C TIN &amp; TP'!$A$3:$M$10005,MATCH(('Reg 85'!$AQ$6&amp;'Reg 85'!BB$10&amp;'Reg 85'!$B140),('DMR 001C TIN &amp; TP'!$E$3:$E$10005&amp;'DMR 001C TIN &amp; TP'!$B$3:$B$10005&amp;'DMR 001C TIN &amp; TP'!$A$3:$A$10005),0),MATCH('Reg 85'!$AG$11,'DMR 001C TIN &amp; TP'!$A$2:$M$2,0))),"")</f>
        <v/>
      </c>
      <c r="BC140" s="6" t="str">
        <f t="array" ref="BC140">_xlfn.IFNA((INDEX('DMR 001C TIN &amp; TP'!$A$3:$M$10005,MATCH(('Reg 85'!$AQ$6&amp;'Reg 85'!BC$10&amp;'Reg 85'!$B140),('DMR 001C TIN &amp; TP'!$E$3:$E$10005&amp;'DMR 001C TIN &amp; TP'!$B$3:$B$10005&amp;'DMR 001C TIN &amp; TP'!$A$3:$A$10005),0),MATCH('Reg 85'!$AG$11,'DMR 001C TIN &amp; TP'!$A$2:$M$2,0))),"")</f>
        <v/>
      </c>
      <c r="BD140" s="6" t="str">
        <f t="array" ref="BD140">_xlfn.IFNA((INDEX('DMR 001C TIN &amp; TP'!$A$3:$M$10005,MATCH(('Reg 85'!$AQ$6&amp;'Reg 85'!BD$10&amp;'Reg 85'!$B140),('DMR 001C TIN &amp; TP'!$E$3:$E$10005&amp;'DMR 001C TIN &amp; TP'!$B$3:$B$10005&amp;'DMR 001C TIN &amp; TP'!$A$3:$A$10005),0),MATCH('Reg 85'!$AG$11,'DMR 001C TIN &amp; TP'!$A$2:$M$2,0))),"")</f>
        <v/>
      </c>
      <c r="BE140" s="6" t="str">
        <f t="array" ref="BE140">_xlfn.IFNA((INDEX('DMR 001C TIN &amp; TP'!$A$3:$M$10005,MATCH(('Reg 85'!$AQ$6&amp;'Reg 85'!BE$10&amp;'Reg 85'!$B140),('DMR 001C TIN &amp; TP'!$E$3:$E$10005&amp;'DMR 001C TIN &amp; TP'!$B$3:$B$10005&amp;'DMR 001C TIN &amp; TP'!$A$3:$A$10005),0),MATCH('Reg 85'!$AG$11,'DMR 001C TIN &amp; TP'!$A$2:$M$2,0))),"")</f>
        <v/>
      </c>
      <c r="BF140" s="6" t="str">
        <f t="array" ref="BF140">_xlfn.IFNA((INDEX('DMR 001C TIN &amp; TP'!$A$3:$M$10005,MATCH(('Reg 85'!$AQ$6&amp;'Reg 85'!BF$10&amp;'Reg 85'!$B140),('DMR 001C TIN &amp; TP'!$E$3:$E$10005&amp;'DMR 001C TIN &amp; TP'!$B$3:$B$10005&amp;'DMR 001C TIN &amp; TP'!$A$3:$A$10005),0),MATCH('Reg 85'!$AG$11,'DMR 001C TIN &amp; TP'!$A$2:$M$2,0))),"")</f>
        <v/>
      </c>
    </row>
    <row r="141" spans="1:58">
      <c r="A141" s="3" t="str">
        <f t="shared" ref="A141:A204" si="63">TEXT(B141,"ddd")</f>
        <v>Tue</v>
      </c>
      <c r="B141" s="96">
        <f t="shared" si="58"/>
        <v>43473</v>
      </c>
      <c r="C141" s="96">
        <f t="shared" ref="C141:C204" si="64">EOMONTH(B141,0)</f>
        <v>43496</v>
      </c>
      <c r="D141" s="96">
        <f t="shared" ref="D141:D204" si="65">EOMONTH(B141,-1)+1</f>
        <v>43466</v>
      </c>
      <c r="E141" s="95">
        <f t="shared" ref="E141:E204" si="66">DAY(EOMONTH(B141,0))</f>
        <v>31</v>
      </c>
      <c r="F141" s="7">
        <f t="array" ref="F141">_xlfn.IFNA(INDEX('DMR Flows-Effluent'!$A$3:$F$9999,MATCH(($F$10&amp;$B141),('DMR Flows-Effluent'!$B$3:$B$9999&amp;'DMR Flows-Effluent'!$A$3:$A$9999),0),MATCH($F$8,'DMR Flows-Effluent'!$A$2:$F$2,0)),"")</f>
        <v>47.829900000000002</v>
      </c>
      <c r="G141" s="7">
        <f t="array" ref="G141">_xlfn.IFNA(INDEX('DMR Flows-Effluent'!$A$3:$F$9999,MATCH(($G$10&amp;$B141),('DMR Flows-Effluent'!$B$3:$B$9999&amp;'DMR Flows-Effluent'!$A$3:$A$9999),0),MATCH($F$8,'DMR Flows-Effluent'!$A$2:$F$2,0)),"")</f>
        <v>70.417299999999997</v>
      </c>
      <c r="H141" s="7">
        <f t="shared" ref="H141:H204" si="67">SUM(F141:G141)</f>
        <v>118.24719999999999</v>
      </c>
      <c r="I141" s="45" t="str">
        <f t="shared" ref="I141:I204" si="68">IFERROR(IF(L141&lt;VALUE(J141),"&lt;",""),"")</f>
        <v/>
      </c>
      <c r="J141" s="6" t="str">
        <f t="array" ref="J141">_xlfn.IFNA((INDEX('DMR 001C TIN &amp; TP'!$A$3:$M$10005,MATCH(('Reg 85'!$I$6:$Q$6&amp;'Reg 85'!$I$10:$K$10&amp;'Reg 85'!$B141),('DMR 001C TIN &amp; TP'!$E$3:$E$10005&amp;'DMR 001C TIN &amp; TP'!$B$3:$B$10005&amp;'DMR 001C TIN &amp; TP'!$A$3:$A$10005),0),MATCH('Reg 85'!$J$11,'DMR 001C TIN &amp; TP'!$A$2:$M$2,0))),"")</f>
        <v>0.15</v>
      </c>
      <c r="K141" s="6">
        <f t="array" ref="K141">_xlfn.IFNA((INDEX('DMR 001C TIN &amp; TP'!$A$3:$M$10005,MATCH(('Reg 85'!$I$6:$Q$6&amp;'Reg 85'!$I$10:$K$10&amp;'Reg 85'!$B141),('DMR 001C TIN &amp; TP'!$E$3:$E$10005&amp;'DMR 001C TIN &amp; TP'!$B$3:$B$10005&amp;'DMR 001C TIN &amp; TP'!$A$3:$A$10005),0),MATCH('Reg 85'!$K$11,'DMR 001C TIN &amp; TP'!$A$2:$M$2,0))),"")</f>
        <v>0.56000000000000005</v>
      </c>
      <c r="L141" s="53">
        <f t="shared" si="59"/>
        <v>0.56000000000000005</v>
      </c>
      <c r="M141" s="5" t="str">
        <f t="shared" ref="M141:M204" si="69">IFERROR(IF(P141&lt;VALUE(N141),"&lt;",""),"")</f>
        <v>&lt;</v>
      </c>
      <c r="N141" s="6" t="str">
        <f t="array" ref="N141">_xlfn.IFNA((INDEX('DMR 001C TIN &amp; TP'!$A$3:$M$10005,MATCH(('Reg 85'!$I$6:$Q$6&amp;'Reg 85'!$M$10&amp;'Reg 85'!$B141),('DMR 001C TIN &amp; TP'!$E$3:$E$10005&amp;'DMR 001C TIN &amp; TP'!$B$3:$B$10005&amp;'DMR 001C TIN &amp; TP'!$A$3:$A$10005),0),MATCH('Reg 85'!$N$11,'DMR 001C TIN &amp; TP'!$A$2:$M$2,0))),"")</f>
        <v>0.15</v>
      </c>
      <c r="O141" s="6">
        <f t="array" ref="O141">_xlfn.IFNA((INDEX('DMR 001C TIN &amp; TP'!$A$3:$M$10005,MATCH(('Reg 85'!$I$6:$Q$6&amp;'Reg 85'!$M$10&amp;'Reg 85'!$B141),('DMR 001C TIN &amp; TP'!$E$3:$E$10005&amp;'DMR 001C TIN &amp; TP'!$B$3:$B$10005&amp;'DMR 001C TIN &amp; TP'!$A$3:$A$10005),0),MATCH('Reg 85'!$O$11,'DMR 001C TIN &amp; TP'!$A$2:$M$2,0))),"")</f>
        <v>0.08</v>
      </c>
      <c r="P141" s="53">
        <f t="shared" ref="P141:P204" si="70">IFERROR(IF(VALUE(O141)&lt;VALUE(N141),0,VALUE(O141)),"")</f>
        <v>0</v>
      </c>
      <c r="Q141" s="73">
        <f t="array" ref="Q141">IFERROR(((L141*$F141)+(P141*$G141))/($H141),"")</f>
        <v>0.2265148265667179</v>
      </c>
      <c r="R141" s="6" t="str">
        <f t="array" ref="R141">_xlfn.IFNA((INDEX('DMR 001C TIN &amp; TP'!$A$3:$M$10005,MATCH(('Reg 85'!$I$6:$Q$6&amp;'Reg 85'!R$10&amp;'Reg 85'!$B141),('DMR 001C TIN &amp; TP'!$E$3:$E$10005&amp;'DMR 001C TIN &amp; TP'!$B$3:$B$10005&amp;'DMR 001C TIN &amp; TP'!$A$3:$A$10005),0),MATCH('Reg 85'!$O$11,'DMR 001C TIN &amp; TP'!$A$2:$M$2,0))),"")</f>
        <v/>
      </c>
      <c r="S141" s="6" t="str">
        <f t="array" ref="S141">_xlfn.IFNA((INDEX('DMR 001C TIN &amp; TP'!$A$3:$M$10005,MATCH(('Reg 85'!$I$6:$Q$6&amp;'Reg 85'!S$10&amp;'Reg 85'!$B141),('DMR 001C TIN &amp; TP'!$E$3:$E$10005&amp;'DMR 001C TIN &amp; TP'!$B$3:$B$10005&amp;'DMR 001C TIN &amp; TP'!$A$3:$A$10005),0),MATCH('Reg 85'!$O$11,'DMR 001C TIN &amp; TP'!$A$2:$M$2,0))),"")</f>
        <v/>
      </c>
      <c r="T141" s="6" t="str">
        <f t="array" ref="T141">_xlfn.IFNA((INDEX('DMR 001C TIN &amp; TP'!$A$3:$M$10005,MATCH(('Reg 85'!$I$6:$Q$6&amp;'Reg 85'!T$10&amp;'Reg 85'!$B141),('DMR 001C TIN &amp; TP'!$E$3:$E$10005&amp;'DMR 001C TIN &amp; TP'!$B$3:$B$10005&amp;'DMR 001C TIN &amp; TP'!$A$3:$A$10005),0),MATCH('Reg 85'!$O$11,'DMR 001C TIN &amp; TP'!$A$2:$M$2,0))),"")</f>
        <v/>
      </c>
      <c r="U141" s="6" t="str">
        <f t="array" ref="U141">_xlfn.IFNA((INDEX('DMR 001C TIN &amp; TP'!$A$3:$M$10005,MATCH(('Reg 85'!$I$6:$Q$6&amp;'Reg 85'!U$10&amp;'Reg 85'!$B141),('DMR 001C TIN &amp; TP'!$E$3:$E$10005&amp;'DMR 001C TIN &amp; TP'!$B$3:$B$10005&amp;'DMR 001C TIN &amp; TP'!$A$3:$A$10005),0),MATCH('Reg 85'!$O$11,'DMR 001C TIN &amp; TP'!$A$2:$M$2,0))),"")</f>
        <v/>
      </c>
      <c r="V141" s="6" t="str">
        <f t="array" ref="V141">_xlfn.IFNA((INDEX('DMR 001C TIN &amp; TP'!$A$3:$M$10005,MATCH(('Reg 85'!$I$6:$Q$6&amp;'Reg 85'!V$10&amp;'Reg 85'!$B141),('DMR 001C TIN &amp; TP'!$E$3:$E$10005&amp;'DMR 001C TIN &amp; TP'!$B$3:$B$10005&amp;'DMR 001C TIN &amp; TP'!$A$3:$A$10005),0),MATCH('Reg 85'!$O$11,'DMR 001C TIN &amp; TP'!$A$2:$M$2,0))),"")</f>
        <v/>
      </c>
      <c r="W141" s="6" t="str">
        <f t="array" ref="W141">_xlfn.IFNA((INDEX('DMR 001C TIN &amp; TP'!$A$3:$M$10005,MATCH(('Reg 85'!$I$6:$Q$6&amp;'Reg 85'!W$10&amp;'Reg 85'!$B141),('DMR 001C TIN &amp; TP'!$E$3:$E$10005&amp;'DMR 001C TIN &amp; TP'!$B$3:$B$10005&amp;'DMR 001C TIN &amp; TP'!$A$3:$A$10005),0),MATCH('Reg 85'!$O$11,'DMR 001C TIN &amp; TP'!$A$2:$M$2,0))),"")</f>
        <v/>
      </c>
      <c r="X141" s="5" t="str">
        <f t="shared" ref="X141:X204" si="71">IFERROR(IF(AA141&lt;VALUE(Y141),"&lt;",""),"")</f>
        <v/>
      </c>
      <c r="Y141" s="6" t="str">
        <f t="array" ref="Y141">_xlfn.IFNA((INDEX('DMR 001C TIN &amp; TP'!$A$3:$M$10005,MATCH(('Reg 85'!$X$6&amp;'Reg 85'!$X$10&amp;'Reg 85'!$B141),('DMR 001C TIN &amp; TP'!$E$3:$E$10005&amp;'DMR 001C TIN &amp; TP'!$B$3:$B$10005&amp;'DMR 001C TIN &amp; TP'!$A$3:$A$10005),0),MATCH('Reg 85'!$Y$11,'DMR 001C TIN &amp; TP'!$A$2:$M$2,0))),"")</f>
        <v>0.06</v>
      </c>
      <c r="Z141" s="6">
        <f t="array" ref="Z141">_xlfn.IFNA((INDEX('DMR 001C TIN &amp; TP'!$A$3:$M$10005,MATCH(('Reg 85'!$X$6&amp;'Reg 85'!$X$10&amp;'Reg 85'!$B141),('DMR 001C TIN &amp; TP'!$E$3:$E$10005&amp;'DMR 001C TIN &amp; TP'!$B$3:$B$10005&amp;'DMR 001C TIN &amp; TP'!$A$3:$A$10005),0),MATCH('Reg 85'!$Z$11,'DMR 001C TIN &amp; TP'!$A$2:$M$2,0))),"")</f>
        <v>5.17</v>
      </c>
      <c r="AA141" s="53">
        <f t="shared" ref="AA141:AA204" si="72">IFERROR(IF(VALUE(Z141)&lt;VALUE(Y141),0,VALUE(Z141)),"")</f>
        <v>5.17</v>
      </c>
      <c r="AB141" s="5" t="str">
        <f t="shared" ref="AB141:AB204" si="73">IFERROR(IF(AE141&lt;VALUE(AC141),"&lt;",""),"")</f>
        <v/>
      </c>
      <c r="AC141" s="6" t="str">
        <f t="array" ref="AC141">_xlfn.IFNA((INDEX('DMR 001C TIN &amp; TP'!$A$3:$M$10005,MATCH(('Reg 85'!$X$6&amp;'Reg 85'!$AB$10&amp;'Reg 85'!$B141),('DMR 001C TIN &amp; TP'!$E$3:$E$10005&amp;'DMR 001C TIN &amp; TP'!$B$3:$B$10005&amp;'DMR 001C TIN &amp; TP'!$A$3:$A$10005),0),MATCH('Reg 85'!$AC$11,'DMR 001C TIN &amp; TP'!$A$2:$M$2,0))),"")</f>
        <v>0.06</v>
      </c>
      <c r="AD141" s="6">
        <f t="array" ref="AD141">_xlfn.IFNA((INDEX('DMR 001C TIN &amp; TP'!$A$3:$M$10005,MATCH(('Reg 85'!$X$6&amp;'Reg 85'!$AB$10&amp;'Reg 85'!$B141),('DMR 001C TIN &amp; TP'!$E$3:$E$10005&amp;'DMR 001C TIN &amp; TP'!$B$3:$B$10005&amp;'DMR 001C TIN &amp; TP'!$A$3:$A$10005),0),MATCH('Reg 85'!$AD$11,'DMR 001C TIN &amp; TP'!$A$2:$M$2,0))),"")</f>
        <v>7.33</v>
      </c>
      <c r="AE141" s="53">
        <f t="shared" ref="AE141:AE204" si="74">IFERROR(IF(VALUE(AD141)&lt;VALUE(AC141),0,VALUE(AD141)),"")</f>
        <v>7.33</v>
      </c>
      <c r="AF141" s="7">
        <f t="shared" ref="AF141:AF204" si="75">IFERROR(((AA141*$F141)+(AE141*$G141))/($H141),"")</f>
        <v>6.4562999546712314</v>
      </c>
      <c r="AG141" s="6" t="str">
        <f t="array" ref="AG141">_xlfn.IFNA((INDEX('DMR 001C TIN &amp; TP'!$A$3:$M$10005,MATCH(('Reg 85'!$X$6&amp;'Reg 85'!AG$10&amp;'Reg 85'!$B141),('DMR 001C TIN &amp; TP'!$E$3:$E$10005&amp;'DMR 001C TIN &amp; TP'!$B$3:$B$10005&amp;'DMR 001C TIN &amp; TP'!$A$3:$A$10005),0),MATCH('Reg 85'!$AG$11,'DMR 001C TIN &amp; TP'!$A$2:$M$2,0))),"")</f>
        <v/>
      </c>
      <c r="AH141" s="6" t="str">
        <f t="array" ref="AH141">_xlfn.IFNA((INDEX('DMR 001C TIN &amp; TP'!$A$3:$M$10005,MATCH(('Reg 85'!$X$6&amp;'Reg 85'!AH$10&amp;'Reg 85'!$B141),('DMR 001C TIN &amp; TP'!$E$3:$E$10005&amp;'DMR 001C TIN &amp; TP'!$B$3:$B$10005&amp;'DMR 001C TIN &amp; TP'!$A$3:$A$10005),0),MATCH('Reg 85'!$AG$11,'DMR 001C TIN &amp; TP'!$A$2:$M$2,0))),"")</f>
        <v/>
      </c>
      <c r="AI141" s="6" t="str">
        <f t="array" ref="AI141">_xlfn.IFNA((INDEX('DMR 001C TIN &amp; TP'!$A$3:$M$10005,MATCH(('Reg 85'!$X$6&amp;'Reg 85'!AI$10&amp;'Reg 85'!$B141),('DMR 001C TIN &amp; TP'!$E$3:$E$10005&amp;'DMR 001C TIN &amp; TP'!$B$3:$B$10005&amp;'DMR 001C TIN &amp; TP'!$A$3:$A$10005),0),MATCH('Reg 85'!$AG$11,'DMR 001C TIN &amp; TP'!$A$2:$M$2,0))),"")</f>
        <v/>
      </c>
      <c r="AJ141" s="6" t="str">
        <f t="array" ref="AJ141">_xlfn.IFNA((INDEX('DMR 001C TIN &amp; TP'!$A$3:$M$10005,MATCH(('Reg 85'!$X$6&amp;'Reg 85'!AJ$10&amp;'Reg 85'!$B141),('DMR 001C TIN &amp; TP'!$E$3:$E$10005&amp;'DMR 001C TIN &amp; TP'!$B$3:$B$10005&amp;'DMR 001C TIN &amp; TP'!$A$3:$A$10005),0),MATCH('Reg 85'!$AG$11,'DMR 001C TIN &amp; TP'!$A$2:$M$2,0))),"")</f>
        <v/>
      </c>
      <c r="AK141" s="6" t="str">
        <f t="array" ref="AK141">_xlfn.IFNA((INDEX('DMR 001C TIN &amp; TP'!$A$3:$M$10005,MATCH(('Reg 85'!$X$6&amp;'Reg 85'!AK$10&amp;'Reg 85'!$B141),('DMR 001C TIN &amp; TP'!$E$3:$E$10005&amp;'DMR 001C TIN &amp; TP'!$B$3:$B$10005&amp;'DMR 001C TIN &amp; TP'!$A$3:$A$10005),0),MATCH('Reg 85'!$AG$11,'DMR 001C TIN &amp; TP'!$A$2:$M$2,0))),"")</f>
        <v/>
      </c>
      <c r="AL141" s="6" t="str">
        <f t="array" ref="AL141">_xlfn.IFNA((INDEX('DMR 001C TIN &amp; TP'!$A$3:$M$10005,MATCH(('Reg 85'!$X$6&amp;'Reg 85'!AL$10&amp;'Reg 85'!$B141),('DMR 001C TIN &amp; TP'!$E$3:$E$10005&amp;'DMR 001C TIN &amp; TP'!$B$3:$B$10005&amp;'DMR 001C TIN &amp; TP'!$A$3:$A$10005),0),MATCH('Reg 85'!$AG$11,'DMR 001C TIN &amp; TP'!$A$2:$M$2,0))),"")</f>
        <v/>
      </c>
      <c r="AM141" s="76"/>
      <c r="AN141" s="6"/>
      <c r="AO141" s="54">
        <f t="shared" si="62"/>
        <v>6.6828147812379495</v>
      </c>
      <c r="AP141" s="77" t="str">
        <f t="shared" si="60"/>
        <v/>
      </c>
      <c r="AQ141" s="47"/>
      <c r="AR141" s="6" t="str">
        <f t="array" ref="AR141">_xlfn.IFNA((INDEX('DMR 001C TIN &amp; TP'!$A$3:$M$10005,MATCH(('Reg 85'!$AQ$6&amp;'Reg 85'!$AQ$10&amp;'Reg 85'!$B141),('DMR 001C TIN &amp; TP'!$E$3:$E$10005&amp;'DMR 001C TIN &amp; TP'!$B$3:$B$10005&amp;'DMR 001C TIN &amp; TP'!$A$3:$A$10005),0),MATCH('Reg 85'!$AR$11,'DMR 001C TIN &amp; TP'!$A$2:$M$2,0))),"")</f>
        <v/>
      </c>
      <c r="AS141" s="6" t="str">
        <f t="array" ref="AS141">_xlfn.IFNA((INDEX('DMR 001C TIN &amp; TP'!$A$3:$M$10005,MATCH(('Reg 85'!$AQ$6&amp;'Reg 85'!$AQ$10&amp;'Reg 85'!$B141),('DMR 001C TIN &amp; TP'!$E$3:$E$10005&amp;'DMR 001C TIN &amp; TP'!$B$3:$B$10005&amp;'DMR 001C TIN &amp; TP'!$A$3:$A$10005),0),MATCH('Reg 85'!$AS$11,'DMR 001C TIN &amp; TP'!$A$2:$M$2,0))),"")</f>
        <v/>
      </c>
      <c r="AT141" s="53" t="str">
        <f t="shared" ref="AT141:AT204" si="76">IFERROR(IF(VALUE(AS141)&lt;VALUE(AR141),0,VALUE(AS141)),"")</f>
        <v/>
      </c>
      <c r="AV141" s="6" t="str">
        <f t="array" ref="AV141">_xlfn.IFNA((INDEX('DMR 001C TIN &amp; TP'!$A$3:$M$10005,MATCH(('Reg 85'!$AQ$6&amp;'Reg 85'!$AU$10&amp;'Reg 85'!$B141),('DMR 001C TIN &amp; TP'!$E$3:$E$10005&amp;'DMR 001C TIN &amp; TP'!$B$3:$B$10005&amp;'DMR 001C TIN &amp; TP'!$A$3:$A$10005),0),MATCH('Reg 85'!$AV$11,'DMR 001C TIN &amp; TP'!$A$2:$M$2,0))),"")</f>
        <v/>
      </c>
      <c r="AW141" s="6" t="str">
        <f t="array" ref="AW141">_xlfn.IFNA((INDEX('DMR 001C TIN &amp; TP'!$A$3:$M$10005,MATCH(('Reg 85'!$AQ$6&amp;'Reg 85'!$AU$10&amp;'Reg 85'!$B141),('DMR 001C TIN &amp; TP'!$E$3:$E$10005&amp;'DMR 001C TIN &amp; TP'!$B$3:$B$10005&amp;'DMR 001C TIN &amp; TP'!$A$3:$A$10005),0),MATCH('Reg 85'!$AW$11,'DMR 001C TIN &amp; TP'!$A$2:$M$2,0))),"")</f>
        <v/>
      </c>
      <c r="AX141" s="53" t="str">
        <f t="shared" ref="AX141:AX204" si="77">IFERROR(IF(VALUE(AW141)&lt;VALUE(AV141),0,VALUE(AW141)),"")</f>
        <v/>
      </c>
      <c r="AY141" s="55" t="str">
        <f t="shared" ref="AY141:AY204" si="78">IFERROR(((AT141*$F141)+(AX141*$G141))/($H141),"")</f>
        <v/>
      </c>
      <c r="AZ141" s="77" t="str">
        <f t="shared" si="61"/>
        <v/>
      </c>
      <c r="BA141" s="6" t="str">
        <f t="array" ref="BA141">_xlfn.IFNA((INDEX('DMR 001C TIN &amp; TP'!$A$3:$M$10005,MATCH(('Reg 85'!$AQ$6&amp;'Reg 85'!BA$10&amp;'Reg 85'!$B141),('DMR 001C TIN &amp; TP'!$E$3:$E$10005&amp;'DMR 001C TIN &amp; TP'!$B$3:$B$10005&amp;'DMR 001C TIN &amp; TP'!$A$3:$A$10005),0),MATCH('Reg 85'!$AG$11,'DMR 001C TIN &amp; TP'!$A$2:$M$2,0))),"")</f>
        <v/>
      </c>
      <c r="BB141" s="6" t="str">
        <f t="array" ref="BB141">_xlfn.IFNA((INDEX('DMR 001C TIN &amp; TP'!$A$3:$M$10005,MATCH(('Reg 85'!$AQ$6&amp;'Reg 85'!BB$10&amp;'Reg 85'!$B141),('DMR 001C TIN &amp; TP'!$E$3:$E$10005&amp;'DMR 001C TIN &amp; TP'!$B$3:$B$10005&amp;'DMR 001C TIN &amp; TP'!$A$3:$A$10005),0),MATCH('Reg 85'!$AG$11,'DMR 001C TIN &amp; TP'!$A$2:$M$2,0))),"")</f>
        <v/>
      </c>
      <c r="BC141" s="6" t="str">
        <f t="array" ref="BC141">_xlfn.IFNA((INDEX('DMR 001C TIN &amp; TP'!$A$3:$M$10005,MATCH(('Reg 85'!$AQ$6&amp;'Reg 85'!BC$10&amp;'Reg 85'!$B141),('DMR 001C TIN &amp; TP'!$E$3:$E$10005&amp;'DMR 001C TIN &amp; TP'!$B$3:$B$10005&amp;'DMR 001C TIN &amp; TP'!$A$3:$A$10005),0),MATCH('Reg 85'!$AG$11,'DMR 001C TIN &amp; TP'!$A$2:$M$2,0))),"")</f>
        <v/>
      </c>
      <c r="BD141" s="6" t="str">
        <f t="array" ref="BD141">_xlfn.IFNA((INDEX('DMR 001C TIN &amp; TP'!$A$3:$M$10005,MATCH(('Reg 85'!$AQ$6&amp;'Reg 85'!BD$10&amp;'Reg 85'!$B141),('DMR 001C TIN &amp; TP'!$E$3:$E$10005&amp;'DMR 001C TIN &amp; TP'!$B$3:$B$10005&amp;'DMR 001C TIN &amp; TP'!$A$3:$A$10005),0),MATCH('Reg 85'!$AG$11,'DMR 001C TIN &amp; TP'!$A$2:$M$2,0))),"")</f>
        <v/>
      </c>
      <c r="BE141" s="6" t="str">
        <f t="array" ref="BE141">_xlfn.IFNA((INDEX('DMR 001C TIN &amp; TP'!$A$3:$M$10005,MATCH(('Reg 85'!$AQ$6&amp;'Reg 85'!BE$10&amp;'Reg 85'!$B141),('DMR 001C TIN &amp; TP'!$E$3:$E$10005&amp;'DMR 001C TIN &amp; TP'!$B$3:$B$10005&amp;'DMR 001C TIN &amp; TP'!$A$3:$A$10005),0),MATCH('Reg 85'!$AG$11,'DMR 001C TIN &amp; TP'!$A$2:$M$2,0))),"")</f>
        <v/>
      </c>
      <c r="BF141" s="6" t="str">
        <f t="array" ref="BF141">_xlfn.IFNA((INDEX('DMR 001C TIN &amp; TP'!$A$3:$M$10005,MATCH(('Reg 85'!$AQ$6&amp;'Reg 85'!BF$10&amp;'Reg 85'!$B141),('DMR 001C TIN &amp; TP'!$E$3:$E$10005&amp;'DMR 001C TIN &amp; TP'!$B$3:$B$10005&amp;'DMR 001C TIN &amp; TP'!$A$3:$A$10005),0),MATCH('Reg 85'!$AG$11,'DMR 001C TIN &amp; TP'!$A$2:$M$2,0))),"")</f>
        <v/>
      </c>
    </row>
    <row r="142" spans="1:58">
      <c r="A142" s="3" t="str">
        <f t="shared" si="63"/>
        <v>Wed</v>
      </c>
      <c r="B142" s="96">
        <f t="shared" ref="B142:B205" si="79">B141+1</f>
        <v>43474</v>
      </c>
      <c r="C142" s="96">
        <f t="shared" si="64"/>
        <v>43496</v>
      </c>
      <c r="D142" s="96">
        <f t="shared" si="65"/>
        <v>43466</v>
      </c>
      <c r="E142" s="95">
        <f t="shared" si="66"/>
        <v>31</v>
      </c>
      <c r="F142" s="7">
        <f t="array" ref="F142">_xlfn.IFNA(INDEX('DMR Flows-Effluent'!$A$3:$F$9999,MATCH(($F$10&amp;$B142),('DMR Flows-Effluent'!$B$3:$B$9999&amp;'DMR Flows-Effluent'!$A$3:$A$9999),0),MATCH($F$8,'DMR Flows-Effluent'!$A$2:$F$2,0)),"")</f>
        <v>45.235900000000001</v>
      </c>
      <c r="G142" s="7">
        <f t="array" ref="G142">_xlfn.IFNA(INDEX('DMR Flows-Effluent'!$A$3:$F$9999,MATCH(($G$10&amp;$B142),('DMR Flows-Effluent'!$B$3:$B$9999&amp;'DMR Flows-Effluent'!$A$3:$A$9999),0),MATCH($F$8,'DMR Flows-Effluent'!$A$2:$F$2,0)),"")</f>
        <v>71.525099999999995</v>
      </c>
      <c r="H142" s="7">
        <f t="shared" si="67"/>
        <v>116.761</v>
      </c>
      <c r="I142" s="45" t="str">
        <f t="shared" si="68"/>
        <v/>
      </c>
      <c r="J142" s="6" t="str">
        <f t="array" ref="J142">_xlfn.IFNA((INDEX('DMR 001C TIN &amp; TP'!$A$3:$M$10005,MATCH(('Reg 85'!$I$6:$Q$6&amp;'Reg 85'!$I$10:$K$10&amp;'Reg 85'!$B142),('DMR 001C TIN &amp; TP'!$E$3:$E$10005&amp;'DMR 001C TIN &amp; TP'!$B$3:$B$10005&amp;'DMR 001C TIN &amp; TP'!$A$3:$A$10005),0),MATCH('Reg 85'!$J$11,'DMR 001C TIN &amp; TP'!$A$2:$M$2,0))),"")</f>
        <v>0.15</v>
      </c>
      <c r="K142" s="6">
        <f t="array" ref="K142">_xlfn.IFNA((INDEX('DMR 001C TIN &amp; TP'!$A$3:$M$10005,MATCH(('Reg 85'!$I$6:$Q$6&amp;'Reg 85'!$I$10:$K$10&amp;'Reg 85'!$B142),('DMR 001C TIN &amp; TP'!$E$3:$E$10005&amp;'DMR 001C TIN &amp; TP'!$B$3:$B$10005&amp;'DMR 001C TIN &amp; TP'!$A$3:$A$10005),0),MATCH('Reg 85'!$K$11,'DMR 001C TIN &amp; TP'!$A$2:$M$2,0))),"")</f>
        <v>1.17</v>
      </c>
      <c r="L142" s="53">
        <f t="shared" si="59"/>
        <v>1.17</v>
      </c>
      <c r="M142" s="5" t="str">
        <f t="shared" si="69"/>
        <v>&lt;</v>
      </c>
      <c r="N142" s="6" t="str">
        <f t="array" ref="N142">_xlfn.IFNA((INDEX('DMR 001C TIN &amp; TP'!$A$3:$M$10005,MATCH(('Reg 85'!$I$6:$Q$6&amp;'Reg 85'!$M$10&amp;'Reg 85'!$B142),('DMR 001C TIN &amp; TP'!$E$3:$E$10005&amp;'DMR 001C TIN &amp; TP'!$B$3:$B$10005&amp;'DMR 001C TIN &amp; TP'!$A$3:$A$10005),0),MATCH('Reg 85'!$N$11,'DMR 001C TIN &amp; TP'!$A$2:$M$2,0))),"")</f>
        <v>0.15</v>
      </c>
      <c r="O142" s="6">
        <f t="array" ref="O142">_xlfn.IFNA((INDEX('DMR 001C TIN &amp; TP'!$A$3:$M$10005,MATCH(('Reg 85'!$I$6:$Q$6&amp;'Reg 85'!$M$10&amp;'Reg 85'!$B142),('DMR 001C TIN &amp; TP'!$E$3:$E$10005&amp;'DMR 001C TIN &amp; TP'!$B$3:$B$10005&amp;'DMR 001C TIN &amp; TP'!$A$3:$A$10005),0),MATCH('Reg 85'!$O$11,'DMR 001C TIN &amp; TP'!$A$2:$M$2,0))),"")</f>
        <v>0.09</v>
      </c>
      <c r="P142" s="53">
        <f t="shared" si="70"/>
        <v>0</v>
      </c>
      <c r="Q142" s="73">
        <f t="array" ref="Q142">IFERROR(((L142*$F142)+(P142*$G142))/($H142),"")</f>
        <v>0.45328494103339295</v>
      </c>
      <c r="R142" s="6" t="str">
        <f t="array" ref="R142">_xlfn.IFNA((INDEX('DMR 001C TIN &amp; TP'!$A$3:$M$10005,MATCH(('Reg 85'!$I$6:$Q$6&amp;'Reg 85'!R$10&amp;'Reg 85'!$B142),('DMR 001C TIN &amp; TP'!$E$3:$E$10005&amp;'DMR 001C TIN &amp; TP'!$B$3:$B$10005&amp;'DMR 001C TIN &amp; TP'!$A$3:$A$10005),0),MATCH('Reg 85'!$O$11,'DMR 001C TIN &amp; TP'!$A$2:$M$2,0))),"")</f>
        <v/>
      </c>
      <c r="S142" s="6" t="str">
        <f t="array" ref="S142">_xlfn.IFNA((INDEX('DMR 001C TIN &amp; TP'!$A$3:$M$10005,MATCH(('Reg 85'!$I$6:$Q$6&amp;'Reg 85'!S$10&amp;'Reg 85'!$B142),('DMR 001C TIN &amp; TP'!$E$3:$E$10005&amp;'DMR 001C TIN &amp; TP'!$B$3:$B$10005&amp;'DMR 001C TIN &amp; TP'!$A$3:$A$10005),0),MATCH('Reg 85'!$O$11,'DMR 001C TIN &amp; TP'!$A$2:$M$2,0))),"")</f>
        <v/>
      </c>
      <c r="T142" s="6" t="str">
        <f t="array" ref="T142">_xlfn.IFNA((INDEX('DMR 001C TIN &amp; TP'!$A$3:$M$10005,MATCH(('Reg 85'!$I$6:$Q$6&amp;'Reg 85'!T$10&amp;'Reg 85'!$B142),('DMR 001C TIN &amp; TP'!$E$3:$E$10005&amp;'DMR 001C TIN &amp; TP'!$B$3:$B$10005&amp;'DMR 001C TIN &amp; TP'!$A$3:$A$10005),0),MATCH('Reg 85'!$O$11,'DMR 001C TIN &amp; TP'!$A$2:$M$2,0))),"")</f>
        <v/>
      </c>
      <c r="U142" s="6" t="str">
        <f t="array" ref="U142">_xlfn.IFNA((INDEX('DMR 001C TIN &amp; TP'!$A$3:$M$10005,MATCH(('Reg 85'!$I$6:$Q$6&amp;'Reg 85'!U$10&amp;'Reg 85'!$B142),('DMR 001C TIN &amp; TP'!$E$3:$E$10005&amp;'DMR 001C TIN &amp; TP'!$B$3:$B$10005&amp;'DMR 001C TIN &amp; TP'!$A$3:$A$10005),0),MATCH('Reg 85'!$O$11,'DMR 001C TIN &amp; TP'!$A$2:$M$2,0))),"")</f>
        <v/>
      </c>
      <c r="V142" s="6" t="str">
        <f t="array" ref="V142">_xlfn.IFNA((INDEX('DMR 001C TIN &amp; TP'!$A$3:$M$10005,MATCH(('Reg 85'!$I$6:$Q$6&amp;'Reg 85'!V$10&amp;'Reg 85'!$B142),('DMR 001C TIN &amp; TP'!$E$3:$E$10005&amp;'DMR 001C TIN &amp; TP'!$B$3:$B$10005&amp;'DMR 001C TIN &amp; TP'!$A$3:$A$10005),0),MATCH('Reg 85'!$O$11,'DMR 001C TIN &amp; TP'!$A$2:$M$2,0))),"")</f>
        <v/>
      </c>
      <c r="W142" s="6" t="str">
        <f t="array" ref="W142">_xlfn.IFNA((INDEX('DMR 001C TIN &amp; TP'!$A$3:$M$10005,MATCH(('Reg 85'!$I$6:$Q$6&amp;'Reg 85'!W$10&amp;'Reg 85'!$B142),('DMR 001C TIN &amp; TP'!$E$3:$E$10005&amp;'DMR 001C TIN &amp; TP'!$B$3:$B$10005&amp;'DMR 001C TIN &amp; TP'!$A$3:$A$10005),0),MATCH('Reg 85'!$O$11,'DMR 001C TIN &amp; TP'!$A$2:$M$2,0))),"")</f>
        <v/>
      </c>
      <c r="X142" s="5" t="str">
        <f t="shared" si="71"/>
        <v/>
      </c>
      <c r="Y142" s="6" t="str">
        <f t="array" ref="Y142">_xlfn.IFNA((INDEX('DMR 001C TIN &amp; TP'!$A$3:$M$10005,MATCH(('Reg 85'!$X$6&amp;'Reg 85'!$X$10&amp;'Reg 85'!$B142),('DMR 001C TIN &amp; TP'!$E$3:$E$10005&amp;'DMR 001C TIN &amp; TP'!$B$3:$B$10005&amp;'DMR 001C TIN &amp; TP'!$A$3:$A$10005),0),MATCH('Reg 85'!$Y$11,'DMR 001C TIN &amp; TP'!$A$2:$M$2,0))),"")</f>
        <v>0.06</v>
      </c>
      <c r="Z142" s="6">
        <f t="array" ref="Z142">_xlfn.IFNA((INDEX('DMR 001C TIN &amp; TP'!$A$3:$M$10005,MATCH(('Reg 85'!$X$6&amp;'Reg 85'!$X$10&amp;'Reg 85'!$B142),('DMR 001C TIN &amp; TP'!$E$3:$E$10005&amp;'DMR 001C TIN &amp; TP'!$B$3:$B$10005&amp;'DMR 001C TIN &amp; TP'!$A$3:$A$10005),0),MATCH('Reg 85'!$Z$11,'DMR 001C TIN &amp; TP'!$A$2:$M$2,0))),"")</f>
        <v>4.58</v>
      </c>
      <c r="AA142" s="53">
        <f t="shared" si="72"/>
        <v>4.58</v>
      </c>
      <c r="AB142" s="5" t="str">
        <f t="shared" si="73"/>
        <v/>
      </c>
      <c r="AC142" s="6" t="str">
        <f t="array" ref="AC142">_xlfn.IFNA((INDEX('DMR 001C TIN &amp; TP'!$A$3:$M$10005,MATCH(('Reg 85'!$X$6&amp;'Reg 85'!$AB$10&amp;'Reg 85'!$B142),('DMR 001C TIN &amp; TP'!$E$3:$E$10005&amp;'DMR 001C TIN &amp; TP'!$B$3:$B$10005&amp;'DMR 001C TIN &amp; TP'!$A$3:$A$10005),0),MATCH('Reg 85'!$AC$11,'DMR 001C TIN &amp; TP'!$A$2:$M$2,0))),"")</f>
        <v>0.06</v>
      </c>
      <c r="AD142" s="6">
        <f t="array" ref="AD142">_xlfn.IFNA((INDEX('DMR 001C TIN &amp; TP'!$A$3:$M$10005,MATCH(('Reg 85'!$X$6&amp;'Reg 85'!$AB$10&amp;'Reg 85'!$B142),('DMR 001C TIN &amp; TP'!$E$3:$E$10005&amp;'DMR 001C TIN &amp; TP'!$B$3:$B$10005&amp;'DMR 001C TIN &amp; TP'!$A$3:$A$10005),0),MATCH('Reg 85'!$AD$11,'DMR 001C TIN &amp; TP'!$A$2:$M$2,0))),"")</f>
        <v>6.9</v>
      </c>
      <c r="AE142" s="53">
        <f t="shared" si="74"/>
        <v>6.9</v>
      </c>
      <c r="AF142" s="7">
        <f t="shared" si="75"/>
        <v>6.0011785784636995</v>
      </c>
      <c r="AG142" s="6" t="str">
        <f t="array" ref="AG142">_xlfn.IFNA((INDEX('DMR 001C TIN &amp; TP'!$A$3:$M$10005,MATCH(('Reg 85'!$X$6&amp;'Reg 85'!AG$10&amp;'Reg 85'!$B142),('DMR 001C TIN &amp; TP'!$E$3:$E$10005&amp;'DMR 001C TIN &amp; TP'!$B$3:$B$10005&amp;'DMR 001C TIN &amp; TP'!$A$3:$A$10005),0),MATCH('Reg 85'!$AG$11,'DMR 001C TIN &amp; TP'!$A$2:$M$2,0))),"")</f>
        <v/>
      </c>
      <c r="AH142" s="6" t="str">
        <f t="array" ref="AH142">_xlfn.IFNA((INDEX('DMR 001C TIN &amp; TP'!$A$3:$M$10005,MATCH(('Reg 85'!$X$6&amp;'Reg 85'!AH$10&amp;'Reg 85'!$B142),('DMR 001C TIN &amp; TP'!$E$3:$E$10005&amp;'DMR 001C TIN &amp; TP'!$B$3:$B$10005&amp;'DMR 001C TIN &amp; TP'!$A$3:$A$10005),0),MATCH('Reg 85'!$AG$11,'DMR 001C TIN &amp; TP'!$A$2:$M$2,0))),"")</f>
        <v/>
      </c>
      <c r="AI142" s="6" t="str">
        <f t="array" ref="AI142">_xlfn.IFNA((INDEX('DMR 001C TIN &amp; TP'!$A$3:$M$10005,MATCH(('Reg 85'!$X$6&amp;'Reg 85'!AI$10&amp;'Reg 85'!$B142),('DMR 001C TIN &amp; TP'!$E$3:$E$10005&amp;'DMR 001C TIN &amp; TP'!$B$3:$B$10005&amp;'DMR 001C TIN &amp; TP'!$A$3:$A$10005),0),MATCH('Reg 85'!$AG$11,'DMR 001C TIN &amp; TP'!$A$2:$M$2,0))),"")</f>
        <v/>
      </c>
      <c r="AJ142" s="6" t="str">
        <f t="array" ref="AJ142">_xlfn.IFNA((INDEX('DMR 001C TIN &amp; TP'!$A$3:$M$10005,MATCH(('Reg 85'!$X$6&amp;'Reg 85'!AJ$10&amp;'Reg 85'!$B142),('DMR 001C TIN &amp; TP'!$E$3:$E$10005&amp;'DMR 001C TIN &amp; TP'!$B$3:$B$10005&amp;'DMR 001C TIN &amp; TP'!$A$3:$A$10005),0),MATCH('Reg 85'!$AG$11,'DMR 001C TIN &amp; TP'!$A$2:$M$2,0))),"")</f>
        <v/>
      </c>
      <c r="AK142" s="6" t="str">
        <f t="array" ref="AK142">_xlfn.IFNA((INDEX('DMR 001C TIN &amp; TP'!$A$3:$M$10005,MATCH(('Reg 85'!$X$6&amp;'Reg 85'!AK$10&amp;'Reg 85'!$B142),('DMR 001C TIN &amp; TP'!$E$3:$E$10005&amp;'DMR 001C TIN &amp; TP'!$B$3:$B$10005&amp;'DMR 001C TIN &amp; TP'!$A$3:$A$10005),0),MATCH('Reg 85'!$AG$11,'DMR 001C TIN &amp; TP'!$A$2:$M$2,0))),"")</f>
        <v/>
      </c>
      <c r="AL142" s="6" t="str">
        <f t="array" ref="AL142">_xlfn.IFNA((INDEX('DMR 001C TIN &amp; TP'!$A$3:$M$10005,MATCH(('Reg 85'!$X$6&amp;'Reg 85'!AL$10&amp;'Reg 85'!$B142),('DMR 001C TIN &amp; TP'!$E$3:$E$10005&amp;'DMR 001C TIN &amp; TP'!$B$3:$B$10005&amp;'DMR 001C TIN &amp; TP'!$A$3:$A$10005),0),MATCH('Reg 85'!$AG$11,'DMR 001C TIN &amp; TP'!$A$2:$M$2,0))),"")</f>
        <v/>
      </c>
      <c r="AM142" s="76"/>
      <c r="AN142" s="6"/>
      <c r="AO142" s="54">
        <f t="shared" si="62"/>
        <v>6.4544635194970921</v>
      </c>
      <c r="AP142" s="77" t="str">
        <f t="shared" si="60"/>
        <v/>
      </c>
      <c r="AQ142" s="47"/>
      <c r="AR142" s="6" t="str">
        <f t="array" ref="AR142">_xlfn.IFNA((INDEX('DMR 001C TIN &amp; TP'!$A$3:$M$10005,MATCH(('Reg 85'!$AQ$6&amp;'Reg 85'!$AQ$10&amp;'Reg 85'!$B142),('DMR 001C TIN &amp; TP'!$E$3:$E$10005&amp;'DMR 001C TIN &amp; TP'!$B$3:$B$10005&amp;'DMR 001C TIN &amp; TP'!$A$3:$A$10005),0),MATCH('Reg 85'!$AR$11,'DMR 001C TIN &amp; TP'!$A$2:$M$2,0))),"")</f>
        <v/>
      </c>
      <c r="AS142" s="6" t="str">
        <f t="array" ref="AS142">_xlfn.IFNA((INDEX('DMR 001C TIN &amp; TP'!$A$3:$M$10005,MATCH(('Reg 85'!$AQ$6&amp;'Reg 85'!$AQ$10&amp;'Reg 85'!$B142),('DMR 001C TIN &amp; TP'!$E$3:$E$10005&amp;'DMR 001C TIN &amp; TP'!$B$3:$B$10005&amp;'DMR 001C TIN &amp; TP'!$A$3:$A$10005),0),MATCH('Reg 85'!$AS$11,'DMR 001C TIN &amp; TP'!$A$2:$M$2,0))),"")</f>
        <v/>
      </c>
      <c r="AT142" s="53" t="str">
        <f t="shared" si="76"/>
        <v/>
      </c>
      <c r="AV142" s="6" t="str">
        <f t="array" ref="AV142">_xlfn.IFNA((INDEX('DMR 001C TIN &amp; TP'!$A$3:$M$10005,MATCH(('Reg 85'!$AQ$6&amp;'Reg 85'!$AU$10&amp;'Reg 85'!$B142),('DMR 001C TIN &amp; TP'!$E$3:$E$10005&amp;'DMR 001C TIN &amp; TP'!$B$3:$B$10005&amp;'DMR 001C TIN &amp; TP'!$A$3:$A$10005),0),MATCH('Reg 85'!$AV$11,'DMR 001C TIN &amp; TP'!$A$2:$M$2,0))),"")</f>
        <v/>
      </c>
      <c r="AW142" s="6" t="str">
        <f t="array" ref="AW142">_xlfn.IFNA((INDEX('DMR 001C TIN &amp; TP'!$A$3:$M$10005,MATCH(('Reg 85'!$AQ$6&amp;'Reg 85'!$AU$10&amp;'Reg 85'!$B142),('DMR 001C TIN &amp; TP'!$E$3:$E$10005&amp;'DMR 001C TIN &amp; TP'!$B$3:$B$10005&amp;'DMR 001C TIN &amp; TP'!$A$3:$A$10005),0),MATCH('Reg 85'!$AW$11,'DMR 001C TIN &amp; TP'!$A$2:$M$2,0))),"")</f>
        <v/>
      </c>
      <c r="AX142" s="53" t="str">
        <f t="shared" si="77"/>
        <v/>
      </c>
      <c r="AY142" s="55" t="str">
        <f t="shared" si="78"/>
        <v/>
      </c>
      <c r="AZ142" s="77" t="str">
        <f t="shared" si="61"/>
        <v/>
      </c>
      <c r="BA142" s="6" t="str">
        <f t="array" ref="BA142">_xlfn.IFNA((INDEX('DMR 001C TIN &amp; TP'!$A$3:$M$10005,MATCH(('Reg 85'!$AQ$6&amp;'Reg 85'!BA$10&amp;'Reg 85'!$B142),('DMR 001C TIN &amp; TP'!$E$3:$E$10005&amp;'DMR 001C TIN &amp; TP'!$B$3:$B$10005&amp;'DMR 001C TIN &amp; TP'!$A$3:$A$10005),0),MATCH('Reg 85'!$AG$11,'DMR 001C TIN &amp; TP'!$A$2:$M$2,0))),"")</f>
        <v/>
      </c>
      <c r="BB142" s="6" t="str">
        <f t="array" ref="BB142">_xlfn.IFNA((INDEX('DMR 001C TIN &amp; TP'!$A$3:$M$10005,MATCH(('Reg 85'!$AQ$6&amp;'Reg 85'!BB$10&amp;'Reg 85'!$B142),('DMR 001C TIN &amp; TP'!$E$3:$E$10005&amp;'DMR 001C TIN &amp; TP'!$B$3:$B$10005&amp;'DMR 001C TIN &amp; TP'!$A$3:$A$10005),0),MATCH('Reg 85'!$AG$11,'DMR 001C TIN &amp; TP'!$A$2:$M$2,0))),"")</f>
        <v/>
      </c>
      <c r="BC142" s="6" t="str">
        <f t="array" ref="BC142">_xlfn.IFNA((INDEX('DMR 001C TIN &amp; TP'!$A$3:$M$10005,MATCH(('Reg 85'!$AQ$6&amp;'Reg 85'!BC$10&amp;'Reg 85'!$B142),('DMR 001C TIN &amp; TP'!$E$3:$E$10005&amp;'DMR 001C TIN &amp; TP'!$B$3:$B$10005&amp;'DMR 001C TIN &amp; TP'!$A$3:$A$10005),0),MATCH('Reg 85'!$AG$11,'DMR 001C TIN &amp; TP'!$A$2:$M$2,0))),"")</f>
        <v/>
      </c>
      <c r="BD142" s="6" t="str">
        <f t="array" ref="BD142">_xlfn.IFNA((INDEX('DMR 001C TIN &amp; TP'!$A$3:$M$10005,MATCH(('Reg 85'!$AQ$6&amp;'Reg 85'!BD$10&amp;'Reg 85'!$B142),('DMR 001C TIN &amp; TP'!$E$3:$E$10005&amp;'DMR 001C TIN &amp; TP'!$B$3:$B$10005&amp;'DMR 001C TIN &amp; TP'!$A$3:$A$10005),0),MATCH('Reg 85'!$AG$11,'DMR 001C TIN &amp; TP'!$A$2:$M$2,0))),"")</f>
        <v/>
      </c>
      <c r="BE142" s="6" t="str">
        <f t="array" ref="BE142">_xlfn.IFNA((INDEX('DMR 001C TIN &amp; TP'!$A$3:$M$10005,MATCH(('Reg 85'!$AQ$6&amp;'Reg 85'!BE$10&amp;'Reg 85'!$B142),('DMR 001C TIN &amp; TP'!$E$3:$E$10005&amp;'DMR 001C TIN &amp; TP'!$B$3:$B$10005&amp;'DMR 001C TIN &amp; TP'!$A$3:$A$10005),0),MATCH('Reg 85'!$AG$11,'DMR 001C TIN &amp; TP'!$A$2:$M$2,0))),"")</f>
        <v/>
      </c>
      <c r="BF142" s="6" t="str">
        <f t="array" ref="BF142">_xlfn.IFNA((INDEX('DMR 001C TIN &amp; TP'!$A$3:$M$10005,MATCH(('Reg 85'!$AQ$6&amp;'Reg 85'!BF$10&amp;'Reg 85'!$B142),('DMR 001C TIN &amp; TP'!$E$3:$E$10005&amp;'DMR 001C TIN &amp; TP'!$B$3:$B$10005&amp;'DMR 001C TIN &amp; TP'!$A$3:$A$10005),0),MATCH('Reg 85'!$AG$11,'DMR 001C TIN &amp; TP'!$A$2:$M$2,0))),"")</f>
        <v/>
      </c>
    </row>
    <row r="143" spans="1:58">
      <c r="A143" s="3" t="str">
        <f t="shared" si="63"/>
        <v>Thu</v>
      </c>
      <c r="B143" s="96">
        <f t="shared" si="79"/>
        <v>43475</v>
      </c>
      <c r="C143" s="96">
        <f t="shared" si="64"/>
        <v>43496</v>
      </c>
      <c r="D143" s="96">
        <f t="shared" si="65"/>
        <v>43466</v>
      </c>
      <c r="E143" s="95">
        <f t="shared" si="66"/>
        <v>31</v>
      </c>
      <c r="F143" s="7">
        <f t="array" ref="F143">_xlfn.IFNA(INDEX('DMR Flows-Effluent'!$A$3:$F$9999,MATCH(($F$10&amp;$B143),('DMR Flows-Effluent'!$B$3:$B$9999&amp;'DMR Flows-Effluent'!$A$3:$A$9999),0),MATCH($F$8,'DMR Flows-Effluent'!$A$2:$F$2,0)),"")</f>
        <v>43.2761</v>
      </c>
      <c r="G143" s="7">
        <f t="array" ref="G143">_xlfn.IFNA(INDEX('DMR Flows-Effluent'!$A$3:$F$9999,MATCH(($G$10&amp;$B143),('DMR Flows-Effluent'!$B$3:$B$9999&amp;'DMR Flows-Effluent'!$A$3:$A$9999),0),MATCH($F$8,'DMR Flows-Effluent'!$A$2:$F$2,0)),"")</f>
        <v>73.500100000000003</v>
      </c>
      <c r="H143" s="7">
        <f t="shared" si="67"/>
        <v>116.7762</v>
      </c>
      <c r="I143" s="45" t="str">
        <f t="shared" si="68"/>
        <v/>
      </c>
      <c r="J143" s="6" t="str">
        <f t="array" ref="J143">_xlfn.IFNA((INDEX('DMR 001C TIN &amp; TP'!$A$3:$M$10005,MATCH(('Reg 85'!$I$6:$Q$6&amp;'Reg 85'!$I$10:$K$10&amp;'Reg 85'!$B143),('DMR 001C TIN &amp; TP'!$E$3:$E$10005&amp;'DMR 001C TIN &amp; TP'!$B$3:$B$10005&amp;'DMR 001C TIN &amp; TP'!$A$3:$A$10005),0),MATCH('Reg 85'!$J$11,'DMR 001C TIN &amp; TP'!$A$2:$M$2,0))),"")</f>
        <v/>
      </c>
      <c r="K143" s="6" t="str">
        <f t="array" ref="K143">_xlfn.IFNA((INDEX('DMR 001C TIN &amp; TP'!$A$3:$M$10005,MATCH(('Reg 85'!$I$6:$Q$6&amp;'Reg 85'!$I$10:$K$10&amp;'Reg 85'!$B143),('DMR 001C TIN &amp; TP'!$E$3:$E$10005&amp;'DMR 001C TIN &amp; TP'!$B$3:$B$10005&amp;'DMR 001C TIN &amp; TP'!$A$3:$A$10005),0),MATCH('Reg 85'!$K$11,'DMR 001C TIN &amp; TP'!$A$2:$M$2,0))),"")</f>
        <v/>
      </c>
      <c r="L143" s="53" t="str">
        <f t="shared" ref="L143:L206" si="80">IFERROR(IF(VALUE(K143)&lt;VALUE(J143),0,VALUE(K143)),"")</f>
        <v/>
      </c>
      <c r="M143" s="5" t="str">
        <f t="shared" si="69"/>
        <v/>
      </c>
      <c r="N143" s="6" t="str">
        <f t="array" ref="N143">_xlfn.IFNA((INDEX('DMR 001C TIN &amp; TP'!$A$3:$M$10005,MATCH(('Reg 85'!$I$6:$Q$6&amp;'Reg 85'!$M$10&amp;'Reg 85'!$B143),('DMR 001C TIN &amp; TP'!$E$3:$E$10005&amp;'DMR 001C TIN &amp; TP'!$B$3:$B$10005&amp;'DMR 001C TIN &amp; TP'!$A$3:$A$10005),0),MATCH('Reg 85'!$N$11,'DMR 001C TIN &amp; TP'!$A$2:$M$2,0))),"")</f>
        <v/>
      </c>
      <c r="O143" s="6" t="str">
        <f t="array" ref="O143">_xlfn.IFNA((INDEX('DMR 001C TIN &amp; TP'!$A$3:$M$10005,MATCH(('Reg 85'!$I$6:$Q$6&amp;'Reg 85'!$M$10&amp;'Reg 85'!$B143),('DMR 001C TIN &amp; TP'!$E$3:$E$10005&amp;'DMR 001C TIN &amp; TP'!$B$3:$B$10005&amp;'DMR 001C TIN &amp; TP'!$A$3:$A$10005),0),MATCH('Reg 85'!$O$11,'DMR 001C TIN &amp; TP'!$A$2:$M$2,0))),"")</f>
        <v/>
      </c>
      <c r="P143" s="53" t="str">
        <f t="shared" si="70"/>
        <v/>
      </c>
      <c r="Q143" s="73" t="str">
        <f t="array" ref="Q143">IFERROR(((L143*$F143)+(P143*$G143))/($H143),"")</f>
        <v/>
      </c>
      <c r="R143" s="6" t="str">
        <f t="array" ref="R143">_xlfn.IFNA((INDEX('DMR 001C TIN &amp; TP'!$A$3:$M$10005,MATCH(('Reg 85'!$I$6:$Q$6&amp;'Reg 85'!R$10&amp;'Reg 85'!$B143),('DMR 001C TIN &amp; TP'!$E$3:$E$10005&amp;'DMR 001C TIN &amp; TP'!$B$3:$B$10005&amp;'DMR 001C TIN &amp; TP'!$A$3:$A$10005),0),MATCH('Reg 85'!$O$11,'DMR 001C TIN &amp; TP'!$A$2:$M$2,0))),"")</f>
        <v/>
      </c>
      <c r="S143" s="6" t="str">
        <f t="array" ref="S143">_xlfn.IFNA((INDEX('DMR 001C TIN &amp; TP'!$A$3:$M$10005,MATCH(('Reg 85'!$I$6:$Q$6&amp;'Reg 85'!S$10&amp;'Reg 85'!$B143),('DMR 001C TIN &amp; TP'!$E$3:$E$10005&amp;'DMR 001C TIN &amp; TP'!$B$3:$B$10005&amp;'DMR 001C TIN &amp; TP'!$A$3:$A$10005),0),MATCH('Reg 85'!$O$11,'DMR 001C TIN &amp; TP'!$A$2:$M$2,0))),"")</f>
        <v/>
      </c>
      <c r="T143" s="6" t="str">
        <f t="array" ref="T143">_xlfn.IFNA((INDEX('DMR 001C TIN &amp; TP'!$A$3:$M$10005,MATCH(('Reg 85'!$I$6:$Q$6&amp;'Reg 85'!T$10&amp;'Reg 85'!$B143),('DMR 001C TIN &amp; TP'!$E$3:$E$10005&amp;'DMR 001C TIN &amp; TP'!$B$3:$B$10005&amp;'DMR 001C TIN &amp; TP'!$A$3:$A$10005),0),MATCH('Reg 85'!$O$11,'DMR 001C TIN &amp; TP'!$A$2:$M$2,0))),"")</f>
        <v/>
      </c>
      <c r="U143" s="6">
        <f t="array" ref="U143">_xlfn.IFNA((INDEX('DMR 001C TIN &amp; TP'!$A$3:$M$10005,MATCH(('Reg 85'!$I$6:$Q$6&amp;'Reg 85'!U$10&amp;'Reg 85'!$B143),('DMR 001C TIN &amp; TP'!$E$3:$E$10005&amp;'DMR 001C TIN &amp; TP'!$B$3:$B$10005&amp;'DMR 001C TIN &amp; TP'!$A$3:$A$10005),0),MATCH('Reg 85'!$O$11,'DMR 001C TIN &amp; TP'!$A$2:$M$2,0))),"")</f>
        <v>0.22</v>
      </c>
      <c r="V143" s="6" t="str">
        <f t="array" ref="V143">_xlfn.IFNA((INDEX('DMR 001C TIN &amp; TP'!$A$3:$M$10005,MATCH(('Reg 85'!$I$6:$Q$6&amp;'Reg 85'!V$10&amp;'Reg 85'!$B143),('DMR 001C TIN &amp; TP'!$E$3:$E$10005&amp;'DMR 001C TIN &amp; TP'!$B$3:$B$10005&amp;'DMR 001C TIN &amp; TP'!$A$3:$A$10005),0),MATCH('Reg 85'!$O$11,'DMR 001C TIN &amp; TP'!$A$2:$M$2,0))),"")</f>
        <v/>
      </c>
      <c r="W143" s="6" t="str">
        <f t="array" ref="W143">_xlfn.IFNA((INDEX('DMR 001C TIN &amp; TP'!$A$3:$M$10005,MATCH(('Reg 85'!$I$6:$Q$6&amp;'Reg 85'!W$10&amp;'Reg 85'!$B143),('DMR 001C TIN &amp; TP'!$E$3:$E$10005&amp;'DMR 001C TIN &amp; TP'!$B$3:$B$10005&amp;'DMR 001C TIN &amp; TP'!$A$3:$A$10005),0),MATCH('Reg 85'!$O$11,'DMR 001C TIN &amp; TP'!$A$2:$M$2,0))),"")</f>
        <v/>
      </c>
      <c r="X143" s="5" t="str">
        <f t="shared" si="71"/>
        <v/>
      </c>
      <c r="Y143" s="6" t="str">
        <f t="array" ref="Y143">_xlfn.IFNA((INDEX('DMR 001C TIN &amp; TP'!$A$3:$M$10005,MATCH(('Reg 85'!$X$6&amp;'Reg 85'!$X$10&amp;'Reg 85'!$B143),('DMR 001C TIN &amp; TP'!$E$3:$E$10005&amp;'DMR 001C TIN &amp; TP'!$B$3:$B$10005&amp;'DMR 001C TIN &amp; TP'!$A$3:$A$10005),0),MATCH('Reg 85'!$Y$11,'DMR 001C TIN &amp; TP'!$A$2:$M$2,0))),"")</f>
        <v/>
      </c>
      <c r="Z143" s="6" t="str">
        <f t="array" ref="Z143">_xlfn.IFNA((INDEX('DMR 001C TIN &amp; TP'!$A$3:$M$10005,MATCH(('Reg 85'!$X$6&amp;'Reg 85'!$X$10&amp;'Reg 85'!$B143),('DMR 001C TIN &amp; TP'!$E$3:$E$10005&amp;'DMR 001C TIN &amp; TP'!$B$3:$B$10005&amp;'DMR 001C TIN &amp; TP'!$A$3:$A$10005),0),MATCH('Reg 85'!$Z$11,'DMR 001C TIN &amp; TP'!$A$2:$M$2,0))),"")</f>
        <v/>
      </c>
      <c r="AA143" s="53" t="str">
        <f t="shared" si="72"/>
        <v/>
      </c>
      <c r="AB143" s="5" t="str">
        <f t="shared" si="73"/>
        <v/>
      </c>
      <c r="AC143" s="6" t="str">
        <f t="array" ref="AC143">_xlfn.IFNA((INDEX('DMR 001C TIN &amp; TP'!$A$3:$M$10005,MATCH(('Reg 85'!$X$6&amp;'Reg 85'!$AB$10&amp;'Reg 85'!$B143),('DMR 001C TIN &amp; TP'!$E$3:$E$10005&amp;'DMR 001C TIN &amp; TP'!$B$3:$B$10005&amp;'DMR 001C TIN &amp; TP'!$A$3:$A$10005),0),MATCH('Reg 85'!$AC$11,'DMR 001C TIN &amp; TP'!$A$2:$M$2,0))),"")</f>
        <v/>
      </c>
      <c r="AD143" s="6" t="str">
        <f t="array" ref="AD143">_xlfn.IFNA((INDEX('DMR 001C TIN &amp; TP'!$A$3:$M$10005,MATCH(('Reg 85'!$X$6&amp;'Reg 85'!$AB$10&amp;'Reg 85'!$B143),('DMR 001C TIN &amp; TP'!$E$3:$E$10005&amp;'DMR 001C TIN &amp; TP'!$B$3:$B$10005&amp;'DMR 001C TIN &amp; TP'!$A$3:$A$10005),0),MATCH('Reg 85'!$AD$11,'DMR 001C TIN &amp; TP'!$A$2:$M$2,0))),"")</f>
        <v/>
      </c>
      <c r="AE143" s="53" t="str">
        <f t="shared" si="74"/>
        <v/>
      </c>
      <c r="AF143" s="7" t="str">
        <f t="shared" si="75"/>
        <v/>
      </c>
      <c r="AG143" s="6" t="str">
        <f t="array" ref="AG143">_xlfn.IFNA((INDEX('DMR 001C TIN &amp; TP'!$A$3:$M$10005,MATCH(('Reg 85'!$X$6&amp;'Reg 85'!AG$10&amp;'Reg 85'!$B143),('DMR 001C TIN &amp; TP'!$E$3:$E$10005&amp;'DMR 001C TIN &amp; TP'!$B$3:$B$10005&amp;'DMR 001C TIN &amp; TP'!$A$3:$A$10005),0),MATCH('Reg 85'!$AG$11,'DMR 001C TIN &amp; TP'!$A$2:$M$2,0))),"")</f>
        <v/>
      </c>
      <c r="AH143" s="6" t="str">
        <f t="array" ref="AH143">_xlfn.IFNA((INDEX('DMR 001C TIN &amp; TP'!$A$3:$M$10005,MATCH(('Reg 85'!$X$6&amp;'Reg 85'!AH$10&amp;'Reg 85'!$B143),('DMR 001C TIN &amp; TP'!$E$3:$E$10005&amp;'DMR 001C TIN &amp; TP'!$B$3:$B$10005&amp;'DMR 001C TIN &amp; TP'!$A$3:$A$10005),0),MATCH('Reg 85'!$AG$11,'DMR 001C TIN &amp; TP'!$A$2:$M$2,0))),"")</f>
        <v/>
      </c>
      <c r="AI143" s="6" t="str">
        <f t="array" ref="AI143">_xlfn.IFNA((INDEX('DMR 001C TIN &amp; TP'!$A$3:$M$10005,MATCH(('Reg 85'!$X$6&amp;'Reg 85'!AI$10&amp;'Reg 85'!$B143),('DMR 001C TIN &amp; TP'!$E$3:$E$10005&amp;'DMR 001C TIN &amp; TP'!$B$3:$B$10005&amp;'DMR 001C TIN &amp; TP'!$A$3:$A$10005),0),MATCH('Reg 85'!$AG$11,'DMR 001C TIN &amp; TP'!$A$2:$M$2,0))),"")</f>
        <v/>
      </c>
      <c r="AJ143" s="6" t="str">
        <f t="array" ref="AJ143">_xlfn.IFNA((INDEX('DMR 001C TIN &amp; TP'!$A$3:$M$10005,MATCH(('Reg 85'!$X$6&amp;'Reg 85'!AJ$10&amp;'Reg 85'!$B143),('DMR 001C TIN &amp; TP'!$E$3:$E$10005&amp;'DMR 001C TIN &amp; TP'!$B$3:$B$10005&amp;'DMR 001C TIN &amp; TP'!$A$3:$A$10005),0),MATCH('Reg 85'!$AG$11,'DMR 001C TIN &amp; TP'!$A$2:$M$2,0))),"")</f>
        <v/>
      </c>
      <c r="AK143" s="6" t="str">
        <f t="array" ref="AK143">_xlfn.IFNA((INDEX('DMR 001C TIN &amp; TP'!$A$3:$M$10005,MATCH(('Reg 85'!$X$6&amp;'Reg 85'!AK$10&amp;'Reg 85'!$B143),('DMR 001C TIN &amp; TP'!$E$3:$E$10005&amp;'DMR 001C TIN &amp; TP'!$B$3:$B$10005&amp;'DMR 001C TIN &amp; TP'!$A$3:$A$10005),0),MATCH('Reg 85'!$AG$11,'DMR 001C TIN &amp; TP'!$A$2:$M$2,0))),"")</f>
        <v/>
      </c>
      <c r="AL143" s="6" t="str">
        <f t="array" ref="AL143">_xlfn.IFNA((INDEX('DMR 001C TIN &amp; TP'!$A$3:$M$10005,MATCH(('Reg 85'!$X$6&amp;'Reg 85'!AL$10&amp;'Reg 85'!$B143),('DMR 001C TIN &amp; TP'!$E$3:$E$10005&amp;'DMR 001C TIN &amp; TP'!$B$3:$B$10005&amp;'DMR 001C TIN &amp; TP'!$A$3:$A$10005),0),MATCH('Reg 85'!$AG$11,'DMR 001C TIN &amp; TP'!$A$2:$M$2,0))),"")</f>
        <v/>
      </c>
      <c r="AM143" s="76"/>
      <c r="AN143" s="6"/>
      <c r="AO143" s="54" t="str">
        <f t="shared" si="62"/>
        <v/>
      </c>
      <c r="AP143" s="77" t="str">
        <f t="shared" si="60"/>
        <v/>
      </c>
      <c r="AQ143" s="47"/>
      <c r="AR143" s="6" t="str">
        <f t="array" ref="AR143">_xlfn.IFNA((INDEX('DMR 001C TIN &amp; TP'!$A$3:$M$10005,MATCH(('Reg 85'!$AQ$6&amp;'Reg 85'!$AQ$10&amp;'Reg 85'!$B143),('DMR 001C TIN &amp; TP'!$E$3:$E$10005&amp;'DMR 001C TIN &amp; TP'!$B$3:$B$10005&amp;'DMR 001C TIN &amp; TP'!$A$3:$A$10005),0),MATCH('Reg 85'!$AR$11,'DMR 001C TIN &amp; TP'!$A$2:$M$2,0))),"")</f>
        <v>0.03</v>
      </c>
      <c r="AS143" s="6">
        <f t="array" ref="AS143">_xlfn.IFNA((INDEX('DMR 001C TIN &amp; TP'!$A$3:$M$10005,MATCH(('Reg 85'!$AQ$6&amp;'Reg 85'!$AQ$10&amp;'Reg 85'!$B143),('DMR 001C TIN &amp; TP'!$E$3:$E$10005&amp;'DMR 001C TIN &amp; TP'!$B$3:$B$10005&amp;'DMR 001C TIN &amp; TP'!$A$3:$A$10005),0),MATCH('Reg 85'!$AS$11,'DMR 001C TIN &amp; TP'!$A$2:$M$2,0))),"")</f>
        <v>0.28000000000000003</v>
      </c>
      <c r="AT143" s="53">
        <f t="shared" si="76"/>
        <v>0.28000000000000003</v>
      </c>
      <c r="AV143" s="6" t="str">
        <f t="array" ref="AV143">_xlfn.IFNA((INDEX('DMR 001C TIN &amp; TP'!$A$3:$M$10005,MATCH(('Reg 85'!$AQ$6&amp;'Reg 85'!$AU$10&amp;'Reg 85'!$B143),('DMR 001C TIN &amp; TP'!$E$3:$E$10005&amp;'DMR 001C TIN &amp; TP'!$B$3:$B$10005&amp;'DMR 001C TIN &amp; TP'!$A$3:$A$10005),0),MATCH('Reg 85'!$AV$11,'DMR 001C TIN &amp; TP'!$A$2:$M$2,0))),"")</f>
        <v>0.03</v>
      </c>
      <c r="AW143" s="6">
        <f t="array" ref="AW143">_xlfn.IFNA((INDEX('DMR 001C TIN &amp; TP'!$A$3:$M$10005,MATCH(('Reg 85'!$AQ$6&amp;'Reg 85'!$AU$10&amp;'Reg 85'!$B143),('DMR 001C TIN &amp; TP'!$E$3:$E$10005&amp;'DMR 001C TIN &amp; TP'!$B$3:$B$10005&amp;'DMR 001C TIN &amp; TP'!$A$3:$A$10005),0),MATCH('Reg 85'!$AW$11,'DMR 001C TIN &amp; TP'!$A$2:$M$2,0))),"")</f>
        <v>4.0199999999999996</v>
      </c>
      <c r="AX143" s="53">
        <f t="shared" si="77"/>
        <v>4.0199999999999996</v>
      </c>
      <c r="AY143" s="55">
        <f t="shared" si="78"/>
        <v>2.6339931424382703</v>
      </c>
      <c r="AZ143" s="77" t="str">
        <f t="shared" si="61"/>
        <v/>
      </c>
      <c r="BA143" s="6" t="str">
        <f t="array" ref="BA143">_xlfn.IFNA((INDEX('DMR 001C TIN &amp; TP'!$A$3:$M$10005,MATCH(('Reg 85'!$AQ$6&amp;'Reg 85'!BA$10&amp;'Reg 85'!$B143),('DMR 001C TIN &amp; TP'!$E$3:$E$10005&amp;'DMR 001C TIN &amp; TP'!$B$3:$B$10005&amp;'DMR 001C TIN &amp; TP'!$A$3:$A$10005),0),MATCH('Reg 85'!$AG$11,'DMR 001C TIN &amp; TP'!$A$2:$M$2,0))),"")</f>
        <v/>
      </c>
      <c r="BB143" s="6" t="str">
        <f t="array" ref="BB143">_xlfn.IFNA((INDEX('DMR 001C TIN &amp; TP'!$A$3:$M$10005,MATCH(('Reg 85'!$AQ$6&amp;'Reg 85'!BB$10&amp;'Reg 85'!$B143),('DMR 001C TIN &amp; TP'!$E$3:$E$10005&amp;'DMR 001C TIN &amp; TP'!$B$3:$B$10005&amp;'DMR 001C TIN &amp; TP'!$A$3:$A$10005),0),MATCH('Reg 85'!$AG$11,'DMR 001C TIN &amp; TP'!$A$2:$M$2,0))),"")</f>
        <v/>
      </c>
      <c r="BC143" s="6" t="str">
        <f t="array" ref="BC143">_xlfn.IFNA((INDEX('DMR 001C TIN &amp; TP'!$A$3:$M$10005,MATCH(('Reg 85'!$AQ$6&amp;'Reg 85'!BC$10&amp;'Reg 85'!$B143),('DMR 001C TIN &amp; TP'!$E$3:$E$10005&amp;'DMR 001C TIN &amp; TP'!$B$3:$B$10005&amp;'DMR 001C TIN &amp; TP'!$A$3:$A$10005),0),MATCH('Reg 85'!$AG$11,'DMR 001C TIN &amp; TP'!$A$2:$M$2,0))),"")</f>
        <v/>
      </c>
      <c r="BD143" s="6" t="str">
        <f t="array" ref="BD143">_xlfn.IFNA((INDEX('DMR 001C TIN &amp; TP'!$A$3:$M$10005,MATCH(('Reg 85'!$AQ$6&amp;'Reg 85'!BD$10&amp;'Reg 85'!$B143),('DMR 001C TIN &amp; TP'!$E$3:$E$10005&amp;'DMR 001C TIN &amp; TP'!$B$3:$B$10005&amp;'DMR 001C TIN &amp; TP'!$A$3:$A$10005),0),MATCH('Reg 85'!$AG$11,'DMR 001C TIN &amp; TP'!$A$2:$M$2,0))),"")</f>
        <v/>
      </c>
      <c r="BE143" s="6" t="str">
        <f t="array" ref="BE143">_xlfn.IFNA((INDEX('DMR 001C TIN &amp; TP'!$A$3:$M$10005,MATCH(('Reg 85'!$AQ$6&amp;'Reg 85'!BE$10&amp;'Reg 85'!$B143),('DMR 001C TIN &amp; TP'!$E$3:$E$10005&amp;'DMR 001C TIN &amp; TP'!$B$3:$B$10005&amp;'DMR 001C TIN &amp; TP'!$A$3:$A$10005),0),MATCH('Reg 85'!$AG$11,'DMR 001C TIN &amp; TP'!$A$2:$M$2,0))),"")</f>
        <v/>
      </c>
      <c r="BF143" s="6" t="str">
        <f t="array" ref="BF143">_xlfn.IFNA((INDEX('DMR 001C TIN &amp; TP'!$A$3:$M$10005,MATCH(('Reg 85'!$AQ$6&amp;'Reg 85'!BF$10&amp;'Reg 85'!$B143),('DMR 001C TIN &amp; TP'!$E$3:$E$10005&amp;'DMR 001C TIN &amp; TP'!$B$3:$B$10005&amp;'DMR 001C TIN &amp; TP'!$A$3:$A$10005),0),MATCH('Reg 85'!$AG$11,'DMR 001C TIN &amp; TP'!$A$2:$M$2,0))),"")</f>
        <v/>
      </c>
    </row>
    <row r="144" spans="1:58">
      <c r="A144" s="3" t="str">
        <f t="shared" si="63"/>
        <v>Fri</v>
      </c>
      <c r="B144" s="96">
        <f t="shared" si="79"/>
        <v>43476</v>
      </c>
      <c r="C144" s="96">
        <f t="shared" si="64"/>
        <v>43496</v>
      </c>
      <c r="D144" s="96">
        <f t="shared" si="65"/>
        <v>43466</v>
      </c>
      <c r="E144" s="95">
        <f t="shared" si="66"/>
        <v>31</v>
      </c>
      <c r="F144" s="7">
        <f t="array" ref="F144">_xlfn.IFNA(INDEX('DMR Flows-Effluent'!$A$3:$F$9999,MATCH(($F$10&amp;$B144),('DMR Flows-Effluent'!$B$3:$B$9999&amp;'DMR Flows-Effluent'!$A$3:$A$9999),0),MATCH($F$8,'DMR Flows-Effluent'!$A$2:$F$2,0)),"")</f>
        <v>51.821399999999997</v>
      </c>
      <c r="G144" s="7">
        <f t="array" ref="G144">_xlfn.IFNA(INDEX('DMR Flows-Effluent'!$A$3:$F$9999,MATCH(($G$10&amp;$B144),('DMR Flows-Effluent'!$B$3:$B$9999&amp;'DMR Flows-Effluent'!$A$3:$A$9999),0),MATCH($F$8,'DMR Flows-Effluent'!$A$2:$F$2,0)),"")</f>
        <v>71.429299999999998</v>
      </c>
      <c r="H144" s="7">
        <f t="shared" si="67"/>
        <v>123.25069999999999</v>
      </c>
      <c r="I144" s="45" t="str">
        <f t="shared" si="68"/>
        <v/>
      </c>
      <c r="J144" s="6" t="str">
        <f t="array" ref="J144">_xlfn.IFNA((INDEX('DMR 001C TIN &amp; TP'!$A$3:$M$10005,MATCH(('Reg 85'!$I$6:$Q$6&amp;'Reg 85'!$I$10:$K$10&amp;'Reg 85'!$B144),('DMR 001C TIN &amp; TP'!$E$3:$E$10005&amp;'DMR 001C TIN &amp; TP'!$B$3:$B$10005&amp;'DMR 001C TIN &amp; TP'!$A$3:$A$10005),0),MATCH('Reg 85'!$J$11,'DMR 001C TIN &amp; TP'!$A$2:$M$2,0))),"")</f>
        <v/>
      </c>
      <c r="K144" s="6" t="str">
        <f t="array" ref="K144">_xlfn.IFNA((INDEX('DMR 001C TIN &amp; TP'!$A$3:$M$10005,MATCH(('Reg 85'!$I$6:$Q$6&amp;'Reg 85'!$I$10:$K$10&amp;'Reg 85'!$B144),('DMR 001C TIN &amp; TP'!$E$3:$E$10005&amp;'DMR 001C TIN &amp; TP'!$B$3:$B$10005&amp;'DMR 001C TIN &amp; TP'!$A$3:$A$10005),0),MATCH('Reg 85'!$K$11,'DMR 001C TIN &amp; TP'!$A$2:$M$2,0))),"")</f>
        <v/>
      </c>
      <c r="L144" s="53" t="str">
        <f t="shared" si="80"/>
        <v/>
      </c>
      <c r="M144" s="5" t="str">
        <f t="shared" si="69"/>
        <v/>
      </c>
      <c r="N144" s="6" t="str">
        <f t="array" ref="N144">_xlfn.IFNA((INDEX('DMR 001C TIN &amp; TP'!$A$3:$M$10005,MATCH(('Reg 85'!$I$6:$Q$6&amp;'Reg 85'!$M$10&amp;'Reg 85'!$B144),('DMR 001C TIN &amp; TP'!$E$3:$E$10005&amp;'DMR 001C TIN &amp; TP'!$B$3:$B$10005&amp;'DMR 001C TIN &amp; TP'!$A$3:$A$10005),0),MATCH('Reg 85'!$N$11,'DMR 001C TIN &amp; TP'!$A$2:$M$2,0))),"")</f>
        <v/>
      </c>
      <c r="O144" s="6" t="str">
        <f t="array" ref="O144">_xlfn.IFNA((INDEX('DMR 001C TIN &amp; TP'!$A$3:$M$10005,MATCH(('Reg 85'!$I$6:$Q$6&amp;'Reg 85'!$M$10&amp;'Reg 85'!$B144),('DMR 001C TIN &amp; TP'!$E$3:$E$10005&amp;'DMR 001C TIN &amp; TP'!$B$3:$B$10005&amp;'DMR 001C TIN &amp; TP'!$A$3:$A$10005),0),MATCH('Reg 85'!$O$11,'DMR 001C TIN &amp; TP'!$A$2:$M$2,0))),"")</f>
        <v/>
      </c>
      <c r="P144" s="53" t="str">
        <f t="shared" si="70"/>
        <v/>
      </c>
      <c r="Q144" s="73" t="str">
        <f t="array" ref="Q144">IFERROR(((L144*$F144)+(P144*$G144))/($H144),"")</f>
        <v/>
      </c>
      <c r="R144" s="6" t="str">
        <f t="array" ref="R144">_xlfn.IFNA((INDEX('DMR 001C TIN &amp; TP'!$A$3:$M$10005,MATCH(('Reg 85'!$I$6:$Q$6&amp;'Reg 85'!R$10&amp;'Reg 85'!$B144),('DMR 001C TIN &amp; TP'!$E$3:$E$10005&amp;'DMR 001C TIN &amp; TP'!$B$3:$B$10005&amp;'DMR 001C TIN &amp; TP'!$A$3:$A$10005),0),MATCH('Reg 85'!$O$11,'DMR 001C TIN &amp; TP'!$A$2:$M$2,0))),"")</f>
        <v/>
      </c>
      <c r="S144" s="6" t="str">
        <f t="array" ref="S144">_xlfn.IFNA((INDEX('DMR 001C TIN &amp; TP'!$A$3:$M$10005,MATCH(('Reg 85'!$I$6:$Q$6&amp;'Reg 85'!S$10&amp;'Reg 85'!$B144),('DMR 001C TIN &amp; TP'!$E$3:$E$10005&amp;'DMR 001C TIN &amp; TP'!$B$3:$B$10005&amp;'DMR 001C TIN &amp; TP'!$A$3:$A$10005),0),MATCH('Reg 85'!$O$11,'DMR 001C TIN &amp; TP'!$A$2:$M$2,0))),"")</f>
        <v/>
      </c>
      <c r="T144" s="6" t="str">
        <f t="array" ref="T144">_xlfn.IFNA((INDEX('DMR 001C TIN &amp; TP'!$A$3:$M$10005,MATCH(('Reg 85'!$I$6:$Q$6&amp;'Reg 85'!T$10&amp;'Reg 85'!$B144),('DMR 001C TIN &amp; TP'!$E$3:$E$10005&amp;'DMR 001C TIN &amp; TP'!$B$3:$B$10005&amp;'DMR 001C TIN &amp; TP'!$A$3:$A$10005),0),MATCH('Reg 85'!$O$11,'DMR 001C TIN &amp; TP'!$A$2:$M$2,0))),"")</f>
        <v/>
      </c>
      <c r="U144" s="6" t="str">
        <f t="array" ref="U144">_xlfn.IFNA((INDEX('DMR 001C TIN &amp; TP'!$A$3:$M$10005,MATCH(('Reg 85'!$I$6:$Q$6&amp;'Reg 85'!U$10&amp;'Reg 85'!$B144),('DMR 001C TIN &amp; TP'!$E$3:$E$10005&amp;'DMR 001C TIN &amp; TP'!$B$3:$B$10005&amp;'DMR 001C TIN &amp; TP'!$A$3:$A$10005),0),MATCH('Reg 85'!$O$11,'DMR 001C TIN &amp; TP'!$A$2:$M$2,0))),"")</f>
        <v/>
      </c>
      <c r="V144" s="6" t="str">
        <f t="array" ref="V144">_xlfn.IFNA((INDEX('DMR 001C TIN &amp; TP'!$A$3:$M$10005,MATCH(('Reg 85'!$I$6:$Q$6&amp;'Reg 85'!V$10&amp;'Reg 85'!$B144),('DMR 001C TIN &amp; TP'!$E$3:$E$10005&amp;'DMR 001C TIN &amp; TP'!$B$3:$B$10005&amp;'DMR 001C TIN &amp; TP'!$A$3:$A$10005),0),MATCH('Reg 85'!$O$11,'DMR 001C TIN &amp; TP'!$A$2:$M$2,0))),"")</f>
        <v/>
      </c>
      <c r="W144" s="6" t="str">
        <f t="array" ref="W144">_xlfn.IFNA((INDEX('DMR 001C TIN &amp; TP'!$A$3:$M$10005,MATCH(('Reg 85'!$I$6:$Q$6&amp;'Reg 85'!W$10&amp;'Reg 85'!$B144),('DMR 001C TIN &amp; TP'!$E$3:$E$10005&amp;'DMR 001C TIN &amp; TP'!$B$3:$B$10005&amp;'DMR 001C TIN &amp; TP'!$A$3:$A$10005),0),MATCH('Reg 85'!$O$11,'DMR 001C TIN &amp; TP'!$A$2:$M$2,0))),"")</f>
        <v/>
      </c>
      <c r="X144" s="5" t="str">
        <f t="shared" si="71"/>
        <v/>
      </c>
      <c r="Y144" s="6" t="str">
        <f t="array" ref="Y144">_xlfn.IFNA((INDEX('DMR 001C TIN &amp; TP'!$A$3:$M$10005,MATCH(('Reg 85'!$X$6&amp;'Reg 85'!$X$10&amp;'Reg 85'!$B144),('DMR 001C TIN &amp; TP'!$E$3:$E$10005&amp;'DMR 001C TIN &amp; TP'!$B$3:$B$10005&amp;'DMR 001C TIN &amp; TP'!$A$3:$A$10005),0),MATCH('Reg 85'!$Y$11,'DMR 001C TIN &amp; TP'!$A$2:$M$2,0))),"")</f>
        <v/>
      </c>
      <c r="Z144" s="6" t="str">
        <f t="array" ref="Z144">_xlfn.IFNA((INDEX('DMR 001C TIN &amp; TP'!$A$3:$M$10005,MATCH(('Reg 85'!$X$6&amp;'Reg 85'!$X$10&amp;'Reg 85'!$B144),('DMR 001C TIN &amp; TP'!$E$3:$E$10005&amp;'DMR 001C TIN &amp; TP'!$B$3:$B$10005&amp;'DMR 001C TIN &amp; TP'!$A$3:$A$10005),0),MATCH('Reg 85'!$Z$11,'DMR 001C TIN &amp; TP'!$A$2:$M$2,0))),"")</f>
        <v/>
      </c>
      <c r="AA144" s="53" t="str">
        <f t="shared" si="72"/>
        <v/>
      </c>
      <c r="AB144" s="5" t="str">
        <f t="shared" si="73"/>
        <v/>
      </c>
      <c r="AC144" s="6" t="str">
        <f t="array" ref="AC144">_xlfn.IFNA((INDEX('DMR 001C TIN &amp; TP'!$A$3:$M$10005,MATCH(('Reg 85'!$X$6&amp;'Reg 85'!$AB$10&amp;'Reg 85'!$B144),('DMR 001C TIN &amp; TP'!$E$3:$E$10005&amp;'DMR 001C TIN &amp; TP'!$B$3:$B$10005&amp;'DMR 001C TIN &amp; TP'!$A$3:$A$10005),0),MATCH('Reg 85'!$AC$11,'DMR 001C TIN &amp; TP'!$A$2:$M$2,0))),"")</f>
        <v/>
      </c>
      <c r="AD144" s="6" t="str">
        <f t="array" ref="AD144">_xlfn.IFNA((INDEX('DMR 001C TIN &amp; TP'!$A$3:$M$10005,MATCH(('Reg 85'!$X$6&amp;'Reg 85'!$AB$10&amp;'Reg 85'!$B144),('DMR 001C TIN &amp; TP'!$E$3:$E$10005&amp;'DMR 001C TIN &amp; TP'!$B$3:$B$10005&amp;'DMR 001C TIN &amp; TP'!$A$3:$A$10005),0),MATCH('Reg 85'!$AD$11,'DMR 001C TIN &amp; TP'!$A$2:$M$2,0))),"")</f>
        <v/>
      </c>
      <c r="AE144" s="53" t="str">
        <f t="shared" si="74"/>
        <v/>
      </c>
      <c r="AF144" s="7" t="str">
        <f t="shared" si="75"/>
        <v/>
      </c>
      <c r="AG144" s="6" t="str">
        <f t="array" ref="AG144">_xlfn.IFNA((INDEX('DMR 001C TIN &amp; TP'!$A$3:$M$10005,MATCH(('Reg 85'!$X$6&amp;'Reg 85'!AG$10&amp;'Reg 85'!$B144),('DMR 001C TIN &amp; TP'!$E$3:$E$10005&amp;'DMR 001C TIN &amp; TP'!$B$3:$B$10005&amp;'DMR 001C TIN &amp; TP'!$A$3:$A$10005),0),MATCH('Reg 85'!$AG$11,'DMR 001C TIN &amp; TP'!$A$2:$M$2,0))),"")</f>
        <v/>
      </c>
      <c r="AH144" s="6" t="str">
        <f t="array" ref="AH144">_xlfn.IFNA((INDEX('DMR 001C TIN &amp; TP'!$A$3:$M$10005,MATCH(('Reg 85'!$X$6&amp;'Reg 85'!AH$10&amp;'Reg 85'!$B144),('DMR 001C TIN &amp; TP'!$E$3:$E$10005&amp;'DMR 001C TIN &amp; TP'!$B$3:$B$10005&amp;'DMR 001C TIN &amp; TP'!$A$3:$A$10005),0),MATCH('Reg 85'!$AG$11,'DMR 001C TIN &amp; TP'!$A$2:$M$2,0))),"")</f>
        <v/>
      </c>
      <c r="AI144" s="6" t="str">
        <f t="array" ref="AI144">_xlfn.IFNA((INDEX('DMR 001C TIN &amp; TP'!$A$3:$M$10005,MATCH(('Reg 85'!$X$6&amp;'Reg 85'!AI$10&amp;'Reg 85'!$B144),('DMR 001C TIN &amp; TP'!$E$3:$E$10005&amp;'DMR 001C TIN &amp; TP'!$B$3:$B$10005&amp;'DMR 001C TIN &amp; TP'!$A$3:$A$10005),0),MATCH('Reg 85'!$AG$11,'DMR 001C TIN &amp; TP'!$A$2:$M$2,0))),"")</f>
        <v/>
      </c>
      <c r="AJ144" s="6" t="str">
        <f t="array" ref="AJ144">_xlfn.IFNA((INDEX('DMR 001C TIN &amp; TP'!$A$3:$M$10005,MATCH(('Reg 85'!$X$6&amp;'Reg 85'!AJ$10&amp;'Reg 85'!$B144),('DMR 001C TIN &amp; TP'!$E$3:$E$10005&amp;'DMR 001C TIN &amp; TP'!$B$3:$B$10005&amp;'DMR 001C TIN &amp; TP'!$A$3:$A$10005),0),MATCH('Reg 85'!$AG$11,'DMR 001C TIN &amp; TP'!$A$2:$M$2,0))),"")</f>
        <v/>
      </c>
      <c r="AK144" s="6" t="str">
        <f t="array" ref="AK144">_xlfn.IFNA((INDEX('DMR 001C TIN &amp; TP'!$A$3:$M$10005,MATCH(('Reg 85'!$X$6&amp;'Reg 85'!AK$10&amp;'Reg 85'!$B144),('DMR 001C TIN &amp; TP'!$E$3:$E$10005&amp;'DMR 001C TIN &amp; TP'!$B$3:$B$10005&amp;'DMR 001C TIN &amp; TP'!$A$3:$A$10005),0),MATCH('Reg 85'!$AG$11,'DMR 001C TIN &amp; TP'!$A$2:$M$2,0))),"")</f>
        <v/>
      </c>
      <c r="AL144" s="6" t="str">
        <f t="array" ref="AL144">_xlfn.IFNA((INDEX('DMR 001C TIN &amp; TP'!$A$3:$M$10005,MATCH(('Reg 85'!$X$6&amp;'Reg 85'!AL$10&amp;'Reg 85'!$B144),('DMR 001C TIN &amp; TP'!$E$3:$E$10005&amp;'DMR 001C TIN &amp; TP'!$B$3:$B$10005&amp;'DMR 001C TIN &amp; TP'!$A$3:$A$10005),0),MATCH('Reg 85'!$AG$11,'DMR 001C TIN &amp; TP'!$A$2:$M$2,0))),"")</f>
        <v/>
      </c>
      <c r="AM144" s="76"/>
      <c r="AN144" s="6"/>
      <c r="AO144" s="54" t="str">
        <f t="shared" si="62"/>
        <v/>
      </c>
      <c r="AP144" s="77" t="str">
        <f t="shared" si="60"/>
        <v/>
      </c>
      <c r="AQ144" s="47"/>
      <c r="AR144" s="6" t="str">
        <f t="array" ref="AR144">_xlfn.IFNA((INDEX('DMR 001C TIN &amp; TP'!$A$3:$M$10005,MATCH(('Reg 85'!$AQ$6&amp;'Reg 85'!$AQ$10&amp;'Reg 85'!$B144),('DMR 001C TIN &amp; TP'!$E$3:$E$10005&amp;'DMR 001C TIN &amp; TP'!$B$3:$B$10005&amp;'DMR 001C TIN &amp; TP'!$A$3:$A$10005),0),MATCH('Reg 85'!$AR$11,'DMR 001C TIN &amp; TP'!$A$2:$M$2,0))),"")</f>
        <v/>
      </c>
      <c r="AS144" s="6" t="str">
        <f t="array" ref="AS144">_xlfn.IFNA((INDEX('DMR 001C TIN &amp; TP'!$A$3:$M$10005,MATCH(('Reg 85'!$AQ$6&amp;'Reg 85'!$AQ$10&amp;'Reg 85'!$B144),('DMR 001C TIN &amp; TP'!$E$3:$E$10005&amp;'DMR 001C TIN &amp; TP'!$B$3:$B$10005&amp;'DMR 001C TIN &amp; TP'!$A$3:$A$10005),0),MATCH('Reg 85'!$AS$11,'DMR 001C TIN &amp; TP'!$A$2:$M$2,0))),"")</f>
        <v/>
      </c>
      <c r="AT144" s="53" t="str">
        <f t="shared" si="76"/>
        <v/>
      </c>
      <c r="AV144" s="6" t="str">
        <f t="array" ref="AV144">_xlfn.IFNA((INDEX('DMR 001C TIN &amp; TP'!$A$3:$M$10005,MATCH(('Reg 85'!$AQ$6&amp;'Reg 85'!$AU$10&amp;'Reg 85'!$B144),('DMR 001C TIN &amp; TP'!$E$3:$E$10005&amp;'DMR 001C TIN &amp; TP'!$B$3:$B$10005&amp;'DMR 001C TIN &amp; TP'!$A$3:$A$10005),0),MATCH('Reg 85'!$AV$11,'DMR 001C TIN &amp; TP'!$A$2:$M$2,0))),"")</f>
        <v/>
      </c>
      <c r="AW144" s="6" t="str">
        <f t="array" ref="AW144">_xlfn.IFNA((INDEX('DMR 001C TIN &amp; TP'!$A$3:$M$10005,MATCH(('Reg 85'!$AQ$6&amp;'Reg 85'!$AU$10&amp;'Reg 85'!$B144),('DMR 001C TIN &amp; TP'!$E$3:$E$10005&amp;'DMR 001C TIN &amp; TP'!$B$3:$B$10005&amp;'DMR 001C TIN &amp; TP'!$A$3:$A$10005),0),MATCH('Reg 85'!$AW$11,'DMR 001C TIN &amp; TP'!$A$2:$M$2,0))),"")</f>
        <v/>
      </c>
      <c r="AX144" s="53" t="str">
        <f t="shared" si="77"/>
        <v/>
      </c>
      <c r="AY144" s="55" t="str">
        <f t="shared" si="78"/>
        <v/>
      </c>
      <c r="AZ144" s="77" t="str">
        <f t="shared" si="61"/>
        <v/>
      </c>
      <c r="BA144" s="6" t="str">
        <f t="array" ref="BA144">_xlfn.IFNA((INDEX('DMR 001C TIN &amp; TP'!$A$3:$M$10005,MATCH(('Reg 85'!$AQ$6&amp;'Reg 85'!BA$10&amp;'Reg 85'!$B144),('DMR 001C TIN &amp; TP'!$E$3:$E$10005&amp;'DMR 001C TIN &amp; TP'!$B$3:$B$10005&amp;'DMR 001C TIN &amp; TP'!$A$3:$A$10005),0),MATCH('Reg 85'!$AG$11,'DMR 001C TIN &amp; TP'!$A$2:$M$2,0))),"")</f>
        <v/>
      </c>
      <c r="BB144" s="6" t="str">
        <f t="array" ref="BB144">_xlfn.IFNA((INDEX('DMR 001C TIN &amp; TP'!$A$3:$M$10005,MATCH(('Reg 85'!$AQ$6&amp;'Reg 85'!BB$10&amp;'Reg 85'!$B144),('DMR 001C TIN &amp; TP'!$E$3:$E$10005&amp;'DMR 001C TIN &amp; TP'!$B$3:$B$10005&amp;'DMR 001C TIN &amp; TP'!$A$3:$A$10005),0),MATCH('Reg 85'!$AG$11,'DMR 001C TIN &amp; TP'!$A$2:$M$2,0))),"")</f>
        <v/>
      </c>
      <c r="BC144" s="6" t="str">
        <f t="array" ref="BC144">_xlfn.IFNA((INDEX('DMR 001C TIN &amp; TP'!$A$3:$M$10005,MATCH(('Reg 85'!$AQ$6&amp;'Reg 85'!BC$10&amp;'Reg 85'!$B144),('DMR 001C TIN &amp; TP'!$E$3:$E$10005&amp;'DMR 001C TIN &amp; TP'!$B$3:$B$10005&amp;'DMR 001C TIN &amp; TP'!$A$3:$A$10005),0),MATCH('Reg 85'!$AG$11,'DMR 001C TIN &amp; TP'!$A$2:$M$2,0))),"")</f>
        <v/>
      </c>
      <c r="BD144" s="6" t="str">
        <f t="array" ref="BD144">_xlfn.IFNA((INDEX('DMR 001C TIN &amp; TP'!$A$3:$M$10005,MATCH(('Reg 85'!$AQ$6&amp;'Reg 85'!BD$10&amp;'Reg 85'!$B144),('DMR 001C TIN &amp; TP'!$E$3:$E$10005&amp;'DMR 001C TIN &amp; TP'!$B$3:$B$10005&amp;'DMR 001C TIN &amp; TP'!$A$3:$A$10005),0),MATCH('Reg 85'!$AG$11,'DMR 001C TIN &amp; TP'!$A$2:$M$2,0))),"")</f>
        <v/>
      </c>
      <c r="BE144" s="6" t="str">
        <f t="array" ref="BE144">_xlfn.IFNA((INDEX('DMR 001C TIN &amp; TP'!$A$3:$M$10005,MATCH(('Reg 85'!$AQ$6&amp;'Reg 85'!BE$10&amp;'Reg 85'!$B144),('DMR 001C TIN &amp; TP'!$E$3:$E$10005&amp;'DMR 001C TIN &amp; TP'!$B$3:$B$10005&amp;'DMR 001C TIN &amp; TP'!$A$3:$A$10005),0),MATCH('Reg 85'!$AG$11,'DMR 001C TIN &amp; TP'!$A$2:$M$2,0))),"")</f>
        <v/>
      </c>
      <c r="BF144" s="6" t="str">
        <f t="array" ref="BF144">_xlfn.IFNA((INDEX('DMR 001C TIN &amp; TP'!$A$3:$M$10005,MATCH(('Reg 85'!$AQ$6&amp;'Reg 85'!BF$10&amp;'Reg 85'!$B144),('DMR 001C TIN &amp; TP'!$E$3:$E$10005&amp;'DMR 001C TIN &amp; TP'!$B$3:$B$10005&amp;'DMR 001C TIN &amp; TP'!$A$3:$A$10005),0),MATCH('Reg 85'!$AG$11,'DMR 001C TIN &amp; TP'!$A$2:$M$2,0))),"")</f>
        <v/>
      </c>
    </row>
    <row r="145" spans="1:58">
      <c r="A145" s="3" t="str">
        <f t="shared" si="63"/>
        <v>Sat</v>
      </c>
      <c r="B145" s="96">
        <f t="shared" si="79"/>
        <v>43477</v>
      </c>
      <c r="C145" s="96">
        <f t="shared" si="64"/>
        <v>43496</v>
      </c>
      <c r="D145" s="96">
        <f t="shared" si="65"/>
        <v>43466</v>
      </c>
      <c r="E145" s="95">
        <f t="shared" si="66"/>
        <v>31</v>
      </c>
      <c r="F145" s="7">
        <f t="array" ref="F145">_xlfn.IFNA(INDEX('DMR Flows-Effluent'!$A$3:$F$9999,MATCH(($F$10&amp;$B145),('DMR Flows-Effluent'!$B$3:$B$9999&amp;'DMR Flows-Effluent'!$A$3:$A$9999),0),MATCH($F$8,'DMR Flows-Effluent'!$A$2:$F$2,0)),"")</f>
        <v>55.885399999999997</v>
      </c>
      <c r="G145" s="7">
        <f t="array" ref="G145">_xlfn.IFNA(INDEX('DMR Flows-Effluent'!$A$3:$F$9999,MATCH(($G$10&amp;$B145),('DMR Flows-Effluent'!$B$3:$B$9999&amp;'DMR Flows-Effluent'!$A$3:$A$9999),0),MATCH($F$8,'DMR Flows-Effluent'!$A$2:$F$2,0)),"")</f>
        <v>74.446799999999996</v>
      </c>
      <c r="H145" s="7">
        <f t="shared" si="67"/>
        <v>130.3322</v>
      </c>
      <c r="I145" s="45" t="str">
        <f t="shared" si="68"/>
        <v/>
      </c>
      <c r="J145" s="6" t="str">
        <f t="array" ref="J145">_xlfn.IFNA((INDEX('DMR 001C TIN &amp; TP'!$A$3:$M$10005,MATCH(('Reg 85'!$I$6:$Q$6&amp;'Reg 85'!$I$10:$K$10&amp;'Reg 85'!$B145),('DMR 001C TIN &amp; TP'!$E$3:$E$10005&amp;'DMR 001C TIN &amp; TP'!$B$3:$B$10005&amp;'DMR 001C TIN &amp; TP'!$A$3:$A$10005),0),MATCH('Reg 85'!$J$11,'DMR 001C TIN &amp; TP'!$A$2:$M$2,0))),"")</f>
        <v/>
      </c>
      <c r="K145" s="6" t="str">
        <f t="array" ref="K145">_xlfn.IFNA((INDEX('DMR 001C TIN &amp; TP'!$A$3:$M$10005,MATCH(('Reg 85'!$I$6:$Q$6&amp;'Reg 85'!$I$10:$K$10&amp;'Reg 85'!$B145),('DMR 001C TIN &amp; TP'!$E$3:$E$10005&amp;'DMR 001C TIN &amp; TP'!$B$3:$B$10005&amp;'DMR 001C TIN &amp; TP'!$A$3:$A$10005),0),MATCH('Reg 85'!$K$11,'DMR 001C TIN &amp; TP'!$A$2:$M$2,0))),"")</f>
        <v/>
      </c>
      <c r="L145" s="53" t="str">
        <f t="shared" si="80"/>
        <v/>
      </c>
      <c r="M145" s="5" t="str">
        <f t="shared" si="69"/>
        <v/>
      </c>
      <c r="N145" s="6" t="str">
        <f t="array" ref="N145">_xlfn.IFNA((INDEX('DMR 001C TIN &amp; TP'!$A$3:$M$10005,MATCH(('Reg 85'!$I$6:$Q$6&amp;'Reg 85'!$M$10&amp;'Reg 85'!$B145),('DMR 001C TIN &amp; TP'!$E$3:$E$10005&amp;'DMR 001C TIN &amp; TP'!$B$3:$B$10005&amp;'DMR 001C TIN &amp; TP'!$A$3:$A$10005),0),MATCH('Reg 85'!$N$11,'DMR 001C TIN &amp; TP'!$A$2:$M$2,0))),"")</f>
        <v/>
      </c>
      <c r="O145" s="6" t="str">
        <f t="array" ref="O145">_xlfn.IFNA((INDEX('DMR 001C TIN &amp; TP'!$A$3:$M$10005,MATCH(('Reg 85'!$I$6:$Q$6&amp;'Reg 85'!$M$10&amp;'Reg 85'!$B145),('DMR 001C TIN &amp; TP'!$E$3:$E$10005&amp;'DMR 001C TIN &amp; TP'!$B$3:$B$10005&amp;'DMR 001C TIN &amp; TP'!$A$3:$A$10005),0),MATCH('Reg 85'!$O$11,'DMR 001C TIN &amp; TP'!$A$2:$M$2,0))),"")</f>
        <v/>
      </c>
      <c r="P145" s="53" t="str">
        <f t="shared" si="70"/>
        <v/>
      </c>
      <c r="Q145" s="73" t="str">
        <f t="array" ref="Q145">IFERROR(((L145*$F145)+(P145*$G145))/($H145),"")</f>
        <v/>
      </c>
      <c r="R145" s="6" t="str">
        <f t="array" ref="R145">_xlfn.IFNA((INDEX('DMR 001C TIN &amp; TP'!$A$3:$M$10005,MATCH(('Reg 85'!$I$6:$Q$6&amp;'Reg 85'!R$10&amp;'Reg 85'!$B145),('DMR 001C TIN &amp; TP'!$E$3:$E$10005&amp;'DMR 001C TIN &amp; TP'!$B$3:$B$10005&amp;'DMR 001C TIN &amp; TP'!$A$3:$A$10005),0),MATCH('Reg 85'!$O$11,'DMR 001C TIN &amp; TP'!$A$2:$M$2,0))),"")</f>
        <v/>
      </c>
      <c r="S145" s="6" t="str">
        <f t="array" ref="S145">_xlfn.IFNA((INDEX('DMR 001C TIN &amp; TP'!$A$3:$M$10005,MATCH(('Reg 85'!$I$6:$Q$6&amp;'Reg 85'!S$10&amp;'Reg 85'!$B145),('DMR 001C TIN &amp; TP'!$E$3:$E$10005&amp;'DMR 001C TIN &amp; TP'!$B$3:$B$10005&amp;'DMR 001C TIN &amp; TP'!$A$3:$A$10005),0),MATCH('Reg 85'!$O$11,'DMR 001C TIN &amp; TP'!$A$2:$M$2,0))),"")</f>
        <v/>
      </c>
      <c r="T145" s="6" t="str">
        <f t="array" ref="T145">_xlfn.IFNA((INDEX('DMR 001C TIN &amp; TP'!$A$3:$M$10005,MATCH(('Reg 85'!$I$6:$Q$6&amp;'Reg 85'!T$10&amp;'Reg 85'!$B145),('DMR 001C TIN &amp; TP'!$E$3:$E$10005&amp;'DMR 001C TIN &amp; TP'!$B$3:$B$10005&amp;'DMR 001C TIN &amp; TP'!$A$3:$A$10005),0),MATCH('Reg 85'!$O$11,'DMR 001C TIN &amp; TP'!$A$2:$M$2,0))),"")</f>
        <v/>
      </c>
      <c r="U145" s="6">
        <f t="array" ref="U145">_xlfn.IFNA((INDEX('DMR 001C TIN &amp; TP'!$A$3:$M$10005,MATCH(('Reg 85'!$I$6:$Q$6&amp;'Reg 85'!U$10&amp;'Reg 85'!$B145),('DMR 001C TIN &amp; TP'!$E$3:$E$10005&amp;'DMR 001C TIN &amp; TP'!$B$3:$B$10005&amp;'DMR 001C TIN &amp; TP'!$A$3:$A$10005),0),MATCH('Reg 85'!$O$11,'DMR 001C TIN &amp; TP'!$A$2:$M$2,0))),"")</f>
        <v>0.6</v>
      </c>
      <c r="V145" s="6" t="str">
        <f t="array" ref="V145">_xlfn.IFNA((INDEX('DMR 001C TIN &amp; TP'!$A$3:$M$10005,MATCH(('Reg 85'!$I$6:$Q$6&amp;'Reg 85'!V$10&amp;'Reg 85'!$B145),('DMR 001C TIN &amp; TP'!$E$3:$E$10005&amp;'DMR 001C TIN &amp; TP'!$B$3:$B$10005&amp;'DMR 001C TIN &amp; TP'!$A$3:$A$10005),0),MATCH('Reg 85'!$O$11,'DMR 001C TIN &amp; TP'!$A$2:$M$2,0))),"")</f>
        <v/>
      </c>
      <c r="W145" s="6" t="str">
        <f t="array" ref="W145">_xlfn.IFNA((INDEX('DMR 001C TIN &amp; TP'!$A$3:$M$10005,MATCH(('Reg 85'!$I$6:$Q$6&amp;'Reg 85'!W$10&amp;'Reg 85'!$B145),('DMR 001C TIN &amp; TP'!$E$3:$E$10005&amp;'DMR 001C TIN &amp; TP'!$B$3:$B$10005&amp;'DMR 001C TIN &amp; TP'!$A$3:$A$10005),0),MATCH('Reg 85'!$O$11,'DMR 001C TIN &amp; TP'!$A$2:$M$2,0))),"")</f>
        <v/>
      </c>
      <c r="X145" s="5" t="str">
        <f t="shared" si="71"/>
        <v/>
      </c>
      <c r="Y145" s="6" t="str">
        <f t="array" ref="Y145">_xlfn.IFNA((INDEX('DMR 001C TIN &amp; TP'!$A$3:$M$10005,MATCH(('Reg 85'!$X$6&amp;'Reg 85'!$X$10&amp;'Reg 85'!$B145),('DMR 001C TIN &amp; TP'!$E$3:$E$10005&amp;'DMR 001C TIN &amp; TP'!$B$3:$B$10005&amp;'DMR 001C TIN &amp; TP'!$A$3:$A$10005),0),MATCH('Reg 85'!$Y$11,'DMR 001C TIN &amp; TP'!$A$2:$M$2,0))),"")</f>
        <v/>
      </c>
      <c r="Z145" s="6" t="str">
        <f t="array" ref="Z145">_xlfn.IFNA((INDEX('DMR 001C TIN &amp; TP'!$A$3:$M$10005,MATCH(('Reg 85'!$X$6&amp;'Reg 85'!$X$10&amp;'Reg 85'!$B145),('DMR 001C TIN &amp; TP'!$E$3:$E$10005&amp;'DMR 001C TIN &amp; TP'!$B$3:$B$10005&amp;'DMR 001C TIN &amp; TP'!$A$3:$A$10005),0),MATCH('Reg 85'!$Z$11,'DMR 001C TIN &amp; TP'!$A$2:$M$2,0))),"")</f>
        <v/>
      </c>
      <c r="AA145" s="53" t="str">
        <f t="shared" si="72"/>
        <v/>
      </c>
      <c r="AB145" s="5" t="str">
        <f t="shared" si="73"/>
        <v/>
      </c>
      <c r="AC145" s="6" t="str">
        <f t="array" ref="AC145">_xlfn.IFNA((INDEX('DMR 001C TIN &amp; TP'!$A$3:$M$10005,MATCH(('Reg 85'!$X$6&amp;'Reg 85'!$AB$10&amp;'Reg 85'!$B145),('DMR 001C TIN &amp; TP'!$E$3:$E$10005&amp;'DMR 001C TIN &amp; TP'!$B$3:$B$10005&amp;'DMR 001C TIN &amp; TP'!$A$3:$A$10005),0),MATCH('Reg 85'!$AC$11,'DMR 001C TIN &amp; TP'!$A$2:$M$2,0))),"")</f>
        <v/>
      </c>
      <c r="AD145" s="6" t="str">
        <f t="array" ref="AD145">_xlfn.IFNA((INDEX('DMR 001C TIN &amp; TP'!$A$3:$M$10005,MATCH(('Reg 85'!$X$6&amp;'Reg 85'!$AB$10&amp;'Reg 85'!$B145),('DMR 001C TIN &amp; TP'!$E$3:$E$10005&amp;'DMR 001C TIN &amp; TP'!$B$3:$B$10005&amp;'DMR 001C TIN &amp; TP'!$A$3:$A$10005),0),MATCH('Reg 85'!$AD$11,'DMR 001C TIN &amp; TP'!$A$2:$M$2,0))),"")</f>
        <v/>
      </c>
      <c r="AE145" s="53" t="str">
        <f t="shared" si="74"/>
        <v/>
      </c>
      <c r="AF145" s="7" t="str">
        <f t="shared" si="75"/>
        <v/>
      </c>
      <c r="AG145" s="6" t="str">
        <f t="array" ref="AG145">_xlfn.IFNA((INDEX('DMR 001C TIN &amp; TP'!$A$3:$M$10005,MATCH(('Reg 85'!$X$6&amp;'Reg 85'!AG$10&amp;'Reg 85'!$B145),('DMR 001C TIN &amp; TP'!$E$3:$E$10005&amp;'DMR 001C TIN &amp; TP'!$B$3:$B$10005&amp;'DMR 001C TIN &amp; TP'!$A$3:$A$10005),0),MATCH('Reg 85'!$AG$11,'DMR 001C TIN &amp; TP'!$A$2:$M$2,0))),"")</f>
        <v/>
      </c>
      <c r="AH145" s="6" t="str">
        <f t="array" ref="AH145">_xlfn.IFNA((INDEX('DMR 001C TIN &amp; TP'!$A$3:$M$10005,MATCH(('Reg 85'!$X$6&amp;'Reg 85'!AH$10&amp;'Reg 85'!$B145),('DMR 001C TIN &amp; TP'!$E$3:$E$10005&amp;'DMR 001C TIN &amp; TP'!$B$3:$B$10005&amp;'DMR 001C TIN &amp; TP'!$A$3:$A$10005),0),MATCH('Reg 85'!$AG$11,'DMR 001C TIN &amp; TP'!$A$2:$M$2,0))),"")</f>
        <v/>
      </c>
      <c r="AI145" s="6" t="str">
        <f t="array" ref="AI145">_xlfn.IFNA((INDEX('DMR 001C TIN &amp; TP'!$A$3:$M$10005,MATCH(('Reg 85'!$X$6&amp;'Reg 85'!AI$10&amp;'Reg 85'!$B145),('DMR 001C TIN &amp; TP'!$E$3:$E$10005&amp;'DMR 001C TIN &amp; TP'!$B$3:$B$10005&amp;'DMR 001C TIN &amp; TP'!$A$3:$A$10005),0),MATCH('Reg 85'!$AG$11,'DMR 001C TIN &amp; TP'!$A$2:$M$2,0))),"")</f>
        <v/>
      </c>
      <c r="AJ145" s="6" t="str">
        <f t="array" ref="AJ145">_xlfn.IFNA((INDEX('DMR 001C TIN &amp; TP'!$A$3:$M$10005,MATCH(('Reg 85'!$X$6&amp;'Reg 85'!AJ$10&amp;'Reg 85'!$B145),('DMR 001C TIN &amp; TP'!$E$3:$E$10005&amp;'DMR 001C TIN &amp; TP'!$B$3:$B$10005&amp;'DMR 001C TIN &amp; TP'!$A$3:$A$10005),0),MATCH('Reg 85'!$AG$11,'DMR 001C TIN &amp; TP'!$A$2:$M$2,0))),"")</f>
        <v/>
      </c>
      <c r="AK145" s="6" t="str">
        <f t="array" ref="AK145">_xlfn.IFNA((INDEX('DMR 001C TIN &amp; TP'!$A$3:$M$10005,MATCH(('Reg 85'!$X$6&amp;'Reg 85'!AK$10&amp;'Reg 85'!$B145),('DMR 001C TIN &amp; TP'!$E$3:$E$10005&amp;'DMR 001C TIN &amp; TP'!$B$3:$B$10005&amp;'DMR 001C TIN &amp; TP'!$A$3:$A$10005),0),MATCH('Reg 85'!$AG$11,'DMR 001C TIN &amp; TP'!$A$2:$M$2,0))),"")</f>
        <v/>
      </c>
      <c r="AL145" s="6" t="str">
        <f t="array" ref="AL145">_xlfn.IFNA((INDEX('DMR 001C TIN &amp; TP'!$A$3:$M$10005,MATCH(('Reg 85'!$X$6&amp;'Reg 85'!AL$10&amp;'Reg 85'!$B145),('DMR 001C TIN &amp; TP'!$E$3:$E$10005&amp;'DMR 001C TIN &amp; TP'!$B$3:$B$10005&amp;'DMR 001C TIN &amp; TP'!$A$3:$A$10005),0),MATCH('Reg 85'!$AG$11,'DMR 001C TIN &amp; TP'!$A$2:$M$2,0))),"")</f>
        <v/>
      </c>
      <c r="AM145" s="76"/>
      <c r="AN145" s="6"/>
      <c r="AO145" s="54" t="str">
        <f t="shared" si="62"/>
        <v/>
      </c>
      <c r="AP145" s="77" t="str">
        <f t="shared" si="60"/>
        <v/>
      </c>
      <c r="AQ145" s="47"/>
      <c r="AR145" s="6" t="str">
        <f t="array" ref="AR145">_xlfn.IFNA((INDEX('DMR 001C TIN &amp; TP'!$A$3:$M$10005,MATCH(('Reg 85'!$AQ$6&amp;'Reg 85'!$AQ$10&amp;'Reg 85'!$B145),('DMR 001C TIN &amp; TP'!$E$3:$E$10005&amp;'DMR 001C TIN &amp; TP'!$B$3:$B$10005&amp;'DMR 001C TIN &amp; TP'!$A$3:$A$10005),0),MATCH('Reg 85'!$AR$11,'DMR 001C TIN &amp; TP'!$A$2:$M$2,0))),"")</f>
        <v/>
      </c>
      <c r="AS145" s="6" t="str">
        <f t="array" ref="AS145">_xlfn.IFNA((INDEX('DMR 001C TIN &amp; TP'!$A$3:$M$10005,MATCH(('Reg 85'!$AQ$6&amp;'Reg 85'!$AQ$10&amp;'Reg 85'!$B145),('DMR 001C TIN &amp; TP'!$E$3:$E$10005&amp;'DMR 001C TIN &amp; TP'!$B$3:$B$10005&amp;'DMR 001C TIN &amp; TP'!$A$3:$A$10005),0),MATCH('Reg 85'!$AS$11,'DMR 001C TIN &amp; TP'!$A$2:$M$2,0))),"")</f>
        <v/>
      </c>
      <c r="AT145" s="53" t="str">
        <f t="shared" si="76"/>
        <v/>
      </c>
      <c r="AV145" s="6" t="str">
        <f t="array" ref="AV145">_xlfn.IFNA((INDEX('DMR 001C TIN &amp; TP'!$A$3:$M$10005,MATCH(('Reg 85'!$AQ$6&amp;'Reg 85'!$AU$10&amp;'Reg 85'!$B145),('DMR 001C TIN &amp; TP'!$E$3:$E$10005&amp;'DMR 001C TIN &amp; TP'!$B$3:$B$10005&amp;'DMR 001C TIN &amp; TP'!$A$3:$A$10005),0),MATCH('Reg 85'!$AV$11,'DMR 001C TIN &amp; TP'!$A$2:$M$2,0))),"")</f>
        <v/>
      </c>
      <c r="AW145" s="6" t="str">
        <f t="array" ref="AW145">_xlfn.IFNA((INDEX('DMR 001C TIN &amp; TP'!$A$3:$M$10005,MATCH(('Reg 85'!$AQ$6&amp;'Reg 85'!$AU$10&amp;'Reg 85'!$B145),('DMR 001C TIN &amp; TP'!$E$3:$E$10005&amp;'DMR 001C TIN &amp; TP'!$B$3:$B$10005&amp;'DMR 001C TIN &amp; TP'!$A$3:$A$10005),0),MATCH('Reg 85'!$AW$11,'DMR 001C TIN &amp; TP'!$A$2:$M$2,0))),"")</f>
        <v/>
      </c>
      <c r="AX145" s="53" t="str">
        <f t="shared" si="77"/>
        <v/>
      </c>
      <c r="AY145" s="55" t="str">
        <f t="shared" si="78"/>
        <v/>
      </c>
      <c r="AZ145" s="77" t="str">
        <f t="shared" si="61"/>
        <v/>
      </c>
      <c r="BA145" s="6" t="str">
        <f t="array" ref="BA145">_xlfn.IFNA((INDEX('DMR 001C TIN &amp; TP'!$A$3:$M$10005,MATCH(('Reg 85'!$AQ$6&amp;'Reg 85'!BA$10&amp;'Reg 85'!$B145),('DMR 001C TIN &amp; TP'!$E$3:$E$10005&amp;'DMR 001C TIN &amp; TP'!$B$3:$B$10005&amp;'DMR 001C TIN &amp; TP'!$A$3:$A$10005),0),MATCH('Reg 85'!$AG$11,'DMR 001C TIN &amp; TP'!$A$2:$M$2,0))),"")</f>
        <v/>
      </c>
      <c r="BB145" s="6" t="str">
        <f t="array" ref="BB145">_xlfn.IFNA((INDEX('DMR 001C TIN &amp; TP'!$A$3:$M$10005,MATCH(('Reg 85'!$AQ$6&amp;'Reg 85'!BB$10&amp;'Reg 85'!$B145),('DMR 001C TIN &amp; TP'!$E$3:$E$10005&amp;'DMR 001C TIN &amp; TP'!$B$3:$B$10005&amp;'DMR 001C TIN &amp; TP'!$A$3:$A$10005),0),MATCH('Reg 85'!$AG$11,'DMR 001C TIN &amp; TP'!$A$2:$M$2,0))),"")</f>
        <v/>
      </c>
      <c r="BC145" s="6" t="str">
        <f t="array" ref="BC145">_xlfn.IFNA((INDEX('DMR 001C TIN &amp; TP'!$A$3:$M$10005,MATCH(('Reg 85'!$AQ$6&amp;'Reg 85'!BC$10&amp;'Reg 85'!$B145),('DMR 001C TIN &amp; TP'!$E$3:$E$10005&amp;'DMR 001C TIN &amp; TP'!$B$3:$B$10005&amp;'DMR 001C TIN &amp; TP'!$A$3:$A$10005),0),MATCH('Reg 85'!$AG$11,'DMR 001C TIN &amp; TP'!$A$2:$M$2,0))),"")</f>
        <v/>
      </c>
      <c r="BD145" s="6" t="str">
        <f t="array" ref="BD145">_xlfn.IFNA((INDEX('DMR 001C TIN &amp; TP'!$A$3:$M$10005,MATCH(('Reg 85'!$AQ$6&amp;'Reg 85'!BD$10&amp;'Reg 85'!$B145),('DMR 001C TIN &amp; TP'!$E$3:$E$10005&amp;'DMR 001C TIN &amp; TP'!$B$3:$B$10005&amp;'DMR 001C TIN &amp; TP'!$A$3:$A$10005),0),MATCH('Reg 85'!$AG$11,'DMR 001C TIN &amp; TP'!$A$2:$M$2,0))),"")</f>
        <v/>
      </c>
      <c r="BE145" s="6" t="str">
        <f t="array" ref="BE145">_xlfn.IFNA((INDEX('DMR 001C TIN &amp; TP'!$A$3:$M$10005,MATCH(('Reg 85'!$AQ$6&amp;'Reg 85'!BE$10&amp;'Reg 85'!$B145),('DMR 001C TIN &amp; TP'!$E$3:$E$10005&amp;'DMR 001C TIN &amp; TP'!$B$3:$B$10005&amp;'DMR 001C TIN &amp; TP'!$A$3:$A$10005),0),MATCH('Reg 85'!$AG$11,'DMR 001C TIN &amp; TP'!$A$2:$M$2,0))),"")</f>
        <v/>
      </c>
      <c r="BF145" s="6" t="str">
        <f t="array" ref="BF145">_xlfn.IFNA((INDEX('DMR 001C TIN &amp; TP'!$A$3:$M$10005,MATCH(('Reg 85'!$AQ$6&amp;'Reg 85'!BF$10&amp;'Reg 85'!$B145),('DMR 001C TIN &amp; TP'!$E$3:$E$10005&amp;'DMR 001C TIN &amp; TP'!$B$3:$B$10005&amp;'DMR 001C TIN &amp; TP'!$A$3:$A$10005),0),MATCH('Reg 85'!$AG$11,'DMR 001C TIN &amp; TP'!$A$2:$M$2,0))),"")</f>
        <v/>
      </c>
    </row>
    <row r="146" spans="1:58">
      <c r="A146" s="3" t="str">
        <f t="shared" si="63"/>
        <v>Sun</v>
      </c>
      <c r="B146" s="96">
        <f t="shared" si="79"/>
        <v>43478</v>
      </c>
      <c r="C146" s="96">
        <f t="shared" si="64"/>
        <v>43496</v>
      </c>
      <c r="D146" s="96">
        <f t="shared" si="65"/>
        <v>43466</v>
      </c>
      <c r="E146" s="95">
        <f t="shared" si="66"/>
        <v>31</v>
      </c>
      <c r="F146" s="7">
        <f t="array" ref="F146">_xlfn.IFNA(INDEX('DMR Flows-Effluent'!$A$3:$F$9999,MATCH(($F$10&amp;$B146),('DMR Flows-Effluent'!$B$3:$B$9999&amp;'DMR Flows-Effluent'!$A$3:$A$9999),0),MATCH($F$8,'DMR Flows-Effluent'!$A$2:$F$2,0)),"")</f>
        <v>51.981900000000003</v>
      </c>
      <c r="G146" s="7">
        <f t="array" ref="G146">_xlfn.IFNA(INDEX('DMR Flows-Effluent'!$A$3:$F$9999,MATCH(($G$10&amp;$B146),('DMR Flows-Effluent'!$B$3:$B$9999&amp;'DMR Flows-Effluent'!$A$3:$A$9999),0),MATCH($F$8,'DMR Flows-Effluent'!$A$2:$F$2,0)),"")</f>
        <v>69.363600000000005</v>
      </c>
      <c r="H146" s="7">
        <f t="shared" si="67"/>
        <v>121.34550000000002</v>
      </c>
      <c r="I146" s="45" t="str">
        <f t="shared" si="68"/>
        <v/>
      </c>
      <c r="J146" s="6" t="str">
        <f t="array" ref="J146">_xlfn.IFNA((INDEX('DMR 001C TIN &amp; TP'!$A$3:$M$10005,MATCH(('Reg 85'!$I$6:$Q$6&amp;'Reg 85'!$I$10:$K$10&amp;'Reg 85'!$B146),('DMR 001C TIN &amp; TP'!$E$3:$E$10005&amp;'DMR 001C TIN &amp; TP'!$B$3:$B$10005&amp;'DMR 001C TIN &amp; TP'!$A$3:$A$10005),0),MATCH('Reg 85'!$J$11,'DMR 001C TIN &amp; TP'!$A$2:$M$2,0))),"")</f>
        <v/>
      </c>
      <c r="K146" s="6" t="str">
        <f t="array" ref="K146">_xlfn.IFNA((INDEX('DMR 001C TIN &amp; TP'!$A$3:$M$10005,MATCH(('Reg 85'!$I$6:$Q$6&amp;'Reg 85'!$I$10:$K$10&amp;'Reg 85'!$B146),('DMR 001C TIN &amp; TP'!$E$3:$E$10005&amp;'DMR 001C TIN &amp; TP'!$B$3:$B$10005&amp;'DMR 001C TIN &amp; TP'!$A$3:$A$10005),0),MATCH('Reg 85'!$K$11,'DMR 001C TIN &amp; TP'!$A$2:$M$2,0))),"")</f>
        <v/>
      </c>
      <c r="L146" s="53" t="str">
        <f t="shared" si="80"/>
        <v/>
      </c>
      <c r="M146" s="5" t="str">
        <f t="shared" si="69"/>
        <v/>
      </c>
      <c r="N146" s="6" t="str">
        <f t="array" ref="N146">_xlfn.IFNA((INDEX('DMR 001C TIN &amp; TP'!$A$3:$M$10005,MATCH(('Reg 85'!$I$6:$Q$6&amp;'Reg 85'!$M$10&amp;'Reg 85'!$B146),('DMR 001C TIN &amp; TP'!$E$3:$E$10005&amp;'DMR 001C TIN &amp; TP'!$B$3:$B$10005&amp;'DMR 001C TIN &amp; TP'!$A$3:$A$10005),0),MATCH('Reg 85'!$N$11,'DMR 001C TIN &amp; TP'!$A$2:$M$2,0))),"")</f>
        <v/>
      </c>
      <c r="O146" s="6" t="str">
        <f t="array" ref="O146">_xlfn.IFNA((INDEX('DMR 001C TIN &amp; TP'!$A$3:$M$10005,MATCH(('Reg 85'!$I$6:$Q$6&amp;'Reg 85'!$M$10&amp;'Reg 85'!$B146),('DMR 001C TIN &amp; TP'!$E$3:$E$10005&amp;'DMR 001C TIN &amp; TP'!$B$3:$B$10005&amp;'DMR 001C TIN &amp; TP'!$A$3:$A$10005),0),MATCH('Reg 85'!$O$11,'DMR 001C TIN &amp; TP'!$A$2:$M$2,0))),"")</f>
        <v/>
      </c>
      <c r="P146" s="53" t="str">
        <f t="shared" si="70"/>
        <v/>
      </c>
      <c r="Q146" s="73" t="str">
        <f t="array" ref="Q146">IFERROR(((L146*$F146)+(P146*$G146))/($H146),"")</f>
        <v/>
      </c>
      <c r="R146" s="6" t="str">
        <f t="array" ref="R146">_xlfn.IFNA((INDEX('DMR 001C TIN &amp; TP'!$A$3:$M$10005,MATCH(('Reg 85'!$I$6:$Q$6&amp;'Reg 85'!R$10&amp;'Reg 85'!$B146),('DMR 001C TIN &amp; TP'!$E$3:$E$10005&amp;'DMR 001C TIN &amp; TP'!$B$3:$B$10005&amp;'DMR 001C TIN &amp; TP'!$A$3:$A$10005),0),MATCH('Reg 85'!$O$11,'DMR 001C TIN &amp; TP'!$A$2:$M$2,0))),"")</f>
        <v/>
      </c>
      <c r="S146" s="6" t="str">
        <f t="array" ref="S146">_xlfn.IFNA((INDEX('DMR 001C TIN &amp; TP'!$A$3:$M$10005,MATCH(('Reg 85'!$I$6:$Q$6&amp;'Reg 85'!S$10&amp;'Reg 85'!$B146),('DMR 001C TIN &amp; TP'!$E$3:$E$10005&amp;'DMR 001C TIN &amp; TP'!$B$3:$B$10005&amp;'DMR 001C TIN &amp; TP'!$A$3:$A$10005),0),MATCH('Reg 85'!$O$11,'DMR 001C TIN &amp; TP'!$A$2:$M$2,0))),"")</f>
        <v/>
      </c>
      <c r="T146" s="6" t="str">
        <f t="array" ref="T146">_xlfn.IFNA((INDEX('DMR 001C TIN &amp; TP'!$A$3:$M$10005,MATCH(('Reg 85'!$I$6:$Q$6&amp;'Reg 85'!T$10&amp;'Reg 85'!$B146),('DMR 001C TIN &amp; TP'!$E$3:$E$10005&amp;'DMR 001C TIN &amp; TP'!$B$3:$B$10005&amp;'DMR 001C TIN &amp; TP'!$A$3:$A$10005),0),MATCH('Reg 85'!$O$11,'DMR 001C TIN &amp; TP'!$A$2:$M$2,0))),"")</f>
        <v/>
      </c>
      <c r="U146" s="6">
        <f t="array" ref="U146">_xlfn.IFNA((INDEX('DMR 001C TIN &amp; TP'!$A$3:$M$10005,MATCH(('Reg 85'!$I$6:$Q$6&amp;'Reg 85'!U$10&amp;'Reg 85'!$B146),('DMR 001C TIN &amp; TP'!$E$3:$E$10005&amp;'DMR 001C TIN &amp; TP'!$B$3:$B$10005&amp;'DMR 001C TIN &amp; TP'!$A$3:$A$10005),0),MATCH('Reg 85'!$O$11,'DMR 001C TIN &amp; TP'!$A$2:$M$2,0))),"")</f>
        <v>0.48</v>
      </c>
      <c r="V146" s="6" t="str">
        <f t="array" ref="V146">_xlfn.IFNA((INDEX('DMR 001C TIN &amp; TP'!$A$3:$M$10005,MATCH(('Reg 85'!$I$6:$Q$6&amp;'Reg 85'!V$10&amp;'Reg 85'!$B146),('DMR 001C TIN &amp; TP'!$E$3:$E$10005&amp;'DMR 001C TIN &amp; TP'!$B$3:$B$10005&amp;'DMR 001C TIN &amp; TP'!$A$3:$A$10005),0),MATCH('Reg 85'!$O$11,'DMR 001C TIN &amp; TP'!$A$2:$M$2,0))),"")</f>
        <v/>
      </c>
      <c r="W146" s="6" t="str">
        <f t="array" ref="W146">_xlfn.IFNA((INDEX('DMR 001C TIN &amp; TP'!$A$3:$M$10005,MATCH(('Reg 85'!$I$6:$Q$6&amp;'Reg 85'!W$10&amp;'Reg 85'!$B146),('DMR 001C TIN &amp; TP'!$E$3:$E$10005&amp;'DMR 001C TIN &amp; TP'!$B$3:$B$10005&amp;'DMR 001C TIN &amp; TP'!$A$3:$A$10005),0),MATCH('Reg 85'!$O$11,'DMR 001C TIN &amp; TP'!$A$2:$M$2,0))),"")</f>
        <v/>
      </c>
      <c r="X146" s="5" t="str">
        <f t="shared" si="71"/>
        <v/>
      </c>
      <c r="Y146" s="6" t="str">
        <f t="array" ref="Y146">_xlfn.IFNA((INDEX('DMR 001C TIN &amp; TP'!$A$3:$M$10005,MATCH(('Reg 85'!$X$6&amp;'Reg 85'!$X$10&amp;'Reg 85'!$B146),('DMR 001C TIN &amp; TP'!$E$3:$E$10005&amp;'DMR 001C TIN &amp; TP'!$B$3:$B$10005&amp;'DMR 001C TIN &amp; TP'!$A$3:$A$10005),0),MATCH('Reg 85'!$Y$11,'DMR 001C TIN &amp; TP'!$A$2:$M$2,0))),"")</f>
        <v/>
      </c>
      <c r="Z146" s="6" t="str">
        <f t="array" ref="Z146">_xlfn.IFNA((INDEX('DMR 001C TIN &amp; TP'!$A$3:$M$10005,MATCH(('Reg 85'!$X$6&amp;'Reg 85'!$X$10&amp;'Reg 85'!$B146),('DMR 001C TIN &amp; TP'!$E$3:$E$10005&amp;'DMR 001C TIN &amp; TP'!$B$3:$B$10005&amp;'DMR 001C TIN &amp; TP'!$A$3:$A$10005),0),MATCH('Reg 85'!$Z$11,'DMR 001C TIN &amp; TP'!$A$2:$M$2,0))),"")</f>
        <v/>
      </c>
      <c r="AA146" s="53" t="str">
        <f t="shared" si="72"/>
        <v/>
      </c>
      <c r="AB146" s="5" t="str">
        <f t="shared" si="73"/>
        <v/>
      </c>
      <c r="AC146" s="6" t="str">
        <f t="array" ref="AC146">_xlfn.IFNA((INDEX('DMR 001C TIN &amp; TP'!$A$3:$M$10005,MATCH(('Reg 85'!$X$6&amp;'Reg 85'!$AB$10&amp;'Reg 85'!$B146),('DMR 001C TIN &amp; TP'!$E$3:$E$10005&amp;'DMR 001C TIN &amp; TP'!$B$3:$B$10005&amp;'DMR 001C TIN &amp; TP'!$A$3:$A$10005),0),MATCH('Reg 85'!$AC$11,'DMR 001C TIN &amp; TP'!$A$2:$M$2,0))),"")</f>
        <v/>
      </c>
      <c r="AD146" s="6" t="str">
        <f t="array" ref="AD146">_xlfn.IFNA((INDEX('DMR 001C TIN &amp; TP'!$A$3:$M$10005,MATCH(('Reg 85'!$X$6&amp;'Reg 85'!$AB$10&amp;'Reg 85'!$B146),('DMR 001C TIN &amp; TP'!$E$3:$E$10005&amp;'DMR 001C TIN &amp; TP'!$B$3:$B$10005&amp;'DMR 001C TIN &amp; TP'!$A$3:$A$10005),0),MATCH('Reg 85'!$AD$11,'DMR 001C TIN &amp; TP'!$A$2:$M$2,0))),"")</f>
        <v/>
      </c>
      <c r="AE146" s="53" t="str">
        <f t="shared" si="74"/>
        <v/>
      </c>
      <c r="AF146" s="7" t="str">
        <f t="shared" si="75"/>
        <v/>
      </c>
      <c r="AG146" s="6" t="str">
        <f t="array" ref="AG146">_xlfn.IFNA((INDEX('DMR 001C TIN &amp; TP'!$A$3:$M$10005,MATCH(('Reg 85'!$X$6&amp;'Reg 85'!AG$10&amp;'Reg 85'!$B146),('DMR 001C TIN &amp; TP'!$E$3:$E$10005&amp;'DMR 001C TIN &amp; TP'!$B$3:$B$10005&amp;'DMR 001C TIN &amp; TP'!$A$3:$A$10005),0),MATCH('Reg 85'!$AG$11,'DMR 001C TIN &amp; TP'!$A$2:$M$2,0))),"")</f>
        <v/>
      </c>
      <c r="AH146" s="6" t="str">
        <f t="array" ref="AH146">_xlfn.IFNA((INDEX('DMR 001C TIN &amp; TP'!$A$3:$M$10005,MATCH(('Reg 85'!$X$6&amp;'Reg 85'!AH$10&amp;'Reg 85'!$B146),('DMR 001C TIN &amp; TP'!$E$3:$E$10005&amp;'DMR 001C TIN &amp; TP'!$B$3:$B$10005&amp;'DMR 001C TIN &amp; TP'!$A$3:$A$10005),0),MATCH('Reg 85'!$AG$11,'DMR 001C TIN &amp; TP'!$A$2:$M$2,0))),"")</f>
        <v/>
      </c>
      <c r="AI146" s="6" t="str">
        <f t="array" ref="AI146">_xlfn.IFNA((INDEX('DMR 001C TIN &amp; TP'!$A$3:$M$10005,MATCH(('Reg 85'!$X$6&amp;'Reg 85'!AI$10&amp;'Reg 85'!$B146),('DMR 001C TIN &amp; TP'!$E$3:$E$10005&amp;'DMR 001C TIN &amp; TP'!$B$3:$B$10005&amp;'DMR 001C TIN &amp; TP'!$A$3:$A$10005),0),MATCH('Reg 85'!$AG$11,'DMR 001C TIN &amp; TP'!$A$2:$M$2,0))),"")</f>
        <v/>
      </c>
      <c r="AJ146" s="6" t="str">
        <f t="array" ref="AJ146">_xlfn.IFNA((INDEX('DMR 001C TIN &amp; TP'!$A$3:$M$10005,MATCH(('Reg 85'!$X$6&amp;'Reg 85'!AJ$10&amp;'Reg 85'!$B146),('DMR 001C TIN &amp; TP'!$E$3:$E$10005&amp;'DMR 001C TIN &amp; TP'!$B$3:$B$10005&amp;'DMR 001C TIN &amp; TP'!$A$3:$A$10005),0),MATCH('Reg 85'!$AG$11,'DMR 001C TIN &amp; TP'!$A$2:$M$2,0))),"")</f>
        <v/>
      </c>
      <c r="AK146" s="6" t="str">
        <f t="array" ref="AK146">_xlfn.IFNA((INDEX('DMR 001C TIN &amp; TP'!$A$3:$M$10005,MATCH(('Reg 85'!$X$6&amp;'Reg 85'!AK$10&amp;'Reg 85'!$B146),('DMR 001C TIN &amp; TP'!$E$3:$E$10005&amp;'DMR 001C TIN &amp; TP'!$B$3:$B$10005&amp;'DMR 001C TIN &amp; TP'!$A$3:$A$10005),0),MATCH('Reg 85'!$AG$11,'DMR 001C TIN &amp; TP'!$A$2:$M$2,0))),"")</f>
        <v/>
      </c>
      <c r="AL146" s="6" t="str">
        <f t="array" ref="AL146">_xlfn.IFNA((INDEX('DMR 001C TIN &amp; TP'!$A$3:$M$10005,MATCH(('Reg 85'!$X$6&amp;'Reg 85'!AL$10&amp;'Reg 85'!$B146),('DMR 001C TIN &amp; TP'!$E$3:$E$10005&amp;'DMR 001C TIN &amp; TP'!$B$3:$B$10005&amp;'DMR 001C TIN &amp; TP'!$A$3:$A$10005),0),MATCH('Reg 85'!$AG$11,'DMR 001C TIN &amp; TP'!$A$2:$M$2,0))),"")</f>
        <v/>
      </c>
      <c r="AM146" s="76"/>
      <c r="AN146" s="6"/>
      <c r="AO146" s="54" t="str">
        <f t="shared" si="62"/>
        <v/>
      </c>
      <c r="AP146" s="77" t="str">
        <f t="shared" si="60"/>
        <v/>
      </c>
      <c r="AQ146" s="47"/>
      <c r="AR146" s="6" t="str">
        <f t="array" ref="AR146">_xlfn.IFNA((INDEX('DMR 001C TIN &amp; TP'!$A$3:$M$10005,MATCH(('Reg 85'!$AQ$6&amp;'Reg 85'!$AQ$10&amp;'Reg 85'!$B146),('DMR 001C TIN &amp; TP'!$E$3:$E$10005&amp;'DMR 001C TIN &amp; TP'!$B$3:$B$10005&amp;'DMR 001C TIN &amp; TP'!$A$3:$A$10005),0),MATCH('Reg 85'!$AR$11,'DMR 001C TIN &amp; TP'!$A$2:$M$2,0))),"")</f>
        <v>0.03</v>
      </c>
      <c r="AS146" s="6">
        <f t="array" ref="AS146">_xlfn.IFNA((INDEX('DMR 001C TIN &amp; TP'!$A$3:$M$10005,MATCH(('Reg 85'!$AQ$6&amp;'Reg 85'!$AQ$10&amp;'Reg 85'!$B146),('DMR 001C TIN &amp; TP'!$E$3:$E$10005&amp;'DMR 001C TIN &amp; TP'!$B$3:$B$10005&amp;'DMR 001C TIN &amp; TP'!$A$3:$A$10005),0),MATCH('Reg 85'!$AS$11,'DMR 001C TIN &amp; TP'!$A$2:$M$2,0))),"")</f>
        <v>0.28000000000000003</v>
      </c>
      <c r="AT146" s="53">
        <f t="shared" si="76"/>
        <v>0.28000000000000003</v>
      </c>
      <c r="AV146" s="6" t="str">
        <f t="array" ref="AV146">_xlfn.IFNA((INDEX('DMR 001C TIN &amp; TP'!$A$3:$M$10005,MATCH(('Reg 85'!$AQ$6&amp;'Reg 85'!$AU$10&amp;'Reg 85'!$B146),('DMR 001C TIN &amp; TP'!$E$3:$E$10005&amp;'DMR 001C TIN &amp; TP'!$B$3:$B$10005&amp;'DMR 001C TIN &amp; TP'!$A$3:$A$10005),0),MATCH('Reg 85'!$AV$11,'DMR 001C TIN &amp; TP'!$A$2:$M$2,0))),"")</f>
        <v>0.03</v>
      </c>
      <c r="AW146" s="6">
        <f t="array" ref="AW146">_xlfn.IFNA((INDEX('DMR 001C TIN &amp; TP'!$A$3:$M$10005,MATCH(('Reg 85'!$AQ$6&amp;'Reg 85'!$AU$10&amp;'Reg 85'!$B146),('DMR 001C TIN &amp; TP'!$E$3:$E$10005&amp;'DMR 001C TIN &amp; TP'!$B$3:$B$10005&amp;'DMR 001C TIN &amp; TP'!$A$3:$A$10005),0),MATCH('Reg 85'!$AW$11,'DMR 001C TIN &amp; TP'!$A$2:$M$2,0))),"")</f>
        <v>3.01</v>
      </c>
      <c r="AX146" s="53">
        <f t="shared" si="77"/>
        <v>3.01</v>
      </c>
      <c r="AY146" s="55">
        <f t="shared" si="78"/>
        <v>1.8405245188325894</v>
      </c>
      <c r="AZ146" s="77" t="str">
        <f t="shared" si="61"/>
        <v/>
      </c>
      <c r="BA146" s="6" t="str">
        <f t="array" ref="BA146">_xlfn.IFNA((INDEX('DMR 001C TIN &amp; TP'!$A$3:$M$10005,MATCH(('Reg 85'!$AQ$6&amp;'Reg 85'!BA$10&amp;'Reg 85'!$B146),('DMR 001C TIN &amp; TP'!$E$3:$E$10005&amp;'DMR 001C TIN &amp; TP'!$B$3:$B$10005&amp;'DMR 001C TIN &amp; TP'!$A$3:$A$10005),0),MATCH('Reg 85'!$AG$11,'DMR 001C TIN &amp; TP'!$A$2:$M$2,0))),"")</f>
        <v/>
      </c>
      <c r="BB146" s="6" t="str">
        <f t="array" ref="BB146">_xlfn.IFNA((INDEX('DMR 001C TIN &amp; TP'!$A$3:$M$10005,MATCH(('Reg 85'!$AQ$6&amp;'Reg 85'!BB$10&amp;'Reg 85'!$B146),('DMR 001C TIN &amp; TP'!$E$3:$E$10005&amp;'DMR 001C TIN &amp; TP'!$B$3:$B$10005&amp;'DMR 001C TIN &amp; TP'!$A$3:$A$10005),0),MATCH('Reg 85'!$AG$11,'DMR 001C TIN &amp; TP'!$A$2:$M$2,0))),"")</f>
        <v/>
      </c>
      <c r="BC146" s="6" t="str">
        <f t="array" ref="BC146">_xlfn.IFNA((INDEX('DMR 001C TIN &amp; TP'!$A$3:$M$10005,MATCH(('Reg 85'!$AQ$6&amp;'Reg 85'!BC$10&amp;'Reg 85'!$B146),('DMR 001C TIN &amp; TP'!$E$3:$E$10005&amp;'DMR 001C TIN &amp; TP'!$B$3:$B$10005&amp;'DMR 001C TIN &amp; TP'!$A$3:$A$10005),0),MATCH('Reg 85'!$AG$11,'DMR 001C TIN &amp; TP'!$A$2:$M$2,0))),"")</f>
        <v/>
      </c>
      <c r="BD146" s="6" t="str">
        <f t="array" ref="BD146">_xlfn.IFNA((INDEX('DMR 001C TIN &amp; TP'!$A$3:$M$10005,MATCH(('Reg 85'!$AQ$6&amp;'Reg 85'!BD$10&amp;'Reg 85'!$B146),('DMR 001C TIN &amp; TP'!$E$3:$E$10005&amp;'DMR 001C TIN &amp; TP'!$B$3:$B$10005&amp;'DMR 001C TIN &amp; TP'!$A$3:$A$10005),0),MATCH('Reg 85'!$AG$11,'DMR 001C TIN &amp; TP'!$A$2:$M$2,0))),"")</f>
        <v/>
      </c>
      <c r="BE146" s="6" t="str">
        <f t="array" ref="BE146">_xlfn.IFNA((INDEX('DMR 001C TIN &amp; TP'!$A$3:$M$10005,MATCH(('Reg 85'!$AQ$6&amp;'Reg 85'!BE$10&amp;'Reg 85'!$B146),('DMR 001C TIN &amp; TP'!$E$3:$E$10005&amp;'DMR 001C TIN &amp; TP'!$B$3:$B$10005&amp;'DMR 001C TIN &amp; TP'!$A$3:$A$10005),0),MATCH('Reg 85'!$AG$11,'DMR 001C TIN &amp; TP'!$A$2:$M$2,0))),"")</f>
        <v/>
      </c>
      <c r="BF146" s="6" t="str">
        <f t="array" ref="BF146">_xlfn.IFNA((INDEX('DMR 001C TIN &amp; TP'!$A$3:$M$10005,MATCH(('Reg 85'!$AQ$6&amp;'Reg 85'!BF$10&amp;'Reg 85'!$B146),('DMR 001C TIN &amp; TP'!$E$3:$E$10005&amp;'DMR 001C TIN &amp; TP'!$B$3:$B$10005&amp;'DMR 001C TIN &amp; TP'!$A$3:$A$10005),0),MATCH('Reg 85'!$AG$11,'DMR 001C TIN &amp; TP'!$A$2:$M$2,0))),"")</f>
        <v/>
      </c>
    </row>
    <row r="147" spans="1:58">
      <c r="A147" s="3" t="str">
        <f t="shared" si="63"/>
        <v>Mon</v>
      </c>
      <c r="B147" s="96">
        <f t="shared" si="79"/>
        <v>43479</v>
      </c>
      <c r="C147" s="96">
        <f t="shared" si="64"/>
        <v>43496</v>
      </c>
      <c r="D147" s="96">
        <f t="shared" si="65"/>
        <v>43466</v>
      </c>
      <c r="E147" s="95">
        <f t="shared" si="66"/>
        <v>31</v>
      </c>
      <c r="F147" s="7">
        <f t="array" ref="F147">_xlfn.IFNA(INDEX('DMR Flows-Effluent'!$A$3:$F$9999,MATCH(($F$10&amp;$B147),('DMR Flows-Effluent'!$B$3:$B$9999&amp;'DMR Flows-Effluent'!$A$3:$A$9999),0),MATCH($F$8,'DMR Flows-Effluent'!$A$2:$F$2,0)),"")</f>
        <v>46.353000000000002</v>
      </c>
      <c r="G147" s="7">
        <f t="array" ref="G147">_xlfn.IFNA(INDEX('DMR Flows-Effluent'!$A$3:$F$9999,MATCH(($G$10&amp;$B147),('DMR Flows-Effluent'!$B$3:$B$9999&amp;'DMR Flows-Effluent'!$A$3:$A$9999),0),MATCH($F$8,'DMR Flows-Effluent'!$A$2:$F$2,0)),"")</f>
        <v>71.596199999999996</v>
      </c>
      <c r="H147" s="7">
        <f t="shared" si="67"/>
        <v>117.94919999999999</v>
      </c>
      <c r="I147" s="45" t="str">
        <f t="shared" si="68"/>
        <v/>
      </c>
      <c r="J147" s="6" t="str">
        <f t="array" ref="J147">_xlfn.IFNA((INDEX('DMR 001C TIN &amp; TP'!$A$3:$M$10005,MATCH(('Reg 85'!$I$6:$Q$6&amp;'Reg 85'!$I$10:$K$10&amp;'Reg 85'!$B147),('DMR 001C TIN &amp; TP'!$E$3:$E$10005&amp;'DMR 001C TIN &amp; TP'!$B$3:$B$10005&amp;'DMR 001C TIN &amp; TP'!$A$3:$A$10005),0),MATCH('Reg 85'!$J$11,'DMR 001C TIN &amp; TP'!$A$2:$M$2,0))),"")</f>
        <v>0.15</v>
      </c>
      <c r="K147" s="6">
        <f t="array" ref="K147">_xlfn.IFNA((INDEX('DMR 001C TIN &amp; TP'!$A$3:$M$10005,MATCH(('Reg 85'!$I$6:$Q$6&amp;'Reg 85'!$I$10:$K$10&amp;'Reg 85'!$B147),('DMR 001C TIN &amp; TP'!$E$3:$E$10005&amp;'DMR 001C TIN &amp; TP'!$B$3:$B$10005&amp;'DMR 001C TIN &amp; TP'!$A$3:$A$10005),0),MATCH('Reg 85'!$K$11,'DMR 001C TIN &amp; TP'!$A$2:$M$2,0))),"")</f>
        <v>0.43</v>
      </c>
      <c r="L147" s="53">
        <f t="shared" si="80"/>
        <v>0.43</v>
      </c>
      <c r="M147" s="5" t="str">
        <f t="shared" si="69"/>
        <v/>
      </c>
      <c r="N147" s="6" t="str">
        <f t="array" ref="N147">_xlfn.IFNA((INDEX('DMR 001C TIN &amp; TP'!$A$3:$M$10005,MATCH(('Reg 85'!$I$6:$Q$6&amp;'Reg 85'!$M$10&amp;'Reg 85'!$B147),('DMR 001C TIN &amp; TP'!$E$3:$E$10005&amp;'DMR 001C TIN &amp; TP'!$B$3:$B$10005&amp;'DMR 001C TIN &amp; TP'!$A$3:$A$10005),0),MATCH('Reg 85'!$N$11,'DMR 001C TIN &amp; TP'!$A$2:$M$2,0))),"")</f>
        <v>0.15</v>
      </c>
      <c r="O147" s="6">
        <f t="array" ref="O147">_xlfn.IFNA((INDEX('DMR 001C TIN &amp; TP'!$A$3:$M$10005,MATCH(('Reg 85'!$I$6:$Q$6&amp;'Reg 85'!$M$10&amp;'Reg 85'!$B147),('DMR 001C TIN &amp; TP'!$E$3:$E$10005&amp;'DMR 001C TIN &amp; TP'!$B$3:$B$10005&amp;'DMR 001C TIN &amp; TP'!$A$3:$A$10005),0),MATCH('Reg 85'!$O$11,'DMR 001C TIN &amp; TP'!$A$2:$M$2,0))),"")</f>
        <v>0.28000000000000003</v>
      </c>
      <c r="P147" s="53">
        <f t="shared" si="70"/>
        <v>0.28000000000000003</v>
      </c>
      <c r="Q147" s="73">
        <f t="array" ref="Q147">IFERROR(((L147*$F147)+(P147*$G147))/($H147),"")</f>
        <v>0.3389486829923391</v>
      </c>
      <c r="R147" s="6" t="str">
        <f t="array" ref="R147">_xlfn.IFNA((INDEX('DMR 001C TIN &amp; TP'!$A$3:$M$10005,MATCH(('Reg 85'!$I$6:$Q$6&amp;'Reg 85'!R$10&amp;'Reg 85'!$B147),('DMR 001C TIN &amp; TP'!$E$3:$E$10005&amp;'DMR 001C TIN &amp; TP'!$B$3:$B$10005&amp;'DMR 001C TIN &amp; TP'!$A$3:$A$10005),0),MATCH('Reg 85'!$O$11,'DMR 001C TIN &amp; TP'!$A$2:$M$2,0))),"")</f>
        <v/>
      </c>
      <c r="S147" s="6" t="str">
        <f t="array" ref="S147">_xlfn.IFNA((INDEX('DMR 001C TIN &amp; TP'!$A$3:$M$10005,MATCH(('Reg 85'!$I$6:$Q$6&amp;'Reg 85'!S$10&amp;'Reg 85'!$B147),('DMR 001C TIN &amp; TP'!$E$3:$E$10005&amp;'DMR 001C TIN &amp; TP'!$B$3:$B$10005&amp;'DMR 001C TIN &amp; TP'!$A$3:$A$10005),0),MATCH('Reg 85'!$O$11,'DMR 001C TIN &amp; TP'!$A$2:$M$2,0))),"")</f>
        <v/>
      </c>
      <c r="T147" s="6" t="str">
        <f t="array" ref="T147">_xlfn.IFNA((INDEX('DMR 001C TIN &amp; TP'!$A$3:$M$10005,MATCH(('Reg 85'!$I$6:$Q$6&amp;'Reg 85'!T$10&amp;'Reg 85'!$B147),('DMR 001C TIN &amp; TP'!$E$3:$E$10005&amp;'DMR 001C TIN &amp; TP'!$B$3:$B$10005&amp;'DMR 001C TIN &amp; TP'!$A$3:$A$10005),0),MATCH('Reg 85'!$O$11,'DMR 001C TIN &amp; TP'!$A$2:$M$2,0))),"")</f>
        <v/>
      </c>
      <c r="U147" s="6" t="str">
        <f t="array" ref="U147">_xlfn.IFNA((INDEX('DMR 001C TIN &amp; TP'!$A$3:$M$10005,MATCH(('Reg 85'!$I$6:$Q$6&amp;'Reg 85'!U$10&amp;'Reg 85'!$B147),('DMR 001C TIN &amp; TP'!$E$3:$E$10005&amp;'DMR 001C TIN &amp; TP'!$B$3:$B$10005&amp;'DMR 001C TIN &amp; TP'!$A$3:$A$10005),0),MATCH('Reg 85'!$O$11,'DMR 001C TIN &amp; TP'!$A$2:$M$2,0))),"")</f>
        <v/>
      </c>
      <c r="V147" s="6" t="str">
        <f t="array" ref="V147">_xlfn.IFNA((INDEX('DMR 001C TIN &amp; TP'!$A$3:$M$10005,MATCH(('Reg 85'!$I$6:$Q$6&amp;'Reg 85'!V$10&amp;'Reg 85'!$B147),('DMR 001C TIN &amp; TP'!$E$3:$E$10005&amp;'DMR 001C TIN &amp; TP'!$B$3:$B$10005&amp;'DMR 001C TIN &amp; TP'!$A$3:$A$10005),0),MATCH('Reg 85'!$O$11,'DMR 001C TIN &amp; TP'!$A$2:$M$2,0))),"")</f>
        <v/>
      </c>
      <c r="W147" s="6" t="str">
        <f t="array" ref="W147">_xlfn.IFNA((INDEX('DMR 001C TIN &amp; TP'!$A$3:$M$10005,MATCH(('Reg 85'!$I$6:$Q$6&amp;'Reg 85'!W$10&amp;'Reg 85'!$B147),('DMR 001C TIN &amp; TP'!$E$3:$E$10005&amp;'DMR 001C TIN &amp; TP'!$B$3:$B$10005&amp;'DMR 001C TIN &amp; TP'!$A$3:$A$10005),0),MATCH('Reg 85'!$O$11,'DMR 001C TIN &amp; TP'!$A$2:$M$2,0))),"")</f>
        <v/>
      </c>
      <c r="X147" s="5" t="str">
        <f t="shared" si="71"/>
        <v/>
      </c>
      <c r="Y147" s="6" t="str">
        <f t="array" ref="Y147">_xlfn.IFNA((INDEX('DMR 001C TIN &amp; TP'!$A$3:$M$10005,MATCH(('Reg 85'!$X$6&amp;'Reg 85'!$X$10&amp;'Reg 85'!$B147),('DMR 001C TIN &amp; TP'!$E$3:$E$10005&amp;'DMR 001C TIN &amp; TP'!$B$3:$B$10005&amp;'DMR 001C TIN &amp; TP'!$A$3:$A$10005),0),MATCH('Reg 85'!$Y$11,'DMR 001C TIN &amp; TP'!$A$2:$M$2,0))),"")</f>
        <v>0.06</v>
      </c>
      <c r="Z147" s="6">
        <f t="array" ref="Z147">_xlfn.IFNA((INDEX('DMR 001C TIN &amp; TP'!$A$3:$M$10005,MATCH(('Reg 85'!$X$6&amp;'Reg 85'!$X$10&amp;'Reg 85'!$B147),('DMR 001C TIN &amp; TP'!$E$3:$E$10005&amp;'DMR 001C TIN &amp; TP'!$B$3:$B$10005&amp;'DMR 001C TIN &amp; TP'!$A$3:$A$10005),0),MATCH('Reg 85'!$Z$11,'DMR 001C TIN &amp; TP'!$A$2:$M$2,0))),"")</f>
        <v>4.33</v>
      </c>
      <c r="AA147" s="53">
        <f t="shared" si="72"/>
        <v>4.33</v>
      </c>
      <c r="AB147" s="5" t="str">
        <f t="shared" si="73"/>
        <v/>
      </c>
      <c r="AC147" s="6" t="str">
        <f t="array" ref="AC147">_xlfn.IFNA((INDEX('DMR 001C TIN &amp; TP'!$A$3:$M$10005,MATCH(('Reg 85'!$X$6&amp;'Reg 85'!$AB$10&amp;'Reg 85'!$B147),('DMR 001C TIN &amp; TP'!$E$3:$E$10005&amp;'DMR 001C TIN &amp; TP'!$B$3:$B$10005&amp;'DMR 001C TIN &amp; TP'!$A$3:$A$10005),0),MATCH('Reg 85'!$AC$11,'DMR 001C TIN &amp; TP'!$A$2:$M$2,0))),"")</f>
        <v>0.06</v>
      </c>
      <c r="AD147" s="6">
        <f t="array" ref="AD147">_xlfn.IFNA((INDEX('DMR 001C TIN &amp; TP'!$A$3:$M$10005,MATCH(('Reg 85'!$X$6&amp;'Reg 85'!$AB$10&amp;'Reg 85'!$B147),('DMR 001C TIN &amp; TP'!$E$3:$E$10005&amp;'DMR 001C TIN &amp; TP'!$B$3:$B$10005&amp;'DMR 001C TIN &amp; TP'!$A$3:$A$10005),0),MATCH('Reg 85'!$AD$11,'DMR 001C TIN &amp; TP'!$A$2:$M$2,0))),"")</f>
        <v>6.45</v>
      </c>
      <c r="AE147" s="53">
        <f t="shared" si="74"/>
        <v>6.45</v>
      </c>
      <c r="AF147" s="7">
        <f t="shared" si="75"/>
        <v>5.6168586137082741</v>
      </c>
      <c r="AG147" s="6" t="str">
        <f t="array" ref="AG147">_xlfn.IFNA((INDEX('DMR 001C TIN &amp; TP'!$A$3:$M$10005,MATCH(('Reg 85'!$X$6&amp;'Reg 85'!AG$10&amp;'Reg 85'!$B147),('DMR 001C TIN &amp; TP'!$E$3:$E$10005&amp;'DMR 001C TIN &amp; TP'!$B$3:$B$10005&amp;'DMR 001C TIN &amp; TP'!$A$3:$A$10005),0),MATCH('Reg 85'!$AG$11,'DMR 001C TIN &amp; TP'!$A$2:$M$2,0))),"")</f>
        <v/>
      </c>
      <c r="AH147" s="6" t="str">
        <f t="array" ref="AH147">_xlfn.IFNA((INDEX('DMR 001C TIN &amp; TP'!$A$3:$M$10005,MATCH(('Reg 85'!$X$6&amp;'Reg 85'!AH$10&amp;'Reg 85'!$B147),('DMR 001C TIN &amp; TP'!$E$3:$E$10005&amp;'DMR 001C TIN &amp; TP'!$B$3:$B$10005&amp;'DMR 001C TIN &amp; TP'!$A$3:$A$10005),0),MATCH('Reg 85'!$AG$11,'DMR 001C TIN &amp; TP'!$A$2:$M$2,0))),"")</f>
        <v/>
      </c>
      <c r="AI147" s="6" t="str">
        <f t="array" ref="AI147">_xlfn.IFNA((INDEX('DMR 001C TIN &amp; TP'!$A$3:$M$10005,MATCH(('Reg 85'!$X$6&amp;'Reg 85'!AI$10&amp;'Reg 85'!$B147),('DMR 001C TIN &amp; TP'!$E$3:$E$10005&amp;'DMR 001C TIN &amp; TP'!$B$3:$B$10005&amp;'DMR 001C TIN &amp; TP'!$A$3:$A$10005),0),MATCH('Reg 85'!$AG$11,'DMR 001C TIN &amp; TP'!$A$2:$M$2,0))),"")</f>
        <v/>
      </c>
      <c r="AJ147" s="6" t="str">
        <f t="array" ref="AJ147">_xlfn.IFNA((INDEX('DMR 001C TIN &amp; TP'!$A$3:$M$10005,MATCH(('Reg 85'!$X$6&amp;'Reg 85'!AJ$10&amp;'Reg 85'!$B147),('DMR 001C TIN &amp; TP'!$E$3:$E$10005&amp;'DMR 001C TIN &amp; TP'!$B$3:$B$10005&amp;'DMR 001C TIN &amp; TP'!$A$3:$A$10005),0),MATCH('Reg 85'!$AG$11,'DMR 001C TIN &amp; TP'!$A$2:$M$2,0))),"")</f>
        <v/>
      </c>
      <c r="AK147" s="6" t="str">
        <f t="array" ref="AK147">_xlfn.IFNA((INDEX('DMR 001C TIN &amp; TP'!$A$3:$M$10005,MATCH(('Reg 85'!$X$6&amp;'Reg 85'!AK$10&amp;'Reg 85'!$B147),('DMR 001C TIN &amp; TP'!$E$3:$E$10005&amp;'DMR 001C TIN &amp; TP'!$B$3:$B$10005&amp;'DMR 001C TIN &amp; TP'!$A$3:$A$10005),0),MATCH('Reg 85'!$AG$11,'DMR 001C TIN &amp; TP'!$A$2:$M$2,0))),"")</f>
        <v/>
      </c>
      <c r="AL147" s="6" t="str">
        <f t="array" ref="AL147">_xlfn.IFNA((INDEX('DMR 001C TIN &amp; TP'!$A$3:$M$10005,MATCH(('Reg 85'!$X$6&amp;'Reg 85'!AL$10&amp;'Reg 85'!$B147),('DMR 001C TIN &amp; TP'!$E$3:$E$10005&amp;'DMR 001C TIN &amp; TP'!$B$3:$B$10005&amp;'DMR 001C TIN &amp; TP'!$A$3:$A$10005),0),MATCH('Reg 85'!$AG$11,'DMR 001C TIN &amp; TP'!$A$2:$M$2,0))),"")</f>
        <v/>
      </c>
      <c r="AM147" s="76"/>
      <c r="AN147" s="6"/>
      <c r="AO147" s="54">
        <f t="shared" si="62"/>
        <v>5.9558072967006135</v>
      </c>
      <c r="AP147" s="77" t="str">
        <f t="shared" si="60"/>
        <v/>
      </c>
      <c r="AQ147" s="47"/>
      <c r="AR147" s="6" t="str">
        <f t="array" ref="AR147">_xlfn.IFNA((INDEX('DMR 001C TIN &amp; TP'!$A$3:$M$10005,MATCH(('Reg 85'!$AQ$6&amp;'Reg 85'!$AQ$10&amp;'Reg 85'!$B147),('DMR 001C TIN &amp; TP'!$E$3:$E$10005&amp;'DMR 001C TIN &amp; TP'!$B$3:$B$10005&amp;'DMR 001C TIN &amp; TP'!$A$3:$A$10005),0),MATCH('Reg 85'!$AR$11,'DMR 001C TIN &amp; TP'!$A$2:$M$2,0))),"")</f>
        <v/>
      </c>
      <c r="AS147" s="6" t="str">
        <f t="array" ref="AS147">_xlfn.IFNA((INDEX('DMR 001C TIN &amp; TP'!$A$3:$M$10005,MATCH(('Reg 85'!$AQ$6&amp;'Reg 85'!$AQ$10&amp;'Reg 85'!$B147),('DMR 001C TIN &amp; TP'!$E$3:$E$10005&amp;'DMR 001C TIN &amp; TP'!$B$3:$B$10005&amp;'DMR 001C TIN &amp; TP'!$A$3:$A$10005),0),MATCH('Reg 85'!$AS$11,'DMR 001C TIN &amp; TP'!$A$2:$M$2,0))),"")</f>
        <v/>
      </c>
      <c r="AT147" s="53" t="str">
        <f t="shared" si="76"/>
        <v/>
      </c>
      <c r="AV147" s="6" t="str">
        <f t="array" ref="AV147">_xlfn.IFNA((INDEX('DMR 001C TIN &amp; TP'!$A$3:$M$10005,MATCH(('Reg 85'!$AQ$6&amp;'Reg 85'!$AU$10&amp;'Reg 85'!$B147),('DMR 001C TIN &amp; TP'!$E$3:$E$10005&amp;'DMR 001C TIN &amp; TP'!$B$3:$B$10005&amp;'DMR 001C TIN &amp; TP'!$A$3:$A$10005),0),MATCH('Reg 85'!$AV$11,'DMR 001C TIN &amp; TP'!$A$2:$M$2,0))),"")</f>
        <v/>
      </c>
      <c r="AW147" s="6" t="str">
        <f t="array" ref="AW147">_xlfn.IFNA((INDEX('DMR 001C TIN &amp; TP'!$A$3:$M$10005,MATCH(('Reg 85'!$AQ$6&amp;'Reg 85'!$AU$10&amp;'Reg 85'!$B147),('DMR 001C TIN &amp; TP'!$E$3:$E$10005&amp;'DMR 001C TIN &amp; TP'!$B$3:$B$10005&amp;'DMR 001C TIN &amp; TP'!$A$3:$A$10005),0),MATCH('Reg 85'!$AW$11,'DMR 001C TIN &amp; TP'!$A$2:$M$2,0))),"")</f>
        <v/>
      </c>
      <c r="AX147" s="53" t="str">
        <f t="shared" si="77"/>
        <v/>
      </c>
      <c r="AY147" s="55" t="str">
        <f t="shared" si="78"/>
        <v/>
      </c>
      <c r="AZ147" s="77" t="str">
        <f t="shared" si="61"/>
        <v/>
      </c>
      <c r="BA147" s="6" t="str">
        <f t="array" ref="BA147">_xlfn.IFNA((INDEX('DMR 001C TIN &amp; TP'!$A$3:$M$10005,MATCH(('Reg 85'!$AQ$6&amp;'Reg 85'!BA$10&amp;'Reg 85'!$B147),('DMR 001C TIN &amp; TP'!$E$3:$E$10005&amp;'DMR 001C TIN &amp; TP'!$B$3:$B$10005&amp;'DMR 001C TIN &amp; TP'!$A$3:$A$10005),0),MATCH('Reg 85'!$AG$11,'DMR 001C TIN &amp; TP'!$A$2:$M$2,0))),"")</f>
        <v/>
      </c>
      <c r="BB147" s="6" t="str">
        <f t="array" ref="BB147">_xlfn.IFNA((INDEX('DMR 001C TIN &amp; TP'!$A$3:$M$10005,MATCH(('Reg 85'!$AQ$6&amp;'Reg 85'!BB$10&amp;'Reg 85'!$B147),('DMR 001C TIN &amp; TP'!$E$3:$E$10005&amp;'DMR 001C TIN &amp; TP'!$B$3:$B$10005&amp;'DMR 001C TIN &amp; TP'!$A$3:$A$10005),0),MATCH('Reg 85'!$AG$11,'DMR 001C TIN &amp; TP'!$A$2:$M$2,0))),"")</f>
        <v/>
      </c>
      <c r="BC147" s="6" t="str">
        <f t="array" ref="BC147">_xlfn.IFNA((INDEX('DMR 001C TIN &amp; TP'!$A$3:$M$10005,MATCH(('Reg 85'!$AQ$6&amp;'Reg 85'!BC$10&amp;'Reg 85'!$B147),('DMR 001C TIN &amp; TP'!$E$3:$E$10005&amp;'DMR 001C TIN &amp; TP'!$B$3:$B$10005&amp;'DMR 001C TIN &amp; TP'!$A$3:$A$10005),0),MATCH('Reg 85'!$AG$11,'DMR 001C TIN &amp; TP'!$A$2:$M$2,0))),"")</f>
        <v/>
      </c>
      <c r="BD147" s="6" t="str">
        <f t="array" ref="BD147">_xlfn.IFNA((INDEX('DMR 001C TIN &amp; TP'!$A$3:$M$10005,MATCH(('Reg 85'!$AQ$6&amp;'Reg 85'!BD$10&amp;'Reg 85'!$B147),('DMR 001C TIN &amp; TP'!$E$3:$E$10005&amp;'DMR 001C TIN &amp; TP'!$B$3:$B$10005&amp;'DMR 001C TIN &amp; TP'!$A$3:$A$10005),0),MATCH('Reg 85'!$AG$11,'DMR 001C TIN &amp; TP'!$A$2:$M$2,0))),"")</f>
        <v/>
      </c>
      <c r="BE147" s="6" t="str">
        <f t="array" ref="BE147">_xlfn.IFNA((INDEX('DMR 001C TIN &amp; TP'!$A$3:$M$10005,MATCH(('Reg 85'!$AQ$6&amp;'Reg 85'!BE$10&amp;'Reg 85'!$B147),('DMR 001C TIN &amp; TP'!$E$3:$E$10005&amp;'DMR 001C TIN &amp; TP'!$B$3:$B$10005&amp;'DMR 001C TIN &amp; TP'!$A$3:$A$10005),0),MATCH('Reg 85'!$AG$11,'DMR 001C TIN &amp; TP'!$A$2:$M$2,0))),"")</f>
        <v/>
      </c>
      <c r="BF147" s="6" t="str">
        <f t="array" ref="BF147">_xlfn.IFNA((INDEX('DMR 001C TIN &amp; TP'!$A$3:$M$10005,MATCH(('Reg 85'!$AQ$6&amp;'Reg 85'!BF$10&amp;'Reg 85'!$B147),('DMR 001C TIN &amp; TP'!$E$3:$E$10005&amp;'DMR 001C TIN &amp; TP'!$B$3:$B$10005&amp;'DMR 001C TIN &amp; TP'!$A$3:$A$10005),0),MATCH('Reg 85'!$AG$11,'DMR 001C TIN &amp; TP'!$A$2:$M$2,0))),"")</f>
        <v/>
      </c>
    </row>
    <row r="148" spans="1:58">
      <c r="A148" s="3" t="str">
        <f t="shared" si="63"/>
        <v>Tue</v>
      </c>
      <c r="B148" s="96">
        <f t="shared" si="79"/>
        <v>43480</v>
      </c>
      <c r="C148" s="96">
        <f t="shared" si="64"/>
        <v>43496</v>
      </c>
      <c r="D148" s="96">
        <f t="shared" si="65"/>
        <v>43466</v>
      </c>
      <c r="E148" s="95">
        <f t="shared" si="66"/>
        <v>31</v>
      </c>
      <c r="F148" s="7">
        <f t="array" ref="F148">_xlfn.IFNA(INDEX('DMR Flows-Effluent'!$A$3:$F$9999,MATCH(($F$10&amp;$B148),('DMR Flows-Effluent'!$B$3:$B$9999&amp;'DMR Flows-Effluent'!$A$3:$A$9999),0),MATCH($F$8,'DMR Flows-Effluent'!$A$2:$F$2,0)),"")</f>
        <v>45.863199999999999</v>
      </c>
      <c r="G148" s="7">
        <f t="array" ref="G148">_xlfn.IFNA(INDEX('DMR Flows-Effluent'!$A$3:$F$9999,MATCH(($G$10&amp;$B148),('DMR Flows-Effluent'!$B$3:$B$9999&amp;'DMR Flows-Effluent'!$A$3:$A$9999),0),MATCH($F$8,'DMR Flows-Effluent'!$A$2:$F$2,0)),"")</f>
        <v>75.281000000000006</v>
      </c>
      <c r="H148" s="7">
        <f t="shared" si="67"/>
        <v>121.14420000000001</v>
      </c>
      <c r="I148" s="45" t="str">
        <f t="shared" si="68"/>
        <v/>
      </c>
      <c r="J148" s="6" t="str">
        <f t="array" ref="J148">_xlfn.IFNA((INDEX('DMR 001C TIN &amp; TP'!$A$3:$M$10005,MATCH(('Reg 85'!$I$6:$Q$6&amp;'Reg 85'!$I$10:$K$10&amp;'Reg 85'!$B148),('DMR 001C TIN &amp; TP'!$E$3:$E$10005&amp;'DMR 001C TIN &amp; TP'!$B$3:$B$10005&amp;'DMR 001C TIN &amp; TP'!$A$3:$A$10005),0),MATCH('Reg 85'!$J$11,'DMR 001C TIN &amp; TP'!$A$2:$M$2,0))),"")</f>
        <v>0.15</v>
      </c>
      <c r="K148" s="6">
        <f t="array" ref="K148">_xlfn.IFNA((INDEX('DMR 001C TIN &amp; TP'!$A$3:$M$10005,MATCH(('Reg 85'!$I$6:$Q$6&amp;'Reg 85'!$I$10:$K$10&amp;'Reg 85'!$B148),('DMR 001C TIN &amp; TP'!$E$3:$E$10005&amp;'DMR 001C TIN &amp; TP'!$B$3:$B$10005&amp;'DMR 001C TIN &amp; TP'!$A$3:$A$10005),0),MATCH('Reg 85'!$K$11,'DMR 001C TIN &amp; TP'!$A$2:$M$2,0))),"")</f>
        <v>0.36</v>
      </c>
      <c r="L148" s="53">
        <f t="shared" si="80"/>
        <v>0.36</v>
      </c>
      <c r="M148" s="5" t="str">
        <f t="shared" si="69"/>
        <v/>
      </c>
      <c r="N148" s="6" t="str">
        <f t="array" ref="N148">_xlfn.IFNA((INDEX('DMR 001C TIN &amp; TP'!$A$3:$M$10005,MATCH(('Reg 85'!$I$6:$Q$6&amp;'Reg 85'!$M$10&amp;'Reg 85'!$B148),('DMR 001C TIN &amp; TP'!$E$3:$E$10005&amp;'DMR 001C TIN &amp; TP'!$B$3:$B$10005&amp;'DMR 001C TIN &amp; TP'!$A$3:$A$10005),0),MATCH('Reg 85'!$N$11,'DMR 001C TIN &amp; TP'!$A$2:$M$2,0))),"")</f>
        <v>0.15</v>
      </c>
      <c r="O148" s="6">
        <f t="array" ref="O148">_xlfn.IFNA((INDEX('DMR 001C TIN &amp; TP'!$A$3:$M$10005,MATCH(('Reg 85'!$I$6:$Q$6&amp;'Reg 85'!$M$10&amp;'Reg 85'!$B148),('DMR 001C TIN &amp; TP'!$E$3:$E$10005&amp;'DMR 001C TIN &amp; TP'!$B$3:$B$10005&amp;'DMR 001C TIN &amp; TP'!$A$3:$A$10005),0),MATCH('Reg 85'!$O$11,'DMR 001C TIN &amp; TP'!$A$2:$M$2,0))),"")</f>
        <v>0.18</v>
      </c>
      <c r="P148" s="53">
        <f t="shared" si="70"/>
        <v>0.18</v>
      </c>
      <c r="Q148" s="73">
        <f t="array" ref="Q148">IFERROR(((L148*$F148)+(P148*$G148))/($H148),"")</f>
        <v>0.24814503707152299</v>
      </c>
      <c r="R148" s="6" t="str">
        <f t="array" ref="R148">_xlfn.IFNA((INDEX('DMR 001C TIN &amp; TP'!$A$3:$M$10005,MATCH(('Reg 85'!$I$6:$Q$6&amp;'Reg 85'!R$10&amp;'Reg 85'!$B148),('DMR 001C TIN &amp; TP'!$E$3:$E$10005&amp;'DMR 001C TIN &amp; TP'!$B$3:$B$10005&amp;'DMR 001C TIN &amp; TP'!$A$3:$A$10005),0),MATCH('Reg 85'!$O$11,'DMR 001C TIN &amp; TP'!$A$2:$M$2,0))),"")</f>
        <v/>
      </c>
      <c r="S148" s="6" t="str">
        <f t="array" ref="S148">_xlfn.IFNA((INDEX('DMR 001C TIN &amp; TP'!$A$3:$M$10005,MATCH(('Reg 85'!$I$6:$Q$6&amp;'Reg 85'!S$10&amp;'Reg 85'!$B148),('DMR 001C TIN &amp; TP'!$E$3:$E$10005&amp;'DMR 001C TIN &amp; TP'!$B$3:$B$10005&amp;'DMR 001C TIN &amp; TP'!$A$3:$A$10005),0),MATCH('Reg 85'!$O$11,'DMR 001C TIN &amp; TP'!$A$2:$M$2,0))),"")</f>
        <v/>
      </c>
      <c r="T148" s="6" t="str">
        <f t="array" ref="T148">_xlfn.IFNA((INDEX('DMR 001C TIN &amp; TP'!$A$3:$M$10005,MATCH(('Reg 85'!$I$6:$Q$6&amp;'Reg 85'!T$10&amp;'Reg 85'!$B148),('DMR 001C TIN &amp; TP'!$E$3:$E$10005&amp;'DMR 001C TIN &amp; TP'!$B$3:$B$10005&amp;'DMR 001C TIN &amp; TP'!$A$3:$A$10005),0),MATCH('Reg 85'!$O$11,'DMR 001C TIN &amp; TP'!$A$2:$M$2,0))),"")</f>
        <v/>
      </c>
      <c r="U148" s="6">
        <f t="array" ref="U148">_xlfn.IFNA((INDEX('DMR 001C TIN &amp; TP'!$A$3:$M$10005,MATCH(('Reg 85'!$I$6:$Q$6&amp;'Reg 85'!U$10&amp;'Reg 85'!$B148),('DMR 001C TIN &amp; TP'!$E$3:$E$10005&amp;'DMR 001C TIN &amp; TP'!$B$3:$B$10005&amp;'DMR 001C TIN &amp; TP'!$A$3:$A$10005),0),MATCH('Reg 85'!$O$11,'DMR 001C TIN &amp; TP'!$A$2:$M$2,0))),"")</f>
        <v>0.13</v>
      </c>
      <c r="V148" s="6" t="str">
        <f t="array" ref="V148">_xlfn.IFNA((INDEX('DMR 001C TIN &amp; TP'!$A$3:$M$10005,MATCH(('Reg 85'!$I$6:$Q$6&amp;'Reg 85'!V$10&amp;'Reg 85'!$B148),('DMR 001C TIN &amp; TP'!$E$3:$E$10005&amp;'DMR 001C TIN &amp; TP'!$B$3:$B$10005&amp;'DMR 001C TIN &amp; TP'!$A$3:$A$10005),0),MATCH('Reg 85'!$O$11,'DMR 001C TIN &amp; TP'!$A$2:$M$2,0))),"")</f>
        <v/>
      </c>
      <c r="W148" s="6" t="str">
        <f t="array" ref="W148">_xlfn.IFNA((INDEX('DMR 001C TIN &amp; TP'!$A$3:$M$10005,MATCH(('Reg 85'!$I$6:$Q$6&amp;'Reg 85'!W$10&amp;'Reg 85'!$B148),('DMR 001C TIN &amp; TP'!$E$3:$E$10005&amp;'DMR 001C TIN &amp; TP'!$B$3:$B$10005&amp;'DMR 001C TIN &amp; TP'!$A$3:$A$10005),0),MATCH('Reg 85'!$O$11,'DMR 001C TIN &amp; TP'!$A$2:$M$2,0))),"")</f>
        <v/>
      </c>
      <c r="X148" s="5" t="str">
        <f t="shared" si="71"/>
        <v/>
      </c>
      <c r="Y148" s="6" t="str">
        <f t="array" ref="Y148">_xlfn.IFNA((INDEX('DMR 001C TIN &amp; TP'!$A$3:$M$10005,MATCH(('Reg 85'!$X$6&amp;'Reg 85'!$X$10&amp;'Reg 85'!$B148),('DMR 001C TIN &amp; TP'!$E$3:$E$10005&amp;'DMR 001C TIN &amp; TP'!$B$3:$B$10005&amp;'DMR 001C TIN &amp; TP'!$A$3:$A$10005),0),MATCH('Reg 85'!$Y$11,'DMR 001C TIN &amp; TP'!$A$2:$M$2,0))),"")</f>
        <v>0.06</v>
      </c>
      <c r="Z148" s="6">
        <f t="array" ref="Z148">_xlfn.IFNA((INDEX('DMR 001C TIN &amp; TP'!$A$3:$M$10005,MATCH(('Reg 85'!$X$6&amp;'Reg 85'!$X$10&amp;'Reg 85'!$B148),('DMR 001C TIN &amp; TP'!$E$3:$E$10005&amp;'DMR 001C TIN &amp; TP'!$B$3:$B$10005&amp;'DMR 001C TIN &amp; TP'!$A$3:$A$10005),0),MATCH('Reg 85'!$Z$11,'DMR 001C TIN &amp; TP'!$A$2:$M$2,0))),"")</f>
        <v>4.5199999999999996</v>
      </c>
      <c r="AA148" s="53">
        <f t="shared" si="72"/>
        <v>4.5199999999999996</v>
      </c>
      <c r="AB148" s="5" t="str">
        <f t="shared" si="73"/>
        <v/>
      </c>
      <c r="AC148" s="6" t="str">
        <f t="array" ref="AC148">_xlfn.IFNA((INDEX('DMR 001C TIN &amp; TP'!$A$3:$M$10005,MATCH(('Reg 85'!$X$6&amp;'Reg 85'!$AB$10&amp;'Reg 85'!$B148),('DMR 001C TIN &amp; TP'!$E$3:$E$10005&amp;'DMR 001C TIN &amp; TP'!$B$3:$B$10005&amp;'DMR 001C TIN &amp; TP'!$A$3:$A$10005),0),MATCH('Reg 85'!$AC$11,'DMR 001C TIN &amp; TP'!$A$2:$M$2,0))),"")</f>
        <v>0.06</v>
      </c>
      <c r="AD148" s="6">
        <f t="array" ref="AD148">_xlfn.IFNA((INDEX('DMR 001C TIN &amp; TP'!$A$3:$M$10005,MATCH(('Reg 85'!$X$6&amp;'Reg 85'!$AB$10&amp;'Reg 85'!$B148),('DMR 001C TIN &amp; TP'!$E$3:$E$10005&amp;'DMR 001C TIN &amp; TP'!$B$3:$B$10005&amp;'DMR 001C TIN &amp; TP'!$A$3:$A$10005),0),MATCH('Reg 85'!$AD$11,'DMR 001C TIN &amp; TP'!$A$2:$M$2,0))),"")</f>
        <v>6.51</v>
      </c>
      <c r="AE148" s="53">
        <f t="shared" si="74"/>
        <v>6.51</v>
      </c>
      <c r="AF148" s="7">
        <f t="shared" si="75"/>
        <v>5.7566187568203837</v>
      </c>
      <c r="AG148" s="6" t="str">
        <f t="array" ref="AG148">_xlfn.IFNA((INDEX('DMR 001C TIN &amp; TP'!$A$3:$M$10005,MATCH(('Reg 85'!$X$6&amp;'Reg 85'!AG$10&amp;'Reg 85'!$B148),('DMR 001C TIN &amp; TP'!$E$3:$E$10005&amp;'DMR 001C TIN &amp; TP'!$B$3:$B$10005&amp;'DMR 001C TIN &amp; TP'!$A$3:$A$10005),0),MATCH('Reg 85'!$AG$11,'DMR 001C TIN &amp; TP'!$A$2:$M$2,0))),"")</f>
        <v/>
      </c>
      <c r="AH148" s="6" t="str">
        <f t="array" ref="AH148">_xlfn.IFNA((INDEX('DMR 001C TIN &amp; TP'!$A$3:$M$10005,MATCH(('Reg 85'!$X$6&amp;'Reg 85'!AH$10&amp;'Reg 85'!$B148),('DMR 001C TIN &amp; TP'!$E$3:$E$10005&amp;'DMR 001C TIN &amp; TP'!$B$3:$B$10005&amp;'DMR 001C TIN &amp; TP'!$A$3:$A$10005),0),MATCH('Reg 85'!$AG$11,'DMR 001C TIN &amp; TP'!$A$2:$M$2,0))),"")</f>
        <v/>
      </c>
      <c r="AI148" s="6" t="str">
        <f t="array" ref="AI148">_xlfn.IFNA((INDEX('DMR 001C TIN &amp; TP'!$A$3:$M$10005,MATCH(('Reg 85'!$X$6&amp;'Reg 85'!AI$10&amp;'Reg 85'!$B148),('DMR 001C TIN &amp; TP'!$E$3:$E$10005&amp;'DMR 001C TIN &amp; TP'!$B$3:$B$10005&amp;'DMR 001C TIN &amp; TP'!$A$3:$A$10005),0),MATCH('Reg 85'!$AG$11,'DMR 001C TIN &amp; TP'!$A$2:$M$2,0))),"")</f>
        <v/>
      </c>
      <c r="AJ148" s="6" t="str">
        <f t="array" ref="AJ148">_xlfn.IFNA((INDEX('DMR 001C TIN &amp; TP'!$A$3:$M$10005,MATCH(('Reg 85'!$X$6&amp;'Reg 85'!AJ$10&amp;'Reg 85'!$B148),('DMR 001C TIN &amp; TP'!$E$3:$E$10005&amp;'DMR 001C TIN &amp; TP'!$B$3:$B$10005&amp;'DMR 001C TIN &amp; TP'!$A$3:$A$10005),0),MATCH('Reg 85'!$AG$11,'DMR 001C TIN &amp; TP'!$A$2:$M$2,0))),"")</f>
        <v/>
      </c>
      <c r="AK148" s="6" t="str">
        <f t="array" ref="AK148">_xlfn.IFNA((INDEX('DMR 001C TIN &amp; TP'!$A$3:$M$10005,MATCH(('Reg 85'!$X$6&amp;'Reg 85'!AK$10&amp;'Reg 85'!$B148),('DMR 001C TIN &amp; TP'!$E$3:$E$10005&amp;'DMR 001C TIN &amp; TP'!$B$3:$B$10005&amp;'DMR 001C TIN &amp; TP'!$A$3:$A$10005),0),MATCH('Reg 85'!$AG$11,'DMR 001C TIN &amp; TP'!$A$2:$M$2,0))),"")</f>
        <v/>
      </c>
      <c r="AL148" s="6" t="str">
        <f t="array" ref="AL148">_xlfn.IFNA((INDEX('DMR 001C TIN &amp; TP'!$A$3:$M$10005,MATCH(('Reg 85'!$X$6&amp;'Reg 85'!AL$10&amp;'Reg 85'!$B148),('DMR 001C TIN &amp; TP'!$E$3:$E$10005&amp;'DMR 001C TIN &amp; TP'!$B$3:$B$10005&amp;'DMR 001C TIN &amp; TP'!$A$3:$A$10005),0),MATCH('Reg 85'!$AG$11,'DMR 001C TIN &amp; TP'!$A$2:$M$2,0))),"")</f>
        <v/>
      </c>
      <c r="AM148" s="76"/>
      <c r="AN148" s="6"/>
      <c r="AO148" s="54">
        <f t="shared" si="62"/>
        <v>6.0047637938919065</v>
      </c>
      <c r="AP148" s="77" t="str">
        <f t="shared" si="60"/>
        <v/>
      </c>
      <c r="AQ148" s="47"/>
      <c r="AR148" s="6" t="str">
        <f t="array" ref="AR148">_xlfn.IFNA((INDEX('DMR 001C TIN &amp; TP'!$A$3:$M$10005,MATCH(('Reg 85'!$AQ$6&amp;'Reg 85'!$AQ$10&amp;'Reg 85'!$B148),('DMR 001C TIN &amp; TP'!$E$3:$E$10005&amp;'DMR 001C TIN &amp; TP'!$B$3:$B$10005&amp;'DMR 001C TIN &amp; TP'!$A$3:$A$10005),0),MATCH('Reg 85'!$AR$11,'DMR 001C TIN &amp; TP'!$A$2:$M$2,0))),"")</f>
        <v/>
      </c>
      <c r="AS148" s="6" t="str">
        <f t="array" ref="AS148">_xlfn.IFNA((INDEX('DMR 001C TIN &amp; TP'!$A$3:$M$10005,MATCH(('Reg 85'!$AQ$6&amp;'Reg 85'!$AQ$10&amp;'Reg 85'!$B148),('DMR 001C TIN &amp; TP'!$E$3:$E$10005&amp;'DMR 001C TIN &amp; TP'!$B$3:$B$10005&amp;'DMR 001C TIN &amp; TP'!$A$3:$A$10005),0),MATCH('Reg 85'!$AS$11,'DMR 001C TIN &amp; TP'!$A$2:$M$2,0))),"")</f>
        <v/>
      </c>
      <c r="AT148" s="53" t="str">
        <f t="shared" si="76"/>
        <v/>
      </c>
      <c r="AV148" s="6" t="str">
        <f t="array" ref="AV148">_xlfn.IFNA((INDEX('DMR 001C TIN &amp; TP'!$A$3:$M$10005,MATCH(('Reg 85'!$AQ$6&amp;'Reg 85'!$AU$10&amp;'Reg 85'!$B148),('DMR 001C TIN &amp; TP'!$E$3:$E$10005&amp;'DMR 001C TIN &amp; TP'!$B$3:$B$10005&amp;'DMR 001C TIN &amp; TP'!$A$3:$A$10005),0),MATCH('Reg 85'!$AV$11,'DMR 001C TIN &amp; TP'!$A$2:$M$2,0))),"")</f>
        <v/>
      </c>
      <c r="AW148" s="6" t="str">
        <f t="array" ref="AW148">_xlfn.IFNA((INDEX('DMR 001C TIN &amp; TP'!$A$3:$M$10005,MATCH(('Reg 85'!$AQ$6&amp;'Reg 85'!$AU$10&amp;'Reg 85'!$B148),('DMR 001C TIN &amp; TP'!$E$3:$E$10005&amp;'DMR 001C TIN &amp; TP'!$B$3:$B$10005&amp;'DMR 001C TIN &amp; TP'!$A$3:$A$10005),0),MATCH('Reg 85'!$AW$11,'DMR 001C TIN &amp; TP'!$A$2:$M$2,0))),"")</f>
        <v/>
      </c>
      <c r="AX148" s="53" t="str">
        <f t="shared" si="77"/>
        <v/>
      </c>
      <c r="AY148" s="55" t="str">
        <f t="shared" si="78"/>
        <v/>
      </c>
      <c r="AZ148" s="77" t="str">
        <f t="shared" si="61"/>
        <v/>
      </c>
      <c r="BA148" s="6" t="str">
        <f t="array" ref="BA148">_xlfn.IFNA((INDEX('DMR 001C TIN &amp; TP'!$A$3:$M$10005,MATCH(('Reg 85'!$AQ$6&amp;'Reg 85'!BA$10&amp;'Reg 85'!$B148),('DMR 001C TIN &amp; TP'!$E$3:$E$10005&amp;'DMR 001C TIN &amp; TP'!$B$3:$B$10005&amp;'DMR 001C TIN &amp; TP'!$A$3:$A$10005),0),MATCH('Reg 85'!$AG$11,'DMR 001C TIN &amp; TP'!$A$2:$M$2,0))),"")</f>
        <v/>
      </c>
      <c r="BB148" s="6" t="str">
        <f t="array" ref="BB148">_xlfn.IFNA((INDEX('DMR 001C TIN &amp; TP'!$A$3:$M$10005,MATCH(('Reg 85'!$AQ$6&amp;'Reg 85'!BB$10&amp;'Reg 85'!$B148),('DMR 001C TIN &amp; TP'!$E$3:$E$10005&amp;'DMR 001C TIN &amp; TP'!$B$3:$B$10005&amp;'DMR 001C TIN &amp; TP'!$A$3:$A$10005),0),MATCH('Reg 85'!$AG$11,'DMR 001C TIN &amp; TP'!$A$2:$M$2,0))),"")</f>
        <v/>
      </c>
      <c r="BC148" s="6" t="str">
        <f t="array" ref="BC148">_xlfn.IFNA((INDEX('DMR 001C TIN &amp; TP'!$A$3:$M$10005,MATCH(('Reg 85'!$AQ$6&amp;'Reg 85'!BC$10&amp;'Reg 85'!$B148),('DMR 001C TIN &amp; TP'!$E$3:$E$10005&amp;'DMR 001C TIN &amp; TP'!$B$3:$B$10005&amp;'DMR 001C TIN &amp; TP'!$A$3:$A$10005),0),MATCH('Reg 85'!$AG$11,'DMR 001C TIN &amp; TP'!$A$2:$M$2,0))),"")</f>
        <v/>
      </c>
      <c r="BD148" s="6" t="str">
        <f t="array" ref="BD148">_xlfn.IFNA((INDEX('DMR 001C TIN &amp; TP'!$A$3:$M$10005,MATCH(('Reg 85'!$AQ$6&amp;'Reg 85'!BD$10&amp;'Reg 85'!$B148),('DMR 001C TIN &amp; TP'!$E$3:$E$10005&amp;'DMR 001C TIN &amp; TP'!$B$3:$B$10005&amp;'DMR 001C TIN &amp; TP'!$A$3:$A$10005),0),MATCH('Reg 85'!$AG$11,'DMR 001C TIN &amp; TP'!$A$2:$M$2,0))),"")</f>
        <v/>
      </c>
      <c r="BE148" s="6" t="str">
        <f t="array" ref="BE148">_xlfn.IFNA((INDEX('DMR 001C TIN &amp; TP'!$A$3:$M$10005,MATCH(('Reg 85'!$AQ$6&amp;'Reg 85'!BE$10&amp;'Reg 85'!$B148),('DMR 001C TIN &amp; TP'!$E$3:$E$10005&amp;'DMR 001C TIN &amp; TP'!$B$3:$B$10005&amp;'DMR 001C TIN &amp; TP'!$A$3:$A$10005),0),MATCH('Reg 85'!$AG$11,'DMR 001C TIN &amp; TP'!$A$2:$M$2,0))),"")</f>
        <v/>
      </c>
      <c r="BF148" s="6" t="str">
        <f t="array" ref="BF148">_xlfn.IFNA((INDEX('DMR 001C TIN &amp; TP'!$A$3:$M$10005,MATCH(('Reg 85'!$AQ$6&amp;'Reg 85'!BF$10&amp;'Reg 85'!$B148),('DMR 001C TIN &amp; TP'!$E$3:$E$10005&amp;'DMR 001C TIN &amp; TP'!$B$3:$B$10005&amp;'DMR 001C TIN &amp; TP'!$A$3:$A$10005),0),MATCH('Reg 85'!$AG$11,'DMR 001C TIN &amp; TP'!$A$2:$M$2,0))),"")</f>
        <v/>
      </c>
    </row>
    <row r="149" spans="1:58">
      <c r="A149" s="3" t="str">
        <f t="shared" si="63"/>
        <v>Wed</v>
      </c>
      <c r="B149" s="96">
        <f t="shared" si="79"/>
        <v>43481</v>
      </c>
      <c r="C149" s="96">
        <f t="shared" si="64"/>
        <v>43496</v>
      </c>
      <c r="D149" s="96">
        <f t="shared" si="65"/>
        <v>43466</v>
      </c>
      <c r="E149" s="95">
        <f t="shared" si="66"/>
        <v>31</v>
      </c>
      <c r="F149" s="7">
        <f t="array" ref="F149">_xlfn.IFNA(INDEX('DMR Flows-Effluent'!$A$3:$F$9999,MATCH(($F$10&amp;$B149),('DMR Flows-Effluent'!$B$3:$B$9999&amp;'DMR Flows-Effluent'!$A$3:$A$9999),0),MATCH($F$8,'DMR Flows-Effluent'!$A$2:$F$2,0)),"")</f>
        <v>44.292700000000004</v>
      </c>
      <c r="G149" s="7">
        <f t="array" ref="G149">_xlfn.IFNA(INDEX('DMR Flows-Effluent'!$A$3:$F$9999,MATCH(($G$10&amp;$B149),('DMR Flows-Effluent'!$B$3:$B$9999&amp;'DMR Flows-Effluent'!$A$3:$A$9999),0),MATCH($F$8,'DMR Flows-Effluent'!$A$2:$F$2,0)),"")</f>
        <v>75.975399999999993</v>
      </c>
      <c r="H149" s="7">
        <f t="shared" si="67"/>
        <v>120.2681</v>
      </c>
      <c r="I149" s="45" t="str">
        <f t="shared" si="68"/>
        <v/>
      </c>
      <c r="J149" s="6" t="str">
        <f t="array" ref="J149">_xlfn.IFNA((INDEX('DMR 001C TIN &amp; TP'!$A$3:$M$10005,MATCH(('Reg 85'!$I$6:$Q$6&amp;'Reg 85'!$I$10:$K$10&amp;'Reg 85'!$B149),('DMR 001C TIN &amp; TP'!$E$3:$E$10005&amp;'DMR 001C TIN &amp; TP'!$B$3:$B$10005&amp;'DMR 001C TIN &amp; TP'!$A$3:$A$10005),0),MATCH('Reg 85'!$J$11,'DMR 001C TIN &amp; TP'!$A$2:$M$2,0))),"")</f>
        <v>0.15</v>
      </c>
      <c r="K149" s="6">
        <f t="array" ref="K149">_xlfn.IFNA((INDEX('DMR 001C TIN &amp; TP'!$A$3:$M$10005,MATCH(('Reg 85'!$I$6:$Q$6&amp;'Reg 85'!$I$10:$K$10&amp;'Reg 85'!$B149),('DMR 001C TIN &amp; TP'!$E$3:$E$10005&amp;'DMR 001C TIN &amp; TP'!$B$3:$B$10005&amp;'DMR 001C TIN &amp; TP'!$A$3:$A$10005),0),MATCH('Reg 85'!$K$11,'DMR 001C TIN &amp; TP'!$A$2:$M$2,0))),"")</f>
        <v>0.53</v>
      </c>
      <c r="L149" s="53">
        <f t="shared" si="80"/>
        <v>0.53</v>
      </c>
      <c r="M149" s="5" t="str">
        <f t="shared" si="69"/>
        <v/>
      </c>
      <c r="N149" s="6" t="str">
        <f t="array" ref="N149">_xlfn.IFNA((INDEX('DMR 001C TIN &amp; TP'!$A$3:$M$10005,MATCH(('Reg 85'!$I$6:$Q$6&amp;'Reg 85'!$M$10&amp;'Reg 85'!$B149),('DMR 001C TIN &amp; TP'!$E$3:$E$10005&amp;'DMR 001C TIN &amp; TP'!$B$3:$B$10005&amp;'DMR 001C TIN &amp; TP'!$A$3:$A$10005),0),MATCH('Reg 85'!$N$11,'DMR 001C TIN &amp; TP'!$A$2:$M$2,0))),"")</f>
        <v>0.15</v>
      </c>
      <c r="O149" s="6">
        <f t="array" ref="O149">_xlfn.IFNA((INDEX('DMR 001C TIN &amp; TP'!$A$3:$M$10005,MATCH(('Reg 85'!$I$6:$Q$6&amp;'Reg 85'!$M$10&amp;'Reg 85'!$B149),('DMR 001C TIN &amp; TP'!$E$3:$E$10005&amp;'DMR 001C TIN &amp; TP'!$B$3:$B$10005&amp;'DMR 001C TIN &amp; TP'!$A$3:$A$10005),0),MATCH('Reg 85'!$O$11,'DMR 001C TIN &amp; TP'!$A$2:$M$2,0))),"")</f>
        <v>0.26</v>
      </c>
      <c r="P149" s="53">
        <f t="shared" si="70"/>
        <v>0.26</v>
      </c>
      <c r="Q149" s="73">
        <f t="array" ref="Q149">IFERROR(((L149*$F149)+(P149*$G149))/($H149),"")</f>
        <v>0.35943641747063437</v>
      </c>
      <c r="R149" s="6" t="str">
        <f t="array" ref="R149">_xlfn.IFNA((INDEX('DMR 001C TIN &amp; TP'!$A$3:$M$10005,MATCH(('Reg 85'!$I$6:$Q$6&amp;'Reg 85'!R$10&amp;'Reg 85'!$B149),('DMR 001C TIN &amp; TP'!$E$3:$E$10005&amp;'DMR 001C TIN &amp; TP'!$B$3:$B$10005&amp;'DMR 001C TIN &amp; TP'!$A$3:$A$10005),0),MATCH('Reg 85'!$O$11,'DMR 001C TIN &amp; TP'!$A$2:$M$2,0))),"")</f>
        <v/>
      </c>
      <c r="S149" s="6" t="str">
        <f t="array" ref="S149">_xlfn.IFNA((INDEX('DMR 001C TIN &amp; TP'!$A$3:$M$10005,MATCH(('Reg 85'!$I$6:$Q$6&amp;'Reg 85'!S$10&amp;'Reg 85'!$B149),('DMR 001C TIN &amp; TP'!$E$3:$E$10005&amp;'DMR 001C TIN &amp; TP'!$B$3:$B$10005&amp;'DMR 001C TIN &amp; TP'!$A$3:$A$10005),0),MATCH('Reg 85'!$O$11,'DMR 001C TIN &amp; TP'!$A$2:$M$2,0))),"")</f>
        <v/>
      </c>
      <c r="T149" s="6" t="str">
        <f t="array" ref="T149">_xlfn.IFNA((INDEX('DMR 001C TIN &amp; TP'!$A$3:$M$10005,MATCH(('Reg 85'!$I$6:$Q$6&amp;'Reg 85'!T$10&amp;'Reg 85'!$B149),('DMR 001C TIN &amp; TP'!$E$3:$E$10005&amp;'DMR 001C TIN &amp; TP'!$B$3:$B$10005&amp;'DMR 001C TIN &amp; TP'!$A$3:$A$10005),0),MATCH('Reg 85'!$O$11,'DMR 001C TIN &amp; TP'!$A$2:$M$2,0))),"")</f>
        <v/>
      </c>
      <c r="U149" s="6" t="str">
        <f t="array" ref="U149">_xlfn.IFNA((INDEX('DMR 001C TIN &amp; TP'!$A$3:$M$10005,MATCH(('Reg 85'!$I$6:$Q$6&amp;'Reg 85'!U$10&amp;'Reg 85'!$B149),('DMR 001C TIN &amp; TP'!$E$3:$E$10005&amp;'DMR 001C TIN &amp; TP'!$B$3:$B$10005&amp;'DMR 001C TIN &amp; TP'!$A$3:$A$10005),0),MATCH('Reg 85'!$O$11,'DMR 001C TIN &amp; TP'!$A$2:$M$2,0))),"")</f>
        <v/>
      </c>
      <c r="V149" s="6" t="str">
        <f t="array" ref="V149">_xlfn.IFNA((INDEX('DMR 001C TIN &amp; TP'!$A$3:$M$10005,MATCH(('Reg 85'!$I$6:$Q$6&amp;'Reg 85'!V$10&amp;'Reg 85'!$B149),('DMR 001C TIN &amp; TP'!$E$3:$E$10005&amp;'DMR 001C TIN &amp; TP'!$B$3:$B$10005&amp;'DMR 001C TIN &amp; TP'!$A$3:$A$10005),0),MATCH('Reg 85'!$O$11,'DMR 001C TIN &amp; TP'!$A$2:$M$2,0))),"")</f>
        <v/>
      </c>
      <c r="W149" s="6" t="str">
        <f t="array" ref="W149">_xlfn.IFNA((INDEX('DMR 001C TIN &amp; TP'!$A$3:$M$10005,MATCH(('Reg 85'!$I$6:$Q$6&amp;'Reg 85'!W$10&amp;'Reg 85'!$B149),('DMR 001C TIN &amp; TP'!$E$3:$E$10005&amp;'DMR 001C TIN &amp; TP'!$B$3:$B$10005&amp;'DMR 001C TIN &amp; TP'!$A$3:$A$10005),0),MATCH('Reg 85'!$O$11,'DMR 001C TIN &amp; TP'!$A$2:$M$2,0))),"")</f>
        <v/>
      </c>
      <c r="X149" s="5" t="str">
        <f t="shared" si="71"/>
        <v/>
      </c>
      <c r="Y149" s="6" t="str">
        <f t="array" ref="Y149">_xlfn.IFNA((INDEX('DMR 001C TIN &amp; TP'!$A$3:$M$10005,MATCH(('Reg 85'!$X$6&amp;'Reg 85'!$X$10&amp;'Reg 85'!$B149),('DMR 001C TIN &amp; TP'!$E$3:$E$10005&amp;'DMR 001C TIN &amp; TP'!$B$3:$B$10005&amp;'DMR 001C TIN &amp; TP'!$A$3:$A$10005),0),MATCH('Reg 85'!$Y$11,'DMR 001C TIN &amp; TP'!$A$2:$M$2,0))),"")</f>
        <v>0.06</v>
      </c>
      <c r="Z149" s="6">
        <f t="array" ref="Z149">_xlfn.IFNA((INDEX('DMR 001C TIN &amp; TP'!$A$3:$M$10005,MATCH(('Reg 85'!$X$6&amp;'Reg 85'!$X$10&amp;'Reg 85'!$B149),('DMR 001C TIN &amp; TP'!$E$3:$E$10005&amp;'DMR 001C TIN &amp; TP'!$B$3:$B$10005&amp;'DMR 001C TIN &amp; TP'!$A$3:$A$10005),0),MATCH('Reg 85'!$Z$11,'DMR 001C TIN &amp; TP'!$A$2:$M$2,0))),"")</f>
        <v>4.41</v>
      </c>
      <c r="AA149" s="53">
        <f t="shared" si="72"/>
        <v>4.41</v>
      </c>
      <c r="AB149" s="5" t="str">
        <f t="shared" si="73"/>
        <v/>
      </c>
      <c r="AC149" s="6" t="str">
        <f t="array" ref="AC149">_xlfn.IFNA((INDEX('DMR 001C TIN &amp; TP'!$A$3:$M$10005,MATCH(('Reg 85'!$X$6&amp;'Reg 85'!$AB$10&amp;'Reg 85'!$B149),('DMR 001C TIN &amp; TP'!$E$3:$E$10005&amp;'DMR 001C TIN &amp; TP'!$B$3:$B$10005&amp;'DMR 001C TIN &amp; TP'!$A$3:$A$10005),0),MATCH('Reg 85'!$AC$11,'DMR 001C TIN &amp; TP'!$A$2:$M$2,0))),"")</f>
        <v>0.06</v>
      </c>
      <c r="AD149" s="6">
        <f t="array" ref="AD149">_xlfn.IFNA((INDEX('DMR 001C TIN &amp; TP'!$A$3:$M$10005,MATCH(('Reg 85'!$X$6&amp;'Reg 85'!$AB$10&amp;'Reg 85'!$B149),('DMR 001C TIN &amp; TP'!$E$3:$E$10005&amp;'DMR 001C TIN &amp; TP'!$B$3:$B$10005&amp;'DMR 001C TIN &amp; TP'!$A$3:$A$10005),0),MATCH('Reg 85'!$AD$11,'DMR 001C TIN &amp; TP'!$A$2:$M$2,0))),"")</f>
        <v>7.01</v>
      </c>
      <c r="AE149" s="53">
        <f t="shared" si="74"/>
        <v>7.01</v>
      </c>
      <c r="AF149" s="7">
        <f t="shared" si="75"/>
        <v>6.0524641280605582</v>
      </c>
      <c r="AG149" s="6" t="str">
        <f t="array" ref="AG149">_xlfn.IFNA((INDEX('DMR 001C TIN &amp; TP'!$A$3:$M$10005,MATCH(('Reg 85'!$X$6&amp;'Reg 85'!AG$10&amp;'Reg 85'!$B149),('DMR 001C TIN &amp; TP'!$E$3:$E$10005&amp;'DMR 001C TIN &amp; TP'!$B$3:$B$10005&amp;'DMR 001C TIN &amp; TP'!$A$3:$A$10005),0),MATCH('Reg 85'!$AG$11,'DMR 001C TIN &amp; TP'!$A$2:$M$2,0))),"")</f>
        <v/>
      </c>
      <c r="AH149" s="6" t="str">
        <f t="array" ref="AH149">_xlfn.IFNA((INDEX('DMR 001C TIN &amp; TP'!$A$3:$M$10005,MATCH(('Reg 85'!$X$6&amp;'Reg 85'!AH$10&amp;'Reg 85'!$B149),('DMR 001C TIN &amp; TP'!$E$3:$E$10005&amp;'DMR 001C TIN &amp; TP'!$B$3:$B$10005&amp;'DMR 001C TIN &amp; TP'!$A$3:$A$10005),0),MATCH('Reg 85'!$AG$11,'DMR 001C TIN &amp; TP'!$A$2:$M$2,0))),"")</f>
        <v/>
      </c>
      <c r="AI149" s="6" t="str">
        <f t="array" ref="AI149">_xlfn.IFNA((INDEX('DMR 001C TIN &amp; TP'!$A$3:$M$10005,MATCH(('Reg 85'!$X$6&amp;'Reg 85'!AI$10&amp;'Reg 85'!$B149),('DMR 001C TIN &amp; TP'!$E$3:$E$10005&amp;'DMR 001C TIN &amp; TP'!$B$3:$B$10005&amp;'DMR 001C TIN &amp; TP'!$A$3:$A$10005),0),MATCH('Reg 85'!$AG$11,'DMR 001C TIN &amp; TP'!$A$2:$M$2,0))),"")</f>
        <v/>
      </c>
      <c r="AJ149" s="6" t="str">
        <f t="array" ref="AJ149">_xlfn.IFNA((INDEX('DMR 001C TIN &amp; TP'!$A$3:$M$10005,MATCH(('Reg 85'!$X$6&amp;'Reg 85'!AJ$10&amp;'Reg 85'!$B149),('DMR 001C TIN &amp; TP'!$E$3:$E$10005&amp;'DMR 001C TIN &amp; TP'!$B$3:$B$10005&amp;'DMR 001C TIN &amp; TP'!$A$3:$A$10005),0),MATCH('Reg 85'!$AG$11,'DMR 001C TIN &amp; TP'!$A$2:$M$2,0))),"")</f>
        <v/>
      </c>
      <c r="AK149" s="6" t="str">
        <f t="array" ref="AK149">_xlfn.IFNA((INDEX('DMR 001C TIN &amp; TP'!$A$3:$M$10005,MATCH(('Reg 85'!$X$6&amp;'Reg 85'!AK$10&amp;'Reg 85'!$B149),('DMR 001C TIN &amp; TP'!$E$3:$E$10005&amp;'DMR 001C TIN &amp; TP'!$B$3:$B$10005&amp;'DMR 001C TIN &amp; TP'!$A$3:$A$10005),0),MATCH('Reg 85'!$AG$11,'DMR 001C TIN &amp; TP'!$A$2:$M$2,0))),"")</f>
        <v/>
      </c>
      <c r="AL149" s="6" t="str">
        <f t="array" ref="AL149">_xlfn.IFNA((INDEX('DMR 001C TIN &amp; TP'!$A$3:$M$10005,MATCH(('Reg 85'!$X$6&amp;'Reg 85'!AL$10&amp;'Reg 85'!$B149),('DMR 001C TIN &amp; TP'!$E$3:$E$10005&amp;'DMR 001C TIN &amp; TP'!$B$3:$B$10005&amp;'DMR 001C TIN &amp; TP'!$A$3:$A$10005),0),MATCH('Reg 85'!$AG$11,'DMR 001C TIN &amp; TP'!$A$2:$M$2,0))),"")</f>
        <v/>
      </c>
      <c r="AM149" s="76"/>
      <c r="AN149" s="6"/>
      <c r="AO149" s="54">
        <f t="shared" si="62"/>
        <v>6.4119005455311928</v>
      </c>
      <c r="AP149" s="77" t="str">
        <f t="shared" si="60"/>
        <v/>
      </c>
      <c r="AQ149" s="47"/>
      <c r="AR149" s="6" t="str">
        <f t="array" ref="AR149">_xlfn.IFNA((INDEX('DMR 001C TIN &amp; TP'!$A$3:$M$10005,MATCH(('Reg 85'!$AQ$6&amp;'Reg 85'!$AQ$10&amp;'Reg 85'!$B149),('DMR 001C TIN &amp; TP'!$E$3:$E$10005&amp;'DMR 001C TIN &amp; TP'!$B$3:$B$10005&amp;'DMR 001C TIN &amp; TP'!$A$3:$A$10005),0),MATCH('Reg 85'!$AR$11,'DMR 001C TIN &amp; TP'!$A$2:$M$2,0))),"")</f>
        <v/>
      </c>
      <c r="AS149" s="6" t="str">
        <f t="array" ref="AS149">_xlfn.IFNA((INDEX('DMR 001C TIN &amp; TP'!$A$3:$M$10005,MATCH(('Reg 85'!$AQ$6&amp;'Reg 85'!$AQ$10&amp;'Reg 85'!$B149),('DMR 001C TIN &amp; TP'!$E$3:$E$10005&amp;'DMR 001C TIN &amp; TP'!$B$3:$B$10005&amp;'DMR 001C TIN &amp; TP'!$A$3:$A$10005),0),MATCH('Reg 85'!$AS$11,'DMR 001C TIN &amp; TP'!$A$2:$M$2,0))),"")</f>
        <v/>
      </c>
      <c r="AT149" s="53" t="str">
        <f t="shared" si="76"/>
        <v/>
      </c>
      <c r="AV149" s="6" t="str">
        <f t="array" ref="AV149">_xlfn.IFNA((INDEX('DMR 001C TIN &amp; TP'!$A$3:$M$10005,MATCH(('Reg 85'!$AQ$6&amp;'Reg 85'!$AU$10&amp;'Reg 85'!$B149),('DMR 001C TIN &amp; TP'!$E$3:$E$10005&amp;'DMR 001C TIN &amp; TP'!$B$3:$B$10005&amp;'DMR 001C TIN &amp; TP'!$A$3:$A$10005),0),MATCH('Reg 85'!$AV$11,'DMR 001C TIN &amp; TP'!$A$2:$M$2,0))),"")</f>
        <v/>
      </c>
      <c r="AW149" s="6" t="str">
        <f t="array" ref="AW149">_xlfn.IFNA((INDEX('DMR 001C TIN &amp; TP'!$A$3:$M$10005,MATCH(('Reg 85'!$AQ$6&amp;'Reg 85'!$AU$10&amp;'Reg 85'!$B149),('DMR 001C TIN &amp; TP'!$E$3:$E$10005&amp;'DMR 001C TIN &amp; TP'!$B$3:$B$10005&amp;'DMR 001C TIN &amp; TP'!$A$3:$A$10005),0),MATCH('Reg 85'!$AW$11,'DMR 001C TIN &amp; TP'!$A$2:$M$2,0))),"")</f>
        <v/>
      </c>
      <c r="AX149" s="53" t="str">
        <f t="shared" si="77"/>
        <v/>
      </c>
      <c r="AY149" s="55" t="str">
        <f t="shared" si="78"/>
        <v/>
      </c>
      <c r="AZ149" s="77" t="str">
        <f t="shared" si="61"/>
        <v/>
      </c>
      <c r="BA149" s="6" t="str">
        <f t="array" ref="BA149">_xlfn.IFNA((INDEX('DMR 001C TIN &amp; TP'!$A$3:$M$10005,MATCH(('Reg 85'!$AQ$6&amp;'Reg 85'!BA$10&amp;'Reg 85'!$B149),('DMR 001C TIN &amp; TP'!$E$3:$E$10005&amp;'DMR 001C TIN &amp; TP'!$B$3:$B$10005&amp;'DMR 001C TIN &amp; TP'!$A$3:$A$10005),0),MATCH('Reg 85'!$AG$11,'DMR 001C TIN &amp; TP'!$A$2:$M$2,0))),"")</f>
        <v/>
      </c>
      <c r="BB149" s="6" t="str">
        <f t="array" ref="BB149">_xlfn.IFNA((INDEX('DMR 001C TIN &amp; TP'!$A$3:$M$10005,MATCH(('Reg 85'!$AQ$6&amp;'Reg 85'!BB$10&amp;'Reg 85'!$B149),('DMR 001C TIN &amp; TP'!$E$3:$E$10005&amp;'DMR 001C TIN &amp; TP'!$B$3:$B$10005&amp;'DMR 001C TIN &amp; TP'!$A$3:$A$10005),0),MATCH('Reg 85'!$AG$11,'DMR 001C TIN &amp; TP'!$A$2:$M$2,0))),"")</f>
        <v/>
      </c>
      <c r="BC149" s="6" t="str">
        <f t="array" ref="BC149">_xlfn.IFNA((INDEX('DMR 001C TIN &amp; TP'!$A$3:$M$10005,MATCH(('Reg 85'!$AQ$6&amp;'Reg 85'!BC$10&amp;'Reg 85'!$B149),('DMR 001C TIN &amp; TP'!$E$3:$E$10005&amp;'DMR 001C TIN &amp; TP'!$B$3:$B$10005&amp;'DMR 001C TIN &amp; TP'!$A$3:$A$10005),0),MATCH('Reg 85'!$AG$11,'DMR 001C TIN &amp; TP'!$A$2:$M$2,0))),"")</f>
        <v/>
      </c>
      <c r="BD149" s="6" t="str">
        <f t="array" ref="BD149">_xlfn.IFNA((INDEX('DMR 001C TIN &amp; TP'!$A$3:$M$10005,MATCH(('Reg 85'!$AQ$6&amp;'Reg 85'!BD$10&amp;'Reg 85'!$B149),('DMR 001C TIN &amp; TP'!$E$3:$E$10005&amp;'DMR 001C TIN &amp; TP'!$B$3:$B$10005&amp;'DMR 001C TIN &amp; TP'!$A$3:$A$10005),0),MATCH('Reg 85'!$AG$11,'DMR 001C TIN &amp; TP'!$A$2:$M$2,0))),"")</f>
        <v/>
      </c>
      <c r="BE149" s="6" t="str">
        <f t="array" ref="BE149">_xlfn.IFNA((INDEX('DMR 001C TIN &amp; TP'!$A$3:$M$10005,MATCH(('Reg 85'!$AQ$6&amp;'Reg 85'!BE$10&amp;'Reg 85'!$B149),('DMR 001C TIN &amp; TP'!$E$3:$E$10005&amp;'DMR 001C TIN &amp; TP'!$B$3:$B$10005&amp;'DMR 001C TIN &amp; TP'!$A$3:$A$10005),0),MATCH('Reg 85'!$AG$11,'DMR 001C TIN &amp; TP'!$A$2:$M$2,0))),"")</f>
        <v/>
      </c>
      <c r="BF149" s="6" t="str">
        <f t="array" ref="BF149">_xlfn.IFNA((INDEX('DMR 001C TIN &amp; TP'!$A$3:$M$10005,MATCH(('Reg 85'!$AQ$6&amp;'Reg 85'!BF$10&amp;'Reg 85'!$B149),('DMR 001C TIN &amp; TP'!$E$3:$E$10005&amp;'DMR 001C TIN &amp; TP'!$B$3:$B$10005&amp;'DMR 001C TIN &amp; TP'!$A$3:$A$10005),0),MATCH('Reg 85'!$AG$11,'DMR 001C TIN &amp; TP'!$A$2:$M$2,0))),"")</f>
        <v/>
      </c>
    </row>
    <row r="150" spans="1:58">
      <c r="A150" s="3" t="str">
        <f t="shared" si="63"/>
        <v>Thu</v>
      </c>
      <c r="B150" s="96">
        <f t="shared" si="79"/>
        <v>43482</v>
      </c>
      <c r="C150" s="96">
        <f t="shared" si="64"/>
        <v>43496</v>
      </c>
      <c r="D150" s="96">
        <f t="shared" si="65"/>
        <v>43466</v>
      </c>
      <c r="E150" s="95">
        <f t="shared" si="66"/>
        <v>31</v>
      </c>
      <c r="F150" s="7">
        <f t="array" ref="F150">_xlfn.IFNA(INDEX('DMR Flows-Effluent'!$A$3:$F$9999,MATCH(($F$10&amp;$B150),('DMR Flows-Effluent'!$B$3:$B$9999&amp;'DMR Flows-Effluent'!$A$3:$A$9999),0),MATCH($F$8,'DMR Flows-Effluent'!$A$2:$F$2,0)),"")</f>
        <v>47.172800000000002</v>
      </c>
      <c r="G150" s="7">
        <f t="array" ref="G150">_xlfn.IFNA(INDEX('DMR Flows-Effluent'!$A$3:$F$9999,MATCH(($G$10&amp;$B150),('DMR Flows-Effluent'!$B$3:$B$9999&amp;'DMR Flows-Effluent'!$A$3:$A$9999),0),MATCH($F$8,'DMR Flows-Effluent'!$A$2:$F$2,0)),"")</f>
        <v>71.924999999999997</v>
      </c>
      <c r="H150" s="7">
        <f t="shared" si="67"/>
        <v>119.09780000000001</v>
      </c>
      <c r="I150" s="45" t="str">
        <f t="shared" si="68"/>
        <v/>
      </c>
      <c r="J150" s="6" t="str">
        <f t="array" ref="J150">_xlfn.IFNA((INDEX('DMR 001C TIN &amp; TP'!$A$3:$M$10005,MATCH(('Reg 85'!$I$6:$Q$6&amp;'Reg 85'!$I$10:$K$10&amp;'Reg 85'!$B150),('DMR 001C TIN &amp; TP'!$E$3:$E$10005&amp;'DMR 001C TIN &amp; TP'!$B$3:$B$10005&amp;'DMR 001C TIN &amp; TP'!$A$3:$A$10005),0),MATCH('Reg 85'!$J$11,'DMR 001C TIN &amp; TP'!$A$2:$M$2,0))),"")</f>
        <v/>
      </c>
      <c r="K150" s="6" t="str">
        <f t="array" ref="K150">_xlfn.IFNA((INDEX('DMR 001C TIN &amp; TP'!$A$3:$M$10005,MATCH(('Reg 85'!$I$6:$Q$6&amp;'Reg 85'!$I$10:$K$10&amp;'Reg 85'!$B150),('DMR 001C TIN &amp; TP'!$E$3:$E$10005&amp;'DMR 001C TIN &amp; TP'!$B$3:$B$10005&amp;'DMR 001C TIN &amp; TP'!$A$3:$A$10005),0),MATCH('Reg 85'!$K$11,'DMR 001C TIN &amp; TP'!$A$2:$M$2,0))),"")</f>
        <v/>
      </c>
      <c r="L150" s="53" t="str">
        <f t="shared" si="80"/>
        <v/>
      </c>
      <c r="M150" s="5" t="str">
        <f t="shared" si="69"/>
        <v/>
      </c>
      <c r="N150" s="6" t="str">
        <f t="array" ref="N150">_xlfn.IFNA((INDEX('DMR 001C TIN &amp; TP'!$A$3:$M$10005,MATCH(('Reg 85'!$I$6:$Q$6&amp;'Reg 85'!$M$10&amp;'Reg 85'!$B150),('DMR 001C TIN &amp; TP'!$E$3:$E$10005&amp;'DMR 001C TIN &amp; TP'!$B$3:$B$10005&amp;'DMR 001C TIN &amp; TP'!$A$3:$A$10005),0),MATCH('Reg 85'!$N$11,'DMR 001C TIN &amp; TP'!$A$2:$M$2,0))),"")</f>
        <v/>
      </c>
      <c r="O150" s="6" t="str">
        <f t="array" ref="O150">_xlfn.IFNA((INDEX('DMR 001C TIN &amp; TP'!$A$3:$M$10005,MATCH(('Reg 85'!$I$6:$Q$6&amp;'Reg 85'!$M$10&amp;'Reg 85'!$B150),('DMR 001C TIN &amp; TP'!$E$3:$E$10005&amp;'DMR 001C TIN &amp; TP'!$B$3:$B$10005&amp;'DMR 001C TIN &amp; TP'!$A$3:$A$10005),0),MATCH('Reg 85'!$O$11,'DMR 001C TIN &amp; TP'!$A$2:$M$2,0))),"")</f>
        <v/>
      </c>
      <c r="P150" s="53" t="str">
        <f t="shared" si="70"/>
        <v/>
      </c>
      <c r="Q150" s="73" t="str">
        <f t="array" ref="Q150">IFERROR(((L150*$F150)+(P150*$G150))/($H150),"")</f>
        <v/>
      </c>
      <c r="R150" s="6" t="str">
        <f t="array" ref="R150">_xlfn.IFNA((INDEX('DMR 001C TIN &amp; TP'!$A$3:$M$10005,MATCH(('Reg 85'!$I$6:$Q$6&amp;'Reg 85'!R$10&amp;'Reg 85'!$B150),('DMR 001C TIN &amp; TP'!$E$3:$E$10005&amp;'DMR 001C TIN &amp; TP'!$B$3:$B$10005&amp;'DMR 001C TIN &amp; TP'!$A$3:$A$10005),0),MATCH('Reg 85'!$O$11,'DMR 001C TIN &amp; TP'!$A$2:$M$2,0))),"")</f>
        <v/>
      </c>
      <c r="S150" s="6" t="str">
        <f t="array" ref="S150">_xlfn.IFNA((INDEX('DMR 001C TIN &amp; TP'!$A$3:$M$10005,MATCH(('Reg 85'!$I$6:$Q$6&amp;'Reg 85'!S$10&amp;'Reg 85'!$B150),('DMR 001C TIN &amp; TP'!$E$3:$E$10005&amp;'DMR 001C TIN &amp; TP'!$B$3:$B$10005&amp;'DMR 001C TIN &amp; TP'!$A$3:$A$10005),0),MATCH('Reg 85'!$O$11,'DMR 001C TIN &amp; TP'!$A$2:$M$2,0))),"")</f>
        <v/>
      </c>
      <c r="T150" s="6" t="str">
        <f t="array" ref="T150">_xlfn.IFNA((INDEX('DMR 001C TIN &amp; TP'!$A$3:$M$10005,MATCH(('Reg 85'!$I$6:$Q$6&amp;'Reg 85'!T$10&amp;'Reg 85'!$B150),('DMR 001C TIN &amp; TP'!$E$3:$E$10005&amp;'DMR 001C TIN &amp; TP'!$B$3:$B$10005&amp;'DMR 001C TIN &amp; TP'!$A$3:$A$10005),0),MATCH('Reg 85'!$O$11,'DMR 001C TIN &amp; TP'!$A$2:$M$2,0))),"")</f>
        <v/>
      </c>
      <c r="U150" s="6" t="str">
        <f t="array" ref="U150">_xlfn.IFNA((INDEX('DMR 001C TIN &amp; TP'!$A$3:$M$10005,MATCH(('Reg 85'!$I$6:$Q$6&amp;'Reg 85'!U$10&amp;'Reg 85'!$B150),('DMR 001C TIN &amp; TP'!$E$3:$E$10005&amp;'DMR 001C TIN &amp; TP'!$B$3:$B$10005&amp;'DMR 001C TIN &amp; TP'!$A$3:$A$10005),0),MATCH('Reg 85'!$O$11,'DMR 001C TIN &amp; TP'!$A$2:$M$2,0))),"")</f>
        <v/>
      </c>
      <c r="V150" s="6" t="str">
        <f t="array" ref="V150">_xlfn.IFNA((INDEX('DMR 001C TIN &amp; TP'!$A$3:$M$10005,MATCH(('Reg 85'!$I$6:$Q$6&amp;'Reg 85'!V$10&amp;'Reg 85'!$B150),('DMR 001C TIN &amp; TP'!$E$3:$E$10005&amp;'DMR 001C TIN &amp; TP'!$B$3:$B$10005&amp;'DMR 001C TIN &amp; TP'!$A$3:$A$10005),0),MATCH('Reg 85'!$O$11,'DMR 001C TIN &amp; TP'!$A$2:$M$2,0))),"")</f>
        <v/>
      </c>
      <c r="W150" s="6" t="str">
        <f t="array" ref="W150">_xlfn.IFNA((INDEX('DMR 001C TIN &amp; TP'!$A$3:$M$10005,MATCH(('Reg 85'!$I$6:$Q$6&amp;'Reg 85'!W$10&amp;'Reg 85'!$B150),('DMR 001C TIN &amp; TP'!$E$3:$E$10005&amp;'DMR 001C TIN &amp; TP'!$B$3:$B$10005&amp;'DMR 001C TIN &amp; TP'!$A$3:$A$10005),0),MATCH('Reg 85'!$O$11,'DMR 001C TIN &amp; TP'!$A$2:$M$2,0))),"")</f>
        <v/>
      </c>
      <c r="X150" s="5" t="str">
        <f t="shared" si="71"/>
        <v/>
      </c>
      <c r="Y150" s="6" t="str">
        <f t="array" ref="Y150">_xlfn.IFNA((INDEX('DMR 001C TIN &amp; TP'!$A$3:$M$10005,MATCH(('Reg 85'!$X$6&amp;'Reg 85'!$X$10&amp;'Reg 85'!$B150),('DMR 001C TIN &amp; TP'!$E$3:$E$10005&amp;'DMR 001C TIN &amp; TP'!$B$3:$B$10005&amp;'DMR 001C TIN &amp; TP'!$A$3:$A$10005),0),MATCH('Reg 85'!$Y$11,'DMR 001C TIN &amp; TP'!$A$2:$M$2,0))),"")</f>
        <v/>
      </c>
      <c r="Z150" s="6" t="str">
        <f t="array" ref="Z150">_xlfn.IFNA((INDEX('DMR 001C TIN &amp; TP'!$A$3:$M$10005,MATCH(('Reg 85'!$X$6&amp;'Reg 85'!$X$10&amp;'Reg 85'!$B150),('DMR 001C TIN &amp; TP'!$E$3:$E$10005&amp;'DMR 001C TIN &amp; TP'!$B$3:$B$10005&amp;'DMR 001C TIN &amp; TP'!$A$3:$A$10005),0),MATCH('Reg 85'!$Z$11,'DMR 001C TIN &amp; TP'!$A$2:$M$2,0))),"")</f>
        <v/>
      </c>
      <c r="AA150" s="53" t="str">
        <f t="shared" si="72"/>
        <v/>
      </c>
      <c r="AB150" s="5" t="str">
        <f t="shared" si="73"/>
        <v/>
      </c>
      <c r="AC150" s="6" t="str">
        <f t="array" ref="AC150">_xlfn.IFNA((INDEX('DMR 001C TIN &amp; TP'!$A$3:$M$10005,MATCH(('Reg 85'!$X$6&amp;'Reg 85'!$AB$10&amp;'Reg 85'!$B150),('DMR 001C TIN &amp; TP'!$E$3:$E$10005&amp;'DMR 001C TIN &amp; TP'!$B$3:$B$10005&amp;'DMR 001C TIN &amp; TP'!$A$3:$A$10005),0),MATCH('Reg 85'!$AC$11,'DMR 001C TIN &amp; TP'!$A$2:$M$2,0))),"")</f>
        <v/>
      </c>
      <c r="AD150" s="6" t="str">
        <f t="array" ref="AD150">_xlfn.IFNA((INDEX('DMR 001C TIN &amp; TP'!$A$3:$M$10005,MATCH(('Reg 85'!$X$6&amp;'Reg 85'!$AB$10&amp;'Reg 85'!$B150),('DMR 001C TIN &amp; TP'!$E$3:$E$10005&amp;'DMR 001C TIN &amp; TP'!$B$3:$B$10005&amp;'DMR 001C TIN &amp; TP'!$A$3:$A$10005),0),MATCH('Reg 85'!$AD$11,'DMR 001C TIN &amp; TP'!$A$2:$M$2,0))),"")</f>
        <v/>
      </c>
      <c r="AE150" s="53" t="str">
        <f t="shared" si="74"/>
        <v/>
      </c>
      <c r="AF150" s="7" t="str">
        <f t="shared" si="75"/>
        <v/>
      </c>
      <c r="AG150" s="6" t="str">
        <f t="array" ref="AG150">_xlfn.IFNA((INDEX('DMR 001C TIN &amp; TP'!$A$3:$M$10005,MATCH(('Reg 85'!$X$6&amp;'Reg 85'!AG$10&amp;'Reg 85'!$B150),('DMR 001C TIN &amp; TP'!$E$3:$E$10005&amp;'DMR 001C TIN &amp; TP'!$B$3:$B$10005&amp;'DMR 001C TIN &amp; TP'!$A$3:$A$10005),0),MATCH('Reg 85'!$AG$11,'DMR 001C TIN &amp; TP'!$A$2:$M$2,0))),"")</f>
        <v/>
      </c>
      <c r="AH150" s="6" t="str">
        <f t="array" ref="AH150">_xlfn.IFNA((INDEX('DMR 001C TIN &amp; TP'!$A$3:$M$10005,MATCH(('Reg 85'!$X$6&amp;'Reg 85'!AH$10&amp;'Reg 85'!$B150),('DMR 001C TIN &amp; TP'!$E$3:$E$10005&amp;'DMR 001C TIN &amp; TP'!$B$3:$B$10005&amp;'DMR 001C TIN &amp; TP'!$A$3:$A$10005),0),MATCH('Reg 85'!$AG$11,'DMR 001C TIN &amp; TP'!$A$2:$M$2,0))),"")</f>
        <v/>
      </c>
      <c r="AI150" s="6" t="str">
        <f t="array" ref="AI150">_xlfn.IFNA((INDEX('DMR 001C TIN &amp; TP'!$A$3:$M$10005,MATCH(('Reg 85'!$X$6&amp;'Reg 85'!AI$10&amp;'Reg 85'!$B150),('DMR 001C TIN &amp; TP'!$E$3:$E$10005&amp;'DMR 001C TIN &amp; TP'!$B$3:$B$10005&amp;'DMR 001C TIN &amp; TP'!$A$3:$A$10005),0),MATCH('Reg 85'!$AG$11,'DMR 001C TIN &amp; TP'!$A$2:$M$2,0))),"")</f>
        <v/>
      </c>
      <c r="AJ150" s="6" t="str">
        <f t="array" ref="AJ150">_xlfn.IFNA((INDEX('DMR 001C TIN &amp; TP'!$A$3:$M$10005,MATCH(('Reg 85'!$X$6&amp;'Reg 85'!AJ$10&amp;'Reg 85'!$B150),('DMR 001C TIN &amp; TP'!$E$3:$E$10005&amp;'DMR 001C TIN &amp; TP'!$B$3:$B$10005&amp;'DMR 001C TIN &amp; TP'!$A$3:$A$10005),0),MATCH('Reg 85'!$AG$11,'DMR 001C TIN &amp; TP'!$A$2:$M$2,0))),"")</f>
        <v/>
      </c>
      <c r="AK150" s="6" t="str">
        <f t="array" ref="AK150">_xlfn.IFNA((INDEX('DMR 001C TIN &amp; TP'!$A$3:$M$10005,MATCH(('Reg 85'!$X$6&amp;'Reg 85'!AK$10&amp;'Reg 85'!$B150),('DMR 001C TIN &amp; TP'!$E$3:$E$10005&amp;'DMR 001C TIN &amp; TP'!$B$3:$B$10005&amp;'DMR 001C TIN &amp; TP'!$A$3:$A$10005),0),MATCH('Reg 85'!$AG$11,'DMR 001C TIN &amp; TP'!$A$2:$M$2,0))),"")</f>
        <v/>
      </c>
      <c r="AL150" s="6" t="str">
        <f t="array" ref="AL150">_xlfn.IFNA((INDEX('DMR 001C TIN &amp; TP'!$A$3:$M$10005,MATCH(('Reg 85'!$X$6&amp;'Reg 85'!AL$10&amp;'Reg 85'!$B150),('DMR 001C TIN &amp; TP'!$E$3:$E$10005&amp;'DMR 001C TIN &amp; TP'!$B$3:$B$10005&amp;'DMR 001C TIN &amp; TP'!$A$3:$A$10005),0),MATCH('Reg 85'!$AG$11,'DMR 001C TIN &amp; TP'!$A$2:$M$2,0))),"")</f>
        <v/>
      </c>
      <c r="AM150" s="76"/>
      <c r="AN150" s="6"/>
      <c r="AO150" s="54" t="str">
        <f t="shared" si="62"/>
        <v/>
      </c>
      <c r="AP150" s="77" t="str">
        <f t="shared" si="60"/>
        <v/>
      </c>
      <c r="AQ150" s="47"/>
      <c r="AR150" s="6" t="str">
        <f t="array" ref="AR150">_xlfn.IFNA((INDEX('DMR 001C TIN &amp; TP'!$A$3:$M$10005,MATCH(('Reg 85'!$AQ$6&amp;'Reg 85'!$AQ$10&amp;'Reg 85'!$B150),('DMR 001C TIN &amp; TP'!$E$3:$E$10005&amp;'DMR 001C TIN &amp; TP'!$B$3:$B$10005&amp;'DMR 001C TIN &amp; TP'!$A$3:$A$10005),0),MATCH('Reg 85'!$AR$11,'DMR 001C TIN &amp; TP'!$A$2:$M$2,0))),"")</f>
        <v>0.03</v>
      </c>
      <c r="AS150" s="6">
        <f t="array" ref="AS150">_xlfn.IFNA((INDEX('DMR 001C TIN &amp; TP'!$A$3:$M$10005,MATCH(('Reg 85'!$AQ$6&amp;'Reg 85'!$AQ$10&amp;'Reg 85'!$B150),('DMR 001C TIN &amp; TP'!$E$3:$E$10005&amp;'DMR 001C TIN &amp; TP'!$B$3:$B$10005&amp;'DMR 001C TIN &amp; TP'!$A$3:$A$10005),0),MATCH('Reg 85'!$AS$11,'DMR 001C TIN &amp; TP'!$A$2:$M$2,0))),"")</f>
        <v>0.37</v>
      </c>
      <c r="AT150" s="53">
        <f t="shared" si="76"/>
        <v>0.37</v>
      </c>
      <c r="AV150" s="6" t="str">
        <f t="array" ref="AV150">_xlfn.IFNA((INDEX('DMR 001C TIN &amp; TP'!$A$3:$M$10005,MATCH(('Reg 85'!$AQ$6&amp;'Reg 85'!$AU$10&amp;'Reg 85'!$B150),('DMR 001C TIN &amp; TP'!$E$3:$E$10005&amp;'DMR 001C TIN &amp; TP'!$B$3:$B$10005&amp;'DMR 001C TIN &amp; TP'!$A$3:$A$10005),0),MATCH('Reg 85'!$AV$11,'DMR 001C TIN &amp; TP'!$A$2:$M$2,0))),"")</f>
        <v>0.03</v>
      </c>
      <c r="AW150" s="6">
        <f t="array" ref="AW150">_xlfn.IFNA((INDEX('DMR 001C TIN &amp; TP'!$A$3:$M$10005,MATCH(('Reg 85'!$AQ$6&amp;'Reg 85'!$AU$10&amp;'Reg 85'!$B150),('DMR 001C TIN &amp; TP'!$E$3:$E$10005&amp;'DMR 001C TIN &amp; TP'!$B$3:$B$10005&amp;'DMR 001C TIN &amp; TP'!$A$3:$A$10005),0),MATCH('Reg 85'!$AW$11,'DMR 001C TIN &amp; TP'!$A$2:$M$2,0))),"")</f>
        <v>3.56</v>
      </c>
      <c r="AX150" s="53">
        <f t="shared" si="77"/>
        <v>3.56</v>
      </c>
      <c r="AY150" s="55">
        <f t="shared" si="78"/>
        <v>2.2964902458315768</v>
      </c>
      <c r="AZ150" s="77" t="str">
        <f t="shared" si="61"/>
        <v/>
      </c>
      <c r="BA150" s="6" t="str">
        <f t="array" ref="BA150">_xlfn.IFNA((INDEX('DMR 001C TIN &amp; TP'!$A$3:$M$10005,MATCH(('Reg 85'!$AQ$6&amp;'Reg 85'!BA$10&amp;'Reg 85'!$B150),('DMR 001C TIN &amp; TP'!$E$3:$E$10005&amp;'DMR 001C TIN &amp; TP'!$B$3:$B$10005&amp;'DMR 001C TIN &amp; TP'!$A$3:$A$10005),0),MATCH('Reg 85'!$AG$11,'DMR 001C TIN &amp; TP'!$A$2:$M$2,0))),"")</f>
        <v/>
      </c>
      <c r="BB150" s="6" t="str">
        <f t="array" ref="BB150">_xlfn.IFNA((INDEX('DMR 001C TIN &amp; TP'!$A$3:$M$10005,MATCH(('Reg 85'!$AQ$6&amp;'Reg 85'!BB$10&amp;'Reg 85'!$B150),('DMR 001C TIN &amp; TP'!$E$3:$E$10005&amp;'DMR 001C TIN &amp; TP'!$B$3:$B$10005&amp;'DMR 001C TIN &amp; TP'!$A$3:$A$10005),0),MATCH('Reg 85'!$AG$11,'DMR 001C TIN &amp; TP'!$A$2:$M$2,0))),"")</f>
        <v/>
      </c>
      <c r="BC150" s="6" t="str">
        <f t="array" ref="BC150">_xlfn.IFNA((INDEX('DMR 001C TIN &amp; TP'!$A$3:$M$10005,MATCH(('Reg 85'!$AQ$6&amp;'Reg 85'!BC$10&amp;'Reg 85'!$B150),('DMR 001C TIN &amp; TP'!$E$3:$E$10005&amp;'DMR 001C TIN &amp; TP'!$B$3:$B$10005&amp;'DMR 001C TIN &amp; TP'!$A$3:$A$10005),0),MATCH('Reg 85'!$AG$11,'DMR 001C TIN &amp; TP'!$A$2:$M$2,0))),"")</f>
        <v/>
      </c>
      <c r="BD150" s="6" t="str">
        <f t="array" ref="BD150">_xlfn.IFNA((INDEX('DMR 001C TIN &amp; TP'!$A$3:$M$10005,MATCH(('Reg 85'!$AQ$6&amp;'Reg 85'!BD$10&amp;'Reg 85'!$B150),('DMR 001C TIN &amp; TP'!$E$3:$E$10005&amp;'DMR 001C TIN &amp; TP'!$B$3:$B$10005&amp;'DMR 001C TIN &amp; TP'!$A$3:$A$10005),0),MATCH('Reg 85'!$AG$11,'DMR 001C TIN &amp; TP'!$A$2:$M$2,0))),"")</f>
        <v/>
      </c>
      <c r="BE150" s="6" t="str">
        <f t="array" ref="BE150">_xlfn.IFNA((INDEX('DMR 001C TIN &amp; TP'!$A$3:$M$10005,MATCH(('Reg 85'!$AQ$6&amp;'Reg 85'!BE$10&amp;'Reg 85'!$B150),('DMR 001C TIN &amp; TP'!$E$3:$E$10005&amp;'DMR 001C TIN &amp; TP'!$B$3:$B$10005&amp;'DMR 001C TIN &amp; TP'!$A$3:$A$10005),0),MATCH('Reg 85'!$AG$11,'DMR 001C TIN &amp; TP'!$A$2:$M$2,0))),"")</f>
        <v/>
      </c>
      <c r="BF150" s="6" t="str">
        <f t="array" ref="BF150">_xlfn.IFNA((INDEX('DMR 001C TIN &amp; TP'!$A$3:$M$10005,MATCH(('Reg 85'!$AQ$6&amp;'Reg 85'!BF$10&amp;'Reg 85'!$B150),('DMR 001C TIN &amp; TP'!$E$3:$E$10005&amp;'DMR 001C TIN &amp; TP'!$B$3:$B$10005&amp;'DMR 001C TIN &amp; TP'!$A$3:$A$10005),0),MATCH('Reg 85'!$AG$11,'DMR 001C TIN &amp; TP'!$A$2:$M$2,0))),"")</f>
        <v/>
      </c>
    </row>
    <row r="151" spans="1:58">
      <c r="A151" s="3" t="str">
        <f t="shared" si="63"/>
        <v>Fri</v>
      </c>
      <c r="B151" s="96">
        <f t="shared" si="79"/>
        <v>43483</v>
      </c>
      <c r="C151" s="96">
        <f t="shared" si="64"/>
        <v>43496</v>
      </c>
      <c r="D151" s="96">
        <f t="shared" si="65"/>
        <v>43466</v>
      </c>
      <c r="E151" s="95">
        <f t="shared" si="66"/>
        <v>31</v>
      </c>
      <c r="F151" s="7">
        <f t="array" ref="F151">_xlfn.IFNA(INDEX('DMR Flows-Effluent'!$A$3:$F$9999,MATCH(($F$10&amp;$B151),('DMR Flows-Effluent'!$B$3:$B$9999&amp;'DMR Flows-Effluent'!$A$3:$A$9999),0),MATCH($F$8,'DMR Flows-Effluent'!$A$2:$F$2,0)),"")</f>
        <v>47.358699999999999</v>
      </c>
      <c r="G151" s="7">
        <f t="array" ref="G151">_xlfn.IFNA(INDEX('DMR Flows-Effluent'!$A$3:$F$9999,MATCH(($G$10&amp;$B151),('DMR Flows-Effluent'!$B$3:$B$9999&amp;'DMR Flows-Effluent'!$A$3:$A$9999),0),MATCH($F$8,'DMR Flows-Effluent'!$A$2:$F$2,0)),"")</f>
        <v>74.824600000000004</v>
      </c>
      <c r="H151" s="7">
        <f t="shared" si="67"/>
        <v>122.1833</v>
      </c>
      <c r="I151" s="45" t="str">
        <f t="shared" si="68"/>
        <v/>
      </c>
      <c r="J151" s="6" t="str">
        <f t="array" ref="J151">_xlfn.IFNA((INDEX('DMR 001C TIN &amp; TP'!$A$3:$M$10005,MATCH(('Reg 85'!$I$6:$Q$6&amp;'Reg 85'!$I$10:$K$10&amp;'Reg 85'!$B151),('DMR 001C TIN &amp; TP'!$E$3:$E$10005&amp;'DMR 001C TIN &amp; TP'!$B$3:$B$10005&amp;'DMR 001C TIN &amp; TP'!$A$3:$A$10005),0),MATCH('Reg 85'!$J$11,'DMR 001C TIN &amp; TP'!$A$2:$M$2,0))),"")</f>
        <v/>
      </c>
      <c r="K151" s="6" t="str">
        <f t="array" ref="K151">_xlfn.IFNA((INDEX('DMR 001C TIN &amp; TP'!$A$3:$M$10005,MATCH(('Reg 85'!$I$6:$Q$6&amp;'Reg 85'!$I$10:$K$10&amp;'Reg 85'!$B151),('DMR 001C TIN &amp; TP'!$E$3:$E$10005&amp;'DMR 001C TIN &amp; TP'!$B$3:$B$10005&amp;'DMR 001C TIN &amp; TP'!$A$3:$A$10005),0),MATCH('Reg 85'!$K$11,'DMR 001C TIN &amp; TP'!$A$2:$M$2,0))),"")</f>
        <v/>
      </c>
      <c r="L151" s="53" t="str">
        <f t="shared" si="80"/>
        <v/>
      </c>
      <c r="M151" s="5" t="str">
        <f t="shared" si="69"/>
        <v/>
      </c>
      <c r="N151" s="6" t="str">
        <f t="array" ref="N151">_xlfn.IFNA((INDEX('DMR 001C TIN &amp; TP'!$A$3:$M$10005,MATCH(('Reg 85'!$I$6:$Q$6&amp;'Reg 85'!$M$10&amp;'Reg 85'!$B151),('DMR 001C TIN &amp; TP'!$E$3:$E$10005&amp;'DMR 001C TIN &amp; TP'!$B$3:$B$10005&amp;'DMR 001C TIN &amp; TP'!$A$3:$A$10005),0),MATCH('Reg 85'!$N$11,'DMR 001C TIN &amp; TP'!$A$2:$M$2,0))),"")</f>
        <v/>
      </c>
      <c r="O151" s="6" t="str">
        <f t="array" ref="O151">_xlfn.IFNA((INDEX('DMR 001C TIN &amp; TP'!$A$3:$M$10005,MATCH(('Reg 85'!$I$6:$Q$6&amp;'Reg 85'!$M$10&amp;'Reg 85'!$B151),('DMR 001C TIN &amp; TP'!$E$3:$E$10005&amp;'DMR 001C TIN &amp; TP'!$B$3:$B$10005&amp;'DMR 001C TIN &amp; TP'!$A$3:$A$10005),0),MATCH('Reg 85'!$O$11,'DMR 001C TIN &amp; TP'!$A$2:$M$2,0))),"")</f>
        <v/>
      </c>
      <c r="P151" s="53" t="str">
        <f t="shared" si="70"/>
        <v/>
      </c>
      <c r="Q151" s="73" t="str">
        <f t="array" ref="Q151">IFERROR(((L151*$F151)+(P151*$G151))/($H151),"")</f>
        <v/>
      </c>
      <c r="R151" s="6" t="str">
        <f t="array" ref="R151">_xlfn.IFNA((INDEX('DMR 001C TIN &amp; TP'!$A$3:$M$10005,MATCH(('Reg 85'!$I$6:$Q$6&amp;'Reg 85'!R$10&amp;'Reg 85'!$B151),('DMR 001C TIN &amp; TP'!$E$3:$E$10005&amp;'DMR 001C TIN &amp; TP'!$B$3:$B$10005&amp;'DMR 001C TIN &amp; TP'!$A$3:$A$10005),0),MATCH('Reg 85'!$O$11,'DMR 001C TIN &amp; TP'!$A$2:$M$2,0))),"")</f>
        <v/>
      </c>
      <c r="S151" s="6" t="str">
        <f t="array" ref="S151">_xlfn.IFNA((INDEX('DMR 001C TIN &amp; TP'!$A$3:$M$10005,MATCH(('Reg 85'!$I$6:$Q$6&amp;'Reg 85'!S$10&amp;'Reg 85'!$B151),('DMR 001C TIN &amp; TP'!$E$3:$E$10005&amp;'DMR 001C TIN &amp; TP'!$B$3:$B$10005&amp;'DMR 001C TIN &amp; TP'!$A$3:$A$10005),0),MATCH('Reg 85'!$O$11,'DMR 001C TIN &amp; TP'!$A$2:$M$2,0))),"")</f>
        <v/>
      </c>
      <c r="T151" s="6" t="str">
        <f t="array" ref="T151">_xlfn.IFNA((INDEX('DMR 001C TIN &amp; TP'!$A$3:$M$10005,MATCH(('Reg 85'!$I$6:$Q$6&amp;'Reg 85'!T$10&amp;'Reg 85'!$B151),('DMR 001C TIN &amp; TP'!$E$3:$E$10005&amp;'DMR 001C TIN &amp; TP'!$B$3:$B$10005&amp;'DMR 001C TIN &amp; TP'!$A$3:$A$10005),0),MATCH('Reg 85'!$O$11,'DMR 001C TIN &amp; TP'!$A$2:$M$2,0))),"")</f>
        <v/>
      </c>
      <c r="U151" s="6" t="str">
        <f t="array" ref="U151">_xlfn.IFNA((INDEX('DMR 001C TIN &amp; TP'!$A$3:$M$10005,MATCH(('Reg 85'!$I$6:$Q$6&amp;'Reg 85'!U$10&amp;'Reg 85'!$B151),('DMR 001C TIN &amp; TP'!$E$3:$E$10005&amp;'DMR 001C TIN &amp; TP'!$B$3:$B$10005&amp;'DMR 001C TIN &amp; TP'!$A$3:$A$10005),0),MATCH('Reg 85'!$O$11,'DMR 001C TIN &amp; TP'!$A$2:$M$2,0))),"")</f>
        <v/>
      </c>
      <c r="V151" s="6" t="str">
        <f t="array" ref="V151">_xlfn.IFNA((INDEX('DMR 001C TIN &amp; TP'!$A$3:$M$10005,MATCH(('Reg 85'!$I$6:$Q$6&amp;'Reg 85'!V$10&amp;'Reg 85'!$B151),('DMR 001C TIN &amp; TP'!$E$3:$E$10005&amp;'DMR 001C TIN &amp; TP'!$B$3:$B$10005&amp;'DMR 001C TIN &amp; TP'!$A$3:$A$10005),0),MATCH('Reg 85'!$O$11,'DMR 001C TIN &amp; TP'!$A$2:$M$2,0))),"")</f>
        <v/>
      </c>
      <c r="W151" s="6" t="str">
        <f t="array" ref="W151">_xlfn.IFNA((INDEX('DMR 001C TIN &amp; TP'!$A$3:$M$10005,MATCH(('Reg 85'!$I$6:$Q$6&amp;'Reg 85'!W$10&amp;'Reg 85'!$B151),('DMR 001C TIN &amp; TP'!$E$3:$E$10005&amp;'DMR 001C TIN &amp; TP'!$B$3:$B$10005&amp;'DMR 001C TIN &amp; TP'!$A$3:$A$10005),0),MATCH('Reg 85'!$O$11,'DMR 001C TIN &amp; TP'!$A$2:$M$2,0))),"")</f>
        <v/>
      </c>
      <c r="X151" s="5" t="str">
        <f t="shared" si="71"/>
        <v/>
      </c>
      <c r="Y151" s="6" t="str">
        <f t="array" ref="Y151">_xlfn.IFNA((INDEX('DMR 001C TIN &amp; TP'!$A$3:$M$10005,MATCH(('Reg 85'!$X$6&amp;'Reg 85'!$X$10&amp;'Reg 85'!$B151),('DMR 001C TIN &amp; TP'!$E$3:$E$10005&amp;'DMR 001C TIN &amp; TP'!$B$3:$B$10005&amp;'DMR 001C TIN &amp; TP'!$A$3:$A$10005),0),MATCH('Reg 85'!$Y$11,'DMR 001C TIN &amp; TP'!$A$2:$M$2,0))),"")</f>
        <v/>
      </c>
      <c r="Z151" s="6" t="str">
        <f t="array" ref="Z151">_xlfn.IFNA((INDEX('DMR 001C TIN &amp; TP'!$A$3:$M$10005,MATCH(('Reg 85'!$X$6&amp;'Reg 85'!$X$10&amp;'Reg 85'!$B151),('DMR 001C TIN &amp; TP'!$E$3:$E$10005&amp;'DMR 001C TIN &amp; TP'!$B$3:$B$10005&amp;'DMR 001C TIN &amp; TP'!$A$3:$A$10005),0),MATCH('Reg 85'!$Z$11,'DMR 001C TIN &amp; TP'!$A$2:$M$2,0))),"")</f>
        <v/>
      </c>
      <c r="AA151" s="53" t="str">
        <f t="shared" si="72"/>
        <v/>
      </c>
      <c r="AB151" s="5" t="str">
        <f t="shared" si="73"/>
        <v/>
      </c>
      <c r="AC151" s="6" t="str">
        <f t="array" ref="AC151">_xlfn.IFNA((INDEX('DMR 001C TIN &amp; TP'!$A$3:$M$10005,MATCH(('Reg 85'!$X$6&amp;'Reg 85'!$AB$10&amp;'Reg 85'!$B151),('DMR 001C TIN &amp; TP'!$E$3:$E$10005&amp;'DMR 001C TIN &amp; TP'!$B$3:$B$10005&amp;'DMR 001C TIN &amp; TP'!$A$3:$A$10005),0),MATCH('Reg 85'!$AC$11,'DMR 001C TIN &amp; TP'!$A$2:$M$2,0))),"")</f>
        <v/>
      </c>
      <c r="AD151" s="6" t="str">
        <f t="array" ref="AD151">_xlfn.IFNA((INDEX('DMR 001C TIN &amp; TP'!$A$3:$M$10005,MATCH(('Reg 85'!$X$6&amp;'Reg 85'!$AB$10&amp;'Reg 85'!$B151),('DMR 001C TIN &amp; TP'!$E$3:$E$10005&amp;'DMR 001C TIN &amp; TP'!$B$3:$B$10005&amp;'DMR 001C TIN &amp; TP'!$A$3:$A$10005),0),MATCH('Reg 85'!$AD$11,'DMR 001C TIN &amp; TP'!$A$2:$M$2,0))),"")</f>
        <v/>
      </c>
      <c r="AE151" s="53" t="str">
        <f t="shared" si="74"/>
        <v/>
      </c>
      <c r="AF151" s="7" t="str">
        <f t="shared" si="75"/>
        <v/>
      </c>
      <c r="AG151" s="6" t="str">
        <f t="array" ref="AG151">_xlfn.IFNA((INDEX('DMR 001C TIN &amp; TP'!$A$3:$M$10005,MATCH(('Reg 85'!$X$6&amp;'Reg 85'!AG$10&amp;'Reg 85'!$B151),('DMR 001C TIN &amp; TP'!$E$3:$E$10005&amp;'DMR 001C TIN &amp; TP'!$B$3:$B$10005&amp;'DMR 001C TIN &amp; TP'!$A$3:$A$10005),0),MATCH('Reg 85'!$AG$11,'DMR 001C TIN &amp; TP'!$A$2:$M$2,0))),"")</f>
        <v/>
      </c>
      <c r="AH151" s="6" t="str">
        <f t="array" ref="AH151">_xlfn.IFNA((INDEX('DMR 001C TIN &amp; TP'!$A$3:$M$10005,MATCH(('Reg 85'!$X$6&amp;'Reg 85'!AH$10&amp;'Reg 85'!$B151),('DMR 001C TIN &amp; TP'!$E$3:$E$10005&amp;'DMR 001C TIN &amp; TP'!$B$3:$B$10005&amp;'DMR 001C TIN &amp; TP'!$A$3:$A$10005),0),MATCH('Reg 85'!$AG$11,'DMR 001C TIN &amp; TP'!$A$2:$M$2,0))),"")</f>
        <v/>
      </c>
      <c r="AI151" s="6" t="str">
        <f t="array" ref="AI151">_xlfn.IFNA((INDEX('DMR 001C TIN &amp; TP'!$A$3:$M$10005,MATCH(('Reg 85'!$X$6&amp;'Reg 85'!AI$10&amp;'Reg 85'!$B151),('DMR 001C TIN &amp; TP'!$E$3:$E$10005&amp;'DMR 001C TIN &amp; TP'!$B$3:$B$10005&amp;'DMR 001C TIN &amp; TP'!$A$3:$A$10005),0),MATCH('Reg 85'!$AG$11,'DMR 001C TIN &amp; TP'!$A$2:$M$2,0))),"")</f>
        <v/>
      </c>
      <c r="AJ151" s="6" t="str">
        <f t="array" ref="AJ151">_xlfn.IFNA((INDEX('DMR 001C TIN &amp; TP'!$A$3:$M$10005,MATCH(('Reg 85'!$X$6&amp;'Reg 85'!AJ$10&amp;'Reg 85'!$B151),('DMR 001C TIN &amp; TP'!$E$3:$E$10005&amp;'DMR 001C TIN &amp; TP'!$B$3:$B$10005&amp;'DMR 001C TIN &amp; TP'!$A$3:$A$10005),0),MATCH('Reg 85'!$AG$11,'DMR 001C TIN &amp; TP'!$A$2:$M$2,0))),"")</f>
        <v/>
      </c>
      <c r="AK151" s="6" t="str">
        <f t="array" ref="AK151">_xlfn.IFNA((INDEX('DMR 001C TIN &amp; TP'!$A$3:$M$10005,MATCH(('Reg 85'!$X$6&amp;'Reg 85'!AK$10&amp;'Reg 85'!$B151),('DMR 001C TIN &amp; TP'!$E$3:$E$10005&amp;'DMR 001C TIN &amp; TP'!$B$3:$B$10005&amp;'DMR 001C TIN &amp; TP'!$A$3:$A$10005),0),MATCH('Reg 85'!$AG$11,'DMR 001C TIN &amp; TP'!$A$2:$M$2,0))),"")</f>
        <v/>
      </c>
      <c r="AL151" s="6" t="str">
        <f t="array" ref="AL151">_xlfn.IFNA((INDEX('DMR 001C TIN &amp; TP'!$A$3:$M$10005,MATCH(('Reg 85'!$X$6&amp;'Reg 85'!AL$10&amp;'Reg 85'!$B151),('DMR 001C TIN &amp; TP'!$E$3:$E$10005&amp;'DMR 001C TIN &amp; TP'!$B$3:$B$10005&amp;'DMR 001C TIN &amp; TP'!$A$3:$A$10005),0),MATCH('Reg 85'!$AG$11,'DMR 001C TIN &amp; TP'!$A$2:$M$2,0))),"")</f>
        <v/>
      </c>
      <c r="AM151" s="76"/>
      <c r="AN151" s="6"/>
      <c r="AO151" s="54" t="str">
        <f t="shared" si="62"/>
        <v/>
      </c>
      <c r="AP151" s="77" t="str">
        <f t="shared" si="60"/>
        <v/>
      </c>
      <c r="AQ151" s="47"/>
      <c r="AR151" s="6" t="str">
        <f t="array" ref="AR151">_xlfn.IFNA((INDEX('DMR 001C TIN &amp; TP'!$A$3:$M$10005,MATCH(('Reg 85'!$AQ$6&amp;'Reg 85'!$AQ$10&amp;'Reg 85'!$B151),('DMR 001C TIN &amp; TP'!$E$3:$E$10005&amp;'DMR 001C TIN &amp; TP'!$B$3:$B$10005&amp;'DMR 001C TIN &amp; TP'!$A$3:$A$10005),0),MATCH('Reg 85'!$AR$11,'DMR 001C TIN &amp; TP'!$A$2:$M$2,0))),"")</f>
        <v/>
      </c>
      <c r="AS151" s="6" t="str">
        <f t="array" ref="AS151">_xlfn.IFNA((INDEX('DMR 001C TIN &amp; TP'!$A$3:$M$10005,MATCH(('Reg 85'!$AQ$6&amp;'Reg 85'!$AQ$10&amp;'Reg 85'!$B151),('DMR 001C TIN &amp; TP'!$E$3:$E$10005&amp;'DMR 001C TIN &amp; TP'!$B$3:$B$10005&amp;'DMR 001C TIN &amp; TP'!$A$3:$A$10005),0),MATCH('Reg 85'!$AS$11,'DMR 001C TIN &amp; TP'!$A$2:$M$2,0))),"")</f>
        <v/>
      </c>
      <c r="AT151" s="53" t="str">
        <f t="shared" si="76"/>
        <v/>
      </c>
      <c r="AV151" s="6" t="str">
        <f t="array" ref="AV151">_xlfn.IFNA((INDEX('DMR 001C TIN &amp; TP'!$A$3:$M$10005,MATCH(('Reg 85'!$AQ$6&amp;'Reg 85'!$AU$10&amp;'Reg 85'!$B151),('DMR 001C TIN &amp; TP'!$E$3:$E$10005&amp;'DMR 001C TIN &amp; TP'!$B$3:$B$10005&amp;'DMR 001C TIN &amp; TP'!$A$3:$A$10005),0),MATCH('Reg 85'!$AV$11,'DMR 001C TIN &amp; TP'!$A$2:$M$2,0))),"")</f>
        <v/>
      </c>
      <c r="AW151" s="6" t="str">
        <f t="array" ref="AW151">_xlfn.IFNA((INDEX('DMR 001C TIN &amp; TP'!$A$3:$M$10005,MATCH(('Reg 85'!$AQ$6&amp;'Reg 85'!$AU$10&amp;'Reg 85'!$B151),('DMR 001C TIN &amp; TP'!$E$3:$E$10005&amp;'DMR 001C TIN &amp; TP'!$B$3:$B$10005&amp;'DMR 001C TIN &amp; TP'!$A$3:$A$10005),0),MATCH('Reg 85'!$AW$11,'DMR 001C TIN &amp; TP'!$A$2:$M$2,0))),"")</f>
        <v/>
      </c>
      <c r="AX151" s="53" t="str">
        <f t="shared" si="77"/>
        <v/>
      </c>
      <c r="AY151" s="55" t="str">
        <f t="shared" si="78"/>
        <v/>
      </c>
      <c r="AZ151" s="77" t="str">
        <f t="shared" si="61"/>
        <v/>
      </c>
      <c r="BA151" s="6" t="str">
        <f t="array" ref="BA151">_xlfn.IFNA((INDEX('DMR 001C TIN &amp; TP'!$A$3:$M$10005,MATCH(('Reg 85'!$AQ$6&amp;'Reg 85'!BA$10&amp;'Reg 85'!$B151),('DMR 001C TIN &amp; TP'!$E$3:$E$10005&amp;'DMR 001C TIN &amp; TP'!$B$3:$B$10005&amp;'DMR 001C TIN &amp; TP'!$A$3:$A$10005),0),MATCH('Reg 85'!$AG$11,'DMR 001C TIN &amp; TP'!$A$2:$M$2,0))),"")</f>
        <v/>
      </c>
      <c r="BB151" s="6" t="str">
        <f t="array" ref="BB151">_xlfn.IFNA((INDEX('DMR 001C TIN &amp; TP'!$A$3:$M$10005,MATCH(('Reg 85'!$AQ$6&amp;'Reg 85'!BB$10&amp;'Reg 85'!$B151),('DMR 001C TIN &amp; TP'!$E$3:$E$10005&amp;'DMR 001C TIN &amp; TP'!$B$3:$B$10005&amp;'DMR 001C TIN &amp; TP'!$A$3:$A$10005),0),MATCH('Reg 85'!$AG$11,'DMR 001C TIN &amp; TP'!$A$2:$M$2,0))),"")</f>
        <v/>
      </c>
      <c r="BC151" s="6" t="str">
        <f t="array" ref="BC151">_xlfn.IFNA((INDEX('DMR 001C TIN &amp; TP'!$A$3:$M$10005,MATCH(('Reg 85'!$AQ$6&amp;'Reg 85'!BC$10&amp;'Reg 85'!$B151),('DMR 001C TIN &amp; TP'!$E$3:$E$10005&amp;'DMR 001C TIN &amp; TP'!$B$3:$B$10005&amp;'DMR 001C TIN &amp; TP'!$A$3:$A$10005),0),MATCH('Reg 85'!$AG$11,'DMR 001C TIN &amp; TP'!$A$2:$M$2,0))),"")</f>
        <v/>
      </c>
      <c r="BD151" s="6" t="str">
        <f t="array" ref="BD151">_xlfn.IFNA((INDEX('DMR 001C TIN &amp; TP'!$A$3:$M$10005,MATCH(('Reg 85'!$AQ$6&amp;'Reg 85'!BD$10&amp;'Reg 85'!$B151),('DMR 001C TIN &amp; TP'!$E$3:$E$10005&amp;'DMR 001C TIN &amp; TP'!$B$3:$B$10005&amp;'DMR 001C TIN &amp; TP'!$A$3:$A$10005),0),MATCH('Reg 85'!$AG$11,'DMR 001C TIN &amp; TP'!$A$2:$M$2,0))),"")</f>
        <v/>
      </c>
      <c r="BE151" s="6" t="str">
        <f t="array" ref="BE151">_xlfn.IFNA((INDEX('DMR 001C TIN &amp; TP'!$A$3:$M$10005,MATCH(('Reg 85'!$AQ$6&amp;'Reg 85'!BE$10&amp;'Reg 85'!$B151),('DMR 001C TIN &amp; TP'!$E$3:$E$10005&amp;'DMR 001C TIN &amp; TP'!$B$3:$B$10005&amp;'DMR 001C TIN &amp; TP'!$A$3:$A$10005),0),MATCH('Reg 85'!$AG$11,'DMR 001C TIN &amp; TP'!$A$2:$M$2,0))),"")</f>
        <v/>
      </c>
      <c r="BF151" s="6" t="str">
        <f t="array" ref="BF151">_xlfn.IFNA((INDEX('DMR 001C TIN &amp; TP'!$A$3:$M$10005,MATCH(('Reg 85'!$AQ$6&amp;'Reg 85'!BF$10&amp;'Reg 85'!$B151),('DMR 001C TIN &amp; TP'!$E$3:$E$10005&amp;'DMR 001C TIN &amp; TP'!$B$3:$B$10005&amp;'DMR 001C TIN &amp; TP'!$A$3:$A$10005),0),MATCH('Reg 85'!$AG$11,'DMR 001C TIN &amp; TP'!$A$2:$M$2,0))),"")</f>
        <v/>
      </c>
    </row>
    <row r="152" spans="1:58">
      <c r="A152" s="3" t="str">
        <f t="shared" si="63"/>
        <v>Sat</v>
      </c>
      <c r="B152" s="96">
        <f t="shared" si="79"/>
        <v>43484</v>
      </c>
      <c r="C152" s="96">
        <f t="shared" si="64"/>
        <v>43496</v>
      </c>
      <c r="D152" s="96">
        <f t="shared" si="65"/>
        <v>43466</v>
      </c>
      <c r="E152" s="95">
        <f t="shared" si="66"/>
        <v>31</v>
      </c>
      <c r="F152" s="7">
        <f t="array" ref="F152">_xlfn.IFNA(INDEX('DMR Flows-Effluent'!$A$3:$F$9999,MATCH(($F$10&amp;$B152),('DMR Flows-Effluent'!$B$3:$B$9999&amp;'DMR Flows-Effluent'!$A$3:$A$9999),0),MATCH($F$8,'DMR Flows-Effluent'!$A$2:$F$2,0)),"")</f>
        <v>48.191899999999997</v>
      </c>
      <c r="G152" s="7">
        <f t="array" ref="G152">_xlfn.IFNA(INDEX('DMR Flows-Effluent'!$A$3:$F$9999,MATCH(($G$10&amp;$B152),('DMR Flows-Effluent'!$B$3:$B$9999&amp;'DMR Flows-Effluent'!$A$3:$A$9999),0),MATCH($F$8,'DMR Flows-Effluent'!$A$2:$F$2,0)),"")</f>
        <v>74.852099999999993</v>
      </c>
      <c r="H152" s="7">
        <f t="shared" si="67"/>
        <v>123.04399999999998</v>
      </c>
      <c r="I152" s="45" t="str">
        <f t="shared" si="68"/>
        <v/>
      </c>
      <c r="J152" s="6" t="str">
        <f t="array" ref="J152">_xlfn.IFNA((INDEX('DMR 001C TIN &amp; TP'!$A$3:$M$10005,MATCH(('Reg 85'!$I$6:$Q$6&amp;'Reg 85'!$I$10:$K$10&amp;'Reg 85'!$B152),('DMR 001C TIN &amp; TP'!$E$3:$E$10005&amp;'DMR 001C TIN &amp; TP'!$B$3:$B$10005&amp;'DMR 001C TIN &amp; TP'!$A$3:$A$10005),0),MATCH('Reg 85'!$J$11,'DMR 001C TIN &amp; TP'!$A$2:$M$2,0))),"")</f>
        <v/>
      </c>
      <c r="K152" s="6" t="str">
        <f t="array" ref="K152">_xlfn.IFNA((INDEX('DMR 001C TIN &amp; TP'!$A$3:$M$10005,MATCH(('Reg 85'!$I$6:$Q$6&amp;'Reg 85'!$I$10:$K$10&amp;'Reg 85'!$B152),('DMR 001C TIN &amp; TP'!$E$3:$E$10005&amp;'DMR 001C TIN &amp; TP'!$B$3:$B$10005&amp;'DMR 001C TIN &amp; TP'!$A$3:$A$10005),0),MATCH('Reg 85'!$K$11,'DMR 001C TIN &amp; TP'!$A$2:$M$2,0))),"")</f>
        <v/>
      </c>
      <c r="L152" s="53" t="str">
        <f t="shared" si="80"/>
        <v/>
      </c>
      <c r="M152" s="5" t="str">
        <f t="shared" si="69"/>
        <v/>
      </c>
      <c r="N152" s="6" t="str">
        <f t="array" ref="N152">_xlfn.IFNA((INDEX('DMR 001C TIN &amp; TP'!$A$3:$M$10005,MATCH(('Reg 85'!$I$6:$Q$6&amp;'Reg 85'!$M$10&amp;'Reg 85'!$B152),('DMR 001C TIN &amp; TP'!$E$3:$E$10005&amp;'DMR 001C TIN &amp; TP'!$B$3:$B$10005&amp;'DMR 001C TIN &amp; TP'!$A$3:$A$10005),0),MATCH('Reg 85'!$N$11,'DMR 001C TIN &amp; TP'!$A$2:$M$2,0))),"")</f>
        <v/>
      </c>
      <c r="O152" s="6" t="str">
        <f t="array" ref="O152">_xlfn.IFNA((INDEX('DMR 001C TIN &amp; TP'!$A$3:$M$10005,MATCH(('Reg 85'!$I$6:$Q$6&amp;'Reg 85'!$M$10&amp;'Reg 85'!$B152),('DMR 001C TIN &amp; TP'!$E$3:$E$10005&amp;'DMR 001C TIN &amp; TP'!$B$3:$B$10005&amp;'DMR 001C TIN &amp; TP'!$A$3:$A$10005),0),MATCH('Reg 85'!$O$11,'DMR 001C TIN &amp; TP'!$A$2:$M$2,0))),"")</f>
        <v/>
      </c>
      <c r="P152" s="53" t="str">
        <f t="shared" si="70"/>
        <v/>
      </c>
      <c r="Q152" s="73" t="str">
        <f t="array" ref="Q152">IFERROR(((L152*$F152)+(P152*$G152))/($H152),"")</f>
        <v/>
      </c>
      <c r="R152" s="6" t="str">
        <f t="array" ref="R152">_xlfn.IFNA((INDEX('DMR 001C TIN &amp; TP'!$A$3:$M$10005,MATCH(('Reg 85'!$I$6:$Q$6&amp;'Reg 85'!R$10&amp;'Reg 85'!$B152),('DMR 001C TIN &amp; TP'!$E$3:$E$10005&amp;'DMR 001C TIN &amp; TP'!$B$3:$B$10005&amp;'DMR 001C TIN &amp; TP'!$A$3:$A$10005),0),MATCH('Reg 85'!$O$11,'DMR 001C TIN &amp; TP'!$A$2:$M$2,0))),"")</f>
        <v/>
      </c>
      <c r="S152" s="6" t="str">
        <f t="array" ref="S152">_xlfn.IFNA((INDEX('DMR 001C TIN &amp; TP'!$A$3:$M$10005,MATCH(('Reg 85'!$I$6:$Q$6&amp;'Reg 85'!S$10&amp;'Reg 85'!$B152),('DMR 001C TIN &amp; TP'!$E$3:$E$10005&amp;'DMR 001C TIN &amp; TP'!$B$3:$B$10005&amp;'DMR 001C TIN &amp; TP'!$A$3:$A$10005),0),MATCH('Reg 85'!$O$11,'DMR 001C TIN &amp; TP'!$A$2:$M$2,0))),"")</f>
        <v/>
      </c>
      <c r="T152" s="6" t="str">
        <f t="array" ref="T152">_xlfn.IFNA((INDEX('DMR 001C TIN &amp; TP'!$A$3:$M$10005,MATCH(('Reg 85'!$I$6:$Q$6&amp;'Reg 85'!T$10&amp;'Reg 85'!$B152),('DMR 001C TIN &amp; TP'!$E$3:$E$10005&amp;'DMR 001C TIN &amp; TP'!$B$3:$B$10005&amp;'DMR 001C TIN &amp; TP'!$A$3:$A$10005),0),MATCH('Reg 85'!$O$11,'DMR 001C TIN &amp; TP'!$A$2:$M$2,0))),"")</f>
        <v/>
      </c>
      <c r="U152" s="6" t="str">
        <f t="array" ref="U152">_xlfn.IFNA((INDEX('DMR 001C TIN &amp; TP'!$A$3:$M$10005,MATCH(('Reg 85'!$I$6:$Q$6&amp;'Reg 85'!U$10&amp;'Reg 85'!$B152),('DMR 001C TIN &amp; TP'!$E$3:$E$10005&amp;'DMR 001C TIN &amp; TP'!$B$3:$B$10005&amp;'DMR 001C TIN &amp; TP'!$A$3:$A$10005),0),MATCH('Reg 85'!$O$11,'DMR 001C TIN &amp; TP'!$A$2:$M$2,0))),"")</f>
        <v/>
      </c>
      <c r="V152" s="6" t="str">
        <f t="array" ref="V152">_xlfn.IFNA((INDEX('DMR 001C TIN &amp; TP'!$A$3:$M$10005,MATCH(('Reg 85'!$I$6:$Q$6&amp;'Reg 85'!V$10&amp;'Reg 85'!$B152),('DMR 001C TIN &amp; TP'!$E$3:$E$10005&amp;'DMR 001C TIN &amp; TP'!$B$3:$B$10005&amp;'DMR 001C TIN &amp; TP'!$A$3:$A$10005),0),MATCH('Reg 85'!$O$11,'DMR 001C TIN &amp; TP'!$A$2:$M$2,0))),"")</f>
        <v/>
      </c>
      <c r="W152" s="6" t="str">
        <f t="array" ref="W152">_xlfn.IFNA((INDEX('DMR 001C TIN &amp; TP'!$A$3:$M$10005,MATCH(('Reg 85'!$I$6:$Q$6&amp;'Reg 85'!W$10&amp;'Reg 85'!$B152),('DMR 001C TIN &amp; TP'!$E$3:$E$10005&amp;'DMR 001C TIN &amp; TP'!$B$3:$B$10005&amp;'DMR 001C TIN &amp; TP'!$A$3:$A$10005),0),MATCH('Reg 85'!$O$11,'DMR 001C TIN &amp; TP'!$A$2:$M$2,0))),"")</f>
        <v/>
      </c>
      <c r="X152" s="5" t="str">
        <f t="shared" si="71"/>
        <v/>
      </c>
      <c r="Y152" s="6" t="str">
        <f t="array" ref="Y152">_xlfn.IFNA((INDEX('DMR 001C TIN &amp; TP'!$A$3:$M$10005,MATCH(('Reg 85'!$X$6&amp;'Reg 85'!$X$10&amp;'Reg 85'!$B152),('DMR 001C TIN &amp; TP'!$E$3:$E$10005&amp;'DMR 001C TIN &amp; TP'!$B$3:$B$10005&amp;'DMR 001C TIN &amp; TP'!$A$3:$A$10005),0),MATCH('Reg 85'!$Y$11,'DMR 001C TIN &amp; TP'!$A$2:$M$2,0))),"")</f>
        <v/>
      </c>
      <c r="Z152" s="6" t="str">
        <f t="array" ref="Z152">_xlfn.IFNA((INDEX('DMR 001C TIN &amp; TP'!$A$3:$M$10005,MATCH(('Reg 85'!$X$6&amp;'Reg 85'!$X$10&amp;'Reg 85'!$B152),('DMR 001C TIN &amp; TP'!$E$3:$E$10005&amp;'DMR 001C TIN &amp; TP'!$B$3:$B$10005&amp;'DMR 001C TIN &amp; TP'!$A$3:$A$10005),0),MATCH('Reg 85'!$Z$11,'DMR 001C TIN &amp; TP'!$A$2:$M$2,0))),"")</f>
        <v/>
      </c>
      <c r="AA152" s="53" t="str">
        <f t="shared" si="72"/>
        <v/>
      </c>
      <c r="AB152" s="5" t="str">
        <f t="shared" si="73"/>
        <v/>
      </c>
      <c r="AC152" s="6" t="str">
        <f t="array" ref="AC152">_xlfn.IFNA((INDEX('DMR 001C TIN &amp; TP'!$A$3:$M$10005,MATCH(('Reg 85'!$X$6&amp;'Reg 85'!$AB$10&amp;'Reg 85'!$B152),('DMR 001C TIN &amp; TP'!$E$3:$E$10005&amp;'DMR 001C TIN &amp; TP'!$B$3:$B$10005&amp;'DMR 001C TIN &amp; TP'!$A$3:$A$10005),0),MATCH('Reg 85'!$AC$11,'DMR 001C TIN &amp; TP'!$A$2:$M$2,0))),"")</f>
        <v/>
      </c>
      <c r="AD152" s="6" t="str">
        <f t="array" ref="AD152">_xlfn.IFNA((INDEX('DMR 001C TIN &amp; TP'!$A$3:$M$10005,MATCH(('Reg 85'!$X$6&amp;'Reg 85'!$AB$10&amp;'Reg 85'!$B152),('DMR 001C TIN &amp; TP'!$E$3:$E$10005&amp;'DMR 001C TIN &amp; TP'!$B$3:$B$10005&amp;'DMR 001C TIN &amp; TP'!$A$3:$A$10005),0),MATCH('Reg 85'!$AD$11,'DMR 001C TIN &amp; TP'!$A$2:$M$2,0))),"")</f>
        <v/>
      </c>
      <c r="AE152" s="53" t="str">
        <f t="shared" si="74"/>
        <v/>
      </c>
      <c r="AF152" s="7" t="str">
        <f t="shared" si="75"/>
        <v/>
      </c>
      <c r="AG152" s="6" t="str">
        <f t="array" ref="AG152">_xlfn.IFNA((INDEX('DMR 001C TIN &amp; TP'!$A$3:$M$10005,MATCH(('Reg 85'!$X$6&amp;'Reg 85'!AG$10&amp;'Reg 85'!$B152),('DMR 001C TIN &amp; TP'!$E$3:$E$10005&amp;'DMR 001C TIN &amp; TP'!$B$3:$B$10005&amp;'DMR 001C TIN &amp; TP'!$A$3:$A$10005),0),MATCH('Reg 85'!$AG$11,'DMR 001C TIN &amp; TP'!$A$2:$M$2,0))),"")</f>
        <v/>
      </c>
      <c r="AH152" s="6" t="str">
        <f t="array" ref="AH152">_xlfn.IFNA((INDEX('DMR 001C TIN &amp; TP'!$A$3:$M$10005,MATCH(('Reg 85'!$X$6&amp;'Reg 85'!AH$10&amp;'Reg 85'!$B152),('DMR 001C TIN &amp; TP'!$E$3:$E$10005&amp;'DMR 001C TIN &amp; TP'!$B$3:$B$10005&amp;'DMR 001C TIN &amp; TP'!$A$3:$A$10005),0),MATCH('Reg 85'!$AG$11,'DMR 001C TIN &amp; TP'!$A$2:$M$2,0))),"")</f>
        <v/>
      </c>
      <c r="AI152" s="6" t="str">
        <f t="array" ref="AI152">_xlfn.IFNA((INDEX('DMR 001C TIN &amp; TP'!$A$3:$M$10005,MATCH(('Reg 85'!$X$6&amp;'Reg 85'!AI$10&amp;'Reg 85'!$B152),('DMR 001C TIN &amp; TP'!$E$3:$E$10005&amp;'DMR 001C TIN &amp; TP'!$B$3:$B$10005&amp;'DMR 001C TIN &amp; TP'!$A$3:$A$10005),0),MATCH('Reg 85'!$AG$11,'DMR 001C TIN &amp; TP'!$A$2:$M$2,0))),"")</f>
        <v/>
      </c>
      <c r="AJ152" s="6" t="str">
        <f t="array" ref="AJ152">_xlfn.IFNA((INDEX('DMR 001C TIN &amp; TP'!$A$3:$M$10005,MATCH(('Reg 85'!$X$6&amp;'Reg 85'!AJ$10&amp;'Reg 85'!$B152),('DMR 001C TIN &amp; TP'!$E$3:$E$10005&amp;'DMR 001C TIN &amp; TP'!$B$3:$B$10005&amp;'DMR 001C TIN &amp; TP'!$A$3:$A$10005),0),MATCH('Reg 85'!$AG$11,'DMR 001C TIN &amp; TP'!$A$2:$M$2,0))),"")</f>
        <v/>
      </c>
      <c r="AK152" s="6" t="str">
        <f t="array" ref="AK152">_xlfn.IFNA((INDEX('DMR 001C TIN &amp; TP'!$A$3:$M$10005,MATCH(('Reg 85'!$X$6&amp;'Reg 85'!AK$10&amp;'Reg 85'!$B152),('DMR 001C TIN &amp; TP'!$E$3:$E$10005&amp;'DMR 001C TIN &amp; TP'!$B$3:$B$10005&amp;'DMR 001C TIN &amp; TP'!$A$3:$A$10005),0),MATCH('Reg 85'!$AG$11,'DMR 001C TIN &amp; TP'!$A$2:$M$2,0))),"")</f>
        <v/>
      </c>
      <c r="AL152" s="6" t="str">
        <f t="array" ref="AL152">_xlfn.IFNA((INDEX('DMR 001C TIN &amp; TP'!$A$3:$M$10005,MATCH(('Reg 85'!$X$6&amp;'Reg 85'!AL$10&amp;'Reg 85'!$B152),('DMR 001C TIN &amp; TP'!$E$3:$E$10005&amp;'DMR 001C TIN &amp; TP'!$B$3:$B$10005&amp;'DMR 001C TIN &amp; TP'!$A$3:$A$10005),0),MATCH('Reg 85'!$AG$11,'DMR 001C TIN &amp; TP'!$A$2:$M$2,0))),"")</f>
        <v/>
      </c>
      <c r="AM152" s="76"/>
      <c r="AN152" s="6"/>
      <c r="AO152" s="54" t="str">
        <f t="shared" si="62"/>
        <v/>
      </c>
      <c r="AP152" s="77" t="str">
        <f t="shared" si="60"/>
        <v/>
      </c>
      <c r="AQ152" s="47"/>
      <c r="AR152" s="6" t="str">
        <f t="array" ref="AR152">_xlfn.IFNA((INDEX('DMR 001C TIN &amp; TP'!$A$3:$M$10005,MATCH(('Reg 85'!$AQ$6&amp;'Reg 85'!$AQ$10&amp;'Reg 85'!$B152),('DMR 001C TIN &amp; TP'!$E$3:$E$10005&amp;'DMR 001C TIN &amp; TP'!$B$3:$B$10005&amp;'DMR 001C TIN &amp; TP'!$A$3:$A$10005),0),MATCH('Reg 85'!$AR$11,'DMR 001C TIN &amp; TP'!$A$2:$M$2,0))),"")</f>
        <v/>
      </c>
      <c r="AS152" s="6" t="str">
        <f t="array" ref="AS152">_xlfn.IFNA((INDEX('DMR 001C TIN &amp; TP'!$A$3:$M$10005,MATCH(('Reg 85'!$AQ$6&amp;'Reg 85'!$AQ$10&amp;'Reg 85'!$B152),('DMR 001C TIN &amp; TP'!$E$3:$E$10005&amp;'DMR 001C TIN &amp; TP'!$B$3:$B$10005&amp;'DMR 001C TIN &amp; TP'!$A$3:$A$10005),0),MATCH('Reg 85'!$AS$11,'DMR 001C TIN &amp; TP'!$A$2:$M$2,0))),"")</f>
        <v/>
      </c>
      <c r="AT152" s="53" t="str">
        <f t="shared" si="76"/>
        <v/>
      </c>
      <c r="AV152" s="6" t="str">
        <f t="array" ref="AV152">_xlfn.IFNA((INDEX('DMR 001C TIN &amp; TP'!$A$3:$M$10005,MATCH(('Reg 85'!$AQ$6&amp;'Reg 85'!$AU$10&amp;'Reg 85'!$B152),('DMR 001C TIN &amp; TP'!$E$3:$E$10005&amp;'DMR 001C TIN &amp; TP'!$B$3:$B$10005&amp;'DMR 001C TIN &amp; TP'!$A$3:$A$10005),0),MATCH('Reg 85'!$AV$11,'DMR 001C TIN &amp; TP'!$A$2:$M$2,0))),"")</f>
        <v/>
      </c>
      <c r="AW152" s="6" t="str">
        <f t="array" ref="AW152">_xlfn.IFNA((INDEX('DMR 001C TIN &amp; TP'!$A$3:$M$10005,MATCH(('Reg 85'!$AQ$6&amp;'Reg 85'!$AU$10&amp;'Reg 85'!$B152),('DMR 001C TIN &amp; TP'!$E$3:$E$10005&amp;'DMR 001C TIN &amp; TP'!$B$3:$B$10005&amp;'DMR 001C TIN &amp; TP'!$A$3:$A$10005),0),MATCH('Reg 85'!$AW$11,'DMR 001C TIN &amp; TP'!$A$2:$M$2,0))),"")</f>
        <v/>
      </c>
      <c r="AX152" s="53" t="str">
        <f t="shared" si="77"/>
        <v/>
      </c>
      <c r="AY152" s="55" t="str">
        <f t="shared" si="78"/>
        <v/>
      </c>
      <c r="AZ152" s="77" t="str">
        <f t="shared" si="61"/>
        <v/>
      </c>
      <c r="BA152" s="6" t="str">
        <f t="array" ref="BA152">_xlfn.IFNA((INDEX('DMR 001C TIN &amp; TP'!$A$3:$M$10005,MATCH(('Reg 85'!$AQ$6&amp;'Reg 85'!BA$10&amp;'Reg 85'!$B152),('DMR 001C TIN &amp; TP'!$E$3:$E$10005&amp;'DMR 001C TIN &amp; TP'!$B$3:$B$10005&amp;'DMR 001C TIN &amp; TP'!$A$3:$A$10005),0),MATCH('Reg 85'!$AG$11,'DMR 001C TIN &amp; TP'!$A$2:$M$2,0))),"")</f>
        <v/>
      </c>
      <c r="BB152" s="6" t="str">
        <f t="array" ref="BB152">_xlfn.IFNA((INDEX('DMR 001C TIN &amp; TP'!$A$3:$M$10005,MATCH(('Reg 85'!$AQ$6&amp;'Reg 85'!BB$10&amp;'Reg 85'!$B152),('DMR 001C TIN &amp; TP'!$E$3:$E$10005&amp;'DMR 001C TIN &amp; TP'!$B$3:$B$10005&amp;'DMR 001C TIN &amp; TP'!$A$3:$A$10005),0),MATCH('Reg 85'!$AG$11,'DMR 001C TIN &amp; TP'!$A$2:$M$2,0))),"")</f>
        <v/>
      </c>
      <c r="BC152" s="6" t="str">
        <f t="array" ref="BC152">_xlfn.IFNA((INDEX('DMR 001C TIN &amp; TP'!$A$3:$M$10005,MATCH(('Reg 85'!$AQ$6&amp;'Reg 85'!BC$10&amp;'Reg 85'!$B152),('DMR 001C TIN &amp; TP'!$E$3:$E$10005&amp;'DMR 001C TIN &amp; TP'!$B$3:$B$10005&amp;'DMR 001C TIN &amp; TP'!$A$3:$A$10005),0),MATCH('Reg 85'!$AG$11,'DMR 001C TIN &amp; TP'!$A$2:$M$2,0))),"")</f>
        <v/>
      </c>
      <c r="BD152" s="6" t="str">
        <f t="array" ref="BD152">_xlfn.IFNA((INDEX('DMR 001C TIN &amp; TP'!$A$3:$M$10005,MATCH(('Reg 85'!$AQ$6&amp;'Reg 85'!BD$10&amp;'Reg 85'!$B152),('DMR 001C TIN &amp; TP'!$E$3:$E$10005&amp;'DMR 001C TIN &amp; TP'!$B$3:$B$10005&amp;'DMR 001C TIN &amp; TP'!$A$3:$A$10005),0),MATCH('Reg 85'!$AG$11,'DMR 001C TIN &amp; TP'!$A$2:$M$2,0))),"")</f>
        <v/>
      </c>
      <c r="BE152" s="6" t="str">
        <f t="array" ref="BE152">_xlfn.IFNA((INDEX('DMR 001C TIN &amp; TP'!$A$3:$M$10005,MATCH(('Reg 85'!$AQ$6&amp;'Reg 85'!BE$10&amp;'Reg 85'!$B152),('DMR 001C TIN &amp; TP'!$E$3:$E$10005&amp;'DMR 001C TIN &amp; TP'!$B$3:$B$10005&amp;'DMR 001C TIN &amp; TP'!$A$3:$A$10005),0),MATCH('Reg 85'!$AG$11,'DMR 001C TIN &amp; TP'!$A$2:$M$2,0))),"")</f>
        <v/>
      </c>
      <c r="BF152" s="6" t="str">
        <f t="array" ref="BF152">_xlfn.IFNA((INDEX('DMR 001C TIN &amp; TP'!$A$3:$M$10005,MATCH(('Reg 85'!$AQ$6&amp;'Reg 85'!BF$10&amp;'Reg 85'!$B152),('DMR 001C TIN &amp; TP'!$E$3:$E$10005&amp;'DMR 001C TIN &amp; TP'!$B$3:$B$10005&amp;'DMR 001C TIN &amp; TP'!$A$3:$A$10005),0),MATCH('Reg 85'!$AG$11,'DMR 001C TIN &amp; TP'!$A$2:$M$2,0))),"")</f>
        <v/>
      </c>
    </row>
    <row r="153" spans="1:58">
      <c r="A153" s="3" t="str">
        <f t="shared" si="63"/>
        <v>Sun</v>
      </c>
      <c r="B153" s="96">
        <f t="shared" si="79"/>
        <v>43485</v>
      </c>
      <c r="C153" s="96">
        <f t="shared" si="64"/>
        <v>43496</v>
      </c>
      <c r="D153" s="96">
        <f t="shared" si="65"/>
        <v>43466</v>
      </c>
      <c r="E153" s="95">
        <f t="shared" si="66"/>
        <v>31</v>
      </c>
      <c r="F153" s="7">
        <f t="array" ref="F153">_xlfn.IFNA(INDEX('DMR Flows-Effluent'!$A$3:$F$9999,MATCH(($F$10&amp;$B153),('DMR Flows-Effluent'!$B$3:$B$9999&amp;'DMR Flows-Effluent'!$A$3:$A$9999),0),MATCH($F$8,'DMR Flows-Effluent'!$A$2:$F$2,0)),"")</f>
        <v>52.641500000000001</v>
      </c>
      <c r="G153" s="7">
        <f t="array" ref="G153">_xlfn.IFNA(INDEX('DMR Flows-Effluent'!$A$3:$F$9999,MATCH(($G$10&amp;$B153),('DMR Flows-Effluent'!$B$3:$B$9999&amp;'DMR Flows-Effluent'!$A$3:$A$9999),0),MATCH($F$8,'DMR Flows-Effluent'!$A$2:$F$2,0)),"")</f>
        <v>74.476200000000006</v>
      </c>
      <c r="H153" s="7">
        <f t="shared" si="67"/>
        <v>127.11770000000001</v>
      </c>
      <c r="I153" s="45" t="str">
        <f t="shared" si="68"/>
        <v/>
      </c>
      <c r="J153" s="6" t="str">
        <f t="array" ref="J153">_xlfn.IFNA((INDEX('DMR 001C TIN &amp; TP'!$A$3:$M$10005,MATCH(('Reg 85'!$I$6:$Q$6&amp;'Reg 85'!$I$10:$K$10&amp;'Reg 85'!$B153),('DMR 001C TIN &amp; TP'!$E$3:$E$10005&amp;'DMR 001C TIN &amp; TP'!$B$3:$B$10005&amp;'DMR 001C TIN &amp; TP'!$A$3:$A$10005),0),MATCH('Reg 85'!$J$11,'DMR 001C TIN &amp; TP'!$A$2:$M$2,0))),"")</f>
        <v/>
      </c>
      <c r="K153" s="6" t="str">
        <f t="array" ref="K153">_xlfn.IFNA((INDEX('DMR 001C TIN &amp; TP'!$A$3:$M$10005,MATCH(('Reg 85'!$I$6:$Q$6&amp;'Reg 85'!$I$10:$K$10&amp;'Reg 85'!$B153),('DMR 001C TIN &amp; TP'!$E$3:$E$10005&amp;'DMR 001C TIN &amp; TP'!$B$3:$B$10005&amp;'DMR 001C TIN &amp; TP'!$A$3:$A$10005),0),MATCH('Reg 85'!$K$11,'DMR 001C TIN &amp; TP'!$A$2:$M$2,0))),"")</f>
        <v/>
      </c>
      <c r="L153" s="53" t="str">
        <f t="shared" si="80"/>
        <v/>
      </c>
      <c r="M153" s="5" t="str">
        <f t="shared" si="69"/>
        <v/>
      </c>
      <c r="N153" s="6" t="str">
        <f t="array" ref="N153">_xlfn.IFNA((INDEX('DMR 001C TIN &amp; TP'!$A$3:$M$10005,MATCH(('Reg 85'!$I$6:$Q$6&amp;'Reg 85'!$M$10&amp;'Reg 85'!$B153),('DMR 001C TIN &amp; TP'!$E$3:$E$10005&amp;'DMR 001C TIN &amp; TP'!$B$3:$B$10005&amp;'DMR 001C TIN &amp; TP'!$A$3:$A$10005),0),MATCH('Reg 85'!$N$11,'DMR 001C TIN &amp; TP'!$A$2:$M$2,0))),"")</f>
        <v/>
      </c>
      <c r="O153" s="6" t="str">
        <f t="array" ref="O153">_xlfn.IFNA((INDEX('DMR 001C TIN &amp; TP'!$A$3:$M$10005,MATCH(('Reg 85'!$I$6:$Q$6&amp;'Reg 85'!$M$10&amp;'Reg 85'!$B153),('DMR 001C TIN &amp; TP'!$E$3:$E$10005&amp;'DMR 001C TIN &amp; TP'!$B$3:$B$10005&amp;'DMR 001C TIN &amp; TP'!$A$3:$A$10005),0),MATCH('Reg 85'!$O$11,'DMR 001C TIN &amp; TP'!$A$2:$M$2,0))),"")</f>
        <v/>
      </c>
      <c r="P153" s="53" t="str">
        <f t="shared" si="70"/>
        <v/>
      </c>
      <c r="Q153" s="73" t="str">
        <f t="array" ref="Q153">IFERROR(((L153*$F153)+(P153*$G153))/($H153),"")</f>
        <v/>
      </c>
      <c r="R153" s="6" t="str">
        <f t="array" ref="R153">_xlfn.IFNA((INDEX('DMR 001C TIN &amp; TP'!$A$3:$M$10005,MATCH(('Reg 85'!$I$6:$Q$6&amp;'Reg 85'!R$10&amp;'Reg 85'!$B153),('DMR 001C TIN &amp; TP'!$E$3:$E$10005&amp;'DMR 001C TIN &amp; TP'!$B$3:$B$10005&amp;'DMR 001C TIN &amp; TP'!$A$3:$A$10005),0),MATCH('Reg 85'!$O$11,'DMR 001C TIN &amp; TP'!$A$2:$M$2,0))),"")</f>
        <v/>
      </c>
      <c r="S153" s="6" t="str">
        <f t="array" ref="S153">_xlfn.IFNA((INDEX('DMR 001C TIN &amp; TP'!$A$3:$M$10005,MATCH(('Reg 85'!$I$6:$Q$6&amp;'Reg 85'!S$10&amp;'Reg 85'!$B153),('DMR 001C TIN &amp; TP'!$E$3:$E$10005&amp;'DMR 001C TIN &amp; TP'!$B$3:$B$10005&amp;'DMR 001C TIN &amp; TP'!$A$3:$A$10005),0),MATCH('Reg 85'!$O$11,'DMR 001C TIN &amp; TP'!$A$2:$M$2,0))),"")</f>
        <v/>
      </c>
      <c r="T153" s="6" t="str">
        <f t="array" ref="T153">_xlfn.IFNA((INDEX('DMR 001C TIN &amp; TP'!$A$3:$M$10005,MATCH(('Reg 85'!$I$6:$Q$6&amp;'Reg 85'!T$10&amp;'Reg 85'!$B153),('DMR 001C TIN &amp; TP'!$E$3:$E$10005&amp;'DMR 001C TIN &amp; TP'!$B$3:$B$10005&amp;'DMR 001C TIN &amp; TP'!$A$3:$A$10005),0),MATCH('Reg 85'!$O$11,'DMR 001C TIN &amp; TP'!$A$2:$M$2,0))),"")</f>
        <v/>
      </c>
      <c r="U153" s="6" t="str">
        <f t="array" ref="U153">_xlfn.IFNA((INDEX('DMR 001C TIN &amp; TP'!$A$3:$M$10005,MATCH(('Reg 85'!$I$6:$Q$6&amp;'Reg 85'!U$10&amp;'Reg 85'!$B153),('DMR 001C TIN &amp; TP'!$E$3:$E$10005&amp;'DMR 001C TIN &amp; TP'!$B$3:$B$10005&amp;'DMR 001C TIN &amp; TP'!$A$3:$A$10005),0),MATCH('Reg 85'!$O$11,'DMR 001C TIN &amp; TP'!$A$2:$M$2,0))),"")</f>
        <v/>
      </c>
      <c r="V153" s="6" t="str">
        <f t="array" ref="V153">_xlfn.IFNA((INDEX('DMR 001C TIN &amp; TP'!$A$3:$M$10005,MATCH(('Reg 85'!$I$6:$Q$6&amp;'Reg 85'!V$10&amp;'Reg 85'!$B153),('DMR 001C TIN &amp; TP'!$E$3:$E$10005&amp;'DMR 001C TIN &amp; TP'!$B$3:$B$10005&amp;'DMR 001C TIN &amp; TP'!$A$3:$A$10005),0),MATCH('Reg 85'!$O$11,'DMR 001C TIN &amp; TP'!$A$2:$M$2,0))),"")</f>
        <v/>
      </c>
      <c r="W153" s="6" t="str">
        <f t="array" ref="W153">_xlfn.IFNA((INDEX('DMR 001C TIN &amp; TP'!$A$3:$M$10005,MATCH(('Reg 85'!$I$6:$Q$6&amp;'Reg 85'!W$10&amp;'Reg 85'!$B153),('DMR 001C TIN &amp; TP'!$E$3:$E$10005&amp;'DMR 001C TIN &amp; TP'!$B$3:$B$10005&amp;'DMR 001C TIN &amp; TP'!$A$3:$A$10005),0),MATCH('Reg 85'!$O$11,'DMR 001C TIN &amp; TP'!$A$2:$M$2,0))),"")</f>
        <v/>
      </c>
      <c r="X153" s="5" t="str">
        <f t="shared" si="71"/>
        <v/>
      </c>
      <c r="Y153" s="6" t="str">
        <f t="array" ref="Y153">_xlfn.IFNA((INDEX('DMR 001C TIN &amp; TP'!$A$3:$M$10005,MATCH(('Reg 85'!$X$6&amp;'Reg 85'!$X$10&amp;'Reg 85'!$B153),('DMR 001C TIN &amp; TP'!$E$3:$E$10005&amp;'DMR 001C TIN &amp; TP'!$B$3:$B$10005&amp;'DMR 001C TIN &amp; TP'!$A$3:$A$10005),0),MATCH('Reg 85'!$Y$11,'DMR 001C TIN &amp; TP'!$A$2:$M$2,0))),"")</f>
        <v/>
      </c>
      <c r="Z153" s="6" t="str">
        <f t="array" ref="Z153">_xlfn.IFNA((INDEX('DMR 001C TIN &amp; TP'!$A$3:$M$10005,MATCH(('Reg 85'!$X$6&amp;'Reg 85'!$X$10&amp;'Reg 85'!$B153),('DMR 001C TIN &amp; TP'!$E$3:$E$10005&amp;'DMR 001C TIN &amp; TP'!$B$3:$B$10005&amp;'DMR 001C TIN &amp; TP'!$A$3:$A$10005),0),MATCH('Reg 85'!$Z$11,'DMR 001C TIN &amp; TP'!$A$2:$M$2,0))),"")</f>
        <v/>
      </c>
      <c r="AA153" s="53" t="str">
        <f t="shared" si="72"/>
        <v/>
      </c>
      <c r="AB153" s="5" t="str">
        <f t="shared" si="73"/>
        <v/>
      </c>
      <c r="AC153" s="6" t="str">
        <f t="array" ref="AC153">_xlfn.IFNA((INDEX('DMR 001C TIN &amp; TP'!$A$3:$M$10005,MATCH(('Reg 85'!$X$6&amp;'Reg 85'!$AB$10&amp;'Reg 85'!$B153),('DMR 001C TIN &amp; TP'!$E$3:$E$10005&amp;'DMR 001C TIN &amp; TP'!$B$3:$B$10005&amp;'DMR 001C TIN &amp; TP'!$A$3:$A$10005),0),MATCH('Reg 85'!$AC$11,'DMR 001C TIN &amp; TP'!$A$2:$M$2,0))),"")</f>
        <v/>
      </c>
      <c r="AD153" s="6" t="str">
        <f t="array" ref="AD153">_xlfn.IFNA((INDEX('DMR 001C TIN &amp; TP'!$A$3:$M$10005,MATCH(('Reg 85'!$X$6&amp;'Reg 85'!$AB$10&amp;'Reg 85'!$B153),('DMR 001C TIN &amp; TP'!$E$3:$E$10005&amp;'DMR 001C TIN &amp; TP'!$B$3:$B$10005&amp;'DMR 001C TIN &amp; TP'!$A$3:$A$10005),0),MATCH('Reg 85'!$AD$11,'DMR 001C TIN &amp; TP'!$A$2:$M$2,0))),"")</f>
        <v/>
      </c>
      <c r="AE153" s="53" t="str">
        <f t="shared" si="74"/>
        <v/>
      </c>
      <c r="AF153" s="7" t="str">
        <f t="shared" si="75"/>
        <v/>
      </c>
      <c r="AG153" s="6" t="str">
        <f t="array" ref="AG153">_xlfn.IFNA((INDEX('DMR 001C TIN &amp; TP'!$A$3:$M$10005,MATCH(('Reg 85'!$X$6&amp;'Reg 85'!AG$10&amp;'Reg 85'!$B153),('DMR 001C TIN &amp; TP'!$E$3:$E$10005&amp;'DMR 001C TIN &amp; TP'!$B$3:$B$10005&amp;'DMR 001C TIN &amp; TP'!$A$3:$A$10005),0),MATCH('Reg 85'!$AG$11,'DMR 001C TIN &amp; TP'!$A$2:$M$2,0))),"")</f>
        <v/>
      </c>
      <c r="AH153" s="6" t="str">
        <f t="array" ref="AH153">_xlfn.IFNA((INDEX('DMR 001C TIN &amp; TP'!$A$3:$M$10005,MATCH(('Reg 85'!$X$6&amp;'Reg 85'!AH$10&amp;'Reg 85'!$B153),('DMR 001C TIN &amp; TP'!$E$3:$E$10005&amp;'DMR 001C TIN &amp; TP'!$B$3:$B$10005&amp;'DMR 001C TIN &amp; TP'!$A$3:$A$10005),0),MATCH('Reg 85'!$AG$11,'DMR 001C TIN &amp; TP'!$A$2:$M$2,0))),"")</f>
        <v/>
      </c>
      <c r="AI153" s="6" t="str">
        <f t="array" ref="AI153">_xlfn.IFNA((INDEX('DMR 001C TIN &amp; TP'!$A$3:$M$10005,MATCH(('Reg 85'!$X$6&amp;'Reg 85'!AI$10&amp;'Reg 85'!$B153),('DMR 001C TIN &amp; TP'!$E$3:$E$10005&amp;'DMR 001C TIN &amp; TP'!$B$3:$B$10005&amp;'DMR 001C TIN &amp; TP'!$A$3:$A$10005),0),MATCH('Reg 85'!$AG$11,'DMR 001C TIN &amp; TP'!$A$2:$M$2,0))),"")</f>
        <v/>
      </c>
      <c r="AJ153" s="6" t="str">
        <f t="array" ref="AJ153">_xlfn.IFNA((INDEX('DMR 001C TIN &amp; TP'!$A$3:$M$10005,MATCH(('Reg 85'!$X$6&amp;'Reg 85'!AJ$10&amp;'Reg 85'!$B153),('DMR 001C TIN &amp; TP'!$E$3:$E$10005&amp;'DMR 001C TIN &amp; TP'!$B$3:$B$10005&amp;'DMR 001C TIN &amp; TP'!$A$3:$A$10005),0),MATCH('Reg 85'!$AG$11,'DMR 001C TIN &amp; TP'!$A$2:$M$2,0))),"")</f>
        <v/>
      </c>
      <c r="AK153" s="6" t="str">
        <f t="array" ref="AK153">_xlfn.IFNA((INDEX('DMR 001C TIN &amp; TP'!$A$3:$M$10005,MATCH(('Reg 85'!$X$6&amp;'Reg 85'!AK$10&amp;'Reg 85'!$B153),('DMR 001C TIN &amp; TP'!$E$3:$E$10005&amp;'DMR 001C TIN &amp; TP'!$B$3:$B$10005&amp;'DMR 001C TIN &amp; TP'!$A$3:$A$10005),0),MATCH('Reg 85'!$AG$11,'DMR 001C TIN &amp; TP'!$A$2:$M$2,0))),"")</f>
        <v/>
      </c>
      <c r="AL153" s="6" t="str">
        <f t="array" ref="AL153">_xlfn.IFNA((INDEX('DMR 001C TIN &amp; TP'!$A$3:$M$10005,MATCH(('Reg 85'!$X$6&amp;'Reg 85'!AL$10&amp;'Reg 85'!$B153),('DMR 001C TIN &amp; TP'!$E$3:$E$10005&amp;'DMR 001C TIN &amp; TP'!$B$3:$B$10005&amp;'DMR 001C TIN &amp; TP'!$A$3:$A$10005),0),MATCH('Reg 85'!$AG$11,'DMR 001C TIN &amp; TP'!$A$2:$M$2,0))),"")</f>
        <v/>
      </c>
      <c r="AM153" s="76"/>
      <c r="AN153" s="6"/>
      <c r="AO153" s="54" t="str">
        <f t="shared" si="62"/>
        <v/>
      </c>
      <c r="AP153" s="77" t="str">
        <f t="shared" si="60"/>
        <v/>
      </c>
      <c r="AQ153" s="47"/>
      <c r="AR153" s="6" t="str">
        <f t="array" ref="AR153">_xlfn.IFNA((INDEX('DMR 001C TIN &amp; TP'!$A$3:$M$10005,MATCH(('Reg 85'!$AQ$6&amp;'Reg 85'!$AQ$10&amp;'Reg 85'!$B153),('DMR 001C TIN &amp; TP'!$E$3:$E$10005&amp;'DMR 001C TIN &amp; TP'!$B$3:$B$10005&amp;'DMR 001C TIN &amp; TP'!$A$3:$A$10005),0),MATCH('Reg 85'!$AR$11,'DMR 001C TIN &amp; TP'!$A$2:$M$2,0))),"")</f>
        <v>0.03</v>
      </c>
      <c r="AS153" s="6">
        <f t="array" ref="AS153">_xlfn.IFNA((INDEX('DMR 001C TIN &amp; TP'!$A$3:$M$10005,MATCH(('Reg 85'!$AQ$6&amp;'Reg 85'!$AQ$10&amp;'Reg 85'!$B153),('DMR 001C TIN &amp; TP'!$E$3:$E$10005&amp;'DMR 001C TIN &amp; TP'!$B$3:$B$10005&amp;'DMR 001C TIN &amp; TP'!$A$3:$A$10005),0),MATCH('Reg 85'!$AS$11,'DMR 001C TIN &amp; TP'!$A$2:$M$2,0))),"")</f>
        <v>0.39</v>
      </c>
      <c r="AT153" s="53">
        <f t="shared" si="76"/>
        <v>0.39</v>
      </c>
      <c r="AV153" s="6" t="str">
        <f t="array" ref="AV153">_xlfn.IFNA((INDEX('DMR 001C TIN &amp; TP'!$A$3:$M$10005,MATCH(('Reg 85'!$AQ$6&amp;'Reg 85'!$AU$10&amp;'Reg 85'!$B153),('DMR 001C TIN &amp; TP'!$E$3:$E$10005&amp;'DMR 001C TIN &amp; TP'!$B$3:$B$10005&amp;'DMR 001C TIN &amp; TP'!$A$3:$A$10005),0),MATCH('Reg 85'!$AV$11,'DMR 001C TIN &amp; TP'!$A$2:$M$2,0))),"")</f>
        <v>0.03</v>
      </c>
      <c r="AW153" s="6">
        <f t="array" ref="AW153">_xlfn.IFNA((INDEX('DMR 001C TIN &amp; TP'!$A$3:$M$10005,MATCH(('Reg 85'!$AQ$6&amp;'Reg 85'!$AU$10&amp;'Reg 85'!$B153),('DMR 001C TIN &amp; TP'!$E$3:$E$10005&amp;'DMR 001C TIN &amp; TP'!$B$3:$B$10005&amp;'DMR 001C TIN &amp; TP'!$A$3:$A$10005),0),MATCH('Reg 85'!$AW$11,'DMR 001C TIN &amp; TP'!$A$2:$M$2,0))),"")</f>
        <v>2.46</v>
      </c>
      <c r="AX153" s="53">
        <f t="shared" si="77"/>
        <v>2.46</v>
      </c>
      <c r="AY153" s="55">
        <f t="shared" si="78"/>
        <v>1.6027794477086981</v>
      </c>
      <c r="AZ153" s="77" t="str">
        <f t="shared" si="61"/>
        <v/>
      </c>
      <c r="BA153" s="6" t="str">
        <f t="array" ref="BA153">_xlfn.IFNA((INDEX('DMR 001C TIN &amp; TP'!$A$3:$M$10005,MATCH(('Reg 85'!$AQ$6&amp;'Reg 85'!BA$10&amp;'Reg 85'!$B153),('DMR 001C TIN &amp; TP'!$E$3:$E$10005&amp;'DMR 001C TIN &amp; TP'!$B$3:$B$10005&amp;'DMR 001C TIN &amp; TP'!$A$3:$A$10005),0),MATCH('Reg 85'!$AG$11,'DMR 001C TIN &amp; TP'!$A$2:$M$2,0))),"")</f>
        <v/>
      </c>
      <c r="BB153" s="6" t="str">
        <f t="array" ref="BB153">_xlfn.IFNA((INDEX('DMR 001C TIN &amp; TP'!$A$3:$M$10005,MATCH(('Reg 85'!$AQ$6&amp;'Reg 85'!BB$10&amp;'Reg 85'!$B153),('DMR 001C TIN &amp; TP'!$E$3:$E$10005&amp;'DMR 001C TIN &amp; TP'!$B$3:$B$10005&amp;'DMR 001C TIN &amp; TP'!$A$3:$A$10005),0),MATCH('Reg 85'!$AG$11,'DMR 001C TIN &amp; TP'!$A$2:$M$2,0))),"")</f>
        <v/>
      </c>
      <c r="BC153" s="6" t="str">
        <f t="array" ref="BC153">_xlfn.IFNA((INDEX('DMR 001C TIN &amp; TP'!$A$3:$M$10005,MATCH(('Reg 85'!$AQ$6&amp;'Reg 85'!BC$10&amp;'Reg 85'!$B153),('DMR 001C TIN &amp; TP'!$E$3:$E$10005&amp;'DMR 001C TIN &amp; TP'!$B$3:$B$10005&amp;'DMR 001C TIN &amp; TP'!$A$3:$A$10005),0),MATCH('Reg 85'!$AG$11,'DMR 001C TIN &amp; TP'!$A$2:$M$2,0))),"")</f>
        <v/>
      </c>
      <c r="BD153" s="6" t="str">
        <f t="array" ref="BD153">_xlfn.IFNA((INDEX('DMR 001C TIN &amp; TP'!$A$3:$M$10005,MATCH(('Reg 85'!$AQ$6&amp;'Reg 85'!BD$10&amp;'Reg 85'!$B153),('DMR 001C TIN &amp; TP'!$E$3:$E$10005&amp;'DMR 001C TIN &amp; TP'!$B$3:$B$10005&amp;'DMR 001C TIN &amp; TP'!$A$3:$A$10005),0),MATCH('Reg 85'!$AG$11,'DMR 001C TIN &amp; TP'!$A$2:$M$2,0))),"")</f>
        <v/>
      </c>
      <c r="BE153" s="6" t="str">
        <f t="array" ref="BE153">_xlfn.IFNA((INDEX('DMR 001C TIN &amp; TP'!$A$3:$M$10005,MATCH(('Reg 85'!$AQ$6&amp;'Reg 85'!BE$10&amp;'Reg 85'!$B153),('DMR 001C TIN &amp; TP'!$E$3:$E$10005&amp;'DMR 001C TIN &amp; TP'!$B$3:$B$10005&amp;'DMR 001C TIN &amp; TP'!$A$3:$A$10005),0),MATCH('Reg 85'!$AG$11,'DMR 001C TIN &amp; TP'!$A$2:$M$2,0))),"")</f>
        <v/>
      </c>
      <c r="BF153" s="6" t="str">
        <f t="array" ref="BF153">_xlfn.IFNA((INDEX('DMR 001C TIN &amp; TP'!$A$3:$M$10005,MATCH(('Reg 85'!$AQ$6&amp;'Reg 85'!BF$10&amp;'Reg 85'!$B153),('DMR 001C TIN &amp; TP'!$E$3:$E$10005&amp;'DMR 001C TIN &amp; TP'!$B$3:$B$10005&amp;'DMR 001C TIN &amp; TP'!$A$3:$A$10005),0),MATCH('Reg 85'!$AG$11,'DMR 001C TIN &amp; TP'!$A$2:$M$2,0))),"")</f>
        <v/>
      </c>
    </row>
    <row r="154" spans="1:58">
      <c r="A154" s="3" t="str">
        <f t="shared" si="63"/>
        <v>Mon</v>
      </c>
      <c r="B154" s="96">
        <f t="shared" si="79"/>
        <v>43486</v>
      </c>
      <c r="C154" s="96">
        <f t="shared" si="64"/>
        <v>43496</v>
      </c>
      <c r="D154" s="96">
        <f t="shared" si="65"/>
        <v>43466</v>
      </c>
      <c r="E154" s="95">
        <f t="shared" si="66"/>
        <v>31</v>
      </c>
      <c r="F154" s="7">
        <f t="array" ref="F154">_xlfn.IFNA(INDEX('DMR Flows-Effluent'!$A$3:$F$9999,MATCH(($F$10&amp;$B154),('DMR Flows-Effluent'!$B$3:$B$9999&amp;'DMR Flows-Effluent'!$A$3:$A$9999),0),MATCH($F$8,'DMR Flows-Effluent'!$A$2:$F$2,0)),"")</f>
        <v>50.536200000000001</v>
      </c>
      <c r="G154" s="7">
        <f t="array" ref="G154">_xlfn.IFNA(INDEX('DMR Flows-Effluent'!$A$3:$F$9999,MATCH(($G$10&amp;$B154),('DMR Flows-Effluent'!$B$3:$B$9999&amp;'DMR Flows-Effluent'!$A$3:$A$9999),0),MATCH($F$8,'DMR Flows-Effluent'!$A$2:$F$2,0)),"")</f>
        <v>71.252499999999998</v>
      </c>
      <c r="H154" s="7">
        <f t="shared" si="67"/>
        <v>121.78870000000001</v>
      </c>
      <c r="I154" s="45" t="str">
        <f t="shared" si="68"/>
        <v/>
      </c>
      <c r="J154" s="6" t="str">
        <f t="array" ref="J154">_xlfn.IFNA((INDEX('DMR 001C TIN &amp; TP'!$A$3:$M$10005,MATCH(('Reg 85'!$I$6:$Q$6&amp;'Reg 85'!$I$10:$K$10&amp;'Reg 85'!$B154),('DMR 001C TIN &amp; TP'!$E$3:$E$10005&amp;'DMR 001C TIN &amp; TP'!$B$3:$B$10005&amp;'DMR 001C TIN &amp; TP'!$A$3:$A$10005),0),MATCH('Reg 85'!$J$11,'DMR 001C TIN &amp; TP'!$A$2:$M$2,0))),"")</f>
        <v>0.15</v>
      </c>
      <c r="K154" s="6">
        <f t="array" ref="K154">_xlfn.IFNA((INDEX('DMR 001C TIN &amp; TP'!$A$3:$M$10005,MATCH(('Reg 85'!$I$6:$Q$6&amp;'Reg 85'!$I$10:$K$10&amp;'Reg 85'!$B154),('DMR 001C TIN &amp; TP'!$E$3:$E$10005&amp;'DMR 001C TIN &amp; TP'!$B$3:$B$10005&amp;'DMR 001C TIN &amp; TP'!$A$3:$A$10005),0),MATCH('Reg 85'!$K$11,'DMR 001C TIN &amp; TP'!$A$2:$M$2,0))),"")</f>
        <v>1.21</v>
      </c>
      <c r="L154" s="53">
        <f t="shared" si="80"/>
        <v>1.21</v>
      </c>
      <c r="M154" s="5" t="str">
        <f t="shared" si="69"/>
        <v/>
      </c>
      <c r="N154" s="6" t="str">
        <f t="array" ref="N154">_xlfn.IFNA((INDEX('DMR 001C TIN &amp; TP'!$A$3:$M$10005,MATCH(('Reg 85'!$I$6:$Q$6&amp;'Reg 85'!$M$10&amp;'Reg 85'!$B154),('DMR 001C TIN &amp; TP'!$E$3:$E$10005&amp;'DMR 001C TIN &amp; TP'!$B$3:$B$10005&amp;'DMR 001C TIN &amp; TP'!$A$3:$A$10005),0),MATCH('Reg 85'!$N$11,'DMR 001C TIN &amp; TP'!$A$2:$M$2,0))),"")</f>
        <v>0.15</v>
      </c>
      <c r="O154" s="6">
        <f t="array" ref="O154">_xlfn.IFNA((INDEX('DMR 001C TIN &amp; TP'!$A$3:$M$10005,MATCH(('Reg 85'!$I$6:$Q$6&amp;'Reg 85'!$M$10&amp;'Reg 85'!$B154),('DMR 001C TIN &amp; TP'!$E$3:$E$10005&amp;'DMR 001C TIN &amp; TP'!$B$3:$B$10005&amp;'DMR 001C TIN &amp; TP'!$A$3:$A$10005),0),MATCH('Reg 85'!$O$11,'DMR 001C TIN &amp; TP'!$A$2:$M$2,0))),"")</f>
        <v>0.86</v>
      </c>
      <c r="P154" s="53">
        <f t="shared" si="70"/>
        <v>0.86</v>
      </c>
      <c r="Q154" s="73">
        <f t="array" ref="Q154">IFERROR(((L154*$F154)+(P154*$G154))/($H154),"")</f>
        <v>1.0052324394627743</v>
      </c>
      <c r="R154" s="6" t="str">
        <f t="array" ref="R154">_xlfn.IFNA((INDEX('DMR 001C TIN &amp; TP'!$A$3:$M$10005,MATCH(('Reg 85'!$I$6:$Q$6&amp;'Reg 85'!R$10&amp;'Reg 85'!$B154),('DMR 001C TIN &amp; TP'!$E$3:$E$10005&amp;'DMR 001C TIN &amp; TP'!$B$3:$B$10005&amp;'DMR 001C TIN &amp; TP'!$A$3:$A$10005),0),MATCH('Reg 85'!$O$11,'DMR 001C TIN &amp; TP'!$A$2:$M$2,0))),"")</f>
        <v/>
      </c>
      <c r="S154" s="6" t="str">
        <f t="array" ref="S154">_xlfn.IFNA((INDEX('DMR 001C TIN &amp; TP'!$A$3:$M$10005,MATCH(('Reg 85'!$I$6:$Q$6&amp;'Reg 85'!S$10&amp;'Reg 85'!$B154),('DMR 001C TIN &amp; TP'!$E$3:$E$10005&amp;'DMR 001C TIN &amp; TP'!$B$3:$B$10005&amp;'DMR 001C TIN &amp; TP'!$A$3:$A$10005),0),MATCH('Reg 85'!$O$11,'DMR 001C TIN &amp; TP'!$A$2:$M$2,0))),"")</f>
        <v/>
      </c>
      <c r="T154" s="6" t="str">
        <f t="array" ref="T154">_xlfn.IFNA((INDEX('DMR 001C TIN &amp; TP'!$A$3:$M$10005,MATCH(('Reg 85'!$I$6:$Q$6&amp;'Reg 85'!T$10&amp;'Reg 85'!$B154),('DMR 001C TIN &amp; TP'!$E$3:$E$10005&amp;'DMR 001C TIN &amp; TP'!$B$3:$B$10005&amp;'DMR 001C TIN &amp; TP'!$A$3:$A$10005),0),MATCH('Reg 85'!$O$11,'DMR 001C TIN &amp; TP'!$A$2:$M$2,0))),"")</f>
        <v/>
      </c>
      <c r="U154" s="6" t="str">
        <f t="array" ref="U154">_xlfn.IFNA((INDEX('DMR 001C TIN &amp; TP'!$A$3:$M$10005,MATCH(('Reg 85'!$I$6:$Q$6&amp;'Reg 85'!U$10&amp;'Reg 85'!$B154),('DMR 001C TIN &amp; TP'!$E$3:$E$10005&amp;'DMR 001C TIN &amp; TP'!$B$3:$B$10005&amp;'DMR 001C TIN &amp; TP'!$A$3:$A$10005),0),MATCH('Reg 85'!$O$11,'DMR 001C TIN &amp; TP'!$A$2:$M$2,0))),"")</f>
        <v/>
      </c>
      <c r="V154" s="6" t="str">
        <f t="array" ref="V154">_xlfn.IFNA((INDEX('DMR 001C TIN &amp; TP'!$A$3:$M$10005,MATCH(('Reg 85'!$I$6:$Q$6&amp;'Reg 85'!V$10&amp;'Reg 85'!$B154),('DMR 001C TIN &amp; TP'!$E$3:$E$10005&amp;'DMR 001C TIN &amp; TP'!$B$3:$B$10005&amp;'DMR 001C TIN &amp; TP'!$A$3:$A$10005),0),MATCH('Reg 85'!$O$11,'DMR 001C TIN &amp; TP'!$A$2:$M$2,0))),"")</f>
        <v/>
      </c>
      <c r="W154" s="6" t="str">
        <f t="array" ref="W154">_xlfn.IFNA((INDEX('DMR 001C TIN &amp; TP'!$A$3:$M$10005,MATCH(('Reg 85'!$I$6:$Q$6&amp;'Reg 85'!W$10&amp;'Reg 85'!$B154),('DMR 001C TIN &amp; TP'!$E$3:$E$10005&amp;'DMR 001C TIN &amp; TP'!$B$3:$B$10005&amp;'DMR 001C TIN &amp; TP'!$A$3:$A$10005),0),MATCH('Reg 85'!$O$11,'DMR 001C TIN &amp; TP'!$A$2:$M$2,0))),"")</f>
        <v/>
      </c>
      <c r="X154" s="5" t="str">
        <f t="shared" si="71"/>
        <v/>
      </c>
      <c r="Y154" s="6" t="str">
        <f t="array" ref="Y154">_xlfn.IFNA((INDEX('DMR 001C TIN &amp; TP'!$A$3:$M$10005,MATCH(('Reg 85'!$X$6&amp;'Reg 85'!$X$10&amp;'Reg 85'!$B154),('DMR 001C TIN &amp; TP'!$E$3:$E$10005&amp;'DMR 001C TIN &amp; TP'!$B$3:$B$10005&amp;'DMR 001C TIN &amp; TP'!$A$3:$A$10005),0),MATCH('Reg 85'!$Y$11,'DMR 001C TIN &amp; TP'!$A$2:$M$2,0))),"")</f>
        <v>0.06</v>
      </c>
      <c r="Z154" s="6">
        <f t="array" ref="Z154">_xlfn.IFNA((INDEX('DMR 001C TIN &amp; TP'!$A$3:$M$10005,MATCH(('Reg 85'!$X$6&amp;'Reg 85'!$X$10&amp;'Reg 85'!$B154),('DMR 001C TIN &amp; TP'!$E$3:$E$10005&amp;'DMR 001C TIN &amp; TP'!$B$3:$B$10005&amp;'DMR 001C TIN &amp; TP'!$A$3:$A$10005),0),MATCH('Reg 85'!$Z$11,'DMR 001C TIN &amp; TP'!$A$2:$M$2,0))),"")</f>
        <v>4.72</v>
      </c>
      <c r="AA154" s="53">
        <f t="shared" si="72"/>
        <v>4.72</v>
      </c>
      <c r="AB154" s="5" t="str">
        <f t="shared" si="73"/>
        <v/>
      </c>
      <c r="AC154" s="6" t="str">
        <f t="array" ref="AC154">_xlfn.IFNA((INDEX('DMR 001C TIN &amp; TP'!$A$3:$M$10005,MATCH(('Reg 85'!$X$6&amp;'Reg 85'!$AB$10&amp;'Reg 85'!$B154),('DMR 001C TIN &amp; TP'!$E$3:$E$10005&amp;'DMR 001C TIN &amp; TP'!$B$3:$B$10005&amp;'DMR 001C TIN &amp; TP'!$A$3:$A$10005),0),MATCH('Reg 85'!$AC$11,'DMR 001C TIN &amp; TP'!$A$2:$M$2,0))),"")</f>
        <v>0.06</v>
      </c>
      <c r="AD154" s="6">
        <f t="array" ref="AD154">_xlfn.IFNA((INDEX('DMR 001C TIN &amp; TP'!$A$3:$M$10005,MATCH(('Reg 85'!$X$6&amp;'Reg 85'!$AB$10&amp;'Reg 85'!$B154),('DMR 001C TIN &amp; TP'!$E$3:$E$10005&amp;'DMR 001C TIN &amp; TP'!$B$3:$B$10005&amp;'DMR 001C TIN &amp; TP'!$A$3:$A$10005),0),MATCH('Reg 85'!$AD$11,'DMR 001C TIN &amp; TP'!$A$2:$M$2,0))),"")</f>
        <v>5.92</v>
      </c>
      <c r="AE154" s="53">
        <f t="shared" si="74"/>
        <v>5.92</v>
      </c>
      <c r="AF154" s="7">
        <f t="shared" si="75"/>
        <v>5.4220602075562008</v>
      </c>
      <c r="AG154" s="6" t="str">
        <f t="array" ref="AG154">_xlfn.IFNA((INDEX('DMR 001C TIN &amp; TP'!$A$3:$M$10005,MATCH(('Reg 85'!$X$6&amp;'Reg 85'!AG$10&amp;'Reg 85'!$B154),('DMR 001C TIN &amp; TP'!$E$3:$E$10005&amp;'DMR 001C TIN &amp; TP'!$B$3:$B$10005&amp;'DMR 001C TIN &amp; TP'!$A$3:$A$10005),0),MATCH('Reg 85'!$AG$11,'DMR 001C TIN &amp; TP'!$A$2:$M$2,0))),"")</f>
        <v/>
      </c>
      <c r="AH154" s="6" t="str">
        <f t="array" ref="AH154">_xlfn.IFNA((INDEX('DMR 001C TIN &amp; TP'!$A$3:$M$10005,MATCH(('Reg 85'!$X$6&amp;'Reg 85'!AH$10&amp;'Reg 85'!$B154),('DMR 001C TIN &amp; TP'!$E$3:$E$10005&amp;'DMR 001C TIN &amp; TP'!$B$3:$B$10005&amp;'DMR 001C TIN &amp; TP'!$A$3:$A$10005),0),MATCH('Reg 85'!$AG$11,'DMR 001C TIN &amp; TP'!$A$2:$M$2,0))),"")</f>
        <v/>
      </c>
      <c r="AI154" s="6" t="str">
        <f t="array" ref="AI154">_xlfn.IFNA((INDEX('DMR 001C TIN &amp; TP'!$A$3:$M$10005,MATCH(('Reg 85'!$X$6&amp;'Reg 85'!AI$10&amp;'Reg 85'!$B154),('DMR 001C TIN &amp; TP'!$E$3:$E$10005&amp;'DMR 001C TIN &amp; TP'!$B$3:$B$10005&amp;'DMR 001C TIN &amp; TP'!$A$3:$A$10005),0),MATCH('Reg 85'!$AG$11,'DMR 001C TIN &amp; TP'!$A$2:$M$2,0))),"")</f>
        <v/>
      </c>
      <c r="AJ154" s="6" t="str">
        <f t="array" ref="AJ154">_xlfn.IFNA((INDEX('DMR 001C TIN &amp; TP'!$A$3:$M$10005,MATCH(('Reg 85'!$X$6&amp;'Reg 85'!AJ$10&amp;'Reg 85'!$B154),('DMR 001C TIN &amp; TP'!$E$3:$E$10005&amp;'DMR 001C TIN &amp; TP'!$B$3:$B$10005&amp;'DMR 001C TIN &amp; TP'!$A$3:$A$10005),0),MATCH('Reg 85'!$AG$11,'DMR 001C TIN &amp; TP'!$A$2:$M$2,0))),"")</f>
        <v/>
      </c>
      <c r="AK154" s="6" t="str">
        <f t="array" ref="AK154">_xlfn.IFNA((INDEX('DMR 001C TIN &amp; TP'!$A$3:$M$10005,MATCH(('Reg 85'!$X$6&amp;'Reg 85'!AK$10&amp;'Reg 85'!$B154),('DMR 001C TIN &amp; TP'!$E$3:$E$10005&amp;'DMR 001C TIN &amp; TP'!$B$3:$B$10005&amp;'DMR 001C TIN &amp; TP'!$A$3:$A$10005),0),MATCH('Reg 85'!$AG$11,'DMR 001C TIN &amp; TP'!$A$2:$M$2,0))),"")</f>
        <v/>
      </c>
      <c r="AL154" s="6" t="str">
        <f t="array" ref="AL154">_xlfn.IFNA((INDEX('DMR 001C TIN &amp; TP'!$A$3:$M$10005,MATCH(('Reg 85'!$X$6&amp;'Reg 85'!AL$10&amp;'Reg 85'!$B154),('DMR 001C TIN &amp; TP'!$E$3:$E$10005&amp;'DMR 001C TIN &amp; TP'!$B$3:$B$10005&amp;'DMR 001C TIN &amp; TP'!$A$3:$A$10005),0),MATCH('Reg 85'!$AG$11,'DMR 001C TIN &amp; TP'!$A$2:$M$2,0))),"")</f>
        <v/>
      </c>
      <c r="AM154" s="76"/>
      <c r="AN154" s="6"/>
      <c r="AO154" s="54">
        <f t="shared" si="62"/>
        <v>6.4272926470189748</v>
      </c>
      <c r="AP154" s="77" t="str">
        <f t="shared" si="60"/>
        <v/>
      </c>
      <c r="AQ154" s="47"/>
      <c r="AR154" s="6" t="str">
        <f t="array" ref="AR154">_xlfn.IFNA((INDEX('DMR 001C TIN &amp; TP'!$A$3:$M$10005,MATCH(('Reg 85'!$AQ$6&amp;'Reg 85'!$AQ$10&amp;'Reg 85'!$B154),('DMR 001C TIN &amp; TP'!$E$3:$E$10005&amp;'DMR 001C TIN &amp; TP'!$B$3:$B$10005&amp;'DMR 001C TIN &amp; TP'!$A$3:$A$10005),0),MATCH('Reg 85'!$AR$11,'DMR 001C TIN &amp; TP'!$A$2:$M$2,0))),"")</f>
        <v/>
      </c>
      <c r="AS154" s="6" t="str">
        <f t="array" ref="AS154">_xlfn.IFNA((INDEX('DMR 001C TIN &amp; TP'!$A$3:$M$10005,MATCH(('Reg 85'!$AQ$6&amp;'Reg 85'!$AQ$10&amp;'Reg 85'!$B154),('DMR 001C TIN &amp; TP'!$E$3:$E$10005&amp;'DMR 001C TIN &amp; TP'!$B$3:$B$10005&amp;'DMR 001C TIN &amp; TP'!$A$3:$A$10005),0),MATCH('Reg 85'!$AS$11,'DMR 001C TIN &amp; TP'!$A$2:$M$2,0))),"")</f>
        <v/>
      </c>
      <c r="AT154" s="53" t="str">
        <f t="shared" si="76"/>
        <v/>
      </c>
      <c r="AV154" s="6" t="str">
        <f t="array" ref="AV154">_xlfn.IFNA((INDEX('DMR 001C TIN &amp; TP'!$A$3:$M$10005,MATCH(('Reg 85'!$AQ$6&amp;'Reg 85'!$AU$10&amp;'Reg 85'!$B154),('DMR 001C TIN &amp; TP'!$E$3:$E$10005&amp;'DMR 001C TIN &amp; TP'!$B$3:$B$10005&amp;'DMR 001C TIN &amp; TP'!$A$3:$A$10005),0),MATCH('Reg 85'!$AV$11,'DMR 001C TIN &amp; TP'!$A$2:$M$2,0))),"")</f>
        <v/>
      </c>
      <c r="AW154" s="6" t="str">
        <f t="array" ref="AW154">_xlfn.IFNA((INDEX('DMR 001C TIN &amp; TP'!$A$3:$M$10005,MATCH(('Reg 85'!$AQ$6&amp;'Reg 85'!$AU$10&amp;'Reg 85'!$B154),('DMR 001C TIN &amp; TP'!$E$3:$E$10005&amp;'DMR 001C TIN &amp; TP'!$B$3:$B$10005&amp;'DMR 001C TIN &amp; TP'!$A$3:$A$10005),0),MATCH('Reg 85'!$AW$11,'DMR 001C TIN &amp; TP'!$A$2:$M$2,0))),"")</f>
        <v/>
      </c>
      <c r="AX154" s="53" t="str">
        <f t="shared" si="77"/>
        <v/>
      </c>
      <c r="AY154" s="55" t="str">
        <f t="shared" si="78"/>
        <v/>
      </c>
      <c r="AZ154" s="77" t="str">
        <f t="shared" si="61"/>
        <v/>
      </c>
      <c r="BA154" s="6" t="str">
        <f t="array" ref="BA154">_xlfn.IFNA((INDEX('DMR 001C TIN &amp; TP'!$A$3:$M$10005,MATCH(('Reg 85'!$AQ$6&amp;'Reg 85'!BA$10&amp;'Reg 85'!$B154),('DMR 001C TIN &amp; TP'!$E$3:$E$10005&amp;'DMR 001C TIN &amp; TP'!$B$3:$B$10005&amp;'DMR 001C TIN &amp; TP'!$A$3:$A$10005),0),MATCH('Reg 85'!$AG$11,'DMR 001C TIN &amp; TP'!$A$2:$M$2,0))),"")</f>
        <v/>
      </c>
      <c r="BB154" s="6" t="str">
        <f t="array" ref="BB154">_xlfn.IFNA((INDEX('DMR 001C TIN &amp; TP'!$A$3:$M$10005,MATCH(('Reg 85'!$AQ$6&amp;'Reg 85'!BB$10&amp;'Reg 85'!$B154),('DMR 001C TIN &amp; TP'!$E$3:$E$10005&amp;'DMR 001C TIN &amp; TP'!$B$3:$B$10005&amp;'DMR 001C TIN &amp; TP'!$A$3:$A$10005),0),MATCH('Reg 85'!$AG$11,'DMR 001C TIN &amp; TP'!$A$2:$M$2,0))),"")</f>
        <v/>
      </c>
      <c r="BC154" s="6" t="str">
        <f t="array" ref="BC154">_xlfn.IFNA((INDEX('DMR 001C TIN &amp; TP'!$A$3:$M$10005,MATCH(('Reg 85'!$AQ$6&amp;'Reg 85'!BC$10&amp;'Reg 85'!$B154),('DMR 001C TIN &amp; TP'!$E$3:$E$10005&amp;'DMR 001C TIN &amp; TP'!$B$3:$B$10005&amp;'DMR 001C TIN &amp; TP'!$A$3:$A$10005),0),MATCH('Reg 85'!$AG$11,'DMR 001C TIN &amp; TP'!$A$2:$M$2,0))),"")</f>
        <v/>
      </c>
      <c r="BD154" s="6" t="str">
        <f t="array" ref="BD154">_xlfn.IFNA((INDEX('DMR 001C TIN &amp; TP'!$A$3:$M$10005,MATCH(('Reg 85'!$AQ$6&amp;'Reg 85'!BD$10&amp;'Reg 85'!$B154),('DMR 001C TIN &amp; TP'!$E$3:$E$10005&amp;'DMR 001C TIN &amp; TP'!$B$3:$B$10005&amp;'DMR 001C TIN &amp; TP'!$A$3:$A$10005),0),MATCH('Reg 85'!$AG$11,'DMR 001C TIN &amp; TP'!$A$2:$M$2,0))),"")</f>
        <v/>
      </c>
      <c r="BE154" s="6" t="str">
        <f t="array" ref="BE154">_xlfn.IFNA((INDEX('DMR 001C TIN &amp; TP'!$A$3:$M$10005,MATCH(('Reg 85'!$AQ$6&amp;'Reg 85'!BE$10&amp;'Reg 85'!$B154),('DMR 001C TIN &amp; TP'!$E$3:$E$10005&amp;'DMR 001C TIN &amp; TP'!$B$3:$B$10005&amp;'DMR 001C TIN &amp; TP'!$A$3:$A$10005),0),MATCH('Reg 85'!$AG$11,'DMR 001C TIN &amp; TP'!$A$2:$M$2,0))),"")</f>
        <v/>
      </c>
      <c r="BF154" s="6" t="str">
        <f t="array" ref="BF154">_xlfn.IFNA((INDEX('DMR 001C TIN &amp; TP'!$A$3:$M$10005,MATCH(('Reg 85'!$AQ$6&amp;'Reg 85'!BF$10&amp;'Reg 85'!$B154),('DMR 001C TIN &amp; TP'!$E$3:$E$10005&amp;'DMR 001C TIN &amp; TP'!$B$3:$B$10005&amp;'DMR 001C TIN &amp; TP'!$A$3:$A$10005),0),MATCH('Reg 85'!$AG$11,'DMR 001C TIN &amp; TP'!$A$2:$M$2,0))),"")</f>
        <v/>
      </c>
    </row>
    <row r="155" spans="1:58">
      <c r="A155" s="3" t="str">
        <f t="shared" si="63"/>
        <v>Tue</v>
      </c>
      <c r="B155" s="96">
        <f t="shared" si="79"/>
        <v>43487</v>
      </c>
      <c r="C155" s="96">
        <f t="shared" si="64"/>
        <v>43496</v>
      </c>
      <c r="D155" s="96">
        <f t="shared" si="65"/>
        <v>43466</v>
      </c>
      <c r="E155" s="95">
        <f t="shared" si="66"/>
        <v>31</v>
      </c>
      <c r="F155" s="7">
        <f t="array" ref="F155">_xlfn.IFNA(INDEX('DMR Flows-Effluent'!$A$3:$F$9999,MATCH(($F$10&amp;$B155),('DMR Flows-Effluent'!$B$3:$B$9999&amp;'DMR Flows-Effluent'!$A$3:$A$9999),0),MATCH($F$8,'DMR Flows-Effluent'!$A$2:$F$2,0)),"")</f>
        <v>47.116799999999998</v>
      </c>
      <c r="G155" s="7">
        <f t="array" ref="G155">_xlfn.IFNA(INDEX('DMR Flows-Effluent'!$A$3:$F$9999,MATCH(($G$10&amp;$B155),('DMR Flows-Effluent'!$B$3:$B$9999&amp;'DMR Flows-Effluent'!$A$3:$A$9999),0),MATCH($F$8,'DMR Flows-Effluent'!$A$2:$F$2,0)),"")</f>
        <v>74.903899999999993</v>
      </c>
      <c r="H155" s="7">
        <f t="shared" si="67"/>
        <v>122.02069999999999</v>
      </c>
      <c r="I155" s="45" t="str">
        <f t="shared" si="68"/>
        <v/>
      </c>
      <c r="J155" s="6" t="str">
        <f t="array" ref="J155">_xlfn.IFNA((INDEX('DMR 001C TIN &amp; TP'!$A$3:$M$10005,MATCH(('Reg 85'!$I$6:$Q$6&amp;'Reg 85'!$I$10:$K$10&amp;'Reg 85'!$B155),('DMR 001C TIN &amp; TP'!$E$3:$E$10005&amp;'DMR 001C TIN &amp; TP'!$B$3:$B$10005&amp;'DMR 001C TIN &amp; TP'!$A$3:$A$10005),0),MATCH('Reg 85'!$J$11,'DMR 001C TIN &amp; TP'!$A$2:$M$2,0))),"")</f>
        <v>0.15</v>
      </c>
      <c r="K155" s="6">
        <f t="array" ref="K155">_xlfn.IFNA((INDEX('DMR 001C TIN &amp; TP'!$A$3:$M$10005,MATCH(('Reg 85'!$I$6:$Q$6&amp;'Reg 85'!$I$10:$K$10&amp;'Reg 85'!$B155),('DMR 001C TIN &amp; TP'!$E$3:$E$10005&amp;'DMR 001C TIN &amp; TP'!$B$3:$B$10005&amp;'DMR 001C TIN &amp; TP'!$A$3:$A$10005),0),MATCH('Reg 85'!$K$11,'DMR 001C TIN &amp; TP'!$A$2:$M$2,0))),"")</f>
        <v>0.37</v>
      </c>
      <c r="L155" s="53">
        <f t="shared" si="80"/>
        <v>0.37</v>
      </c>
      <c r="M155" s="5" t="str">
        <f t="shared" si="69"/>
        <v/>
      </c>
      <c r="N155" s="6" t="str">
        <f t="array" ref="N155">_xlfn.IFNA((INDEX('DMR 001C TIN &amp; TP'!$A$3:$M$10005,MATCH(('Reg 85'!$I$6:$Q$6&amp;'Reg 85'!$M$10&amp;'Reg 85'!$B155),('DMR 001C TIN &amp; TP'!$E$3:$E$10005&amp;'DMR 001C TIN &amp; TP'!$B$3:$B$10005&amp;'DMR 001C TIN &amp; TP'!$A$3:$A$10005),0),MATCH('Reg 85'!$N$11,'DMR 001C TIN &amp; TP'!$A$2:$M$2,0))),"")</f>
        <v>0.15</v>
      </c>
      <c r="O155" s="6">
        <f t="array" ref="O155">_xlfn.IFNA((INDEX('DMR 001C TIN &amp; TP'!$A$3:$M$10005,MATCH(('Reg 85'!$I$6:$Q$6&amp;'Reg 85'!$M$10&amp;'Reg 85'!$B155),('DMR 001C TIN &amp; TP'!$E$3:$E$10005&amp;'DMR 001C TIN &amp; TP'!$B$3:$B$10005&amp;'DMR 001C TIN &amp; TP'!$A$3:$A$10005),0),MATCH('Reg 85'!$O$11,'DMR 001C TIN &amp; TP'!$A$2:$M$2,0))),"")</f>
        <v>1.29</v>
      </c>
      <c r="P155" s="53">
        <f t="shared" si="70"/>
        <v>1.29</v>
      </c>
      <c r="Q155" s="73">
        <f t="array" ref="Q155">IFERROR(((L155*$F155)+(P155*$G155))/($H155),"")</f>
        <v>0.93475325907817286</v>
      </c>
      <c r="R155" s="6" t="str">
        <f t="array" ref="R155">_xlfn.IFNA((INDEX('DMR 001C TIN &amp; TP'!$A$3:$M$10005,MATCH(('Reg 85'!$I$6:$Q$6&amp;'Reg 85'!R$10&amp;'Reg 85'!$B155),('DMR 001C TIN &amp; TP'!$E$3:$E$10005&amp;'DMR 001C TIN &amp; TP'!$B$3:$B$10005&amp;'DMR 001C TIN &amp; TP'!$A$3:$A$10005),0),MATCH('Reg 85'!$O$11,'DMR 001C TIN &amp; TP'!$A$2:$M$2,0))),"")</f>
        <v/>
      </c>
      <c r="S155" s="6" t="str">
        <f t="array" ref="S155">_xlfn.IFNA((INDEX('DMR 001C TIN &amp; TP'!$A$3:$M$10005,MATCH(('Reg 85'!$I$6:$Q$6&amp;'Reg 85'!S$10&amp;'Reg 85'!$B155),('DMR 001C TIN &amp; TP'!$E$3:$E$10005&amp;'DMR 001C TIN &amp; TP'!$B$3:$B$10005&amp;'DMR 001C TIN &amp; TP'!$A$3:$A$10005),0),MATCH('Reg 85'!$O$11,'DMR 001C TIN &amp; TP'!$A$2:$M$2,0))),"")</f>
        <v/>
      </c>
      <c r="T155" s="6" t="str">
        <f t="array" ref="T155">_xlfn.IFNA((INDEX('DMR 001C TIN &amp; TP'!$A$3:$M$10005,MATCH(('Reg 85'!$I$6:$Q$6&amp;'Reg 85'!T$10&amp;'Reg 85'!$B155),('DMR 001C TIN &amp; TP'!$E$3:$E$10005&amp;'DMR 001C TIN &amp; TP'!$B$3:$B$10005&amp;'DMR 001C TIN &amp; TP'!$A$3:$A$10005),0),MATCH('Reg 85'!$O$11,'DMR 001C TIN &amp; TP'!$A$2:$M$2,0))),"")</f>
        <v/>
      </c>
      <c r="U155" s="6" t="str">
        <f t="array" ref="U155">_xlfn.IFNA((INDEX('DMR 001C TIN &amp; TP'!$A$3:$M$10005,MATCH(('Reg 85'!$I$6:$Q$6&amp;'Reg 85'!U$10&amp;'Reg 85'!$B155),('DMR 001C TIN &amp; TP'!$E$3:$E$10005&amp;'DMR 001C TIN &amp; TP'!$B$3:$B$10005&amp;'DMR 001C TIN &amp; TP'!$A$3:$A$10005),0),MATCH('Reg 85'!$O$11,'DMR 001C TIN &amp; TP'!$A$2:$M$2,0))),"")</f>
        <v/>
      </c>
      <c r="V155" s="6" t="str">
        <f t="array" ref="V155">_xlfn.IFNA((INDEX('DMR 001C TIN &amp; TP'!$A$3:$M$10005,MATCH(('Reg 85'!$I$6:$Q$6&amp;'Reg 85'!V$10&amp;'Reg 85'!$B155),('DMR 001C TIN &amp; TP'!$E$3:$E$10005&amp;'DMR 001C TIN &amp; TP'!$B$3:$B$10005&amp;'DMR 001C TIN &amp; TP'!$A$3:$A$10005),0),MATCH('Reg 85'!$O$11,'DMR 001C TIN &amp; TP'!$A$2:$M$2,0))),"")</f>
        <v/>
      </c>
      <c r="W155" s="6" t="str">
        <f t="array" ref="W155">_xlfn.IFNA((INDEX('DMR 001C TIN &amp; TP'!$A$3:$M$10005,MATCH(('Reg 85'!$I$6:$Q$6&amp;'Reg 85'!W$10&amp;'Reg 85'!$B155),('DMR 001C TIN &amp; TP'!$E$3:$E$10005&amp;'DMR 001C TIN &amp; TP'!$B$3:$B$10005&amp;'DMR 001C TIN &amp; TP'!$A$3:$A$10005),0),MATCH('Reg 85'!$O$11,'DMR 001C TIN &amp; TP'!$A$2:$M$2,0))),"")</f>
        <v/>
      </c>
      <c r="X155" s="5" t="str">
        <f t="shared" si="71"/>
        <v/>
      </c>
      <c r="Y155" s="6" t="str">
        <f t="array" ref="Y155">_xlfn.IFNA((INDEX('DMR 001C TIN &amp; TP'!$A$3:$M$10005,MATCH(('Reg 85'!$X$6&amp;'Reg 85'!$X$10&amp;'Reg 85'!$B155),('DMR 001C TIN &amp; TP'!$E$3:$E$10005&amp;'DMR 001C TIN &amp; TP'!$B$3:$B$10005&amp;'DMR 001C TIN &amp; TP'!$A$3:$A$10005),0),MATCH('Reg 85'!$Y$11,'DMR 001C TIN &amp; TP'!$A$2:$M$2,0))),"")</f>
        <v>0.06</v>
      </c>
      <c r="Z155" s="6">
        <f t="array" ref="Z155">_xlfn.IFNA((INDEX('DMR 001C TIN &amp; TP'!$A$3:$M$10005,MATCH(('Reg 85'!$X$6&amp;'Reg 85'!$X$10&amp;'Reg 85'!$B155),('DMR 001C TIN &amp; TP'!$E$3:$E$10005&amp;'DMR 001C TIN &amp; TP'!$B$3:$B$10005&amp;'DMR 001C TIN &amp; TP'!$A$3:$A$10005),0),MATCH('Reg 85'!$Z$11,'DMR 001C TIN &amp; TP'!$A$2:$M$2,0))),"")</f>
        <v>4.75</v>
      </c>
      <c r="AA155" s="53">
        <f t="shared" si="72"/>
        <v>4.75</v>
      </c>
      <c r="AB155" s="5" t="str">
        <f t="shared" si="73"/>
        <v/>
      </c>
      <c r="AC155" s="6" t="str">
        <f t="array" ref="AC155">_xlfn.IFNA((INDEX('DMR 001C TIN &amp; TP'!$A$3:$M$10005,MATCH(('Reg 85'!$X$6&amp;'Reg 85'!$AB$10&amp;'Reg 85'!$B155),('DMR 001C TIN &amp; TP'!$E$3:$E$10005&amp;'DMR 001C TIN &amp; TP'!$B$3:$B$10005&amp;'DMR 001C TIN &amp; TP'!$A$3:$A$10005),0),MATCH('Reg 85'!$AC$11,'DMR 001C TIN &amp; TP'!$A$2:$M$2,0))),"")</f>
        <v>0.06</v>
      </c>
      <c r="AD155" s="6">
        <f t="array" ref="AD155">_xlfn.IFNA((INDEX('DMR 001C TIN &amp; TP'!$A$3:$M$10005,MATCH(('Reg 85'!$X$6&amp;'Reg 85'!$AB$10&amp;'Reg 85'!$B155),('DMR 001C TIN &amp; TP'!$E$3:$E$10005&amp;'DMR 001C TIN &amp; TP'!$B$3:$B$10005&amp;'DMR 001C TIN &amp; TP'!$A$3:$A$10005),0),MATCH('Reg 85'!$AD$11,'DMR 001C TIN &amp; TP'!$A$2:$M$2,0))),"")</f>
        <v>6.04</v>
      </c>
      <c r="AE155" s="53">
        <f t="shared" si="74"/>
        <v>6.04</v>
      </c>
      <c r="AF155" s="7">
        <f t="shared" si="75"/>
        <v>5.5418822871856985</v>
      </c>
      <c r="AG155" s="6" t="str">
        <f t="array" ref="AG155">_xlfn.IFNA((INDEX('DMR 001C TIN &amp; TP'!$A$3:$M$10005,MATCH(('Reg 85'!$X$6&amp;'Reg 85'!AG$10&amp;'Reg 85'!$B155),('DMR 001C TIN &amp; TP'!$E$3:$E$10005&amp;'DMR 001C TIN &amp; TP'!$B$3:$B$10005&amp;'DMR 001C TIN &amp; TP'!$A$3:$A$10005),0),MATCH('Reg 85'!$AG$11,'DMR 001C TIN &amp; TP'!$A$2:$M$2,0))),"")</f>
        <v/>
      </c>
      <c r="AH155" s="6" t="str">
        <f t="array" ref="AH155">_xlfn.IFNA((INDEX('DMR 001C TIN &amp; TP'!$A$3:$M$10005,MATCH(('Reg 85'!$X$6&amp;'Reg 85'!AH$10&amp;'Reg 85'!$B155),('DMR 001C TIN &amp; TP'!$E$3:$E$10005&amp;'DMR 001C TIN &amp; TP'!$B$3:$B$10005&amp;'DMR 001C TIN &amp; TP'!$A$3:$A$10005),0),MATCH('Reg 85'!$AG$11,'DMR 001C TIN &amp; TP'!$A$2:$M$2,0))),"")</f>
        <v/>
      </c>
      <c r="AI155" s="6" t="str">
        <f t="array" ref="AI155">_xlfn.IFNA((INDEX('DMR 001C TIN &amp; TP'!$A$3:$M$10005,MATCH(('Reg 85'!$X$6&amp;'Reg 85'!AI$10&amp;'Reg 85'!$B155),('DMR 001C TIN &amp; TP'!$E$3:$E$10005&amp;'DMR 001C TIN &amp; TP'!$B$3:$B$10005&amp;'DMR 001C TIN &amp; TP'!$A$3:$A$10005),0),MATCH('Reg 85'!$AG$11,'DMR 001C TIN &amp; TP'!$A$2:$M$2,0))),"")</f>
        <v/>
      </c>
      <c r="AJ155" s="6" t="str">
        <f t="array" ref="AJ155">_xlfn.IFNA((INDEX('DMR 001C TIN &amp; TP'!$A$3:$M$10005,MATCH(('Reg 85'!$X$6&amp;'Reg 85'!AJ$10&amp;'Reg 85'!$B155),('DMR 001C TIN &amp; TP'!$E$3:$E$10005&amp;'DMR 001C TIN &amp; TP'!$B$3:$B$10005&amp;'DMR 001C TIN &amp; TP'!$A$3:$A$10005),0),MATCH('Reg 85'!$AG$11,'DMR 001C TIN &amp; TP'!$A$2:$M$2,0))),"")</f>
        <v/>
      </c>
      <c r="AK155" s="6" t="str">
        <f t="array" ref="AK155">_xlfn.IFNA((INDEX('DMR 001C TIN &amp; TP'!$A$3:$M$10005,MATCH(('Reg 85'!$X$6&amp;'Reg 85'!AK$10&amp;'Reg 85'!$B155),('DMR 001C TIN &amp; TP'!$E$3:$E$10005&amp;'DMR 001C TIN &amp; TP'!$B$3:$B$10005&amp;'DMR 001C TIN &amp; TP'!$A$3:$A$10005),0),MATCH('Reg 85'!$AG$11,'DMR 001C TIN &amp; TP'!$A$2:$M$2,0))),"")</f>
        <v/>
      </c>
      <c r="AL155" s="6" t="str">
        <f t="array" ref="AL155">_xlfn.IFNA((INDEX('DMR 001C TIN &amp; TP'!$A$3:$M$10005,MATCH(('Reg 85'!$X$6&amp;'Reg 85'!AL$10&amp;'Reg 85'!$B155),('DMR 001C TIN &amp; TP'!$E$3:$E$10005&amp;'DMR 001C TIN &amp; TP'!$B$3:$B$10005&amp;'DMR 001C TIN &amp; TP'!$A$3:$A$10005),0),MATCH('Reg 85'!$AG$11,'DMR 001C TIN &amp; TP'!$A$2:$M$2,0))),"")</f>
        <v/>
      </c>
      <c r="AM155" s="76"/>
      <c r="AN155" s="6"/>
      <c r="AO155" s="54">
        <f t="shared" si="62"/>
        <v>6.4766355462638714</v>
      </c>
      <c r="AP155" s="77" t="str">
        <f t="shared" si="60"/>
        <v/>
      </c>
      <c r="AQ155" s="47"/>
      <c r="AR155" s="6" t="str">
        <f t="array" ref="AR155">_xlfn.IFNA((INDEX('DMR 001C TIN &amp; TP'!$A$3:$M$10005,MATCH(('Reg 85'!$AQ$6&amp;'Reg 85'!$AQ$10&amp;'Reg 85'!$B155),('DMR 001C TIN &amp; TP'!$E$3:$E$10005&amp;'DMR 001C TIN &amp; TP'!$B$3:$B$10005&amp;'DMR 001C TIN &amp; TP'!$A$3:$A$10005),0),MATCH('Reg 85'!$AR$11,'DMR 001C TIN &amp; TP'!$A$2:$M$2,0))),"")</f>
        <v/>
      </c>
      <c r="AS155" s="6" t="str">
        <f t="array" ref="AS155">_xlfn.IFNA((INDEX('DMR 001C TIN &amp; TP'!$A$3:$M$10005,MATCH(('Reg 85'!$AQ$6&amp;'Reg 85'!$AQ$10&amp;'Reg 85'!$B155),('DMR 001C TIN &amp; TP'!$E$3:$E$10005&amp;'DMR 001C TIN &amp; TP'!$B$3:$B$10005&amp;'DMR 001C TIN &amp; TP'!$A$3:$A$10005),0),MATCH('Reg 85'!$AS$11,'DMR 001C TIN &amp; TP'!$A$2:$M$2,0))),"")</f>
        <v/>
      </c>
      <c r="AT155" s="53" t="str">
        <f t="shared" si="76"/>
        <v/>
      </c>
      <c r="AV155" s="6" t="str">
        <f t="array" ref="AV155">_xlfn.IFNA((INDEX('DMR 001C TIN &amp; TP'!$A$3:$M$10005,MATCH(('Reg 85'!$AQ$6&amp;'Reg 85'!$AU$10&amp;'Reg 85'!$B155),('DMR 001C TIN &amp; TP'!$E$3:$E$10005&amp;'DMR 001C TIN &amp; TP'!$B$3:$B$10005&amp;'DMR 001C TIN &amp; TP'!$A$3:$A$10005),0),MATCH('Reg 85'!$AV$11,'DMR 001C TIN &amp; TP'!$A$2:$M$2,0))),"")</f>
        <v/>
      </c>
      <c r="AW155" s="6" t="str">
        <f t="array" ref="AW155">_xlfn.IFNA((INDEX('DMR 001C TIN &amp; TP'!$A$3:$M$10005,MATCH(('Reg 85'!$AQ$6&amp;'Reg 85'!$AU$10&amp;'Reg 85'!$B155),('DMR 001C TIN &amp; TP'!$E$3:$E$10005&amp;'DMR 001C TIN &amp; TP'!$B$3:$B$10005&amp;'DMR 001C TIN &amp; TP'!$A$3:$A$10005),0),MATCH('Reg 85'!$AW$11,'DMR 001C TIN &amp; TP'!$A$2:$M$2,0))),"")</f>
        <v/>
      </c>
      <c r="AX155" s="53" t="str">
        <f t="shared" si="77"/>
        <v/>
      </c>
      <c r="AY155" s="55" t="str">
        <f t="shared" si="78"/>
        <v/>
      </c>
      <c r="AZ155" s="77" t="str">
        <f t="shared" si="61"/>
        <v/>
      </c>
      <c r="BA155" s="6" t="str">
        <f t="array" ref="BA155">_xlfn.IFNA((INDEX('DMR 001C TIN &amp; TP'!$A$3:$M$10005,MATCH(('Reg 85'!$AQ$6&amp;'Reg 85'!BA$10&amp;'Reg 85'!$B155),('DMR 001C TIN &amp; TP'!$E$3:$E$10005&amp;'DMR 001C TIN &amp; TP'!$B$3:$B$10005&amp;'DMR 001C TIN &amp; TP'!$A$3:$A$10005),0),MATCH('Reg 85'!$AG$11,'DMR 001C TIN &amp; TP'!$A$2:$M$2,0))),"")</f>
        <v/>
      </c>
      <c r="BB155" s="6" t="str">
        <f t="array" ref="BB155">_xlfn.IFNA((INDEX('DMR 001C TIN &amp; TP'!$A$3:$M$10005,MATCH(('Reg 85'!$AQ$6&amp;'Reg 85'!BB$10&amp;'Reg 85'!$B155),('DMR 001C TIN &amp; TP'!$E$3:$E$10005&amp;'DMR 001C TIN &amp; TP'!$B$3:$B$10005&amp;'DMR 001C TIN &amp; TP'!$A$3:$A$10005),0),MATCH('Reg 85'!$AG$11,'DMR 001C TIN &amp; TP'!$A$2:$M$2,0))),"")</f>
        <v/>
      </c>
      <c r="BC155" s="6" t="str">
        <f t="array" ref="BC155">_xlfn.IFNA((INDEX('DMR 001C TIN &amp; TP'!$A$3:$M$10005,MATCH(('Reg 85'!$AQ$6&amp;'Reg 85'!BC$10&amp;'Reg 85'!$B155),('DMR 001C TIN &amp; TP'!$E$3:$E$10005&amp;'DMR 001C TIN &amp; TP'!$B$3:$B$10005&amp;'DMR 001C TIN &amp; TP'!$A$3:$A$10005),0),MATCH('Reg 85'!$AG$11,'DMR 001C TIN &amp; TP'!$A$2:$M$2,0))),"")</f>
        <v/>
      </c>
      <c r="BD155" s="6" t="str">
        <f t="array" ref="BD155">_xlfn.IFNA((INDEX('DMR 001C TIN &amp; TP'!$A$3:$M$10005,MATCH(('Reg 85'!$AQ$6&amp;'Reg 85'!BD$10&amp;'Reg 85'!$B155),('DMR 001C TIN &amp; TP'!$E$3:$E$10005&amp;'DMR 001C TIN &amp; TP'!$B$3:$B$10005&amp;'DMR 001C TIN &amp; TP'!$A$3:$A$10005),0),MATCH('Reg 85'!$AG$11,'DMR 001C TIN &amp; TP'!$A$2:$M$2,0))),"")</f>
        <v/>
      </c>
      <c r="BE155" s="6" t="str">
        <f t="array" ref="BE155">_xlfn.IFNA((INDEX('DMR 001C TIN &amp; TP'!$A$3:$M$10005,MATCH(('Reg 85'!$AQ$6&amp;'Reg 85'!BE$10&amp;'Reg 85'!$B155),('DMR 001C TIN &amp; TP'!$E$3:$E$10005&amp;'DMR 001C TIN &amp; TP'!$B$3:$B$10005&amp;'DMR 001C TIN &amp; TP'!$A$3:$A$10005),0),MATCH('Reg 85'!$AG$11,'DMR 001C TIN &amp; TP'!$A$2:$M$2,0))),"")</f>
        <v/>
      </c>
      <c r="BF155" s="6" t="str">
        <f t="array" ref="BF155">_xlfn.IFNA((INDEX('DMR 001C TIN &amp; TP'!$A$3:$M$10005,MATCH(('Reg 85'!$AQ$6&amp;'Reg 85'!BF$10&amp;'Reg 85'!$B155),('DMR 001C TIN &amp; TP'!$E$3:$E$10005&amp;'DMR 001C TIN &amp; TP'!$B$3:$B$10005&amp;'DMR 001C TIN &amp; TP'!$A$3:$A$10005),0),MATCH('Reg 85'!$AG$11,'DMR 001C TIN &amp; TP'!$A$2:$M$2,0))),"")</f>
        <v/>
      </c>
    </row>
    <row r="156" spans="1:58">
      <c r="A156" s="3" t="str">
        <f t="shared" si="63"/>
        <v>Wed</v>
      </c>
      <c r="B156" s="96">
        <f t="shared" si="79"/>
        <v>43488</v>
      </c>
      <c r="C156" s="96">
        <f t="shared" si="64"/>
        <v>43496</v>
      </c>
      <c r="D156" s="96">
        <f t="shared" si="65"/>
        <v>43466</v>
      </c>
      <c r="E156" s="95">
        <f t="shared" si="66"/>
        <v>31</v>
      </c>
      <c r="F156" s="7">
        <f t="array" ref="F156">_xlfn.IFNA(INDEX('DMR Flows-Effluent'!$A$3:$F$9999,MATCH(($F$10&amp;$B156),('DMR Flows-Effluent'!$B$3:$B$9999&amp;'DMR Flows-Effluent'!$A$3:$A$9999),0),MATCH($F$8,'DMR Flows-Effluent'!$A$2:$F$2,0)),"")</f>
        <v>45.723500000000001</v>
      </c>
      <c r="G156" s="7">
        <f t="array" ref="G156">_xlfn.IFNA(INDEX('DMR Flows-Effluent'!$A$3:$F$9999,MATCH(($G$10&amp;$B156),('DMR Flows-Effluent'!$B$3:$B$9999&amp;'DMR Flows-Effluent'!$A$3:$A$9999),0),MATCH($F$8,'DMR Flows-Effluent'!$A$2:$F$2,0)),"")</f>
        <v>76.145700000000005</v>
      </c>
      <c r="H156" s="7">
        <f t="shared" si="67"/>
        <v>121.86920000000001</v>
      </c>
      <c r="I156" s="45" t="str">
        <f t="shared" si="68"/>
        <v/>
      </c>
      <c r="J156" s="6" t="str">
        <f t="array" ref="J156">_xlfn.IFNA((INDEX('DMR 001C TIN &amp; TP'!$A$3:$M$10005,MATCH(('Reg 85'!$I$6:$Q$6&amp;'Reg 85'!$I$10:$K$10&amp;'Reg 85'!$B156),('DMR 001C TIN &amp; TP'!$E$3:$E$10005&amp;'DMR 001C TIN &amp; TP'!$B$3:$B$10005&amp;'DMR 001C TIN &amp; TP'!$A$3:$A$10005),0),MATCH('Reg 85'!$J$11,'DMR 001C TIN &amp; TP'!$A$2:$M$2,0))),"")</f>
        <v>0.15</v>
      </c>
      <c r="K156" s="6">
        <f t="array" ref="K156">_xlfn.IFNA((INDEX('DMR 001C TIN &amp; TP'!$A$3:$M$10005,MATCH(('Reg 85'!$I$6:$Q$6&amp;'Reg 85'!$I$10:$K$10&amp;'Reg 85'!$B156),('DMR 001C TIN &amp; TP'!$E$3:$E$10005&amp;'DMR 001C TIN &amp; TP'!$B$3:$B$10005&amp;'DMR 001C TIN &amp; TP'!$A$3:$A$10005),0),MATCH('Reg 85'!$K$11,'DMR 001C TIN &amp; TP'!$A$2:$M$2,0))),"")</f>
        <v>0.15</v>
      </c>
      <c r="L156" s="53">
        <f t="shared" si="80"/>
        <v>0.15</v>
      </c>
      <c r="M156" s="5" t="str">
        <f t="shared" si="69"/>
        <v/>
      </c>
      <c r="N156" s="6" t="str">
        <f t="array" ref="N156">_xlfn.IFNA((INDEX('DMR 001C TIN &amp; TP'!$A$3:$M$10005,MATCH(('Reg 85'!$I$6:$Q$6&amp;'Reg 85'!$M$10&amp;'Reg 85'!$B156),('DMR 001C TIN &amp; TP'!$E$3:$E$10005&amp;'DMR 001C TIN &amp; TP'!$B$3:$B$10005&amp;'DMR 001C TIN &amp; TP'!$A$3:$A$10005),0),MATCH('Reg 85'!$N$11,'DMR 001C TIN &amp; TP'!$A$2:$M$2,0))),"")</f>
        <v>0.15</v>
      </c>
      <c r="O156" s="6">
        <f t="array" ref="O156">_xlfn.IFNA((INDEX('DMR 001C TIN &amp; TP'!$A$3:$M$10005,MATCH(('Reg 85'!$I$6:$Q$6&amp;'Reg 85'!$M$10&amp;'Reg 85'!$B156),('DMR 001C TIN &amp; TP'!$E$3:$E$10005&amp;'DMR 001C TIN &amp; TP'!$B$3:$B$10005&amp;'DMR 001C TIN &amp; TP'!$A$3:$A$10005),0),MATCH('Reg 85'!$O$11,'DMR 001C TIN &amp; TP'!$A$2:$M$2,0))),"")</f>
        <v>0.73</v>
      </c>
      <c r="P156" s="53">
        <f t="shared" si="70"/>
        <v>0.73</v>
      </c>
      <c r="Q156" s="73">
        <f t="array" ref="Q156">IFERROR(((L156*$F156)+(P156*$G156))/($H156),"")</f>
        <v>0.51239268002087479</v>
      </c>
      <c r="R156" s="6" t="str">
        <f t="array" ref="R156">_xlfn.IFNA((INDEX('DMR 001C TIN &amp; TP'!$A$3:$M$10005,MATCH(('Reg 85'!$I$6:$Q$6&amp;'Reg 85'!R$10&amp;'Reg 85'!$B156),('DMR 001C TIN &amp; TP'!$E$3:$E$10005&amp;'DMR 001C TIN &amp; TP'!$B$3:$B$10005&amp;'DMR 001C TIN &amp; TP'!$A$3:$A$10005),0),MATCH('Reg 85'!$O$11,'DMR 001C TIN &amp; TP'!$A$2:$M$2,0))),"")</f>
        <v/>
      </c>
      <c r="S156" s="6" t="str">
        <f t="array" ref="S156">_xlfn.IFNA((INDEX('DMR 001C TIN &amp; TP'!$A$3:$M$10005,MATCH(('Reg 85'!$I$6:$Q$6&amp;'Reg 85'!S$10&amp;'Reg 85'!$B156),('DMR 001C TIN &amp; TP'!$E$3:$E$10005&amp;'DMR 001C TIN &amp; TP'!$B$3:$B$10005&amp;'DMR 001C TIN &amp; TP'!$A$3:$A$10005),0),MATCH('Reg 85'!$O$11,'DMR 001C TIN &amp; TP'!$A$2:$M$2,0))),"")</f>
        <v/>
      </c>
      <c r="T156" s="6" t="str">
        <f t="array" ref="T156">_xlfn.IFNA((INDEX('DMR 001C TIN &amp; TP'!$A$3:$M$10005,MATCH(('Reg 85'!$I$6:$Q$6&amp;'Reg 85'!T$10&amp;'Reg 85'!$B156),('DMR 001C TIN &amp; TP'!$E$3:$E$10005&amp;'DMR 001C TIN &amp; TP'!$B$3:$B$10005&amp;'DMR 001C TIN &amp; TP'!$A$3:$A$10005),0),MATCH('Reg 85'!$O$11,'DMR 001C TIN &amp; TP'!$A$2:$M$2,0))),"")</f>
        <v/>
      </c>
      <c r="U156" s="6" t="str">
        <f t="array" ref="U156">_xlfn.IFNA((INDEX('DMR 001C TIN &amp; TP'!$A$3:$M$10005,MATCH(('Reg 85'!$I$6:$Q$6&amp;'Reg 85'!U$10&amp;'Reg 85'!$B156),('DMR 001C TIN &amp; TP'!$E$3:$E$10005&amp;'DMR 001C TIN &amp; TP'!$B$3:$B$10005&amp;'DMR 001C TIN &amp; TP'!$A$3:$A$10005),0),MATCH('Reg 85'!$O$11,'DMR 001C TIN &amp; TP'!$A$2:$M$2,0))),"")</f>
        <v/>
      </c>
      <c r="V156" s="6" t="str">
        <f t="array" ref="V156">_xlfn.IFNA((INDEX('DMR 001C TIN &amp; TP'!$A$3:$M$10005,MATCH(('Reg 85'!$I$6:$Q$6&amp;'Reg 85'!V$10&amp;'Reg 85'!$B156),('DMR 001C TIN &amp; TP'!$E$3:$E$10005&amp;'DMR 001C TIN &amp; TP'!$B$3:$B$10005&amp;'DMR 001C TIN &amp; TP'!$A$3:$A$10005),0),MATCH('Reg 85'!$O$11,'DMR 001C TIN &amp; TP'!$A$2:$M$2,0))),"")</f>
        <v/>
      </c>
      <c r="W156" s="6" t="str">
        <f t="array" ref="W156">_xlfn.IFNA((INDEX('DMR 001C TIN &amp; TP'!$A$3:$M$10005,MATCH(('Reg 85'!$I$6:$Q$6&amp;'Reg 85'!W$10&amp;'Reg 85'!$B156),('DMR 001C TIN &amp; TP'!$E$3:$E$10005&amp;'DMR 001C TIN &amp; TP'!$B$3:$B$10005&amp;'DMR 001C TIN &amp; TP'!$A$3:$A$10005),0),MATCH('Reg 85'!$O$11,'DMR 001C TIN &amp; TP'!$A$2:$M$2,0))),"")</f>
        <v/>
      </c>
      <c r="X156" s="5" t="str">
        <f t="shared" si="71"/>
        <v/>
      </c>
      <c r="Y156" s="6" t="str">
        <f t="array" ref="Y156">_xlfn.IFNA((INDEX('DMR 001C TIN &amp; TP'!$A$3:$M$10005,MATCH(('Reg 85'!$X$6&amp;'Reg 85'!$X$10&amp;'Reg 85'!$B156),('DMR 001C TIN &amp; TP'!$E$3:$E$10005&amp;'DMR 001C TIN &amp; TP'!$B$3:$B$10005&amp;'DMR 001C TIN &amp; TP'!$A$3:$A$10005),0),MATCH('Reg 85'!$Y$11,'DMR 001C TIN &amp; TP'!$A$2:$M$2,0))),"")</f>
        <v>0.06</v>
      </c>
      <c r="Z156" s="6">
        <f t="array" ref="Z156">_xlfn.IFNA((INDEX('DMR 001C TIN &amp; TP'!$A$3:$M$10005,MATCH(('Reg 85'!$X$6&amp;'Reg 85'!$X$10&amp;'Reg 85'!$B156),('DMR 001C TIN &amp; TP'!$E$3:$E$10005&amp;'DMR 001C TIN &amp; TP'!$B$3:$B$10005&amp;'DMR 001C TIN &amp; TP'!$A$3:$A$10005),0),MATCH('Reg 85'!$Z$11,'DMR 001C TIN &amp; TP'!$A$2:$M$2,0))),"")</f>
        <v>4.6100000000000003</v>
      </c>
      <c r="AA156" s="53">
        <f t="shared" si="72"/>
        <v>4.6100000000000003</v>
      </c>
      <c r="AB156" s="5" t="str">
        <f t="shared" si="73"/>
        <v/>
      </c>
      <c r="AC156" s="6" t="str">
        <f t="array" ref="AC156">_xlfn.IFNA((INDEX('DMR 001C TIN &amp; TP'!$A$3:$M$10005,MATCH(('Reg 85'!$X$6&amp;'Reg 85'!$AB$10&amp;'Reg 85'!$B156),('DMR 001C TIN &amp; TP'!$E$3:$E$10005&amp;'DMR 001C TIN &amp; TP'!$B$3:$B$10005&amp;'DMR 001C TIN &amp; TP'!$A$3:$A$10005),0),MATCH('Reg 85'!$AC$11,'DMR 001C TIN &amp; TP'!$A$2:$M$2,0))),"")</f>
        <v>0.06</v>
      </c>
      <c r="AD156" s="6">
        <f t="array" ref="AD156">_xlfn.IFNA((INDEX('DMR 001C TIN &amp; TP'!$A$3:$M$10005,MATCH(('Reg 85'!$X$6&amp;'Reg 85'!$AB$10&amp;'Reg 85'!$B156),('DMR 001C TIN &amp; TP'!$E$3:$E$10005&amp;'DMR 001C TIN &amp; TP'!$B$3:$B$10005&amp;'DMR 001C TIN &amp; TP'!$A$3:$A$10005),0),MATCH('Reg 85'!$AD$11,'DMR 001C TIN &amp; TP'!$A$2:$M$2,0))),"")</f>
        <v>6.3</v>
      </c>
      <c r="AE156" s="53">
        <f t="shared" si="74"/>
        <v>6.3</v>
      </c>
      <c r="AF156" s="7">
        <f t="shared" si="75"/>
        <v>5.6659372917849637</v>
      </c>
      <c r="AG156" s="6" t="str">
        <f t="array" ref="AG156">_xlfn.IFNA((INDEX('DMR 001C TIN &amp; TP'!$A$3:$M$10005,MATCH(('Reg 85'!$X$6&amp;'Reg 85'!AG$10&amp;'Reg 85'!$B156),('DMR 001C TIN &amp; TP'!$E$3:$E$10005&amp;'DMR 001C TIN &amp; TP'!$B$3:$B$10005&amp;'DMR 001C TIN &amp; TP'!$A$3:$A$10005),0),MATCH('Reg 85'!$AG$11,'DMR 001C TIN &amp; TP'!$A$2:$M$2,0))),"")</f>
        <v/>
      </c>
      <c r="AH156" s="6" t="str">
        <f t="array" ref="AH156">_xlfn.IFNA((INDEX('DMR 001C TIN &amp; TP'!$A$3:$M$10005,MATCH(('Reg 85'!$X$6&amp;'Reg 85'!AH$10&amp;'Reg 85'!$B156),('DMR 001C TIN &amp; TP'!$E$3:$E$10005&amp;'DMR 001C TIN &amp; TP'!$B$3:$B$10005&amp;'DMR 001C TIN &amp; TP'!$A$3:$A$10005),0),MATCH('Reg 85'!$AG$11,'DMR 001C TIN &amp; TP'!$A$2:$M$2,0))),"")</f>
        <v/>
      </c>
      <c r="AI156" s="6" t="str">
        <f t="array" ref="AI156">_xlfn.IFNA((INDEX('DMR 001C TIN &amp; TP'!$A$3:$M$10005,MATCH(('Reg 85'!$X$6&amp;'Reg 85'!AI$10&amp;'Reg 85'!$B156),('DMR 001C TIN &amp; TP'!$E$3:$E$10005&amp;'DMR 001C TIN &amp; TP'!$B$3:$B$10005&amp;'DMR 001C TIN &amp; TP'!$A$3:$A$10005),0),MATCH('Reg 85'!$AG$11,'DMR 001C TIN &amp; TP'!$A$2:$M$2,0))),"")</f>
        <v/>
      </c>
      <c r="AJ156" s="6" t="str">
        <f t="array" ref="AJ156">_xlfn.IFNA((INDEX('DMR 001C TIN &amp; TP'!$A$3:$M$10005,MATCH(('Reg 85'!$X$6&amp;'Reg 85'!AJ$10&amp;'Reg 85'!$B156),('DMR 001C TIN &amp; TP'!$E$3:$E$10005&amp;'DMR 001C TIN &amp; TP'!$B$3:$B$10005&amp;'DMR 001C TIN &amp; TP'!$A$3:$A$10005),0),MATCH('Reg 85'!$AG$11,'DMR 001C TIN &amp; TP'!$A$2:$M$2,0))),"")</f>
        <v/>
      </c>
      <c r="AK156" s="6" t="str">
        <f t="array" ref="AK156">_xlfn.IFNA((INDEX('DMR 001C TIN &amp; TP'!$A$3:$M$10005,MATCH(('Reg 85'!$X$6&amp;'Reg 85'!AK$10&amp;'Reg 85'!$B156),('DMR 001C TIN &amp; TP'!$E$3:$E$10005&amp;'DMR 001C TIN &amp; TP'!$B$3:$B$10005&amp;'DMR 001C TIN &amp; TP'!$A$3:$A$10005),0),MATCH('Reg 85'!$AG$11,'DMR 001C TIN &amp; TP'!$A$2:$M$2,0))),"")</f>
        <v/>
      </c>
      <c r="AL156" s="6" t="str">
        <f t="array" ref="AL156">_xlfn.IFNA((INDEX('DMR 001C TIN &amp; TP'!$A$3:$M$10005,MATCH(('Reg 85'!$X$6&amp;'Reg 85'!AL$10&amp;'Reg 85'!$B156),('DMR 001C TIN &amp; TP'!$E$3:$E$10005&amp;'DMR 001C TIN &amp; TP'!$B$3:$B$10005&amp;'DMR 001C TIN &amp; TP'!$A$3:$A$10005),0),MATCH('Reg 85'!$AG$11,'DMR 001C TIN &amp; TP'!$A$2:$M$2,0))),"")</f>
        <v/>
      </c>
      <c r="AM156" s="76"/>
      <c r="AN156" s="6"/>
      <c r="AO156" s="54">
        <f t="shared" si="62"/>
        <v>6.1783299718058382</v>
      </c>
      <c r="AP156" s="77" t="str">
        <f t="shared" si="60"/>
        <v/>
      </c>
      <c r="AQ156" s="47"/>
      <c r="AR156" s="6" t="str">
        <f t="array" ref="AR156">_xlfn.IFNA((INDEX('DMR 001C TIN &amp; TP'!$A$3:$M$10005,MATCH(('Reg 85'!$AQ$6&amp;'Reg 85'!$AQ$10&amp;'Reg 85'!$B156),('DMR 001C TIN &amp; TP'!$E$3:$E$10005&amp;'DMR 001C TIN &amp; TP'!$B$3:$B$10005&amp;'DMR 001C TIN &amp; TP'!$A$3:$A$10005),0),MATCH('Reg 85'!$AR$11,'DMR 001C TIN &amp; TP'!$A$2:$M$2,0))),"")</f>
        <v/>
      </c>
      <c r="AS156" s="6" t="str">
        <f t="array" ref="AS156">_xlfn.IFNA((INDEX('DMR 001C TIN &amp; TP'!$A$3:$M$10005,MATCH(('Reg 85'!$AQ$6&amp;'Reg 85'!$AQ$10&amp;'Reg 85'!$B156),('DMR 001C TIN &amp; TP'!$E$3:$E$10005&amp;'DMR 001C TIN &amp; TP'!$B$3:$B$10005&amp;'DMR 001C TIN &amp; TP'!$A$3:$A$10005),0),MATCH('Reg 85'!$AS$11,'DMR 001C TIN &amp; TP'!$A$2:$M$2,0))),"")</f>
        <v/>
      </c>
      <c r="AT156" s="53" t="str">
        <f t="shared" si="76"/>
        <v/>
      </c>
      <c r="AV156" s="6" t="str">
        <f t="array" ref="AV156">_xlfn.IFNA((INDEX('DMR 001C TIN &amp; TP'!$A$3:$M$10005,MATCH(('Reg 85'!$AQ$6&amp;'Reg 85'!$AU$10&amp;'Reg 85'!$B156),('DMR 001C TIN &amp; TP'!$E$3:$E$10005&amp;'DMR 001C TIN &amp; TP'!$B$3:$B$10005&amp;'DMR 001C TIN &amp; TP'!$A$3:$A$10005),0),MATCH('Reg 85'!$AV$11,'DMR 001C TIN &amp; TP'!$A$2:$M$2,0))),"")</f>
        <v/>
      </c>
      <c r="AW156" s="6" t="str">
        <f t="array" ref="AW156">_xlfn.IFNA((INDEX('DMR 001C TIN &amp; TP'!$A$3:$M$10005,MATCH(('Reg 85'!$AQ$6&amp;'Reg 85'!$AU$10&amp;'Reg 85'!$B156),('DMR 001C TIN &amp; TP'!$E$3:$E$10005&amp;'DMR 001C TIN &amp; TP'!$B$3:$B$10005&amp;'DMR 001C TIN &amp; TP'!$A$3:$A$10005),0),MATCH('Reg 85'!$AW$11,'DMR 001C TIN &amp; TP'!$A$2:$M$2,0))),"")</f>
        <v/>
      </c>
      <c r="AX156" s="53" t="str">
        <f t="shared" si="77"/>
        <v/>
      </c>
      <c r="AY156" s="55" t="str">
        <f t="shared" si="78"/>
        <v/>
      </c>
      <c r="AZ156" s="77" t="str">
        <f t="shared" si="61"/>
        <v/>
      </c>
      <c r="BA156" s="6" t="str">
        <f t="array" ref="BA156">_xlfn.IFNA((INDEX('DMR 001C TIN &amp; TP'!$A$3:$M$10005,MATCH(('Reg 85'!$AQ$6&amp;'Reg 85'!BA$10&amp;'Reg 85'!$B156),('DMR 001C TIN &amp; TP'!$E$3:$E$10005&amp;'DMR 001C TIN &amp; TP'!$B$3:$B$10005&amp;'DMR 001C TIN &amp; TP'!$A$3:$A$10005),0),MATCH('Reg 85'!$AG$11,'DMR 001C TIN &amp; TP'!$A$2:$M$2,0))),"")</f>
        <v/>
      </c>
      <c r="BB156" s="6" t="str">
        <f t="array" ref="BB156">_xlfn.IFNA((INDEX('DMR 001C TIN &amp; TP'!$A$3:$M$10005,MATCH(('Reg 85'!$AQ$6&amp;'Reg 85'!BB$10&amp;'Reg 85'!$B156),('DMR 001C TIN &amp; TP'!$E$3:$E$10005&amp;'DMR 001C TIN &amp; TP'!$B$3:$B$10005&amp;'DMR 001C TIN &amp; TP'!$A$3:$A$10005),0),MATCH('Reg 85'!$AG$11,'DMR 001C TIN &amp; TP'!$A$2:$M$2,0))),"")</f>
        <v/>
      </c>
      <c r="BC156" s="6" t="str">
        <f t="array" ref="BC156">_xlfn.IFNA((INDEX('DMR 001C TIN &amp; TP'!$A$3:$M$10005,MATCH(('Reg 85'!$AQ$6&amp;'Reg 85'!BC$10&amp;'Reg 85'!$B156),('DMR 001C TIN &amp; TP'!$E$3:$E$10005&amp;'DMR 001C TIN &amp; TP'!$B$3:$B$10005&amp;'DMR 001C TIN &amp; TP'!$A$3:$A$10005),0),MATCH('Reg 85'!$AG$11,'DMR 001C TIN &amp; TP'!$A$2:$M$2,0))),"")</f>
        <v/>
      </c>
      <c r="BD156" s="6" t="str">
        <f t="array" ref="BD156">_xlfn.IFNA((INDEX('DMR 001C TIN &amp; TP'!$A$3:$M$10005,MATCH(('Reg 85'!$AQ$6&amp;'Reg 85'!BD$10&amp;'Reg 85'!$B156),('DMR 001C TIN &amp; TP'!$E$3:$E$10005&amp;'DMR 001C TIN &amp; TP'!$B$3:$B$10005&amp;'DMR 001C TIN &amp; TP'!$A$3:$A$10005),0),MATCH('Reg 85'!$AG$11,'DMR 001C TIN &amp; TP'!$A$2:$M$2,0))),"")</f>
        <v/>
      </c>
      <c r="BE156" s="6" t="str">
        <f t="array" ref="BE156">_xlfn.IFNA((INDEX('DMR 001C TIN &amp; TP'!$A$3:$M$10005,MATCH(('Reg 85'!$AQ$6&amp;'Reg 85'!BE$10&amp;'Reg 85'!$B156),('DMR 001C TIN &amp; TP'!$E$3:$E$10005&amp;'DMR 001C TIN &amp; TP'!$B$3:$B$10005&amp;'DMR 001C TIN &amp; TP'!$A$3:$A$10005),0),MATCH('Reg 85'!$AG$11,'DMR 001C TIN &amp; TP'!$A$2:$M$2,0))),"")</f>
        <v/>
      </c>
      <c r="BF156" s="6" t="str">
        <f t="array" ref="BF156">_xlfn.IFNA((INDEX('DMR 001C TIN &amp; TP'!$A$3:$M$10005,MATCH(('Reg 85'!$AQ$6&amp;'Reg 85'!BF$10&amp;'Reg 85'!$B156),('DMR 001C TIN &amp; TP'!$E$3:$E$10005&amp;'DMR 001C TIN &amp; TP'!$B$3:$B$10005&amp;'DMR 001C TIN &amp; TP'!$A$3:$A$10005),0),MATCH('Reg 85'!$AG$11,'DMR 001C TIN &amp; TP'!$A$2:$M$2,0))),"")</f>
        <v/>
      </c>
    </row>
    <row r="157" spans="1:58">
      <c r="A157" s="3" t="str">
        <f t="shared" si="63"/>
        <v>Thu</v>
      </c>
      <c r="B157" s="96">
        <f t="shared" si="79"/>
        <v>43489</v>
      </c>
      <c r="C157" s="96">
        <f t="shared" si="64"/>
        <v>43496</v>
      </c>
      <c r="D157" s="96">
        <f t="shared" si="65"/>
        <v>43466</v>
      </c>
      <c r="E157" s="95">
        <f t="shared" si="66"/>
        <v>31</v>
      </c>
      <c r="F157" s="7">
        <f t="array" ref="F157">_xlfn.IFNA(INDEX('DMR Flows-Effluent'!$A$3:$F$9999,MATCH(($F$10&amp;$B157),('DMR Flows-Effluent'!$B$3:$B$9999&amp;'DMR Flows-Effluent'!$A$3:$A$9999),0),MATCH($F$8,'DMR Flows-Effluent'!$A$2:$F$2,0)),"")</f>
        <v>44.831800000000001</v>
      </c>
      <c r="G157" s="7">
        <f t="array" ref="G157">_xlfn.IFNA(INDEX('DMR Flows-Effluent'!$A$3:$F$9999,MATCH(($G$10&amp;$B157),('DMR Flows-Effluent'!$B$3:$B$9999&amp;'DMR Flows-Effluent'!$A$3:$A$9999),0),MATCH($F$8,'DMR Flows-Effluent'!$A$2:$F$2,0)),"")</f>
        <v>72.694900000000004</v>
      </c>
      <c r="H157" s="7">
        <f t="shared" si="67"/>
        <v>117.52670000000001</v>
      </c>
      <c r="I157" s="45" t="str">
        <f t="shared" si="68"/>
        <v/>
      </c>
      <c r="J157" s="6" t="str">
        <f t="array" ref="J157">_xlfn.IFNA((INDEX('DMR 001C TIN &amp; TP'!$A$3:$M$10005,MATCH(('Reg 85'!$I$6:$Q$6&amp;'Reg 85'!$I$10:$K$10&amp;'Reg 85'!$B157),('DMR 001C TIN &amp; TP'!$E$3:$E$10005&amp;'DMR 001C TIN &amp; TP'!$B$3:$B$10005&amp;'DMR 001C TIN &amp; TP'!$A$3:$A$10005),0),MATCH('Reg 85'!$J$11,'DMR 001C TIN &amp; TP'!$A$2:$M$2,0))),"")</f>
        <v/>
      </c>
      <c r="K157" s="6" t="str">
        <f t="array" ref="K157">_xlfn.IFNA((INDEX('DMR 001C TIN &amp; TP'!$A$3:$M$10005,MATCH(('Reg 85'!$I$6:$Q$6&amp;'Reg 85'!$I$10:$K$10&amp;'Reg 85'!$B157),('DMR 001C TIN &amp; TP'!$E$3:$E$10005&amp;'DMR 001C TIN &amp; TP'!$B$3:$B$10005&amp;'DMR 001C TIN &amp; TP'!$A$3:$A$10005),0),MATCH('Reg 85'!$K$11,'DMR 001C TIN &amp; TP'!$A$2:$M$2,0))),"")</f>
        <v/>
      </c>
      <c r="L157" s="53" t="str">
        <f t="shared" si="80"/>
        <v/>
      </c>
      <c r="M157" s="5" t="str">
        <f t="shared" si="69"/>
        <v/>
      </c>
      <c r="N157" s="6" t="str">
        <f t="array" ref="N157">_xlfn.IFNA((INDEX('DMR 001C TIN &amp; TP'!$A$3:$M$10005,MATCH(('Reg 85'!$I$6:$Q$6&amp;'Reg 85'!$M$10&amp;'Reg 85'!$B157),('DMR 001C TIN &amp; TP'!$E$3:$E$10005&amp;'DMR 001C TIN &amp; TP'!$B$3:$B$10005&amp;'DMR 001C TIN &amp; TP'!$A$3:$A$10005),0),MATCH('Reg 85'!$N$11,'DMR 001C TIN &amp; TP'!$A$2:$M$2,0))),"")</f>
        <v/>
      </c>
      <c r="O157" s="6" t="str">
        <f t="array" ref="O157">_xlfn.IFNA((INDEX('DMR 001C TIN &amp; TP'!$A$3:$M$10005,MATCH(('Reg 85'!$I$6:$Q$6&amp;'Reg 85'!$M$10&amp;'Reg 85'!$B157),('DMR 001C TIN &amp; TP'!$E$3:$E$10005&amp;'DMR 001C TIN &amp; TP'!$B$3:$B$10005&amp;'DMR 001C TIN &amp; TP'!$A$3:$A$10005),0),MATCH('Reg 85'!$O$11,'DMR 001C TIN &amp; TP'!$A$2:$M$2,0))),"")</f>
        <v/>
      </c>
      <c r="P157" s="53" t="str">
        <f t="shared" si="70"/>
        <v/>
      </c>
      <c r="Q157" s="73" t="str">
        <f t="array" ref="Q157">IFERROR(((L157*$F157)+(P157*$G157))/($H157),"")</f>
        <v/>
      </c>
      <c r="R157" s="6" t="str">
        <f t="array" ref="R157">_xlfn.IFNA((INDEX('DMR 001C TIN &amp; TP'!$A$3:$M$10005,MATCH(('Reg 85'!$I$6:$Q$6&amp;'Reg 85'!R$10&amp;'Reg 85'!$B157),('DMR 001C TIN &amp; TP'!$E$3:$E$10005&amp;'DMR 001C TIN &amp; TP'!$B$3:$B$10005&amp;'DMR 001C TIN &amp; TP'!$A$3:$A$10005),0),MATCH('Reg 85'!$O$11,'DMR 001C TIN &amp; TP'!$A$2:$M$2,0))),"")</f>
        <v/>
      </c>
      <c r="S157" s="6" t="str">
        <f t="array" ref="S157">_xlfn.IFNA((INDEX('DMR 001C TIN &amp; TP'!$A$3:$M$10005,MATCH(('Reg 85'!$I$6:$Q$6&amp;'Reg 85'!S$10&amp;'Reg 85'!$B157),('DMR 001C TIN &amp; TP'!$E$3:$E$10005&amp;'DMR 001C TIN &amp; TP'!$B$3:$B$10005&amp;'DMR 001C TIN &amp; TP'!$A$3:$A$10005),0),MATCH('Reg 85'!$O$11,'DMR 001C TIN &amp; TP'!$A$2:$M$2,0))),"")</f>
        <v/>
      </c>
      <c r="T157" s="6" t="str">
        <f t="array" ref="T157">_xlfn.IFNA((INDEX('DMR 001C TIN &amp; TP'!$A$3:$M$10005,MATCH(('Reg 85'!$I$6:$Q$6&amp;'Reg 85'!T$10&amp;'Reg 85'!$B157),('DMR 001C TIN &amp; TP'!$E$3:$E$10005&amp;'DMR 001C TIN &amp; TP'!$B$3:$B$10005&amp;'DMR 001C TIN &amp; TP'!$A$3:$A$10005),0),MATCH('Reg 85'!$O$11,'DMR 001C TIN &amp; TP'!$A$2:$M$2,0))),"")</f>
        <v/>
      </c>
      <c r="U157" s="6" t="str">
        <f t="array" ref="U157">_xlfn.IFNA((INDEX('DMR 001C TIN &amp; TP'!$A$3:$M$10005,MATCH(('Reg 85'!$I$6:$Q$6&amp;'Reg 85'!U$10&amp;'Reg 85'!$B157),('DMR 001C TIN &amp; TP'!$E$3:$E$10005&amp;'DMR 001C TIN &amp; TP'!$B$3:$B$10005&amp;'DMR 001C TIN &amp; TP'!$A$3:$A$10005),0),MATCH('Reg 85'!$O$11,'DMR 001C TIN &amp; TP'!$A$2:$M$2,0))),"")</f>
        <v/>
      </c>
      <c r="V157" s="6" t="str">
        <f t="array" ref="V157">_xlfn.IFNA((INDEX('DMR 001C TIN &amp; TP'!$A$3:$M$10005,MATCH(('Reg 85'!$I$6:$Q$6&amp;'Reg 85'!V$10&amp;'Reg 85'!$B157),('DMR 001C TIN &amp; TP'!$E$3:$E$10005&amp;'DMR 001C TIN &amp; TP'!$B$3:$B$10005&amp;'DMR 001C TIN &amp; TP'!$A$3:$A$10005),0),MATCH('Reg 85'!$O$11,'DMR 001C TIN &amp; TP'!$A$2:$M$2,0))),"")</f>
        <v/>
      </c>
      <c r="W157" s="6" t="str">
        <f t="array" ref="W157">_xlfn.IFNA((INDEX('DMR 001C TIN &amp; TP'!$A$3:$M$10005,MATCH(('Reg 85'!$I$6:$Q$6&amp;'Reg 85'!W$10&amp;'Reg 85'!$B157),('DMR 001C TIN &amp; TP'!$E$3:$E$10005&amp;'DMR 001C TIN &amp; TP'!$B$3:$B$10005&amp;'DMR 001C TIN &amp; TP'!$A$3:$A$10005),0),MATCH('Reg 85'!$O$11,'DMR 001C TIN &amp; TP'!$A$2:$M$2,0))),"")</f>
        <v/>
      </c>
      <c r="X157" s="5" t="str">
        <f t="shared" si="71"/>
        <v/>
      </c>
      <c r="Y157" s="6" t="str">
        <f t="array" ref="Y157">_xlfn.IFNA((INDEX('DMR 001C TIN &amp; TP'!$A$3:$M$10005,MATCH(('Reg 85'!$X$6&amp;'Reg 85'!$X$10&amp;'Reg 85'!$B157),('DMR 001C TIN &amp; TP'!$E$3:$E$10005&amp;'DMR 001C TIN &amp; TP'!$B$3:$B$10005&amp;'DMR 001C TIN &amp; TP'!$A$3:$A$10005),0),MATCH('Reg 85'!$Y$11,'DMR 001C TIN &amp; TP'!$A$2:$M$2,0))),"")</f>
        <v/>
      </c>
      <c r="Z157" s="6" t="str">
        <f t="array" ref="Z157">_xlfn.IFNA((INDEX('DMR 001C TIN &amp; TP'!$A$3:$M$10005,MATCH(('Reg 85'!$X$6&amp;'Reg 85'!$X$10&amp;'Reg 85'!$B157),('DMR 001C TIN &amp; TP'!$E$3:$E$10005&amp;'DMR 001C TIN &amp; TP'!$B$3:$B$10005&amp;'DMR 001C TIN &amp; TP'!$A$3:$A$10005),0),MATCH('Reg 85'!$Z$11,'DMR 001C TIN &amp; TP'!$A$2:$M$2,0))),"")</f>
        <v/>
      </c>
      <c r="AA157" s="53" t="str">
        <f t="shared" si="72"/>
        <v/>
      </c>
      <c r="AB157" s="5" t="str">
        <f t="shared" si="73"/>
        <v/>
      </c>
      <c r="AC157" s="6" t="str">
        <f t="array" ref="AC157">_xlfn.IFNA((INDEX('DMR 001C TIN &amp; TP'!$A$3:$M$10005,MATCH(('Reg 85'!$X$6&amp;'Reg 85'!$AB$10&amp;'Reg 85'!$B157),('DMR 001C TIN &amp; TP'!$E$3:$E$10005&amp;'DMR 001C TIN &amp; TP'!$B$3:$B$10005&amp;'DMR 001C TIN &amp; TP'!$A$3:$A$10005),0),MATCH('Reg 85'!$AC$11,'DMR 001C TIN &amp; TP'!$A$2:$M$2,0))),"")</f>
        <v/>
      </c>
      <c r="AD157" s="6" t="str">
        <f t="array" ref="AD157">_xlfn.IFNA((INDEX('DMR 001C TIN &amp; TP'!$A$3:$M$10005,MATCH(('Reg 85'!$X$6&amp;'Reg 85'!$AB$10&amp;'Reg 85'!$B157),('DMR 001C TIN &amp; TP'!$E$3:$E$10005&amp;'DMR 001C TIN &amp; TP'!$B$3:$B$10005&amp;'DMR 001C TIN &amp; TP'!$A$3:$A$10005),0),MATCH('Reg 85'!$AD$11,'DMR 001C TIN &amp; TP'!$A$2:$M$2,0))),"")</f>
        <v/>
      </c>
      <c r="AE157" s="53" t="str">
        <f t="shared" si="74"/>
        <v/>
      </c>
      <c r="AF157" s="7" t="str">
        <f t="shared" si="75"/>
        <v/>
      </c>
      <c r="AG157" s="6" t="str">
        <f t="array" ref="AG157">_xlfn.IFNA((INDEX('DMR 001C TIN &amp; TP'!$A$3:$M$10005,MATCH(('Reg 85'!$X$6&amp;'Reg 85'!AG$10&amp;'Reg 85'!$B157),('DMR 001C TIN &amp; TP'!$E$3:$E$10005&amp;'DMR 001C TIN &amp; TP'!$B$3:$B$10005&amp;'DMR 001C TIN &amp; TP'!$A$3:$A$10005),0),MATCH('Reg 85'!$AG$11,'DMR 001C TIN &amp; TP'!$A$2:$M$2,0))),"")</f>
        <v/>
      </c>
      <c r="AH157" s="6" t="str">
        <f t="array" ref="AH157">_xlfn.IFNA((INDEX('DMR 001C TIN &amp; TP'!$A$3:$M$10005,MATCH(('Reg 85'!$X$6&amp;'Reg 85'!AH$10&amp;'Reg 85'!$B157),('DMR 001C TIN &amp; TP'!$E$3:$E$10005&amp;'DMR 001C TIN &amp; TP'!$B$3:$B$10005&amp;'DMR 001C TIN &amp; TP'!$A$3:$A$10005),0),MATCH('Reg 85'!$AG$11,'DMR 001C TIN &amp; TP'!$A$2:$M$2,0))),"")</f>
        <v/>
      </c>
      <c r="AI157" s="6" t="str">
        <f t="array" ref="AI157">_xlfn.IFNA((INDEX('DMR 001C TIN &amp; TP'!$A$3:$M$10005,MATCH(('Reg 85'!$X$6&amp;'Reg 85'!AI$10&amp;'Reg 85'!$B157),('DMR 001C TIN &amp; TP'!$E$3:$E$10005&amp;'DMR 001C TIN &amp; TP'!$B$3:$B$10005&amp;'DMR 001C TIN &amp; TP'!$A$3:$A$10005),0),MATCH('Reg 85'!$AG$11,'DMR 001C TIN &amp; TP'!$A$2:$M$2,0))),"")</f>
        <v/>
      </c>
      <c r="AJ157" s="6" t="str">
        <f t="array" ref="AJ157">_xlfn.IFNA((INDEX('DMR 001C TIN &amp; TP'!$A$3:$M$10005,MATCH(('Reg 85'!$X$6&amp;'Reg 85'!AJ$10&amp;'Reg 85'!$B157),('DMR 001C TIN &amp; TP'!$E$3:$E$10005&amp;'DMR 001C TIN &amp; TP'!$B$3:$B$10005&amp;'DMR 001C TIN &amp; TP'!$A$3:$A$10005),0),MATCH('Reg 85'!$AG$11,'DMR 001C TIN &amp; TP'!$A$2:$M$2,0))),"")</f>
        <v/>
      </c>
      <c r="AK157" s="6" t="str">
        <f t="array" ref="AK157">_xlfn.IFNA((INDEX('DMR 001C TIN &amp; TP'!$A$3:$M$10005,MATCH(('Reg 85'!$X$6&amp;'Reg 85'!AK$10&amp;'Reg 85'!$B157),('DMR 001C TIN &amp; TP'!$E$3:$E$10005&amp;'DMR 001C TIN &amp; TP'!$B$3:$B$10005&amp;'DMR 001C TIN &amp; TP'!$A$3:$A$10005),0),MATCH('Reg 85'!$AG$11,'DMR 001C TIN &amp; TP'!$A$2:$M$2,0))),"")</f>
        <v/>
      </c>
      <c r="AL157" s="6" t="str">
        <f t="array" ref="AL157">_xlfn.IFNA((INDEX('DMR 001C TIN &amp; TP'!$A$3:$M$10005,MATCH(('Reg 85'!$X$6&amp;'Reg 85'!AL$10&amp;'Reg 85'!$B157),('DMR 001C TIN &amp; TP'!$E$3:$E$10005&amp;'DMR 001C TIN &amp; TP'!$B$3:$B$10005&amp;'DMR 001C TIN &amp; TP'!$A$3:$A$10005),0),MATCH('Reg 85'!$AG$11,'DMR 001C TIN &amp; TP'!$A$2:$M$2,0))),"")</f>
        <v/>
      </c>
      <c r="AM157" s="76"/>
      <c r="AN157" s="6"/>
      <c r="AO157" s="54" t="str">
        <f t="shared" si="62"/>
        <v/>
      </c>
      <c r="AP157" s="77" t="str">
        <f t="shared" si="60"/>
        <v/>
      </c>
      <c r="AQ157" s="47"/>
      <c r="AR157" s="6" t="str">
        <f t="array" ref="AR157">_xlfn.IFNA((INDEX('DMR 001C TIN &amp; TP'!$A$3:$M$10005,MATCH(('Reg 85'!$AQ$6&amp;'Reg 85'!$AQ$10&amp;'Reg 85'!$B157),('DMR 001C TIN &amp; TP'!$E$3:$E$10005&amp;'DMR 001C TIN &amp; TP'!$B$3:$B$10005&amp;'DMR 001C TIN &amp; TP'!$A$3:$A$10005),0),MATCH('Reg 85'!$AR$11,'DMR 001C TIN &amp; TP'!$A$2:$M$2,0))),"")</f>
        <v>0.03</v>
      </c>
      <c r="AS157" s="6">
        <f t="array" ref="AS157">_xlfn.IFNA((INDEX('DMR 001C TIN &amp; TP'!$A$3:$M$10005,MATCH(('Reg 85'!$AQ$6&amp;'Reg 85'!$AQ$10&amp;'Reg 85'!$B157),('DMR 001C TIN &amp; TP'!$E$3:$E$10005&amp;'DMR 001C TIN &amp; TP'!$B$3:$B$10005&amp;'DMR 001C TIN &amp; TP'!$A$3:$A$10005),0),MATCH('Reg 85'!$AS$11,'DMR 001C TIN &amp; TP'!$A$2:$M$2,0))),"")</f>
        <v>0.49</v>
      </c>
      <c r="AT157" s="53">
        <f t="shared" si="76"/>
        <v>0.49</v>
      </c>
      <c r="AV157" s="6" t="str">
        <f t="array" ref="AV157">_xlfn.IFNA((INDEX('DMR 001C TIN &amp; TP'!$A$3:$M$10005,MATCH(('Reg 85'!$AQ$6&amp;'Reg 85'!$AU$10&amp;'Reg 85'!$B157),('DMR 001C TIN &amp; TP'!$E$3:$E$10005&amp;'DMR 001C TIN &amp; TP'!$B$3:$B$10005&amp;'DMR 001C TIN &amp; TP'!$A$3:$A$10005),0),MATCH('Reg 85'!$AV$11,'DMR 001C TIN &amp; TP'!$A$2:$M$2,0))),"")</f>
        <v>0.03</v>
      </c>
      <c r="AW157" s="6">
        <f t="array" ref="AW157">_xlfn.IFNA((INDEX('DMR 001C TIN &amp; TP'!$A$3:$M$10005,MATCH(('Reg 85'!$AQ$6&amp;'Reg 85'!$AU$10&amp;'Reg 85'!$B157),('DMR 001C TIN &amp; TP'!$E$3:$E$10005&amp;'DMR 001C TIN &amp; TP'!$B$3:$B$10005&amp;'DMR 001C TIN &amp; TP'!$A$3:$A$10005),0),MATCH('Reg 85'!$AW$11,'DMR 001C TIN &amp; TP'!$A$2:$M$2,0))),"")</f>
        <v>2.0499999999999998</v>
      </c>
      <c r="AX157" s="53">
        <f t="shared" si="77"/>
        <v>2.0499999999999998</v>
      </c>
      <c r="AY157" s="55">
        <f t="shared" si="78"/>
        <v>1.4549215369784056</v>
      </c>
      <c r="AZ157" s="77" t="str">
        <f t="shared" si="61"/>
        <v/>
      </c>
      <c r="BA157" s="6" t="str">
        <f t="array" ref="BA157">_xlfn.IFNA((INDEX('DMR 001C TIN &amp; TP'!$A$3:$M$10005,MATCH(('Reg 85'!$AQ$6&amp;'Reg 85'!BA$10&amp;'Reg 85'!$B157),('DMR 001C TIN &amp; TP'!$E$3:$E$10005&amp;'DMR 001C TIN &amp; TP'!$B$3:$B$10005&amp;'DMR 001C TIN &amp; TP'!$A$3:$A$10005),0),MATCH('Reg 85'!$AG$11,'DMR 001C TIN &amp; TP'!$A$2:$M$2,0))),"")</f>
        <v/>
      </c>
      <c r="BB157" s="6" t="str">
        <f t="array" ref="BB157">_xlfn.IFNA((INDEX('DMR 001C TIN &amp; TP'!$A$3:$M$10005,MATCH(('Reg 85'!$AQ$6&amp;'Reg 85'!BB$10&amp;'Reg 85'!$B157),('DMR 001C TIN &amp; TP'!$E$3:$E$10005&amp;'DMR 001C TIN &amp; TP'!$B$3:$B$10005&amp;'DMR 001C TIN &amp; TP'!$A$3:$A$10005),0),MATCH('Reg 85'!$AG$11,'DMR 001C TIN &amp; TP'!$A$2:$M$2,0))),"")</f>
        <v/>
      </c>
      <c r="BC157" s="6" t="str">
        <f t="array" ref="BC157">_xlfn.IFNA((INDEX('DMR 001C TIN &amp; TP'!$A$3:$M$10005,MATCH(('Reg 85'!$AQ$6&amp;'Reg 85'!BC$10&amp;'Reg 85'!$B157),('DMR 001C TIN &amp; TP'!$E$3:$E$10005&amp;'DMR 001C TIN &amp; TP'!$B$3:$B$10005&amp;'DMR 001C TIN &amp; TP'!$A$3:$A$10005),0),MATCH('Reg 85'!$AG$11,'DMR 001C TIN &amp; TP'!$A$2:$M$2,0))),"")</f>
        <v/>
      </c>
      <c r="BD157" s="6" t="str">
        <f t="array" ref="BD157">_xlfn.IFNA((INDEX('DMR 001C TIN &amp; TP'!$A$3:$M$10005,MATCH(('Reg 85'!$AQ$6&amp;'Reg 85'!BD$10&amp;'Reg 85'!$B157),('DMR 001C TIN &amp; TP'!$E$3:$E$10005&amp;'DMR 001C TIN &amp; TP'!$B$3:$B$10005&amp;'DMR 001C TIN &amp; TP'!$A$3:$A$10005),0),MATCH('Reg 85'!$AG$11,'DMR 001C TIN &amp; TP'!$A$2:$M$2,0))),"")</f>
        <v/>
      </c>
      <c r="BE157" s="6" t="str">
        <f t="array" ref="BE157">_xlfn.IFNA((INDEX('DMR 001C TIN &amp; TP'!$A$3:$M$10005,MATCH(('Reg 85'!$AQ$6&amp;'Reg 85'!BE$10&amp;'Reg 85'!$B157),('DMR 001C TIN &amp; TP'!$E$3:$E$10005&amp;'DMR 001C TIN &amp; TP'!$B$3:$B$10005&amp;'DMR 001C TIN &amp; TP'!$A$3:$A$10005),0),MATCH('Reg 85'!$AG$11,'DMR 001C TIN &amp; TP'!$A$2:$M$2,0))),"")</f>
        <v/>
      </c>
      <c r="BF157" s="6" t="str">
        <f t="array" ref="BF157">_xlfn.IFNA((INDEX('DMR 001C TIN &amp; TP'!$A$3:$M$10005,MATCH(('Reg 85'!$AQ$6&amp;'Reg 85'!BF$10&amp;'Reg 85'!$B157),('DMR 001C TIN &amp; TP'!$E$3:$E$10005&amp;'DMR 001C TIN &amp; TP'!$B$3:$B$10005&amp;'DMR 001C TIN &amp; TP'!$A$3:$A$10005),0),MATCH('Reg 85'!$AG$11,'DMR 001C TIN &amp; TP'!$A$2:$M$2,0))),"")</f>
        <v/>
      </c>
    </row>
    <row r="158" spans="1:58">
      <c r="A158" s="3" t="str">
        <f t="shared" si="63"/>
        <v>Fri</v>
      </c>
      <c r="B158" s="96">
        <f t="shared" si="79"/>
        <v>43490</v>
      </c>
      <c r="C158" s="96">
        <f t="shared" si="64"/>
        <v>43496</v>
      </c>
      <c r="D158" s="96">
        <f t="shared" si="65"/>
        <v>43466</v>
      </c>
      <c r="E158" s="95">
        <f t="shared" si="66"/>
        <v>31</v>
      </c>
      <c r="F158" s="7">
        <f t="array" ref="F158">_xlfn.IFNA(INDEX('DMR Flows-Effluent'!$A$3:$F$9999,MATCH(($F$10&amp;$B158),('DMR Flows-Effluent'!$B$3:$B$9999&amp;'DMR Flows-Effluent'!$A$3:$A$9999),0),MATCH($F$8,'DMR Flows-Effluent'!$A$2:$F$2,0)),"")</f>
        <v>55.061100000000003</v>
      </c>
      <c r="G158" s="7">
        <f t="array" ref="G158">_xlfn.IFNA(INDEX('DMR Flows-Effluent'!$A$3:$F$9999,MATCH(($G$10&amp;$B158),('DMR Flows-Effluent'!$B$3:$B$9999&amp;'DMR Flows-Effluent'!$A$3:$A$9999),0),MATCH($F$8,'DMR Flows-Effluent'!$A$2:$F$2,0)),"")</f>
        <v>64.467100000000002</v>
      </c>
      <c r="H158" s="7">
        <f t="shared" si="67"/>
        <v>119.5282</v>
      </c>
      <c r="I158" s="45" t="str">
        <f t="shared" si="68"/>
        <v/>
      </c>
      <c r="J158" s="6" t="str">
        <f t="array" ref="J158">_xlfn.IFNA((INDEX('DMR 001C TIN &amp; TP'!$A$3:$M$10005,MATCH(('Reg 85'!$I$6:$Q$6&amp;'Reg 85'!$I$10:$K$10&amp;'Reg 85'!$B158),('DMR 001C TIN &amp; TP'!$E$3:$E$10005&amp;'DMR 001C TIN &amp; TP'!$B$3:$B$10005&amp;'DMR 001C TIN &amp; TP'!$A$3:$A$10005),0),MATCH('Reg 85'!$J$11,'DMR 001C TIN &amp; TP'!$A$2:$M$2,0))),"")</f>
        <v/>
      </c>
      <c r="K158" s="6" t="str">
        <f t="array" ref="K158">_xlfn.IFNA((INDEX('DMR 001C TIN &amp; TP'!$A$3:$M$10005,MATCH(('Reg 85'!$I$6:$Q$6&amp;'Reg 85'!$I$10:$K$10&amp;'Reg 85'!$B158),('DMR 001C TIN &amp; TP'!$E$3:$E$10005&amp;'DMR 001C TIN &amp; TP'!$B$3:$B$10005&amp;'DMR 001C TIN &amp; TP'!$A$3:$A$10005),0),MATCH('Reg 85'!$K$11,'DMR 001C TIN &amp; TP'!$A$2:$M$2,0))),"")</f>
        <v/>
      </c>
      <c r="L158" s="53" t="str">
        <f t="shared" si="80"/>
        <v/>
      </c>
      <c r="M158" s="5" t="str">
        <f t="shared" si="69"/>
        <v/>
      </c>
      <c r="N158" s="6" t="str">
        <f t="array" ref="N158">_xlfn.IFNA((INDEX('DMR 001C TIN &amp; TP'!$A$3:$M$10005,MATCH(('Reg 85'!$I$6:$Q$6&amp;'Reg 85'!$M$10&amp;'Reg 85'!$B158),('DMR 001C TIN &amp; TP'!$E$3:$E$10005&amp;'DMR 001C TIN &amp; TP'!$B$3:$B$10005&amp;'DMR 001C TIN &amp; TP'!$A$3:$A$10005),0),MATCH('Reg 85'!$N$11,'DMR 001C TIN &amp; TP'!$A$2:$M$2,0))),"")</f>
        <v/>
      </c>
      <c r="O158" s="6" t="str">
        <f t="array" ref="O158">_xlfn.IFNA((INDEX('DMR 001C TIN &amp; TP'!$A$3:$M$10005,MATCH(('Reg 85'!$I$6:$Q$6&amp;'Reg 85'!$M$10&amp;'Reg 85'!$B158),('DMR 001C TIN &amp; TP'!$E$3:$E$10005&amp;'DMR 001C TIN &amp; TP'!$B$3:$B$10005&amp;'DMR 001C TIN &amp; TP'!$A$3:$A$10005),0),MATCH('Reg 85'!$O$11,'DMR 001C TIN &amp; TP'!$A$2:$M$2,0))),"")</f>
        <v/>
      </c>
      <c r="P158" s="53" t="str">
        <f t="shared" si="70"/>
        <v/>
      </c>
      <c r="Q158" s="73" t="str">
        <f t="array" ref="Q158">IFERROR(((L158*$F158)+(P158*$G158))/($H158),"")</f>
        <v/>
      </c>
      <c r="R158" s="6" t="str">
        <f t="array" ref="R158">_xlfn.IFNA((INDEX('DMR 001C TIN &amp; TP'!$A$3:$M$10005,MATCH(('Reg 85'!$I$6:$Q$6&amp;'Reg 85'!R$10&amp;'Reg 85'!$B158),('DMR 001C TIN &amp; TP'!$E$3:$E$10005&amp;'DMR 001C TIN &amp; TP'!$B$3:$B$10005&amp;'DMR 001C TIN &amp; TP'!$A$3:$A$10005),0),MATCH('Reg 85'!$O$11,'DMR 001C TIN &amp; TP'!$A$2:$M$2,0))),"")</f>
        <v/>
      </c>
      <c r="S158" s="6" t="str">
        <f t="array" ref="S158">_xlfn.IFNA((INDEX('DMR 001C TIN &amp; TP'!$A$3:$M$10005,MATCH(('Reg 85'!$I$6:$Q$6&amp;'Reg 85'!S$10&amp;'Reg 85'!$B158),('DMR 001C TIN &amp; TP'!$E$3:$E$10005&amp;'DMR 001C TIN &amp; TP'!$B$3:$B$10005&amp;'DMR 001C TIN &amp; TP'!$A$3:$A$10005),0),MATCH('Reg 85'!$O$11,'DMR 001C TIN &amp; TP'!$A$2:$M$2,0))),"")</f>
        <v/>
      </c>
      <c r="T158" s="6" t="str">
        <f t="array" ref="T158">_xlfn.IFNA((INDEX('DMR 001C TIN &amp; TP'!$A$3:$M$10005,MATCH(('Reg 85'!$I$6:$Q$6&amp;'Reg 85'!T$10&amp;'Reg 85'!$B158),('DMR 001C TIN &amp; TP'!$E$3:$E$10005&amp;'DMR 001C TIN &amp; TP'!$B$3:$B$10005&amp;'DMR 001C TIN &amp; TP'!$A$3:$A$10005),0),MATCH('Reg 85'!$O$11,'DMR 001C TIN &amp; TP'!$A$2:$M$2,0))),"")</f>
        <v/>
      </c>
      <c r="U158" s="6" t="str">
        <f t="array" ref="U158">_xlfn.IFNA((INDEX('DMR 001C TIN &amp; TP'!$A$3:$M$10005,MATCH(('Reg 85'!$I$6:$Q$6&amp;'Reg 85'!U$10&amp;'Reg 85'!$B158),('DMR 001C TIN &amp; TP'!$E$3:$E$10005&amp;'DMR 001C TIN &amp; TP'!$B$3:$B$10005&amp;'DMR 001C TIN &amp; TP'!$A$3:$A$10005),0),MATCH('Reg 85'!$O$11,'DMR 001C TIN &amp; TP'!$A$2:$M$2,0))),"")</f>
        <v/>
      </c>
      <c r="V158" s="6" t="str">
        <f t="array" ref="V158">_xlfn.IFNA((INDEX('DMR 001C TIN &amp; TP'!$A$3:$M$10005,MATCH(('Reg 85'!$I$6:$Q$6&amp;'Reg 85'!V$10&amp;'Reg 85'!$B158),('DMR 001C TIN &amp; TP'!$E$3:$E$10005&amp;'DMR 001C TIN &amp; TP'!$B$3:$B$10005&amp;'DMR 001C TIN &amp; TP'!$A$3:$A$10005),0),MATCH('Reg 85'!$O$11,'DMR 001C TIN &amp; TP'!$A$2:$M$2,0))),"")</f>
        <v/>
      </c>
      <c r="W158" s="6" t="str">
        <f t="array" ref="W158">_xlfn.IFNA((INDEX('DMR 001C TIN &amp; TP'!$A$3:$M$10005,MATCH(('Reg 85'!$I$6:$Q$6&amp;'Reg 85'!W$10&amp;'Reg 85'!$B158),('DMR 001C TIN &amp; TP'!$E$3:$E$10005&amp;'DMR 001C TIN &amp; TP'!$B$3:$B$10005&amp;'DMR 001C TIN &amp; TP'!$A$3:$A$10005),0),MATCH('Reg 85'!$O$11,'DMR 001C TIN &amp; TP'!$A$2:$M$2,0))),"")</f>
        <v/>
      </c>
      <c r="X158" s="5" t="str">
        <f t="shared" si="71"/>
        <v/>
      </c>
      <c r="Y158" s="6" t="str">
        <f t="array" ref="Y158">_xlfn.IFNA((INDEX('DMR 001C TIN &amp; TP'!$A$3:$M$10005,MATCH(('Reg 85'!$X$6&amp;'Reg 85'!$X$10&amp;'Reg 85'!$B158),('DMR 001C TIN &amp; TP'!$E$3:$E$10005&amp;'DMR 001C TIN &amp; TP'!$B$3:$B$10005&amp;'DMR 001C TIN &amp; TP'!$A$3:$A$10005),0),MATCH('Reg 85'!$Y$11,'DMR 001C TIN &amp; TP'!$A$2:$M$2,0))),"")</f>
        <v/>
      </c>
      <c r="Z158" s="6" t="str">
        <f t="array" ref="Z158">_xlfn.IFNA((INDEX('DMR 001C TIN &amp; TP'!$A$3:$M$10005,MATCH(('Reg 85'!$X$6&amp;'Reg 85'!$X$10&amp;'Reg 85'!$B158),('DMR 001C TIN &amp; TP'!$E$3:$E$10005&amp;'DMR 001C TIN &amp; TP'!$B$3:$B$10005&amp;'DMR 001C TIN &amp; TP'!$A$3:$A$10005),0),MATCH('Reg 85'!$Z$11,'DMR 001C TIN &amp; TP'!$A$2:$M$2,0))),"")</f>
        <v/>
      </c>
      <c r="AA158" s="53" t="str">
        <f t="shared" si="72"/>
        <v/>
      </c>
      <c r="AB158" s="5" t="str">
        <f t="shared" si="73"/>
        <v/>
      </c>
      <c r="AC158" s="6" t="str">
        <f t="array" ref="AC158">_xlfn.IFNA((INDEX('DMR 001C TIN &amp; TP'!$A$3:$M$10005,MATCH(('Reg 85'!$X$6&amp;'Reg 85'!$AB$10&amp;'Reg 85'!$B158),('DMR 001C TIN &amp; TP'!$E$3:$E$10005&amp;'DMR 001C TIN &amp; TP'!$B$3:$B$10005&amp;'DMR 001C TIN &amp; TP'!$A$3:$A$10005),0),MATCH('Reg 85'!$AC$11,'DMR 001C TIN &amp; TP'!$A$2:$M$2,0))),"")</f>
        <v/>
      </c>
      <c r="AD158" s="6" t="str">
        <f t="array" ref="AD158">_xlfn.IFNA((INDEX('DMR 001C TIN &amp; TP'!$A$3:$M$10005,MATCH(('Reg 85'!$X$6&amp;'Reg 85'!$AB$10&amp;'Reg 85'!$B158),('DMR 001C TIN &amp; TP'!$E$3:$E$10005&amp;'DMR 001C TIN &amp; TP'!$B$3:$B$10005&amp;'DMR 001C TIN &amp; TP'!$A$3:$A$10005),0),MATCH('Reg 85'!$AD$11,'DMR 001C TIN &amp; TP'!$A$2:$M$2,0))),"")</f>
        <v/>
      </c>
      <c r="AE158" s="53" t="str">
        <f t="shared" si="74"/>
        <v/>
      </c>
      <c r="AF158" s="7" t="str">
        <f t="shared" si="75"/>
        <v/>
      </c>
      <c r="AG158" s="6" t="str">
        <f t="array" ref="AG158">_xlfn.IFNA((INDEX('DMR 001C TIN &amp; TP'!$A$3:$M$10005,MATCH(('Reg 85'!$X$6&amp;'Reg 85'!AG$10&amp;'Reg 85'!$B158),('DMR 001C TIN &amp; TP'!$E$3:$E$10005&amp;'DMR 001C TIN &amp; TP'!$B$3:$B$10005&amp;'DMR 001C TIN &amp; TP'!$A$3:$A$10005),0),MATCH('Reg 85'!$AG$11,'DMR 001C TIN &amp; TP'!$A$2:$M$2,0))),"")</f>
        <v/>
      </c>
      <c r="AH158" s="6" t="str">
        <f t="array" ref="AH158">_xlfn.IFNA((INDEX('DMR 001C TIN &amp; TP'!$A$3:$M$10005,MATCH(('Reg 85'!$X$6&amp;'Reg 85'!AH$10&amp;'Reg 85'!$B158),('DMR 001C TIN &amp; TP'!$E$3:$E$10005&amp;'DMR 001C TIN &amp; TP'!$B$3:$B$10005&amp;'DMR 001C TIN &amp; TP'!$A$3:$A$10005),0),MATCH('Reg 85'!$AG$11,'DMR 001C TIN &amp; TP'!$A$2:$M$2,0))),"")</f>
        <v/>
      </c>
      <c r="AI158" s="6" t="str">
        <f t="array" ref="AI158">_xlfn.IFNA((INDEX('DMR 001C TIN &amp; TP'!$A$3:$M$10005,MATCH(('Reg 85'!$X$6&amp;'Reg 85'!AI$10&amp;'Reg 85'!$B158),('DMR 001C TIN &amp; TP'!$E$3:$E$10005&amp;'DMR 001C TIN &amp; TP'!$B$3:$B$10005&amp;'DMR 001C TIN &amp; TP'!$A$3:$A$10005),0),MATCH('Reg 85'!$AG$11,'DMR 001C TIN &amp; TP'!$A$2:$M$2,0))),"")</f>
        <v/>
      </c>
      <c r="AJ158" s="6" t="str">
        <f t="array" ref="AJ158">_xlfn.IFNA((INDEX('DMR 001C TIN &amp; TP'!$A$3:$M$10005,MATCH(('Reg 85'!$X$6&amp;'Reg 85'!AJ$10&amp;'Reg 85'!$B158),('DMR 001C TIN &amp; TP'!$E$3:$E$10005&amp;'DMR 001C TIN &amp; TP'!$B$3:$B$10005&amp;'DMR 001C TIN &amp; TP'!$A$3:$A$10005),0),MATCH('Reg 85'!$AG$11,'DMR 001C TIN &amp; TP'!$A$2:$M$2,0))),"")</f>
        <v/>
      </c>
      <c r="AK158" s="6" t="str">
        <f t="array" ref="AK158">_xlfn.IFNA((INDEX('DMR 001C TIN &amp; TP'!$A$3:$M$10005,MATCH(('Reg 85'!$X$6&amp;'Reg 85'!AK$10&amp;'Reg 85'!$B158),('DMR 001C TIN &amp; TP'!$E$3:$E$10005&amp;'DMR 001C TIN &amp; TP'!$B$3:$B$10005&amp;'DMR 001C TIN &amp; TP'!$A$3:$A$10005),0),MATCH('Reg 85'!$AG$11,'DMR 001C TIN &amp; TP'!$A$2:$M$2,0))),"")</f>
        <v/>
      </c>
      <c r="AL158" s="6" t="str">
        <f t="array" ref="AL158">_xlfn.IFNA((INDEX('DMR 001C TIN &amp; TP'!$A$3:$M$10005,MATCH(('Reg 85'!$X$6&amp;'Reg 85'!AL$10&amp;'Reg 85'!$B158),('DMR 001C TIN &amp; TP'!$E$3:$E$10005&amp;'DMR 001C TIN &amp; TP'!$B$3:$B$10005&amp;'DMR 001C TIN &amp; TP'!$A$3:$A$10005),0),MATCH('Reg 85'!$AG$11,'DMR 001C TIN &amp; TP'!$A$2:$M$2,0))),"")</f>
        <v/>
      </c>
      <c r="AM158" s="76"/>
      <c r="AN158" s="6"/>
      <c r="AO158" s="54" t="str">
        <f t="shared" si="62"/>
        <v/>
      </c>
      <c r="AP158" s="77" t="str">
        <f t="shared" si="60"/>
        <v/>
      </c>
      <c r="AQ158" s="47"/>
      <c r="AR158" s="6" t="str">
        <f t="array" ref="AR158">_xlfn.IFNA((INDEX('DMR 001C TIN &amp; TP'!$A$3:$M$10005,MATCH(('Reg 85'!$AQ$6&amp;'Reg 85'!$AQ$10&amp;'Reg 85'!$B158),('DMR 001C TIN &amp; TP'!$E$3:$E$10005&amp;'DMR 001C TIN &amp; TP'!$B$3:$B$10005&amp;'DMR 001C TIN &amp; TP'!$A$3:$A$10005),0),MATCH('Reg 85'!$AR$11,'DMR 001C TIN &amp; TP'!$A$2:$M$2,0))),"")</f>
        <v/>
      </c>
      <c r="AS158" s="6" t="str">
        <f t="array" ref="AS158">_xlfn.IFNA((INDEX('DMR 001C TIN &amp; TP'!$A$3:$M$10005,MATCH(('Reg 85'!$AQ$6&amp;'Reg 85'!$AQ$10&amp;'Reg 85'!$B158),('DMR 001C TIN &amp; TP'!$E$3:$E$10005&amp;'DMR 001C TIN &amp; TP'!$B$3:$B$10005&amp;'DMR 001C TIN &amp; TP'!$A$3:$A$10005),0),MATCH('Reg 85'!$AS$11,'DMR 001C TIN &amp; TP'!$A$2:$M$2,0))),"")</f>
        <v/>
      </c>
      <c r="AT158" s="53" t="str">
        <f t="shared" si="76"/>
        <v/>
      </c>
      <c r="AV158" s="6" t="str">
        <f t="array" ref="AV158">_xlfn.IFNA((INDEX('DMR 001C TIN &amp; TP'!$A$3:$M$10005,MATCH(('Reg 85'!$AQ$6&amp;'Reg 85'!$AU$10&amp;'Reg 85'!$B158),('DMR 001C TIN &amp; TP'!$E$3:$E$10005&amp;'DMR 001C TIN &amp; TP'!$B$3:$B$10005&amp;'DMR 001C TIN &amp; TP'!$A$3:$A$10005),0),MATCH('Reg 85'!$AV$11,'DMR 001C TIN &amp; TP'!$A$2:$M$2,0))),"")</f>
        <v/>
      </c>
      <c r="AW158" s="6" t="str">
        <f t="array" ref="AW158">_xlfn.IFNA((INDEX('DMR 001C TIN &amp; TP'!$A$3:$M$10005,MATCH(('Reg 85'!$AQ$6&amp;'Reg 85'!$AU$10&amp;'Reg 85'!$B158),('DMR 001C TIN &amp; TP'!$E$3:$E$10005&amp;'DMR 001C TIN &amp; TP'!$B$3:$B$10005&amp;'DMR 001C TIN &amp; TP'!$A$3:$A$10005),0),MATCH('Reg 85'!$AW$11,'DMR 001C TIN &amp; TP'!$A$2:$M$2,0))),"")</f>
        <v/>
      </c>
      <c r="AX158" s="53" t="str">
        <f t="shared" si="77"/>
        <v/>
      </c>
      <c r="AY158" s="55" t="str">
        <f t="shared" si="78"/>
        <v/>
      </c>
      <c r="AZ158" s="77" t="str">
        <f t="shared" si="61"/>
        <v/>
      </c>
      <c r="BA158" s="6" t="str">
        <f t="array" ref="BA158">_xlfn.IFNA((INDEX('DMR 001C TIN &amp; TP'!$A$3:$M$10005,MATCH(('Reg 85'!$AQ$6&amp;'Reg 85'!BA$10&amp;'Reg 85'!$B158),('DMR 001C TIN &amp; TP'!$E$3:$E$10005&amp;'DMR 001C TIN &amp; TP'!$B$3:$B$10005&amp;'DMR 001C TIN &amp; TP'!$A$3:$A$10005),0),MATCH('Reg 85'!$AG$11,'DMR 001C TIN &amp; TP'!$A$2:$M$2,0))),"")</f>
        <v/>
      </c>
      <c r="BB158" s="6" t="str">
        <f t="array" ref="BB158">_xlfn.IFNA((INDEX('DMR 001C TIN &amp; TP'!$A$3:$M$10005,MATCH(('Reg 85'!$AQ$6&amp;'Reg 85'!BB$10&amp;'Reg 85'!$B158),('DMR 001C TIN &amp; TP'!$E$3:$E$10005&amp;'DMR 001C TIN &amp; TP'!$B$3:$B$10005&amp;'DMR 001C TIN &amp; TP'!$A$3:$A$10005),0),MATCH('Reg 85'!$AG$11,'DMR 001C TIN &amp; TP'!$A$2:$M$2,0))),"")</f>
        <v/>
      </c>
      <c r="BC158" s="6" t="str">
        <f t="array" ref="BC158">_xlfn.IFNA((INDEX('DMR 001C TIN &amp; TP'!$A$3:$M$10005,MATCH(('Reg 85'!$AQ$6&amp;'Reg 85'!BC$10&amp;'Reg 85'!$B158),('DMR 001C TIN &amp; TP'!$E$3:$E$10005&amp;'DMR 001C TIN &amp; TP'!$B$3:$B$10005&amp;'DMR 001C TIN &amp; TP'!$A$3:$A$10005),0),MATCH('Reg 85'!$AG$11,'DMR 001C TIN &amp; TP'!$A$2:$M$2,0))),"")</f>
        <v/>
      </c>
      <c r="BD158" s="6" t="str">
        <f t="array" ref="BD158">_xlfn.IFNA((INDEX('DMR 001C TIN &amp; TP'!$A$3:$M$10005,MATCH(('Reg 85'!$AQ$6&amp;'Reg 85'!BD$10&amp;'Reg 85'!$B158),('DMR 001C TIN &amp; TP'!$E$3:$E$10005&amp;'DMR 001C TIN &amp; TP'!$B$3:$B$10005&amp;'DMR 001C TIN &amp; TP'!$A$3:$A$10005),0),MATCH('Reg 85'!$AG$11,'DMR 001C TIN &amp; TP'!$A$2:$M$2,0))),"")</f>
        <v/>
      </c>
      <c r="BE158" s="6" t="str">
        <f t="array" ref="BE158">_xlfn.IFNA((INDEX('DMR 001C TIN &amp; TP'!$A$3:$M$10005,MATCH(('Reg 85'!$AQ$6&amp;'Reg 85'!BE$10&amp;'Reg 85'!$B158),('DMR 001C TIN &amp; TP'!$E$3:$E$10005&amp;'DMR 001C TIN &amp; TP'!$B$3:$B$10005&amp;'DMR 001C TIN &amp; TP'!$A$3:$A$10005),0),MATCH('Reg 85'!$AG$11,'DMR 001C TIN &amp; TP'!$A$2:$M$2,0))),"")</f>
        <v/>
      </c>
      <c r="BF158" s="6" t="str">
        <f t="array" ref="BF158">_xlfn.IFNA((INDEX('DMR 001C TIN &amp; TP'!$A$3:$M$10005,MATCH(('Reg 85'!$AQ$6&amp;'Reg 85'!BF$10&amp;'Reg 85'!$B158),('DMR 001C TIN &amp; TP'!$E$3:$E$10005&amp;'DMR 001C TIN &amp; TP'!$B$3:$B$10005&amp;'DMR 001C TIN &amp; TP'!$A$3:$A$10005),0),MATCH('Reg 85'!$AG$11,'DMR 001C TIN &amp; TP'!$A$2:$M$2,0))),"")</f>
        <v/>
      </c>
    </row>
    <row r="159" spans="1:58">
      <c r="A159" s="3" t="str">
        <f t="shared" si="63"/>
        <v>Sat</v>
      </c>
      <c r="B159" s="96">
        <f t="shared" si="79"/>
        <v>43491</v>
      </c>
      <c r="C159" s="96">
        <f t="shared" si="64"/>
        <v>43496</v>
      </c>
      <c r="D159" s="96">
        <f t="shared" si="65"/>
        <v>43466</v>
      </c>
      <c r="E159" s="95">
        <f t="shared" si="66"/>
        <v>31</v>
      </c>
      <c r="F159" s="7">
        <f t="array" ref="F159">_xlfn.IFNA(INDEX('DMR Flows-Effluent'!$A$3:$F$9999,MATCH(($F$10&amp;$B159),('DMR Flows-Effluent'!$B$3:$B$9999&amp;'DMR Flows-Effluent'!$A$3:$A$9999),0),MATCH($F$8,'DMR Flows-Effluent'!$A$2:$F$2,0)),"")</f>
        <v>51.386400000000002</v>
      </c>
      <c r="G159" s="7">
        <f t="array" ref="G159">_xlfn.IFNA(INDEX('DMR Flows-Effluent'!$A$3:$F$9999,MATCH(($G$10&amp;$B159),('DMR Flows-Effluent'!$B$3:$B$9999&amp;'DMR Flows-Effluent'!$A$3:$A$9999),0),MATCH($F$8,'DMR Flows-Effluent'!$A$2:$F$2,0)),"")</f>
        <v>68.254400000000004</v>
      </c>
      <c r="H159" s="7">
        <f t="shared" si="67"/>
        <v>119.64080000000001</v>
      </c>
      <c r="I159" s="45" t="str">
        <f t="shared" si="68"/>
        <v/>
      </c>
      <c r="J159" s="6" t="str">
        <f t="array" ref="J159">_xlfn.IFNA((INDEX('DMR 001C TIN &amp; TP'!$A$3:$M$10005,MATCH(('Reg 85'!$I$6:$Q$6&amp;'Reg 85'!$I$10:$K$10&amp;'Reg 85'!$B159),('DMR 001C TIN &amp; TP'!$E$3:$E$10005&amp;'DMR 001C TIN &amp; TP'!$B$3:$B$10005&amp;'DMR 001C TIN &amp; TP'!$A$3:$A$10005),0),MATCH('Reg 85'!$J$11,'DMR 001C TIN &amp; TP'!$A$2:$M$2,0))),"")</f>
        <v/>
      </c>
      <c r="K159" s="6" t="str">
        <f t="array" ref="K159">_xlfn.IFNA((INDEX('DMR 001C TIN &amp; TP'!$A$3:$M$10005,MATCH(('Reg 85'!$I$6:$Q$6&amp;'Reg 85'!$I$10:$K$10&amp;'Reg 85'!$B159),('DMR 001C TIN &amp; TP'!$E$3:$E$10005&amp;'DMR 001C TIN &amp; TP'!$B$3:$B$10005&amp;'DMR 001C TIN &amp; TP'!$A$3:$A$10005),0),MATCH('Reg 85'!$K$11,'DMR 001C TIN &amp; TP'!$A$2:$M$2,0))),"")</f>
        <v/>
      </c>
      <c r="L159" s="53" t="str">
        <f t="shared" si="80"/>
        <v/>
      </c>
      <c r="M159" s="5" t="str">
        <f t="shared" si="69"/>
        <v/>
      </c>
      <c r="N159" s="6" t="str">
        <f t="array" ref="N159">_xlfn.IFNA((INDEX('DMR 001C TIN &amp; TP'!$A$3:$M$10005,MATCH(('Reg 85'!$I$6:$Q$6&amp;'Reg 85'!$M$10&amp;'Reg 85'!$B159),('DMR 001C TIN &amp; TP'!$E$3:$E$10005&amp;'DMR 001C TIN &amp; TP'!$B$3:$B$10005&amp;'DMR 001C TIN &amp; TP'!$A$3:$A$10005),0),MATCH('Reg 85'!$N$11,'DMR 001C TIN &amp; TP'!$A$2:$M$2,0))),"")</f>
        <v/>
      </c>
      <c r="O159" s="6" t="str">
        <f t="array" ref="O159">_xlfn.IFNA((INDEX('DMR 001C TIN &amp; TP'!$A$3:$M$10005,MATCH(('Reg 85'!$I$6:$Q$6&amp;'Reg 85'!$M$10&amp;'Reg 85'!$B159),('DMR 001C TIN &amp; TP'!$E$3:$E$10005&amp;'DMR 001C TIN &amp; TP'!$B$3:$B$10005&amp;'DMR 001C TIN &amp; TP'!$A$3:$A$10005),0),MATCH('Reg 85'!$O$11,'DMR 001C TIN &amp; TP'!$A$2:$M$2,0))),"")</f>
        <v/>
      </c>
      <c r="P159" s="53" t="str">
        <f t="shared" si="70"/>
        <v/>
      </c>
      <c r="Q159" s="73" t="str">
        <f t="array" ref="Q159">IFERROR(((L159*$F159)+(P159*$G159))/($H159),"")</f>
        <v/>
      </c>
      <c r="R159" s="6" t="str">
        <f t="array" ref="R159">_xlfn.IFNA((INDEX('DMR 001C TIN &amp; TP'!$A$3:$M$10005,MATCH(('Reg 85'!$I$6:$Q$6&amp;'Reg 85'!R$10&amp;'Reg 85'!$B159),('DMR 001C TIN &amp; TP'!$E$3:$E$10005&amp;'DMR 001C TIN &amp; TP'!$B$3:$B$10005&amp;'DMR 001C TIN &amp; TP'!$A$3:$A$10005),0),MATCH('Reg 85'!$O$11,'DMR 001C TIN &amp; TP'!$A$2:$M$2,0))),"")</f>
        <v/>
      </c>
      <c r="S159" s="6" t="str">
        <f t="array" ref="S159">_xlfn.IFNA((INDEX('DMR 001C TIN &amp; TP'!$A$3:$M$10005,MATCH(('Reg 85'!$I$6:$Q$6&amp;'Reg 85'!S$10&amp;'Reg 85'!$B159),('DMR 001C TIN &amp; TP'!$E$3:$E$10005&amp;'DMR 001C TIN &amp; TP'!$B$3:$B$10005&amp;'DMR 001C TIN &amp; TP'!$A$3:$A$10005),0),MATCH('Reg 85'!$O$11,'DMR 001C TIN &amp; TP'!$A$2:$M$2,0))),"")</f>
        <v/>
      </c>
      <c r="T159" s="6" t="str">
        <f t="array" ref="T159">_xlfn.IFNA((INDEX('DMR 001C TIN &amp; TP'!$A$3:$M$10005,MATCH(('Reg 85'!$I$6:$Q$6&amp;'Reg 85'!T$10&amp;'Reg 85'!$B159),('DMR 001C TIN &amp; TP'!$E$3:$E$10005&amp;'DMR 001C TIN &amp; TP'!$B$3:$B$10005&amp;'DMR 001C TIN &amp; TP'!$A$3:$A$10005),0),MATCH('Reg 85'!$O$11,'DMR 001C TIN &amp; TP'!$A$2:$M$2,0))),"")</f>
        <v/>
      </c>
      <c r="U159" s="6" t="str">
        <f t="array" ref="U159">_xlfn.IFNA((INDEX('DMR 001C TIN &amp; TP'!$A$3:$M$10005,MATCH(('Reg 85'!$I$6:$Q$6&amp;'Reg 85'!U$10&amp;'Reg 85'!$B159),('DMR 001C TIN &amp; TP'!$E$3:$E$10005&amp;'DMR 001C TIN &amp; TP'!$B$3:$B$10005&amp;'DMR 001C TIN &amp; TP'!$A$3:$A$10005),0),MATCH('Reg 85'!$O$11,'DMR 001C TIN &amp; TP'!$A$2:$M$2,0))),"")</f>
        <v/>
      </c>
      <c r="V159" s="6" t="str">
        <f t="array" ref="V159">_xlfn.IFNA((INDEX('DMR 001C TIN &amp; TP'!$A$3:$M$10005,MATCH(('Reg 85'!$I$6:$Q$6&amp;'Reg 85'!V$10&amp;'Reg 85'!$B159),('DMR 001C TIN &amp; TP'!$E$3:$E$10005&amp;'DMR 001C TIN &amp; TP'!$B$3:$B$10005&amp;'DMR 001C TIN &amp; TP'!$A$3:$A$10005),0),MATCH('Reg 85'!$O$11,'DMR 001C TIN &amp; TP'!$A$2:$M$2,0))),"")</f>
        <v/>
      </c>
      <c r="W159" s="6" t="str">
        <f t="array" ref="W159">_xlfn.IFNA((INDEX('DMR 001C TIN &amp; TP'!$A$3:$M$10005,MATCH(('Reg 85'!$I$6:$Q$6&amp;'Reg 85'!W$10&amp;'Reg 85'!$B159),('DMR 001C TIN &amp; TP'!$E$3:$E$10005&amp;'DMR 001C TIN &amp; TP'!$B$3:$B$10005&amp;'DMR 001C TIN &amp; TP'!$A$3:$A$10005),0),MATCH('Reg 85'!$O$11,'DMR 001C TIN &amp; TP'!$A$2:$M$2,0))),"")</f>
        <v/>
      </c>
      <c r="X159" s="5" t="str">
        <f t="shared" si="71"/>
        <v/>
      </c>
      <c r="Y159" s="6" t="str">
        <f t="array" ref="Y159">_xlfn.IFNA((INDEX('DMR 001C TIN &amp; TP'!$A$3:$M$10005,MATCH(('Reg 85'!$X$6&amp;'Reg 85'!$X$10&amp;'Reg 85'!$B159),('DMR 001C TIN &amp; TP'!$E$3:$E$10005&amp;'DMR 001C TIN &amp; TP'!$B$3:$B$10005&amp;'DMR 001C TIN &amp; TP'!$A$3:$A$10005),0),MATCH('Reg 85'!$Y$11,'DMR 001C TIN &amp; TP'!$A$2:$M$2,0))),"")</f>
        <v/>
      </c>
      <c r="Z159" s="6" t="str">
        <f t="array" ref="Z159">_xlfn.IFNA((INDEX('DMR 001C TIN &amp; TP'!$A$3:$M$10005,MATCH(('Reg 85'!$X$6&amp;'Reg 85'!$X$10&amp;'Reg 85'!$B159),('DMR 001C TIN &amp; TP'!$E$3:$E$10005&amp;'DMR 001C TIN &amp; TP'!$B$3:$B$10005&amp;'DMR 001C TIN &amp; TP'!$A$3:$A$10005),0),MATCH('Reg 85'!$Z$11,'DMR 001C TIN &amp; TP'!$A$2:$M$2,0))),"")</f>
        <v/>
      </c>
      <c r="AA159" s="53" t="str">
        <f t="shared" si="72"/>
        <v/>
      </c>
      <c r="AB159" s="5" t="str">
        <f t="shared" si="73"/>
        <v/>
      </c>
      <c r="AC159" s="6" t="str">
        <f t="array" ref="AC159">_xlfn.IFNA((INDEX('DMR 001C TIN &amp; TP'!$A$3:$M$10005,MATCH(('Reg 85'!$X$6&amp;'Reg 85'!$AB$10&amp;'Reg 85'!$B159),('DMR 001C TIN &amp; TP'!$E$3:$E$10005&amp;'DMR 001C TIN &amp; TP'!$B$3:$B$10005&amp;'DMR 001C TIN &amp; TP'!$A$3:$A$10005),0),MATCH('Reg 85'!$AC$11,'DMR 001C TIN &amp; TP'!$A$2:$M$2,0))),"")</f>
        <v/>
      </c>
      <c r="AD159" s="6" t="str">
        <f t="array" ref="AD159">_xlfn.IFNA((INDEX('DMR 001C TIN &amp; TP'!$A$3:$M$10005,MATCH(('Reg 85'!$X$6&amp;'Reg 85'!$AB$10&amp;'Reg 85'!$B159),('DMR 001C TIN &amp; TP'!$E$3:$E$10005&amp;'DMR 001C TIN &amp; TP'!$B$3:$B$10005&amp;'DMR 001C TIN &amp; TP'!$A$3:$A$10005),0),MATCH('Reg 85'!$AD$11,'DMR 001C TIN &amp; TP'!$A$2:$M$2,0))),"")</f>
        <v/>
      </c>
      <c r="AE159" s="53" t="str">
        <f t="shared" si="74"/>
        <v/>
      </c>
      <c r="AF159" s="7" t="str">
        <f t="shared" si="75"/>
        <v/>
      </c>
      <c r="AG159" s="6" t="str">
        <f t="array" ref="AG159">_xlfn.IFNA((INDEX('DMR 001C TIN &amp; TP'!$A$3:$M$10005,MATCH(('Reg 85'!$X$6&amp;'Reg 85'!AG$10&amp;'Reg 85'!$B159),('DMR 001C TIN &amp; TP'!$E$3:$E$10005&amp;'DMR 001C TIN &amp; TP'!$B$3:$B$10005&amp;'DMR 001C TIN &amp; TP'!$A$3:$A$10005),0),MATCH('Reg 85'!$AG$11,'DMR 001C TIN &amp; TP'!$A$2:$M$2,0))),"")</f>
        <v/>
      </c>
      <c r="AH159" s="6" t="str">
        <f t="array" ref="AH159">_xlfn.IFNA((INDEX('DMR 001C TIN &amp; TP'!$A$3:$M$10005,MATCH(('Reg 85'!$X$6&amp;'Reg 85'!AH$10&amp;'Reg 85'!$B159),('DMR 001C TIN &amp; TP'!$E$3:$E$10005&amp;'DMR 001C TIN &amp; TP'!$B$3:$B$10005&amp;'DMR 001C TIN &amp; TP'!$A$3:$A$10005),0),MATCH('Reg 85'!$AG$11,'DMR 001C TIN &amp; TP'!$A$2:$M$2,0))),"")</f>
        <v/>
      </c>
      <c r="AI159" s="6" t="str">
        <f t="array" ref="AI159">_xlfn.IFNA((INDEX('DMR 001C TIN &amp; TP'!$A$3:$M$10005,MATCH(('Reg 85'!$X$6&amp;'Reg 85'!AI$10&amp;'Reg 85'!$B159),('DMR 001C TIN &amp; TP'!$E$3:$E$10005&amp;'DMR 001C TIN &amp; TP'!$B$3:$B$10005&amp;'DMR 001C TIN &amp; TP'!$A$3:$A$10005),0),MATCH('Reg 85'!$AG$11,'DMR 001C TIN &amp; TP'!$A$2:$M$2,0))),"")</f>
        <v/>
      </c>
      <c r="AJ159" s="6" t="str">
        <f t="array" ref="AJ159">_xlfn.IFNA((INDEX('DMR 001C TIN &amp; TP'!$A$3:$M$10005,MATCH(('Reg 85'!$X$6&amp;'Reg 85'!AJ$10&amp;'Reg 85'!$B159),('DMR 001C TIN &amp; TP'!$E$3:$E$10005&amp;'DMR 001C TIN &amp; TP'!$B$3:$B$10005&amp;'DMR 001C TIN &amp; TP'!$A$3:$A$10005),0),MATCH('Reg 85'!$AG$11,'DMR 001C TIN &amp; TP'!$A$2:$M$2,0))),"")</f>
        <v/>
      </c>
      <c r="AK159" s="6" t="str">
        <f t="array" ref="AK159">_xlfn.IFNA((INDEX('DMR 001C TIN &amp; TP'!$A$3:$M$10005,MATCH(('Reg 85'!$X$6&amp;'Reg 85'!AK$10&amp;'Reg 85'!$B159),('DMR 001C TIN &amp; TP'!$E$3:$E$10005&amp;'DMR 001C TIN &amp; TP'!$B$3:$B$10005&amp;'DMR 001C TIN &amp; TP'!$A$3:$A$10005),0),MATCH('Reg 85'!$AG$11,'DMR 001C TIN &amp; TP'!$A$2:$M$2,0))),"")</f>
        <v/>
      </c>
      <c r="AL159" s="6" t="str">
        <f t="array" ref="AL159">_xlfn.IFNA((INDEX('DMR 001C TIN &amp; TP'!$A$3:$M$10005,MATCH(('Reg 85'!$X$6&amp;'Reg 85'!AL$10&amp;'Reg 85'!$B159),('DMR 001C TIN &amp; TP'!$E$3:$E$10005&amp;'DMR 001C TIN &amp; TP'!$B$3:$B$10005&amp;'DMR 001C TIN &amp; TP'!$A$3:$A$10005),0),MATCH('Reg 85'!$AG$11,'DMR 001C TIN &amp; TP'!$A$2:$M$2,0))),"")</f>
        <v/>
      </c>
      <c r="AM159" s="76"/>
      <c r="AN159" s="6"/>
      <c r="AO159" s="54" t="str">
        <f t="shared" si="62"/>
        <v/>
      </c>
      <c r="AP159" s="77" t="str">
        <f t="shared" si="60"/>
        <v/>
      </c>
      <c r="AQ159" s="47"/>
      <c r="AR159" s="6" t="str">
        <f t="array" ref="AR159">_xlfn.IFNA((INDEX('DMR 001C TIN &amp; TP'!$A$3:$M$10005,MATCH(('Reg 85'!$AQ$6&amp;'Reg 85'!$AQ$10&amp;'Reg 85'!$B159),('DMR 001C TIN &amp; TP'!$E$3:$E$10005&amp;'DMR 001C TIN &amp; TP'!$B$3:$B$10005&amp;'DMR 001C TIN &amp; TP'!$A$3:$A$10005),0),MATCH('Reg 85'!$AR$11,'DMR 001C TIN &amp; TP'!$A$2:$M$2,0))),"")</f>
        <v/>
      </c>
      <c r="AS159" s="6" t="str">
        <f t="array" ref="AS159">_xlfn.IFNA((INDEX('DMR 001C TIN &amp; TP'!$A$3:$M$10005,MATCH(('Reg 85'!$AQ$6&amp;'Reg 85'!$AQ$10&amp;'Reg 85'!$B159),('DMR 001C TIN &amp; TP'!$E$3:$E$10005&amp;'DMR 001C TIN &amp; TP'!$B$3:$B$10005&amp;'DMR 001C TIN &amp; TP'!$A$3:$A$10005),0),MATCH('Reg 85'!$AS$11,'DMR 001C TIN &amp; TP'!$A$2:$M$2,0))),"")</f>
        <v/>
      </c>
      <c r="AT159" s="53" t="str">
        <f t="shared" si="76"/>
        <v/>
      </c>
      <c r="AV159" s="6" t="str">
        <f t="array" ref="AV159">_xlfn.IFNA((INDEX('DMR 001C TIN &amp; TP'!$A$3:$M$10005,MATCH(('Reg 85'!$AQ$6&amp;'Reg 85'!$AU$10&amp;'Reg 85'!$B159),('DMR 001C TIN &amp; TP'!$E$3:$E$10005&amp;'DMR 001C TIN &amp; TP'!$B$3:$B$10005&amp;'DMR 001C TIN &amp; TP'!$A$3:$A$10005),0),MATCH('Reg 85'!$AV$11,'DMR 001C TIN &amp; TP'!$A$2:$M$2,0))),"")</f>
        <v/>
      </c>
      <c r="AW159" s="6" t="str">
        <f t="array" ref="AW159">_xlfn.IFNA((INDEX('DMR 001C TIN &amp; TP'!$A$3:$M$10005,MATCH(('Reg 85'!$AQ$6&amp;'Reg 85'!$AU$10&amp;'Reg 85'!$B159),('DMR 001C TIN &amp; TP'!$E$3:$E$10005&amp;'DMR 001C TIN &amp; TP'!$B$3:$B$10005&amp;'DMR 001C TIN &amp; TP'!$A$3:$A$10005),0),MATCH('Reg 85'!$AW$11,'DMR 001C TIN &amp; TP'!$A$2:$M$2,0))),"")</f>
        <v/>
      </c>
      <c r="AX159" s="53" t="str">
        <f t="shared" si="77"/>
        <v/>
      </c>
      <c r="AY159" s="55" t="str">
        <f t="shared" si="78"/>
        <v/>
      </c>
      <c r="AZ159" s="77" t="str">
        <f t="shared" si="61"/>
        <v/>
      </c>
      <c r="BA159" s="6" t="str">
        <f t="array" ref="BA159">_xlfn.IFNA((INDEX('DMR 001C TIN &amp; TP'!$A$3:$M$10005,MATCH(('Reg 85'!$AQ$6&amp;'Reg 85'!BA$10&amp;'Reg 85'!$B159),('DMR 001C TIN &amp; TP'!$E$3:$E$10005&amp;'DMR 001C TIN &amp; TP'!$B$3:$B$10005&amp;'DMR 001C TIN &amp; TP'!$A$3:$A$10005),0),MATCH('Reg 85'!$AG$11,'DMR 001C TIN &amp; TP'!$A$2:$M$2,0))),"")</f>
        <v/>
      </c>
      <c r="BB159" s="6" t="str">
        <f t="array" ref="BB159">_xlfn.IFNA((INDEX('DMR 001C TIN &amp; TP'!$A$3:$M$10005,MATCH(('Reg 85'!$AQ$6&amp;'Reg 85'!BB$10&amp;'Reg 85'!$B159),('DMR 001C TIN &amp; TP'!$E$3:$E$10005&amp;'DMR 001C TIN &amp; TP'!$B$3:$B$10005&amp;'DMR 001C TIN &amp; TP'!$A$3:$A$10005),0),MATCH('Reg 85'!$AG$11,'DMR 001C TIN &amp; TP'!$A$2:$M$2,0))),"")</f>
        <v/>
      </c>
      <c r="BC159" s="6" t="str">
        <f t="array" ref="BC159">_xlfn.IFNA((INDEX('DMR 001C TIN &amp; TP'!$A$3:$M$10005,MATCH(('Reg 85'!$AQ$6&amp;'Reg 85'!BC$10&amp;'Reg 85'!$B159),('DMR 001C TIN &amp; TP'!$E$3:$E$10005&amp;'DMR 001C TIN &amp; TP'!$B$3:$B$10005&amp;'DMR 001C TIN &amp; TP'!$A$3:$A$10005),0),MATCH('Reg 85'!$AG$11,'DMR 001C TIN &amp; TP'!$A$2:$M$2,0))),"")</f>
        <v/>
      </c>
      <c r="BD159" s="6" t="str">
        <f t="array" ref="BD159">_xlfn.IFNA((INDEX('DMR 001C TIN &amp; TP'!$A$3:$M$10005,MATCH(('Reg 85'!$AQ$6&amp;'Reg 85'!BD$10&amp;'Reg 85'!$B159),('DMR 001C TIN &amp; TP'!$E$3:$E$10005&amp;'DMR 001C TIN &amp; TP'!$B$3:$B$10005&amp;'DMR 001C TIN &amp; TP'!$A$3:$A$10005),0),MATCH('Reg 85'!$AG$11,'DMR 001C TIN &amp; TP'!$A$2:$M$2,0))),"")</f>
        <v/>
      </c>
      <c r="BE159" s="6" t="str">
        <f t="array" ref="BE159">_xlfn.IFNA((INDEX('DMR 001C TIN &amp; TP'!$A$3:$M$10005,MATCH(('Reg 85'!$AQ$6&amp;'Reg 85'!BE$10&amp;'Reg 85'!$B159),('DMR 001C TIN &amp; TP'!$E$3:$E$10005&amp;'DMR 001C TIN &amp; TP'!$B$3:$B$10005&amp;'DMR 001C TIN &amp; TP'!$A$3:$A$10005),0),MATCH('Reg 85'!$AG$11,'DMR 001C TIN &amp; TP'!$A$2:$M$2,0))),"")</f>
        <v/>
      </c>
      <c r="BF159" s="6" t="str">
        <f t="array" ref="BF159">_xlfn.IFNA((INDEX('DMR 001C TIN &amp; TP'!$A$3:$M$10005,MATCH(('Reg 85'!$AQ$6&amp;'Reg 85'!BF$10&amp;'Reg 85'!$B159),('DMR 001C TIN &amp; TP'!$E$3:$E$10005&amp;'DMR 001C TIN &amp; TP'!$B$3:$B$10005&amp;'DMR 001C TIN &amp; TP'!$A$3:$A$10005),0),MATCH('Reg 85'!$AG$11,'DMR 001C TIN &amp; TP'!$A$2:$M$2,0))),"")</f>
        <v/>
      </c>
    </row>
    <row r="160" spans="1:58">
      <c r="A160" s="3" t="str">
        <f t="shared" si="63"/>
        <v>Sun</v>
      </c>
      <c r="B160" s="96">
        <f t="shared" si="79"/>
        <v>43492</v>
      </c>
      <c r="C160" s="96">
        <f t="shared" si="64"/>
        <v>43496</v>
      </c>
      <c r="D160" s="96">
        <f t="shared" si="65"/>
        <v>43466</v>
      </c>
      <c r="E160" s="95">
        <f t="shared" si="66"/>
        <v>31</v>
      </c>
      <c r="F160" s="7">
        <f t="array" ref="F160">_xlfn.IFNA(INDEX('DMR Flows-Effluent'!$A$3:$F$9999,MATCH(($F$10&amp;$B160),('DMR Flows-Effluent'!$B$3:$B$9999&amp;'DMR Flows-Effluent'!$A$3:$A$9999),0),MATCH($F$8,'DMR Flows-Effluent'!$A$2:$F$2,0)),"")</f>
        <v>56.94</v>
      </c>
      <c r="G160" s="7">
        <f t="array" ref="G160">_xlfn.IFNA(INDEX('DMR Flows-Effluent'!$A$3:$F$9999,MATCH(($G$10&amp;$B160),('DMR Flows-Effluent'!$B$3:$B$9999&amp;'DMR Flows-Effluent'!$A$3:$A$9999),0),MATCH($F$8,'DMR Flows-Effluent'!$A$2:$F$2,0)),"")</f>
        <v>72.5124</v>
      </c>
      <c r="H160" s="7">
        <f t="shared" si="67"/>
        <v>129.45240000000001</v>
      </c>
      <c r="I160" s="45" t="str">
        <f t="shared" si="68"/>
        <v/>
      </c>
      <c r="J160" s="6" t="str">
        <f t="array" ref="J160">_xlfn.IFNA((INDEX('DMR 001C TIN &amp; TP'!$A$3:$M$10005,MATCH(('Reg 85'!$I$6:$Q$6&amp;'Reg 85'!$I$10:$K$10&amp;'Reg 85'!$B160),('DMR 001C TIN &amp; TP'!$E$3:$E$10005&amp;'DMR 001C TIN &amp; TP'!$B$3:$B$10005&amp;'DMR 001C TIN &amp; TP'!$A$3:$A$10005),0),MATCH('Reg 85'!$J$11,'DMR 001C TIN &amp; TP'!$A$2:$M$2,0))),"")</f>
        <v/>
      </c>
      <c r="K160" s="6" t="str">
        <f t="array" ref="K160">_xlfn.IFNA((INDEX('DMR 001C TIN &amp; TP'!$A$3:$M$10005,MATCH(('Reg 85'!$I$6:$Q$6&amp;'Reg 85'!$I$10:$K$10&amp;'Reg 85'!$B160),('DMR 001C TIN &amp; TP'!$E$3:$E$10005&amp;'DMR 001C TIN &amp; TP'!$B$3:$B$10005&amp;'DMR 001C TIN &amp; TP'!$A$3:$A$10005),0),MATCH('Reg 85'!$K$11,'DMR 001C TIN &amp; TP'!$A$2:$M$2,0))),"")</f>
        <v/>
      </c>
      <c r="L160" s="53" t="str">
        <f t="shared" si="80"/>
        <v/>
      </c>
      <c r="M160" s="5" t="str">
        <f t="shared" si="69"/>
        <v/>
      </c>
      <c r="N160" s="6" t="str">
        <f t="array" ref="N160">_xlfn.IFNA((INDEX('DMR 001C TIN &amp; TP'!$A$3:$M$10005,MATCH(('Reg 85'!$I$6:$Q$6&amp;'Reg 85'!$M$10&amp;'Reg 85'!$B160),('DMR 001C TIN &amp; TP'!$E$3:$E$10005&amp;'DMR 001C TIN &amp; TP'!$B$3:$B$10005&amp;'DMR 001C TIN &amp; TP'!$A$3:$A$10005),0),MATCH('Reg 85'!$N$11,'DMR 001C TIN &amp; TP'!$A$2:$M$2,0))),"")</f>
        <v/>
      </c>
      <c r="O160" s="6" t="str">
        <f t="array" ref="O160">_xlfn.IFNA((INDEX('DMR 001C TIN &amp; TP'!$A$3:$M$10005,MATCH(('Reg 85'!$I$6:$Q$6&amp;'Reg 85'!$M$10&amp;'Reg 85'!$B160),('DMR 001C TIN &amp; TP'!$E$3:$E$10005&amp;'DMR 001C TIN &amp; TP'!$B$3:$B$10005&amp;'DMR 001C TIN &amp; TP'!$A$3:$A$10005),0),MATCH('Reg 85'!$O$11,'DMR 001C TIN &amp; TP'!$A$2:$M$2,0))),"")</f>
        <v/>
      </c>
      <c r="P160" s="53" t="str">
        <f t="shared" si="70"/>
        <v/>
      </c>
      <c r="Q160" s="73" t="str">
        <f t="array" ref="Q160">IFERROR(((L160*$F160)+(P160*$G160))/($H160),"")</f>
        <v/>
      </c>
      <c r="R160" s="6" t="str">
        <f t="array" ref="R160">_xlfn.IFNA((INDEX('DMR 001C TIN &amp; TP'!$A$3:$M$10005,MATCH(('Reg 85'!$I$6:$Q$6&amp;'Reg 85'!R$10&amp;'Reg 85'!$B160),('DMR 001C TIN &amp; TP'!$E$3:$E$10005&amp;'DMR 001C TIN &amp; TP'!$B$3:$B$10005&amp;'DMR 001C TIN &amp; TP'!$A$3:$A$10005),0),MATCH('Reg 85'!$O$11,'DMR 001C TIN &amp; TP'!$A$2:$M$2,0))),"")</f>
        <v/>
      </c>
      <c r="S160" s="6" t="str">
        <f t="array" ref="S160">_xlfn.IFNA((INDEX('DMR 001C TIN &amp; TP'!$A$3:$M$10005,MATCH(('Reg 85'!$I$6:$Q$6&amp;'Reg 85'!S$10&amp;'Reg 85'!$B160),('DMR 001C TIN &amp; TP'!$E$3:$E$10005&amp;'DMR 001C TIN &amp; TP'!$B$3:$B$10005&amp;'DMR 001C TIN &amp; TP'!$A$3:$A$10005),0),MATCH('Reg 85'!$O$11,'DMR 001C TIN &amp; TP'!$A$2:$M$2,0))),"")</f>
        <v/>
      </c>
      <c r="T160" s="6" t="str">
        <f t="array" ref="T160">_xlfn.IFNA((INDEX('DMR 001C TIN &amp; TP'!$A$3:$M$10005,MATCH(('Reg 85'!$I$6:$Q$6&amp;'Reg 85'!T$10&amp;'Reg 85'!$B160),('DMR 001C TIN &amp; TP'!$E$3:$E$10005&amp;'DMR 001C TIN &amp; TP'!$B$3:$B$10005&amp;'DMR 001C TIN &amp; TP'!$A$3:$A$10005),0),MATCH('Reg 85'!$O$11,'DMR 001C TIN &amp; TP'!$A$2:$M$2,0))),"")</f>
        <v/>
      </c>
      <c r="U160" s="6" t="str">
        <f t="array" ref="U160">_xlfn.IFNA((INDEX('DMR 001C TIN &amp; TP'!$A$3:$M$10005,MATCH(('Reg 85'!$I$6:$Q$6&amp;'Reg 85'!U$10&amp;'Reg 85'!$B160),('DMR 001C TIN &amp; TP'!$E$3:$E$10005&amp;'DMR 001C TIN &amp; TP'!$B$3:$B$10005&amp;'DMR 001C TIN &amp; TP'!$A$3:$A$10005),0),MATCH('Reg 85'!$O$11,'DMR 001C TIN &amp; TP'!$A$2:$M$2,0))),"")</f>
        <v/>
      </c>
      <c r="V160" s="6" t="str">
        <f t="array" ref="V160">_xlfn.IFNA((INDEX('DMR 001C TIN &amp; TP'!$A$3:$M$10005,MATCH(('Reg 85'!$I$6:$Q$6&amp;'Reg 85'!V$10&amp;'Reg 85'!$B160),('DMR 001C TIN &amp; TP'!$E$3:$E$10005&amp;'DMR 001C TIN &amp; TP'!$B$3:$B$10005&amp;'DMR 001C TIN &amp; TP'!$A$3:$A$10005),0),MATCH('Reg 85'!$O$11,'DMR 001C TIN &amp; TP'!$A$2:$M$2,0))),"")</f>
        <v/>
      </c>
      <c r="W160" s="6" t="str">
        <f t="array" ref="W160">_xlfn.IFNA((INDEX('DMR 001C TIN &amp; TP'!$A$3:$M$10005,MATCH(('Reg 85'!$I$6:$Q$6&amp;'Reg 85'!W$10&amp;'Reg 85'!$B160),('DMR 001C TIN &amp; TP'!$E$3:$E$10005&amp;'DMR 001C TIN &amp; TP'!$B$3:$B$10005&amp;'DMR 001C TIN &amp; TP'!$A$3:$A$10005),0),MATCH('Reg 85'!$O$11,'DMR 001C TIN &amp; TP'!$A$2:$M$2,0))),"")</f>
        <v/>
      </c>
      <c r="X160" s="5" t="str">
        <f t="shared" si="71"/>
        <v/>
      </c>
      <c r="Y160" s="6" t="str">
        <f t="array" ref="Y160">_xlfn.IFNA((INDEX('DMR 001C TIN &amp; TP'!$A$3:$M$10005,MATCH(('Reg 85'!$X$6&amp;'Reg 85'!$X$10&amp;'Reg 85'!$B160),('DMR 001C TIN &amp; TP'!$E$3:$E$10005&amp;'DMR 001C TIN &amp; TP'!$B$3:$B$10005&amp;'DMR 001C TIN &amp; TP'!$A$3:$A$10005),0),MATCH('Reg 85'!$Y$11,'DMR 001C TIN &amp; TP'!$A$2:$M$2,0))),"")</f>
        <v/>
      </c>
      <c r="Z160" s="6" t="str">
        <f t="array" ref="Z160">_xlfn.IFNA((INDEX('DMR 001C TIN &amp; TP'!$A$3:$M$10005,MATCH(('Reg 85'!$X$6&amp;'Reg 85'!$X$10&amp;'Reg 85'!$B160),('DMR 001C TIN &amp; TP'!$E$3:$E$10005&amp;'DMR 001C TIN &amp; TP'!$B$3:$B$10005&amp;'DMR 001C TIN &amp; TP'!$A$3:$A$10005),0),MATCH('Reg 85'!$Z$11,'DMR 001C TIN &amp; TP'!$A$2:$M$2,0))),"")</f>
        <v/>
      </c>
      <c r="AA160" s="53" t="str">
        <f t="shared" si="72"/>
        <v/>
      </c>
      <c r="AB160" s="5" t="str">
        <f t="shared" si="73"/>
        <v/>
      </c>
      <c r="AC160" s="6" t="str">
        <f t="array" ref="AC160">_xlfn.IFNA((INDEX('DMR 001C TIN &amp; TP'!$A$3:$M$10005,MATCH(('Reg 85'!$X$6&amp;'Reg 85'!$AB$10&amp;'Reg 85'!$B160),('DMR 001C TIN &amp; TP'!$E$3:$E$10005&amp;'DMR 001C TIN &amp; TP'!$B$3:$B$10005&amp;'DMR 001C TIN &amp; TP'!$A$3:$A$10005),0),MATCH('Reg 85'!$AC$11,'DMR 001C TIN &amp; TP'!$A$2:$M$2,0))),"")</f>
        <v/>
      </c>
      <c r="AD160" s="6" t="str">
        <f t="array" ref="AD160">_xlfn.IFNA((INDEX('DMR 001C TIN &amp; TP'!$A$3:$M$10005,MATCH(('Reg 85'!$X$6&amp;'Reg 85'!$AB$10&amp;'Reg 85'!$B160),('DMR 001C TIN &amp; TP'!$E$3:$E$10005&amp;'DMR 001C TIN &amp; TP'!$B$3:$B$10005&amp;'DMR 001C TIN &amp; TP'!$A$3:$A$10005),0),MATCH('Reg 85'!$AD$11,'DMR 001C TIN &amp; TP'!$A$2:$M$2,0))),"")</f>
        <v/>
      </c>
      <c r="AE160" s="53" t="str">
        <f t="shared" si="74"/>
        <v/>
      </c>
      <c r="AF160" s="7" t="str">
        <f t="shared" si="75"/>
        <v/>
      </c>
      <c r="AG160" s="6" t="str">
        <f t="array" ref="AG160">_xlfn.IFNA((INDEX('DMR 001C TIN &amp; TP'!$A$3:$M$10005,MATCH(('Reg 85'!$X$6&amp;'Reg 85'!AG$10&amp;'Reg 85'!$B160),('DMR 001C TIN &amp; TP'!$E$3:$E$10005&amp;'DMR 001C TIN &amp; TP'!$B$3:$B$10005&amp;'DMR 001C TIN &amp; TP'!$A$3:$A$10005),0),MATCH('Reg 85'!$AG$11,'DMR 001C TIN &amp; TP'!$A$2:$M$2,0))),"")</f>
        <v/>
      </c>
      <c r="AH160" s="6" t="str">
        <f t="array" ref="AH160">_xlfn.IFNA((INDEX('DMR 001C TIN &amp; TP'!$A$3:$M$10005,MATCH(('Reg 85'!$X$6&amp;'Reg 85'!AH$10&amp;'Reg 85'!$B160),('DMR 001C TIN &amp; TP'!$E$3:$E$10005&amp;'DMR 001C TIN &amp; TP'!$B$3:$B$10005&amp;'DMR 001C TIN &amp; TP'!$A$3:$A$10005),0),MATCH('Reg 85'!$AG$11,'DMR 001C TIN &amp; TP'!$A$2:$M$2,0))),"")</f>
        <v/>
      </c>
      <c r="AI160" s="6" t="str">
        <f t="array" ref="AI160">_xlfn.IFNA((INDEX('DMR 001C TIN &amp; TP'!$A$3:$M$10005,MATCH(('Reg 85'!$X$6&amp;'Reg 85'!AI$10&amp;'Reg 85'!$B160),('DMR 001C TIN &amp; TP'!$E$3:$E$10005&amp;'DMR 001C TIN &amp; TP'!$B$3:$B$10005&amp;'DMR 001C TIN &amp; TP'!$A$3:$A$10005),0),MATCH('Reg 85'!$AG$11,'DMR 001C TIN &amp; TP'!$A$2:$M$2,0))),"")</f>
        <v/>
      </c>
      <c r="AJ160" s="6" t="str">
        <f t="array" ref="AJ160">_xlfn.IFNA((INDEX('DMR 001C TIN &amp; TP'!$A$3:$M$10005,MATCH(('Reg 85'!$X$6&amp;'Reg 85'!AJ$10&amp;'Reg 85'!$B160),('DMR 001C TIN &amp; TP'!$E$3:$E$10005&amp;'DMR 001C TIN &amp; TP'!$B$3:$B$10005&amp;'DMR 001C TIN &amp; TP'!$A$3:$A$10005),0),MATCH('Reg 85'!$AG$11,'DMR 001C TIN &amp; TP'!$A$2:$M$2,0))),"")</f>
        <v/>
      </c>
      <c r="AK160" s="6" t="str">
        <f t="array" ref="AK160">_xlfn.IFNA((INDEX('DMR 001C TIN &amp; TP'!$A$3:$M$10005,MATCH(('Reg 85'!$X$6&amp;'Reg 85'!AK$10&amp;'Reg 85'!$B160),('DMR 001C TIN &amp; TP'!$E$3:$E$10005&amp;'DMR 001C TIN &amp; TP'!$B$3:$B$10005&amp;'DMR 001C TIN &amp; TP'!$A$3:$A$10005),0),MATCH('Reg 85'!$AG$11,'DMR 001C TIN &amp; TP'!$A$2:$M$2,0))),"")</f>
        <v/>
      </c>
      <c r="AL160" s="6" t="str">
        <f t="array" ref="AL160">_xlfn.IFNA((INDEX('DMR 001C TIN &amp; TP'!$A$3:$M$10005,MATCH(('Reg 85'!$X$6&amp;'Reg 85'!AL$10&amp;'Reg 85'!$B160),('DMR 001C TIN &amp; TP'!$E$3:$E$10005&amp;'DMR 001C TIN &amp; TP'!$B$3:$B$10005&amp;'DMR 001C TIN &amp; TP'!$A$3:$A$10005),0),MATCH('Reg 85'!$AG$11,'DMR 001C TIN &amp; TP'!$A$2:$M$2,0))),"")</f>
        <v/>
      </c>
      <c r="AM160" s="76"/>
      <c r="AN160" s="6"/>
      <c r="AO160" s="54" t="str">
        <f t="shared" si="62"/>
        <v/>
      </c>
      <c r="AP160" s="77" t="str">
        <f t="shared" si="60"/>
        <v/>
      </c>
      <c r="AQ160" s="47"/>
      <c r="AR160" s="6" t="str">
        <f t="array" ref="AR160">_xlfn.IFNA((INDEX('DMR 001C TIN &amp; TP'!$A$3:$M$10005,MATCH(('Reg 85'!$AQ$6&amp;'Reg 85'!$AQ$10&amp;'Reg 85'!$B160),('DMR 001C TIN &amp; TP'!$E$3:$E$10005&amp;'DMR 001C TIN &amp; TP'!$B$3:$B$10005&amp;'DMR 001C TIN &amp; TP'!$A$3:$A$10005),0),MATCH('Reg 85'!$AR$11,'DMR 001C TIN &amp; TP'!$A$2:$M$2,0))),"")</f>
        <v/>
      </c>
      <c r="AS160" s="6" t="str">
        <f t="array" ref="AS160">_xlfn.IFNA((INDEX('DMR 001C TIN &amp; TP'!$A$3:$M$10005,MATCH(('Reg 85'!$AQ$6&amp;'Reg 85'!$AQ$10&amp;'Reg 85'!$B160),('DMR 001C TIN &amp; TP'!$E$3:$E$10005&amp;'DMR 001C TIN &amp; TP'!$B$3:$B$10005&amp;'DMR 001C TIN &amp; TP'!$A$3:$A$10005),0),MATCH('Reg 85'!$AS$11,'DMR 001C TIN &amp; TP'!$A$2:$M$2,0))),"")</f>
        <v/>
      </c>
      <c r="AT160" s="53" t="str">
        <f t="shared" si="76"/>
        <v/>
      </c>
      <c r="AV160" s="6" t="str">
        <f t="array" ref="AV160">_xlfn.IFNA((INDEX('DMR 001C TIN &amp; TP'!$A$3:$M$10005,MATCH(('Reg 85'!$AQ$6&amp;'Reg 85'!$AU$10&amp;'Reg 85'!$B160),('DMR 001C TIN &amp; TP'!$E$3:$E$10005&amp;'DMR 001C TIN &amp; TP'!$B$3:$B$10005&amp;'DMR 001C TIN &amp; TP'!$A$3:$A$10005),0),MATCH('Reg 85'!$AV$11,'DMR 001C TIN &amp; TP'!$A$2:$M$2,0))),"")</f>
        <v/>
      </c>
      <c r="AW160" s="6" t="str">
        <f t="array" ref="AW160">_xlfn.IFNA((INDEX('DMR 001C TIN &amp; TP'!$A$3:$M$10005,MATCH(('Reg 85'!$AQ$6&amp;'Reg 85'!$AU$10&amp;'Reg 85'!$B160),('DMR 001C TIN &amp; TP'!$E$3:$E$10005&amp;'DMR 001C TIN &amp; TP'!$B$3:$B$10005&amp;'DMR 001C TIN &amp; TP'!$A$3:$A$10005),0),MATCH('Reg 85'!$AW$11,'DMR 001C TIN &amp; TP'!$A$2:$M$2,0))),"")</f>
        <v/>
      </c>
      <c r="AX160" s="53" t="str">
        <f t="shared" si="77"/>
        <v/>
      </c>
      <c r="AY160" s="55" t="str">
        <f t="shared" si="78"/>
        <v/>
      </c>
      <c r="AZ160" s="77" t="str">
        <f t="shared" si="61"/>
        <v/>
      </c>
      <c r="BA160" s="6" t="str">
        <f t="array" ref="BA160">_xlfn.IFNA((INDEX('DMR 001C TIN &amp; TP'!$A$3:$M$10005,MATCH(('Reg 85'!$AQ$6&amp;'Reg 85'!BA$10&amp;'Reg 85'!$B160),('DMR 001C TIN &amp; TP'!$E$3:$E$10005&amp;'DMR 001C TIN &amp; TP'!$B$3:$B$10005&amp;'DMR 001C TIN &amp; TP'!$A$3:$A$10005),0),MATCH('Reg 85'!$AG$11,'DMR 001C TIN &amp; TP'!$A$2:$M$2,0))),"")</f>
        <v/>
      </c>
      <c r="BB160" s="6" t="str">
        <f t="array" ref="BB160">_xlfn.IFNA((INDEX('DMR 001C TIN &amp; TP'!$A$3:$M$10005,MATCH(('Reg 85'!$AQ$6&amp;'Reg 85'!BB$10&amp;'Reg 85'!$B160),('DMR 001C TIN &amp; TP'!$E$3:$E$10005&amp;'DMR 001C TIN &amp; TP'!$B$3:$B$10005&amp;'DMR 001C TIN &amp; TP'!$A$3:$A$10005),0),MATCH('Reg 85'!$AG$11,'DMR 001C TIN &amp; TP'!$A$2:$M$2,0))),"")</f>
        <v/>
      </c>
      <c r="BC160" s="6" t="str">
        <f t="array" ref="BC160">_xlfn.IFNA((INDEX('DMR 001C TIN &amp; TP'!$A$3:$M$10005,MATCH(('Reg 85'!$AQ$6&amp;'Reg 85'!BC$10&amp;'Reg 85'!$B160),('DMR 001C TIN &amp; TP'!$E$3:$E$10005&amp;'DMR 001C TIN &amp; TP'!$B$3:$B$10005&amp;'DMR 001C TIN &amp; TP'!$A$3:$A$10005),0),MATCH('Reg 85'!$AG$11,'DMR 001C TIN &amp; TP'!$A$2:$M$2,0))),"")</f>
        <v/>
      </c>
      <c r="BD160" s="6" t="str">
        <f t="array" ref="BD160">_xlfn.IFNA((INDEX('DMR 001C TIN &amp; TP'!$A$3:$M$10005,MATCH(('Reg 85'!$AQ$6&amp;'Reg 85'!BD$10&amp;'Reg 85'!$B160),('DMR 001C TIN &amp; TP'!$E$3:$E$10005&amp;'DMR 001C TIN &amp; TP'!$B$3:$B$10005&amp;'DMR 001C TIN &amp; TP'!$A$3:$A$10005),0),MATCH('Reg 85'!$AG$11,'DMR 001C TIN &amp; TP'!$A$2:$M$2,0))),"")</f>
        <v/>
      </c>
      <c r="BE160" s="6" t="str">
        <f t="array" ref="BE160">_xlfn.IFNA((INDEX('DMR 001C TIN &amp; TP'!$A$3:$M$10005,MATCH(('Reg 85'!$AQ$6&amp;'Reg 85'!BE$10&amp;'Reg 85'!$B160),('DMR 001C TIN &amp; TP'!$E$3:$E$10005&amp;'DMR 001C TIN &amp; TP'!$B$3:$B$10005&amp;'DMR 001C TIN &amp; TP'!$A$3:$A$10005),0),MATCH('Reg 85'!$AG$11,'DMR 001C TIN &amp; TP'!$A$2:$M$2,0))),"")</f>
        <v/>
      </c>
      <c r="BF160" s="6" t="str">
        <f t="array" ref="BF160">_xlfn.IFNA((INDEX('DMR 001C TIN &amp; TP'!$A$3:$M$10005,MATCH(('Reg 85'!$AQ$6&amp;'Reg 85'!BF$10&amp;'Reg 85'!$B160),('DMR 001C TIN &amp; TP'!$E$3:$E$10005&amp;'DMR 001C TIN &amp; TP'!$B$3:$B$10005&amp;'DMR 001C TIN &amp; TP'!$A$3:$A$10005),0),MATCH('Reg 85'!$AG$11,'DMR 001C TIN &amp; TP'!$A$2:$M$2,0))),"")</f>
        <v/>
      </c>
    </row>
    <row r="161" spans="1:58">
      <c r="A161" s="3" t="str">
        <f t="shared" si="63"/>
        <v>Mon</v>
      </c>
      <c r="B161" s="96">
        <f t="shared" si="79"/>
        <v>43493</v>
      </c>
      <c r="C161" s="96">
        <f t="shared" si="64"/>
        <v>43496</v>
      </c>
      <c r="D161" s="96">
        <f t="shared" si="65"/>
        <v>43466</v>
      </c>
      <c r="E161" s="95">
        <f t="shared" si="66"/>
        <v>31</v>
      </c>
      <c r="F161" s="7">
        <f t="array" ref="F161">_xlfn.IFNA(INDEX('DMR Flows-Effluent'!$A$3:$F$9999,MATCH(($F$10&amp;$B161),('DMR Flows-Effluent'!$B$3:$B$9999&amp;'DMR Flows-Effluent'!$A$3:$A$9999),0),MATCH($F$8,'DMR Flows-Effluent'!$A$2:$F$2,0)),"")</f>
        <v>47.919499999999999</v>
      </c>
      <c r="G161" s="7">
        <f t="array" ref="G161">_xlfn.IFNA(INDEX('DMR Flows-Effluent'!$A$3:$F$9999,MATCH(($G$10&amp;$B161),('DMR Flows-Effluent'!$B$3:$B$9999&amp;'DMR Flows-Effluent'!$A$3:$A$9999),0),MATCH($F$8,'DMR Flows-Effluent'!$A$2:$F$2,0)),"")</f>
        <v>69.434799999999996</v>
      </c>
      <c r="H161" s="7">
        <f t="shared" si="67"/>
        <v>117.35429999999999</v>
      </c>
      <c r="I161" s="45" t="str">
        <f t="shared" si="68"/>
        <v/>
      </c>
      <c r="J161" s="6" t="str">
        <f t="array" ref="J161">_xlfn.IFNA((INDEX('DMR 001C TIN &amp; TP'!$A$3:$M$10005,MATCH(('Reg 85'!$I$6:$Q$6&amp;'Reg 85'!$I$10:$K$10&amp;'Reg 85'!$B161),('DMR 001C TIN &amp; TP'!$E$3:$E$10005&amp;'DMR 001C TIN &amp; TP'!$B$3:$B$10005&amp;'DMR 001C TIN &amp; TP'!$A$3:$A$10005),0),MATCH('Reg 85'!$J$11,'DMR 001C TIN &amp; TP'!$A$2:$M$2,0))),"")</f>
        <v/>
      </c>
      <c r="K161" s="6" t="str">
        <f t="array" ref="K161">_xlfn.IFNA((INDEX('DMR 001C TIN &amp; TP'!$A$3:$M$10005,MATCH(('Reg 85'!$I$6:$Q$6&amp;'Reg 85'!$I$10:$K$10&amp;'Reg 85'!$B161),('DMR 001C TIN &amp; TP'!$E$3:$E$10005&amp;'DMR 001C TIN &amp; TP'!$B$3:$B$10005&amp;'DMR 001C TIN &amp; TP'!$A$3:$A$10005),0),MATCH('Reg 85'!$K$11,'DMR 001C TIN &amp; TP'!$A$2:$M$2,0))),"")</f>
        <v/>
      </c>
      <c r="L161" s="53" t="str">
        <f t="shared" si="80"/>
        <v/>
      </c>
      <c r="M161" s="5" t="str">
        <f t="shared" si="69"/>
        <v/>
      </c>
      <c r="N161" s="6" t="str">
        <f t="array" ref="N161">_xlfn.IFNA((INDEX('DMR 001C TIN &amp; TP'!$A$3:$M$10005,MATCH(('Reg 85'!$I$6:$Q$6&amp;'Reg 85'!$M$10&amp;'Reg 85'!$B161),('DMR 001C TIN &amp; TP'!$E$3:$E$10005&amp;'DMR 001C TIN &amp; TP'!$B$3:$B$10005&amp;'DMR 001C TIN &amp; TP'!$A$3:$A$10005),0),MATCH('Reg 85'!$N$11,'DMR 001C TIN &amp; TP'!$A$2:$M$2,0))),"")</f>
        <v/>
      </c>
      <c r="O161" s="6" t="str">
        <f t="array" ref="O161">_xlfn.IFNA((INDEX('DMR 001C TIN &amp; TP'!$A$3:$M$10005,MATCH(('Reg 85'!$I$6:$Q$6&amp;'Reg 85'!$M$10&amp;'Reg 85'!$B161),('DMR 001C TIN &amp; TP'!$E$3:$E$10005&amp;'DMR 001C TIN &amp; TP'!$B$3:$B$10005&amp;'DMR 001C TIN &amp; TP'!$A$3:$A$10005),0),MATCH('Reg 85'!$O$11,'DMR 001C TIN &amp; TP'!$A$2:$M$2,0))),"")</f>
        <v/>
      </c>
      <c r="P161" s="53" t="str">
        <f t="shared" si="70"/>
        <v/>
      </c>
      <c r="Q161" s="73" t="str">
        <f t="array" ref="Q161">IFERROR(((L161*$F161)+(P161*$G161))/($H161),"")</f>
        <v/>
      </c>
      <c r="R161" s="6" t="str">
        <f t="array" ref="R161">_xlfn.IFNA((INDEX('DMR 001C TIN &amp; TP'!$A$3:$M$10005,MATCH(('Reg 85'!$I$6:$Q$6&amp;'Reg 85'!R$10&amp;'Reg 85'!$B161),('DMR 001C TIN &amp; TP'!$E$3:$E$10005&amp;'DMR 001C TIN &amp; TP'!$B$3:$B$10005&amp;'DMR 001C TIN &amp; TP'!$A$3:$A$10005),0),MATCH('Reg 85'!$O$11,'DMR 001C TIN &amp; TP'!$A$2:$M$2,0))),"")</f>
        <v/>
      </c>
      <c r="S161" s="6" t="str">
        <f t="array" ref="S161">_xlfn.IFNA((INDEX('DMR 001C TIN &amp; TP'!$A$3:$M$10005,MATCH(('Reg 85'!$I$6:$Q$6&amp;'Reg 85'!S$10&amp;'Reg 85'!$B161),('DMR 001C TIN &amp; TP'!$E$3:$E$10005&amp;'DMR 001C TIN &amp; TP'!$B$3:$B$10005&amp;'DMR 001C TIN &amp; TP'!$A$3:$A$10005),0),MATCH('Reg 85'!$O$11,'DMR 001C TIN &amp; TP'!$A$2:$M$2,0))),"")</f>
        <v/>
      </c>
      <c r="T161" s="6" t="str">
        <f t="array" ref="T161">_xlfn.IFNA((INDEX('DMR 001C TIN &amp; TP'!$A$3:$M$10005,MATCH(('Reg 85'!$I$6:$Q$6&amp;'Reg 85'!T$10&amp;'Reg 85'!$B161),('DMR 001C TIN &amp; TP'!$E$3:$E$10005&amp;'DMR 001C TIN &amp; TP'!$B$3:$B$10005&amp;'DMR 001C TIN &amp; TP'!$A$3:$A$10005),0),MATCH('Reg 85'!$O$11,'DMR 001C TIN &amp; TP'!$A$2:$M$2,0))),"")</f>
        <v/>
      </c>
      <c r="U161" s="6" t="str">
        <f t="array" ref="U161">_xlfn.IFNA((INDEX('DMR 001C TIN &amp; TP'!$A$3:$M$10005,MATCH(('Reg 85'!$I$6:$Q$6&amp;'Reg 85'!U$10&amp;'Reg 85'!$B161),('DMR 001C TIN &amp; TP'!$E$3:$E$10005&amp;'DMR 001C TIN &amp; TP'!$B$3:$B$10005&amp;'DMR 001C TIN &amp; TP'!$A$3:$A$10005),0),MATCH('Reg 85'!$O$11,'DMR 001C TIN &amp; TP'!$A$2:$M$2,0))),"")</f>
        <v/>
      </c>
      <c r="V161" s="6" t="str">
        <f t="array" ref="V161">_xlfn.IFNA((INDEX('DMR 001C TIN &amp; TP'!$A$3:$M$10005,MATCH(('Reg 85'!$I$6:$Q$6&amp;'Reg 85'!V$10&amp;'Reg 85'!$B161),('DMR 001C TIN &amp; TP'!$E$3:$E$10005&amp;'DMR 001C TIN &amp; TP'!$B$3:$B$10005&amp;'DMR 001C TIN &amp; TP'!$A$3:$A$10005),0),MATCH('Reg 85'!$O$11,'DMR 001C TIN &amp; TP'!$A$2:$M$2,0))),"")</f>
        <v/>
      </c>
      <c r="W161" s="6" t="str">
        <f t="array" ref="W161">_xlfn.IFNA((INDEX('DMR 001C TIN &amp; TP'!$A$3:$M$10005,MATCH(('Reg 85'!$I$6:$Q$6&amp;'Reg 85'!W$10&amp;'Reg 85'!$B161),('DMR 001C TIN &amp; TP'!$E$3:$E$10005&amp;'DMR 001C TIN &amp; TP'!$B$3:$B$10005&amp;'DMR 001C TIN &amp; TP'!$A$3:$A$10005),0),MATCH('Reg 85'!$O$11,'DMR 001C TIN &amp; TP'!$A$2:$M$2,0))),"")</f>
        <v/>
      </c>
      <c r="X161" s="5" t="str">
        <f t="shared" si="71"/>
        <v/>
      </c>
      <c r="Y161" s="6" t="str">
        <f t="array" ref="Y161">_xlfn.IFNA((INDEX('DMR 001C TIN &amp; TP'!$A$3:$M$10005,MATCH(('Reg 85'!$X$6&amp;'Reg 85'!$X$10&amp;'Reg 85'!$B161),('DMR 001C TIN &amp; TP'!$E$3:$E$10005&amp;'DMR 001C TIN &amp; TP'!$B$3:$B$10005&amp;'DMR 001C TIN &amp; TP'!$A$3:$A$10005),0),MATCH('Reg 85'!$Y$11,'DMR 001C TIN &amp; TP'!$A$2:$M$2,0))),"")</f>
        <v/>
      </c>
      <c r="Z161" s="6" t="str">
        <f t="array" ref="Z161">_xlfn.IFNA((INDEX('DMR 001C TIN &amp; TP'!$A$3:$M$10005,MATCH(('Reg 85'!$X$6&amp;'Reg 85'!$X$10&amp;'Reg 85'!$B161),('DMR 001C TIN &amp; TP'!$E$3:$E$10005&amp;'DMR 001C TIN &amp; TP'!$B$3:$B$10005&amp;'DMR 001C TIN &amp; TP'!$A$3:$A$10005),0),MATCH('Reg 85'!$Z$11,'DMR 001C TIN &amp; TP'!$A$2:$M$2,0))),"")</f>
        <v/>
      </c>
      <c r="AA161" s="53" t="str">
        <f t="shared" si="72"/>
        <v/>
      </c>
      <c r="AB161" s="5" t="str">
        <f t="shared" si="73"/>
        <v/>
      </c>
      <c r="AC161" s="6" t="str">
        <f t="array" ref="AC161">_xlfn.IFNA((INDEX('DMR 001C TIN &amp; TP'!$A$3:$M$10005,MATCH(('Reg 85'!$X$6&amp;'Reg 85'!$AB$10&amp;'Reg 85'!$B161),('DMR 001C TIN &amp; TP'!$E$3:$E$10005&amp;'DMR 001C TIN &amp; TP'!$B$3:$B$10005&amp;'DMR 001C TIN &amp; TP'!$A$3:$A$10005),0),MATCH('Reg 85'!$AC$11,'DMR 001C TIN &amp; TP'!$A$2:$M$2,0))),"")</f>
        <v/>
      </c>
      <c r="AD161" s="6" t="str">
        <f t="array" ref="AD161">_xlfn.IFNA((INDEX('DMR 001C TIN &amp; TP'!$A$3:$M$10005,MATCH(('Reg 85'!$X$6&amp;'Reg 85'!$AB$10&amp;'Reg 85'!$B161),('DMR 001C TIN &amp; TP'!$E$3:$E$10005&amp;'DMR 001C TIN &amp; TP'!$B$3:$B$10005&amp;'DMR 001C TIN &amp; TP'!$A$3:$A$10005),0),MATCH('Reg 85'!$AD$11,'DMR 001C TIN &amp; TP'!$A$2:$M$2,0))),"")</f>
        <v/>
      </c>
      <c r="AE161" s="53" t="str">
        <f t="shared" si="74"/>
        <v/>
      </c>
      <c r="AF161" s="7" t="str">
        <f t="shared" si="75"/>
        <v/>
      </c>
      <c r="AG161" s="6" t="str">
        <f t="array" ref="AG161">_xlfn.IFNA((INDEX('DMR 001C TIN &amp; TP'!$A$3:$M$10005,MATCH(('Reg 85'!$X$6&amp;'Reg 85'!AG$10&amp;'Reg 85'!$B161),('DMR 001C TIN &amp; TP'!$E$3:$E$10005&amp;'DMR 001C TIN &amp; TP'!$B$3:$B$10005&amp;'DMR 001C TIN &amp; TP'!$A$3:$A$10005),0),MATCH('Reg 85'!$AG$11,'DMR 001C TIN &amp; TP'!$A$2:$M$2,0))),"")</f>
        <v/>
      </c>
      <c r="AH161" s="6" t="str">
        <f t="array" ref="AH161">_xlfn.IFNA((INDEX('DMR 001C TIN &amp; TP'!$A$3:$M$10005,MATCH(('Reg 85'!$X$6&amp;'Reg 85'!AH$10&amp;'Reg 85'!$B161),('DMR 001C TIN &amp; TP'!$E$3:$E$10005&amp;'DMR 001C TIN &amp; TP'!$B$3:$B$10005&amp;'DMR 001C TIN &amp; TP'!$A$3:$A$10005),0),MATCH('Reg 85'!$AG$11,'DMR 001C TIN &amp; TP'!$A$2:$M$2,0))),"")</f>
        <v/>
      </c>
      <c r="AI161" s="6" t="str">
        <f t="array" ref="AI161">_xlfn.IFNA((INDEX('DMR 001C TIN &amp; TP'!$A$3:$M$10005,MATCH(('Reg 85'!$X$6&amp;'Reg 85'!AI$10&amp;'Reg 85'!$B161),('DMR 001C TIN &amp; TP'!$E$3:$E$10005&amp;'DMR 001C TIN &amp; TP'!$B$3:$B$10005&amp;'DMR 001C TIN &amp; TP'!$A$3:$A$10005),0),MATCH('Reg 85'!$AG$11,'DMR 001C TIN &amp; TP'!$A$2:$M$2,0))),"")</f>
        <v/>
      </c>
      <c r="AJ161" s="6" t="str">
        <f t="array" ref="AJ161">_xlfn.IFNA((INDEX('DMR 001C TIN &amp; TP'!$A$3:$M$10005,MATCH(('Reg 85'!$X$6&amp;'Reg 85'!AJ$10&amp;'Reg 85'!$B161),('DMR 001C TIN &amp; TP'!$E$3:$E$10005&amp;'DMR 001C TIN &amp; TP'!$B$3:$B$10005&amp;'DMR 001C TIN &amp; TP'!$A$3:$A$10005),0),MATCH('Reg 85'!$AG$11,'DMR 001C TIN &amp; TP'!$A$2:$M$2,0))),"")</f>
        <v/>
      </c>
      <c r="AK161" s="6" t="str">
        <f t="array" ref="AK161">_xlfn.IFNA((INDEX('DMR 001C TIN &amp; TP'!$A$3:$M$10005,MATCH(('Reg 85'!$X$6&amp;'Reg 85'!AK$10&amp;'Reg 85'!$B161),('DMR 001C TIN &amp; TP'!$E$3:$E$10005&amp;'DMR 001C TIN &amp; TP'!$B$3:$B$10005&amp;'DMR 001C TIN &amp; TP'!$A$3:$A$10005),0),MATCH('Reg 85'!$AG$11,'DMR 001C TIN &amp; TP'!$A$2:$M$2,0))),"")</f>
        <v/>
      </c>
      <c r="AL161" s="6" t="str">
        <f t="array" ref="AL161">_xlfn.IFNA((INDEX('DMR 001C TIN &amp; TP'!$A$3:$M$10005,MATCH(('Reg 85'!$X$6&amp;'Reg 85'!AL$10&amp;'Reg 85'!$B161),('DMR 001C TIN &amp; TP'!$E$3:$E$10005&amp;'DMR 001C TIN &amp; TP'!$B$3:$B$10005&amp;'DMR 001C TIN &amp; TP'!$A$3:$A$10005),0),MATCH('Reg 85'!$AG$11,'DMR 001C TIN &amp; TP'!$A$2:$M$2,0))),"")</f>
        <v/>
      </c>
      <c r="AM161" s="76"/>
      <c r="AN161" s="6"/>
      <c r="AO161" s="54" t="str">
        <f t="shared" si="62"/>
        <v/>
      </c>
      <c r="AP161" s="77" t="str">
        <f t="shared" si="60"/>
        <v/>
      </c>
      <c r="AQ161" s="47"/>
      <c r="AR161" s="6" t="str">
        <f t="array" ref="AR161">_xlfn.IFNA((INDEX('DMR 001C TIN &amp; TP'!$A$3:$M$10005,MATCH(('Reg 85'!$AQ$6&amp;'Reg 85'!$AQ$10&amp;'Reg 85'!$B161),('DMR 001C TIN &amp; TP'!$E$3:$E$10005&amp;'DMR 001C TIN &amp; TP'!$B$3:$B$10005&amp;'DMR 001C TIN &amp; TP'!$A$3:$A$10005),0),MATCH('Reg 85'!$AR$11,'DMR 001C TIN &amp; TP'!$A$2:$M$2,0))),"")</f>
        <v>0.03</v>
      </c>
      <c r="AS161" s="6">
        <f t="array" ref="AS161">_xlfn.IFNA((INDEX('DMR 001C TIN &amp; TP'!$A$3:$M$10005,MATCH(('Reg 85'!$AQ$6&amp;'Reg 85'!$AQ$10&amp;'Reg 85'!$B161),('DMR 001C TIN &amp; TP'!$E$3:$E$10005&amp;'DMR 001C TIN &amp; TP'!$B$3:$B$10005&amp;'DMR 001C TIN &amp; TP'!$A$3:$A$10005),0),MATCH('Reg 85'!$AS$11,'DMR 001C TIN &amp; TP'!$A$2:$M$2,0))),"")</f>
        <v>0.49</v>
      </c>
      <c r="AT161" s="53">
        <f t="shared" si="76"/>
        <v>0.49</v>
      </c>
      <c r="AV161" s="6" t="str">
        <f t="array" ref="AV161">_xlfn.IFNA((INDEX('DMR 001C TIN &amp; TP'!$A$3:$M$10005,MATCH(('Reg 85'!$AQ$6&amp;'Reg 85'!$AU$10&amp;'Reg 85'!$B161),('DMR 001C TIN &amp; TP'!$E$3:$E$10005&amp;'DMR 001C TIN &amp; TP'!$B$3:$B$10005&amp;'DMR 001C TIN &amp; TP'!$A$3:$A$10005),0),MATCH('Reg 85'!$AV$11,'DMR 001C TIN &amp; TP'!$A$2:$M$2,0))),"")</f>
        <v>0.03</v>
      </c>
      <c r="AW161" s="6">
        <f t="array" ref="AW161">_xlfn.IFNA((INDEX('DMR 001C TIN &amp; TP'!$A$3:$M$10005,MATCH(('Reg 85'!$AQ$6&amp;'Reg 85'!$AU$10&amp;'Reg 85'!$B161),('DMR 001C TIN &amp; TP'!$E$3:$E$10005&amp;'DMR 001C TIN &amp; TP'!$B$3:$B$10005&amp;'DMR 001C TIN &amp; TP'!$A$3:$A$10005),0),MATCH('Reg 85'!$AW$11,'DMR 001C TIN &amp; TP'!$A$2:$M$2,0))),"")</f>
        <v>4.41</v>
      </c>
      <c r="AX161" s="53">
        <f t="shared" si="77"/>
        <v>4.41</v>
      </c>
      <c r="AY161" s="55">
        <f t="shared" si="78"/>
        <v>2.809339095371878</v>
      </c>
      <c r="AZ161" s="77" t="str">
        <f t="shared" si="61"/>
        <v/>
      </c>
      <c r="BA161" s="6" t="str">
        <f t="array" ref="BA161">_xlfn.IFNA((INDEX('DMR 001C TIN &amp; TP'!$A$3:$M$10005,MATCH(('Reg 85'!$AQ$6&amp;'Reg 85'!BA$10&amp;'Reg 85'!$B161),('DMR 001C TIN &amp; TP'!$E$3:$E$10005&amp;'DMR 001C TIN &amp; TP'!$B$3:$B$10005&amp;'DMR 001C TIN &amp; TP'!$A$3:$A$10005),0),MATCH('Reg 85'!$AG$11,'DMR 001C TIN &amp; TP'!$A$2:$M$2,0))),"")</f>
        <v/>
      </c>
      <c r="BB161" s="6" t="str">
        <f t="array" ref="BB161">_xlfn.IFNA((INDEX('DMR 001C TIN &amp; TP'!$A$3:$M$10005,MATCH(('Reg 85'!$AQ$6&amp;'Reg 85'!BB$10&amp;'Reg 85'!$B161),('DMR 001C TIN &amp; TP'!$E$3:$E$10005&amp;'DMR 001C TIN &amp; TP'!$B$3:$B$10005&amp;'DMR 001C TIN &amp; TP'!$A$3:$A$10005),0),MATCH('Reg 85'!$AG$11,'DMR 001C TIN &amp; TP'!$A$2:$M$2,0))),"")</f>
        <v/>
      </c>
      <c r="BC161" s="6" t="str">
        <f t="array" ref="BC161">_xlfn.IFNA((INDEX('DMR 001C TIN &amp; TP'!$A$3:$M$10005,MATCH(('Reg 85'!$AQ$6&amp;'Reg 85'!BC$10&amp;'Reg 85'!$B161),('DMR 001C TIN &amp; TP'!$E$3:$E$10005&amp;'DMR 001C TIN &amp; TP'!$B$3:$B$10005&amp;'DMR 001C TIN &amp; TP'!$A$3:$A$10005),0),MATCH('Reg 85'!$AG$11,'DMR 001C TIN &amp; TP'!$A$2:$M$2,0))),"")</f>
        <v/>
      </c>
      <c r="BD161" s="6" t="str">
        <f t="array" ref="BD161">_xlfn.IFNA((INDEX('DMR 001C TIN &amp; TP'!$A$3:$M$10005,MATCH(('Reg 85'!$AQ$6&amp;'Reg 85'!BD$10&amp;'Reg 85'!$B161),('DMR 001C TIN &amp; TP'!$E$3:$E$10005&amp;'DMR 001C TIN &amp; TP'!$B$3:$B$10005&amp;'DMR 001C TIN &amp; TP'!$A$3:$A$10005),0),MATCH('Reg 85'!$AG$11,'DMR 001C TIN &amp; TP'!$A$2:$M$2,0))),"")</f>
        <v/>
      </c>
      <c r="BE161" s="6" t="str">
        <f t="array" ref="BE161">_xlfn.IFNA((INDEX('DMR 001C TIN &amp; TP'!$A$3:$M$10005,MATCH(('Reg 85'!$AQ$6&amp;'Reg 85'!BE$10&amp;'Reg 85'!$B161),('DMR 001C TIN &amp; TP'!$E$3:$E$10005&amp;'DMR 001C TIN &amp; TP'!$B$3:$B$10005&amp;'DMR 001C TIN &amp; TP'!$A$3:$A$10005),0),MATCH('Reg 85'!$AG$11,'DMR 001C TIN &amp; TP'!$A$2:$M$2,0))),"")</f>
        <v/>
      </c>
      <c r="BF161" s="6" t="str">
        <f t="array" ref="BF161">_xlfn.IFNA((INDEX('DMR 001C TIN &amp; TP'!$A$3:$M$10005,MATCH(('Reg 85'!$AQ$6&amp;'Reg 85'!BF$10&amp;'Reg 85'!$B161),('DMR 001C TIN &amp; TP'!$E$3:$E$10005&amp;'DMR 001C TIN &amp; TP'!$B$3:$B$10005&amp;'DMR 001C TIN &amp; TP'!$A$3:$A$10005),0),MATCH('Reg 85'!$AG$11,'DMR 001C TIN &amp; TP'!$A$2:$M$2,0))),"")</f>
        <v/>
      </c>
    </row>
    <row r="162" spans="1:58">
      <c r="A162" s="3" t="str">
        <f t="shared" si="63"/>
        <v>Tue</v>
      </c>
      <c r="B162" s="96">
        <f t="shared" si="79"/>
        <v>43494</v>
      </c>
      <c r="C162" s="96">
        <f t="shared" si="64"/>
        <v>43496</v>
      </c>
      <c r="D162" s="96">
        <f t="shared" si="65"/>
        <v>43466</v>
      </c>
      <c r="E162" s="95">
        <f t="shared" si="66"/>
        <v>31</v>
      </c>
      <c r="F162" s="7">
        <f t="array" ref="F162">_xlfn.IFNA(INDEX('DMR Flows-Effluent'!$A$3:$F$9999,MATCH(($F$10&amp;$B162),('DMR Flows-Effluent'!$B$3:$B$9999&amp;'DMR Flows-Effluent'!$A$3:$A$9999),0),MATCH($F$8,'DMR Flows-Effluent'!$A$2:$F$2,0)),"")</f>
        <v>49.121299999999998</v>
      </c>
      <c r="G162" s="7">
        <f t="array" ref="G162">_xlfn.IFNA(INDEX('DMR Flows-Effluent'!$A$3:$F$9999,MATCH(($G$10&amp;$B162),('DMR Flows-Effluent'!$B$3:$B$9999&amp;'DMR Flows-Effluent'!$A$3:$A$9999),0),MATCH($F$8,'DMR Flows-Effluent'!$A$2:$F$2,0)),"")</f>
        <v>70.633200000000002</v>
      </c>
      <c r="H162" s="7">
        <f t="shared" si="67"/>
        <v>119.75450000000001</v>
      </c>
      <c r="I162" s="45" t="str">
        <f t="shared" si="68"/>
        <v/>
      </c>
      <c r="J162" s="6" t="str">
        <f t="array" ref="J162">_xlfn.IFNA((INDEX('DMR 001C TIN &amp; TP'!$A$3:$M$10005,MATCH(('Reg 85'!$I$6:$Q$6&amp;'Reg 85'!$I$10:$K$10&amp;'Reg 85'!$B162),('DMR 001C TIN &amp; TP'!$E$3:$E$10005&amp;'DMR 001C TIN &amp; TP'!$B$3:$B$10005&amp;'DMR 001C TIN &amp; TP'!$A$3:$A$10005),0),MATCH('Reg 85'!$J$11,'DMR 001C TIN &amp; TP'!$A$2:$M$2,0))),"")</f>
        <v>0.15</v>
      </c>
      <c r="K162" s="6">
        <f t="array" ref="K162">_xlfn.IFNA((INDEX('DMR 001C TIN &amp; TP'!$A$3:$M$10005,MATCH(('Reg 85'!$I$6:$Q$6&amp;'Reg 85'!$I$10:$K$10&amp;'Reg 85'!$B162),('DMR 001C TIN &amp; TP'!$E$3:$E$10005&amp;'DMR 001C TIN &amp; TP'!$B$3:$B$10005&amp;'DMR 001C TIN &amp; TP'!$A$3:$A$10005),0),MATCH('Reg 85'!$K$11,'DMR 001C TIN &amp; TP'!$A$2:$M$2,0))),"")</f>
        <v>0.48</v>
      </c>
      <c r="L162" s="53">
        <f t="shared" si="80"/>
        <v>0.48</v>
      </c>
      <c r="M162" s="5" t="str">
        <f t="shared" si="69"/>
        <v/>
      </c>
      <c r="N162" s="6" t="str">
        <f t="array" ref="N162">_xlfn.IFNA((INDEX('DMR 001C TIN &amp; TP'!$A$3:$M$10005,MATCH(('Reg 85'!$I$6:$Q$6&amp;'Reg 85'!$M$10&amp;'Reg 85'!$B162),('DMR 001C TIN &amp; TP'!$E$3:$E$10005&amp;'DMR 001C TIN &amp; TP'!$B$3:$B$10005&amp;'DMR 001C TIN &amp; TP'!$A$3:$A$10005),0),MATCH('Reg 85'!$N$11,'DMR 001C TIN &amp; TP'!$A$2:$M$2,0))),"")</f>
        <v>0.15</v>
      </c>
      <c r="O162" s="6">
        <f t="array" ref="O162">_xlfn.IFNA((INDEX('DMR 001C TIN &amp; TP'!$A$3:$M$10005,MATCH(('Reg 85'!$I$6:$Q$6&amp;'Reg 85'!$M$10&amp;'Reg 85'!$B162),('DMR 001C TIN &amp; TP'!$E$3:$E$10005&amp;'DMR 001C TIN &amp; TP'!$B$3:$B$10005&amp;'DMR 001C TIN &amp; TP'!$A$3:$A$10005),0),MATCH('Reg 85'!$O$11,'DMR 001C TIN &amp; TP'!$A$2:$M$2,0))),"")</f>
        <v>1.67</v>
      </c>
      <c r="P162" s="53">
        <f t="shared" si="70"/>
        <v>1.67</v>
      </c>
      <c r="Q162" s="73">
        <f t="array" ref="Q162">IFERROR(((L162*$F162)+(P162*$G162))/($H162),"")</f>
        <v>1.1818818332505248</v>
      </c>
      <c r="R162" s="6" t="str">
        <f t="array" ref="R162">_xlfn.IFNA((INDEX('DMR 001C TIN &amp; TP'!$A$3:$M$10005,MATCH(('Reg 85'!$I$6:$Q$6&amp;'Reg 85'!R$10&amp;'Reg 85'!$B162),('DMR 001C TIN &amp; TP'!$E$3:$E$10005&amp;'DMR 001C TIN &amp; TP'!$B$3:$B$10005&amp;'DMR 001C TIN &amp; TP'!$A$3:$A$10005),0),MATCH('Reg 85'!$O$11,'DMR 001C TIN &amp; TP'!$A$2:$M$2,0))),"")</f>
        <v/>
      </c>
      <c r="S162" s="6" t="str">
        <f t="array" ref="S162">_xlfn.IFNA((INDEX('DMR 001C TIN &amp; TP'!$A$3:$M$10005,MATCH(('Reg 85'!$I$6:$Q$6&amp;'Reg 85'!S$10&amp;'Reg 85'!$B162),('DMR 001C TIN &amp; TP'!$E$3:$E$10005&amp;'DMR 001C TIN &amp; TP'!$B$3:$B$10005&amp;'DMR 001C TIN &amp; TP'!$A$3:$A$10005),0),MATCH('Reg 85'!$O$11,'DMR 001C TIN &amp; TP'!$A$2:$M$2,0))),"")</f>
        <v/>
      </c>
      <c r="T162" s="6" t="str">
        <f t="array" ref="T162">_xlfn.IFNA((INDEX('DMR 001C TIN &amp; TP'!$A$3:$M$10005,MATCH(('Reg 85'!$I$6:$Q$6&amp;'Reg 85'!T$10&amp;'Reg 85'!$B162),('DMR 001C TIN &amp; TP'!$E$3:$E$10005&amp;'DMR 001C TIN &amp; TP'!$B$3:$B$10005&amp;'DMR 001C TIN &amp; TP'!$A$3:$A$10005),0),MATCH('Reg 85'!$O$11,'DMR 001C TIN &amp; TP'!$A$2:$M$2,0))),"")</f>
        <v/>
      </c>
      <c r="U162" s="6" t="str">
        <f t="array" ref="U162">_xlfn.IFNA((INDEX('DMR 001C TIN &amp; TP'!$A$3:$M$10005,MATCH(('Reg 85'!$I$6:$Q$6&amp;'Reg 85'!U$10&amp;'Reg 85'!$B162),('DMR 001C TIN &amp; TP'!$E$3:$E$10005&amp;'DMR 001C TIN &amp; TP'!$B$3:$B$10005&amp;'DMR 001C TIN &amp; TP'!$A$3:$A$10005),0),MATCH('Reg 85'!$O$11,'DMR 001C TIN &amp; TP'!$A$2:$M$2,0))),"")</f>
        <v/>
      </c>
      <c r="V162" s="6" t="str">
        <f t="array" ref="V162">_xlfn.IFNA((INDEX('DMR 001C TIN &amp; TP'!$A$3:$M$10005,MATCH(('Reg 85'!$I$6:$Q$6&amp;'Reg 85'!V$10&amp;'Reg 85'!$B162),('DMR 001C TIN &amp; TP'!$E$3:$E$10005&amp;'DMR 001C TIN &amp; TP'!$B$3:$B$10005&amp;'DMR 001C TIN &amp; TP'!$A$3:$A$10005),0),MATCH('Reg 85'!$O$11,'DMR 001C TIN &amp; TP'!$A$2:$M$2,0))),"")</f>
        <v/>
      </c>
      <c r="W162" s="6" t="str">
        <f t="array" ref="W162">_xlfn.IFNA((INDEX('DMR 001C TIN &amp; TP'!$A$3:$M$10005,MATCH(('Reg 85'!$I$6:$Q$6&amp;'Reg 85'!W$10&amp;'Reg 85'!$B162),('DMR 001C TIN &amp; TP'!$E$3:$E$10005&amp;'DMR 001C TIN &amp; TP'!$B$3:$B$10005&amp;'DMR 001C TIN &amp; TP'!$A$3:$A$10005),0),MATCH('Reg 85'!$O$11,'DMR 001C TIN &amp; TP'!$A$2:$M$2,0))),"")</f>
        <v/>
      </c>
      <c r="X162" s="5" t="str">
        <f t="shared" si="71"/>
        <v/>
      </c>
      <c r="Y162" s="6" t="str">
        <f t="array" ref="Y162">_xlfn.IFNA((INDEX('DMR 001C TIN &amp; TP'!$A$3:$M$10005,MATCH(('Reg 85'!$X$6&amp;'Reg 85'!$X$10&amp;'Reg 85'!$B162),('DMR 001C TIN &amp; TP'!$E$3:$E$10005&amp;'DMR 001C TIN &amp; TP'!$B$3:$B$10005&amp;'DMR 001C TIN &amp; TP'!$A$3:$A$10005),0),MATCH('Reg 85'!$Y$11,'DMR 001C TIN &amp; TP'!$A$2:$M$2,0))),"")</f>
        <v>0.06</v>
      </c>
      <c r="Z162" s="6">
        <f t="array" ref="Z162">_xlfn.IFNA((INDEX('DMR 001C TIN &amp; TP'!$A$3:$M$10005,MATCH(('Reg 85'!$X$6&amp;'Reg 85'!$X$10&amp;'Reg 85'!$B162),('DMR 001C TIN &amp; TP'!$E$3:$E$10005&amp;'DMR 001C TIN &amp; TP'!$B$3:$B$10005&amp;'DMR 001C TIN &amp; TP'!$A$3:$A$10005),0),MATCH('Reg 85'!$Z$11,'DMR 001C TIN &amp; TP'!$A$2:$M$2,0))),"")</f>
        <v>4.6500000000000004</v>
      </c>
      <c r="AA162" s="53">
        <f t="shared" si="72"/>
        <v>4.6500000000000004</v>
      </c>
      <c r="AB162" s="5" t="str">
        <f t="shared" si="73"/>
        <v/>
      </c>
      <c r="AC162" s="6" t="str">
        <f t="array" ref="AC162">_xlfn.IFNA((INDEX('DMR 001C TIN &amp; TP'!$A$3:$M$10005,MATCH(('Reg 85'!$X$6&amp;'Reg 85'!$AB$10&amp;'Reg 85'!$B162),('DMR 001C TIN &amp; TP'!$E$3:$E$10005&amp;'DMR 001C TIN &amp; TP'!$B$3:$B$10005&amp;'DMR 001C TIN &amp; TP'!$A$3:$A$10005),0),MATCH('Reg 85'!$AC$11,'DMR 001C TIN &amp; TP'!$A$2:$M$2,0))),"")</f>
        <v>0.06</v>
      </c>
      <c r="AD162" s="6">
        <f t="array" ref="AD162">_xlfn.IFNA((INDEX('DMR 001C TIN &amp; TP'!$A$3:$M$10005,MATCH(('Reg 85'!$X$6&amp;'Reg 85'!$AB$10&amp;'Reg 85'!$B162),('DMR 001C TIN &amp; TP'!$E$3:$E$10005&amp;'DMR 001C TIN &amp; TP'!$B$3:$B$10005&amp;'DMR 001C TIN &amp; TP'!$A$3:$A$10005),0),MATCH('Reg 85'!$AD$11,'DMR 001C TIN &amp; TP'!$A$2:$M$2,0))),"")</f>
        <v>7.54</v>
      </c>
      <c r="AE162" s="53">
        <f t="shared" si="74"/>
        <v>7.54</v>
      </c>
      <c r="AF162" s="7">
        <f t="shared" si="75"/>
        <v>6.3545701664655603</v>
      </c>
      <c r="AG162" s="6" t="str">
        <f t="array" ref="AG162">_xlfn.IFNA((INDEX('DMR 001C TIN &amp; TP'!$A$3:$M$10005,MATCH(('Reg 85'!$X$6&amp;'Reg 85'!AG$10&amp;'Reg 85'!$B162),('DMR 001C TIN &amp; TP'!$E$3:$E$10005&amp;'DMR 001C TIN &amp; TP'!$B$3:$B$10005&amp;'DMR 001C TIN &amp; TP'!$A$3:$A$10005),0),MATCH('Reg 85'!$AG$11,'DMR 001C TIN &amp; TP'!$A$2:$M$2,0))),"")</f>
        <v/>
      </c>
      <c r="AH162" s="6" t="str">
        <f t="array" ref="AH162">_xlfn.IFNA((INDEX('DMR 001C TIN &amp; TP'!$A$3:$M$10005,MATCH(('Reg 85'!$X$6&amp;'Reg 85'!AH$10&amp;'Reg 85'!$B162),('DMR 001C TIN &amp; TP'!$E$3:$E$10005&amp;'DMR 001C TIN &amp; TP'!$B$3:$B$10005&amp;'DMR 001C TIN &amp; TP'!$A$3:$A$10005),0),MATCH('Reg 85'!$AG$11,'DMR 001C TIN &amp; TP'!$A$2:$M$2,0))),"")</f>
        <v/>
      </c>
      <c r="AI162" s="6" t="str">
        <f t="array" ref="AI162">_xlfn.IFNA((INDEX('DMR 001C TIN &amp; TP'!$A$3:$M$10005,MATCH(('Reg 85'!$X$6&amp;'Reg 85'!AI$10&amp;'Reg 85'!$B162),('DMR 001C TIN &amp; TP'!$E$3:$E$10005&amp;'DMR 001C TIN &amp; TP'!$B$3:$B$10005&amp;'DMR 001C TIN &amp; TP'!$A$3:$A$10005),0),MATCH('Reg 85'!$AG$11,'DMR 001C TIN &amp; TP'!$A$2:$M$2,0))),"")</f>
        <v/>
      </c>
      <c r="AJ162" s="6" t="str">
        <f t="array" ref="AJ162">_xlfn.IFNA((INDEX('DMR 001C TIN &amp; TP'!$A$3:$M$10005,MATCH(('Reg 85'!$X$6&amp;'Reg 85'!AJ$10&amp;'Reg 85'!$B162),('DMR 001C TIN &amp; TP'!$E$3:$E$10005&amp;'DMR 001C TIN &amp; TP'!$B$3:$B$10005&amp;'DMR 001C TIN &amp; TP'!$A$3:$A$10005),0),MATCH('Reg 85'!$AG$11,'DMR 001C TIN &amp; TP'!$A$2:$M$2,0))),"")</f>
        <v/>
      </c>
      <c r="AK162" s="6" t="str">
        <f t="array" ref="AK162">_xlfn.IFNA((INDEX('DMR 001C TIN &amp; TP'!$A$3:$M$10005,MATCH(('Reg 85'!$X$6&amp;'Reg 85'!AK$10&amp;'Reg 85'!$B162),('DMR 001C TIN &amp; TP'!$E$3:$E$10005&amp;'DMR 001C TIN &amp; TP'!$B$3:$B$10005&amp;'DMR 001C TIN &amp; TP'!$A$3:$A$10005),0),MATCH('Reg 85'!$AG$11,'DMR 001C TIN &amp; TP'!$A$2:$M$2,0))),"")</f>
        <v/>
      </c>
      <c r="AL162" s="6" t="str">
        <f t="array" ref="AL162">_xlfn.IFNA((INDEX('DMR 001C TIN &amp; TP'!$A$3:$M$10005,MATCH(('Reg 85'!$X$6&amp;'Reg 85'!AL$10&amp;'Reg 85'!$B162),('DMR 001C TIN &amp; TP'!$E$3:$E$10005&amp;'DMR 001C TIN &amp; TP'!$B$3:$B$10005&amp;'DMR 001C TIN &amp; TP'!$A$3:$A$10005),0),MATCH('Reg 85'!$AG$11,'DMR 001C TIN &amp; TP'!$A$2:$M$2,0))),"")</f>
        <v/>
      </c>
      <c r="AM162" s="76"/>
      <c r="AN162" s="6"/>
      <c r="AO162" s="54">
        <f t="shared" si="62"/>
        <v>7.5364519997160855</v>
      </c>
      <c r="AP162" s="77" t="str">
        <f t="shared" si="60"/>
        <v/>
      </c>
      <c r="AQ162" s="47"/>
      <c r="AR162" s="6" t="str">
        <f t="array" ref="AR162">_xlfn.IFNA((INDEX('DMR 001C TIN &amp; TP'!$A$3:$M$10005,MATCH(('Reg 85'!$AQ$6&amp;'Reg 85'!$AQ$10&amp;'Reg 85'!$B162),('DMR 001C TIN &amp; TP'!$E$3:$E$10005&amp;'DMR 001C TIN &amp; TP'!$B$3:$B$10005&amp;'DMR 001C TIN &amp; TP'!$A$3:$A$10005),0),MATCH('Reg 85'!$AR$11,'DMR 001C TIN &amp; TP'!$A$2:$M$2,0))),"")</f>
        <v/>
      </c>
      <c r="AS162" s="6" t="str">
        <f t="array" ref="AS162">_xlfn.IFNA((INDEX('DMR 001C TIN &amp; TP'!$A$3:$M$10005,MATCH(('Reg 85'!$AQ$6&amp;'Reg 85'!$AQ$10&amp;'Reg 85'!$B162),('DMR 001C TIN &amp; TP'!$E$3:$E$10005&amp;'DMR 001C TIN &amp; TP'!$B$3:$B$10005&amp;'DMR 001C TIN &amp; TP'!$A$3:$A$10005),0),MATCH('Reg 85'!$AS$11,'DMR 001C TIN &amp; TP'!$A$2:$M$2,0))),"")</f>
        <v/>
      </c>
      <c r="AT162" s="53" t="str">
        <f t="shared" si="76"/>
        <v/>
      </c>
      <c r="AV162" s="6" t="str">
        <f t="array" ref="AV162">_xlfn.IFNA((INDEX('DMR 001C TIN &amp; TP'!$A$3:$M$10005,MATCH(('Reg 85'!$AQ$6&amp;'Reg 85'!$AU$10&amp;'Reg 85'!$B162),('DMR 001C TIN &amp; TP'!$E$3:$E$10005&amp;'DMR 001C TIN &amp; TP'!$B$3:$B$10005&amp;'DMR 001C TIN &amp; TP'!$A$3:$A$10005),0),MATCH('Reg 85'!$AV$11,'DMR 001C TIN &amp; TP'!$A$2:$M$2,0))),"")</f>
        <v/>
      </c>
      <c r="AW162" s="6" t="str">
        <f t="array" ref="AW162">_xlfn.IFNA((INDEX('DMR 001C TIN &amp; TP'!$A$3:$M$10005,MATCH(('Reg 85'!$AQ$6&amp;'Reg 85'!$AU$10&amp;'Reg 85'!$B162),('DMR 001C TIN &amp; TP'!$E$3:$E$10005&amp;'DMR 001C TIN &amp; TP'!$B$3:$B$10005&amp;'DMR 001C TIN &amp; TP'!$A$3:$A$10005),0),MATCH('Reg 85'!$AW$11,'DMR 001C TIN &amp; TP'!$A$2:$M$2,0))),"")</f>
        <v/>
      </c>
      <c r="AX162" s="53" t="str">
        <f t="shared" si="77"/>
        <v/>
      </c>
      <c r="AY162" s="55" t="str">
        <f t="shared" si="78"/>
        <v/>
      </c>
      <c r="AZ162" s="77" t="str">
        <f t="shared" si="61"/>
        <v/>
      </c>
      <c r="BA162" s="6" t="str">
        <f t="array" ref="BA162">_xlfn.IFNA((INDEX('DMR 001C TIN &amp; TP'!$A$3:$M$10005,MATCH(('Reg 85'!$AQ$6&amp;'Reg 85'!BA$10&amp;'Reg 85'!$B162),('DMR 001C TIN &amp; TP'!$E$3:$E$10005&amp;'DMR 001C TIN &amp; TP'!$B$3:$B$10005&amp;'DMR 001C TIN &amp; TP'!$A$3:$A$10005),0),MATCH('Reg 85'!$AG$11,'DMR 001C TIN &amp; TP'!$A$2:$M$2,0))),"")</f>
        <v/>
      </c>
      <c r="BB162" s="6" t="str">
        <f t="array" ref="BB162">_xlfn.IFNA((INDEX('DMR 001C TIN &amp; TP'!$A$3:$M$10005,MATCH(('Reg 85'!$AQ$6&amp;'Reg 85'!BB$10&amp;'Reg 85'!$B162),('DMR 001C TIN &amp; TP'!$E$3:$E$10005&amp;'DMR 001C TIN &amp; TP'!$B$3:$B$10005&amp;'DMR 001C TIN &amp; TP'!$A$3:$A$10005),0),MATCH('Reg 85'!$AG$11,'DMR 001C TIN &amp; TP'!$A$2:$M$2,0))),"")</f>
        <v/>
      </c>
      <c r="BC162" s="6" t="str">
        <f t="array" ref="BC162">_xlfn.IFNA((INDEX('DMR 001C TIN &amp; TP'!$A$3:$M$10005,MATCH(('Reg 85'!$AQ$6&amp;'Reg 85'!BC$10&amp;'Reg 85'!$B162),('DMR 001C TIN &amp; TP'!$E$3:$E$10005&amp;'DMR 001C TIN &amp; TP'!$B$3:$B$10005&amp;'DMR 001C TIN &amp; TP'!$A$3:$A$10005),0),MATCH('Reg 85'!$AG$11,'DMR 001C TIN &amp; TP'!$A$2:$M$2,0))),"")</f>
        <v/>
      </c>
      <c r="BD162" s="6" t="str">
        <f t="array" ref="BD162">_xlfn.IFNA((INDEX('DMR 001C TIN &amp; TP'!$A$3:$M$10005,MATCH(('Reg 85'!$AQ$6&amp;'Reg 85'!BD$10&amp;'Reg 85'!$B162),('DMR 001C TIN &amp; TP'!$E$3:$E$10005&amp;'DMR 001C TIN &amp; TP'!$B$3:$B$10005&amp;'DMR 001C TIN &amp; TP'!$A$3:$A$10005),0),MATCH('Reg 85'!$AG$11,'DMR 001C TIN &amp; TP'!$A$2:$M$2,0))),"")</f>
        <v/>
      </c>
      <c r="BE162" s="6" t="str">
        <f t="array" ref="BE162">_xlfn.IFNA((INDEX('DMR 001C TIN &amp; TP'!$A$3:$M$10005,MATCH(('Reg 85'!$AQ$6&amp;'Reg 85'!BE$10&amp;'Reg 85'!$B162),('DMR 001C TIN &amp; TP'!$E$3:$E$10005&amp;'DMR 001C TIN &amp; TP'!$B$3:$B$10005&amp;'DMR 001C TIN &amp; TP'!$A$3:$A$10005),0),MATCH('Reg 85'!$AG$11,'DMR 001C TIN &amp; TP'!$A$2:$M$2,0))),"")</f>
        <v/>
      </c>
      <c r="BF162" s="6" t="str">
        <f t="array" ref="BF162">_xlfn.IFNA((INDEX('DMR 001C TIN &amp; TP'!$A$3:$M$10005,MATCH(('Reg 85'!$AQ$6&amp;'Reg 85'!BF$10&amp;'Reg 85'!$B162),('DMR 001C TIN &amp; TP'!$E$3:$E$10005&amp;'DMR 001C TIN &amp; TP'!$B$3:$B$10005&amp;'DMR 001C TIN &amp; TP'!$A$3:$A$10005),0),MATCH('Reg 85'!$AG$11,'DMR 001C TIN &amp; TP'!$A$2:$M$2,0))),"")</f>
        <v/>
      </c>
    </row>
    <row r="163" spans="1:58">
      <c r="A163" s="3" t="str">
        <f t="shared" si="63"/>
        <v>Wed</v>
      </c>
      <c r="B163" s="96">
        <f t="shared" si="79"/>
        <v>43495</v>
      </c>
      <c r="C163" s="96">
        <f t="shared" si="64"/>
        <v>43496</v>
      </c>
      <c r="D163" s="96">
        <f t="shared" si="65"/>
        <v>43466</v>
      </c>
      <c r="E163" s="95">
        <f t="shared" si="66"/>
        <v>31</v>
      </c>
      <c r="F163" s="7">
        <f t="array" ref="F163">_xlfn.IFNA(INDEX('DMR Flows-Effluent'!$A$3:$F$9999,MATCH(($F$10&amp;$B163),('DMR Flows-Effluent'!$B$3:$B$9999&amp;'DMR Flows-Effluent'!$A$3:$A$9999),0),MATCH($F$8,'DMR Flows-Effluent'!$A$2:$F$2,0)),"")</f>
        <v>54.795499999999997</v>
      </c>
      <c r="G163" s="7">
        <f t="array" ref="G163">_xlfn.IFNA(INDEX('DMR Flows-Effluent'!$A$3:$F$9999,MATCH(($G$10&amp;$B163),('DMR Flows-Effluent'!$B$3:$B$9999&amp;'DMR Flows-Effluent'!$A$3:$A$9999),0),MATCH($F$8,'DMR Flows-Effluent'!$A$2:$F$2,0)),"")</f>
        <v>67.6357</v>
      </c>
      <c r="H163" s="7">
        <f t="shared" si="67"/>
        <v>122.43119999999999</v>
      </c>
      <c r="I163" s="45" t="str">
        <f t="shared" si="68"/>
        <v/>
      </c>
      <c r="J163" s="6" t="str">
        <f t="array" ref="J163">_xlfn.IFNA((INDEX('DMR 001C TIN &amp; TP'!$A$3:$M$10005,MATCH(('Reg 85'!$I$6:$Q$6&amp;'Reg 85'!$I$10:$K$10&amp;'Reg 85'!$B163),('DMR 001C TIN &amp; TP'!$E$3:$E$10005&amp;'DMR 001C TIN &amp; TP'!$B$3:$B$10005&amp;'DMR 001C TIN &amp; TP'!$A$3:$A$10005),0),MATCH('Reg 85'!$J$11,'DMR 001C TIN &amp; TP'!$A$2:$M$2,0))),"")</f>
        <v>0.15</v>
      </c>
      <c r="K163" s="6">
        <f t="array" ref="K163">_xlfn.IFNA((INDEX('DMR 001C TIN &amp; TP'!$A$3:$M$10005,MATCH(('Reg 85'!$I$6:$Q$6&amp;'Reg 85'!$I$10:$K$10&amp;'Reg 85'!$B163),('DMR 001C TIN &amp; TP'!$E$3:$E$10005&amp;'DMR 001C TIN &amp; TP'!$B$3:$B$10005&amp;'DMR 001C TIN &amp; TP'!$A$3:$A$10005),0),MATCH('Reg 85'!$K$11,'DMR 001C TIN &amp; TP'!$A$2:$M$2,0))),"")</f>
        <v>0.46</v>
      </c>
      <c r="L163" s="53">
        <f t="shared" si="80"/>
        <v>0.46</v>
      </c>
      <c r="M163" s="5" t="str">
        <f t="shared" si="69"/>
        <v/>
      </c>
      <c r="N163" s="6" t="str">
        <f t="array" ref="N163">_xlfn.IFNA((INDEX('DMR 001C TIN &amp; TP'!$A$3:$M$10005,MATCH(('Reg 85'!$I$6:$Q$6&amp;'Reg 85'!$M$10&amp;'Reg 85'!$B163),('DMR 001C TIN &amp; TP'!$E$3:$E$10005&amp;'DMR 001C TIN &amp; TP'!$B$3:$B$10005&amp;'DMR 001C TIN &amp; TP'!$A$3:$A$10005),0),MATCH('Reg 85'!$N$11,'DMR 001C TIN &amp; TP'!$A$2:$M$2,0))),"")</f>
        <v>0.15</v>
      </c>
      <c r="O163" s="6">
        <f t="array" ref="O163">_xlfn.IFNA((INDEX('DMR 001C TIN &amp; TP'!$A$3:$M$10005,MATCH(('Reg 85'!$I$6:$Q$6&amp;'Reg 85'!$M$10&amp;'Reg 85'!$B163),('DMR 001C TIN &amp; TP'!$E$3:$E$10005&amp;'DMR 001C TIN &amp; TP'!$B$3:$B$10005&amp;'DMR 001C TIN &amp; TP'!$A$3:$A$10005),0),MATCH('Reg 85'!$O$11,'DMR 001C TIN &amp; TP'!$A$2:$M$2,0))),"")</f>
        <v>0.24</v>
      </c>
      <c r="P163" s="53">
        <f t="shared" si="70"/>
        <v>0.24</v>
      </c>
      <c r="Q163" s="73">
        <f t="array" ref="Q163">IFERROR(((L163*$F163)+(P163*$G163))/($H163),"")</f>
        <v>0.33846354524010219</v>
      </c>
      <c r="R163" s="6" t="str">
        <f t="array" ref="R163">_xlfn.IFNA((INDEX('DMR 001C TIN &amp; TP'!$A$3:$M$10005,MATCH(('Reg 85'!$I$6:$Q$6&amp;'Reg 85'!R$10&amp;'Reg 85'!$B163),('DMR 001C TIN &amp; TP'!$E$3:$E$10005&amp;'DMR 001C TIN &amp; TP'!$B$3:$B$10005&amp;'DMR 001C TIN &amp; TP'!$A$3:$A$10005),0),MATCH('Reg 85'!$O$11,'DMR 001C TIN &amp; TP'!$A$2:$M$2,0))),"")</f>
        <v/>
      </c>
      <c r="S163" s="6" t="str">
        <f t="array" ref="S163">_xlfn.IFNA((INDEX('DMR 001C TIN &amp; TP'!$A$3:$M$10005,MATCH(('Reg 85'!$I$6:$Q$6&amp;'Reg 85'!S$10&amp;'Reg 85'!$B163),('DMR 001C TIN &amp; TP'!$E$3:$E$10005&amp;'DMR 001C TIN &amp; TP'!$B$3:$B$10005&amp;'DMR 001C TIN &amp; TP'!$A$3:$A$10005),0),MATCH('Reg 85'!$O$11,'DMR 001C TIN &amp; TP'!$A$2:$M$2,0))),"")</f>
        <v/>
      </c>
      <c r="T163" s="6" t="str">
        <f t="array" ref="T163">_xlfn.IFNA((INDEX('DMR 001C TIN &amp; TP'!$A$3:$M$10005,MATCH(('Reg 85'!$I$6:$Q$6&amp;'Reg 85'!T$10&amp;'Reg 85'!$B163),('DMR 001C TIN &amp; TP'!$E$3:$E$10005&amp;'DMR 001C TIN &amp; TP'!$B$3:$B$10005&amp;'DMR 001C TIN &amp; TP'!$A$3:$A$10005),0),MATCH('Reg 85'!$O$11,'DMR 001C TIN &amp; TP'!$A$2:$M$2,0))),"")</f>
        <v/>
      </c>
      <c r="U163" s="6" t="str">
        <f t="array" ref="U163">_xlfn.IFNA((INDEX('DMR 001C TIN &amp; TP'!$A$3:$M$10005,MATCH(('Reg 85'!$I$6:$Q$6&amp;'Reg 85'!U$10&amp;'Reg 85'!$B163),('DMR 001C TIN &amp; TP'!$E$3:$E$10005&amp;'DMR 001C TIN &amp; TP'!$B$3:$B$10005&amp;'DMR 001C TIN &amp; TP'!$A$3:$A$10005),0),MATCH('Reg 85'!$O$11,'DMR 001C TIN &amp; TP'!$A$2:$M$2,0))),"")</f>
        <v/>
      </c>
      <c r="V163" s="6" t="str">
        <f t="array" ref="V163">_xlfn.IFNA((INDEX('DMR 001C TIN &amp; TP'!$A$3:$M$10005,MATCH(('Reg 85'!$I$6:$Q$6&amp;'Reg 85'!V$10&amp;'Reg 85'!$B163),('DMR 001C TIN &amp; TP'!$E$3:$E$10005&amp;'DMR 001C TIN &amp; TP'!$B$3:$B$10005&amp;'DMR 001C TIN &amp; TP'!$A$3:$A$10005),0),MATCH('Reg 85'!$O$11,'DMR 001C TIN &amp; TP'!$A$2:$M$2,0))),"")</f>
        <v/>
      </c>
      <c r="W163" s="6" t="str">
        <f t="array" ref="W163">_xlfn.IFNA((INDEX('DMR 001C TIN &amp; TP'!$A$3:$M$10005,MATCH(('Reg 85'!$I$6:$Q$6&amp;'Reg 85'!W$10&amp;'Reg 85'!$B163),('DMR 001C TIN &amp; TP'!$E$3:$E$10005&amp;'DMR 001C TIN &amp; TP'!$B$3:$B$10005&amp;'DMR 001C TIN &amp; TP'!$A$3:$A$10005),0),MATCH('Reg 85'!$O$11,'DMR 001C TIN &amp; TP'!$A$2:$M$2,0))),"")</f>
        <v/>
      </c>
      <c r="X163" s="5" t="str">
        <f t="shared" si="71"/>
        <v/>
      </c>
      <c r="Y163" s="6" t="str">
        <f t="array" ref="Y163">_xlfn.IFNA((INDEX('DMR 001C TIN &amp; TP'!$A$3:$M$10005,MATCH(('Reg 85'!$X$6&amp;'Reg 85'!$X$10&amp;'Reg 85'!$B163),('DMR 001C TIN &amp; TP'!$E$3:$E$10005&amp;'DMR 001C TIN &amp; TP'!$B$3:$B$10005&amp;'DMR 001C TIN &amp; TP'!$A$3:$A$10005),0),MATCH('Reg 85'!$Y$11,'DMR 001C TIN &amp; TP'!$A$2:$M$2,0))),"")</f>
        <v>0.06</v>
      </c>
      <c r="Z163" s="6">
        <f t="array" ref="Z163">_xlfn.IFNA((INDEX('DMR 001C TIN &amp; TP'!$A$3:$M$10005,MATCH(('Reg 85'!$X$6&amp;'Reg 85'!$X$10&amp;'Reg 85'!$B163),('DMR 001C TIN &amp; TP'!$E$3:$E$10005&amp;'DMR 001C TIN &amp; TP'!$B$3:$B$10005&amp;'DMR 001C TIN &amp; TP'!$A$3:$A$10005),0),MATCH('Reg 85'!$Z$11,'DMR 001C TIN &amp; TP'!$A$2:$M$2,0))),"")</f>
        <v>5.37</v>
      </c>
      <c r="AA163" s="53">
        <f t="shared" si="72"/>
        <v>5.37</v>
      </c>
      <c r="AB163" s="5" t="str">
        <f t="shared" si="73"/>
        <v/>
      </c>
      <c r="AC163" s="6" t="str">
        <f t="array" ref="AC163">_xlfn.IFNA((INDEX('DMR 001C TIN &amp; TP'!$A$3:$M$10005,MATCH(('Reg 85'!$X$6&amp;'Reg 85'!$AB$10&amp;'Reg 85'!$B163),('DMR 001C TIN &amp; TP'!$E$3:$E$10005&amp;'DMR 001C TIN &amp; TP'!$B$3:$B$10005&amp;'DMR 001C TIN &amp; TP'!$A$3:$A$10005),0),MATCH('Reg 85'!$AC$11,'DMR 001C TIN &amp; TP'!$A$2:$M$2,0))),"")</f>
        <v>0.06</v>
      </c>
      <c r="AD163" s="6">
        <f t="array" ref="AD163">_xlfn.IFNA((INDEX('DMR 001C TIN &amp; TP'!$A$3:$M$10005,MATCH(('Reg 85'!$X$6&amp;'Reg 85'!$AB$10&amp;'Reg 85'!$B163),('DMR 001C TIN &amp; TP'!$E$3:$E$10005&amp;'DMR 001C TIN &amp; TP'!$B$3:$B$10005&amp;'DMR 001C TIN &amp; TP'!$A$3:$A$10005),0),MATCH('Reg 85'!$AD$11,'DMR 001C TIN &amp; TP'!$A$2:$M$2,0))),"")</f>
        <v>7.35</v>
      </c>
      <c r="AE163" s="53">
        <f t="shared" si="74"/>
        <v>7.35</v>
      </c>
      <c r="AF163" s="7">
        <f t="shared" si="75"/>
        <v>6.4638280928390799</v>
      </c>
      <c r="AG163" s="6" t="str">
        <f t="array" ref="AG163">_xlfn.IFNA((INDEX('DMR 001C TIN &amp; TP'!$A$3:$M$10005,MATCH(('Reg 85'!$X$6&amp;'Reg 85'!AG$10&amp;'Reg 85'!$B163),('DMR 001C TIN &amp; TP'!$E$3:$E$10005&amp;'DMR 001C TIN &amp; TP'!$B$3:$B$10005&amp;'DMR 001C TIN &amp; TP'!$A$3:$A$10005),0),MATCH('Reg 85'!$AG$11,'DMR 001C TIN &amp; TP'!$A$2:$M$2,0))),"")</f>
        <v/>
      </c>
      <c r="AH163" s="6" t="str">
        <f t="array" ref="AH163">_xlfn.IFNA((INDEX('DMR 001C TIN &amp; TP'!$A$3:$M$10005,MATCH(('Reg 85'!$X$6&amp;'Reg 85'!AH$10&amp;'Reg 85'!$B163),('DMR 001C TIN &amp; TP'!$E$3:$E$10005&amp;'DMR 001C TIN &amp; TP'!$B$3:$B$10005&amp;'DMR 001C TIN &amp; TP'!$A$3:$A$10005),0),MATCH('Reg 85'!$AG$11,'DMR 001C TIN &amp; TP'!$A$2:$M$2,0))),"")</f>
        <v/>
      </c>
      <c r="AI163" s="6" t="str">
        <f t="array" ref="AI163">_xlfn.IFNA((INDEX('DMR 001C TIN &amp; TP'!$A$3:$M$10005,MATCH(('Reg 85'!$X$6&amp;'Reg 85'!AI$10&amp;'Reg 85'!$B163),('DMR 001C TIN &amp; TP'!$E$3:$E$10005&amp;'DMR 001C TIN &amp; TP'!$B$3:$B$10005&amp;'DMR 001C TIN &amp; TP'!$A$3:$A$10005),0),MATCH('Reg 85'!$AG$11,'DMR 001C TIN &amp; TP'!$A$2:$M$2,0))),"")</f>
        <v/>
      </c>
      <c r="AJ163" s="6" t="str">
        <f t="array" ref="AJ163">_xlfn.IFNA((INDEX('DMR 001C TIN &amp; TP'!$A$3:$M$10005,MATCH(('Reg 85'!$X$6&amp;'Reg 85'!AJ$10&amp;'Reg 85'!$B163),('DMR 001C TIN &amp; TP'!$E$3:$E$10005&amp;'DMR 001C TIN &amp; TP'!$B$3:$B$10005&amp;'DMR 001C TIN &amp; TP'!$A$3:$A$10005),0),MATCH('Reg 85'!$AG$11,'DMR 001C TIN &amp; TP'!$A$2:$M$2,0))),"")</f>
        <v/>
      </c>
      <c r="AK163" s="6" t="str">
        <f t="array" ref="AK163">_xlfn.IFNA((INDEX('DMR 001C TIN &amp; TP'!$A$3:$M$10005,MATCH(('Reg 85'!$X$6&amp;'Reg 85'!AK$10&amp;'Reg 85'!$B163),('DMR 001C TIN &amp; TP'!$E$3:$E$10005&amp;'DMR 001C TIN &amp; TP'!$B$3:$B$10005&amp;'DMR 001C TIN &amp; TP'!$A$3:$A$10005),0),MATCH('Reg 85'!$AG$11,'DMR 001C TIN &amp; TP'!$A$2:$M$2,0))),"")</f>
        <v/>
      </c>
      <c r="AL163" s="6" t="str">
        <f t="array" ref="AL163">_xlfn.IFNA((INDEX('DMR 001C TIN &amp; TP'!$A$3:$M$10005,MATCH(('Reg 85'!$X$6&amp;'Reg 85'!AL$10&amp;'Reg 85'!$B163),('DMR 001C TIN &amp; TP'!$E$3:$E$10005&amp;'DMR 001C TIN &amp; TP'!$B$3:$B$10005&amp;'DMR 001C TIN &amp; TP'!$A$3:$A$10005),0),MATCH('Reg 85'!$AG$11,'DMR 001C TIN &amp; TP'!$A$2:$M$2,0))),"")</f>
        <v/>
      </c>
      <c r="AM163" s="76"/>
      <c r="AN163" s="6"/>
      <c r="AO163" s="54">
        <f t="shared" si="62"/>
        <v>6.8022916380791818</v>
      </c>
      <c r="AP163" s="77" t="str">
        <f t="shared" si="60"/>
        <v/>
      </c>
      <c r="AQ163" s="47"/>
      <c r="AR163" s="6" t="str">
        <f t="array" ref="AR163">_xlfn.IFNA((INDEX('DMR 001C TIN &amp; TP'!$A$3:$M$10005,MATCH(('Reg 85'!$AQ$6&amp;'Reg 85'!$AQ$10&amp;'Reg 85'!$B163),('DMR 001C TIN &amp; TP'!$E$3:$E$10005&amp;'DMR 001C TIN &amp; TP'!$B$3:$B$10005&amp;'DMR 001C TIN &amp; TP'!$A$3:$A$10005),0),MATCH('Reg 85'!$AR$11,'DMR 001C TIN &amp; TP'!$A$2:$M$2,0))),"")</f>
        <v/>
      </c>
      <c r="AS163" s="6" t="str">
        <f t="array" ref="AS163">_xlfn.IFNA((INDEX('DMR 001C TIN &amp; TP'!$A$3:$M$10005,MATCH(('Reg 85'!$AQ$6&amp;'Reg 85'!$AQ$10&amp;'Reg 85'!$B163),('DMR 001C TIN &amp; TP'!$E$3:$E$10005&amp;'DMR 001C TIN &amp; TP'!$B$3:$B$10005&amp;'DMR 001C TIN &amp; TP'!$A$3:$A$10005),0),MATCH('Reg 85'!$AS$11,'DMR 001C TIN &amp; TP'!$A$2:$M$2,0))),"")</f>
        <v/>
      </c>
      <c r="AT163" s="53" t="str">
        <f t="shared" si="76"/>
        <v/>
      </c>
      <c r="AV163" s="6" t="str">
        <f t="array" ref="AV163">_xlfn.IFNA((INDEX('DMR 001C TIN &amp; TP'!$A$3:$M$10005,MATCH(('Reg 85'!$AQ$6&amp;'Reg 85'!$AU$10&amp;'Reg 85'!$B163),('DMR 001C TIN &amp; TP'!$E$3:$E$10005&amp;'DMR 001C TIN &amp; TP'!$B$3:$B$10005&amp;'DMR 001C TIN &amp; TP'!$A$3:$A$10005),0),MATCH('Reg 85'!$AV$11,'DMR 001C TIN &amp; TP'!$A$2:$M$2,0))),"")</f>
        <v/>
      </c>
      <c r="AW163" s="6" t="str">
        <f t="array" ref="AW163">_xlfn.IFNA((INDEX('DMR 001C TIN &amp; TP'!$A$3:$M$10005,MATCH(('Reg 85'!$AQ$6&amp;'Reg 85'!$AU$10&amp;'Reg 85'!$B163),('DMR 001C TIN &amp; TP'!$E$3:$E$10005&amp;'DMR 001C TIN &amp; TP'!$B$3:$B$10005&amp;'DMR 001C TIN &amp; TP'!$A$3:$A$10005),0),MATCH('Reg 85'!$AW$11,'DMR 001C TIN &amp; TP'!$A$2:$M$2,0))),"")</f>
        <v/>
      </c>
      <c r="AX163" s="53" t="str">
        <f t="shared" si="77"/>
        <v/>
      </c>
      <c r="AY163" s="55" t="str">
        <f t="shared" si="78"/>
        <v/>
      </c>
      <c r="AZ163" s="77" t="str">
        <f t="shared" si="61"/>
        <v/>
      </c>
      <c r="BA163" s="6" t="str">
        <f t="array" ref="BA163">_xlfn.IFNA((INDEX('DMR 001C TIN &amp; TP'!$A$3:$M$10005,MATCH(('Reg 85'!$AQ$6&amp;'Reg 85'!BA$10&amp;'Reg 85'!$B163),('DMR 001C TIN &amp; TP'!$E$3:$E$10005&amp;'DMR 001C TIN &amp; TP'!$B$3:$B$10005&amp;'DMR 001C TIN &amp; TP'!$A$3:$A$10005),0),MATCH('Reg 85'!$AG$11,'DMR 001C TIN &amp; TP'!$A$2:$M$2,0))),"")</f>
        <v/>
      </c>
      <c r="BB163" s="6" t="str">
        <f t="array" ref="BB163">_xlfn.IFNA((INDEX('DMR 001C TIN &amp; TP'!$A$3:$M$10005,MATCH(('Reg 85'!$AQ$6&amp;'Reg 85'!BB$10&amp;'Reg 85'!$B163),('DMR 001C TIN &amp; TP'!$E$3:$E$10005&amp;'DMR 001C TIN &amp; TP'!$B$3:$B$10005&amp;'DMR 001C TIN &amp; TP'!$A$3:$A$10005),0),MATCH('Reg 85'!$AG$11,'DMR 001C TIN &amp; TP'!$A$2:$M$2,0))),"")</f>
        <v/>
      </c>
      <c r="BC163" s="6" t="str">
        <f t="array" ref="BC163">_xlfn.IFNA((INDEX('DMR 001C TIN &amp; TP'!$A$3:$M$10005,MATCH(('Reg 85'!$AQ$6&amp;'Reg 85'!BC$10&amp;'Reg 85'!$B163),('DMR 001C TIN &amp; TP'!$E$3:$E$10005&amp;'DMR 001C TIN &amp; TP'!$B$3:$B$10005&amp;'DMR 001C TIN &amp; TP'!$A$3:$A$10005),0),MATCH('Reg 85'!$AG$11,'DMR 001C TIN &amp; TP'!$A$2:$M$2,0))),"")</f>
        <v/>
      </c>
      <c r="BD163" s="6" t="str">
        <f t="array" ref="BD163">_xlfn.IFNA((INDEX('DMR 001C TIN &amp; TP'!$A$3:$M$10005,MATCH(('Reg 85'!$AQ$6&amp;'Reg 85'!BD$10&amp;'Reg 85'!$B163),('DMR 001C TIN &amp; TP'!$E$3:$E$10005&amp;'DMR 001C TIN &amp; TP'!$B$3:$B$10005&amp;'DMR 001C TIN &amp; TP'!$A$3:$A$10005),0),MATCH('Reg 85'!$AG$11,'DMR 001C TIN &amp; TP'!$A$2:$M$2,0))),"")</f>
        <v/>
      </c>
      <c r="BE163" s="6" t="str">
        <f t="array" ref="BE163">_xlfn.IFNA((INDEX('DMR 001C TIN &amp; TP'!$A$3:$M$10005,MATCH(('Reg 85'!$AQ$6&amp;'Reg 85'!BE$10&amp;'Reg 85'!$B163),('DMR 001C TIN &amp; TP'!$E$3:$E$10005&amp;'DMR 001C TIN &amp; TP'!$B$3:$B$10005&amp;'DMR 001C TIN &amp; TP'!$A$3:$A$10005),0),MATCH('Reg 85'!$AG$11,'DMR 001C TIN &amp; TP'!$A$2:$M$2,0))),"")</f>
        <v/>
      </c>
      <c r="BF163" s="6" t="str">
        <f t="array" ref="BF163">_xlfn.IFNA((INDEX('DMR 001C TIN &amp; TP'!$A$3:$M$10005,MATCH(('Reg 85'!$AQ$6&amp;'Reg 85'!BF$10&amp;'Reg 85'!$B163),('DMR 001C TIN &amp; TP'!$E$3:$E$10005&amp;'DMR 001C TIN &amp; TP'!$B$3:$B$10005&amp;'DMR 001C TIN &amp; TP'!$A$3:$A$10005),0),MATCH('Reg 85'!$AG$11,'DMR 001C TIN &amp; TP'!$A$2:$M$2,0))),"")</f>
        <v/>
      </c>
    </row>
    <row r="164" spans="1:58">
      <c r="A164" s="3" t="str">
        <f t="shared" si="63"/>
        <v>Thu</v>
      </c>
      <c r="B164" s="96">
        <f t="shared" si="79"/>
        <v>43496</v>
      </c>
      <c r="C164" s="96">
        <f t="shared" si="64"/>
        <v>43496</v>
      </c>
      <c r="D164" s="96">
        <f t="shared" si="65"/>
        <v>43466</v>
      </c>
      <c r="E164" s="95">
        <f t="shared" si="66"/>
        <v>31</v>
      </c>
      <c r="F164" s="7">
        <f t="array" ref="F164">_xlfn.IFNA(INDEX('DMR Flows-Effluent'!$A$3:$F$9999,MATCH(($F$10&amp;$B164),('DMR Flows-Effluent'!$B$3:$B$9999&amp;'DMR Flows-Effluent'!$A$3:$A$9999),0),MATCH($F$8,'DMR Flows-Effluent'!$A$2:$F$2,0)),"")</f>
        <v>61.456899999999997</v>
      </c>
      <c r="G164" s="7">
        <f t="array" ref="G164">_xlfn.IFNA(INDEX('DMR Flows-Effluent'!$A$3:$F$9999,MATCH(($G$10&amp;$B164),('DMR Flows-Effluent'!$B$3:$B$9999&amp;'DMR Flows-Effluent'!$A$3:$A$9999),0),MATCH($F$8,'DMR Flows-Effluent'!$A$2:$F$2,0)),"")</f>
        <v>65.600300000000004</v>
      </c>
      <c r="H164" s="7">
        <f t="shared" si="67"/>
        <v>127.05719999999999</v>
      </c>
      <c r="I164" s="45" t="str">
        <f t="shared" si="68"/>
        <v/>
      </c>
      <c r="J164" s="6" t="str">
        <f t="array" ref="J164">_xlfn.IFNA((INDEX('DMR 001C TIN &amp; TP'!$A$3:$M$10005,MATCH(('Reg 85'!$I$6:$Q$6&amp;'Reg 85'!$I$10:$K$10&amp;'Reg 85'!$B164),('DMR 001C TIN &amp; TP'!$E$3:$E$10005&amp;'DMR 001C TIN &amp; TP'!$B$3:$B$10005&amp;'DMR 001C TIN &amp; TP'!$A$3:$A$10005),0),MATCH('Reg 85'!$J$11,'DMR 001C TIN &amp; TP'!$A$2:$M$2,0))),"")</f>
        <v>0.15</v>
      </c>
      <c r="K164" s="6">
        <f t="array" ref="K164">_xlfn.IFNA((INDEX('DMR 001C TIN &amp; TP'!$A$3:$M$10005,MATCH(('Reg 85'!$I$6:$Q$6&amp;'Reg 85'!$I$10:$K$10&amp;'Reg 85'!$B164),('DMR 001C TIN &amp; TP'!$E$3:$E$10005&amp;'DMR 001C TIN &amp; TP'!$B$3:$B$10005&amp;'DMR 001C TIN &amp; TP'!$A$3:$A$10005),0),MATCH('Reg 85'!$K$11,'DMR 001C TIN &amp; TP'!$A$2:$M$2,0))),"")</f>
        <v>0.34</v>
      </c>
      <c r="L164" s="53">
        <f t="shared" si="80"/>
        <v>0.34</v>
      </c>
      <c r="M164" s="5" t="str">
        <f t="shared" si="69"/>
        <v>&lt;</v>
      </c>
      <c r="N164" s="6" t="str">
        <f t="array" ref="N164">_xlfn.IFNA((INDEX('DMR 001C TIN &amp; TP'!$A$3:$M$10005,MATCH(('Reg 85'!$I$6:$Q$6&amp;'Reg 85'!$M$10&amp;'Reg 85'!$B164),('DMR 001C TIN &amp; TP'!$E$3:$E$10005&amp;'DMR 001C TIN &amp; TP'!$B$3:$B$10005&amp;'DMR 001C TIN &amp; TP'!$A$3:$A$10005),0),MATCH('Reg 85'!$N$11,'DMR 001C TIN &amp; TP'!$A$2:$M$2,0))),"")</f>
        <v>0.15</v>
      </c>
      <c r="O164" s="6">
        <f t="array" ref="O164">_xlfn.IFNA((INDEX('DMR 001C TIN &amp; TP'!$A$3:$M$10005,MATCH(('Reg 85'!$I$6:$Q$6&amp;'Reg 85'!$M$10&amp;'Reg 85'!$B164),('DMR 001C TIN &amp; TP'!$E$3:$E$10005&amp;'DMR 001C TIN &amp; TP'!$B$3:$B$10005&amp;'DMR 001C TIN &amp; TP'!$A$3:$A$10005),0),MATCH('Reg 85'!$O$11,'DMR 001C TIN &amp; TP'!$A$2:$M$2,0))),"")</f>
        <v>0.08</v>
      </c>
      <c r="P164" s="53">
        <f t="shared" si="70"/>
        <v>0</v>
      </c>
      <c r="Q164" s="73">
        <f t="array" ref="Q164">IFERROR(((L164*$F164)+(P164*$G164))/($H164),"")</f>
        <v>0.16445621342198632</v>
      </c>
      <c r="R164" s="6" t="str">
        <f t="array" ref="R164">_xlfn.IFNA((INDEX('DMR 001C TIN &amp; TP'!$A$3:$M$10005,MATCH(('Reg 85'!$I$6:$Q$6&amp;'Reg 85'!R$10&amp;'Reg 85'!$B164),('DMR 001C TIN &amp; TP'!$E$3:$E$10005&amp;'DMR 001C TIN &amp; TP'!$B$3:$B$10005&amp;'DMR 001C TIN &amp; TP'!$A$3:$A$10005),0),MATCH('Reg 85'!$O$11,'DMR 001C TIN &amp; TP'!$A$2:$M$2,0))),"")</f>
        <v/>
      </c>
      <c r="S164" s="6" t="str">
        <f t="array" ref="S164">_xlfn.IFNA((INDEX('DMR 001C TIN &amp; TP'!$A$3:$M$10005,MATCH(('Reg 85'!$I$6:$Q$6&amp;'Reg 85'!S$10&amp;'Reg 85'!$B164),('DMR 001C TIN &amp; TP'!$E$3:$E$10005&amp;'DMR 001C TIN &amp; TP'!$B$3:$B$10005&amp;'DMR 001C TIN &amp; TP'!$A$3:$A$10005),0),MATCH('Reg 85'!$O$11,'DMR 001C TIN &amp; TP'!$A$2:$M$2,0))),"")</f>
        <v/>
      </c>
      <c r="T164" s="6" t="str">
        <f t="array" ref="T164">_xlfn.IFNA((INDEX('DMR 001C TIN &amp; TP'!$A$3:$M$10005,MATCH(('Reg 85'!$I$6:$Q$6&amp;'Reg 85'!T$10&amp;'Reg 85'!$B164),('DMR 001C TIN &amp; TP'!$E$3:$E$10005&amp;'DMR 001C TIN &amp; TP'!$B$3:$B$10005&amp;'DMR 001C TIN &amp; TP'!$A$3:$A$10005),0),MATCH('Reg 85'!$O$11,'DMR 001C TIN &amp; TP'!$A$2:$M$2,0))),"")</f>
        <v/>
      </c>
      <c r="U164" s="6" t="str">
        <f t="array" ref="U164">_xlfn.IFNA((INDEX('DMR 001C TIN &amp; TP'!$A$3:$M$10005,MATCH(('Reg 85'!$I$6:$Q$6&amp;'Reg 85'!U$10&amp;'Reg 85'!$B164),('DMR 001C TIN &amp; TP'!$E$3:$E$10005&amp;'DMR 001C TIN &amp; TP'!$B$3:$B$10005&amp;'DMR 001C TIN &amp; TP'!$A$3:$A$10005),0),MATCH('Reg 85'!$O$11,'DMR 001C TIN &amp; TP'!$A$2:$M$2,0))),"")</f>
        <v/>
      </c>
      <c r="V164" s="6" t="str">
        <f t="array" ref="V164">_xlfn.IFNA((INDEX('DMR 001C TIN &amp; TP'!$A$3:$M$10005,MATCH(('Reg 85'!$I$6:$Q$6&amp;'Reg 85'!V$10&amp;'Reg 85'!$B164),('DMR 001C TIN &amp; TP'!$E$3:$E$10005&amp;'DMR 001C TIN &amp; TP'!$B$3:$B$10005&amp;'DMR 001C TIN &amp; TP'!$A$3:$A$10005),0),MATCH('Reg 85'!$O$11,'DMR 001C TIN &amp; TP'!$A$2:$M$2,0))),"")</f>
        <v/>
      </c>
      <c r="W164" s="6" t="str">
        <f t="array" ref="W164">_xlfn.IFNA((INDEX('DMR 001C TIN &amp; TP'!$A$3:$M$10005,MATCH(('Reg 85'!$I$6:$Q$6&amp;'Reg 85'!W$10&amp;'Reg 85'!$B164),('DMR 001C TIN &amp; TP'!$E$3:$E$10005&amp;'DMR 001C TIN &amp; TP'!$B$3:$B$10005&amp;'DMR 001C TIN &amp; TP'!$A$3:$A$10005),0),MATCH('Reg 85'!$O$11,'DMR 001C TIN &amp; TP'!$A$2:$M$2,0))),"")</f>
        <v/>
      </c>
      <c r="X164" s="5" t="str">
        <f t="shared" si="71"/>
        <v/>
      </c>
      <c r="Y164" s="6" t="str">
        <f t="array" ref="Y164">_xlfn.IFNA((INDEX('DMR 001C TIN &amp; TP'!$A$3:$M$10005,MATCH(('Reg 85'!$X$6&amp;'Reg 85'!$X$10&amp;'Reg 85'!$B164),('DMR 001C TIN &amp; TP'!$E$3:$E$10005&amp;'DMR 001C TIN &amp; TP'!$B$3:$B$10005&amp;'DMR 001C TIN &amp; TP'!$A$3:$A$10005),0),MATCH('Reg 85'!$Y$11,'DMR 001C TIN &amp; TP'!$A$2:$M$2,0))),"")</f>
        <v>0.06</v>
      </c>
      <c r="Z164" s="6">
        <f t="array" ref="Z164">_xlfn.IFNA((INDEX('DMR 001C TIN &amp; TP'!$A$3:$M$10005,MATCH(('Reg 85'!$X$6&amp;'Reg 85'!$X$10&amp;'Reg 85'!$B164),('DMR 001C TIN &amp; TP'!$E$3:$E$10005&amp;'DMR 001C TIN &amp; TP'!$B$3:$B$10005&amp;'DMR 001C TIN &amp; TP'!$A$3:$A$10005),0),MATCH('Reg 85'!$Z$11,'DMR 001C TIN &amp; TP'!$A$2:$M$2,0))),"")</f>
        <v>5.0999999999999996</v>
      </c>
      <c r="AA164" s="53">
        <f t="shared" si="72"/>
        <v>5.0999999999999996</v>
      </c>
      <c r="AB164" s="5" t="str">
        <f t="shared" si="73"/>
        <v/>
      </c>
      <c r="AC164" s="6" t="str">
        <f t="array" ref="AC164">_xlfn.IFNA((INDEX('DMR 001C TIN &amp; TP'!$A$3:$M$10005,MATCH(('Reg 85'!$X$6&amp;'Reg 85'!$AB$10&amp;'Reg 85'!$B164),('DMR 001C TIN &amp; TP'!$E$3:$E$10005&amp;'DMR 001C TIN &amp; TP'!$B$3:$B$10005&amp;'DMR 001C TIN &amp; TP'!$A$3:$A$10005),0),MATCH('Reg 85'!$AC$11,'DMR 001C TIN &amp; TP'!$A$2:$M$2,0))),"")</f>
        <v>0.06</v>
      </c>
      <c r="AD164" s="6">
        <f t="array" ref="AD164">_xlfn.IFNA((INDEX('DMR 001C TIN &amp; TP'!$A$3:$M$10005,MATCH(('Reg 85'!$X$6&amp;'Reg 85'!$AB$10&amp;'Reg 85'!$B164),('DMR 001C TIN &amp; TP'!$E$3:$E$10005&amp;'DMR 001C TIN &amp; TP'!$B$3:$B$10005&amp;'DMR 001C TIN &amp; TP'!$A$3:$A$10005),0),MATCH('Reg 85'!$AD$11,'DMR 001C TIN &amp; TP'!$A$2:$M$2,0))),"")</f>
        <v>6.55</v>
      </c>
      <c r="AE164" s="53">
        <f t="shared" si="74"/>
        <v>6.55</v>
      </c>
      <c r="AF164" s="7">
        <f t="shared" si="75"/>
        <v>5.8486426192297651</v>
      </c>
      <c r="AG164" s="6" t="str">
        <f t="array" ref="AG164">_xlfn.IFNA((INDEX('DMR 001C TIN &amp; TP'!$A$3:$M$10005,MATCH(('Reg 85'!$X$6&amp;'Reg 85'!AG$10&amp;'Reg 85'!$B164),('DMR 001C TIN &amp; TP'!$E$3:$E$10005&amp;'DMR 001C TIN &amp; TP'!$B$3:$B$10005&amp;'DMR 001C TIN &amp; TP'!$A$3:$A$10005),0),MATCH('Reg 85'!$AG$11,'DMR 001C TIN &amp; TP'!$A$2:$M$2,0))),"")</f>
        <v/>
      </c>
      <c r="AH164" s="6" t="str">
        <f t="array" ref="AH164">_xlfn.IFNA((INDEX('DMR 001C TIN &amp; TP'!$A$3:$M$10005,MATCH(('Reg 85'!$X$6&amp;'Reg 85'!AH$10&amp;'Reg 85'!$B164),('DMR 001C TIN &amp; TP'!$E$3:$E$10005&amp;'DMR 001C TIN &amp; TP'!$B$3:$B$10005&amp;'DMR 001C TIN &amp; TP'!$A$3:$A$10005),0),MATCH('Reg 85'!$AG$11,'DMR 001C TIN &amp; TP'!$A$2:$M$2,0))),"")</f>
        <v/>
      </c>
      <c r="AI164" s="6" t="str">
        <f t="array" ref="AI164">_xlfn.IFNA((INDEX('DMR 001C TIN &amp; TP'!$A$3:$M$10005,MATCH(('Reg 85'!$X$6&amp;'Reg 85'!AI$10&amp;'Reg 85'!$B164),('DMR 001C TIN &amp; TP'!$E$3:$E$10005&amp;'DMR 001C TIN &amp; TP'!$B$3:$B$10005&amp;'DMR 001C TIN &amp; TP'!$A$3:$A$10005),0),MATCH('Reg 85'!$AG$11,'DMR 001C TIN &amp; TP'!$A$2:$M$2,0))),"")</f>
        <v/>
      </c>
      <c r="AJ164" s="6" t="str">
        <f t="array" ref="AJ164">_xlfn.IFNA((INDEX('DMR 001C TIN &amp; TP'!$A$3:$M$10005,MATCH(('Reg 85'!$X$6&amp;'Reg 85'!AJ$10&amp;'Reg 85'!$B164),('DMR 001C TIN &amp; TP'!$E$3:$E$10005&amp;'DMR 001C TIN &amp; TP'!$B$3:$B$10005&amp;'DMR 001C TIN &amp; TP'!$A$3:$A$10005),0),MATCH('Reg 85'!$AG$11,'DMR 001C TIN &amp; TP'!$A$2:$M$2,0))),"")</f>
        <v/>
      </c>
      <c r="AK164" s="6" t="str">
        <f t="array" ref="AK164">_xlfn.IFNA((INDEX('DMR 001C TIN &amp; TP'!$A$3:$M$10005,MATCH(('Reg 85'!$X$6&amp;'Reg 85'!AK$10&amp;'Reg 85'!$B164),('DMR 001C TIN &amp; TP'!$E$3:$E$10005&amp;'DMR 001C TIN &amp; TP'!$B$3:$B$10005&amp;'DMR 001C TIN &amp; TP'!$A$3:$A$10005),0),MATCH('Reg 85'!$AG$11,'DMR 001C TIN &amp; TP'!$A$2:$M$2,0))),"")</f>
        <v/>
      </c>
      <c r="AL164" s="6" t="str">
        <f t="array" ref="AL164">_xlfn.IFNA((INDEX('DMR 001C TIN &amp; TP'!$A$3:$M$10005,MATCH(('Reg 85'!$X$6&amp;'Reg 85'!AL$10&amp;'Reg 85'!$B164),('DMR 001C TIN &amp; TP'!$E$3:$E$10005&amp;'DMR 001C TIN &amp; TP'!$B$3:$B$10005&amp;'DMR 001C TIN &amp; TP'!$A$3:$A$10005),0),MATCH('Reg 85'!$AG$11,'DMR 001C TIN &amp; TP'!$A$2:$M$2,0))),"")</f>
        <v/>
      </c>
      <c r="AM164" s="76"/>
      <c r="AN164" s="6"/>
      <c r="AO164" s="54">
        <f t="shared" si="62"/>
        <v>6.0130988326517514</v>
      </c>
      <c r="AP164" s="77">
        <f>COUNT(AO134:AO164)</f>
        <v>14</v>
      </c>
      <c r="AQ164" s="47"/>
      <c r="AR164" s="6" t="str">
        <f t="array" ref="AR164">_xlfn.IFNA((INDEX('DMR 001C TIN &amp; TP'!$A$3:$M$10005,MATCH(('Reg 85'!$AQ$6&amp;'Reg 85'!$AQ$10&amp;'Reg 85'!$B164),('DMR 001C TIN &amp; TP'!$E$3:$E$10005&amp;'DMR 001C TIN &amp; TP'!$B$3:$B$10005&amp;'DMR 001C TIN &amp; TP'!$A$3:$A$10005),0),MATCH('Reg 85'!$AR$11,'DMR 001C TIN &amp; TP'!$A$2:$M$2,0))),"")</f>
        <v/>
      </c>
      <c r="AS164" s="6" t="str">
        <f t="array" ref="AS164">_xlfn.IFNA((INDEX('DMR 001C TIN &amp; TP'!$A$3:$M$10005,MATCH(('Reg 85'!$AQ$6&amp;'Reg 85'!$AQ$10&amp;'Reg 85'!$B164),('DMR 001C TIN &amp; TP'!$E$3:$E$10005&amp;'DMR 001C TIN &amp; TP'!$B$3:$B$10005&amp;'DMR 001C TIN &amp; TP'!$A$3:$A$10005),0),MATCH('Reg 85'!$AS$11,'DMR 001C TIN &amp; TP'!$A$2:$M$2,0))),"")</f>
        <v/>
      </c>
      <c r="AT164" s="53" t="str">
        <f t="shared" si="76"/>
        <v/>
      </c>
      <c r="AV164" s="6" t="str">
        <f t="array" ref="AV164">_xlfn.IFNA((INDEX('DMR 001C TIN &amp; TP'!$A$3:$M$10005,MATCH(('Reg 85'!$AQ$6&amp;'Reg 85'!$AU$10&amp;'Reg 85'!$B164),('DMR 001C TIN &amp; TP'!$E$3:$E$10005&amp;'DMR 001C TIN &amp; TP'!$B$3:$B$10005&amp;'DMR 001C TIN &amp; TP'!$A$3:$A$10005),0),MATCH('Reg 85'!$AV$11,'DMR 001C TIN &amp; TP'!$A$2:$M$2,0))),"")</f>
        <v/>
      </c>
      <c r="AW164" s="6" t="str">
        <f t="array" ref="AW164">_xlfn.IFNA((INDEX('DMR 001C TIN &amp; TP'!$A$3:$M$10005,MATCH(('Reg 85'!$AQ$6&amp;'Reg 85'!$AU$10&amp;'Reg 85'!$B164),('DMR 001C TIN &amp; TP'!$E$3:$E$10005&amp;'DMR 001C TIN &amp; TP'!$B$3:$B$10005&amp;'DMR 001C TIN &amp; TP'!$A$3:$A$10005),0),MATCH('Reg 85'!$AW$11,'DMR 001C TIN &amp; TP'!$A$2:$M$2,0))),"")</f>
        <v/>
      </c>
      <c r="AX164" s="53" t="str">
        <f t="shared" si="77"/>
        <v/>
      </c>
      <c r="AY164" s="55" t="str">
        <f t="shared" si="78"/>
        <v/>
      </c>
      <c r="AZ164" s="77">
        <f>COUNT(AY134:AY164)</f>
        <v>8</v>
      </c>
      <c r="BA164" s="6" t="str">
        <f t="array" ref="BA164">_xlfn.IFNA((INDEX('DMR 001C TIN &amp; TP'!$A$3:$M$10005,MATCH(('Reg 85'!$AQ$6&amp;'Reg 85'!BA$10&amp;'Reg 85'!$B164),('DMR 001C TIN &amp; TP'!$E$3:$E$10005&amp;'DMR 001C TIN &amp; TP'!$B$3:$B$10005&amp;'DMR 001C TIN &amp; TP'!$A$3:$A$10005),0),MATCH('Reg 85'!$AG$11,'DMR 001C TIN &amp; TP'!$A$2:$M$2,0))),"")</f>
        <v/>
      </c>
      <c r="BB164" s="6" t="str">
        <f t="array" ref="BB164">_xlfn.IFNA((INDEX('DMR 001C TIN &amp; TP'!$A$3:$M$10005,MATCH(('Reg 85'!$AQ$6&amp;'Reg 85'!BB$10&amp;'Reg 85'!$B164),('DMR 001C TIN &amp; TP'!$E$3:$E$10005&amp;'DMR 001C TIN &amp; TP'!$B$3:$B$10005&amp;'DMR 001C TIN &amp; TP'!$A$3:$A$10005),0),MATCH('Reg 85'!$AG$11,'DMR 001C TIN &amp; TP'!$A$2:$M$2,0))),"")</f>
        <v/>
      </c>
      <c r="BC164" s="6" t="str">
        <f t="array" ref="BC164">_xlfn.IFNA((INDEX('DMR 001C TIN &amp; TP'!$A$3:$M$10005,MATCH(('Reg 85'!$AQ$6&amp;'Reg 85'!BC$10&amp;'Reg 85'!$B164),('DMR 001C TIN &amp; TP'!$E$3:$E$10005&amp;'DMR 001C TIN &amp; TP'!$B$3:$B$10005&amp;'DMR 001C TIN &amp; TP'!$A$3:$A$10005),0),MATCH('Reg 85'!$AG$11,'DMR 001C TIN &amp; TP'!$A$2:$M$2,0))),"")</f>
        <v/>
      </c>
      <c r="BD164" s="6" t="str">
        <f t="array" ref="BD164">_xlfn.IFNA((INDEX('DMR 001C TIN &amp; TP'!$A$3:$M$10005,MATCH(('Reg 85'!$AQ$6&amp;'Reg 85'!BD$10&amp;'Reg 85'!$B164),('DMR 001C TIN &amp; TP'!$E$3:$E$10005&amp;'DMR 001C TIN &amp; TP'!$B$3:$B$10005&amp;'DMR 001C TIN &amp; TP'!$A$3:$A$10005),0),MATCH('Reg 85'!$AG$11,'DMR 001C TIN &amp; TP'!$A$2:$M$2,0))),"")</f>
        <v/>
      </c>
      <c r="BE164" s="6" t="str">
        <f t="array" ref="BE164">_xlfn.IFNA((INDEX('DMR 001C TIN &amp; TP'!$A$3:$M$10005,MATCH(('Reg 85'!$AQ$6&amp;'Reg 85'!BE$10&amp;'Reg 85'!$B164),('DMR 001C TIN &amp; TP'!$E$3:$E$10005&amp;'DMR 001C TIN &amp; TP'!$B$3:$B$10005&amp;'DMR 001C TIN &amp; TP'!$A$3:$A$10005),0),MATCH('Reg 85'!$AG$11,'DMR 001C TIN &amp; TP'!$A$2:$M$2,0))),"")</f>
        <v/>
      </c>
      <c r="BF164" s="6" t="str">
        <f t="array" ref="BF164">_xlfn.IFNA((INDEX('DMR 001C TIN &amp; TP'!$A$3:$M$10005,MATCH(('Reg 85'!$AQ$6&amp;'Reg 85'!BF$10&amp;'Reg 85'!$B164),('DMR 001C TIN &amp; TP'!$E$3:$E$10005&amp;'DMR 001C TIN &amp; TP'!$B$3:$B$10005&amp;'DMR 001C TIN &amp; TP'!$A$3:$A$10005),0),MATCH('Reg 85'!$AG$11,'DMR 001C TIN &amp; TP'!$A$2:$M$2,0))),"")</f>
        <v/>
      </c>
    </row>
    <row r="165" spans="1:58">
      <c r="A165" s="3" t="str">
        <f t="shared" si="63"/>
        <v>Fri</v>
      </c>
      <c r="B165" s="96">
        <f t="shared" si="79"/>
        <v>43497</v>
      </c>
      <c r="C165" s="96">
        <f t="shared" si="64"/>
        <v>43524</v>
      </c>
      <c r="D165" s="96">
        <f t="shared" si="65"/>
        <v>43497</v>
      </c>
      <c r="E165" s="95">
        <f t="shared" si="66"/>
        <v>28</v>
      </c>
      <c r="F165" s="7">
        <f t="array" ref="F165">_xlfn.IFNA(INDEX('DMR Flows-Effluent'!$A$3:$F$9999,MATCH(($F$10&amp;$B165),('DMR Flows-Effluent'!$B$3:$B$9999&amp;'DMR Flows-Effluent'!$A$3:$A$9999),0),MATCH($F$8,'DMR Flows-Effluent'!$A$2:$F$2,0)),"")</f>
        <v>53.911799999999999</v>
      </c>
      <c r="G165" s="7">
        <f t="array" ref="G165">_xlfn.IFNA(INDEX('DMR Flows-Effluent'!$A$3:$F$9999,MATCH(($G$10&amp;$B165),('DMR Flows-Effluent'!$B$3:$B$9999&amp;'DMR Flows-Effluent'!$A$3:$A$9999),0),MATCH($F$8,'DMR Flows-Effluent'!$A$2:$F$2,0)),"")</f>
        <v>66.466300000000004</v>
      </c>
      <c r="H165" s="7">
        <f t="shared" si="67"/>
        <v>120.3781</v>
      </c>
      <c r="I165" s="45" t="str">
        <f t="shared" si="68"/>
        <v/>
      </c>
      <c r="J165" s="6" t="str">
        <f t="array" ref="J165">_xlfn.IFNA((INDEX('DMR 001C TIN &amp; TP'!$A$3:$M$10005,MATCH(('Reg 85'!$I$6:$Q$6&amp;'Reg 85'!$I$10:$K$10&amp;'Reg 85'!$B165),('DMR 001C TIN &amp; TP'!$E$3:$E$10005&amp;'DMR 001C TIN &amp; TP'!$B$3:$B$10005&amp;'DMR 001C TIN &amp; TP'!$A$3:$A$10005),0),MATCH('Reg 85'!$J$11,'DMR 001C TIN &amp; TP'!$A$2:$M$2,0))),"")</f>
        <v/>
      </c>
      <c r="K165" s="6" t="str">
        <f t="array" ref="K165">_xlfn.IFNA((INDEX('DMR 001C TIN &amp; TP'!$A$3:$M$10005,MATCH(('Reg 85'!$I$6:$Q$6&amp;'Reg 85'!$I$10:$K$10&amp;'Reg 85'!$B165),('DMR 001C TIN &amp; TP'!$E$3:$E$10005&amp;'DMR 001C TIN &amp; TP'!$B$3:$B$10005&amp;'DMR 001C TIN &amp; TP'!$A$3:$A$10005),0),MATCH('Reg 85'!$K$11,'DMR 001C TIN &amp; TP'!$A$2:$M$2,0))),"")</f>
        <v/>
      </c>
      <c r="L165" s="53" t="str">
        <f t="shared" si="80"/>
        <v/>
      </c>
      <c r="M165" s="5" t="str">
        <f t="shared" si="69"/>
        <v/>
      </c>
      <c r="N165" s="6" t="str">
        <f t="array" ref="N165">_xlfn.IFNA((INDEX('DMR 001C TIN &amp; TP'!$A$3:$M$10005,MATCH(('Reg 85'!$I$6:$Q$6&amp;'Reg 85'!$M$10&amp;'Reg 85'!$B165),('DMR 001C TIN &amp; TP'!$E$3:$E$10005&amp;'DMR 001C TIN &amp; TP'!$B$3:$B$10005&amp;'DMR 001C TIN &amp; TP'!$A$3:$A$10005),0),MATCH('Reg 85'!$N$11,'DMR 001C TIN &amp; TP'!$A$2:$M$2,0))),"")</f>
        <v/>
      </c>
      <c r="O165" s="6" t="str">
        <f t="array" ref="O165">_xlfn.IFNA((INDEX('DMR 001C TIN &amp; TP'!$A$3:$M$10005,MATCH(('Reg 85'!$I$6:$Q$6&amp;'Reg 85'!$M$10&amp;'Reg 85'!$B165),('DMR 001C TIN &amp; TP'!$E$3:$E$10005&amp;'DMR 001C TIN &amp; TP'!$B$3:$B$10005&amp;'DMR 001C TIN &amp; TP'!$A$3:$A$10005),0),MATCH('Reg 85'!$O$11,'DMR 001C TIN &amp; TP'!$A$2:$M$2,0))),"")</f>
        <v/>
      </c>
      <c r="P165" s="53" t="str">
        <f t="shared" si="70"/>
        <v/>
      </c>
      <c r="Q165" s="73" t="str">
        <f t="array" ref="Q165">IFERROR(((L165*$F165)+(P165*$G165))/($H165),"")</f>
        <v/>
      </c>
      <c r="R165" s="6" t="str">
        <f t="array" ref="R165">_xlfn.IFNA((INDEX('DMR 001C TIN &amp; TP'!$A$3:$M$10005,MATCH(('Reg 85'!$I$6:$Q$6&amp;'Reg 85'!R$10&amp;'Reg 85'!$B165),('DMR 001C TIN &amp; TP'!$E$3:$E$10005&amp;'DMR 001C TIN &amp; TP'!$B$3:$B$10005&amp;'DMR 001C TIN &amp; TP'!$A$3:$A$10005),0),MATCH('Reg 85'!$O$11,'DMR 001C TIN &amp; TP'!$A$2:$M$2,0))),"")</f>
        <v/>
      </c>
      <c r="S165" s="6" t="str">
        <f t="array" ref="S165">_xlfn.IFNA((INDEX('DMR 001C TIN &amp; TP'!$A$3:$M$10005,MATCH(('Reg 85'!$I$6:$Q$6&amp;'Reg 85'!S$10&amp;'Reg 85'!$B165),('DMR 001C TIN &amp; TP'!$E$3:$E$10005&amp;'DMR 001C TIN &amp; TP'!$B$3:$B$10005&amp;'DMR 001C TIN &amp; TP'!$A$3:$A$10005),0),MATCH('Reg 85'!$O$11,'DMR 001C TIN &amp; TP'!$A$2:$M$2,0))),"")</f>
        <v/>
      </c>
      <c r="T165" s="6" t="str">
        <f t="array" ref="T165">_xlfn.IFNA((INDEX('DMR 001C TIN &amp; TP'!$A$3:$M$10005,MATCH(('Reg 85'!$I$6:$Q$6&amp;'Reg 85'!T$10&amp;'Reg 85'!$B165),('DMR 001C TIN &amp; TP'!$E$3:$E$10005&amp;'DMR 001C TIN &amp; TP'!$B$3:$B$10005&amp;'DMR 001C TIN &amp; TP'!$A$3:$A$10005),0),MATCH('Reg 85'!$O$11,'DMR 001C TIN &amp; TP'!$A$2:$M$2,0))),"")</f>
        <v/>
      </c>
      <c r="U165" s="6" t="str">
        <f t="array" ref="U165">_xlfn.IFNA((INDEX('DMR 001C TIN &amp; TP'!$A$3:$M$10005,MATCH(('Reg 85'!$I$6:$Q$6&amp;'Reg 85'!U$10&amp;'Reg 85'!$B165),('DMR 001C TIN &amp; TP'!$E$3:$E$10005&amp;'DMR 001C TIN &amp; TP'!$B$3:$B$10005&amp;'DMR 001C TIN &amp; TP'!$A$3:$A$10005),0),MATCH('Reg 85'!$O$11,'DMR 001C TIN &amp; TP'!$A$2:$M$2,0))),"")</f>
        <v/>
      </c>
      <c r="V165" s="6" t="str">
        <f t="array" ref="V165">_xlfn.IFNA((INDEX('DMR 001C TIN &amp; TP'!$A$3:$M$10005,MATCH(('Reg 85'!$I$6:$Q$6&amp;'Reg 85'!V$10&amp;'Reg 85'!$B165),('DMR 001C TIN &amp; TP'!$E$3:$E$10005&amp;'DMR 001C TIN &amp; TP'!$B$3:$B$10005&amp;'DMR 001C TIN &amp; TP'!$A$3:$A$10005),0),MATCH('Reg 85'!$O$11,'DMR 001C TIN &amp; TP'!$A$2:$M$2,0))),"")</f>
        <v/>
      </c>
      <c r="W165" s="6" t="str">
        <f t="array" ref="W165">_xlfn.IFNA((INDEX('DMR 001C TIN &amp; TP'!$A$3:$M$10005,MATCH(('Reg 85'!$I$6:$Q$6&amp;'Reg 85'!W$10&amp;'Reg 85'!$B165),('DMR 001C TIN &amp; TP'!$E$3:$E$10005&amp;'DMR 001C TIN &amp; TP'!$B$3:$B$10005&amp;'DMR 001C TIN &amp; TP'!$A$3:$A$10005),0),MATCH('Reg 85'!$O$11,'DMR 001C TIN &amp; TP'!$A$2:$M$2,0))),"")</f>
        <v/>
      </c>
      <c r="X165" s="5" t="str">
        <f t="shared" si="71"/>
        <v/>
      </c>
      <c r="Y165" s="6" t="str">
        <f t="array" ref="Y165">_xlfn.IFNA((INDEX('DMR 001C TIN &amp; TP'!$A$3:$M$10005,MATCH(('Reg 85'!$X$6&amp;'Reg 85'!$X$10&amp;'Reg 85'!$B165),('DMR 001C TIN &amp; TP'!$E$3:$E$10005&amp;'DMR 001C TIN &amp; TP'!$B$3:$B$10005&amp;'DMR 001C TIN &amp; TP'!$A$3:$A$10005),0),MATCH('Reg 85'!$Y$11,'DMR 001C TIN &amp; TP'!$A$2:$M$2,0))),"")</f>
        <v/>
      </c>
      <c r="Z165" s="6" t="str">
        <f t="array" ref="Z165">_xlfn.IFNA((INDEX('DMR 001C TIN &amp; TP'!$A$3:$M$10005,MATCH(('Reg 85'!$X$6&amp;'Reg 85'!$X$10&amp;'Reg 85'!$B165),('DMR 001C TIN &amp; TP'!$E$3:$E$10005&amp;'DMR 001C TIN &amp; TP'!$B$3:$B$10005&amp;'DMR 001C TIN &amp; TP'!$A$3:$A$10005),0),MATCH('Reg 85'!$Z$11,'DMR 001C TIN &amp; TP'!$A$2:$M$2,0))),"")</f>
        <v/>
      </c>
      <c r="AA165" s="53" t="str">
        <f t="shared" si="72"/>
        <v/>
      </c>
      <c r="AB165" s="5" t="str">
        <f t="shared" si="73"/>
        <v/>
      </c>
      <c r="AC165" s="6" t="str">
        <f t="array" ref="AC165">_xlfn.IFNA((INDEX('DMR 001C TIN &amp; TP'!$A$3:$M$10005,MATCH(('Reg 85'!$X$6&amp;'Reg 85'!$AB$10&amp;'Reg 85'!$B165),('DMR 001C TIN &amp; TP'!$E$3:$E$10005&amp;'DMR 001C TIN &amp; TP'!$B$3:$B$10005&amp;'DMR 001C TIN &amp; TP'!$A$3:$A$10005),0),MATCH('Reg 85'!$AC$11,'DMR 001C TIN &amp; TP'!$A$2:$M$2,0))),"")</f>
        <v/>
      </c>
      <c r="AD165" s="6" t="str">
        <f t="array" ref="AD165">_xlfn.IFNA((INDEX('DMR 001C TIN &amp; TP'!$A$3:$M$10005,MATCH(('Reg 85'!$X$6&amp;'Reg 85'!$AB$10&amp;'Reg 85'!$B165),('DMR 001C TIN &amp; TP'!$E$3:$E$10005&amp;'DMR 001C TIN &amp; TP'!$B$3:$B$10005&amp;'DMR 001C TIN &amp; TP'!$A$3:$A$10005),0),MATCH('Reg 85'!$AD$11,'DMR 001C TIN &amp; TP'!$A$2:$M$2,0))),"")</f>
        <v/>
      </c>
      <c r="AE165" s="53" t="str">
        <f t="shared" si="74"/>
        <v/>
      </c>
      <c r="AF165" s="7" t="str">
        <f t="shared" si="75"/>
        <v/>
      </c>
      <c r="AG165" s="6" t="str">
        <f t="array" ref="AG165">_xlfn.IFNA((INDEX('DMR 001C TIN &amp; TP'!$A$3:$M$10005,MATCH(('Reg 85'!$X$6&amp;'Reg 85'!AG$10&amp;'Reg 85'!$B165),('DMR 001C TIN &amp; TP'!$E$3:$E$10005&amp;'DMR 001C TIN &amp; TP'!$B$3:$B$10005&amp;'DMR 001C TIN &amp; TP'!$A$3:$A$10005),0),MATCH('Reg 85'!$AG$11,'DMR 001C TIN &amp; TP'!$A$2:$M$2,0))),"")</f>
        <v/>
      </c>
      <c r="AH165" s="6" t="str">
        <f t="array" ref="AH165">_xlfn.IFNA((INDEX('DMR 001C TIN &amp; TP'!$A$3:$M$10005,MATCH(('Reg 85'!$X$6&amp;'Reg 85'!AH$10&amp;'Reg 85'!$B165),('DMR 001C TIN &amp; TP'!$E$3:$E$10005&amp;'DMR 001C TIN &amp; TP'!$B$3:$B$10005&amp;'DMR 001C TIN &amp; TP'!$A$3:$A$10005),0),MATCH('Reg 85'!$AG$11,'DMR 001C TIN &amp; TP'!$A$2:$M$2,0))),"")</f>
        <v/>
      </c>
      <c r="AI165" s="6" t="str">
        <f t="array" ref="AI165">_xlfn.IFNA((INDEX('DMR 001C TIN &amp; TP'!$A$3:$M$10005,MATCH(('Reg 85'!$X$6&amp;'Reg 85'!AI$10&amp;'Reg 85'!$B165),('DMR 001C TIN &amp; TP'!$E$3:$E$10005&amp;'DMR 001C TIN &amp; TP'!$B$3:$B$10005&amp;'DMR 001C TIN &amp; TP'!$A$3:$A$10005),0),MATCH('Reg 85'!$AG$11,'DMR 001C TIN &amp; TP'!$A$2:$M$2,0))),"")</f>
        <v/>
      </c>
      <c r="AJ165" s="6" t="str">
        <f t="array" ref="AJ165">_xlfn.IFNA((INDEX('DMR 001C TIN &amp; TP'!$A$3:$M$10005,MATCH(('Reg 85'!$X$6&amp;'Reg 85'!AJ$10&amp;'Reg 85'!$B165),('DMR 001C TIN &amp; TP'!$E$3:$E$10005&amp;'DMR 001C TIN &amp; TP'!$B$3:$B$10005&amp;'DMR 001C TIN &amp; TP'!$A$3:$A$10005),0),MATCH('Reg 85'!$AG$11,'DMR 001C TIN &amp; TP'!$A$2:$M$2,0))),"")</f>
        <v/>
      </c>
      <c r="AK165" s="6" t="str">
        <f t="array" ref="AK165">_xlfn.IFNA((INDEX('DMR 001C TIN &amp; TP'!$A$3:$M$10005,MATCH(('Reg 85'!$X$6&amp;'Reg 85'!AK$10&amp;'Reg 85'!$B165),('DMR 001C TIN &amp; TP'!$E$3:$E$10005&amp;'DMR 001C TIN &amp; TP'!$B$3:$B$10005&amp;'DMR 001C TIN &amp; TP'!$A$3:$A$10005),0),MATCH('Reg 85'!$AG$11,'DMR 001C TIN &amp; TP'!$A$2:$M$2,0))),"")</f>
        <v/>
      </c>
      <c r="AL165" s="6" t="str">
        <f t="array" ref="AL165">_xlfn.IFNA((INDEX('DMR 001C TIN &amp; TP'!$A$3:$M$10005,MATCH(('Reg 85'!$X$6&amp;'Reg 85'!AL$10&amp;'Reg 85'!$B165),('DMR 001C TIN &amp; TP'!$E$3:$E$10005&amp;'DMR 001C TIN &amp; TP'!$B$3:$B$10005&amp;'DMR 001C TIN &amp; TP'!$A$3:$A$10005),0),MATCH('Reg 85'!$AG$11,'DMR 001C TIN &amp; TP'!$A$2:$M$2,0))),"")</f>
        <v/>
      </c>
      <c r="AM165" s="76"/>
      <c r="AN165" s="6"/>
      <c r="AO165" s="54" t="str">
        <f t="shared" si="62"/>
        <v/>
      </c>
      <c r="AP165" s="77" t="str">
        <f t="shared" si="60"/>
        <v/>
      </c>
      <c r="AQ165" s="47"/>
      <c r="AR165" s="6" t="str">
        <f t="array" ref="AR165">_xlfn.IFNA((INDEX('DMR 001C TIN &amp; TP'!$A$3:$M$10005,MATCH(('Reg 85'!$AQ$6&amp;'Reg 85'!$AQ$10&amp;'Reg 85'!$B165),('DMR 001C TIN &amp; TP'!$E$3:$E$10005&amp;'DMR 001C TIN &amp; TP'!$B$3:$B$10005&amp;'DMR 001C TIN &amp; TP'!$A$3:$A$10005),0),MATCH('Reg 85'!$AR$11,'DMR 001C TIN &amp; TP'!$A$2:$M$2,0))),"")</f>
        <v>0.03</v>
      </c>
      <c r="AS165" s="6">
        <f t="array" ref="AS165">_xlfn.IFNA((INDEX('DMR 001C TIN &amp; TP'!$A$3:$M$10005,MATCH(('Reg 85'!$AQ$6&amp;'Reg 85'!$AQ$10&amp;'Reg 85'!$B165),('DMR 001C TIN &amp; TP'!$E$3:$E$10005&amp;'DMR 001C TIN &amp; TP'!$B$3:$B$10005&amp;'DMR 001C TIN &amp; TP'!$A$3:$A$10005),0),MATCH('Reg 85'!$AS$11,'DMR 001C TIN &amp; TP'!$A$2:$M$2,0))),"")</f>
        <v>0.42</v>
      </c>
      <c r="AT165" s="53">
        <f t="shared" si="76"/>
        <v>0.42</v>
      </c>
      <c r="AV165" s="6" t="str">
        <f t="array" ref="AV165">_xlfn.IFNA((INDEX('DMR 001C TIN &amp; TP'!$A$3:$M$10005,MATCH(('Reg 85'!$AQ$6&amp;'Reg 85'!$AU$10&amp;'Reg 85'!$B165),('DMR 001C TIN &amp; TP'!$E$3:$E$10005&amp;'DMR 001C TIN &amp; TP'!$B$3:$B$10005&amp;'DMR 001C TIN &amp; TP'!$A$3:$A$10005),0),MATCH('Reg 85'!$AV$11,'DMR 001C TIN &amp; TP'!$A$2:$M$2,0))),"")</f>
        <v>0.03</v>
      </c>
      <c r="AW165" s="6">
        <f t="array" ref="AW165">_xlfn.IFNA((INDEX('DMR 001C TIN &amp; TP'!$A$3:$M$10005,MATCH(('Reg 85'!$AQ$6&amp;'Reg 85'!$AU$10&amp;'Reg 85'!$B165),('DMR 001C TIN &amp; TP'!$E$3:$E$10005&amp;'DMR 001C TIN &amp; TP'!$B$3:$B$10005&amp;'DMR 001C TIN &amp; TP'!$A$3:$A$10005),0),MATCH('Reg 85'!$AW$11,'DMR 001C TIN &amp; TP'!$A$2:$M$2,0))),"")</f>
        <v>4.6399999999999997</v>
      </c>
      <c r="AX165" s="53">
        <f t="shared" si="77"/>
        <v>4.6399999999999997</v>
      </c>
      <c r="AY165" s="55">
        <f t="shared" si="78"/>
        <v>2.7500565966733155</v>
      </c>
      <c r="AZ165" s="77" t="str">
        <f t="shared" si="61"/>
        <v/>
      </c>
      <c r="BA165" s="6" t="str">
        <f t="array" ref="BA165">_xlfn.IFNA((INDEX('DMR 001C TIN &amp; TP'!$A$3:$M$10005,MATCH(('Reg 85'!$AQ$6&amp;'Reg 85'!BA$10&amp;'Reg 85'!$B165),('DMR 001C TIN &amp; TP'!$E$3:$E$10005&amp;'DMR 001C TIN &amp; TP'!$B$3:$B$10005&amp;'DMR 001C TIN &amp; TP'!$A$3:$A$10005),0),MATCH('Reg 85'!$AG$11,'DMR 001C TIN &amp; TP'!$A$2:$M$2,0))),"")</f>
        <v/>
      </c>
      <c r="BB165" s="6" t="str">
        <f t="array" ref="BB165">_xlfn.IFNA((INDEX('DMR 001C TIN &amp; TP'!$A$3:$M$10005,MATCH(('Reg 85'!$AQ$6&amp;'Reg 85'!BB$10&amp;'Reg 85'!$B165),('DMR 001C TIN &amp; TP'!$E$3:$E$10005&amp;'DMR 001C TIN &amp; TP'!$B$3:$B$10005&amp;'DMR 001C TIN &amp; TP'!$A$3:$A$10005),0),MATCH('Reg 85'!$AG$11,'DMR 001C TIN &amp; TP'!$A$2:$M$2,0))),"")</f>
        <v/>
      </c>
      <c r="BC165" s="6" t="str">
        <f t="array" ref="BC165">_xlfn.IFNA((INDEX('DMR 001C TIN &amp; TP'!$A$3:$M$10005,MATCH(('Reg 85'!$AQ$6&amp;'Reg 85'!BC$10&amp;'Reg 85'!$B165),('DMR 001C TIN &amp; TP'!$E$3:$E$10005&amp;'DMR 001C TIN &amp; TP'!$B$3:$B$10005&amp;'DMR 001C TIN &amp; TP'!$A$3:$A$10005),0),MATCH('Reg 85'!$AG$11,'DMR 001C TIN &amp; TP'!$A$2:$M$2,0))),"")</f>
        <v/>
      </c>
      <c r="BD165" s="6" t="str">
        <f t="array" ref="BD165">_xlfn.IFNA((INDEX('DMR 001C TIN &amp; TP'!$A$3:$M$10005,MATCH(('Reg 85'!$AQ$6&amp;'Reg 85'!BD$10&amp;'Reg 85'!$B165),('DMR 001C TIN &amp; TP'!$E$3:$E$10005&amp;'DMR 001C TIN &amp; TP'!$B$3:$B$10005&amp;'DMR 001C TIN &amp; TP'!$A$3:$A$10005),0),MATCH('Reg 85'!$AG$11,'DMR 001C TIN &amp; TP'!$A$2:$M$2,0))),"")</f>
        <v/>
      </c>
      <c r="BE165" s="6" t="str">
        <f t="array" ref="BE165">_xlfn.IFNA((INDEX('DMR 001C TIN &amp; TP'!$A$3:$M$10005,MATCH(('Reg 85'!$AQ$6&amp;'Reg 85'!BE$10&amp;'Reg 85'!$B165),('DMR 001C TIN &amp; TP'!$E$3:$E$10005&amp;'DMR 001C TIN &amp; TP'!$B$3:$B$10005&amp;'DMR 001C TIN &amp; TP'!$A$3:$A$10005),0),MATCH('Reg 85'!$AG$11,'DMR 001C TIN &amp; TP'!$A$2:$M$2,0))),"")</f>
        <v/>
      </c>
      <c r="BF165" s="6" t="str">
        <f t="array" ref="BF165">_xlfn.IFNA((INDEX('DMR 001C TIN &amp; TP'!$A$3:$M$10005,MATCH(('Reg 85'!$AQ$6&amp;'Reg 85'!BF$10&amp;'Reg 85'!$B165),('DMR 001C TIN &amp; TP'!$E$3:$E$10005&amp;'DMR 001C TIN &amp; TP'!$B$3:$B$10005&amp;'DMR 001C TIN &amp; TP'!$A$3:$A$10005),0),MATCH('Reg 85'!$AG$11,'DMR 001C TIN &amp; TP'!$A$2:$M$2,0))),"")</f>
        <v/>
      </c>
    </row>
    <row r="166" spans="1:58">
      <c r="A166" s="3" t="str">
        <f t="shared" si="63"/>
        <v>Sat</v>
      </c>
      <c r="B166" s="96">
        <f t="shared" si="79"/>
        <v>43498</v>
      </c>
      <c r="C166" s="96">
        <f t="shared" si="64"/>
        <v>43524</v>
      </c>
      <c r="D166" s="96">
        <f t="shared" si="65"/>
        <v>43497</v>
      </c>
      <c r="E166" s="95">
        <f t="shared" si="66"/>
        <v>28</v>
      </c>
      <c r="F166" s="7">
        <f t="array" ref="F166">_xlfn.IFNA(INDEX('DMR Flows-Effluent'!$A$3:$F$9999,MATCH(($F$10&amp;$B166),('DMR Flows-Effluent'!$B$3:$B$9999&amp;'DMR Flows-Effluent'!$A$3:$A$9999),0),MATCH($F$8,'DMR Flows-Effluent'!$A$2:$F$2,0)),"")</f>
        <v>51.397300000000001</v>
      </c>
      <c r="G166" s="7">
        <f t="array" ref="G166">_xlfn.IFNA(INDEX('DMR Flows-Effluent'!$A$3:$F$9999,MATCH(($G$10&amp;$B166),('DMR Flows-Effluent'!$B$3:$B$9999&amp;'DMR Flows-Effluent'!$A$3:$A$9999),0),MATCH($F$8,'DMR Flows-Effluent'!$A$2:$F$2,0)),"")</f>
        <v>71.382000000000005</v>
      </c>
      <c r="H166" s="7">
        <f t="shared" si="67"/>
        <v>122.77930000000001</v>
      </c>
      <c r="I166" s="45" t="str">
        <f t="shared" si="68"/>
        <v/>
      </c>
      <c r="J166" s="6" t="str">
        <f t="array" ref="J166">_xlfn.IFNA((INDEX('DMR 001C TIN &amp; TP'!$A$3:$M$10005,MATCH(('Reg 85'!$I$6:$Q$6&amp;'Reg 85'!$I$10:$K$10&amp;'Reg 85'!$B166),('DMR 001C TIN &amp; TP'!$E$3:$E$10005&amp;'DMR 001C TIN &amp; TP'!$B$3:$B$10005&amp;'DMR 001C TIN &amp; TP'!$A$3:$A$10005),0),MATCH('Reg 85'!$J$11,'DMR 001C TIN &amp; TP'!$A$2:$M$2,0))),"")</f>
        <v/>
      </c>
      <c r="K166" s="6" t="str">
        <f t="array" ref="K166">_xlfn.IFNA((INDEX('DMR 001C TIN &amp; TP'!$A$3:$M$10005,MATCH(('Reg 85'!$I$6:$Q$6&amp;'Reg 85'!$I$10:$K$10&amp;'Reg 85'!$B166),('DMR 001C TIN &amp; TP'!$E$3:$E$10005&amp;'DMR 001C TIN &amp; TP'!$B$3:$B$10005&amp;'DMR 001C TIN &amp; TP'!$A$3:$A$10005),0),MATCH('Reg 85'!$K$11,'DMR 001C TIN &amp; TP'!$A$2:$M$2,0))),"")</f>
        <v/>
      </c>
      <c r="L166" s="53" t="str">
        <f t="shared" si="80"/>
        <v/>
      </c>
      <c r="M166" s="5" t="str">
        <f t="shared" si="69"/>
        <v/>
      </c>
      <c r="N166" s="6" t="str">
        <f t="array" ref="N166">_xlfn.IFNA((INDEX('DMR 001C TIN &amp; TP'!$A$3:$M$10005,MATCH(('Reg 85'!$I$6:$Q$6&amp;'Reg 85'!$M$10&amp;'Reg 85'!$B166),('DMR 001C TIN &amp; TP'!$E$3:$E$10005&amp;'DMR 001C TIN &amp; TP'!$B$3:$B$10005&amp;'DMR 001C TIN &amp; TP'!$A$3:$A$10005),0),MATCH('Reg 85'!$N$11,'DMR 001C TIN &amp; TP'!$A$2:$M$2,0))),"")</f>
        <v/>
      </c>
      <c r="O166" s="6" t="str">
        <f t="array" ref="O166">_xlfn.IFNA((INDEX('DMR 001C TIN &amp; TP'!$A$3:$M$10005,MATCH(('Reg 85'!$I$6:$Q$6&amp;'Reg 85'!$M$10&amp;'Reg 85'!$B166),('DMR 001C TIN &amp; TP'!$E$3:$E$10005&amp;'DMR 001C TIN &amp; TP'!$B$3:$B$10005&amp;'DMR 001C TIN &amp; TP'!$A$3:$A$10005),0),MATCH('Reg 85'!$O$11,'DMR 001C TIN &amp; TP'!$A$2:$M$2,0))),"")</f>
        <v/>
      </c>
      <c r="P166" s="53" t="str">
        <f t="shared" si="70"/>
        <v/>
      </c>
      <c r="Q166" s="73" t="str">
        <f t="array" ref="Q166">IFERROR(((L166*$F166)+(P166*$G166))/($H166),"")</f>
        <v/>
      </c>
      <c r="R166" s="6" t="str">
        <f t="array" ref="R166">_xlfn.IFNA((INDEX('DMR 001C TIN &amp; TP'!$A$3:$M$10005,MATCH(('Reg 85'!$I$6:$Q$6&amp;'Reg 85'!R$10&amp;'Reg 85'!$B166),('DMR 001C TIN &amp; TP'!$E$3:$E$10005&amp;'DMR 001C TIN &amp; TP'!$B$3:$B$10005&amp;'DMR 001C TIN &amp; TP'!$A$3:$A$10005),0),MATCH('Reg 85'!$O$11,'DMR 001C TIN &amp; TP'!$A$2:$M$2,0))),"")</f>
        <v/>
      </c>
      <c r="S166" s="6" t="str">
        <f t="array" ref="S166">_xlfn.IFNA((INDEX('DMR 001C TIN &amp; TP'!$A$3:$M$10005,MATCH(('Reg 85'!$I$6:$Q$6&amp;'Reg 85'!S$10&amp;'Reg 85'!$B166),('DMR 001C TIN &amp; TP'!$E$3:$E$10005&amp;'DMR 001C TIN &amp; TP'!$B$3:$B$10005&amp;'DMR 001C TIN &amp; TP'!$A$3:$A$10005),0),MATCH('Reg 85'!$O$11,'DMR 001C TIN &amp; TP'!$A$2:$M$2,0))),"")</f>
        <v/>
      </c>
      <c r="T166" s="6" t="str">
        <f t="array" ref="T166">_xlfn.IFNA((INDEX('DMR 001C TIN &amp; TP'!$A$3:$M$10005,MATCH(('Reg 85'!$I$6:$Q$6&amp;'Reg 85'!T$10&amp;'Reg 85'!$B166),('DMR 001C TIN &amp; TP'!$E$3:$E$10005&amp;'DMR 001C TIN &amp; TP'!$B$3:$B$10005&amp;'DMR 001C TIN &amp; TP'!$A$3:$A$10005),0),MATCH('Reg 85'!$O$11,'DMR 001C TIN &amp; TP'!$A$2:$M$2,0))),"")</f>
        <v/>
      </c>
      <c r="U166" s="6" t="str">
        <f t="array" ref="U166">_xlfn.IFNA((INDEX('DMR 001C TIN &amp; TP'!$A$3:$M$10005,MATCH(('Reg 85'!$I$6:$Q$6&amp;'Reg 85'!U$10&amp;'Reg 85'!$B166),('DMR 001C TIN &amp; TP'!$E$3:$E$10005&amp;'DMR 001C TIN &amp; TP'!$B$3:$B$10005&amp;'DMR 001C TIN &amp; TP'!$A$3:$A$10005),0),MATCH('Reg 85'!$O$11,'DMR 001C TIN &amp; TP'!$A$2:$M$2,0))),"")</f>
        <v/>
      </c>
      <c r="V166" s="6" t="str">
        <f t="array" ref="V166">_xlfn.IFNA((INDEX('DMR 001C TIN &amp; TP'!$A$3:$M$10005,MATCH(('Reg 85'!$I$6:$Q$6&amp;'Reg 85'!V$10&amp;'Reg 85'!$B166),('DMR 001C TIN &amp; TP'!$E$3:$E$10005&amp;'DMR 001C TIN &amp; TP'!$B$3:$B$10005&amp;'DMR 001C TIN &amp; TP'!$A$3:$A$10005),0),MATCH('Reg 85'!$O$11,'DMR 001C TIN &amp; TP'!$A$2:$M$2,0))),"")</f>
        <v/>
      </c>
      <c r="W166" s="6" t="str">
        <f t="array" ref="W166">_xlfn.IFNA((INDEX('DMR 001C TIN &amp; TP'!$A$3:$M$10005,MATCH(('Reg 85'!$I$6:$Q$6&amp;'Reg 85'!W$10&amp;'Reg 85'!$B166),('DMR 001C TIN &amp; TP'!$E$3:$E$10005&amp;'DMR 001C TIN &amp; TP'!$B$3:$B$10005&amp;'DMR 001C TIN &amp; TP'!$A$3:$A$10005),0),MATCH('Reg 85'!$O$11,'DMR 001C TIN &amp; TP'!$A$2:$M$2,0))),"")</f>
        <v/>
      </c>
      <c r="X166" s="5" t="str">
        <f t="shared" si="71"/>
        <v/>
      </c>
      <c r="Y166" s="6" t="str">
        <f t="array" ref="Y166">_xlfn.IFNA((INDEX('DMR 001C TIN &amp; TP'!$A$3:$M$10005,MATCH(('Reg 85'!$X$6&amp;'Reg 85'!$X$10&amp;'Reg 85'!$B166),('DMR 001C TIN &amp; TP'!$E$3:$E$10005&amp;'DMR 001C TIN &amp; TP'!$B$3:$B$10005&amp;'DMR 001C TIN &amp; TP'!$A$3:$A$10005),0),MATCH('Reg 85'!$Y$11,'DMR 001C TIN &amp; TP'!$A$2:$M$2,0))),"")</f>
        <v/>
      </c>
      <c r="Z166" s="6" t="str">
        <f t="array" ref="Z166">_xlfn.IFNA((INDEX('DMR 001C TIN &amp; TP'!$A$3:$M$10005,MATCH(('Reg 85'!$X$6&amp;'Reg 85'!$X$10&amp;'Reg 85'!$B166),('DMR 001C TIN &amp; TP'!$E$3:$E$10005&amp;'DMR 001C TIN &amp; TP'!$B$3:$B$10005&amp;'DMR 001C TIN &amp; TP'!$A$3:$A$10005),0),MATCH('Reg 85'!$Z$11,'DMR 001C TIN &amp; TP'!$A$2:$M$2,0))),"")</f>
        <v/>
      </c>
      <c r="AA166" s="53" t="str">
        <f t="shared" si="72"/>
        <v/>
      </c>
      <c r="AB166" s="5" t="str">
        <f t="shared" si="73"/>
        <v/>
      </c>
      <c r="AC166" s="6" t="str">
        <f t="array" ref="AC166">_xlfn.IFNA((INDEX('DMR 001C TIN &amp; TP'!$A$3:$M$10005,MATCH(('Reg 85'!$X$6&amp;'Reg 85'!$AB$10&amp;'Reg 85'!$B166),('DMR 001C TIN &amp; TP'!$E$3:$E$10005&amp;'DMR 001C TIN &amp; TP'!$B$3:$B$10005&amp;'DMR 001C TIN &amp; TP'!$A$3:$A$10005),0),MATCH('Reg 85'!$AC$11,'DMR 001C TIN &amp; TP'!$A$2:$M$2,0))),"")</f>
        <v/>
      </c>
      <c r="AD166" s="6" t="str">
        <f t="array" ref="AD166">_xlfn.IFNA((INDEX('DMR 001C TIN &amp; TP'!$A$3:$M$10005,MATCH(('Reg 85'!$X$6&amp;'Reg 85'!$AB$10&amp;'Reg 85'!$B166),('DMR 001C TIN &amp; TP'!$E$3:$E$10005&amp;'DMR 001C TIN &amp; TP'!$B$3:$B$10005&amp;'DMR 001C TIN &amp; TP'!$A$3:$A$10005),0),MATCH('Reg 85'!$AD$11,'DMR 001C TIN &amp; TP'!$A$2:$M$2,0))),"")</f>
        <v/>
      </c>
      <c r="AE166" s="53" t="str">
        <f t="shared" si="74"/>
        <v/>
      </c>
      <c r="AF166" s="7" t="str">
        <f t="shared" si="75"/>
        <v/>
      </c>
      <c r="AG166" s="6" t="str">
        <f t="array" ref="AG166">_xlfn.IFNA((INDEX('DMR 001C TIN &amp; TP'!$A$3:$M$10005,MATCH(('Reg 85'!$X$6&amp;'Reg 85'!AG$10&amp;'Reg 85'!$B166),('DMR 001C TIN &amp; TP'!$E$3:$E$10005&amp;'DMR 001C TIN &amp; TP'!$B$3:$B$10005&amp;'DMR 001C TIN &amp; TP'!$A$3:$A$10005),0),MATCH('Reg 85'!$AG$11,'DMR 001C TIN &amp; TP'!$A$2:$M$2,0))),"")</f>
        <v/>
      </c>
      <c r="AH166" s="6" t="str">
        <f t="array" ref="AH166">_xlfn.IFNA((INDEX('DMR 001C TIN &amp; TP'!$A$3:$M$10005,MATCH(('Reg 85'!$X$6&amp;'Reg 85'!AH$10&amp;'Reg 85'!$B166),('DMR 001C TIN &amp; TP'!$E$3:$E$10005&amp;'DMR 001C TIN &amp; TP'!$B$3:$B$10005&amp;'DMR 001C TIN &amp; TP'!$A$3:$A$10005),0),MATCH('Reg 85'!$AG$11,'DMR 001C TIN &amp; TP'!$A$2:$M$2,0))),"")</f>
        <v/>
      </c>
      <c r="AI166" s="6" t="str">
        <f t="array" ref="AI166">_xlfn.IFNA((INDEX('DMR 001C TIN &amp; TP'!$A$3:$M$10005,MATCH(('Reg 85'!$X$6&amp;'Reg 85'!AI$10&amp;'Reg 85'!$B166),('DMR 001C TIN &amp; TP'!$E$3:$E$10005&amp;'DMR 001C TIN &amp; TP'!$B$3:$B$10005&amp;'DMR 001C TIN &amp; TP'!$A$3:$A$10005),0),MATCH('Reg 85'!$AG$11,'DMR 001C TIN &amp; TP'!$A$2:$M$2,0))),"")</f>
        <v/>
      </c>
      <c r="AJ166" s="6" t="str">
        <f t="array" ref="AJ166">_xlfn.IFNA((INDEX('DMR 001C TIN &amp; TP'!$A$3:$M$10005,MATCH(('Reg 85'!$X$6&amp;'Reg 85'!AJ$10&amp;'Reg 85'!$B166),('DMR 001C TIN &amp; TP'!$E$3:$E$10005&amp;'DMR 001C TIN &amp; TP'!$B$3:$B$10005&amp;'DMR 001C TIN &amp; TP'!$A$3:$A$10005),0),MATCH('Reg 85'!$AG$11,'DMR 001C TIN &amp; TP'!$A$2:$M$2,0))),"")</f>
        <v/>
      </c>
      <c r="AK166" s="6" t="str">
        <f t="array" ref="AK166">_xlfn.IFNA((INDEX('DMR 001C TIN &amp; TP'!$A$3:$M$10005,MATCH(('Reg 85'!$X$6&amp;'Reg 85'!AK$10&amp;'Reg 85'!$B166),('DMR 001C TIN &amp; TP'!$E$3:$E$10005&amp;'DMR 001C TIN &amp; TP'!$B$3:$B$10005&amp;'DMR 001C TIN &amp; TP'!$A$3:$A$10005),0),MATCH('Reg 85'!$AG$11,'DMR 001C TIN &amp; TP'!$A$2:$M$2,0))),"")</f>
        <v/>
      </c>
      <c r="AL166" s="6" t="str">
        <f t="array" ref="AL166">_xlfn.IFNA((INDEX('DMR 001C TIN &amp; TP'!$A$3:$M$10005,MATCH(('Reg 85'!$X$6&amp;'Reg 85'!AL$10&amp;'Reg 85'!$B166),('DMR 001C TIN &amp; TP'!$E$3:$E$10005&amp;'DMR 001C TIN &amp; TP'!$B$3:$B$10005&amp;'DMR 001C TIN &amp; TP'!$A$3:$A$10005),0),MATCH('Reg 85'!$AG$11,'DMR 001C TIN &amp; TP'!$A$2:$M$2,0))),"")</f>
        <v/>
      </c>
      <c r="AM166" s="76"/>
      <c r="AN166" s="6"/>
      <c r="AO166" s="54" t="str">
        <f t="shared" si="62"/>
        <v/>
      </c>
      <c r="AP166" s="77" t="str">
        <f t="shared" si="60"/>
        <v/>
      </c>
      <c r="AQ166" s="47"/>
      <c r="AR166" s="6" t="str">
        <f t="array" ref="AR166">_xlfn.IFNA((INDEX('DMR 001C TIN &amp; TP'!$A$3:$M$10005,MATCH(('Reg 85'!$AQ$6&amp;'Reg 85'!$AQ$10&amp;'Reg 85'!$B166),('DMR 001C TIN &amp; TP'!$E$3:$E$10005&amp;'DMR 001C TIN &amp; TP'!$B$3:$B$10005&amp;'DMR 001C TIN &amp; TP'!$A$3:$A$10005),0),MATCH('Reg 85'!$AR$11,'DMR 001C TIN &amp; TP'!$A$2:$M$2,0))),"")</f>
        <v/>
      </c>
      <c r="AS166" s="6" t="str">
        <f t="array" ref="AS166">_xlfn.IFNA((INDEX('DMR 001C TIN &amp; TP'!$A$3:$M$10005,MATCH(('Reg 85'!$AQ$6&amp;'Reg 85'!$AQ$10&amp;'Reg 85'!$B166),('DMR 001C TIN &amp; TP'!$E$3:$E$10005&amp;'DMR 001C TIN &amp; TP'!$B$3:$B$10005&amp;'DMR 001C TIN &amp; TP'!$A$3:$A$10005),0),MATCH('Reg 85'!$AS$11,'DMR 001C TIN &amp; TP'!$A$2:$M$2,0))),"")</f>
        <v/>
      </c>
      <c r="AT166" s="53" t="str">
        <f t="shared" si="76"/>
        <v/>
      </c>
      <c r="AV166" s="6" t="str">
        <f t="array" ref="AV166">_xlfn.IFNA((INDEX('DMR 001C TIN &amp; TP'!$A$3:$M$10005,MATCH(('Reg 85'!$AQ$6&amp;'Reg 85'!$AU$10&amp;'Reg 85'!$B166),('DMR 001C TIN &amp; TP'!$E$3:$E$10005&amp;'DMR 001C TIN &amp; TP'!$B$3:$B$10005&amp;'DMR 001C TIN &amp; TP'!$A$3:$A$10005),0),MATCH('Reg 85'!$AV$11,'DMR 001C TIN &amp; TP'!$A$2:$M$2,0))),"")</f>
        <v/>
      </c>
      <c r="AW166" s="6" t="str">
        <f t="array" ref="AW166">_xlfn.IFNA((INDEX('DMR 001C TIN &amp; TP'!$A$3:$M$10005,MATCH(('Reg 85'!$AQ$6&amp;'Reg 85'!$AU$10&amp;'Reg 85'!$B166),('DMR 001C TIN &amp; TP'!$E$3:$E$10005&amp;'DMR 001C TIN &amp; TP'!$B$3:$B$10005&amp;'DMR 001C TIN &amp; TP'!$A$3:$A$10005),0),MATCH('Reg 85'!$AW$11,'DMR 001C TIN &amp; TP'!$A$2:$M$2,0))),"")</f>
        <v/>
      </c>
      <c r="AX166" s="53" t="str">
        <f t="shared" si="77"/>
        <v/>
      </c>
      <c r="AY166" s="55" t="str">
        <f t="shared" si="78"/>
        <v/>
      </c>
      <c r="AZ166" s="77" t="str">
        <f t="shared" si="61"/>
        <v/>
      </c>
      <c r="BA166" s="6" t="str">
        <f t="array" ref="BA166">_xlfn.IFNA((INDEX('DMR 001C TIN &amp; TP'!$A$3:$M$10005,MATCH(('Reg 85'!$AQ$6&amp;'Reg 85'!BA$10&amp;'Reg 85'!$B166),('DMR 001C TIN &amp; TP'!$E$3:$E$10005&amp;'DMR 001C TIN &amp; TP'!$B$3:$B$10005&amp;'DMR 001C TIN &amp; TP'!$A$3:$A$10005),0),MATCH('Reg 85'!$AG$11,'DMR 001C TIN &amp; TP'!$A$2:$M$2,0))),"")</f>
        <v/>
      </c>
      <c r="BB166" s="6" t="str">
        <f t="array" ref="BB166">_xlfn.IFNA((INDEX('DMR 001C TIN &amp; TP'!$A$3:$M$10005,MATCH(('Reg 85'!$AQ$6&amp;'Reg 85'!BB$10&amp;'Reg 85'!$B166),('DMR 001C TIN &amp; TP'!$E$3:$E$10005&amp;'DMR 001C TIN &amp; TP'!$B$3:$B$10005&amp;'DMR 001C TIN &amp; TP'!$A$3:$A$10005),0),MATCH('Reg 85'!$AG$11,'DMR 001C TIN &amp; TP'!$A$2:$M$2,0))),"")</f>
        <v/>
      </c>
      <c r="BC166" s="6" t="str">
        <f t="array" ref="BC166">_xlfn.IFNA((INDEX('DMR 001C TIN &amp; TP'!$A$3:$M$10005,MATCH(('Reg 85'!$AQ$6&amp;'Reg 85'!BC$10&amp;'Reg 85'!$B166),('DMR 001C TIN &amp; TP'!$E$3:$E$10005&amp;'DMR 001C TIN &amp; TP'!$B$3:$B$10005&amp;'DMR 001C TIN &amp; TP'!$A$3:$A$10005),0),MATCH('Reg 85'!$AG$11,'DMR 001C TIN &amp; TP'!$A$2:$M$2,0))),"")</f>
        <v/>
      </c>
      <c r="BD166" s="6" t="str">
        <f t="array" ref="BD166">_xlfn.IFNA((INDEX('DMR 001C TIN &amp; TP'!$A$3:$M$10005,MATCH(('Reg 85'!$AQ$6&amp;'Reg 85'!BD$10&amp;'Reg 85'!$B166),('DMR 001C TIN &amp; TP'!$E$3:$E$10005&amp;'DMR 001C TIN &amp; TP'!$B$3:$B$10005&amp;'DMR 001C TIN &amp; TP'!$A$3:$A$10005),0),MATCH('Reg 85'!$AG$11,'DMR 001C TIN &amp; TP'!$A$2:$M$2,0))),"")</f>
        <v/>
      </c>
      <c r="BE166" s="6" t="str">
        <f t="array" ref="BE166">_xlfn.IFNA((INDEX('DMR 001C TIN &amp; TP'!$A$3:$M$10005,MATCH(('Reg 85'!$AQ$6&amp;'Reg 85'!BE$10&amp;'Reg 85'!$B166),('DMR 001C TIN &amp; TP'!$E$3:$E$10005&amp;'DMR 001C TIN &amp; TP'!$B$3:$B$10005&amp;'DMR 001C TIN &amp; TP'!$A$3:$A$10005),0),MATCH('Reg 85'!$AG$11,'DMR 001C TIN &amp; TP'!$A$2:$M$2,0))),"")</f>
        <v/>
      </c>
      <c r="BF166" s="6" t="str">
        <f t="array" ref="BF166">_xlfn.IFNA((INDEX('DMR 001C TIN &amp; TP'!$A$3:$M$10005,MATCH(('Reg 85'!$AQ$6&amp;'Reg 85'!BF$10&amp;'Reg 85'!$B166),('DMR 001C TIN &amp; TP'!$E$3:$E$10005&amp;'DMR 001C TIN &amp; TP'!$B$3:$B$10005&amp;'DMR 001C TIN &amp; TP'!$A$3:$A$10005),0),MATCH('Reg 85'!$AG$11,'DMR 001C TIN &amp; TP'!$A$2:$M$2,0))),"")</f>
        <v/>
      </c>
    </row>
    <row r="167" spans="1:58">
      <c r="A167" s="3" t="str">
        <f t="shared" si="63"/>
        <v>Sun</v>
      </c>
      <c r="B167" s="96">
        <f t="shared" si="79"/>
        <v>43499</v>
      </c>
      <c r="C167" s="96">
        <f t="shared" si="64"/>
        <v>43524</v>
      </c>
      <c r="D167" s="96">
        <f t="shared" si="65"/>
        <v>43497</v>
      </c>
      <c r="E167" s="95">
        <f t="shared" si="66"/>
        <v>28</v>
      </c>
      <c r="F167" s="7">
        <f t="array" ref="F167">_xlfn.IFNA(INDEX('DMR Flows-Effluent'!$A$3:$F$9999,MATCH(($F$10&amp;$B167),('DMR Flows-Effluent'!$B$3:$B$9999&amp;'DMR Flows-Effluent'!$A$3:$A$9999),0),MATCH($F$8,'DMR Flows-Effluent'!$A$2:$F$2,0)),"")</f>
        <v>52.112400000000001</v>
      </c>
      <c r="G167" s="7">
        <f t="array" ref="G167">_xlfn.IFNA(INDEX('DMR Flows-Effluent'!$A$3:$F$9999,MATCH(($G$10&amp;$B167),('DMR Flows-Effluent'!$B$3:$B$9999&amp;'DMR Flows-Effluent'!$A$3:$A$9999),0),MATCH($F$8,'DMR Flows-Effluent'!$A$2:$F$2,0)),"")</f>
        <v>77.572199999999995</v>
      </c>
      <c r="H167" s="7">
        <f t="shared" si="67"/>
        <v>129.68459999999999</v>
      </c>
      <c r="I167" s="45" t="str">
        <f t="shared" si="68"/>
        <v/>
      </c>
      <c r="J167" s="6" t="str">
        <f t="array" ref="J167">_xlfn.IFNA((INDEX('DMR 001C TIN &amp; TP'!$A$3:$M$10005,MATCH(('Reg 85'!$I$6:$Q$6&amp;'Reg 85'!$I$10:$K$10&amp;'Reg 85'!$B167),('DMR 001C TIN &amp; TP'!$E$3:$E$10005&amp;'DMR 001C TIN &amp; TP'!$B$3:$B$10005&amp;'DMR 001C TIN &amp; TP'!$A$3:$A$10005),0),MATCH('Reg 85'!$J$11,'DMR 001C TIN &amp; TP'!$A$2:$M$2,0))),"")</f>
        <v/>
      </c>
      <c r="K167" s="6" t="str">
        <f t="array" ref="K167">_xlfn.IFNA((INDEX('DMR 001C TIN &amp; TP'!$A$3:$M$10005,MATCH(('Reg 85'!$I$6:$Q$6&amp;'Reg 85'!$I$10:$K$10&amp;'Reg 85'!$B167),('DMR 001C TIN &amp; TP'!$E$3:$E$10005&amp;'DMR 001C TIN &amp; TP'!$B$3:$B$10005&amp;'DMR 001C TIN &amp; TP'!$A$3:$A$10005),0),MATCH('Reg 85'!$K$11,'DMR 001C TIN &amp; TP'!$A$2:$M$2,0))),"")</f>
        <v/>
      </c>
      <c r="L167" s="53" t="str">
        <f t="shared" si="80"/>
        <v/>
      </c>
      <c r="M167" s="5" t="str">
        <f t="shared" si="69"/>
        <v/>
      </c>
      <c r="N167" s="6" t="str">
        <f t="array" ref="N167">_xlfn.IFNA((INDEX('DMR 001C TIN &amp; TP'!$A$3:$M$10005,MATCH(('Reg 85'!$I$6:$Q$6&amp;'Reg 85'!$M$10&amp;'Reg 85'!$B167),('DMR 001C TIN &amp; TP'!$E$3:$E$10005&amp;'DMR 001C TIN &amp; TP'!$B$3:$B$10005&amp;'DMR 001C TIN &amp; TP'!$A$3:$A$10005),0),MATCH('Reg 85'!$N$11,'DMR 001C TIN &amp; TP'!$A$2:$M$2,0))),"")</f>
        <v/>
      </c>
      <c r="O167" s="6" t="str">
        <f t="array" ref="O167">_xlfn.IFNA((INDEX('DMR 001C TIN &amp; TP'!$A$3:$M$10005,MATCH(('Reg 85'!$I$6:$Q$6&amp;'Reg 85'!$M$10&amp;'Reg 85'!$B167),('DMR 001C TIN &amp; TP'!$E$3:$E$10005&amp;'DMR 001C TIN &amp; TP'!$B$3:$B$10005&amp;'DMR 001C TIN &amp; TP'!$A$3:$A$10005),0),MATCH('Reg 85'!$O$11,'DMR 001C TIN &amp; TP'!$A$2:$M$2,0))),"")</f>
        <v/>
      </c>
      <c r="P167" s="53" t="str">
        <f t="shared" si="70"/>
        <v/>
      </c>
      <c r="Q167" s="73" t="str">
        <f t="array" ref="Q167">IFERROR(((L167*$F167)+(P167*$G167))/($H167),"")</f>
        <v/>
      </c>
      <c r="R167" s="6" t="str">
        <f t="array" ref="R167">_xlfn.IFNA((INDEX('DMR 001C TIN &amp; TP'!$A$3:$M$10005,MATCH(('Reg 85'!$I$6:$Q$6&amp;'Reg 85'!R$10&amp;'Reg 85'!$B167),('DMR 001C TIN &amp; TP'!$E$3:$E$10005&amp;'DMR 001C TIN &amp; TP'!$B$3:$B$10005&amp;'DMR 001C TIN &amp; TP'!$A$3:$A$10005),0),MATCH('Reg 85'!$O$11,'DMR 001C TIN &amp; TP'!$A$2:$M$2,0))),"")</f>
        <v/>
      </c>
      <c r="S167" s="6" t="str">
        <f t="array" ref="S167">_xlfn.IFNA((INDEX('DMR 001C TIN &amp; TP'!$A$3:$M$10005,MATCH(('Reg 85'!$I$6:$Q$6&amp;'Reg 85'!S$10&amp;'Reg 85'!$B167),('DMR 001C TIN &amp; TP'!$E$3:$E$10005&amp;'DMR 001C TIN &amp; TP'!$B$3:$B$10005&amp;'DMR 001C TIN &amp; TP'!$A$3:$A$10005),0),MATCH('Reg 85'!$O$11,'DMR 001C TIN &amp; TP'!$A$2:$M$2,0))),"")</f>
        <v/>
      </c>
      <c r="T167" s="6" t="str">
        <f t="array" ref="T167">_xlfn.IFNA((INDEX('DMR 001C TIN &amp; TP'!$A$3:$M$10005,MATCH(('Reg 85'!$I$6:$Q$6&amp;'Reg 85'!T$10&amp;'Reg 85'!$B167),('DMR 001C TIN &amp; TP'!$E$3:$E$10005&amp;'DMR 001C TIN &amp; TP'!$B$3:$B$10005&amp;'DMR 001C TIN &amp; TP'!$A$3:$A$10005),0),MATCH('Reg 85'!$O$11,'DMR 001C TIN &amp; TP'!$A$2:$M$2,0))),"")</f>
        <v/>
      </c>
      <c r="U167" s="6" t="str">
        <f t="array" ref="U167">_xlfn.IFNA((INDEX('DMR 001C TIN &amp; TP'!$A$3:$M$10005,MATCH(('Reg 85'!$I$6:$Q$6&amp;'Reg 85'!U$10&amp;'Reg 85'!$B167),('DMR 001C TIN &amp; TP'!$E$3:$E$10005&amp;'DMR 001C TIN &amp; TP'!$B$3:$B$10005&amp;'DMR 001C TIN &amp; TP'!$A$3:$A$10005),0),MATCH('Reg 85'!$O$11,'DMR 001C TIN &amp; TP'!$A$2:$M$2,0))),"")</f>
        <v/>
      </c>
      <c r="V167" s="6" t="str">
        <f t="array" ref="V167">_xlfn.IFNA((INDEX('DMR 001C TIN &amp; TP'!$A$3:$M$10005,MATCH(('Reg 85'!$I$6:$Q$6&amp;'Reg 85'!V$10&amp;'Reg 85'!$B167),('DMR 001C TIN &amp; TP'!$E$3:$E$10005&amp;'DMR 001C TIN &amp; TP'!$B$3:$B$10005&amp;'DMR 001C TIN &amp; TP'!$A$3:$A$10005),0),MATCH('Reg 85'!$O$11,'DMR 001C TIN &amp; TP'!$A$2:$M$2,0))),"")</f>
        <v/>
      </c>
      <c r="W167" s="6" t="str">
        <f t="array" ref="W167">_xlfn.IFNA((INDEX('DMR 001C TIN &amp; TP'!$A$3:$M$10005,MATCH(('Reg 85'!$I$6:$Q$6&amp;'Reg 85'!W$10&amp;'Reg 85'!$B167),('DMR 001C TIN &amp; TP'!$E$3:$E$10005&amp;'DMR 001C TIN &amp; TP'!$B$3:$B$10005&amp;'DMR 001C TIN &amp; TP'!$A$3:$A$10005),0),MATCH('Reg 85'!$O$11,'DMR 001C TIN &amp; TP'!$A$2:$M$2,0))),"")</f>
        <v/>
      </c>
      <c r="X167" s="5" t="str">
        <f t="shared" si="71"/>
        <v/>
      </c>
      <c r="Y167" s="6" t="str">
        <f t="array" ref="Y167">_xlfn.IFNA((INDEX('DMR 001C TIN &amp; TP'!$A$3:$M$10005,MATCH(('Reg 85'!$X$6&amp;'Reg 85'!$X$10&amp;'Reg 85'!$B167),('DMR 001C TIN &amp; TP'!$E$3:$E$10005&amp;'DMR 001C TIN &amp; TP'!$B$3:$B$10005&amp;'DMR 001C TIN &amp; TP'!$A$3:$A$10005),0),MATCH('Reg 85'!$Y$11,'DMR 001C TIN &amp; TP'!$A$2:$M$2,0))),"")</f>
        <v/>
      </c>
      <c r="Z167" s="6" t="str">
        <f t="array" ref="Z167">_xlfn.IFNA((INDEX('DMR 001C TIN &amp; TP'!$A$3:$M$10005,MATCH(('Reg 85'!$X$6&amp;'Reg 85'!$X$10&amp;'Reg 85'!$B167),('DMR 001C TIN &amp; TP'!$E$3:$E$10005&amp;'DMR 001C TIN &amp; TP'!$B$3:$B$10005&amp;'DMR 001C TIN &amp; TP'!$A$3:$A$10005),0),MATCH('Reg 85'!$Z$11,'DMR 001C TIN &amp; TP'!$A$2:$M$2,0))),"")</f>
        <v/>
      </c>
      <c r="AA167" s="53" t="str">
        <f t="shared" si="72"/>
        <v/>
      </c>
      <c r="AB167" s="5" t="str">
        <f t="shared" si="73"/>
        <v/>
      </c>
      <c r="AC167" s="6" t="str">
        <f t="array" ref="AC167">_xlfn.IFNA((INDEX('DMR 001C TIN &amp; TP'!$A$3:$M$10005,MATCH(('Reg 85'!$X$6&amp;'Reg 85'!$AB$10&amp;'Reg 85'!$B167),('DMR 001C TIN &amp; TP'!$E$3:$E$10005&amp;'DMR 001C TIN &amp; TP'!$B$3:$B$10005&amp;'DMR 001C TIN &amp; TP'!$A$3:$A$10005),0),MATCH('Reg 85'!$AC$11,'DMR 001C TIN &amp; TP'!$A$2:$M$2,0))),"")</f>
        <v/>
      </c>
      <c r="AD167" s="6" t="str">
        <f t="array" ref="AD167">_xlfn.IFNA((INDEX('DMR 001C TIN &amp; TP'!$A$3:$M$10005,MATCH(('Reg 85'!$X$6&amp;'Reg 85'!$AB$10&amp;'Reg 85'!$B167),('DMR 001C TIN &amp; TP'!$E$3:$E$10005&amp;'DMR 001C TIN &amp; TP'!$B$3:$B$10005&amp;'DMR 001C TIN &amp; TP'!$A$3:$A$10005),0),MATCH('Reg 85'!$AD$11,'DMR 001C TIN &amp; TP'!$A$2:$M$2,0))),"")</f>
        <v/>
      </c>
      <c r="AE167" s="53" t="str">
        <f t="shared" si="74"/>
        <v/>
      </c>
      <c r="AF167" s="7" t="str">
        <f t="shared" si="75"/>
        <v/>
      </c>
      <c r="AG167" s="6" t="str">
        <f t="array" ref="AG167">_xlfn.IFNA((INDEX('DMR 001C TIN &amp; TP'!$A$3:$M$10005,MATCH(('Reg 85'!$X$6&amp;'Reg 85'!AG$10&amp;'Reg 85'!$B167),('DMR 001C TIN &amp; TP'!$E$3:$E$10005&amp;'DMR 001C TIN &amp; TP'!$B$3:$B$10005&amp;'DMR 001C TIN &amp; TP'!$A$3:$A$10005),0),MATCH('Reg 85'!$AG$11,'DMR 001C TIN &amp; TP'!$A$2:$M$2,0))),"")</f>
        <v/>
      </c>
      <c r="AH167" s="6" t="str">
        <f t="array" ref="AH167">_xlfn.IFNA((INDEX('DMR 001C TIN &amp; TP'!$A$3:$M$10005,MATCH(('Reg 85'!$X$6&amp;'Reg 85'!AH$10&amp;'Reg 85'!$B167),('DMR 001C TIN &amp; TP'!$E$3:$E$10005&amp;'DMR 001C TIN &amp; TP'!$B$3:$B$10005&amp;'DMR 001C TIN &amp; TP'!$A$3:$A$10005),0),MATCH('Reg 85'!$AG$11,'DMR 001C TIN &amp; TP'!$A$2:$M$2,0))),"")</f>
        <v/>
      </c>
      <c r="AI167" s="6" t="str">
        <f t="array" ref="AI167">_xlfn.IFNA((INDEX('DMR 001C TIN &amp; TP'!$A$3:$M$10005,MATCH(('Reg 85'!$X$6&amp;'Reg 85'!AI$10&amp;'Reg 85'!$B167),('DMR 001C TIN &amp; TP'!$E$3:$E$10005&amp;'DMR 001C TIN &amp; TP'!$B$3:$B$10005&amp;'DMR 001C TIN &amp; TP'!$A$3:$A$10005),0),MATCH('Reg 85'!$AG$11,'DMR 001C TIN &amp; TP'!$A$2:$M$2,0))),"")</f>
        <v/>
      </c>
      <c r="AJ167" s="6" t="str">
        <f t="array" ref="AJ167">_xlfn.IFNA((INDEX('DMR 001C TIN &amp; TP'!$A$3:$M$10005,MATCH(('Reg 85'!$X$6&amp;'Reg 85'!AJ$10&amp;'Reg 85'!$B167),('DMR 001C TIN &amp; TP'!$E$3:$E$10005&amp;'DMR 001C TIN &amp; TP'!$B$3:$B$10005&amp;'DMR 001C TIN &amp; TP'!$A$3:$A$10005),0),MATCH('Reg 85'!$AG$11,'DMR 001C TIN &amp; TP'!$A$2:$M$2,0))),"")</f>
        <v/>
      </c>
      <c r="AK167" s="6" t="str">
        <f t="array" ref="AK167">_xlfn.IFNA((INDEX('DMR 001C TIN &amp; TP'!$A$3:$M$10005,MATCH(('Reg 85'!$X$6&amp;'Reg 85'!AK$10&amp;'Reg 85'!$B167),('DMR 001C TIN &amp; TP'!$E$3:$E$10005&amp;'DMR 001C TIN &amp; TP'!$B$3:$B$10005&amp;'DMR 001C TIN &amp; TP'!$A$3:$A$10005),0),MATCH('Reg 85'!$AG$11,'DMR 001C TIN &amp; TP'!$A$2:$M$2,0))),"")</f>
        <v/>
      </c>
      <c r="AL167" s="6" t="str">
        <f t="array" ref="AL167">_xlfn.IFNA((INDEX('DMR 001C TIN &amp; TP'!$A$3:$M$10005,MATCH(('Reg 85'!$X$6&amp;'Reg 85'!AL$10&amp;'Reg 85'!$B167),('DMR 001C TIN &amp; TP'!$E$3:$E$10005&amp;'DMR 001C TIN &amp; TP'!$B$3:$B$10005&amp;'DMR 001C TIN &amp; TP'!$A$3:$A$10005),0),MATCH('Reg 85'!$AG$11,'DMR 001C TIN &amp; TP'!$A$2:$M$2,0))),"")</f>
        <v/>
      </c>
      <c r="AM167" s="76"/>
      <c r="AN167" s="6"/>
      <c r="AO167" s="54" t="str">
        <f t="shared" si="62"/>
        <v/>
      </c>
      <c r="AP167" s="77" t="str">
        <f t="shared" si="60"/>
        <v/>
      </c>
      <c r="AQ167" s="47"/>
      <c r="AR167" s="6" t="str">
        <f t="array" ref="AR167">_xlfn.IFNA((INDEX('DMR 001C TIN &amp; TP'!$A$3:$M$10005,MATCH(('Reg 85'!$AQ$6&amp;'Reg 85'!$AQ$10&amp;'Reg 85'!$B167),('DMR 001C TIN &amp; TP'!$E$3:$E$10005&amp;'DMR 001C TIN &amp; TP'!$B$3:$B$10005&amp;'DMR 001C TIN &amp; TP'!$A$3:$A$10005),0),MATCH('Reg 85'!$AR$11,'DMR 001C TIN &amp; TP'!$A$2:$M$2,0))),"")</f>
        <v/>
      </c>
      <c r="AS167" s="6" t="str">
        <f t="array" ref="AS167">_xlfn.IFNA((INDEX('DMR 001C TIN &amp; TP'!$A$3:$M$10005,MATCH(('Reg 85'!$AQ$6&amp;'Reg 85'!$AQ$10&amp;'Reg 85'!$B167),('DMR 001C TIN &amp; TP'!$E$3:$E$10005&amp;'DMR 001C TIN &amp; TP'!$B$3:$B$10005&amp;'DMR 001C TIN &amp; TP'!$A$3:$A$10005),0),MATCH('Reg 85'!$AS$11,'DMR 001C TIN &amp; TP'!$A$2:$M$2,0))),"")</f>
        <v/>
      </c>
      <c r="AT167" s="53" t="str">
        <f t="shared" si="76"/>
        <v/>
      </c>
      <c r="AV167" s="6" t="str">
        <f t="array" ref="AV167">_xlfn.IFNA((INDEX('DMR 001C TIN &amp; TP'!$A$3:$M$10005,MATCH(('Reg 85'!$AQ$6&amp;'Reg 85'!$AU$10&amp;'Reg 85'!$B167),('DMR 001C TIN &amp; TP'!$E$3:$E$10005&amp;'DMR 001C TIN &amp; TP'!$B$3:$B$10005&amp;'DMR 001C TIN &amp; TP'!$A$3:$A$10005),0),MATCH('Reg 85'!$AV$11,'DMR 001C TIN &amp; TP'!$A$2:$M$2,0))),"")</f>
        <v/>
      </c>
      <c r="AW167" s="6" t="str">
        <f t="array" ref="AW167">_xlfn.IFNA((INDEX('DMR 001C TIN &amp; TP'!$A$3:$M$10005,MATCH(('Reg 85'!$AQ$6&amp;'Reg 85'!$AU$10&amp;'Reg 85'!$B167),('DMR 001C TIN &amp; TP'!$E$3:$E$10005&amp;'DMR 001C TIN &amp; TP'!$B$3:$B$10005&amp;'DMR 001C TIN &amp; TP'!$A$3:$A$10005),0),MATCH('Reg 85'!$AW$11,'DMR 001C TIN &amp; TP'!$A$2:$M$2,0))),"")</f>
        <v/>
      </c>
      <c r="AX167" s="53" t="str">
        <f t="shared" si="77"/>
        <v/>
      </c>
      <c r="AY167" s="55" t="str">
        <f t="shared" si="78"/>
        <v/>
      </c>
      <c r="AZ167" s="77" t="str">
        <f t="shared" si="61"/>
        <v/>
      </c>
      <c r="BA167" s="6" t="str">
        <f t="array" ref="BA167">_xlfn.IFNA((INDEX('DMR 001C TIN &amp; TP'!$A$3:$M$10005,MATCH(('Reg 85'!$AQ$6&amp;'Reg 85'!BA$10&amp;'Reg 85'!$B167),('DMR 001C TIN &amp; TP'!$E$3:$E$10005&amp;'DMR 001C TIN &amp; TP'!$B$3:$B$10005&amp;'DMR 001C TIN &amp; TP'!$A$3:$A$10005),0),MATCH('Reg 85'!$AG$11,'DMR 001C TIN &amp; TP'!$A$2:$M$2,0))),"")</f>
        <v/>
      </c>
      <c r="BB167" s="6" t="str">
        <f t="array" ref="BB167">_xlfn.IFNA((INDEX('DMR 001C TIN &amp; TP'!$A$3:$M$10005,MATCH(('Reg 85'!$AQ$6&amp;'Reg 85'!BB$10&amp;'Reg 85'!$B167),('DMR 001C TIN &amp; TP'!$E$3:$E$10005&amp;'DMR 001C TIN &amp; TP'!$B$3:$B$10005&amp;'DMR 001C TIN &amp; TP'!$A$3:$A$10005),0),MATCH('Reg 85'!$AG$11,'DMR 001C TIN &amp; TP'!$A$2:$M$2,0))),"")</f>
        <v/>
      </c>
      <c r="BC167" s="6" t="str">
        <f t="array" ref="BC167">_xlfn.IFNA((INDEX('DMR 001C TIN &amp; TP'!$A$3:$M$10005,MATCH(('Reg 85'!$AQ$6&amp;'Reg 85'!BC$10&amp;'Reg 85'!$B167),('DMR 001C TIN &amp; TP'!$E$3:$E$10005&amp;'DMR 001C TIN &amp; TP'!$B$3:$B$10005&amp;'DMR 001C TIN &amp; TP'!$A$3:$A$10005),0),MATCH('Reg 85'!$AG$11,'DMR 001C TIN &amp; TP'!$A$2:$M$2,0))),"")</f>
        <v/>
      </c>
      <c r="BD167" s="6" t="str">
        <f t="array" ref="BD167">_xlfn.IFNA((INDEX('DMR 001C TIN &amp; TP'!$A$3:$M$10005,MATCH(('Reg 85'!$AQ$6&amp;'Reg 85'!BD$10&amp;'Reg 85'!$B167),('DMR 001C TIN &amp; TP'!$E$3:$E$10005&amp;'DMR 001C TIN &amp; TP'!$B$3:$B$10005&amp;'DMR 001C TIN &amp; TP'!$A$3:$A$10005),0),MATCH('Reg 85'!$AG$11,'DMR 001C TIN &amp; TP'!$A$2:$M$2,0))),"")</f>
        <v/>
      </c>
      <c r="BE167" s="6" t="str">
        <f t="array" ref="BE167">_xlfn.IFNA((INDEX('DMR 001C TIN &amp; TP'!$A$3:$M$10005,MATCH(('Reg 85'!$AQ$6&amp;'Reg 85'!BE$10&amp;'Reg 85'!$B167),('DMR 001C TIN &amp; TP'!$E$3:$E$10005&amp;'DMR 001C TIN &amp; TP'!$B$3:$B$10005&amp;'DMR 001C TIN &amp; TP'!$A$3:$A$10005),0),MATCH('Reg 85'!$AG$11,'DMR 001C TIN &amp; TP'!$A$2:$M$2,0))),"")</f>
        <v/>
      </c>
      <c r="BF167" s="6" t="str">
        <f t="array" ref="BF167">_xlfn.IFNA((INDEX('DMR 001C TIN &amp; TP'!$A$3:$M$10005,MATCH(('Reg 85'!$AQ$6&amp;'Reg 85'!BF$10&amp;'Reg 85'!$B167),('DMR 001C TIN &amp; TP'!$E$3:$E$10005&amp;'DMR 001C TIN &amp; TP'!$B$3:$B$10005&amp;'DMR 001C TIN &amp; TP'!$A$3:$A$10005),0),MATCH('Reg 85'!$AG$11,'DMR 001C TIN &amp; TP'!$A$2:$M$2,0))),"")</f>
        <v/>
      </c>
    </row>
    <row r="168" spans="1:58">
      <c r="A168" s="3" t="str">
        <f t="shared" si="63"/>
        <v>Mon</v>
      </c>
      <c r="B168" s="96">
        <f t="shared" si="79"/>
        <v>43500</v>
      </c>
      <c r="C168" s="96">
        <f t="shared" si="64"/>
        <v>43524</v>
      </c>
      <c r="D168" s="96">
        <f t="shared" si="65"/>
        <v>43497</v>
      </c>
      <c r="E168" s="95">
        <f t="shared" si="66"/>
        <v>28</v>
      </c>
      <c r="F168" s="7">
        <f t="array" ref="F168">_xlfn.IFNA(INDEX('DMR Flows-Effluent'!$A$3:$F$9999,MATCH(($F$10&amp;$B168),('DMR Flows-Effluent'!$B$3:$B$9999&amp;'DMR Flows-Effluent'!$A$3:$A$9999),0),MATCH($F$8,'DMR Flows-Effluent'!$A$2:$F$2,0)),"")</f>
        <v>48.148800000000001</v>
      </c>
      <c r="G168" s="7">
        <f t="array" ref="G168">_xlfn.IFNA(INDEX('DMR Flows-Effluent'!$A$3:$F$9999,MATCH(($G$10&amp;$B168),('DMR Flows-Effluent'!$B$3:$B$9999&amp;'DMR Flows-Effluent'!$A$3:$A$9999),0),MATCH($F$8,'DMR Flows-Effluent'!$A$2:$F$2,0)),"")</f>
        <v>69.0762</v>
      </c>
      <c r="H168" s="7">
        <f t="shared" si="67"/>
        <v>117.22499999999999</v>
      </c>
      <c r="I168" s="45" t="str">
        <f t="shared" si="68"/>
        <v/>
      </c>
      <c r="J168" s="6" t="str">
        <f t="array" ref="J168">_xlfn.IFNA((INDEX('DMR 001C TIN &amp; TP'!$A$3:$M$10005,MATCH(('Reg 85'!$I$6:$Q$6&amp;'Reg 85'!$I$10:$K$10&amp;'Reg 85'!$B168),('DMR 001C TIN &amp; TP'!$E$3:$E$10005&amp;'DMR 001C TIN &amp; TP'!$B$3:$B$10005&amp;'DMR 001C TIN &amp; TP'!$A$3:$A$10005),0),MATCH('Reg 85'!$J$11,'DMR 001C TIN &amp; TP'!$A$2:$M$2,0))),"")</f>
        <v/>
      </c>
      <c r="K168" s="6" t="str">
        <f t="array" ref="K168">_xlfn.IFNA((INDEX('DMR 001C TIN &amp; TP'!$A$3:$M$10005,MATCH(('Reg 85'!$I$6:$Q$6&amp;'Reg 85'!$I$10:$K$10&amp;'Reg 85'!$B168),('DMR 001C TIN &amp; TP'!$E$3:$E$10005&amp;'DMR 001C TIN &amp; TP'!$B$3:$B$10005&amp;'DMR 001C TIN &amp; TP'!$A$3:$A$10005),0),MATCH('Reg 85'!$K$11,'DMR 001C TIN &amp; TP'!$A$2:$M$2,0))),"")</f>
        <v/>
      </c>
      <c r="L168" s="53" t="str">
        <f t="shared" si="80"/>
        <v/>
      </c>
      <c r="M168" s="5" t="str">
        <f t="shared" si="69"/>
        <v/>
      </c>
      <c r="N168" s="6" t="str">
        <f t="array" ref="N168">_xlfn.IFNA((INDEX('DMR 001C TIN &amp; TP'!$A$3:$M$10005,MATCH(('Reg 85'!$I$6:$Q$6&amp;'Reg 85'!$M$10&amp;'Reg 85'!$B168),('DMR 001C TIN &amp; TP'!$E$3:$E$10005&amp;'DMR 001C TIN &amp; TP'!$B$3:$B$10005&amp;'DMR 001C TIN &amp; TP'!$A$3:$A$10005),0),MATCH('Reg 85'!$N$11,'DMR 001C TIN &amp; TP'!$A$2:$M$2,0))),"")</f>
        <v/>
      </c>
      <c r="O168" s="6" t="str">
        <f t="array" ref="O168">_xlfn.IFNA((INDEX('DMR 001C TIN &amp; TP'!$A$3:$M$10005,MATCH(('Reg 85'!$I$6:$Q$6&amp;'Reg 85'!$M$10&amp;'Reg 85'!$B168),('DMR 001C TIN &amp; TP'!$E$3:$E$10005&amp;'DMR 001C TIN &amp; TP'!$B$3:$B$10005&amp;'DMR 001C TIN &amp; TP'!$A$3:$A$10005),0),MATCH('Reg 85'!$O$11,'DMR 001C TIN &amp; TP'!$A$2:$M$2,0))),"")</f>
        <v/>
      </c>
      <c r="P168" s="53" t="str">
        <f t="shared" si="70"/>
        <v/>
      </c>
      <c r="Q168" s="73" t="str">
        <f t="array" ref="Q168">IFERROR(((L168*$F168)+(P168*$G168))/($H168),"")</f>
        <v/>
      </c>
      <c r="R168" s="6" t="str">
        <f t="array" ref="R168">_xlfn.IFNA((INDEX('DMR 001C TIN &amp; TP'!$A$3:$M$10005,MATCH(('Reg 85'!$I$6:$Q$6&amp;'Reg 85'!R$10&amp;'Reg 85'!$B168),('DMR 001C TIN &amp; TP'!$E$3:$E$10005&amp;'DMR 001C TIN &amp; TP'!$B$3:$B$10005&amp;'DMR 001C TIN &amp; TP'!$A$3:$A$10005),0),MATCH('Reg 85'!$O$11,'DMR 001C TIN &amp; TP'!$A$2:$M$2,0))),"")</f>
        <v/>
      </c>
      <c r="S168" s="6" t="str">
        <f t="array" ref="S168">_xlfn.IFNA((INDEX('DMR 001C TIN &amp; TP'!$A$3:$M$10005,MATCH(('Reg 85'!$I$6:$Q$6&amp;'Reg 85'!S$10&amp;'Reg 85'!$B168),('DMR 001C TIN &amp; TP'!$E$3:$E$10005&amp;'DMR 001C TIN &amp; TP'!$B$3:$B$10005&amp;'DMR 001C TIN &amp; TP'!$A$3:$A$10005),0),MATCH('Reg 85'!$O$11,'DMR 001C TIN &amp; TP'!$A$2:$M$2,0))),"")</f>
        <v/>
      </c>
      <c r="T168" s="6" t="str">
        <f t="array" ref="T168">_xlfn.IFNA((INDEX('DMR 001C TIN &amp; TP'!$A$3:$M$10005,MATCH(('Reg 85'!$I$6:$Q$6&amp;'Reg 85'!T$10&amp;'Reg 85'!$B168),('DMR 001C TIN &amp; TP'!$E$3:$E$10005&amp;'DMR 001C TIN &amp; TP'!$B$3:$B$10005&amp;'DMR 001C TIN &amp; TP'!$A$3:$A$10005),0),MATCH('Reg 85'!$O$11,'DMR 001C TIN &amp; TP'!$A$2:$M$2,0))),"")</f>
        <v/>
      </c>
      <c r="U168" s="6" t="str">
        <f t="array" ref="U168">_xlfn.IFNA((INDEX('DMR 001C TIN &amp; TP'!$A$3:$M$10005,MATCH(('Reg 85'!$I$6:$Q$6&amp;'Reg 85'!U$10&amp;'Reg 85'!$B168),('DMR 001C TIN &amp; TP'!$E$3:$E$10005&amp;'DMR 001C TIN &amp; TP'!$B$3:$B$10005&amp;'DMR 001C TIN &amp; TP'!$A$3:$A$10005),0),MATCH('Reg 85'!$O$11,'DMR 001C TIN &amp; TP'!$A$2:$M$2,0))),"")</f>
        <v/>
      </c>
      <c r="V168" s="6" t="str">
        <f t="array" ref="V168">_xlfn.IFNA((INDEX('DMR 001C TIN &amp; TP'!$A$3:$M$10005,MATCH(('Reg 85'!$I$6:$Q$6&amp;'Reg 85'!V$10&amp;'Reg 85'!$B168),('DMR 001C TIN &amp; TP'!$E$3:$E$10005&amp;'DMR 001C TIN &amp; TP'!$B$3:$B$10005&amp;'DMR 001C TIN &amp; TP'!$A$3:$A$10005),0),MATCH('Reg 85'!$O$11,'DMR 001C TIN &amp; TP'!$A$2:$M$2,0))),"")</f>
        <v/>
      </c>
      <c r="W168" s="6" t="str">
        <f t="array" ref="W168">_xlfn.IFNA((INDEX('DMR 001C TIN &amp; TP'!$A$3:$M$10005,MATCH(('Reg 85'!$I$6:$Q$6&amp;'Reg 85'!W$10&amp;'Reg 85'!$B168),('DMR 001C TIN &amp; TP'!$E$3:$E$10005&amp;'DMR 001C TIN &amp; TP'!$B$3:$B$10005&amp;'DMR 001C TIN &amp; TP'!$A$3:$A$10005),0),MATCH('Reg 85'!$O$11,'DMR 001C TIN &amp; TP'!$A$2:$M$2,0))),"")</f>
        <v/>
      </c>
      <c r="X168" s="5" t="str">
        <f t="shared" si="71"/>
        <v/>
      </c>
      <c r="Y168" s="6" t="str">
        <f t="array" ref="Y168">_xlfn.IFNA((INDEX('DMR 001C TIN &amp; TP'!$A$3:$M$10005,MATCH(('Reg 85'!$X$6&amp;'Reg 85'!$X$10&amp;'Reg 85'!$B168),('DMR 001C TIN &amp; TP'!$E$3:$E$10005&amp;'DMR 001C TIN &amp; TP'!$B$3:$B$10005&amp;'DMR 001C TIN &amp; TP'!$A$3:$A$10005),0),MATCH('Reg 85'!$Y$11,'DMR 001C TIN &amp; TP'!$A$2:$M$2,0))),"")</f>
        <v/>
      </c>
      <c r="Z168" s="6" t="str">
        <f t="array" ref="Z168">_xlfn.IFNA((INDEX('DMR 001C TIN &amp; TP'!$A$3:$M$10005,MATCH(('Reg 85'!$X$6&amp;'Reg 85'!$X$10&amp;'Reg 85'!$B168),('DMR 001C TIN &amp; TP'!$E$3:$E$10005&amp;'DMR 001C TIN &amp; TP'!$B$3:$B$10005&amp;'DMR 001C TIN &amp; TP'!$A$3:$A$10005),0),MATCH('Reg 85'!$Z$11,'DMR 001C TIN &amp; TP'!$A$2:$M$2,0))),"")</f>
        <v/>
      </c>
      <c r="AA168" s="53" t="str">
        <f t="shared" si="72"/>
        <v/>
      </c>
      <c r="AB168" s="5" t="str">
        <f t="shared" si="73"/>
        <v/>
      </c>
      <c r="AC168" s="6" t="str">
        <f t="array" ref="AC168">_xlfn.IFNA((INDEX('DMR 001C TIN &amp; TP'!$A$3:$M$10005,MATCH(('Reg 85'!$X$6&amp;'Reg 85'!$AB$10&amp;'Reg 85'!$B168),('DMR 001C TIN &amp; TP'!$E$3:$E$10005&amp;'DMR 001C TIN &amp; TP'!$B$3:$B$10005&amp;'DMR 001C TIN &amp; TP'!$A$3:$A$10005),0),MATCH('Reg 85'!$AC$11,'DMR 001C TIN &amp; TP'!$A$2:$M$2,0))),"")</f>
        <v/>
      </c>
      <c r="AD168" s="6" t="str">
        <f t="array" ref="AD168">_xlfn.IFNA((INDEX('DMR 001C TIN &amp; TP'!$A$3:$M$10005,MATCH(('Reg 85'!$X$6&amp;'Reg 85'!$AB$10&amp;'Reg 85'!$B168),('DMR 001C TIN &amp; TP'!$E$3:$E$10005&amp;'DMR 001C TIN &amp; TP'!$B$3:$B$10005&amp;'DMR 001C TIN &amp; TP'!$A$3:$A$10005),0),MATCH('Reg 85'!$AD$11,'DMR 001C TIN &amp; TP'!$A$2:$M$2,0))),"")</f>
        <v/>
      </c>
      <c r="AE168" s="53" t="str">
        <f t="shared" si="74"/>
        <v/>
      </c>
      <c r="AF168" s="7" t="str">
        <f t="shared" si="75"/>
        <v/>
      </c>
      <c r="AG168" s="6" t="str">
        <f t="array" ref="AG168">_xlfn.IFNA((INDEX('DMR 001C TIN &amp; TP'!$A$3:$M$10005,MATCH(('Reg 85'!$X$6&amp;'Reg 85'!AG$10&amp;'Reg 85'!$B168),('DMR 001C TIN &amp; TP'!$E$3:$E$10005&amp;'DMR 001C TIN &amp; TP'!$B$3:$B$10005&amp;'DMR 001C TIN &amp; TP'!$A$3:$A$10005),0),MATCH('Reg 85'!$AG$11,'DMR 001C TIN &amp; TP'!$A$2:$M$2,0))),"")</f>
        <v/>
      </c>
      <c r="AH168" s="6" t="str">
        <f t="array" ref="AH168">_xlfn.IFNA((INDEX('DMR 001C TIN &amp; TP'!$A$3:$M$10005,MATCH(('Reg 85'!$X$6&amp;'Reg 85'!AH$10&amp;'Reg 85'!$B168),('DMR 001C TIN &amp; TP'!$E$3:$E$10005&amp;'DMR 001C TIN &amp; TP'!$B$3:$B$10005&amp;'DMR 001C TIN &amp; TP'!$A$3:$A$10005),0),MATCH('Reg 85'!$AG$11,'DMR 001C TIN &amp; TP'!$A$2:$M$2,0))),"")</f>
        <v/>
      </c>
      <c r="AI168" s="6" t="str">
        <f t="array" ref="AI168">_xlfn.IFNA((INDEX('DMR 001C TIN &amp; TP'!$A$3:$M$10005,MATCH(('Reg 85'!$X$6&amp;'Reg 85'!AI$10&amp;'Reg 85'!$B168),('DMR 001C TIN &amp; TP'!$E$3:$E$10005&amp;'DMR 001C TIN &amp; TP'!$B$3:$B$10005&amp;'DMR 001C TIN &amp; TP'!$A$3:$A$10005),0),MATCH('Reg 85'!$AG$11,'DMR 001C TIN &amp; TP'!$A$2:$M$2,0))),"")</f>
        <v/>
      </c>
      <c r="AJ168" s="6" t="str">
        <f t="array" ref="AJ168">_xlfn.IFNA((INDEX('DMR 001C TIN &amp; TP'!$A$3:$M$10005,MATCH(('Reg 85'!$X$6&amp;'Reg 85'!AJ$10&amp;'Reg 85'!$B168),('DMR 001C TIN &amp; TP'!$E$3:$E$10005&amp;'DMR 001C TIN &amp; TP'!$B$3:$B$10005&amp;'DMR 001C TIN &amp; TP'!$A$3:$A$10005),0),MATCH('Reg 85'!$AG$11,'DMR 001C TIN &amp; TP'!$A$2:$M$2,0))),"")</f>
        <v/>
      </c>
      <c r="AK168" s="6" t="str">
        <f t="array" ref="AK168">_xlfn.IFNA((INDEX('DMR 001C TIN &amp; TP'!$A$3:$M$10005,MATCH(('Reg 85'!$X$6&amp;'Reg 85'!AK$10&amp;'Reg 85'!$B168),('DMR 001C TIN &amp; TP'!$E$3:$E$10005&amp;'DMR 001C TIN &amp; TP'!$B$3:$B$10005&amp;'DMR 001C TIN &amp; TP'!$A$3:$A$10005),0),MATCH('Reg 85'!$AG$11,'DMR 001C TIN &amp; TP'!$A$2:$M$2,0))),"")</f>
        <v/>
      </c>
      <c r="AL168" s="6" t="str">
        <f t="array" ref="AL168">_xlfn.IFNA((INDEX('DMR 001C TIN &amp; TP'!$A$3:$M$10005,MATCH(('Reg 85'!$X$6&amp;'Reg 85'!AL$10&amp;'Reg 85'!$B168),('DMR 001C TIN &amp; TP'!$E$3:$E$10005&amp;'DMR 001C TIN &amp; TP'!$B$3:$B$10005&amp;'DMR 001C TIN &amp; TP'!$A$3:$A$10005),0),MATCH('Reg 85'!$AG$11,'DMR 001C TIN &amp; TP'!$A$2:$M$2,0))),"")</f>
        <v/>
      </c>
      <c r="AM168" s="76"/>
      <c r="AN168" s="6"/>
      <c r="AO168" s="54" t="str">
        <f t="shared" si="62"/>
        <v/>
      </c>
      <c r="AP168" s="77" t="str">
        <f t="shared" si="60"/>
        <v/>
      </c>
      <c r="AQ168" s="47"/>
      <c r="AR168" s="6" t="str">
        <f t="array" ref="AR168">_xlfn.IFNA((INDEX('DMR 001C TIN &amp; TP'!$A$3:$M$10005,MATCH(('Reg 85'!$AQ$6&amp;'Reg 85'!$AQ$10&amp;'Reg 85'!$B168),('DMR 001C TIN &amp; TP'!$E$3:$E$10005&amp;'DMR 001C TIN &amp; TP'!$B$3:$B$10005&amp;'DMR 001C TIN &amp; TP'!$A$3:$A$10005),0),MATCH('Reg 85'!$AR$11,'DMR 001C TIN &amp; TP'!$A$2:$M$2,0))),"")</f>
        <v>0.03</v>
      </c>
      <c r="AS168" s="6">
        <f t="array" ref="AS168">_xlfn.IFNA((INDEX('DMR 001C TIN &amp; TP'!$A$3:$M$10005,MATCH(('Reg 85'!$AQ$6&amp;'Reg 85'!$AQ$10&amp;'Reg 85'!$B168),('DMR 001C TIN &amp; TP'!$E$3:$E$10005&amp;'DMR 001C TIN &amp; TP'!$B$3:$B$10005&amp;'DMR 001C TIN &amp; TP'!$A$3:$A$10005),0),MATCH('Reg 85'!$AS$11,'DMR 001C TIN &amp; TP'!$A$2:$M$2,0))),"")</f>
        <v>0.4</v>
      </c>
      <c r="AT168" s="53">
        <f t="shared" si="76"/>
        <v>0.4</v>
      </c>
      <c r="AV168" s="6" t="str">
        <f t="array" ref="AV168">_xlfn.IFNA((INDEX('DMR 001C TIN &amp; TP'!$A$3:$M$10005,MATCH(('Reg 85'!$AQ$6&amp;'Reg 85'!$AU$10&amp;'Reg 85'!$B168),('DMR 001C TIN &amp; TP'!$E$3:$E$10005&amp;'DMR 001C TIN &amp; TP'!$B$3:$B$10005&amp;'DMR 001C TIN &amp; TP'!$A$3:$A$10005),0),MATCH('Reg 85'!$AV$11,'DMR 001C TIN &amp; TP'!$A$2:$M$2,0))),"")</f>
        <v>0.03</v>
      </c>
      <c r="AW168" s="6">
        <f t="array" ref="AW168">_xlfn.IFNA((INDEX('DMR 001C TIN &amp; TP'!$A$3:$M$10005,MATCH(('Reg 85'!$AQ$6&amp;'Reg 85'!$AU$10&amp;'Reg 85'!$B168),('DMR 001C TIN &amp; TP'!$E$3:$E$10005&amp;'DMR 001C TIN &amp; TP'!$B$3:$B$10005&amp;'DMR 001C TIN &amp; TP'!$A$3:$A$10005),0),MATCH('Reg 85'!$AW$11,'DMR 001C TIN &amp; TP'!$A$2:$M$2,0))),"")</f>
        <v>3.55</v>
      </c>
      <c r="AX168" s="53">
        <f t="shared" si="77"/>
        <v>3.55</v>
      </c>
      <c r="AY168" s="55">
        <f t="shared" si="78"/>
        <v>2.2561742802303262</v>
      </c>
      <c r="AZ168" s="77" t="str">
        <f t="shared" si="61"/>
        <v/>
      </c>
      <c r="BA168" s="6" t="str">
        <f t="array" ref="BA168">_xlfn.IFNA((INDEX('DMR 001C TIN &amp; TP'!$A$3:$M$10005,MATCH(('Reg 85'!$AQ$6&amp;'Reg 85'!BA$10&amp;'Reg 85'!$B168),('DMR 001C TIN &amp; TP'!$E$3:$E$10005&amp;'DMR 001C TIN &amp; TP'!$B$3:$B$10005&amp;'DMR 001C TIN &amp; TP'!$A$3:$A$10005),0),MATCH('Reg 85'!$AG$11,'DMR 001C TIN &amp; TP'!$A$2:$M$2,0))),"")</f>
        <v/>
      </c>
      <c r="BB168" s="6" t="str">
        <f t="array" ref="BB168">_xlfn.IFNA((INDEX('DMR 001C TIN &amp; TP'!$A$3:$M$10005,MATCH(('Reg 85'!$AQ$6&amp;'Reg 85'!BB$10&amp;'Reg 85'!$B168),('DMR 001C TIN &amp; TP'!$E$3:$E$10005&amp;'DMR 001C TIN &amp; TP'!$B$3:$B$10005&amp;'DMR 001C TIN &amp; TP'!$A$3:$A$10005),0),MATCH('Reg 85'!$AG$11,'DMR 001C TIN &amp; TP'!$A$2:$M$2,0))),"")</f>
        <v/>
      </c>
      <c r="BC168" s="6" t="str">
        <f t="array" ref="BC168">_xlfn.IFNA((INDEX('DMR 001C TIN &amp; TP'!$A$3:$M$10005,MATCH(('Reg 85'!$AQ$6&amp;'Reg 85'!BC$10&amp;'Reg 85'!$B168),('DMR 001C TIN &amp; TP'!$E$3:$E$10005&amp;'DMR 001C TIN &amp; TP'!$B$3:$B$10005&amp;'DMR 001C TIN &amp; TP'!$A$3:$A$10005),0),MATCH('Reg 85'!$AG$11,'DMR 001C TIN &amp; TP'!$A$2:$M$2,0))),"")</f>
        <v/>
      </c>
      <c r="BD168" s="6" t="str">
        <f t="array" ref="BD168">_xlfn.IFNA((INDEX('DMR 001C TIN &amp; TP'!$A$3:$M$10005,MATCH(('Reg 85'!$AQ$6&amp;'Reg 85'!BD$10&amp;'Reg 85'!$B168),('DMR 001C TIN &amp; TP'!$E$3:$E$10005&amp;'DMR 001C TIN &amp; TP'!$B$3:$B$10005&amp;'DMR 001C TIN &amp; TP'!$A$3:$A$10005),0),MATCH('Reg 85'!$AG$11,'DMR 001C TIN &amp; TP'!$A$2:$M$2,0))),"")</f>
        <v/>
      </c>
      <c r="BE168" s="6" t="str">
        <f t="array" ref="BE168">_xlfn.IFNA((INDEX('DMR 001C TIN &amp; TP'!$A$3:$M$10005,MATCH(('Reg 85'!$AQ$6&amp;'Reg 85'!BE$10&amp;'Reg 85'!$B168),('DMR 001C TIN &amp; TP'!$E$3:$E$10005&amp;'DMR 001C TIN &amp; TP'!$B$3:$B$10005&amp;'DMR 001C TIN &amp; TP'!$A$3:$A$10005),0),MATCH('Reg 85'!$AG$11,'DMR 001C TIN &amp; TP'!$A$2:$M$2,0))),"")</f>
        <v/>
      </c>
      <c r="BF168" s="6" t="str">
        <f t="array" ref="BF168">_xlfn.IFNA((INDEX('DMR 001C TIN &amp; TP'!$A$3:$M$10005,MATCH(('Reg 85'!$AQ$6&amp;'Reg 85'!BF$10&amp;'Reg 85'!$B168),('DMR 001C TIN &amp; TP'!$E$3:$E$10005&amp;'DMR 001C TIN &amp; TP'!$B$3:$B$10005&amp;'DMR 001C TIN &amp; TP'!$A$3:$A$10005),0),MATCH('Reg 85'!$AG$11,'DMR 001C TIN &amp; TP'!$A$2:$M$2,0))),"")</f>
        <v/>
      </c>
    </row>
    <row r="169" spans="1:58">
      <c r="A169" s="3" t="str">
        <f t="shared" si="63"/>
        <v>Tue</v>
      </c>
      <c r="B169" s="96">
        <f t="shared" si="79"/>
        <v>43501</v>
      </c>
      <c r="C169" s="96">
        <f t="shared" si="64"/>
        <v>43524</v>
      </c>
      <c r="D169" s="96">
        <f t="shared" si="65"/>
        <v>43497</v>
      </c>
      <c r="E169" s="95">
        <f t="shared" si="66"/>
        <v>28</v>
      </c>
      <c r="F169" s="7">
        <f t="array" ref="F169">_xlfn.IFNA(INDEX('DMR Flows-Effluent'!$A$3:$F$9999,MATCH(($F$10&amp;$B169),('DMR Flows-Effluent'!$B$3:$B$9999&amp;'DMR Flows-Effluent'!$A$3:$A$9999),0),MATCH($F$8,'DMR Flows-Effluent'!$A$2:$F$2,0)),"")</f>
        <v>54.104100000000003</v>
      </c>
      <c r="G169" s="7">
        <f t="array" ref="G169">_xlfn.IFNA(INDEX('DMR Flows-Effluent'!$A$3:$F$9999,MATCH(($G$10&amp;$B169),('DMR Flows-Effluent'!$B$3:$B$9999&amp;'DMR Flows-Effluent'!$A$3:$A$9999),0),MATCH($F$8,'DMR Flows-Effluent'!$A$2:$F$2,0)),"")</f>
        <v>62.826700000000002</v>
      </c>
      <c r="H169" s="7">
        <f t="shared" si="67"/>
        <v>116.9308</v>
      </c>
      <c r="I169" s="45" t="str">
        <f t="shared" si="68"/>
        <v/>
      </c>
      <c r="J169" s="6" t="str">
        <f t="array" ref="J169">_xlfn.IFNA((INDEX('DMR 001C TIN &amp; TP'!$A$3:$M$10005,MATCH(('Reg 85'!$I$6:$Q$6&amp;'Reg 85'!$I$10:$K$10&amp;'Reg 85'!$B169),('DMR 001C TIN &amp; TP'!$E$3:$E$10005&amp;'DMR 001C TIN &amp; TP'!$B$3:$B$10005&amp;'DMR 001C TIN &amp; TP'!$A$3:$A$10005),0),MATCH('Reg 85'!$J$11,'DMR 001C TIN &amp; TP'!$A$2:$M$2,0))),"")</f>
        <v>0.15</v>
      </c>
      <c r="K169" s="6">
        <f t="array" ref="K169">_xlfn.IFNA((INDEX('DMR 001C TIN &amp; TP'!$A$3:$M$10005,MATCH(('Reg 85'!$I$6:$Q$6&amp;'Reg 85'!$I$10:$K$10&amp;'Reg 85'!$B169),('DMR 001C TIN &amp; TP'!$E$3:$E$10005&amp;'DMR 001C TIN &amp; TP'!$B$3:$B$10005&amp;'DMR 001C TIN &amp; TP'!$A$3:$A$10005),0),MATCH('Reg 85'!$K$11,'DMR 001C TIN &amp; TP'!$A$2:$M$2,0))),"")</f>
        <v>0.55000000000000004</v>
      </c>
      <c r="L169" s="53">
        <f t="shared" si="80"/>
        <v>0.55000000000000004</v>
      </c>
      <c r="M169" s="5" t="str">
        <f t="shared" si="69"/>
        <v>&lt;</v>
      </c>
      <c r="N169" s="6" t="str">
        <f t="array" ref="N169">_xlfn.IFNA((INDEX('DMR 001C TIN &amp; TP'!$A$3:$M$10005,MATCH(('Reg 85'!$I$6:$Q$6&amp;'Reg 85'!$M$10&amp;'Reg 85'!$B169),('DMR 001C TIN &amp; TP'!$E$3:$E$10005&amp;'DMR 001C TIN &amp; TP'!$B$3:$B$10005&amp;'DMR 001C TIN &amp; TP'!$A$3:$A$10005),0),MATCH('Reg 85'!$N$11,'DMR 001C TIN &amp; TP'!$A$2:$M$2,0))),"")</f>
        <v>0.15</v>
      </c>
      <c r="O169" s="6">
        <f t="array" ref="O169">_xlfn.IFNA((INDEX('DMR 001C TIN &amp; TP'!$A$3:$M$10005,MATCH(('Reg 85'!$I$6:$Q$6&amp;'Reg 85'!$M$10&amp;'Reg 85'!$B169),('DMR 001C TIN &amp; TP'!$E$3:$E$10005&amp;'DMR 001C TIN &amp; TP'!$B$3:$B$10005&amp;'DMR 001C TIN &amp; TP'!$A$3:$A$10005),0),MATCH('Reg 85'!$O$11,'DMR 001C TIN &amp; TP'!$A$2:$M$2,0))),"")</f>
        <v>0.1</v>
      </c>
      <c r="P169" s="53">
        <f t="shared" si="70"/>
        <v>0</v>
      </c>
      <c r="Q169" s="73">
        <f t="array" ref="Q169">IFERROR(((L169*$F169)+(P169*$G169))/($H169),"")</f>
        <v>0.25448602934385128</v>
      </c>
      <c r="R169" s="6" t="str">
        <f t="array" ref="R169">_xlfn.IFNA((INDEX('DMR 001C TIN &amp; TP'!$A$3:$M$10005,MATCH(('Reg 85'!$I$6:$Q$6&amp;'Reg 85'!R$10&amp;'Reg 85'!$B169),('DMR 001C TIN &amp; TP'!$E$3:$E$10005&amp;'DMR 001C TIN &amp; TP'!$B$3:$B$10005&amp;'DMR 001C TIN &amp; TP'!$A$3:$A$10005),0),MATCH('Reg 85'!$O$11,'DMR 001C TIN &amp; TP'!$A$2:$M$2,0))),"")</f>
        <v/>
      </c>
      <c r="S169" s="6" t="str">
        <f t="array" ref="S169">_xlfn.IFNA((INDEX('DMR 001C TIN &amp; TP'!$A$3:$M$10005,MATCH(('Reg 85'!$I$6:$Q$6&amp;'Reg 85'!S$10&amp;'Reg 85'!$B169),('DMR 001C TIN &amp; TP'!$E$3:$E$10005&amp;'DMR 001C TIN &amp; TP'!$B$3:$B$10005&amp;'DMR 001C TIN &amp; TP'!$A$3:$A$10005),0),MATCH('Reg 85'!$O$11,'DMR 001C TIN &amp; TP'!$A$2:$M$2,0))),"")</f>
        <v/>
      </c>
      <c r="T169" s="6" t="str">
        <f t="array" ref="T169">_xlfn.IFNA((INDEX('DMR 001C TIN &amp; TP'!$A$3:$M$10005,MATCH(('Reg 85'!$I$6:$Q$6&amp;'Reg 85'!T$10&amp;'Reg 85'!$B169),('DMR 001C TIN &amp; TP'!$E$3:$E$10005&amp;'DMR 001C TIN &amp; TP'!$B$3:$B$10005&amp;'DMR 001C TIN &amp; TP'!$A$3:$A$10005),0),MATCH('Reg 85'!$O$11,'DMR 001C TIN &amp; TP'!$A$2:$M$2,0))),"")</f>
        <v/>
      </c>
      <c r="U169" s="6" t="str">
        <f t="array" ref="U169">_xlfn.IFNA((INDEX('DMR 001C TIN &amp; TP'!$A$3:$M$10005,MATCH(('Reg 85'!$I$6:$Q$6&amp;'Reg 85'!U$10&amp;'Reg 85'!$B169),('DMR 001C TIN &amp; TP'!$E$3:$E$10005&amp;'DMR 001C TIN &amp; TP'!$B$3:$B$10005&amp;'DMR 001C TIN &amp; TP'!$A$3:$A$10005),0),MATCH('Reg 85'!$O$11,'DMR 001C TIN &amp; TP'!$A$2:$M$2,0))),"")</f>
        <v/>
      </c>
      <c r="V169" s="6" t="str">
        <f t="array" ref="V169">_xlfn.IFNA((INDEX('DMR 001C TIN &amp; TP'!$A$3:$M$10005,MATCH(('Reg 85'!$I$6:$Q$6&amp;'Reg 85'!V$10&amp;'Reg 85'!$B169),('DMR 001C TIN &amp; TP'!$E$3:$E$10005&amp;'DMR 001C TIN &amp; TP'!$B$3:$B$10005&amp;'DMR 001C TIN &amp; TP'!$A$3:$A$10005),0),MATCH('Reg 85'!$O$11,'DMR 001C TIN &amp; TP'!$A$2:$M$2,0))),"")</f>
        <v/>
      </c>
      <c r="W169" s="6" t="str">
        <f t="array" ref="W169">_xlfn.IFNA((INDEX('DMR 001C TIN &amp; TP'!$A$3:$M$10005,MATCH(('Reg 85'!$I$6:$Q$6&amp;'Reg 85'!W$10&amp;'Reg 85'!$B169),('DMR 001C TIN &amp; TP'!$E$3:$E$10005&amp;'DMR 001C TIN &amp; TP'!$B$3:$B$10005&amp;'DMR 001C TIN &amp; TP'!$A$3:$A$10005),0),MATCH('Reg 85'!$O$11,'DMR 001C TIN &amp; TP'!$A$2:$M$2,0))),"")</f>
        <v/>
      </c>
      <c r="X169" s="5" t="str">
        <f t="shared" si="71"/>
        <v/>
      </c>
      <c r="Y169" s="6" t="str">
        <f t="array" ref="Y169">_xlfn.IFNA((INDEX('DMR 001C TIN &amp; TP'!$A$3:$M$10005,MATCH(('Reg 85'!$X$6&amp;'Reg 85'!$X$10&amp;'Reg 85'!$B169),('DMR 001C TIN &amp; TP'!$E$3:$E$10005&amp;'DMR 001C TIN &amp; TP'!$B$3:$B$10005&amp;'DMR 001C TIN &amp; TP'!$A$3:$A$10005),0),MATCH('Reg 85'!$Y$11,'DMR 001C TIN &amp; TP'!$A$2:$M$2,0))),"")</f>
        <v>0.06</v>
      </c>
      <c r="Z169" s="6">
        <f t="array" ref="Z169">_xlfn.IFNA((INDEX('DMR 001C TIN &amp; TP'!$A$3:$M$10005,MATCH(('Reg 85'!$X$6&amp;'Reg 85'!$X$10&amp;'Reg 85'!$B169),('DMR 001C TIN &amp; TP'!$E$3:$E$10005&amp;'DMR 001C TIN &amp; TP'!$B$3:$B$10005&amp;'DMR 001C TIN &amp; TP'!$A$3:$A$10005),0),MATCH('Reg 85'!$Z$11,'DMR 001C TIN &amp; TP'!$A$2:$M$2,0))),"")</f>
        <v>5</v>
      </c>
      <c r="AA169" s="53">
        <f t="shared" si="72"/>
        <v>5</v>
      </c>
      <c r="AB169" s="5" t="str">
        <f t="shared" si="73"/>
        <v/>
      </c>
      <c r="AC169" s="6" t="str">
        <f t="array" ref="AC169">_xlfn.IFNA((INDEX('DMR 001C TIN &amp; TP'!$A$3:$M$10005,MATCH(('Reg 85'!$X$6&amp;'Reg 85'!$AB$10&amp;'Reg 85'!$B169),('DMR 001C TIN &amp; TP'!$E$3:$E$10005&amp;'DMR 001C TIN &amp; TP'!$B$3:$B$10005&amp;'DMR 001C TIN &amp; TP'!$A$3:$A$10005),0),MATCH('Reg 85'!$AC$11,'DMR 001C TIN &amp; TP'!$A$2:$M$2,0))),"")</f>
        <v>0.06</v>
      </c>
      <c r="AD169" s="6">
        <f t="array" ref="AD169">_xlfn.IFNA((INDEX('DMR 001C TIN &amp; TP'!$A$3:$M$10005,MATCH(('Reg 85'!$X$6&amp;'Reg 85'!$AB$10&amp;'Reg 85'!$B169),('DMR 001C TIN &amp; TP'!$E$3:$E$10005&amp;'DMR 001C TIN &amp; TP'!$B$3:$B$10005&amp;'DMR 001C TIN &amp; TP'!$A$3:$A$10005),0),MATCH('Reg 85'!$AD$11,'DMR 001C TIN &amp; TP'!$A$2:$M$2,0))),"")</f>
        <v>5.9</v>
      </c>
      <c r="AE169" s="53">
        <f t="shared" si="74"/>
        <v>5.9</v>
      </c>
      <c r="AF169" s="7">
        <f t="shared" si="75"/>
        <v>5.4835683156191521</v>
      </c>
      <c r="AG169" s="6" t="str">
        <f t="array" ref="AG169">_xlfn.IFNA((INDEX('DMR 001C TIN &amp; TP'!$A$3:$M$10005,MATCH(('Reg 85'!$X$6&amp;'Reg 85'!AG$10&amp;'Reg 85'!$B169),('DMR 001C TIN &amp; TP'!$E$3:$E$10005&amp;'DMR 001C TIN &amp; TP'!$B$3:$B$10005&amp;'DMR 001C TIN &amp; TP'!$A$3:$A$10005),0),MATCH('Reg 85'!$AG$11,'DMR 001C TIN &amp; TP'!$A$2:$M$2,0))),"")</f>
        <v/>
      </c>
      <c r="AH169" s="6" t="str">
        <f t="array" ref="AH169">_xlfn.IFNA((INDEX('DMR 001C TIN &amp; TP'!$A$3:$M$10005,MATCH(('Reg 85'!$X$6&amp;'Reg 85'!AH$10&amp;'Reg 85'!$B169),('DMR 001C TIN &amp; TP'!$E$3:$E$10005&amp;'DMR 001C TIN &amp; TP'!$B$3:$B$10005&amp;'DMR 001C TIN &amp; TP'!$A$3:$A$10005),0),MATCH('Reg 85'!$AG$11,'DMR 001C TIN &amp; TP'!$A$2:$M$2,0))),"")</f>
        <v/>
      </c>
      <c r="AI169" s="6" t="str">
        <f t="array" ref="AI169">_xlfn.IFNA((INDEX('DMR 001C TIN &amp; TP'!$A$3:$M$10005,MATCH(('Reg 85'!$X$6&amp;'Reg 85'!AI$10&amp;'Reg 85'!$B169),('DMR 001C TIN &amp; TP'!$E$3:$E$10005&amp;'DMR 001C TIN &amp; TP'!$B$3:$B$10005&amp;'DMR 001C TIN &amp; TP'!$A$3:$A$10005),0),MATCH('Reg 85'!$AG$11,'DMR 001C TIN &amp; TP'!$A$2:$M$2,0))),"")</f>
        <v/>
      </c>
      <c r="AJ169" s="6" t="str">
        <f t="array" ref="AJ169">_xlfn.IFNA((INDEX('DMR 001C TIN &amp; TP'!$A$3:$M$10005,MATCH(('Reg 85'!$X$6&amp;'Reg 85'!AJ$10&amp;'Reg 85'!$B169),('DMR 001C TIN &amp; TP'!$E$3:$E$10005&amp;'DMR 001C TIN &amp; TP'!$B$3:$B$10005&amp;'DMR 001C TIN &amp; TP'!$A$3:$A$10005),0),MATCH('Reg 85'!$AG$11,'DMR 001C TIN &amp; TP'!$A$2:$M$2,0))),"")</f>
        <v/>
      </c>
      <c r="AK169" s="6" t="str">
        <f t="array" ref="AK169">_xlfn.IFNA((INDEX('DMR 001C TIN &amp; TP'!$A$3:$M$10005,MATCH(('Reg 85'!$X$6&amp;'Reg 85'!AK$10&amp;'Reg 85'!$B169),('DMR 001C TIN &amp; TP'!$E$3:$E$10005&amp;'DMR 001C TIN &amp; TP'!$B$3:$B$10005&amp;'DMR 001C TIN &amp; TP'!$A$3:$A$10005),0),MATCH('Reg 85'!$AG$11,'DMR 001C TIN &amp; TP'!$A$2:$M$2,0))),"")</f>
        <v/>
      </c>
      <c r="AL169" s="6" t="str">
        <f t="array" ref="AL169">_xlfn.IFNA((INDEX('DMR 001C TIN &amp; TP'!$A$3:$M$10005,MATCH(('Reg 85'!$X$6&amp;'Reg 85'!AL$10&amp;'Reg 85'!$B169),('DMR 001C TIN &amp; TP'!$E$3:$E$10005&amp;'DMR 001C TIN &amp; TP'!$B$3:$B$10005&amp;'DMR 001C TIN &amp; TP'!$A$3:$A$10005),0),MATCH('Reg 85'!$AG$11,'DMR 001C TIN &amp; TP'!$A$2:$M$2,0))),"")</f>
        <v/>
      </c>
      <c r="AM169" s="76"/>
      <c r="AN169" s="6"/>
      <c r="AO169" s="54">
        <f t="shared" si="62"/>
        <v>5.738054344963003</v>
      </c>
      <c r="AP169" s="77" t="str">
        <f t="shared" si="60"/>
        <v/>
      </c>
      <c r="AQ169" s="47"/>
      <c r="AR169" s="6" t="str">
        <f t="array" ref="AR169">_xlfn.IFNA((INDEX('DMR 001C TIN &amp; TP'!$A$3:$M$10005,MATCH(('Reg 85'!$AQ$6&amp;'Reg 85'!$AQ$10&amp;'Reg 85'!$B169),('DMR 001C TIN &amp; TP'!$E$3:$E$10005&amp;'DMR 001C TIN &amp; TP'!$B$3:$B$10005&amp;'DMR 001C TIN &amp; TP'!$A$3:$A$10005),0),MATCH('Reg 85'!$AR$11,'DMR 001C TIN &amp; TP'!$A$2:$M$2,0))),"")</f>
        <v/>
      </c>
      <c r="AS169" s="6" t="str">
        <f t="array" ref="AS169">_xlfn.IFNA((INDEX('DMR 001C TIN &amp; TP'!$A$3:$M$10005,MATCH(('Reg 85'!$AQ$6&amp;'Reg 85'!$AQ$10&amp;'Reg 85'!$B169),('DMR 001C TIN &amp; TP'!$E$3:$E$10005&amp;'DMR 001C TIN &amp; TP'!$B$3:$B$10005&amp;'DMR 001C TIN &amp; TP'!$A$3:$A$10005),0),MATCH('Reg 85'!$AS$11,'DMR 001C TIN &amp; TP'!$A$2:$M$2,0))),"")</f>
        <v/>
      </c>
      <c r="AT169" s="53" t="str">
        <f t="shared" si="76"/>
        <v/>
      </c>
      <c r="AV169" s="6" t="str">
        <f t="array" ref="AV169">_xlfn.IFNA((INDEX('DMR 001C TIN &amp; TP'!$A$3:$M$10005,MATCH(('Reg 85'!$AQ$6&amp;'Reg 85'!$AU$10&amp;'Reg 85'!$B169),('DMR 001C TIN &amp; TP'!$E$3:$E$10005&amp;'DMR 001C TIN &amp; TP'!$B$3:$B$10005&amp;'DMR 001C TIN &amp; TP'!$A$3:$A$10005),0),MATCH('Reg 85'!$AV$11,'DMR 001C TIN &amp; TP'!$A$2:$M$2,0))),"")</f>
        <v/>
      </c>
      <c r="AW169" s="6" t="str">
        <f t="array" ref="AW169">_xlfn.IFNA((INDEX('DMR 001C TIN &amp; TP'!$A$3:$M$10005,MATCH(('Reg 85'!$AQ$6&amp;'Reg 85'!$AU$10&amp;'Reg 85'!$B169),('DMR 001C TIN &amp; TP'!$E$3:$E$10005&amp;'DMR 001C TIN &amp; TP'!$B$3:$B$10005&amp;'DMR 001C TIN &amp; TP'!$A$3:$A$10005),0),MATCH('Reg 85'!$AW$11,'DMR 001C TIN &amp; TP'!$A$2:$M$2,0))),"")</f>
        <v/>
      </c>
      <c r="AX169" s="53" t="str">
        <f t="shared" si="77"/>
        <v/>
      </c>
      <c r="AY169" s="55" t="str">
        <f t="shared" si="78"/>
        <v/>
      </c>
      <c r="AZ169" s="77" t="str">
        <f t="shared" si="61"/>
        <v/>
      </c>
      <c r="BA169" s="6" t="str">
        <f t="array" ref="BA169">_xlfn.IFNA((INDEX('DMR 001C TIN &amp; TP'!$A$3:$M$10005,MATCH(('Reg 85'!$AQ$6&amp;'Reg 85'!BA$10&amp;'Reg 85'!$B169),('DMR 001C TIN &amp; TP'!$E$3:$E$10005&amp;'DMR 001C TIN &amp; TP'!$B$3:$B$10005&amp;'DMR 001C TIN &amp; TP'!$A$3:$A$10005),0),MATCH('Reg 85'!$AG$11,'DMR 001C TIN &amp; TP'!$A$2:$M$2,0))),"")</f>
        <v/>
      </c>
      <c r="BB169" s="6" t="str">
        <f t="array" ref="BB169">_xlfn.IFNA((INDEX('DMR 001C TIN &amp; TP'!$A$3:$M$10005,MATCH(('Reg 85'!$AQ$6&amp;'Reg 85'!BB$10&amp;'Reg 85'!$B169),('DMR 001C TIN &amp; TP'!$E$3:$E$10005&amp;'DMR 001C TIN &amp; TP'!$B$3:$B$10005&amp;'DMR 001C TIN &amp; TP'!$A$3:$A$10005),0),MATCH('Reg 85'!$AG$11,'DMR 001C TIN &amp; TP'!$A$2:$M$2,0))),"")</f>
        <v/>
      </c>
      <c r="BC169" s="6" t="str">
        <f t="array" ref="BC169">_xlfn.IFNA((INDEX('DMR 001C TIN &amp; TP'!$A$3:$M$10005,MATCH(('Reg 85'!$AQ$6&amp;'Reg 85'!BC$10&amp;'Reg 85'!$B169),('DMR 001C TIN &amp; TP'!$E$3:$E$10005&amp;'DMR 001C TIN &amp; TP'!$B$3:$B$10005&amp;'DMR 001C TIN &amp; TP'!$A$3:$A$10005),0),MATCH('Reg 85'!$AG$11,'DMR 001C TIN &amp; TP'!$A$2:$M$2,0))),"")</f>
        <v/>
      </c>
      <c r="BD169" s="6" t="str">
        <f t="array" ref="BD169">_xlfn.IFNA((INDEX('DMR 001C TIN &amp; TP'!$A$3:$M$10005,MATCH(('Reg 85'!$AQ$6&amp;'Reg 85'!BD$10&amp;'Reg 85'!$B169),('DMR 001C TIN &amp; TP'!$E$3:$E$10005&amp;'DMR 001C TIN &amp; TP'!$B$3:$B$10005&amp;'DMR 001C TIN &amp; TP'!$A$3:$A$10005),0),MATCH('Reg 85'!$AG$11,'DMR 001C TIN &amp; TP'!$A$2:$M$2,0))),"")</f>
        <v/>
      </c>
      <c r="BE169" s="6" t="str">
        <f t="array" ref="BE169">_xlfn.IFNA((INDEX('DMR 001C TIN &amp; TP'!$A$3:$M$10005,MATCH(('Reg 85'!$AQ$6&amp;'Reg 85'!BE$10&amp;'Reg 85'!$B169),('DMR 001C TIN &amp; TP'!$E$3:$E$10005&amp;'DMR 001C TIN &amp; TP'!$B$3:$B$10005&amp;'DMR 001C TIN &amp; TP'!$A$3:$A$10005),0),MATCH('Reg 85'!$AG$11,'DMR 001C TIN &amp; TP'!$A$2:$M$2,0))),"")</f>
        <v/>
      </c>
      <c r="BF169" s="6" t="str">
        <f t="array" ref="BF169">_xlfn.IFNA((INDEX('DMR 001C TIN &amp; TP'!$A$3:$M$10005,MATCH(('Reg 85'!$AQ$6&amp;'Reg 85'!BF$10&amp;'Reg 85'!$B169),('DMR 001C TIN &amp; TP'!$E$3:$E$10005&amp;'DMR 001C TIN &amp; TP'!$B$3:$B$10005&amp;'DMR 001C TIN &amp; TP'!$A$3:$A$10005),0),MATCH('Reg 85'!$AG$11,'DMR 001C TIN &amp; TP'!$A$2:$M$2,0))),"")</f>
        <v/>
      </c>
    </row>
    <row r="170" spans="1:58">
      <c r="A170" s="3" t="str">
        <f t="shared" si="63"/>
        <v>Wed</v>
      </c>
      <c r="B170" s="96">
        <f t="shared" si="79"/>
        <v>43502</v>
      </c>
      <c r="C170" s="96">
        <f t="shared" si="64"/>
        <v>43524</v>
      </c>
      <c r="D170" s="96">
        <f t="shared" si="65"/>
        <v>43497</v>
      </c>
      <c r="E170" s="95">
        <f t="shared" si="66"/>
        <v>28</v>
      </c>
      <c r="F170" s="7">
        <f t="array" ref="F170">_xlfn.IFNA(INDEX('DMR Flows-Effluent'!$A$3:$F$9999,MATCH(($F$10&amp;$B170),('DMR Flows-Effluent'!$B$3:$B$9999&amp;'DMR Flows-Effluent'!$A$3:$A$9999),0),MATCH($F$8,'DMR Flows-Effluent'!$A$2:$F$2,0)),"")</f>
        <v>62.332900000000002</v>
      </c>
      <c r="G170" s="7">
        <f t="array" ref="G170">_xlfn.IFNA(INDEX('DMR Flows-Effluent'!$A$3:$F$9999,MATCH(($G$10&amp;$B170),('DMR Flows-Effluent'!$B$3:$B$9999&amp;'DMR Flows-Effluent'!$A$3:$A$9999),0),MATCH($F$8,'DMR Flows-Effluent'!$A$2:$F$2,0)),"")</f>
        <v>59.4681</v>
      </c>
      <c r="H170" s="7">
        <f t="shared" si="67"/>
        <v>121.801</v>
      </c>
      <c r="I170" s="45" t="str">
        <f t="shared" si="68"/>
        <v/>
      </c>
      <c r="J170" s="6" t="str">
        <f t="array" ref="J170">_xlfn.IFNA((INDEX('DMR 001C TIN &amp; TP'!$A$3:$M$10005,MATCH(('Reg 85'!$I$6:$Q$6&amp;'Reg 85'!$I$10:$K$10&amp;'Reg 85'!$B170),('DMR 001C TIN &amp; TP'!$E$3:$E$10005&amp;'DMR 001C TIN &amp; TP'!$B$3:$B$10005&amp;'DMR 001C TIN &amp; TP'!$A$3:$A$10005),0),MATCH('Reg 85'!$J$11,'DMR 001C TIN &amp; TP'!$A$2:$M$2,0))),"")</f>
        <v>0.15</v>
      </c>
      <c r="K170" s="6">
        <f t="array" ref="K170">_xlfn.IFNA((INDEX('DMR 001C TIN &amp; TP'!$A$3:$M$10005,MATCH(('Reg 85'!$I$6:$Q$6&amp;'Reg 85'!$I$10:$K$10&amp;'Reg 85'!$B170),('DMR 001C TIN &amp; TP'!$E$3:$E$10005&amp;'DMR 001C TIN &amp; TP'!$B$3:$B$10005&amp;'DMR 001C TIN &amp; TP'!$A$3:$A$10005),0),MATCH('Reg 85'!$K$11,'DMR 001C TIN &amp; TP'!$A$2:$M$2,0))),"")</f>
        <v>2.2999999999999998</v>
      </c>
      <c r="L170" s="53">
        <f t="shared" si="80"/>
        <v>2.2999999999999998</v>
      </c>
      <c r="M170" s="5" t="str">
        <f t="shared" si="69"/>
        <v/>
      </c>
      <c r="N170" s="6" t="str">
        <f t="array" ref="N170">_xlfn.IFNA((INDEX('DMR 001C TIN &amp; TP'!$A$3:$M$10005,MATCH(('Reg 85'!$I$6:$Q$6&amp;'Reg 85'!$M$10&amp;'Reg 85'!$B170),('DMR 001C TIN &amp; TP'!$E$3:$E$10005&amp;'DMR 001C TIN &amp; TP'!$B$3:$B$10005&amp;'DMR 001C TIN &amp; TP'!$A$3:$A$10005),0),MATCH('Reg 85'!$N$11,'DMR 001C TIN &amp; TP'!$A$2:$M$2,0))),"")</f>
        <v>0.15</v>
      </c>
      <c r="O170" s="6">
        <f t="array" ref="O170">_xlfn.IFNA((INDEX('DMR 001C TIN &amp; TP'!$A$3:$M$10005,MATCH(('Reg 85'!$I$6:$Q$6&amp;'Reg 85'!$M$10&amp;'Reg 85'!$B170),('DMR 001C TIN &amp; TP'!$E$3:$E$10005&amp;'DMR 001C TIN &amp; TP'!$B$3:$B$10005&amp;'DMR 001C TIN &amp; TP'!$A$3:$A$10005),0),MATCH('Reg 85'!$O$11,'DMR 001C TIN &amp; TP'!$A$2:$M$2,0))),"")</f>
        <v>0.23</v>
      </c>
      <c r="P170" s="53">
        <f t="shared" si="70"/>
        <v>0.23</v>
      </c>
      <c r="Q170" s="73">
        <f t="array" ref="Q170">IFERROR(((L170*$F170)+(P170*$G170))/($H170),"")</f>
        <v>1.2893435439774714</v>
      </c>
      <c r="R170" s="6" t="str">
        <f t="array" ref="R170">_xlfn.IFNA((INDEX('DMR 001C TIN &amp; TP'!$A$3:$M$10005,MATCH(('Reg 85'!$I$6:$Q$6&amp;'Reg 85'!R$10&amp;'Reg 85'!$B170),('DMR 001C TIN &amp; TP'!$E$3:$E$10005&amp;'DMR 001C TIN &amp; TP'!$B$3:$B$10005&amp;'DMR 001C TIN &amp; TP'!$A$3:$A$10005),0),MATCH('Reg 85'!$O$11,'DMR 001C TIN &amp; TP'!$A$2:$M$2,0))),"")</f>
        <v/>
      </c>
      <c r="S170" s="6" t="str">
        <f t="array" ref="S170">_xlfn.IFNA((INDEX('DMR 001C TIN &amp; TP'!$A$3:$M$10005,MATCH(('Reg 85'!$I$6:$Q$6&amp;'Reg 85'!S$10&amp;'Reg 85'!$B170),('DMR 001C TIN &amp; TP'!$E$3:$E$10005&amp;'DMR 001C TIN &amp; TP'!$B$3:$B$10005&amp;'DMR 001C TIN &amp; TP'!$A$3:$A$10005),0),MATCH('Reg 85'!$O$11,'DMR 001C TIN &amp; TP'!$A$2:$M$2,0))),"")</f>
        <v/>
      </c>
      <c r="T170" s="6" t="str">
        <f t="array" ref="T170">_xlfn.IFNA((INDEX('DMR 001C TIN &amp; TP'!$A$3:$M$10005,MATCH(('Reg 85'!$I$6:$Q$6&amp;'Reg 85'!T$10&amp;'Reg 85'!$B170),('DMR 001C TIN &amp; TP'!$E$3:$E$10005&amp;'DMR 001C TIN &amp; TP'!$B$3:$B$10005&amp;'DMR 001C TIN &amp; TP'!$A$3:$A$10005),0),MATCH('Reg 85'!$O$11,'DMR 001C TIN &amp; TP'!$A$2:$M$2,0))),"")</f>
        <v/>
      </c>
      <c r="U170" s="6" t="str">
        <f t="array" ref="U170">_xlfn.IFNA((INDEX('DMR 001C TIN &amp; TP'!$A$3:$M$10005,MATCH(('Reg 85'!$I$6:$Q$6&amp;'Reg 85'!U$10&amp;'Reg 85'!$B170),('DMR 001C TIN &amp; TP'!$E$3:$E$10005&amp;'DMR 001C TIN &amp; TP'!$B$3:$B$10005&amp;'DMR 001C TIN &amp; TP'!$A$3:$A$10005),0),MATCH('Reg 85'!$O$11,'DMR 001C TIN &amp; TP'!$A$2:$M$2,0))),"")</f>
        <v/>
      </c>
      <c r="V170" s="6" t="str">
        <f t="array" ref="V170">_xlfn.IFNA((INDEX('DMR 001C TIN &amp; TP'!$A$3:$M$10005,MATCH(('Reg 85'!$I$6:$Q$6&amp;'Reg 85'!V$10&amp;'Reg 85'!$B170),('DMR 001C TIN &amp; TP'!$E$3:$E$10005&amp;'DMR 001C TIN &amp; TP'!$B$3:$B$10005&amp;'DMR 001C TIN &amp; TP'!$A$3:$A$10005),0),MATCH('Reg 85'!$O$11,'DMR 001C TIN &amp; TP'!$A$2:$M$2,0))),"")</f>
        <v/>
      </c>
      <c r="W170" s="6" t="str">
        <f t="array" ref="W170">_xlfn.IFNA((INDEX('DMR 001C TIN &amp; TP'!$A$3:$M$10005,MATCH(('Reg 85'!$I$6:$Q$6&amp;'Reg 85'!W$10&amp;'Reg 85'!$B170),('DMR 001C TIN &amp; TP'!$E$3:$E$10005&amp;'DMR 001C TIN &amp; TP'!$B$3:$B$10005&amp;'DMR 001C TIN &amp; TP'!$A$3:$A$10005),0),MATCH('Reg 85'!$O$11,'DMR 001C TIN &amp; TP'!$A$2:$M$2,0))),"")</f>
        <v/>
      </c>
      <c r="X170" s="5" t="str">
        <f t="shared" si="71"/>
        <v/>
      </c>
      <c r="Y170" s="6" t="str">
        <f t="array" ref="Y170">_xlfn.IFNA((INDEX('DMR 001C TIN &amp; TP'!$A$3:$M$10005,MATCH(('Reg 85'!$X$6&amp;'Reg 85'!$X$10&amp;'Reg 85'!$B170),('DMR 001C TIN &amp; TP'!$E$3:$E$10005&amp;'DMR 001C TIN &amp; TP'!$B$3:$B$10005&amp;'DMR 001C TIN &amp; TP'!$A$3:$A$10005),0),MATCH('Reg 85'!$Y$11,'DMR 001C TIN &amp; TP'!$A$2:$M$2,0))),"")</f>
        <v>0.06</v>
      </c>
      <c r="Z170" s="6">
        <f t="array" ref="Z170">_xlfn.IFNA((INDEX('DMR 001C TIN &amp; TP'!$A$3:$M$10005,MATCH(('Reg 85'!$X$6&amp;'Reg 85'!$X$10&amp;'Reg 85'!$B170),('DMR 001C TIN &amp; TP'!$E$3:$E$10005&amp;'DMR 001C TIN &amp; TP'!$B$3:$B$10005&amp;'DMR 001C TIN &amp; TP'!$A$3:$A$10005),0),MATCH('Reg 85'!$Z$11,'DMR 001C TIN &amp; TP'!$A$2:$M$2,0))),"")</f>
        <v>4.2300000000000004</v>
      </c>
      <c r="AA170" s="53">
        <f t="shared" si="72"/>
        <v>4.2300000000000004</v>
      </c>
      <c r="AB170" s="5" t="str">
        <f t="shared" si="73"/>
        <v/>
      </c>
      <c r="AC170" s="6" t="str">
        <f t="array" ref="AC170">_xlfn.IFNA((INDEX('DMR 001C TIN &amp; TP'!$A$3:$M$10005,MATCH(('Reg 85'!$X$6&amp;'Reg 85'!$AB$10&amp;'Reg 85'!$B170),('DMR 001C TIN &amp; TP'!$E$3:$E$10005&amp;'DMR 001C TIN &amp; TP'!$B$3:$B$10005&amp;'DMR 001C TIN &amp; TP'!$A$3:$A$10005),0),MATCH('Reg 85'!$AC$11,'DMR 001C TIN &amp; TP'!$A$2:$M$2,0))),"")</f>
        <v>0.06</v>
      </c>
      <c r="AD170" s="6">
        <f t="array" ref="AD170">_xlfn.IFNA((INDEX('DMR 001C TIN &amp; TP'!$A$3:$M$10005,MATCH(('Reg 85'!$X$6&amp;'Reg 85'!$AB$10&amp;'Reg 85'!$B170),('DMR 001C TIN &amp; TP'!$E$3:$E$10005&amp;'DMR 001C TIN &amp; TP'!$B$3:$B$10005&amp;'DMR 001C TIN &amp; TP'!$A$3:$A$10005),0),MATCH('Reg 85'!$AD$11,'DMR 001C TIN &amp; TP'!$A$2:$M$2,0))),"")</f>
        <v>6.31</v>
      </c>
      <c r="AE170" s="53">
        <f t="shared" si="74"/>
        <v>6.31</v>
      </c>
      <c r="AF170" s="7">
        <f t="shared" si="75"/>
        <v>5.2455388543608015</v>
      </c>
      <c r="AG170" s="6" t="str">
        <f t="array" ref="AG170">_xlfn.IFNA((INDEX('DMR 001C TIN &amp; TP'!$A$3:$M$10005,MATCH(('Reg 85'!$X$6&amp;'Reg 85'!AG$10&amp;'Reg 85'!$B170),('DMR 001C TIN &amp; TP'!$E$3:$E$10005&amp;'DMR 001C TIN &amp; TP'!$B$3:$B$10005&amp;'DMR 001C TIN &amp; TP'!$A$3:$A$10005),0),MATCH('Reg 85'!$AG$11,'DMR 001C TIN &amp; TP'!$A$2:$M$2,0))),"")</f>
        <v/>
      </c>
      <c r="AH170" s="6" t="str">
        <f t="array" ref="AH170">_xlfn.IFNA((INDEX('DMR 001C TIN &amp; TP'!$A$3:$M$10005,MATCH(('Reg 85'!$X$6&amp;'Reg 85'!AH$10&amp;'Reg 85'!$B170),('DMR 001C TIN &amp; TP'!$E$3:$E$10005&amp;'DMR 001C TIN &amp; TP'!$B$3:$B$10005&amp;'DMR 001C TIN &amp; TP'!$A$3:$A$10005),0),MATCH('Reg 85'!$AG$11,'DMR 001C TIN &amp; TP'!$A$2:$M$2,0))),"")</f>
        <v/>
      </c>
      <c r="AI170" s="6" t="str">
        <f t="array" ref="AI170">_xlfn.IFNA((INDEX('DMR 001C TIN &amp; TP'!$A$3:$M$10005,MATCH(('Reg 85'!$X$6&amp;'Reg 85'!AI$10&amp;'Reg 85'!$B170),('DMR 001C TIN &amp; TP'!$E$3:$E$10005&amp;'DMR 001C TIN &amp; TP'!$B$3:$B$10005&amp;'DMR 001C TIN &amp; TP'!$A$3:$A$10005),0),MATCH('Reg 85'!$AG$11,'DMR 001C TIN &amp; TP'!$A$2:$M$2,0))),"")</f>
        <v/>
      </c>
      <c r="AJ170" s="6" t="str">
        <f t="array" ref="AJ170">_xlfn.IFNA((INDEX('DMR 001C TIN &amp; TP'!$A$3:$M$10005,MATCH(('Reg 85'!$X$6&amp;'Reg 85'!AJ$10&amp;'Reg 85'!$B170),('DMR 001C TIN &amp; TP'!$E$3:$E$10005&amp;'DMR 001C TIN &amp; TP'!$B$3:$B$10005&amp;'DMR 001C TIN &amp; TP'!$A$3:$A$10005),0),MATCH('Reg 85'!$AG$11,'DMR 001C TIN &amp; TP'!$A$2:$M$2,0))),"")</f>
        <v/>
      </c>
      <c r="AK170" s="6" t="str">
        <f t="array" ref="AK170">_xlfn.IFNA((INDEX('DMR 001C TIN &amp; TP'!$A$3:$M$10005,MATCH(('Reg 85'!$X$6&amp;'Reg 85'!AK$10&amp;'Reg 85'!$B170),('DMR 001C TIN &amp; TP'!$E$3:$E$10005&amp;'DMR 001C TIN &amp; TP'!$B$3:$B$10005&amp;'DMR 001C TIN &amp; TP'!$A$3:$A$10005),0),MATCH('Reg 85'!$AG$11,'DMR 001C TIN &amp; TP'!$A$2:$M$2,0))),"")</f>
        <v/>
      </c>
      <c r="AL170" s="6" t="str">
        <f t="array" ref="AL170">_xlfn.IFNA((INDEX('DMR 001C TIN &amp; TP'!$A$3:$M$10005,MATCH(('Reg 85'!$X$6&amp;'Reg 85'!AL$10&amp;'Reg 85'!$B170),('DMR 001C TIN &amp; TP'!$E$3:$E$10005&amp;'DMR 001C TIN &amp; TP'!$B$3:$B$10005&amp;'DMR 001C TIN &amp; TP'!$A$3:$A$10005),0),MATCH('Reg 85'!$AG$11,'DMR 001C TIN &amp; TP'!$A$2:$M$2,0))),"")</f>
        <v/>
      </c>
      <c r="AM170" s="76"/>
      <c r="AN170" s="6"/>
      <c r="AO170" s="54">
        <f t="shared" si="62"/>
        <v>6.5348823983382731</v>
      </c>
      <c r="AP170" s="77" t="str">
        <f t="shared" ref="AP170:AP233" si="81">IF(COUNT(IF((B141:B170&lt;=C170)*(B141:B170&gt;=D170)*(B170=EOMONTH(B170,0)),AO141:AO170,""))=0,"",COUNT(IF((B141:B170&lt;=C170)*(B141:B170&gt;=D170)*(B170=EOMONTH(B170,0)),AO141:AO170,"")))</f>
        <v/>
      </c>
      <c r="AQ170" s="47"/>
      <c r="AR170" s="6" t="str">
        <f t="array" ref="AR170">_xlfn.IFNA((INDEX('DMR 001C TIN &amp; TP'!$A$3:$M$10005,MATCH(('Reg 85'!$AQ$6&amp;'Reg 85'!$AQ$10&amp;'Reg 85'!$B170),('DMR 001C TIN &amp; TP'!$E$3:$E$10005&amp;'DMR 001C TIN &amp; TP'!$B$3:$B$10005&amp;'DMR 001C TIN &amp; TP'!$A$3:$A$10005),0),MATCH('Reg 85'!$AR$11,'DMR 001C TIN &amp; TP'!$A$2:$M$2,0))),"")</f>
        <v/>
      </c>
      <c r="AS170" s="6" t="str">
        <f t="array" ref="AS170">_xlfn.IFNA((INDEX('DMR 001C TIN &amp; TP'!$A$3:$M$10005,MATCH(('Reg 85'!$AQ$6&amp;'Reg 85'!$AQ$10&amp;'Reg 85'!$B170),('DMR 001C TIN &amp; TP'!$E$3:$E$10005&amp;'DMR 001C TIN &amp; TP'!$B$3:$B$10005&amp;'DMR 001C TIN &amp; TP'!$A$3:$A$10005),0),MATCH('Reg 85'!$AS$11,'DMR 001C TIN &amp; TP'!$A$2:$M$2,0))),"")</f>
        <v/>
      </c>
      <c r="AT170" s="53" t="str">
        <f t="shared" si="76"/>
        <v/>
      </c>
      <c r="AV170" s="6" t="str">
        <f t="array" ref="AV170">_xlfn.IFNA((INDEX('DMR 001C TIN &amp; TP'!$A$3:$M$10005,MATCH(('Reg 85'!$AQ$6&amp;'Reg 85'!$AU$10&amp;'Reg 85'!$B170),('DMR 001C TIN &amp; TP'!$E$3:$E$10005&amp;'DMR 001C TIN &amp; TP'!$B$3:$B$10005&amp;'DMR 001C TIN &amp; TP'!$A$3:$A$10005),0),MATCH('Reg 85'!$AV$11,'DMR 001C TIN &amp; TP'!$A$2:$M$2,0))),"")</f>
        <v/>
      </c>
      <c r="AW170" s="6" t="str">
        <f t="array" ref="AW170">_xlfn.IFNA((INDEX('DMR 001C TIN &amp; TP'!$A$3:$M$10005,MATCH(('Reg 85'!$AQ$6&amp;'Reg 85'!$AU$10&amp;'Reg 85'!$B170),('DMR 001C TIN &amp; TP'!$E$3:$E$10005&amp;'DMR 001C TIN &amp; TP'!$B$3:$B$10005&amp;'DMR 001C TIN &amp; TP'!$A$3:$A$10005),0),MATCH('Reg 85'!$AW$11,'DMR 001C TIN &amp; TP'!$A$2:$M$2,0))),"")</f>
        <v/>
      </c>
      <c r="AX170" s="53" t="str">
        <f t="shared" si="77"/>
        <v/>
      </c>
      <c r="AY170" s="55" t="str">
        <f t="shared" si="78"/>
        <v/>
      </c>
      <c r="AZ170" s="77" t="str">
        <f t="shared" si="61"/>
        <v/>
      </c>
      <c r="BA170" s="6" t="str">
        <f t="array" ref="BA170">_xlfn.IFNA((INDEX('DMR 001C TIN &amp; TP'!$A$3:$M$10005,MATCH(('Reg 85'!$AQ$6&amp;'Reg 85'!BA$10&amp;'Reg 85'!$B170),('DMR 001C TIN &amp; TP'!$E$3:$E$10005&amp;'DMR 001C TIN &amp; TP'!$B$3:$B$10005&amp;'DMR 001C TIN &amp; TP'!$A$3:$A$10005),0),MATCH('Reg 85'!$AG$11,'DMR 001C TIN &amp; TP'!$A$2:$M$2,0))),"")</f>
        <v/>
      </c>
      <c r="BB170" s="6" t="str">
        <f t="array" ref="BB170">_xlfn.IFNA((INDEX('DMR 001C TIN &amp; TP'!$A$3:$M$10005,MATCH(('Reg 85'!$AQ$6&amp;'Reg 85'!BB$10&amp;'Reg 85'!$B170),('DMR 001C TIN &amp; TP'!$E$3:$E$10005&amp;'DMR 001C TIN &amp; TP'!$B$3:$B$10005&amp;'DMR 001C TIN &amp; TP'!$A$3:$A$10005),0),MATCH('Reg 85'!$AG$11,'DMR 001C TIN &amp; TP'!$A$2:$M$2,0))),"")</f>
        <v/>
      </c>
      <c r="BC170" s="6" t="str">
        <f t="array" ref="BC170">_xlfn.IFNA((INDEX('DMR 001C TIN &amp; TP'!$A$3:$M$10005,MATCH(('Reg 85'!$AQ$6&amp;'Reg 85'!BC$10&amp;'Reg 85'!$B170),('DMR 001C TIN &amp; TP'!$E$3:$E$10005&amp;'DMR 001C TIN &amp; TP'!$B$3:$B$10005&amp;'DMR 001C TIN &amp; TP'!$A$3:$A$10005),0),MATCH('Reg 85'!$AG$11,'DMR 001C TIN &amp; TP'!$A$2:$M$2,0))),"")</f>
        <v/>
      </c>
      <c r="BD170" s="6" t="str">
        <f t="array" ref="BD170">_xlfn.IFNA((INDEX('DMR 001C TIN &amp; TP'!$A$3:$M$10005,MATCH(('Reg 85'!$AQ$6&amp;'Reg 85'!BD$10&amp;'Reg 85'!$B170),('DMR 001C TIN &amp; TP'!$E$3:$E$10005&amp;'DMR 001C TIN &amp; TP'!$B$3:$B$10005&amp;'DMR 001C TIN &amp; TP'!$A$3:$A$10005),0),MATCH('Reg 85'!$AG$11,'DMR 001C TIN &amp; TP'!$A$2:$M$2,0))),"")</f>
        <v/>
      </c>
      <c r="BE170" s="6" t="str">
        <f t="array" ref="BE170">_xlfn.IFNA((INDEX('DMR 001C TIN &amp; TP'!$A$3:$M$10005,MATCH(('Reg 85'!$AQ$6&amp;'Reg 85'!BE$10&amp;'Reg 85'!$B170),('DMR 001C TIN &amp; TP'!$E$3:$E$10005&amp;'DMR 001C TIN &amp; TP'!$B$3:$B$10005&amp;'DMR 001C TIN &amp; TP'!$A$3:$A$10005),0),MATCH('Reg 85'!$AG$11,'DMR 001C TIN &amp; TP'!$A$2:$M$2,0))),"")</f>
        <v/>
      </c>
      <c r="BF170" s="6" t="str">
        <f t="array" ref="BF170">_xlfn.IFNA((INDEX('DMR 001C TIN &amp; TP'!$A$3:$M$10005,MATCH(('Reg 85'!$AQ$6&amp;'Reg 85'!BF$10&amp;'Reg 85'!$B170),('DMR 001C TIN &amp; TP'!$E$3:$E$10005&amp;'DMR 001C TIN &amp; TP'!$B$3:$B$10005&amp;'DMR 001C TIN &amp; TP'!$A$3:$A$10005),0),MATCH('Reg 85'!$AG$11,'DMR 001C TIN &amp; TP'!$A$2:$M$2,0))),"")</f>
        <v/>
      </c>
    </row>
    <row r="171" spans="1:58">
      <c r="A171" s="3" t="str">
        <f t="shared" si="63"/>
        <v>Thu</v>
      </c>
      <c r="B171" s="96">
        <f t="shared" si="79"/>
        <v>43503</v>
      </c>
      <c r="C171" s="96">
        <f t="shared" si="64"/>
        <v>43524</v>
      </c>
      <c r="D171" s="96">
        <f t="shared" si="65"/>
        <v>43497</v>
      </c>
      <c r="E171" s="95">
        <f t="shared" si="66"/>
        <v>28</v>
      </c>
      <c r="F171" s="7">
        <f t="array" ref="F171">_xlfn.IFNA(INDEX('DMR Flows-Effluent'!$A$3:$F$9999,MATCH(($F$10&amp;$B171),('DMR Flows-Effluent'!$B$3:$B$9999&amp;'DMR Flows-Effluent'!$A$3:$A$9999),0),MATCH($F$8,'DMR Flows-Effluent'!$A$2:$F$2,0)),"")</f>
        <v>52.613799999999998</v>
      </c>
      <c r="G171" s="7">
        <f t="array" ref="G171">_xlfn.IFNA(INDEX('DMR Flows-Effluent'!$A$3:$F$9999,MATCH(($G$10&amp;$B171),('DMR Flows-Effluent'!$B$3:$B$9999&amp;'DMR Flows-Effluent'!$A$3:$A$9999),0),MATCH($F$8,'DMR Flows-Effluent'!$A$2:$F$2,0)),"")</f>
        <v>66.863699999999994</v>
      </c>
      <c r="H171" s="7">
        <f t="shared" si="67"/>
        <v>119.47749999999999</v>
      </c>
      <c r="I171" s="45" t="str">
        <f t="shared" si="68"/>
        <v/>
      </c>
      <c r="J171" s="6" t="str">
        <f t="array" ref="J171">_xlfn.IFNA((INDEX('DMR 001C TIN &amp; TP'!$A$3:$M$10005,MATCH(('Reg 85'!$I$6:$Q$6&amp;'Reg 85'!$I$10:$K$10&amp;'Reg 85'!$B171),('DMR 001C TIN &amp; TP'!$E$3:$E$10005&amp;'DMR 001C TIN &amp; TP'!$B$3:$B$10005&amp;'DMR 001C TIN &amp; TP'!$A$3:$A$10005),0),MATCH('Reg 85'!$J$11,'DMR 001C TIN &amp; TP'!$A$2:$M$2,0))),"")</f>
        <v>0.15</v>
      </c>
      <c r="K171" s="6">
        <f t="array" ref="K171">_xlfn.IFNA((INDEX('DMR 001C TIN &amp; TP'!$A$3:$M$10005,MATCH(('Reg 85'!$I$6:$Q$6&amp;'Reg 85'!$I$10:$K$10&amp;'Reg 85'!$B171),('DMR 001C TIN &amp; TP'!$E$3:$E$10005&amp;'DMR 001C TIN &amp; TP'!$B$3:$B$10005&amp;'DMR 001C TIN &amp; TP'!$A$3:$A$10005),0),MATCH('Reg 85'!$K$11,'DMR 001C TIN &amp; TP'!$A$2:$M$2,0))),"")</f>
        <v>1.1299999999999999</v>
      </c>
      <c r="L171" s="53">
        <f t="shared" si="80"/>
        <v>1.1299999999999999</v>
      </c>
      <c r="M171" s="5" t="str">
        <f t="shared" si="69"/>
        <v/>
      </c>
      <c r="N171" s="6" t="str">
        <f t="array" ref="N171">_xlfn.IFNA((INDEX('DMR 001C TIN &amp; TP'!$A$3:$M$10005,MATCH(('Reg 85'!$I$6:$Q$6&amp;'Reg 85'!$M$10&amp;'Reg 85'!$B171),('DMR 001C TIN &amp; TP'!$E$3:$E$10005&amp;'DMR 001C TIN &amp; TP'!$B$3:$B$10005&amp;'DMR 001C TIN &amp; TP'!$A$3:$A$10005),0),MATCH('Reg 85'!$N$11,'DMR 001C TIN &amp; TP'!$A$2:$M$2,0))),"")</f>
        <v>0.15</v>
      </c>
      <c r="O171" s="6">
        <f t="array" ref="O171">_xlfn.IFNA((INDEX('DMR 001C TIN &amp; TP'!$A$3:$M$10005,MATCH(('Reg 85'!$I$6:$Q$6&amp;'Reg 85'!$M$10&amp;'Reg 85'!$B171),('DMR 001C TIN &amp; TP'!$E$3:$E$10005&amp;'DMR 001C TIN &amp; TP'!$B$3:$B$10005&amp;'DMR 001C TIN &amp; TP'!$A$3:$A$10005),0),MATCH('Reg 85'!$O$11,'DMR 001C TIN &amp; TP'!$A$2:$M$2,0))),"")</f>
        <v>1.02</v>
      </c>
      <c r="P171" s="53">
        <f t="shared" si="70"/>
        <v>1.02</v>
      </c>
      <c r="Q171" s="73">
        <f t="array" ref="Q171">IFERROR(((L171*$F171)+(P171*$G171))/($H171),"")</f>
        <v>1.0684402335167709</v>
      </c>
      <c r="R171" s="6" t="str">
        <f t="array" ref="R171">_xlfn.IFNA((INDEX('DMR 001C TIN &amp; TP'!$A$3:$M$10005,MATCH(('Reg 85'!$I$6:$Q$6&amp;'Reg 85'!R$10&amp;'Reg 85'!$B171),('DMR 001C TIN &amp; TP'!$E$3:$E$10005&amp;'DMR 001C TIN &amp; TP'!$B$3:$B$10005&amp;'DMR 001C TIN &amp; TP'!$A$3:$A$10005),0),MATCH('Reg 85'!$O$11,'DMR 001C TIN &amp; TP'!$A$2:$M$2,0))),"")</f>
        <v/>
      </c>
      <c r="S171" s="6" t="str">
        <f t="array" ref="S171">_xlfn.IFNA((INDEX('DMR 001C TIN &amp; TP'!$A$3:$M$10005,MATCH(('Reg 85'!$I$6:$Q$6&amp;'Reg 85'!S$10&amp;'Reg 85'!$B171),('DMR 001C TIN &amp; TP'!$E$3:$E$10005&amp;'DMR 001C TIN &amp; TP'!$B$3:$B$10005&amp;'DMR 001C TIN &amp; TP'!$A$3:$A$10005),0),MATCH('Reg 85'!$O$11,'DMR 001C TIN &amp; TP'!$A$2:$M$2,0))),"")</f>
        <v/>
      </c>
      <c r="T171" s="6" t="str">
        <f t="array" ref="T171">_xlfn.IFNA((INDEX('DMR 001C TIN &amp; TP'!$A$3:$M$10005,MATCH(('Reg 85'!$I$6:$Q$6&amp;'Reg 85'!T$10&amp;'Reg 85'!$B171),('DMR 001C TIN &amp; TP'!$E$3:$E$10005&amp;'DMR 001C TIN &amp; TP'!$B$3:$B$10005&amp;'DMR 001C TIN &amp; TP'!$A$3:$A$10005),0),MATCH('Reg 85'!$O$11,'DMR 001C TIN &amp; TP'!$A$2:$M$2,0))),"")</f>
        <v/>
      </c>
      <c r="U171" s="6" t="str">
        <f t="array" ref="U171">_xlfn.IFNA((INDEX('DMR 001C TIN &amp; TP'!$A$3:$M$10005,MATCH(('Reg 85'!$I$6:$Q$6&amp;'Reg 85'!U$10&amp;'Reg 85'!$B171),('DMR 001C TIN &amp; TP'!$E$3:$E$10005&amp;'DMR 001C TIN &amp; TP'!$B$3:$B$10005&amp;'DMR 001C TIN &amp; TP'!$A$3:$A$10005),0),MATCH('Reg 85'!$O$11,'DMR 001C TIN &amp; TP'!$A$2:$M$2,0))),"")</f>
        <v/>
      </c>
      <c r="V171" s="6" t="str">
        <f t="array" ref="V171">_xlfn.IFNA((INDEX('DMR 001C TIN &amp; TP'!$A$3:$M$10005,MATCH(('Reg 85'!$I$6:$Q$6&amp;'Reg 85'!V$10&amp;'Reg 85'!$B171),('DMR 001C TIN &amp; TP'!$E$3:$E$10005&amp;'DMR 001C TIN &amp; TP'!$B$3:$B$10005&amp;'DMR 001C TIN &amp; TP'!$A$3:$A$10005),0),MATCH('Reg 85'!$O$11,'DMR 001C TIN &amp; TP'!$A$2:$M$2,0))),"")</f>
        <v/>
      </c>
      <c r="W171" s="6" t="str">
        <f t="array" ref="W171">_xlfn.IFNA((INDEX('DMR 001C TIN &amp; TP'!$A$3:$M$10005,MATCH(('Reg 85'!$I$6:$Q$6&amp;'Reg 85'!W$10&amp;'Reg 85'!$B171),('DMR 001C TIN &amp; TP'!$E$3:$E$10005&amp;'DMR 001C TIN &amp; TP'!$B$3:$B$10005&amp;'DMR 001C TIN &amp; TP'!$A$3:$A$10005),0),MATCH('Reg 85'!$O$11,'DMR 001C TIN &amp; TP'!$A$2:$M$2,0))),"")</f>
        <v/>
      </c>
      <c r="X171" s="5" t="str">
        <f t="shared" si="71"/>
        <v/>
      </c>
      <c r="Y171" s="6" t="str">
        <f t="array" ref="Y171">_xlfn.IFNA((INDEX('DMR 001C TIN &amp; TP'!$A$3:$M$10005,MATCH(('Reg 85'!$X$6&amp;'Reg 85'!$X$10&amp;'Reg 85'!$B171),('DMR 001C TIN &amp; TP'!$E$3:$E$10005&amp;'DMR 001C TIN &amp; TP'!$B$3:$B$10005&amp;'DMR 001C TIN &amp; TP'!$A$3:$A$10005),0),MATCH('Reg 85'!$Y$11,'DMR 001C TIN &amp; TP'!$A$2:$M$2,0))),"")</f>
        <v>0.12</v>
      </c>
      <c r="Z171" s="6">
        <f t="array" ref="Z171">_xlfn.IFNA((INDEX('DMR 001C TIN &amp; TP'!$A$3:$M$10005,MATCH(('Reg 85'!$X$6&amp;'Reg 85'!$X$10&amp;'Reg 85'!$B171),('DMR 001C TIN &amp; TP'!$E$3:$E$10005&amp;'DMR 001C TIN &amp; TP'!$B$3:$B$10005&amp;'DMR 001C TIN &amp; TP'!$A$3:$A$10005),0),MATCH('Reg 85'!$Z$11,'DMR 001C TIN &amp; TP'!$A$2:$M$2,0))),"")</f>
        <v>4.29</v>
      </c>
      <c r="AA171" s="53">
        <f t="shared" si="72"/>
        <v>4.29</v>
      </c>
      <c r="AB171" s="5" t="str">
        <f t="shared" si="73"/>
        <v/>
      </c>
      <c r="AC171" s="6" t="str">
        <f t="array" ref="AC171">_xlfn.IFNA((INDEX('DMR 001C TIN &amp; TP'!$A$3:$M$10005,MATCH(('Reg 85'!$X$6&amp;'Reg 85'!$AB$10&amp;'Reg 85'!$B171),('DMR 001C TIN &amp; TP'!$E$3:$E$10005&amp;'DMR 001C TIN &amp; TP'!$B$3:$B$10005&amp;'DMR 001C TIN &amp; TP'!$A$3:$A$10005),0),MATCH('Reg 85'!$AC$11,'DMR 001C TIN &amp; TP'!$A$2:$M$2,0))),"")</f>
        <v>0.06</v>
      </c>
      <c r="AD171" s="6">
        <f t="array" ref="AD171">_xlfn.IFNA((INDEX('DMR 001C TIN &amp; TP'!$A$3:$M$10005,MATCH(('Reg 85'!$X$6&amp;'Reg 85'!$AB$10&amp;'Reg 85'!$B171),('DMR 001C TIN &amp; TP'!$E$3:$E$10005&amp;'DMR 001C TIN &amp; TP'!$B$3:$B$10005&amp;'DMR 001C TIN &amp; TP'!$A$3:$A$10005),0),MATCH('Reg 85'!$AD$11,'DMR 001C TIN &amp; TP'!$A$2:$M$2,0))),"")</f>
        <v>6.62</v>
      </c>
      <c r="AE171" s="53">
        <f t="shared" si="74"/>
        <v>6.62</v>
      </c>
      <c r="AF171" s="7">
        <f t="shared" si="75"/>
        <v>5.5939477809629423</v>
      </c>
      <c r="AG171" s="6" t="str">
        <f t="array" ref="AG171">_xlfn.IFNA((INDEX('DMR 001C TIN &amp; TP'!$A$3:$M$10005,MATCH(('Reg 85'!$X$6&amp;'Reg 85'!AG$10&amp;'Reg 85'!$B171),('DMR 001C TIN &amp; TP'!$E$3:$E$10005&amp;'DMR 001C TIN &amp; TP'!$B$3:$B$10005&amp;'DMR 001C TIN &amp; TP'!$A$3:$A$10005),0),MATCH('Reg 85'!$AG$11,'DMR 001C TIN &amp; TP'!$A$2:$M$2,0))),"")</f>
        <v/>
      </c>
      <c r="AH171" s="6" t="str">
        <f t="array" ref="AH171">_xlfn.IFNA((INDEX('DMR 001C TIN &amp; TP'!$A$3:$M$10005,MATCH(('Reg 85'!$X$6&amp;'Reg 85'!AH$10&amp;'Reg 85'!$B171),('DMR 001C TIN &amp; TP'!$E$3:$E$10005&amp;'DMR 001C TIN &amp; TP'!$B$3:$B$10005&amp;'DMR 001C TIN &amp; TP'!$A$3:$A$10005),0),MATCH('Reg 85'!$AG$11,'DMR 001C TIN &amp; TP'!$A$2:$M$2,0))),"")</f>
        <v/>
      </c>
      <c r="AI171" s="6" t="str">
        <f t="array" ref="AI171">_xlfn.IFNA((INDEX('DMR 001C TIN &amp; TP'!$A$3:$M$10005,MATCH(('Reg 85'!$X$6&amp;'Reg 85'!AI$10&amp;'Reg 85'!$B171),('DMR 001C TIN &amp; TP'!$E$3:$E$10005&amp;'DMR 001C TIN &amp; TP'!$B$3:$B$10005&amp;'DMR 001C TIN &amp; TP'!$A$3:$A$10005),0),MATCH('Reg 85'!$AG$11,'DMR 001C TIN &amp; TP'!$A$2:$M$2,0))),"")</f>
        <v/>
      </c>
      <c r="AJ171" s="6" t="str">
        <f t="array" ref="AJ171">_xlfn.IFNA((INDEX('DMR 001C TIN &amp; TP'!$A$3:$M$10005,MATCH(('Reg 85'!$X$6&amp;'Reg 85'!AJ$10&amp;'Reg 85'!$B171),('DMR 001C TIN &amp; TP'!$E$3:$E$10005&amp;'DMR 001C TIN &amp; TP'!$B$3:$B$10005&amp;'DMR 001C TIN &amp; TP'!$A$3:$A$10005),0),MATCH('Reg 85'!$AG$11,'DMR 001C TIN &amp; TP'!$A$2:$M$2,0))),"")</f>
        <v/>
      </c>
      <c r="AK171" s="6" t="str">
        <f t="array" ref="AK171">_xlfn.IFNA((INDEX('DMR 001C TIN &amp; TP'!$A$3:$M$10005,MATCH(('Reg 85'!$X$6&amp;'Reg 85'!AK$10&amp;'Reg 85'!$B171),('DMR 001C TIN &amp; TP'!$E$3:$E$10005&amp;'DMR 001C TIN &amp; TP'!$B$3:$B$10005&amp;'DMR 001C TIN &amp; TP'!$A$3:$A$10005),0),MATCH('Reg 85'!$AG$11,'DMR 001C TIN &amp; TP'!$A$2:$M$2,0))),"")</f>
        <v/>
      </c>
      <c r="AL171" s="6" t="str">
        <f t="array" ref="AL171">_xlfn.IFNA((INDEX('DMR 001C TIN &amp; TP'!$A$3:$M$10005,MATCH(('Reg 85'!$X$6&amp;'Reg 85'!AL$10&amp;'Reg 85'!$B171),('DMR 001C TIN &amp; TP'!$E$3:$E$10005&amp;'DMR 001C TIN &amp; TP'!$B$3:$B$10005&amp;'DMR 001C TIN &amp; TP'!$A$3:$A$10005),0),MATCH('Reg 85'!$AG$11,'DMR 001C TIN &amp; TP'!$A$2:$M$2,0))),"")</f>
        <v/>
      </c>
      <c r="AM171" s="76"/>
      <c r="AN171" s="6"/>
      <c r="AO171" s="54">
        <f t="shared" si="62"/>
        <v>6.6623880144797134</v>
      </c>
      <c r="AP171" s="77" t="str">
        <f t="shared" si="81"/>
        <v/>
      </c>
      <c r="AQ171" s="47"/>
      <c r="AR171" s="6" t="str">
        <f t="array" ref="AR171">_xlfn.IFNA((INDEX('DMR 001C TIN &amp; TP'!$A$3:$M$10005,MATCH(('Reg 85'!$AQ$6&amp;'Reg 85'!$AQ$10&amp;'Reg 85'!$B171),('DMR 001C TIN &amp; TP'!$E$3:$E$10005&amp;'DMR 001C TIN &amp; TP'!$B$3:$B$10005&amp;'DMR 001C TIN &amp; TP'!$A$3:$A$10005),0),MATCH('Reg 85'!$AR$11,'DMR 001C TIN &amp; TP'!$A$2:$M$2,0))),"")</f>
        <v/>
      </c>
      <c r="AS171" s="6" t="str">
        <f t="array" ref="AS171">_xlfn.IFNA((INDEX('DMR 001C TIN &amp; TP'!$A$3:$M$10005,MATCH(('Reg 85'!$AQ$6&amp;'Reg 85'!$AQ$10&amp;'Reg 85'!$B171),('DMR 001C TIN &amp; TP'!$E$3:$E$10005&amp;'DMR 001C TIN &amp; TP'!$B$3:$B$10005&amp;'DMR 001C TIN &amp; TP'!$A$3:$A$10005),0),MATCH('Reg 85'!$AS$11,'DMR 001C TIN &amp; TP'!$A$2:$M$2,0))),"")</f>
        <v/>
      </c>
      <c r="AT171" s="53" t="str">
        <f t="shared" si="76"/>
        <v/>
      </c>
      <c r="AV171" s="6" t="str">
        <f t="array" ref="AV171">_xlfn.IFNA((INDEX('DMR 001C TIN &amp; TP'!$A$3:$M$10005,MATCH(('Reg 85'!$AQ$6&amp;'Reg 85'!$AU$10&amp;'Reg 85'!$B171),('DMR 001C TIN &amp; TP'!$E$3:$E$10005&amp;'DMR 001C TIN &amp; TP'!$B$3:$B$10005&amp;'DMR 001C TIN &amp; TP'!$A$3:$A$10005),0),MATCH('Reg 85'!$AV$11,'DMR 001C TIN &amp; TP'!$A$2:$M$2,0))),"")</f>
        <v/>
      </c>
      <c r="AW171" s="6" t="str">
        <f t="array" ref="AW171">_xlfn.IFNA((INDEX('DMR 001C TIN &amp; TP'!$A$3:$M$10005,MATCH(('Reg 85'!$AQ$6&amp;'Reg 85'!$AU$10&amp;'Reg 85'!$B171),('DMR 001C TIN &amp; TP'!$E$3:$E$10005&amp;'DMR 001C TIN &amp; TP'!$B$3:$B$10005&amp;'DMR 001C TIN &amp; TP'!$A$3:$A$10005),0),MATCH('Reg 85'!$AW$11,'DMR 001C TIN &amp; TP'!$A$2:$M$2,0))),"")</f>
        <v/>
      </c>
      <c r="AX171" s="53" t="str">
        <f t="shared" si="77"/>
        <v/>
      </c>
      <c r="AY171" s="55" t="str">
        <f t="shared" si="78"/>
        <v/>
      </c>
      <c r="AZ171" s="77" t="str">
        <f t="shared" ref="AZ171:AZ234" si="82">IF(COUNT(IF((B141:B171&lt;=C171)*(B141:B171&gt;=D171)*(B171=EOMONTH(B171,0)),AY141:AY171,""))=0,"",COUNT(IF((B141:B171&lt;=C171)*(B141:B171&gt;=D171)*(B171=EOMONTH(B171,0)),AY141:AY171,"")))</f>
        <v/>
      </c>
      <c r="BA171" s="6" t="str">
        <f t="array" ref="BA171">_xlfn.IFNA((INDEX('DMR 001C TIN &amp; TP'!$A$3:$M$10005,MATCH(('Reg 85'!$AQ$6&amp;'Reg 85'!BA$10&amp;'Reg 85'!$B171),('DMR 001C TIN &amp; TP'!$E$3:$E$10005&amp;'DMR 001C TIN &amp; TP'!$B$3:$B$10005&amp;'DMR 001C TIN &amp; TP'!$A$3:$A$10005),0),MATCH('Reg 85'!$AG$11,'DMR 001C TIN &amp; TP'!$A$2:$M$2,0))),"")</f>
        <v/>
      </c>
      <c r="BB171" s="6" t="str">
        <f t="array" ref="BB171">_xlfn.IFNA((INDEX('DMR 001C TIN &amp; TP'!$A$3:$M$10005,MATCH(('Reg 85'!$AQ$6&amp;'Reg 85'!BB$10&amp;'Reg 85'!$B171),('DMR 001C TIN &amp; TP'!$E$3:$E$10005&amp;'DMR 001C TIN &amp; TP'!$B$3:$B$10005&amp;'DMR 001C TIN &amp; TP'!$A$3:$A$10005),0),MATCH('Reg 85'!$AG$11,'DMR 001C TIN &amp; TP'!$A$2:$M$2,0))),"")</f>
        <v/>
      </c>
      <c r="BC171" s="6" t="str">
        <f t="array" ref="BC171">_xlfn.IFNA((INDEX('DMR 001C TIN &amp; TP'!$A$3:$M$10005,MATCH(('Reg 85'!$AQ$6&amp;'Reg 85'!BC$10&amp;'Reg 85'!$B171),('DMR 001C TIN &amp; TP'!$E$3:$E$10005&amp;'DMR 001C TIN &amp; TP'!$B$3:$B$10005&amp;'DMR 001C TIN &amp; TP'!$A$3:$A$10005),0),MATCH('Reg 85'!$AG$11,'DMR 001C TIN &amp; TP'!$A$2:$M$2,0))),"")</f>
        <v/>
      </c>
      <c r="BD171" s="6" t="str">
        <f t="array" ref="BD171">_xlfn.IFNA((INDEX('DMR 001C TIN &amp; TP'!$A$3:$M$10005,MATCH(('Reg 85'!$AQ$6&amp;'Reg 85'!BD$10&amp;'Reg 85'!$B171),('DMR 001C TIN &amp; TP'!$E$3:$E$10005&amp;'DMR 001C TIN &amp; TP'!$B$3:$B$10005&amp;'DMR 001C TIN &amp; TP'!$A$3:$A$10005),0),MATCH('Reg 85'!$AG$11,'DMR 001C TIN &amp; TP'!$A$2:$M$2,0))),"")</f>
        <v/>
      </c>
      <c r="BE171" s="6" t="str">
        <f t="array" ref="BE171">_xlfn.IFNA((INDEX('DMR 001C TIN &amp; TP'!$A$3:$M$10005,MATCH(('Reg 85'!$AQ$6&amp;'Reg 85'!BE$10&amp;'Reg 85'!$B171),('DMR 001C TIN &amp; TP'!$E$3:$E$10005&amp;'DMR 001C TIN &amp; TP'!$B$3:$B$10005&amp;'DMR 001C TIN &amp; TP'!$A$3:$A$10005),0),MATCH('Reg 85'!$AG$11,'DMR 001C TIN &amp; TP'!$A$2:$M$2,0))),"")</f>
        <v/>
      </c>
      <c r="BF171" s="6" t="str">
        <f t="array" ref="BF171">_xlfn.IFNA((INDEX('DMR 001C TIN &amp; TP'!$A$3:$M$10005,MATCH(('Reg 85'!$AQ$6&amp;'Reg 85'!BF$10&amp;'Reg 85'!$B171),('DMR 001C TIN &amp; TP'!$E$3:$E$10005&amp;'DMR 001C TIN &amp; TP'!$B$3:$B$10005&amp;'DMR 001C TIN &amp; TP'!$A$3:$A$10005),0),MATCH('Reg 85'!$AG$11,'DMR 001C TIN &amp; TP'!$A$2:$M$2,0))),"")</f>
        <v/>
      </c>
    </row>
    <row r="172" spans="1:58">
      <c r="A172" s="3" t="str">
        <f t="shared" si="63"/>
        <v>Fri</v>
      </c>
      <c r="B172" s="96">
        <f t="shared" si="79"/>
        <v>43504</v>
      </c>
      <c r="C172" s="96">
        <f t="shared" si="64"/>
        <v>43524</v>
      </c>
      <c r="D172" s="96">
        <f t="shared" si="65"/>
        <v>43497</v>
      </c>
      <c r="E172" s="95">
        <f t="shared" si="66"/>
        <v>28</v>
      </c>
      <c r="F172" s="7">
        <f t="array" ref="F172">_xlfn.IFNA(INDEX('DMR Flows-Effluent'!$A$3:$F$9999,MATCH(($F$10&amp;$B172),('DMR Flows-Effluent'!$B$3:$B$9999&amp;'DMR Flows-Effluent'!$A$3:$A$9999),0),MATCH($F$8,'DMR Flows-Effluent'!$A$2:$F$2,0)),"")</f>
        <v>53.8964</v>
      </c>
      <c r="G172" s="7">
        <f t="array" ref="G172">_xlfn.IFNA(INDEX('DMR Flows-Effluent'!$A$3:$F$9999,MATCH(($G$10&amp;$B172),('DMR Flows-Effluent'!$B$3:$B$9999&amp;'DMR Flows-Effluent'!$A$3:$A$9999),0),MATCH($F$8,'DMR Flows-Effluent'!$A$2:$F$2,0)),"")</f>
        <v>65.603499999999997</v>
      </c>
      <c r="H172" s="7">
        <f t="shared" si="67"/>
        <v>119.4999</v>
      </c>
      <c r="I172" s="45" t="str">
        <f t="shared" si="68"/>
        <v/>
      </c>
      <c r="J172" s="6" t="str">
        <f t="array" ref="J172">_xlfn.IFNA((INDEX('DMR 001C TIN &amp; TP'!$A$3:$M$10005,MATCH(('Reg 85'!$I$6:$Q$6&amp;'Reg 85'!$I$10:$K$10&amp;'Reg 85'!$B172),('DMR 001C TIN &amp; TP'!$E$3:$E$10005&amp;'DMR 001C TIN &amp; TP'!$B$3:$B$10005&amp;'DMR 001C TIN &amp; TP'!$A$3:$A$10005),0),MATCH('Reg 85'!$J$11,'DMR 001C TIN &amp; TP'!$A$2:$M$2,0))),"")</f>
        <v/>
      </c>
      <c r="K172" s="6" t="str">
        <f t="array" ref="K172">_xlfn.IFNA((INDEX('DMR 001C TIN &amp; TP'!$A$3:$M$10005,MATCH(('Reg 85'!$I$6:$Q$6&amp;'Reg 85'!$I$10:$K$10&amp;'Reg 85'!$B172),('DMR 001C TIN &amp; TP'!$E$3:$E$10005&amp;'DMR 001C TIN &amp; TP'!$B$3:$B$10005&amp;'DMR 001C TIN &amp; TP'!$A$3:$A$10005),0),MATCH('Reg 85'!$K$11,'DMR 001C TIN &amp; TP'!$A$2:$M$2,0))),"")</f>
        <v/>
      </c>
      <c r="L172" s="53" t="str">
        <f t="shared" si="80"/>
        <v/>
      </c>
      <c r="M172" s="5" t="str">
        <f t="shared" si="69"/>
        <v/>
      </c>
      <c r="N172" s="6" t="str">
        <f t="array" ref="N172">_xlfn.IFNA((INDEX('DMR 001C TIN &amp; TP'!$A$3:$M$10005,MATCH(('Reg 85'!$I$6:$Q$6&amp;'Reg 85'!$M$10&amp;'Reg 85'!$B172),('DMR 001C TIN &amp; TP'!$E$3:$E$10005&amp;'DMR 001C TIN &amp; TP'!$B$3:$B$10005&amp;'DMR 001C TIN &amp; TP'!$A$3:$A$10005),0),MATCH('Reg 85'!$N$11,'DMR 001C TIN &amp; TP'!$A$2:$M$2,0))),"")</f>
        <v/>
      </c>
      <c r="O172" s="6" t="str">
        <f t="array" ref="O172">_xlfn.IFNA((INDEX('DMR 001C TIN &amp; TP'!$A$3:$M$10005,MATCH(('Reg 85'!$I$6:$Q$6&amp;'Reg 85'!$M$10&amp;'Reg 85'!$B172),('DMR 001C TIN &amp; TP'!$E$3:$E$10005&amp;'DMR 001C TIN &amp; TP'!$B$3:$B$10005&amp;'DMR 001C TIN &amp; TP'!$A$3:$A$10005),0),MATCH('Reg 85'!$O$11,'DMR 001C TIN &amp; TP'!$A$2:$M$2,0))),"")</f>
        <v/>
      </c>
      <c r="P172" s="53" t="str">
        <f t="shared" si="70"/>
        <v/>
      </c>
      <c r="Q172" s="73" t="str">
        <f t="array" ref="Q172">IFERROR(((L172*$F172)+(P172*$G172))/($H172),"")</f>
        <v/>
      </c>
      <c r="R172" s="6" t="str">
        <f t="array" ref="R172">_xlfn.IFNA((INDEX('DMR 001C TIN &amp; TP'!$A$3:$M$10005,MATCH(('Reg 85'!$I$6:$Q$6&amp;'Reg 85'!R$10&amp;'Reg 85'!$B172),('DMR 001C TIN &amp; TP'!$E$3:$E$10005&amp;'DMR 001C TIN &amp; TP'!$B$3:$B$10005&amp;'DMR 001C TIN &amp; TP'!$A$3:$A$10005),0),MATCH('Reg 85'!$O$11,'DMR 001C TIN &amp; TP'!$A$2:$M$2,0))),"")</f>
        <v/>
      </c>
      <c r="S172" s="6" t="str">
        <f t="array" ref="S172">_xlfn.IFNA((INDEX('DMR 001C TIN &amp; TP'!$A$3:$M$10005,MATCH(('Reg 85'!$I$6:$Q$6&amp;'Reg 85'!S$10&amp;'Reg 85'!$B172),('DMR 001C TIN &amp; TP'!$E$3:$E$10005&amp;'DMR 001C TIN &amp; TP'!$B$3:$B$10005&amp;'DMR 001C TIN &amp; TP'!$A$3:$A$10005),0),MATCH('Reg 85'!$O$11,'DMR 001C TIN &amp; TP'!$A$2:$M$2,0))),"")</f>
        <v/>
      </c>
      <c r="T172" s="6" t="str">
        <f t="array" ref="T172">_xlfn.IFNA((INDEX('DMR 001C TIN &amp; TP'!$A$3:$M$10005,MATCH(('Reg 85'!$I$6:$Q$6&amp;'Reg 85'!T$10&amp;'Reg 85'!$B172),('DMR 001C TIN &amp; TP'!$E$3:$E$10005&amp;'DMR 001C TIN &amp; TP'!$B$3:$B$10005&amp;'DMR 001C TIN &amp; TP'!$A$3:$A$10005),0),MATCH('Reg 85'!$O$11,'DMR 001C TIN &amp; TP'!$A$2:$M$2,0))),"")</f>
        <v/>
      </c>
      <c r="U172" s="6" t="str">
        <f t="array" ref="U172">_xlfn.IFNA((INDEX('DMR 001C TIN &amp; TP'!$A$3:$M$10005,MATCH(('Reg 85'!$I$6:$Q$6&amp;'Reg 85'!U$10&amp;'Reg 85'!$B172),('DMR 001C TIN &amp; TP'!$E$3:$E$10005&amp;'DMR 001C TIN &amp; TP'!$B$3:$B$10005&amp;'DMR 001C TIN &amp; TP'!$A$3:$A$10005),0),MATCH('Reg 85'!$O$11,'DMR 001C TIN &amp; TP'!$A$2:$M$2,0))),"")</f>
        <v/>
      </c>
      <c r="V172" s="6" t="str">
        <f t="array" ref="V172">_xlfn.IFNA((INDEX('DMR 001C TIN &amp; TP'!$A$3:$M$10005,MATCH(('Reg 85'!$I$6:$Q$6&amp;'Reg 85'!V$10&amp;'Reg 85'!$B172),('DMR 001C TIN &amp; TP'!$E$3:$E$10005&amp;'DMR 001C TIN &amp; TP'!$B$3:$B$10005&amp;'DMR 001C TIN &amp; TP'!$A$3:$A$10005),0),MATCH('Reg 85'!$O$11,'DMR 001C TIN &amp; TP'!$A$2:$M$2,0))),"")</f>
        <v/>
      </c>
      <c r="W172" s="6" t="str">
        <f t="array" ref="W172">_xlfn.IFNA((INDEX('DMR 001C TIN &amp; TP'!$A$3:$M$10005,MATCH(('Reg 85'!$I$6:$Q$6&amp;'Reg 85'!W$10&amp;'Reg 85'!$B172),('DMR 001C TIN &amp; TP'!$E$3:$E$10005&amp;'DMR 001C TIN &amp; TP'!$B$3:$B$10005&amp;'DMR 001C TIN &amp; TP'!$A$3:$A$10005),0),MATCH('Reg 85'!$O$11,'DMR 001C TIN &amp; TP'!$A$2:$M$2,0))),"")</f>
        <v/>
      </c>
      <c r="X172" s="5" t="str">
        <f t="shared" si="71"/>
        <v/>
      </c>
      <c r="Y172" s="6" t="str">
        <f t="array" ref="Y172">_xlfn.IFNA((INDEX('DMR 001C TIN &amp; TP'!$A$3:$M$10005,MATCH(('Reg 85'!$X$6&amp;'Reg 85'!$X$10&amp;'Reg 85'!$B172),('DMR 001C TIN &amp; TP'!$E$3:$E$10005&amp;'DMR 001C TIN &amp; TP'!$B$3:$B$10005&amp;'DMR 001C TIN &amp; TP'!$A$3:$A$10005),0),MATCH('Reg 85'!$Y$11,'DMR 001C TIN &amp; TP'!$A$2:$M$2,0))),"")</f>
        <v/>
      </c>
      <c r="Z172" s="6" t="str">
        <f t="array" ref="Z172">_xlfn.IFNA((INDEX('DMR 001C TIN &amp; TP'!$A$3:$M$10005,MATCH(('Reg 85'!$X$6&amp;'Reg 85'!$X$10&amp;'Reg 85'!$B172),('DMR 001C TIN &amp; TP'!$E$3:$E$10005&amp;'DMR 001C TIN &amp; TP'!$B$3:$B$10005&amp;'DMR 001C TIN &amp; TP'!$A$3:$A$10005),0),MATCH('Reg 85'!$Z$11,'DMR 001C TIN &amp; TP'!$A$2:$M$2,0))),"")</f>
        <v/>
      </c>
      <c r="AA172" s="53" t="str">
        <f t="shared" si="72"/>
        <v/>
      </c>
      <c r="AB172" s="5" t="str">
        <f t="shared" si="73"/>
        <v/>
      </c>
      <c r="AC172" s="6" t="str">
        <f t="array" ref="AC172">_xlfn.IFNA((INDEX('DMR 001C TIN &amp; TP'!$A$3:$M$10005,MATCH(('Reg 85'!$X$6&amp;'Reg 85'!$AB$10&amp;'Reg 85'!$B172),('DMR 001C TIN &amp; TP'!$E$3:$E$10005&amp;'DMR 001C TIN &amp; TP'!$B$3:$B$10005&amp;'DMR 001C TIN &amp; TP'!$A$3:$A$10005),0),MATCH('Reg 85'!$AC$11,'DMR 001C TIN &amp; TP'!$A$2:$M$2,0))),"")</f>
        <v/>
      </c>
      <c r="AD172" s="6" t="str">
        <f t="array" ref="AD172">_xlfn.IFNA((INDEX('DMR 001C TIN &amp; TP'!$A$3:$M$10005,MATCH(('Reg 85'!$X$6&amp;'Reg 85'!$AB$10&amp;'Reg 85'!$B172),('DMR 001C TIN &amp; TP'!$E$3:$E$10005&amp;'DMR 001C TIN &amp; TP'!$B$3:$B$10005&amp;'DMR 001C TIN &amp; TP'!$A$3:$A$10005),0),MATCH('Reg 85'!$AD$11,'DMR 001C TIN &amp; TP'!$A$2:$M$2,0))),"")</f>
        <v/>
      </c>
      <c r="AE172" s="53" t="str">
        <f t="shared" si="74"/>
        <v/>
      </c>
      <c r="AF172" s="7" t="str">
        <f t="shared" si="75"/>
        <v/>
      </c>
      <c r="AG172" s="6" t="str">
        <f t="array" ref="AG172">_xlfn.IFNA((INDEX('DMR 001C TIN &amp; TP'!$A$3:$M$10005,MATCH(('Reg 85'!$X$6&amp;'Reg 85'!AG$10&amp;'Reg 85'!$B172),('DMR 001C TIN &amp; TP'!$E$3:$E$10005&amp;'DMR 001C TIN &amp; TP'!$B$3:$B$10005&amp;'DMR 001C TIN &amp; TP'!$A$3:$A$10005),0),MATCH('Reg 85'!$AG$11,'DMR 001C TIN &amp; TP'!$A$2:$M$2,0))),"")</f>
        <v/>
      </c>
      <c r="AH172" s="6" t="str">
        <f t="array" ref="AH172">_xlfn.IFNA((INDEX('DMR 001C TIN &amp; TP'!$A$3:$M$10005,MATCH(('Reg 85'!$X$6&amp;'Reg 85'!AH$10&amp;'Reg 85'!$B172),('DMR 001C TIN &amp; TP'!$E$3:$E$10005&amp;'DMR 001C TIN &amp; TP'!$B$3:$B$10005&amp;'DMR 001C TIN &amp; TP'!$A$3:$A$10005),0),MATCH('Reg 85'!$AG$11,'DMR 001C TIN &amp; TP'!$A$2:$M$2,0))),"")</f>
        <v/>
      </c>
      <c r="AI172" s="6" t="str">
        <f t="array" ref="AI172">_xlfn.IFNA((INDEX('DMR 001C TIN &amp; TP'!$A$3:$M$10005,MATCH(('Reg 85'!$X$6&amp;'Reg 85'!AI$10&amp;'Reg 85'!$B172),('DMR 001C TIN &amp; TP'!$E$3:$E$10005&amp;'DMR 001C TIN &amp; TP'!$B$3:$B$10005&amp;'DMR 001C TIN &amp; TP'!$A$3:$A$10005),0),MATCH('Reg 85'!$AG$11,'DMR 001C TIN &amp; TP'!$A$2:$M$2,0))),"")</f>
        <v/>
      </c>
      <c r="AJ172" s="6" t="str">
        <f t="array" ref="AJ172">_xlfn.IFNA((INDEX('DMR 001C TIN &amp; TP'!$A$3:$M$10005,MATCH(('Reg 85'!$X$6&amp;'Reg 85'!AJ$10&amp;'Reg 85'!$B172),('DMR 001C TIN &amp; TP'!$E$3:$E$10005&amp;'DMR 001C TIN &amp; TP'!$B$3:$B$10005&amp;'DMR 001C TIN &amp; TP'!$A$3:$A$10005),0),MATCH('Reg 85'!$AG$11,'DMR 001C TIN &amp; TP'!$A$2:$M$2,0))),"")</f>
        <v/>
      </c>
      <c r="AK172" s="6" t="str">
        <f t="array" ref="AK172">_xlfn.IFNA((INDEX('DMR 001C TIN &amp; TP'!$A$3:$M$10005,MATCH(('Reg 85'!$X$6&amp;'Reg 85'!AK$10&amp;'Reg 85'!$B172),('DMR 001C TIN &amp; TP'!$E$3:$E$10005&amp;'DMR 001C TIN &amp; TP'!$B$3:$B$10005&amp;'DMR 001C TIN &amp; TP'!$A$3:$A$10005),0),MATCH('Reg 85'!$AG$11,'DMR 001C TIN &amp; TP'!$A$2:$M$2,0))),"")</f>
        <v/>
      </c>
      <c r="AL172" s="6" t="str">
        <f t="array" ref="AL172">_xlfn.IFNA((INDEX('DMR 001C TIN &amp; TP'!$A$3:$M$10005,MATCH(('Reg 85'!$X$6&amp;'Reg 85'!AL$10&amp;'Reg 85'!$B172),('DMR 001C TIN &amp; TP'!$E$3:$E$10005&amp;'DMR 001C TIN &amp; TP'!$B$3:$B$10005&amp;'DMR 001C TIN &amp; TP'!$A$3:$A$10005),0),MATCH('Reg 85'!$AG$11,'DMR 001C TIN &amp; TP'!$A$2:$M$2,0))),"")</f>
        <v/>
      </c>
      <c r="AM172" s="76"/>
      <c r="AN172" s="6"/>
      <c r="AO172" s="54" t="str">
        <f t="shared" si="62"/>
        <v/>
      </c>
      <c r="AP172" s="77" t="str">
        <f t="shared" si="81"/>
        <v/>
      </c>
      <c r="AQ172" s="47"/>
      <c r="AR172" s="6" t="str">
        <f t="array" ref="AR172">_xlfn.IFNA((INDEX('DMR 001C TIN &amp; TP'!$A$3:$M$10005,MATCH(('Reg 85'!$AQ$6&amp;'Reg 85'!$AQ$10&amp;'Reg 85'!$B172),('DMR 001C TIN &amp; TP'!$E$3:$E$10005&amp;'DMR 001C TIN &amp; TP'!$B$3:$B$10005&amp;'DMR 001C TIN &amp; TP'!$A$3:$A$10005),0),MATCH('Reg 85'!$AR$11,'DMR 001C TIN &amp; TP'!$A$2:$M$2,0))),"")</f>
        <v>0.03</v>
      </c>
      <c r="AS172" s="6">
        <f t="array" ref="AS172">_xlfn.IFNA((INDEX('DMR 001C TIN &amp; TP'!$A$3:$M$10005,MATCH(('Reg 85'!$AQ$6&amp;'Reg 85'!$AQ$10&amp;'Reg 85'!$B172),('DMR 001C TIN &amp; TP'!$E$3:$E$10005&amp;'DMR 001C TIN &amp; TP'!$B$3:$B$10005&amp;'DMR 001C TIN &amp; TP'!$A$3:$A$10005),0),MATCH('Reg 85'!$AS$11,'DMR 001C TIN &amp; TP'!$A$2:$M$2,0))),"")</f>
        <v>0.47</v>
      </c>
      <c r="AT172" s="53">
        <f t="shared" si="76"/>
        <v>0.47</v>
      </c>
      <c r="AV172" s="6" t="str">
        <f t="array" ref="AV172">_xlfn.IFNA((INDEX('DMR 001C TIN &amp; TP'!$A$3:$M$10005,MATCH(('Reg 85'!$AQ$6&amp;'Reg 85'!$AU$10&amp;'Reg 85'!$B172),('DMR 001C TIN &amp; TP'!$E$3:$E$10005&amp;'DMR 001C TIN &amp; TP'!$B$3:$B$10005&amp;'DMR 001C TIN &amp; TP'!$A$3:$A$10005),0),MATCH('Reg 85'!$AV$11,'DMR 001C TIN &amp; TP'!$A$2:$M$2,0))),"")</f>
        <v>0.06</v>
      </c>
      <c r="AW172" s="6">
        <f t="array" ref="AW172">_xlfn.IFNA((INDEX('DMR 001C TIN &amp; TP'!$A$3:$M$10005,MATCH(('Reg 85'!$AQ$6&amp;'Reg 85'!$AU$10&amp;'Reg 85'!$B172),('DMR 001C TIN &amp; TP'!$E$3:$E$10005&amp;'DMR 001C TIN &amp; TP'!$B$3:$B$10005&amp;'DMR 001C TIN &amp; TP'!$A$3:$A$10005),0),MATCH('Reg 85'!$AW$11,'DMR 001C TIN &amp; TP'!$A$2:$M$2,0))),"")</f>
        <v>3.01</v>
      </c>
      <c r="AX172" s="53">
        <f t="shared" si="77"/>
        <v>3.01</v>
      </c>
      <c r="AY172" s="55">
        <f t="shared" si="78"/>
        <v>1.8644186564172855</v>
      </c>
      <c r="AZ172" s="77" t="str">
        <f t="shared" si="82"/>
        <v/>
      </c>
      <c r="BA172" s="6" t="str">
        <f t="array" ref="BA172">_xlfn.IFNA((INDEX('DMR 001C TIN &amp; TP'!$A$3:$M$10005,MATCH(('Reg 85'!$AQ$6&amp;'Reg 85'!BA$10&amp;'Reg 85'!$B172),('DMR 001C TIN &amp; TP'!$E$3:$E$10005&amp;'DMR 001C TIN &amp; TP'!$B$3:$B$10005&amp;'DMR 001C TIN &amp; TP'!$A$3:$A$10005),0),MATCH('Reg 85'!$AG$11,'DMR 001C TIN &amp; TP'!$A$2:$M$2,0))),"")</f>
        <v/>
      </c>
      <c r="BB172" s="6" t="str">
        <f t="array" ref="BB172">_xlfn.IFNA((INDEX('DMR 001C TIN &amp; TP'!$A$3:$M$10005,MATCH(('Reg 85'!$AQ$6&amp;'Reg 85'!BB$10&amp;'Reg 85'!$B172),('DMR 001C TIN &amp; TP'!$E$3:$E$10005&amp;'DMR 001C TIN &amp; TP'!$B$3:$B$10005&amp;'DMR 001C TIN &amp; TP'!$A$3:$A$10005),0),MATCH('Reg 85'!$AG$11,'DMR 001C TIN &amp; TP'!$A$2:$M$2,0))),"")</f>
        <v/>
      </c>
      <c r="BC172" s="6" t="str">
        <f t="array" ref="BC172">_xlfn.IFNA((INDEX('DMR 001C TIN &amp; TP'!$A$3:$M$10005,MATCH(('Reg 85'!$AQ$6&amp;'Reg 85'!BC$10&amp;'Reg 85'!$B172),('DMR 001C TIN &amp; TP'!$E$3:$E$10005&amp;'DMR 001C TIN &amp; TP'!$B$3:$B$10005&amp;'DMR 001C TIN &amp; TP'!$A$3:$A$10005),0),MATCH('Reg 85'!$AG$11,'DMR 001C TIN &amp; TP'!$A$2:$M$2,0))),"")</f>
        <v/>
      </c>
      <c r="BD172" s="6" t="str">
        <f t="array" ref="BD172">_xlfn.IFNA((INDEX('DMR 001C TIN &amp; TP'!$A$3:$M$10005,MATCH(('Reg 85'!$AQ$6&amp;'Reg 85'!BD$10&amp;'Reg 85'!$B172),('DMR 001C TIN &amp; TP'!$E$3:$E$10005&amp;'DMR 001C TIN &amp; TP'!$B$3:$B$10005&amp;'DMR 001C TIN &amp; TP'!$A$3:$A$10005),0),MATCH('Reg 85'!$AG$11,'DMR 001C TIN &amp; TP'!$A$2:$M$2,0))),"")</f>
        <v/>
      </c>
      <c r="BE172" s="6" t="str">
        <f t="array" ref="BE172">_xlfn.IFNA((INDEX('DMR 001C TIN &amp; TP'!$A$3:$M$10005,MATCH(('Reg 85'!$AQ$6&amp;'Reg 85'!BE$10&amp;'Reg 85'!$B172),('DMR 001C TIN &amp; TP'!$E$3:$E$10005&amp;'DMR 001C TIN &amp; TP'!$B$3:$B$10005&amp;'DMR 001C TIN &amp; TP'!$A$3:$A$10005),0),MATCH('Reg 85'!$AG$11,'DMR 001C TIN &amp; TP'!$A$2:$M$2,0))),"")</f>
        <v/>
      </c>
      <c r="BF172" s="6" t="str">
        <f t="array" ref="BF172">_xlfn.IFNA((INDEX('DMR 001C TIN &amp; TP'!$A$3:$M$10005,MATCH(('Reg 85'!$AQ$6&amp;'Reg 85'!BF$10&amp;'Reg 85'!$B172),('DMR 001C TIN &amp; TP'!$E$3:$E$10005&amp;'DMR 001C TIN &amp; TP'!$B$3:$B$10005&amp;'DMR 001C TIN &amp; TP'!$A$3:$A$10005),0),MATCH('Reg 85'!$AG$11,'DMR 001C TIN &amp; TP'!$A$2:$M$2,0))),"")</f>
        <v/>
      </c>
    </row>
    <row r="173" spans="1:58">
      <c r="A173" s="3" t="str">
        <f t="shared" si="63"/>
        <v>Sat</v>
      </c>
      <c r="B173" s="96">
        <f t="shared" si="79"/>
        <v>43505</v>
      </c>
      <c r="C173" s="96">
        <f t="shared" si="64"/>
        <v>43524</v>
      </c>
      <c r="D173" s="96">
        <f t="shared" si="65"/>
        <v>43497</v>
      </c>
      <c r="E173" s="95">
        <f t="shared" si="66"/>
        <v>28</v>
      </c>
      <c r="F173" s="7">
        <f t="array" ref="F173">_xlfn.IFNA(INDEX('DMR Flows-Effluent'!$A$3:$F$9999,MATCH(($F$10&amp;$B173),('DMR Flows-Effluent'!$B$3:$B$9999&amp;'DMR Flows-Effluent'!$A$3:$A$9999),0),MATCH($F$8,'DMR Flows-Effluent'!$A$2:$F$2,0)),"")</f>
        <v>52.2102</v>
      </c>
      <c r="G173" s="7">
        <f t="array" ref="G173">_xlfn.IFNA(INDEX('DMR Flows-Effluent'!$A$3:$F$9999,MATCH(($G$10&amp;$B173),('DMR Flows-Effluent'!$B$3:$B$9999&amp;'DMR Flows-Effluent'!$A$3:$A$9999),0),MATCH($F$8,'DMR Flows-Effluent'!$A$2:$F$2,0)),"")</f>
        <v>68.255600000000001</v>
      </c>
      <c r="H173" s="7">
        <f t="shared" si="67"/>
        <v>120.4658</v>
      </c>
      <c r="I173" s="45" t="str">
        <f t="shared" si="68"/>
        <v/>
      </c>
      <c r="J173" s="6" t="str">
        <f t="array" ref="J173">_xlfn.IFNA((INDEX('DMR 001C TIN &amp; TP'!$A$3:$M$10005,MATCH(('Reg 85'!$I$6:$Q$6&amp;'Reg 85'!$I$10:$K$10&amp;'Reg 85'!$B173),('DMR 001C TIN &amp; TP'!$E$3:$E$10005&amp;'DMR 001C TIN &amp; TP'!$B$3:$B$10005&amp;'DMR 001C TIN &amp; TP'!$A$3:$A$10005),0),MATCH('Reg 85'!$J$11,'DMR 001C TIN &amp; TP'!$A$2:$M$2,0))),"")</f>
        <v/>
      </c>
      <c r="K173" s="6" t="str">
        <f t="array" ref="K173">_xlfn.IFNA((INDEX('DMR 001C TIN &amp; TP'!$A$3:$M$10005,MATCH(('Reg 85'!$I$6:$Q$6&amp;'Reg 85'!$I$10:$K$10&amp;'Reg 85'!$B173),('DMR 001C TIN &amp; TP'!$E$3:$E$10005&amp;'DMR 001C TIN &amp; TP'!$B$3:$B$10005&amp;'DMR 001C TIN &amp; TP'!$A$3:$A$10005),0),MATCH('Reg 85'!$K$11,'DMR 001C TIN &amp; TP'!$A$2:$M$2,0))),"")</f>
        <v/>
      </c>
      <c r="L173" s="53" t="str">
        <f t="shared" si="80"/>
        <v/>
      </c>
      <c r="M173" s="5" t="str">
        <f t="shared" si="69"/>
        <v/>
      </c>
      <c r="N173" s="6" t="str">
        <f t="array" ref="N173">_xlfn.IFNA((INDEX('DMR 001C TIN &amp; TP'!$A$3:$M$10005,MATCH(('Reg 85'!$I$6:$Q$6&amp;'Reg 85'!$M$10&amp;'Reg 85'!$B173),('DMR 001C TIN &amp; TP'!$E$3:$E$10005&amp;'DMR 001C TIN &amp; TP'!$B$3:$B$10005&amp;'DMR 001C TIN &amp; TP'!$A$3:$A$10005),0),MATCH('Reg 85'!$N$11,'DMR 001C TIN &amp; TP'!$A$2:$M$2,0))),"")</f>
        <v/>
      </c>
      <c r="O173" s="6" t="str">
        <f t="array" ref="O173">_xlfn.IFNA((INDEX('DMR 001C TIN &amp; TP'!$A$3:$M$10005,MATCH(('Reg 85'!$I$6:$Q$6&amp;'Reg 85'!$M$10&amp;'Reg 85'!$B173),('DMR 001C TIN &amp; TP'!$E$3:$E$10005&amp;'DMR 001C TIN &amp; TP'!$B$3:$B$10005&amp;'DMR 001C TIN &amp; TP'!$A$3:$A$10005),0),MATCH('Reg 85'!$O$11,'DMR 001C TIN &amp; TP'!$A$2:$M$2,0))),"")</f>
        <v/>
      </c>
      <c r="P173" s="53" t="str">
        <f t="shared" si="70"/>
        <v/>
      </c>
      <c r="Q173" s="73" t="str">
        <f t="array" ref="Q173">IFERROR(((L173*$F173)+(P173*$G173))/($H173),"")</f>
        <v/>
      </c>
      <c r="R173" s="6" t="str">
        <f t="array" ref="R173">_xlfn.IFNA((INDEX('DMR 001C TIN &amp; TP'!$A$3:$M$10005,MATCH(('Reg 85'!$I$6:$Q$6&amp;'Reg 85'!R$10&amp;'Reg 85'!$B173),('DMR 001C TIN &amp; TP'!$E$3:$E$10005&amp;'DMR 001C TIN &amp; TP'!$B$3:$B$10005&amp;'DMR 001C TIN &amp; TP'!$A$3:$A$10005),0),MATCH('Reg 85'!$O$11,'DMR 001C TIN &amp; TP'!$A$2:$M$2,0))),"")</f>
        <v/>
      </c>
      <c r="S173" s="6" t="str">
        <f t="array" ref="S173">_xlfn.IFNA((INDEX('DMR 001C TIN &amp; TP'!$A$3:$M$10005,MATCH(('Reg 85'!$I$6:$Q$6&amp;'Reg 85'!S$10&amp;'Reg 85'!$B173),('DMR 001C TIN &amp; TP'!$E$3:$E$10005&amp;'DMR 001C TIN &amp; TP'!$B$3:$B$10005&amp;'DMR 001C TIN &amp; TP'!$A$3:$A$10005),0),MATCH('Reg 85'!$O$11,'DMR 001C TIN &amp; TP'!$A$2:$M$2,0))),"")</f>
        <v/>
      </c>
      <c r="T173" s="6" t="str">
        <f t="array" ref="T173">_xlfn.IFNA((INDEX('DMR 001C TIN &amp; TP'!$A$3:$M$10005,MATCH(('Reg 85'!$I$6:$Q$6&amp;'Reg 85'!T$10&amp;'Reg 85'!$B173),('DMR 001C TIN &amp; TP'!$E$3:$E$10005&amp;'DMR 001C TIN &amp; TP'!$B$3:$B$10005&amp;'DMR 001C TIN &amp; TP'!$A$3:$A$10005),0),MATCH('Reg 85'!$O$11,'DMR 001C TIN &amp; TP'!$A$2:$M$2,0))),"")</f>
        <v/>
      </c>
      <c r="U173" s="6" t="str">
        <f t="array" ref="U173">_xlfn.IFNA((INDEX('DMR 001C TIN &amp; TP'!$A$3:$M$10005,MATCH(('Reg 85'!$I$6:$Q$6&amp;'Reg 85'!U$10&amp;'Reg 85'!$B173),('DMR 001C TIN &amp; TP'!$E$3:$E$10005&amp;'DMR 001C TIN &amp; TP'!$B$3:$B$10005&amp;'DMR 001C TIN &amp; TP'!$A$3:$A$10005),0),MATCH('Reg 85'!$O$11,'DMR 001C TIN &amp; TP'!$A$2:$M$2,0))),"")</f>
        <v/>
      </c>
      <c r="V173" s="6" t="str">
        <f t="array" ref="V173">_xlfn.IFNA((INDEX('DMR 001C TIN &amp; TP'!$A$3:$M$10005,MATCH(('Reg 85'!$I$6:$Q$6&amp;'Reg 85'!V$10&amp;'Reg 85'!$B173),('DMR 001C TIN &amp; TP'!$E$3:$E$10005&amp;'DMR 001C TIN &amp; TP'!$B$3:$B$10005&amp;'DMR 001C TIN &amp; TP'!$A$3:$A$10005),0),MATCH('Reg 85'!$O$11,'DMR 001C TIN &amp; TP'!$A$2:$M$2,0))),"")</f>
        <v/>
      </c>
      <c r="W173" s="6" t="str">
        <f t="array" ref="W173">_xlfn.IFNA((INDEX('DMR 001C TIN &amp; TP'!$A$3:$M$10005,MATCH(('Reg 85'!$I$6:$Q$6&amp;'Reg 85'!W$10&amp;'Reg 85'!$B173),('DMR 001C TIN &amp; TP'!$E$3:$E$10005&amp;'DMR 001C TIN &amp; TP'!$B$3:$B$10005&amp;'DMR 001C TIN &amp; TP'!$A$3:$A$10005),0),MATCH('Reg 85'!$O$11,'DMR 001C TIN &amp; TP'!$A$2:$M$2,0))),"")</f>
        <v/>
      </c>
      <c r="X173" s="5" t="str">
        <f t="shared" si="71"/>
        <v/>
      </c>
      <c r="Y173" s="6" t="str">
        <f t="array" ref="Y173">_xlfn.IFNA((INDEX('DMR 001C TIN &amp; TP'!$A$3:$M$10005,MATCH(('Reg 85'!$X$6&amp;'Reg 85'!$X$10&amp;'Reg 85'!$B173),('DMR 001C TIN &amp; TP'!$E$3:$E$10005&amp;'DMR 001C TIN &amp; TP'!$B$3:$B$10005&amp;'DMR 001C TIN &amp; TP'!$A$3:$A$10005),0),MATCH('Reg 85'!$Y$11,'DMR 001C TIN &amp; TP'!$A$2:$M$2,0))),"")</f>
        <v/>
      </c>
      <c r="Z173" s="6" t="str">
        <f t="array" ref="Z173">_xlfn.IFNA((INDEX('DMR 001C TIN &amp; TP'!$A$3:$M$10005,MATCH(('Reg 85'!$X$6&amp;'Reg 85'!$X$10&amp;'Reg 85'!$B173),('DMR 001C TIN &amp; TP'!$E$3:$E$10005&amp;'DMR 001C TIN &amp; TP'!$B$3:$B$10005&amp;'DMR 001C TIN &amp; TP'!$A$3:$A$10005),0),MATCH('Reg 85'!$Z$11,'DMR 001C TIN &amp; TP'!$A$2:$M$2,0))),"")</f>
        <v/>
      </c>
      <c r="AA173" s="53" t="str">
        <f t="shared" si="72"/>
        <v/>
      </c>
      <c r="AB173" s="5" t="str">
        <f t="shared" si="73"/>
        <v/>
      </c>
      <c r="AC173" s="6" t="str">
        <f t="array" ref="AC173">_xlfn.IFNA((INDEX('DMR 001C TIN &amp; TP'!$A$3:$M$10005,MATCH(('Reg 85'!$X$6&amp;'Reg 85'!$AB$10&amp;'Reg 85'!$B173),('DMR 001C TIN &amp; TP'!$E$3:$E$10005&amp;'DMR 001C TIN &amp; TP'!$B$3:$B$10005&amp;'DMR 001C TIN &amp; TP'!$A$3:$A$10005),0),MATCH('Reg 85'!$AC$11,'DMR 001C TIN &amp; TP'!$A$2:$M$2,0))),"")</f>
        <v/>
      </c>
      <c r="AD173" s="6" t="str">
        <f t="array" ref="AD173">_xlfn.IFNA((INDEX('DMR 001C TIN &amp; TP'!$A$3:$M$10005,MATCH(('Reg 85'!$X$6&amp;'Reg 85'!$AB$10&amp;'Reg 85'!$B173),('DMR 001C TIN &amp; TP'!$E$3:$E$10005&amp;'DMR 001C TIN &amp; TP'!$B$3:$B$10005&amp;'DMR 001C TIN &amp; TP'!$A$3:$A$10005),0),MATCH('Reg 85'!$AD$11,'DMR 001C TIN &amp; TP'!$A$2:$M$2,0))),"")</f>
        <v/>
      </c>
      <c r="AE173" s="53" t="str">
        <f t="shared" si="74"/>
        <v/>
      </c>
      <c r="AF173" s="7" t="str">
        <f t="shared" si="75"/>
        <v/>
      </c>
      <c r="AG173" s="6" t="str">
        <f t="array" ref="AG173">_xlfn.IFNA((INDEX('DMR 001C TIN &amp; TP'!$A$3:$M$10005,MATCH(('Reg 85'!$X$6&amp;'Reg 85'!AG$10&amp;'Reg 85'!$B173),('DMR 001C TIN &amp; TP'!$E$3:$E$10005&amp;'DMR 001C TIN &amp; TP'!$B$3:$B$10005&amp;'DMR 001C TIN &amp; TP'!$A$3:$A$10005),0),MATCH('Reg 85'!$AG$11,'DMR 001C TIN &amp; TP'!$A$2:$M$2,0))),"")</f>
        <v/>
      </c>
      <c r="AH173" s="6" t="str">
        <f t="array" ref="AH173">_xlfn.IFNA((INDEX('DMR 001C TIN &amp; TP'!$A$3:$M$10005,MATCH(('Reg 85'!$X$6&amp;'Reg 85'!AH$10&amp;'Reg 85'!$B173),('DMR 001C TIN &amp; TP'!$E$3:$E$10005&amp;'DMR 001C TIN &amp; TP'!$B$3:$B$10005&amp;'DMR 001C TIN &amp; TP'!$A$3:$A$10005),0),MATCH('Reg 85'!$AG$11,'DMR 001C TIN &amp; TP'!$A$2:$M$2,0))),"")</f>
        <v/>
      </c>
      <c r="AI173" s="6" t="str">
        <f t="array" ref="AI173">_xlfn.IFNA((INDEX('DMR 001C TIN &amp; TP'!$A$3:$M$10005,MATCH(('Reg 85'!$X$6&amp;'Reg 85'!AI$10&amp;'Reg 85'!$B173),('DMR 001C TIN &amp; TP'!$E$3:$E$10005&amp;'DMR 001C TIN &amp; TP'!$B$3:$B$10005&amp;'DMR 001C TIN &amp; TP'!$A$3:$A$10005),0),MATCH('Reg 85'!$AG$11,'DMR 001C TIN &amp; TP'!$A$2:$M$2,0))),"")</f>
        <v/>
      </c>
      <c r="AJ173" s="6" t="str">
        <f t="array" ref="AJ173">_xlfn.IFNA((INDEX('DMR 001C TIN &amp; TP'!$A$3:$M$10005,MATCH(('Reg 85'!$X$6&amp;'Reg 85'!AJ$10&amp;'Reg 85'!$B173),('DMR 001C TIN &amp; TP'!$E$3:$E$10005&amp;'DMR 001C TIN &amp; TP'!$B$3:$B$10005&amp;'DMR 001C TIN &amp; TP'!$A$3:$A$10005),0),MATCH('Reg 85'!$AG$11,'DMR 001C TIN &amp; TP'!$A$2:$M$2,0))),"")</f>
        <v/>
      </c>
      <c r="AK173" s="6" t="str">
        <f t="array" ref="AK173">_xlfn.IFNA((INDEX('DMR 001C TIN &amp; TP'!$A$3:$M$10005,MATCH(('Reg 85'!$X$6&amp;'Reg 85'!AK$10&amp;'Reg 85'!$B173),('DMR 001C TIN &amp; TP'!$E$3:$E$10005&amp;'DMR 001C TIN &amp; TP'!$B$3:$B$10005&amp;'DMR 001C TIN &amp; TP'!$A$3:$A$10005),0),MATCH('Reg 85'!$AG$11,'DMR 001C TIN &amp; TP'!$A$2:$M$2,0))),"")</f>
        <v/>
      </c>
      <c r="AL173" s="6" t="str">
        <f t="array" ref="AL173">_xlfn.IFNA((INDEX('DMR 001C TIN &amp; TP'!$A$3:$M$10005,MATCH(('Reg 85'!$X$6&amp;'Reg 85'!AL$10&amp;'Reg 85'!$B173),('DMR 001C TIN &amp; TP'!$E$3:$E$10005&amp;'DMR 001C TIN &amp; TP'!$B$3:$B$10005&amp;'DMR 001C TIN &amp; TP'!$A$3:$A$10005),0),MATCH('Reg 85'!$AG$11,'DMR 001C TIN &amp; TP'!$A$2:$M$2,0))),"")</f>
        <v/>
      </c>
      <c r="AM173" s="76"/>
      <c r="AN173" s="6"/>
      <c r="AO173" s="54" t="str">
        <f t="shared" si="62"/>
        <v/>
      </c>
      <c r="AP173" s="77" t="str">
        <f t="shared" si="81"/>
        <v/>
      </c>
      <c r="AQ173" s="47"/>
      <c r="AR173" s="6" t="str">
        <f t="array" ref="AR173">_xlfn.IFNA((INDEX('DMR 001C TIN &amp; TP'!$A$3:$M$10005,MATCH(('Reg 85'!$AQ$6&amp;'Reg 85'!$AQ$10&amp;'Reg 85'!$B173),('DMR 001C TIN &amp; TP'!$E$3:$E$10005&amp;'DMR 001C TIN &amp; TP'!$B$3:$B$10005&amp;'DMR 001C TIN &amp; TP'!$A$3:$A$10005),0),MATCH('Reg 85'!$AR$11,'DMR 001C TIN &amp; TP'!$A$2:$M$2,0))),"")</f>
        <v/>
      </c>
      <c r="AS173" s="6" t="str">
        <f t="array" ref="AS173">_xlfn.IFNA((INDEX('DMR 001C TIN &amp; TP'!$A$3:$M$10005,MATCH(('Reg 85'!$AQ$6&amp;'Reg 85'!$AQ$10&amp;'Reg 85'!$B173),('DMR 001C TIN &amp; TP'!$E$3:$E$10005&amp;'DMR 001C TIN &amp; TP'!$B$3:$B$10005&amp;'DMR 001C TIN &amp; TP'!$A$3:$A$10005),0),MATCH('Reg 85'!$AS$11,'DMR 001C TIN &amp; TP'!$A$2:$M$2,0))),"")</f>
        <v/>
      </c>
      <c r="AT173" s="53" t="str">
        <f t="shared" si="76"/>
        <v/>
      </c>
      <c r="AV173" s="6" t="str">
        <f t="array" ref="AV173">_xlfn.IFNA((INDEX('DMR 001C TIN &amp; TP'!$A$3:$M$10005,MATCH(('Reg 85'!$AQ$6&amp;'Reg 85'!$AU$10&amp;'Reg 85'!$B173),('DMR 001C TIN &amp; TP'!$E$3:$E$10005&amp;'DMR 001C TIN &amp; TP'!$B$3:$B$10005&amp;'DMR 001C TIN &amp; TP'!$A$3:$A$10005),0),MATCH('Reg 85'!$AV$11,'DMR 001C TIN &amp; TP'!$A$2:$M$2,0))),"")</f>
        <v/>
      </c>
      <c r="AW173" s="6" t="str">
        <f t="array" ref="AW173">_xlfn.IFNA((INDEX('DMR 001C TIN &amp; TP'!$A$3:$M$10005,MATCH(('Reg 85'!$AQ$6&amp;'Reg 85'!$AU$10&amp;'Reg 85'!$B173),('DMR 001C TIN &amp; TP'!$E$3:$E$10005&amp;'DMR 001C TIN &amp; TP'!$B$3:$B$10005&amp;'DMR 001C TIN &amp; TP'!$A$3:$A$10005),0),MATCH('Reg 85'!$AW$11,'DMR 001C TIN &amp; TP'!$A$2:$M$2,0))),"")</f>
        <v/>
      </c>
      <c r="AX173" s="53" t="str">
        <f t="shared" si="77"/>
        <v/>
      </c>
      <c r="AY173" s="55" t="str">
        <f t="shared" si="78"/>
        <v/>
      </c>
      <c r="AZ173" s="77" t="str">
        <f t="shared" si="82"/>
        <v/>
      </c>
      <c r="BA173" s="6" t="str">
        <f t="array" ref="BA173">_xlfn.IFNA((INDEX('DMR 001C TIN &amp; TP'!$A$3:$M$10005,MATCH(('Reg 85'!$AQ$6&amp;'Reg 85'!BA$10&amp;'Reg 85'!$B173),('DMR 001C TIN &amp; TP'!$E$3:$E$10005&amp;'DMR 001C TIN &amp; TP'!$B$3:$B$10005&amp;'DMR 001C TIN &amp; TP'!$A$3:$A$10005),0),MATCH('Reg 85'!$AG$11,'DMR 001C TIN &amp; TP'!$A$2:$M$2,0))),"")</f>
        <v/>
      </c>
      <c r="BB173" s="6" t="str">
        <f t="array" ref="BB173">_xlfn.IFNA((INDEX('DMR 001C TIN &amp; TP'!$A$3:$M$10005,MATCH(('Reg 85'!$AQ$6&amp;'Reg 85'!BB$10&amp;'Reg 85'!$B173),('DMR 001C TIN &amp; TP'!$E$3:$E$10005&amp;'DMR 001C TIN &amp; TP'!$B$3:$B$10005&amp;'DMR 001C TIN &amp; TP'!$A$3:$A$10005),0),MATCH('Reg 85'!$AG$11,'DMR 001C TIN &amp; TP'!$A$2:$M$2,0))),"")</f>
        <v/>
      </c>
      <c r="BC173" s="6" t="str">
        <f t="array" ref="BC173">_xlfn.IFNA((INDEX('DMR 001C TIN &amp; TP'!$A$3:$M$10005,MATCH(('Reg 85'!$AQ$6&amp;'Reg 85'!BC$10&amp;'Reg 85'!$B173),('DMR 001C TIN &amp; TP'!$E$3:$E$10005&amp;'DMR 001C TIN &amp; TP'!$B$3:$B$10005&amp;'DMR 001C TIN &amp; TP'!$A$3:$A$10005),0),MATCH('Reg 85'!$AG$11,'DMR 001C TIN &amp; TP'!$A$2:$M$2,0))),"")</f>
        <v/>
      </c>
      <c r="BD173" s="6" t="str">
        <f t="array" ref="BD173">_xlfn.IFNA((INDEX('DMR 001C TIN &amp; TP'!$A$3:$M$10005,MATCH(('Reg 85'!$AQ$6&amp;'Reg 85'!BD$10&amp;'Reg 85'!$B173),('DMR 001C TIN &amp; TP'!$E$3:$E$10005&amp;'DMR 001C TIN &amp; TP'!$B$3:$B$10005&amp;'DMR 001C TIN &amp; TP'!$A$3:$A$10005),0),MATCH('Reg 85'!$AG$11,'DMR 001C TIN &amp; TP'!$A$2:$M$2,0))),"")</f>
        <v/>
      </c>
      <c r="BE173" s="6" t="str">
        <f t="array" ref="BE173">_xlfn.IFNA((INDEX('DMR 001C TIN &amp; TP'!$A$3:$M$10005,MATCH(('Reg 85'!$AQ$6&amp;'Reg 85'!BE$10&amp;'Reg 85'!$B173),('DMR 001C TIN &amp; TP'!$E$3:$E$10005&amp;'DMR 001C TIN &amp; TP'!$B$3:$B$10005&amp;'DMR 001C TIN &amp; TP'!$A$3:$A$10005),0),MATCH('Reg 85'!$AG$11,'DMR 001C TIN &amp; TP'!$A$2:$M$2,0))),"")</f>
        <v/>
      </c>
      <c r="BF173" s="6" t="str">
        <f t="array" ref="BF173">_xlfn.IFNA((INDEX('DMR 001C TIN &amp; TP'!$A$3:$M$10005,MATCH(('Reg 85'!$AQ$6&amp;'Reg 85'!BF$10&amp;'Reg 85'!$B173),('DMR 001C TIN &amp; TP'!$E$3:$E$10005&amp;'DMR 001C TIN &amp; TP'!$B$3:$B$10005&amp;'DMR 001C TIN &amp; TP'!$A$3:$A$10005),0),MATCH('Reg 85'!$AG$11,'DMR 001C TIN &amp; TP'!$A$2:$M$2,0))),"")</f>
        <v/>
      </c>
    </row>
    <row r="174" spans="1:58">
      <c r="A174" s="3" t="str">
        <f t="shared" si="63"/>
        <v>Sun</v>
      </c>
      <c r="B174" s="96">
        <f t="shared" si="79"/>
        <v>43506</v>
      </c>
      <c r="C174" s="96">
        <f t="shared" si="64"/>
        <v>43524</v>
      </c>
      <c r="D174" s="96">
        <f t="shared" si="65"/>
        <v>43497</v>
      </c>
      <c r="E174" s="95">
        <f t="shared" si="66"/>
        <v>28</v>
      </c>
      <c r="F174" s="7">
        <f t="array" ref="F174">_xlfn.IFNA(INDEX('DMR Flows-Effluent'!$A$3:$F$9999,MATCH(($F$10&amp;$B174),('DMR Flows-Effluent'!$B$3:$B$9999&amp;'DMR Flows-Effluent'!$A$3:$A$9999),0),MATCH($F$8,'DMR Flows-Effluent'!$A$2:$F$2,0)),"")</f>
        <v>55.561799999999998</v>
      </c>
      <c r="G174" s="7">
        <f t="array" ref="G174">_xlfn.IFNA(INDEX('DMR Flows-Effluent'!$A$3:$F$9999,MATCH(($G$10&amp;$B174),('DMR Flows-Effluent'!$B$3:$B$9999&amp;'DMR Flows-Effluent'!$A$3:$A$9999),0),MATCH($F$8,'DMR Flows-Effluent'!$A$2:$F$2,0)),"")</f>
        <v>71.821299999999994</v>
      </c>
      <c r="H174" s="7">
        <f t="shared" si="67"/>
        <v>127.38309999999998</v>
      </c>
      <c r="I174" s="45" t="str">
        <f t="shared" si="68"/>
        <v/>
      </c>
      <c r="J174" s="6" t="str">
        <f t="array" ref="J174">_xlfn.IFNA((INDEX('DMR 001C TIN &amp; TP'!$A$3:$M$10005,MATCH(('Reg 85'!$I$6:$Q$6&amp;'Reg 85'!$I$10:$K$10&amp;'Reg 85'!$B174),('DMR 001C TIN &amp; TP'!$E$3:$E$10005&amp;'DMR 001C TIN &amp; TP'!$B$3:$B$10005&amp;'DMR 001C TIN &amp; TP'!$A$3:$A$10005),0),MATCH('Reg 85'!$J$11,'DMR 001C TIN &amp; TP'!$A$2:$M$2,0))),"")</f>
        <v/>
      </c>
      <c r="K174" s="6" t="str">
        <f t="array" ref="K174">_xlfn.IFNA((INDEX('DMR 001C TIN &amp; TP'!$A$3:$M$10005,MATCH(('Reg 85'!$I$6:$Q$6&amp;'Reg 85'!$I$10:$K$10&amp;'Reg 85'!$B174),('DMR 001C TIN &amp; TP'!$E$3:$E$10005&amp;'DMR 001C TIN &amp; TP'!$B$3:$B$10005&amp;'DMR 001C TIN &amp; TP'!$A$3:$A$10005),0),MATCH('Reg 85'!$K$11,'DMR 001C TIN &amp; TP'!$A$2:$M$2,0))),"")</f>
        <v/>
      </c>
      <c r="L174" s="53" t="str">
        <f t="shared" si="80"/>
        <v/>
      </c>
      <c r="M174" s="5" t="str">
        <f t="shared" si="69"/>
        <v/>
      </c>
      <c r="N174" s="6" t="str">
        <f t="array" ref="N174">_xlfn.IFNA((INDEX('DMR 001C TIN &amp; TP'!$A$3:$M$10005,MATCH(('Reg 85'!$I$6:$Q$6&amp;'Reg 85'!$M$10&amp;'Reg 85'!$B174),('DMR 001C TIN &amp; TP'!$E$3:$E$10005&amp;'DMR 001C TIN &amp; TP'!$B$3:$B$10005&amp;'DMR 001C TIN &amp; TP'!$A$3:$A$10005),0),MATCH('Reg 85'!$N$11,'DMR 001C TIN &amp; TP'!$A$2:$M$2,0))),"")</f>
        <v/>
      </c>
      <c r="O174" s="6" t="str">
        <f t="array" ref="O174">_xlfn.IFNA((INDEX('DMR 001C TIN &amp; TP'!$A$3:$M$10005,MATCH(('Reg 85'!$I$6:$Q$6&amp;'Reg 85'!$M$10&amp;'Reg 85'!$B174),('DMR 001C TIN &amp; TP'!$E$3:$E$10005&amp;'DMR 001C TIN &amp; TP'!$B$3:$B$10005&amp;'DMR 001C TIN &amp; TP'!$A$3:$A$10005),0),MATCH('Reg 85'!$O$11,'DMR 001C TIN &amp; TP'!$A$2:$M$2,0))),"")</f>
        <v/>
      </c>
      <c r="P174" s="53" t="str">
        <f t="shared" si="70"/>
        <v/>
      </c>
      <c r="Q174" s="73" t="str">
        <f t="array" ref="Q174">IFERROR(((L174*$F174)+(P174*$G174))/($H174),"")</f>
        <v/>
      </c>
      <c r="R174" s="6" t="str">
        <f t="array" ref="R174">_xlfn.IFNA((INDEX('DMR 001C TIN &amp; TP'!$A$3:$M$10005,MATCH(('Reg 85'!$I$6:$Q$6&amp;'Reg 85'!R$10&amp;'Reg 85'!$B174),('DMR 001C TIN &amp; TP'!$E$3:$E$10005&amp;'DMR 001C TIN &amp; TP'!$B$3:$B$10005&amp;'DMR 001C TIN &amp; TP'!$A$3:$A$10005),0),MATCH('Reg 85'!$O$11,'DMR 001C TIN &amp; TP'!$A$2:$M$2,0))),"")</f>
        <v/>
      </c>
      <c r="S174" s="6" t="str">
        <f t="array" ref="S174">_xlfn.IFNA((INDEX('DMR 001C TIN &amp; TP'!$A$3:$M$10005,MATCH(('Reg 85'!$I$6:$Q$6&amp;'Reg 85'!S$10&amp;'Reg 85'!$B174),('DMR 001C TIN &amp; TP'!$E$3:$E$10005&amp;'DMR 001C TIN &amp; TP'!$B$3:$B$10005&amp;'DMR 001C TIN &amp; TP'!$A$3:$A$10005),0),MATCH('Reg 85'!$O$11,'DMR 001C TIN &amp; TP'!$A$2:$M$2,0))),"")</f>
        <v/>
      </c>
      <c r="T174" s="6" t="str">
        <f t="array" ref="T174">_xlfn.IFNA((INDEX('DMR 001C TIN &amp; TP'!$A$3:$M$10005,MATCH(('Reg 85'!$I$6:$Q$6&amp;'Reg 85'!T$10&amp;'Reg 85'!$B174),('DMR 001C TIN &amp; TP'!$E$3:$E$10005&amp;'DMR 001C TIN &amp; TP'!$B$3:$B$10005&amp;'DMR 001C TIN &amp; TP'!$A$3:$A$10005),0),MATCH('Reg 85'!$O$11,'DMR 001C TIN &amp; TP'!$A$2:$M$2,0))),"")</f>
        <v/>
      </c>
      <c r="U174" s="6" t="str">
        <f t="array" ref="U174">_xlfn.IFNA((INDEX('DMR 001C TIN &amp; TP'!$A$3:$M$10005,MATCH(('Reg 85'!$I$6:$Q$6&amp;'Reg 85'!U$10&amp;'Reg 85'!$B174),('DMR 001C TIN &amp; TP'!$E$3:$E$10005&amp;'DMR 001C TIN &amp; TP'!$B$3:$B$10005&amp;'DMR 001C TIN &amp; TP'!$A$3:$A$10005),0),MATCH('Reg 85'!$O$11,'DMR 001C TIN &amp; TP'!$A$2:$M$2,0))),"")</f>
        <v/>
      </c>
      <c r="V174" s="6" t="str">
        <f t="array" ref="V174">_xlfn.IFNA((INDEX('DMR 001C TIN &amp; TP'!$A$3:$M$10005,MATCH(('Reg 85'!$I$6:$Q$6&amp;'Reg 85'!V$10&amp;'Reg 85'!$B174),('DMR 001C TIN &amp; TP'!$E$3:$E$10005&amp;'DMR 001C TIN &amp; TP'!$B$3:$B$10005&amp;'DMR 001C TIN &amp; TP'!$A$3:$A$10005),0),MATCH('Reg 85'!$O$11,'DMR 001C TIN &amp; TP'!$A$2:$M$2,0))),"")</f>
        <v/>
      </c>
      <c r="W174" s="6" t="str">
        <f t="array" ref="W174">_xlfn.IFNA((INDEX('DMR 001C TIN &amp; TP'!$A$3:$M$10005,MATCH(('Reg 85'!$I$6:$Q$6&amp;'Reg 85'!W$10&amp;'Reg 85'!$B174),('DMR 001C TIN &amp; TP'!$E$3:$E$10005&amp;'DMR 001C TIN &amp; TP'!$B$3:$B$10005&amp;'DMR 001C TIN &amp; TP'!$A$3:$A$10005),0),MATCH('Reg 85'!$O$11,'DMR 001C TIN &amp; TP'!$A$2:$M$2,0))),"")</f>
        <v/>
      </c>
      <c r="X174" s="5" t="str">
        <f t="shared" si="71"/>
        <v/>
      </c>
      <c r="Y174" s="6" t="str">
        <f t="array" ref="Y174">_xlfn.IFNA((INDEX('DMR 001C TIN &amp; TP'!$A$3:$M$10005,MATCH(('Reg 85'!$X$6&amp;'Reg 85'!$X$10&amp;'Reg 85'!$B174),('DMR 001C TIN &amp; TP'!$E$3:$E$10005&amp;'DMR 001C TIN &amp; TP'!$B$3:$B$10005&amp;'DMR 001C TIN &amp; TP'!$A$3:$A$10005),0),MATCH('Reg 85'!$Y$11,'DMR 001C TIN &amp; TP'!$A$2:$M$2,0))),"")</f>
        <v/>
      </c>
      <c r="Z174" s="6" t="str">
        <f t="array" ref="Z174">_xlfn.IFNA((INDEX('DMR 001C TIN &amp; TP'!$A$3:$M$10005,MATCH(('Reg 85'!$X$6&amp;'Reg 85'!$X$10&amp;'Reg 85'!$B174),('DMR 001C TIN &amp; TP'!$E$3:$E$10005&amp;'DMR 001C TIN &amp; TP'!$B$3:$B$10005&amp;'DMR 001C TIN &amp; TP'!$A$3:$A$10005),0),MATCH('Reg 85'!$Z$11,'DMR 001C TIN &amp; TP'!$A$2:$M$2,0))),"")</f>
        <v/>
      </c>
      <c r="AA174" s="53" t="str">
        <f t="shared" si="72"/>
        <v/>
      </c>
      <c r="AB174" s="5" t="str">
        <f t="shared" si="73"/>
        <v/>
      </c>
      <c r="AC174" s="6" t="str">
        <f t="array" ref="AC174">_xlfn.IFNA((INDEX('DMR 001C TIN &amp; TP'!$A$3:$M$10005,MATCH(('Reg 85'!$X$6&amp;'Reg 85'!$AB$10&amp;'Reg 85'!$B174),('DMR 001C TIN &amp; TP'!$E$3:$E$10005&amp;'DMR 001C TIN &amp; TP'!$B$3:$B$10005&amp;'DMR 001C TIN &amp; TP'!$A$3:$A$10005),0),MATCH('Reg 85'!$AC$11,'DMR 001C TIN &amp; TP'!$A$2:$M$2,0))),"")</f>
        <v/>
      </c>
      <c r="AD174" s="6" t="str">
        <f t="array" ref="AD174">_xlfn.IFNA((INDEX('DMR 001C TIN &amp; TP'!$A$3:$M$10005,MATCH(('Reg 85'!$X$6&amp;'Reg 85'!$AB$10&amp;'Reg 85'!$B174),('DMR 001C TIN &amp; TP'!$E$3:$E$10005&amp;'DMR 001C TIN &amp; TP'!$B$3:$B$10005&amp;'DMR 001C TIN &amp; TP'!$A$3:$A$10005),0),MATCH('Reg 85'!$AD$11,'DMR 001C TIN &amp; TP'!$A$2:$M$2,0))),"")</f>
        <v/>
      </c>
      <c r="AE174" s="53" t="str">
        <f t="shared" si="74"/>
        <v/>
      </c>
      <c r="AF174" s="7" t="str">
        <f t="shared" si="75"/>
        <v/>
      </c>
      <c r="AG174" s="6" t="str">
        <f t="array" ref="AG174">_xlfn.IFNA((INDEX('DMR 001C TIN &amp; TP'!$A$3:$M$10005,MATCH(('Reg 85'!$X$6&amp;'Reg 85'!AG$10&amp;'Reg 85'!$B174),('DMR 001C TIN &amp; TP'!$E$3:$E$10005&amp;'DMR 001C TIN &amp; TP'!$B$3:$B$10005&amp;'DMR 001C TIN &amp; TP'!$A$3:$A$10005),0),MATCH('Reg 85'!$AG$11,'DMR 001C TIN &amp; TP'!$A$2:$M$2,0))),"")</f>
        <v/>
      </c>
      <c r="AH174" s="6" t="str">
        <f t="array" ref="AH174">_xlfn.IFNA((INDEX('DMR 001C TIN &amp; TP'!$A$3:$M$10005,MATCH(('Reg 85'!$X$6&amp;'Reg 85'!AH$10&amp;'Reg 85'!$B174),('DMR 001C TIN &amp; TP'!$E$3:$E$10005&amp;'DMR 001C TIN &amp; TP'!$B$3:$B$10005&amp;'DMR 001C TIN &amp; TP'!$A$3:$A$10005),0),MATCH('Reg 85'!$AG$11,'DMR 001C TIN &amp; TP'!$A$2:$M$2,0))),"")</f>
        <v/>
      </c>
      <c r="AI174" s="6" t="str">
        <f t="array" ref="AI174">_xlfn.IFNA((INDEX('DMR 001C TIN &amp; TP'!$A$3:$M$10005,MATCH(('Reg 85'!$X$6&amp;'Reg 85'!AI$10&amp;'Reg 85'!$B174),('DMR 001C TIN &amp; TP'!$E$3:$E$10005&amp;'DMR 001C TIN &amp; TP'!$B$3:$B$10005&amp;'DMR 001C TIN &amp; TP'!$A$3:$A$10005),0),MATCH('Reg 85'!$AG$11,'DMR 001C TIN &amp; TP'!$A$2:$M$2,0))),"")</f>
        <v/>
      </c>
      <c r="AJ174" s="6" t="str">
        <f t="array" ref="AJ174">_xlfn.IFNA((INDEX('DMR 001C TIN &amp; TP'!$A$3:$M$10005,MATCH(('Reg 85'!$X$6&amp;'Reg 85'!AJ$10&amp;'Reg 85'!$B174),('DMR 001C TIN &amp; TP'!$E$3:$E$10005&amp;'DMR 001C TIN &amp; TP'!$B$3:$B$10005&amp;'DMR 001C TIN &amp; TP'!$A$3:$A$10005),0),MATCH('Reg 85'!$AG$11,'DMR 001C TIN &amp; TP'!$A$2:$M$2,0))),"")</f>
        <v/>
      </c>
      <c r="AK174" s="6" t="str">
        <f t="array" ref="AK174">_xlfn.IFNA((INDEX('DMR 001C TIN &amp; TP'!$A$3:$M$10005,MATCH(('Reg 85'!$X$6&amp;'Reg 85'!AK$10&amp;'Reg 85'!$B174),('DMR 001C TIN &amp; TP'!$E$3:$E$10005&amp;'DMR 001C TIN &amp; TP'!$B$3:$B$10005&amp;'DMR 001C TIN &amp; TP'!$A$3:$A$10005),0),MATCH('Reg 85'!$AG$11,'DMR 001C TIN &amp; TP'!$A$2:$M$2,0))),"")</f>
        <v/>
      </c>
      <c r="AL174" s="6" t="str">
        <f t="array" ref="AL174">_xlfn.IFNA((INDEX('DMR 001C TIN &amp; TP'!$A$3:$M$10005,MATCH(('Reg 85'!$X$6&amp;'Reg 85'!AL$10&amp;'Reg 85'!$B174),('DMR 001C TIN &amp; TP'!$E$3:$E$10005&amp;'DMR 001C TIN &amp; TP'!$B$3:$B$10005&amp;'DMR 001C TIN &amp; TP'!$A$3:$A$10005),0),MATCH('Reg 85'!$AG$11,'DMR 001C TIN &amp; TP'!$A$2:$M$2,0))),"")</f>
        <v/>
      </c>
      <c r="AM174" s="76"/>
      <c r="AN174" s="6"/>
      <c r="AO174" s="54" t="str">
        <f t="shared" si="62"/>
        <v/>
      </c>
      <c r="AP174" s="77" t="str">
        <f t="shared" si="81"/>
        <v/>
      </c>
      <c r="AQ174" s="47"/>
      <c r="AR174" s="6" t="str">
        <f t="array" ref="AR174">_xlfn.IFNA((INDEX('DMR 001C TIN &amp; TP'!$A$3:$M$10005,MATCH(('Reg 85'!$AQ$6&amp;'Reg 85'!$AQ$10&amp;'Reg 85'!$B174),('DMR 001C TIN &amp; TP'!$E$3:$E$10005&amp;'DMR 001C TIN &amp; TP'!$B$3:$B$10005&amp;'DMR 001C TIN &amp; TP'!$A$3:$A$10005),0),MATCH('Reg 85'!$AR$11,'DMR 001C TIN &amp; TP'!$A$2:$M$2,0))),"")</f>
        <v/>
      </c>
      <c r="AS174" s="6" t="str">
        <f t="array" ref="AS174">_xlfn.IFNA((INDEX('DMR 001C TIN &amp; TP'!$A$3:$M$10005,MATCH(('Reg 85'!$AQ$6&amp;'Reg 85'!$AQ$10&amp;'Reg 85'!$B174),('DMR 001C TIN &amp; TP'!$E$3:$E$10005&amp;'DMR 001C TIN &amp; TP'!$B$3:$B$10005&amp;'DMR 001C TIN &amp; TP'!$A$3:$A$10005),0),MATCH('Reg 85'!$AS$11,'DMR 001C TIN &amp; TP'!$A$2:$M$2,0))),"")</f>
        <v/>
      </c>
      <c r="AT174" s="53" t="str">
        <f t="shared" si="76"/>
        <v/>
      </c>
      <c r="AV174" s="6" t="str">
        <f t="array" ref="AV174">_xlfn.IFNA((INDEX('DMR 001C TIN &amp; TP'!$A$3:$M$10005,MATCH(('Reg 85'!$AQ$6&amp;'Reg 85'!$AU$10&amp;'Reg 85'!$B174),('DMR 001C TIN &amp; TP'!$E$3:$E$10005&amp;'DMR 001C TIN &amp; TP'!$B$3:$B$10005&amp;'DMR 001C TIN &amp; TP'!$A$3:$A$10005),0),MATCH('Reg 85'!$AV$11,'DMR 001C TIN &amp; TP'!$A$2:$M$2,0))),"")</f>
        <v/>
      </c>
      <c r="AW174" s="6" t="str">
        <f t="array" ref="AW174">_xlfn.IFNA((INDEX('DMR 001C TIN &amp; TP'!$A$3:$M$10005,MATCH(('Reg 85'!$AQ$6&amp;'Reg 85'!$AU$10&amp;'Reg 85'!$B174),('DMR 001C TIN &amp; TP'!$E$3:$E$10005&amp;'DMR 001C TIN &amp; TP'!$B$3:$B$10005&amp;'DMR 001C TIN &amp; TP'!$A$3:$A$10005),0),MATCH('Reg 85'!$AW$11,'DMR 001C TIN &amp; TP'!$A$2:$M$2,0))),"")</f>
        <v/>
      </c>
      <c r="AX174" s="53" t="str">
        <f t="shared" si="77"/>
        <v/>
      </c>
      <c r="AY174" s="55" t="str">
        <f t="shared" si="78"/>
        <v/>
      </c>
      <c r="AZ174" s="77" t="str">
        <f t="shared" si="82"/>
        <v/>
      </c>
      <c r="BA174" s="6" t="str">
        <f t="array" ref="BA174">_xlfn.IFNA((INDEX('DMR 001C TIN &amp; TP'!$A$3:$M$10005,MATCH(('Reg 85'!$AQ$6&amp;'Reg 85'!BA$10&amp;'Reg 85'!$B174),('DMR 001C TIN &amp; TP'!$E$3:$E$10005&amp;'DMR 001C TIN &amp; TP'!$B$3:$B$10005&amp;'DMR 001C TIN &amp; TP'!$A$3:$A$10005),0),MATCH('Reg 85'!$AG$11,'DMR 001C TIN &amp; TP'!$A$2:$M$2,0))),"")</f>
        <v/>
      </c>
      <c r="BB174" s="6" t="str">
        <f t="array" ref="BB174">_xlfn.IFNA((INDEX('DMR 001C TIN &amp; TP'!$A$3:$M$10005,MATCH(('Reg 85'!$AQ$6&amp;'Reg 85'!BB$10&amp;'Reg 85'!$B174),('DMR 001C TIN &amp; TP'!$E$3:$E$10005&amp;'DMR 001C TIN &amp; TP'!$B$3:$B$10005&amp;'DMR 001C TIN &amp; TP'!$A$3:$A$10005),0),MATCH('Reg 85'!$AG$11,'DMR 001C TIN &amp; TP'!$A$2:$M$2,0))),"")</f>
        <v/>
      </c>
      <c r="BC174" s="6" t="str">
        <f t="array" ref="BC174">_xlfn.IFNA((INDEX('DMR 001C TIN &amp; TP'!$A$3:$M$10005,MATCH(('Reg 85'!$AQ$6&amp;'Reg 85'!BC$10&amp;'Reg 85'!$B174),('DMR 001C TIN &amp; TP'!$E$3:$E$10005&amp;'DMR 001C TIN &amp; TP'!$B$3:$B$10005&amp;'DMR 001C TIN &amp; TP'!$A$3:$A$10005),0),MATCH('Reg 85'!$AG$11,'DMR 001C TIN &amp; TP'!$A$2:$M$2,0))),"")</f>
        <v/>
      </c>
      <c r="BD174" s="6" t="str">
        <f t="array" ref="BD174">_xlfn.IFNA((INDEX('DMR 001C TIN &amp; TP'!$A$3:$M$10005,MATCH(('Reg 85'!$AQ$6&amp;'Reg 85'!BD$10&amp;'Reg 85'!$B174),('DMR 001C TIN &amp; TP'!$E$3:$E$10005&amp;'DMR 001C TIN &amp; TP'!$B$3:$B$10005&amp;'DMR 001C TIN &amp; TP'!$A$3:$A$10005),0),MATCH('Reg 85'!$AG$11,'DMR 001C TIN &amp; TP'!$A$2:$M$2,0))),"")</f>
        <v/>
      </c>
      <c r="BE174" s="6" t="str">
        <f t="array" ref="BE174">_xlfn.IFNA((INDEX('DMR 001C TIN &amp; TP'!$A$3:$M$10005,MATCH(('Reg 85'!$AQ$6&amp;'Reg 85'!BE$10&amp;'Reg 85'!$B174),('DMR 001C TIN &amp; TP'!$E$3:$E$10005&amp;'DMR 001C TIN &amp; TP'!$B$3:$B$10005&amp;'DMR 001C TIN &amp; TP'!$A$3:$A$10005),0),MATCH('Reg 85'!$AG$11,'DMR 001C TIN &amp; TP'!$A$2:$M$2,0))),"")</f>
        <v/>
      </c>
      <c r="BF174" s="6" t="str">
        <f t="array" ref="BF174">_xlfn.IFNA((INDEX('DMR 001C TIN &amp; TP'!$A$3:$M$10005,MATCH(('Reg 85'!$AQ$6&amp;'Reg 85'!BF$10&amp;'Reg 85'!$B174),('DMR 001C TIN &amp; TP'!$E$3:$E$10005&amp;'DMR 001C TIN &amp; TP'!$B$3:$B$10005&amp;'DMR 001C TIN &amp; TP'!$A$3:$A$10005),0),MATCH('Reg 85'!$AG$11,'DMR 001C TIN &amp; TP'!$A$2:$M$2,0))),"")</f>
        <v/>
      </c>
    </row>
    <row r="175" spans="1:58">
      <c r="A175" s="3" t="str">
        <f t="shared" si="63"/>
        <v>Mon</v>
      </c>
      <c r="B175" s="96">
        <f t="shared" si="79"/>
        <v>43507</v>
      </c>
      <c r="C175" s="96">
        <f t="shared" si="64"/>
        <v>43524</v>
      </c>
      <c r="D175" s="96">
        <f t="shared" si="65"/>
        <v>43497</v>
      </c>
      <c r="E175" s="95">
        <f t="shared" si="66"/>
        <v>28</v>
      </c>
      <c r="F175" s="7">
        <f t="array" ref="F175">_xlfn.IFNA(INDEX('DMR Flows-Effluent'!$A$3:$F$9999,MATCH(($F$10&amp;$B175),('DMR Flows-Effluent'!$B$3:$B$9999&amp;'DMR Flows-Effluent'!$A$3:$A$9999),0),MATCH($F$8,'DMR Flows-Effluent'!$A$2:$F$2,0)),"")</f>
        <v>58.428400000000003</v>
      </c>
      <c r="G175" s="7">
        <f t="array" ref="G175">_xlfn.IFNA(INDEX('DMR Flows-Effluent'!$A$3:$F$9999,MATCH(($G$10&amp;$B175),('DMR Flows-Effluent'!$B$3:$B$9999&amp;'DMR Flows-Effluent'!$A$3:$A$9999),0),MATCH($F$8,'DMR Flows-Effluent'!$A$2:$F$2,0)),"")</f>
        <v>66.350700000000003</v>
      </c>
      <c r="H175" s="7">
        <f t="shared" si="67"/>
        <v>124.7791</v>
      </c>
      <c r="I175" s="45" t="str">
        <f t="shared" si="68"/>
        <v/>
      </c>
      <c r="J175" s="6" t="str">
        <f t="array" ref="J175">_xlfn.IFNA((INDEX('DMR 001C TIN &amp; TP'!$A$3:$M$10005,MATCH(('Reg 85'!$I$6:$Q$6&amp;'Reg 85'!$I$10:$K$10&amp;'Reg 85'!$B175),('DMR 001C TIN &amp; TP'!$E$3:$E$10005&amp;'DMR 001C TIN &amp; TP'!$B$3:$B$10005&amp;'DMR 001C TIN &amp; TP'!$A$3:$A$10005),0),MATCH('Reg 85'!$J$11,'DMR 001C TIN &amp; TP'!$A$2:$M$2,0))),"")</f>
        <v/>
      </c>
      <c r="K175" s="6" t="str">
        <f t="array" ref="K175">_xlfn.IFNA((INDEX('DMR 001C TIN &amp; TP'!$A$3:$M$10005,MATCH(('Reg 85'!$I$6:$Q$6&amp;'Reg 85'!$I$10:$K$10&amp;'Reg 85'!$B175),('DMR 001C TIN &amp; TP'!$E$3:$E$10005&amp;'DMR 001C TIN &amp; TP'!$B$3:$B$10005&amp;'DMR 001C TIN &amp; TP'!$A$3:$A$10005),0),MATCH('Reg 85'!$K$11,'DMR 001C TIN &amp; TP'!$A$2:$M$2,0))),"")</f>
        <v/>
      </c>
      <c r="L175" s="53" t="str">
        <f t="shared" si="80"/>
        <v/>
      </c>
      <c r="M175" s="5" t="str">
        <f t="shared" si="69"/>
        <v/>
      </c>
      <c r="N175" s="6" t="str">
        <f t="array" ref="N175">_xlfn.IFNA((INDEX('DMR 001C TIN &amp; TP'!$A$3:$M$10005,MATCH(('Reg 85'!$I$6:$Q$6&amp;'Reg 85'!$M$10&amp;'Reg 85'!$B175),('DMR 001C TIN &amp; TP'!$E$3:$E$10005&amp;'DMR 001C TIN &amp; TP'!$B$3:$B$10005&amp;'DMR 001C TIN &amp; TP'!$A$3:$A$10005),0),MATCH('Reg 85'!$N$11,'DMR 001C TIN &amp; TP'!$A$2:$M$2,0))),"")</f>
        <v/>
      </c>
      <c r="O175" s="6" t="str">
        <f t="array" ref="O175">_xlfn.IFNA((INDEX('DMR 001C TIN &amp; TP'!$A$3:$M$10005,MATCH(('Reg 85'!$I$6:$Q$6&amp;'Reg 85'!$M$10&amp;'Reg 85'!$B175),('DMR 001C TIN &amp; TP'!$E$3:$E$10005&amp;'DMR 001C TIN &amp; TP'!$B$3:$B$10005&amp;'DMR 001C TIN &amp; TP'!$A$3:$A$10005),0),MATCH('Reg 85'!$O$11,'DMR 001C TIN &amp; TP'!$A$2:$M$2,0))),"")</f>
        <v/>
      </c>
      <c r="P175" s="53" t="str">
        <f t="shared" si="70"/>
        <v/>
      </c>
      <c r="Q175" s="73" t="str">
        <f t="array" ref="Q175">IFERROR(((L175*$F175)+(P175*$G175))/($H175),"")</f>
        <v/>
      </c>
      <c r="R175" s="6" t="str">
        <f t="array" ref="R175">_xlfn.IFNA((INDEX('DMR 001C TIN &amp; TP'!$A$3:$M$10005,MATCH(('Reg 85'!$I$6:$Q$6&amp;'Reg 85'!R$10&amp;'Reg 85'!$B175),('DMR 001C TIN &amp; TP'!$E$3:$E$10005&amp;'DMR 001C TIN &amp; TP'!$B$3:$B$10005&amp;'DMR 001C TIN &amp; TP'!$A$3:$A$10005),0),MATCH('Reg 85'!$O$11,'DMR 001C TIN &amp; TP'!$A$2:$M$2,0))),"")</f>
        <v/>
      </c>
      <c r="S175" s="6" t="str">
        <f t="array" ref="S175">_xlfn.IFNA((INDEX('DMR 001C TIN &amp; TP'!$A$3:$M$10005,MATCH(('Reg 85'!$I$6:$Q$6&amp;'Reg 85'!S$10&amp;'Reg 85'!$B175),('DMR 001C TIN &amp; TP'!$E$3:$E$10005&amp;'DMR 001C TIN &amp; TP'!$B$3:$B$10005&amp;'DMR 001C TIN &amp; TP'!$A$3:$A$10005),0),MATCH('Reg 85'!$O$11,'DMR 001C TIN &amp; TP'!$A$2:$M$2,0))),"")</f>
        <v/>
      </c>
      <c r="T175" s="6" t="str">
        <f t="array" ref="T175">_xlfn.IFNA((INDEX('DMR 001C TIN &amp; TP'!$A$3:$M$10005,MATCH(('Reg 85'!$I$6:$Q$6&amp;'Reg 85'!T$10&amp;'Reg 85'!$B175),('DMR 001C TIN &amp; TP'!$E$3:$E$10005&amp;'DMR 001C TIN &amp; TP'!$B$3:$B$10005&amp;'DMR 001C TIN &amp; TP'!$A$3:$A$10005),0),MATCH('Reg 85'!$O$11,'DMR 001C TIN &amp; TP'!$A$2:$M$2,0))),"")</f>
        <v/>
      </c>
      <c r="U175" s="6" t="str">
        <f t="array" ref="U175">_xlfn.IFNA((INDEX('DMR 001C TIN &amp; TP'!$A$3:$M$10005,MATCH(('Reg 85'!$I$6:$Q$6&amp;'Reg 85'!U$10&amp;'Reg 85'!$B175),('DMR 001C TIN &amp; TP'!$E$3:$E$10005&amp;'DMR 001C TIN &amp; TP'!$B$3:$B$10005&amp;'DMR 001C TIN &amp; TP'!$A$3:$A$10005),0),MATCH('Reg 85'!$O$11,'DMR 001C TIN &amp; TP'!$A$2:$M$2,0))),"")</f>
        <v/>
      </c>
      <c r="V175" s="6" t="str">
        <f t="array" ref="V175">_xlfn.IFNA((INDEX('DMR 001C TIN &amp; TP'!$A$3:$M$10005,MATCH(('Reg 85'!$I$6:$Q$6&amp;'Reg 85'!V$10&amp;'Reg 85'!$B175),('DMR 001C TIN &amp; TP'!$E$3:$E$10005&amp;'DMR 001C TIN &amp; TP'!$B$3:$B$10005&amp;'DMR 001C TIN &amp; TP'!$A$3:$A$10005),0),MATCH('Reg 85'!$O$11,'DMR 001C TIN &amp; TP'!$A$2:$M$2,0))),"")</f>
        <v/>
      </c>
      <c r="W175" s="6" t="str">
        <f t="array" ref="W175">_xlfn.IFNA((INDEX('DMR 001C TIN &amp; TP'!$A$3:$M$10005,MATCH(('Reg 85'!$I$6:$Q$6&amp;'Reg 85'!W$10&amp;'Reg 85'!$B175),('DMR 001C TIN &amp; TP'!$E$3:$E$10005&amp;'DMR 001C TIN &amp; TP'!$B$3:$B$10005&amp;'DMR 001C TIN &amp; TP'!$A$3:$A$10005),0),MATCH('Reg 85'!$O$11,'DMR 001C TIN &amp; TP'!$A$2:$M$2,0))),"")</f>
        <v/>
      </c>
      <c r="X175" s="5" t="str">
        <f t="shared" si="71"/>
        <v/>
      </c>
      <c r="Y175" s="6" t="str">
        <f t="array" ref="Y175">_xlfn.IFNA((INDEX('DMR 001C TIN &amp; TP'!$A$3:$M$10005,MATCH(('Reg 85'!$X$6&amp;'Reg 85'!$X$10&amp;'Reg 85'!$B175),('DMR 001C TIN &amp; TP'!$E$3:$E$10005&amp;'DMR 001C TIN &amp; TP'!$B$3:$B$10005&amp;'DMR 001C TIN &amp; TP'!$A$3:$A$10005),0),MATCH('Reg 85'!$Y$11,'DMR 001C TIN &amp; TP'!$A$2:$M$2,0))),"")</f>
        <v/>
      </c>
      <c r="Z175" s="6" t="str">
        <f t="array" ref="Z175">_xlfn.IFNA((INDEX('DMR 001C TIN &amp; TP'!$A$3:$M$10005,MATCH(('Reg 85'!$X$6&amp;'Reg 85'!$X$10&amp;'Reg 85'!$B175),('DMR 001C TIN &amp; TP'!$E$3:$E$10005&amp;'DMR 001C TIN &amp; TP'!$B$3:$B$10005&amp;'DMR 001C TIN &amp; TP'!$A$3:$A$10005),0),MATCH('Reg 85'!$Z$11,'DMR 001C TIN &amp; TP'!$A$2:$M$2,0))),"")</f>
        <v/>
      </c>
      <c r="AA175" s="53" t="str">
        <f t="shared" si="72"/>
        <v/>
      </c>
      <c r="AB175" s="5" t="str">
        <f t="shared" si="73"/>
        <v/>
      </c>
      <c r="AC175" s="6" t="str">
        <f t="array" ref="AC175">_xlfn.IFNA((INDEX('DMR 001C TIN &amp; TP'!$A$3:$M$10005,MATCH(('Reg 85'!$X$6&amp;'Reg 85'!$AB$10&amp;'Reg 85'!$B175),('DMR 001C TIN &amp; TP'!$E$3:$E$10005&amp;'DMR 001C TIN &amp; TP'!$B$3:$B$10005&amp;'DMR 001C TIN &amp; TP'!$A$3:$A$10005),0),MATCH('Reg 85'!$AC$11,'DMR 001C TIN &amp; TP'!$A$2:$M$2,0))),"")</f>
        <v/>
      </c>
      <c r="AD175" s="6" t="str">
        <f t="array" ref="AD175">_xlfn.IFNA((INDEX('DMR 001C TIN &amp; TP'!$A$3:$M$10005,MATCH(('Reg 85'!$X$6&amp;'Reg 85'!$AB$10&amp;'Reg 85'!$B175),('DMR 001C TIN &amp; TP'!$E$3:$E$10005&amp;'DMR 001C TIN &amp; TP'!$B$3:$B$10005&amp;'DMR 001C TIN &amp; TP'!$A$3:$A$10005),0),MATCH('Reg 85'!$AD$11,'DMR 001C TIN &amp; TP'!$A$2:$M$2,0))),"")</f>
        <v/>
      </c>
      <c r="AE175" s="53" t="str">
        <f t="shared" si="74"/>
        <v/>
      </c>
      <c r="AF175" s="7" t="str">
        <f t="shared" si="75"/>
        <v/>
      </c>
      <c r="AG175" s="6" t="str">
        <f t="array" ref="AG175">_xlfn.IFNA((INDEX('DMR 001C TIN &amp; TP'!$A$3:$M$10005,MATCH(('Reg 85'!$X$6&amp;'Reg 85'!AG$10&amp;'Reg 85'!$B175),('DMR 001C TIN &amp; TP'!$E$3:$E$10005&amp;'DMR 001C TIN &amp; TP'!$B$3:$B$10005&amp;'DMR 001C TIN &amp; TP'!$A$3:$A$10005),0),MATCH('Reg 85'!$AG$11,'DMR 001C TIN &amp; TP'!$A$2:$M$2,0))),"")</f>
        <v/>
      </c>
      <c r="AH175" s="6" t="str">
        <f t="array" ref="AH175">_xlfn.IFNA((INDEX('DMR 001C TIN &amp; TP'!$A$3:$M$10005,MATCH(('Reg 85'!$X$6&amp;'Reg 85'!AH$10&amp;'Reg 85'!$B175),('DMR 001C TIN &amp; TP'!$E$3:$E$10005&amp;'DMR 001C TIN &amp; TP'!$B$3:$B$10005&amp;'DMR 001C TIN &amp; TP'!$A$3:$A$10005),0),MATCH('Reg 85'!$AG$11,'DMR 001C TIN &amp; TP'!$A$2:$M$2,0))),"")</f>
        <v/>
      </c>
      <c r="AI175" s="6" t="str">
        <f t="array" ref="AI175">_xlfn.IFNA((INDEX('DMR 001C TIN &amp; TP'!$A$3:$M$10005,MATCH(('Reg 85'!$X$6&amp;'Reg 85'!AI$10&amp;'Reg 85'!$B175),('DMR 001C TIN &amp; TP'!$E$3:$E$10005&amp;'DMR 001C TIN &amp; TP'!$B$3:$B$10005&amp;'DMR 001C TIN &amp; TP'!$A$3:$A$10005),0),MATCH('Reg 85'!$AG$11,'DMR 001C TIN &amp; TP'!$A$2:$M$2,0))),"")</f>
        <v/>
      </c>
      <c r="AJ175" s="6" t="str">
        <f t="array" ref="AJ175">_xlfn.IFNA((INDEX('DMR 001C TIN &amp; TP'!$A$3:$M$10005,MATCH(('Reg 85'!$X$6&amp;'Reg 85'!AJ$10&amp;'Reg 85'!$B175),('DMR 001C TIN &amp; TP'!$E$3:$E$10005&amp;'DMR 001C TIN &amp; TP'!$B$3:$B$10005&amp;'DMR 001C TIN &amp; TP'!$A$3:$A$10005),0),MATCH('Reg 85'!$AG$11,'DMR 001C TIN &amp; TP'!$A$2:$M$2,0))),"")</f>
        <v/>
      </c>
      <c r="AK175" s="6" t="str">
        <f t="array" ref="AK175">_xlfn.IFNA((INDEX('DMR 001C TIN &amp; TP'!$A$3:$M$10005,MATCH(('Reg 85'!$X$6&amp;'Reg 85'!AK$10&amp;'Reg 85'!$B175),('DMR 001C TIN &amp; TP'!$E$3:$E$10005&amp;'DMR 001C TIN &amp; TP'!$B$3:$B$10005&amp;'DMR 001C TIN &amp; TP'!$A$3:$A$10005),0),MATCH('Reg 85'!$AG$11,'DMR 001C TIN &amp; TP'!$A$2:$M$2,0))),"")</f>
        <v/>
      </c>
      <c r="AL175" s="6" t="str">
        <f t="array" ref="AL175">_xlfn.IFNA((INDEX('DMR 001C TIN &amp; TP'!$A$3:$M$10005,MATCH(('Reg 85'!$X$6&amp;'Reg 85'!AL$10&amp;'Reg 85'!$B175),('DMR 001C TIN &amp; TP'!$E$3:$E$10005&amp;'DMR 001C TIN &amp; TP'!$B$3:$B$10005&amp;'DMR 001C TIN &amp; TP'!$A$3:$A$10005),0),MATCH('Reg 85'!$AG$11,'DMR 001C TIN &amp; TP'!$A$2:$M$2,0))),"")</f>
        <v/>
      </c>
      <c r="AM175" s="76"/>
      <c r="AN175" s="6"/>
      <c r="AO175" s="54" t="str">
        <f t="shared" si="62"/>
        <v/>
      </c>
      <c r="AP175" s="77" t="str">
        <f t="shared" si="81"/>
        <v/>
      </c>
      <c r="AQ175" s="47"/>
      <c r="AR175" s="6" t="str">
        <f t="array" ref="AR175">_xlfn.IFNA((INDEX('DMR 001C TIN &amp; TP'!$A$3:$M$10005,MATCH(('Reg 85'!$AQ$6&amp;'Reg 85'!$AQ$10&amp;'Reg 85'!$B175),('DMR 001C TIN &amp; TP'!$E$3:$E$10005&amp;'DMR 001C TIN &amp; TP'!$B$3:$B$10005&amp;'DMR 001C TIN &amp; TP'!$A$3:$A$10005),0),MATCH('Reg 85'!$AR$11,'DMR 001C TIN &amp; TP'!$A$2:$M$2,0))),"")</f>
        <v>0.03</v>
      </c>
      <c r="AS175" s="6">
        <f t="array" ref="AS175">_xlfn.IFNA((INDEX('DMR 001C TIN &amp; TP'!$A$3:$M$10005,MATCH(('Reg 85'!$AQ$6&amp;'Reg 85'!$AQ$10&amp;'Reg 85'!$B175),('DMR 001C TIN &amp; TP'!$E$3:$E$10005&amp;'DMR 001C TIN &amp; TP'!$B$3:$B$10005&amp;'DMR 001C TIN &amp; TP'!$A$3:$A$10005),0),MATCH('Reg 85'!$AS$11,'DMR 001C TIN &amp; TP'!$A$2:$M$2,0))),"")</f>
        <v>0.45</v>
      </c>
      <c r="AT175" s="53">
        <f t="shared" si="76"/>
        <v>0.45</v>
      </c>
      <c r="AV175" s="6" t="str">
        <f t="array" ref="AV175">_xlfn.IFNA((INDEX('DMR 001C TIN &amp; TP'!$A$3:$M$10005,MATCH(('Reg 85'!$AQ$6&amp;'Reg 85'!$AU$10&amp;'Reg 85'!$B175),('DMR 001C TIN &amp; TP'!$E$3:$E$10005&amp;'DMR 001C TIN &amp; TP'!$B$3:$B$10005&amp;'DMR 001C TIN &amp; TP'!$A$3:$A$10005),0),MATCH('Reg 85'!$AV$11,'DMR 001C TIN &amp; TP'!$A$2:$M$2,0))),"")</f>
        <v>0.06</v>
      </c>
      <c r="AW175" s="6">
        <f t="array" ref="AW175">_xlfn.IFNA((INDEX('DMR 001C TIN &amp; TP'!$A$3:$M$10005,MATCH(('Reg 85'!$AQ$6&amp;'Reg 85'!$AU$10&amp;'Reg 85'!$B175),('DMR 001C TIN &amp; TP'!$E$3:$E$10005&amp;'DMR 001C TIN &amp; TP'!$B$3:$B$10005&amp;'DMR 001C TIN &amp; TP'!$A$3:$A$10005),0),MATCH('Reg 85'!$AW$11,'DMR 001C TIN &amp; TP'!$A$2:$M$2,0))),"")</f>
        <v>3.97</v>
      </c>
      <c r="AX175" s="53">
        <f t="shared" si="77"/>
        <v>3.97</v>
      </c>
      <c r="AY175" s="55">
        <f t="shared" si="78"/>
        <v>2.3217434570372761</v>
      </c>
      <c r="AZ175" s="77" t="str">
        <f t="shared" si="82"/>
        <v/>
      </c>
      <c r="BA175" s="6" t="str">
        <f t="array" ref="BA175">_xlfn.IFNA((INDEX('DMR 001C TIN &amp; TP'!$A$3:$M$10005,MATCH(('Reg 85'!$AQ$6&amp;'Reg 85'!BA$10&amp;'Reg 85'!$B175),('DMR 001C TIN &amp; TP'!$E$3:$E$10005&amp;'DMR 001C TIN &amp; TP'!$B$3:$B$10005&amp;'DMR 001C TIN &amp; TP'!$A$3:$A$10005),0),MATCH('Reg 85'!$AG$11,'DMR 001C TIN &amp; TP'!$A$2:$M$2,0))),"")</f>
        <v/>
      </c>
      <c r="BB175" s="6" t="str">
        <f t="array" ref="BB175">_xlfn.IFNA((INDEX('DMR 001C TIN &amp; TP'!$A$3:$M$10005,MATCH(('Reg 85'!$AQ$6&amp;'Reg 85'!BB$10&amp;'Reg 85'!$B175),('DMR 001C TIN &amp; TP'!$E$3:$E$10005&amp;'DMR 001C TIN &amp; TP'!$B$3:$B$10005&amp;'DMR 001C TIN &amp; TP'!$A$3:$A$10005),0),MATCH('Reg 85'!$AG$11,'DMR 001C TIN &amp; TP'!$A$2:$M$2,0))),"")</f>
        <v/>
      </c>
      <c r="BC175" s="6" t="str">
        <f t="array" ref="BC175">_xlfn.IFNA((INDEX('DMR 001C TIN &amp; TP'!$A$3:$M$10005,MATCH(('Reg 85'!$AQ$6&amp;'Reg 85'!BC$10&amp;'Reg 85'!$B175),('DMR 001C TIN &amp; TP'!$E$3:$E$10005&amp;'DMR 001C TIN &amp; TP'!$B$3:$B$10005&amp;'DMR 001C TIN &amp; TP'!$A$3:$A$10005),0),MATCH('Reg 85'!$AG$11,'DMR 001C TIN &amp; TP'!$A$2:$M$2,0))),"")</f>
        <v/>
      </c>
      <c r="BD175" s="6" t="str">
        <f t="array" ref="BD175">_xlfn.IFNA((INDEX('DMR 001C TIN &amp; TP'!$A$3:$M$10005,MATCH(('Reg 85'!$AQ$6&amp;'Reg 85'!BD$10&amp;'Reg 85'!$B175),('DMR 001C TIN &amp; TP'!$E$3:$E$10005&amp;'DMR 001C TIN &amp; TP'!$B$3:$B$10005&amp;'DMR 001C TIN &amp; TP'!$A$3:$A$10005),0),MATCH('Reg 85'!$AG$11,'DMR 001C TIN &amp; TP'!$A$2:$M$2,0))),"")</f>
        <v/>
      </c>
      <c r="BE175" s="6" t="str">
        <f t="array" ref="BE175">_xlfn.IFNA((INDEX('DMR 001C TIN &amp; TP'!$A$3:$M$10005,MATCH(('Reg 85'!$AQ$6&amp;'Reg 85'!BE$10&amp;'Reg 85'!$B175),('DMR 001C TIN &amp; TP'!$E$3:$E$10005&amp;'DMR 001C TIN &amp; TP'!$B$3:$B$10005&amp;'DMR 001C TIN &amp; TP'!$A$3:$A$10005),0),MATCH('Reg 85'!$AG$11,'DMR 001C TIN &amp; TP'!$A$2:$M$2,0))),"")</f>
        <v/>
      </c>
      <c r="BF175" s="6" t="str">
        <f t="array" ref="BF175">_xlfn.IFNA((INDEX('DMR 001C TIN &amp; TP'!$A$3:$M$10005,MATCH(('Reg 85'!$AQ$6&amp;'Reg 85'!BF$10&amp;'Reg 85'!$B175),('DMR 001C TIN &amp; TP'!$E$3:$E$10005&amp;'DMR 001C TIN &amp; TP'!$B$3:$B$10005&amp;'DMR 001C TIN &amp; TP'!$A$3:$A$10005),0),MATCH('Reg 85'!$AG$11,'DMR 001C TIN &amp; TP'!$A$2:$M$2,0))),"")</f>
        <v/>
      </c>
    </row>
    <row r="176" spans="1:58">
      <c r="A176" s="3" t="str">
        <f t="shared" si="63"/>
        <v>Tue</v>
      </c>
      <c r="B176" s="96">
        <f t="shared" si="79"/>
        <v>43508</v>
      </c>
      <c r="C176" s="96">
        <f t="shared" si="64"/>
        <v>43524</v>
      </c>
      <c r="D176" s="96">
        <f t="shared" si="65"/>
        <v>43497</v>
      </c>
      <c r="E176" s="95">
        <f t="shared" si="66"/>
        <v>28</v>
      </c>
      <c r="F176" s="7">
        <f t="array" ref="F176">_xlfn.IFNA(INDEX('DMR Flows-Effluent'!$A$3:$F$9999,MATCH(($F$10&amp;$B176),('DMR Flows-Effluent'!$B$3:$B$9999&amp;'DMR Flows-Effluent'!$A$3:$A$9999),0),MATCH($F$8,'DMR Flows-Effluent'!$A$2:$F$2,0)),"")</f>
        <v>61.2027</v>
      </c>
      <c r="G176" s="7">
        <f t="array" ref="G176">_xlfn.IFNA(INDEX('DMR Flows-Effluent'!$A$3:$F$9999,MATCH(($G$10&amp;$B176),('DMR Flows-Effluent'!$B$3:$B$9999&amp;'DMR Flows-Effluent'!$A$3:$A$9999),0),MATCH($F$8,'DMR Flows-Effluent'!$A$2:$F$2,0)),"")</f>
        <v>65.6922</v>
      </c>
      <c r="H176" s="7">
        <f t="shared" si="67"/>
        <v>126.89490000000001</v>
      </c>
      <c r="I176" s="45" t="str">
        <f t="shared" si="68"/>
        <v/>
      </c>
      <c r="J176" s="6" t="str">
        <f t="array" ref="J176">_xlfn.IFNA((INDEX('DMR 001C TIN &amp; TP'!$A$3:$M$10005,MATCH(('Reg 85'!$I$6:$Q$6&amp;'Reg 85'!$I$10:$K$10&amp;'Reg 85'!$B176),('DMR 001C TIN &amp; TP'!$E$3:$E$10005&amp;'DMR 001C TIN &amp; TP'!$B$3:$B$10005&amp;'DMR 001C TIN &amp; TP'!$A$3:$A$10005),0),MATCH('Reg 85'!$J$11,'DMR 001C TIN &amp; TP'!$A$2:$M$2,0))),"")</f>
        <v>0.15</v>
      </c>
      <c r="K176" s="6">
        <f t="array" ref="K176">_xlfn.IFNA((INDEX('DMR 001C TIN &amp; TP'!$A$3:$M$10005,MATCH(('Reg 85'!$I$6:$Q$6&amp;'Reg 85'!$I$10:$K$10&amp;'Reg 85'!$B176),('DMR 001C TIN &amp; TP'!$E$3:$E$10005&amp;'DMR 001C TIN &amp; TP'!$B$3:$B$10005&amp;'DMR 001C TIN &amp; TP'!$A$3:$A$10005),0),MATCH('Reg 85'!$K$11,'DMR 001C TIN &amp; TP'!$A$2:$M$2,0))),"")</f>
        <v>0.28000000000000003</v>
      </c>
      <c r="L176" s="53">
        <f t="shared" si="80"/>
        <v>0.28000000000000003</v>
      </c>
      <c r="M176" s="5" t="str">
        <f t="shared" si="69"/>
        <v/>
      </c>
      <c r="N176" s="6" t="str">
        <f t="array" ref="N176">_xlfn.IFNA((INDEX('DMR 001C TIN &amp; TP'!$A$3:$M$10005,MATCH(('Reg 85'!$I$6:$Q$6&amp;'Reg 85'!$M$10&amp;'Reg 85'!$B176),('DMR 001C TIN &amp; TP'!$E$3:$E$10005&amp;'DMR 001C TIN &amp; TP'!$B$3:$B$10005&amp;'DMR 001C TIN &amp; TP'!$A$3:$A$10005),0),MATCH('Reg 85'!$N$11,'DMR 001C TIN &amp; TP'!$A$2:$M$2,0))),"")</f>
        <v>0.15</v>
      </c>
      <c r="O176" s="6">
        <f t="array" ref="O176">_xlfn.IFNA((INDEX('DMR 001C TIN &amp; TP'!$A$3:$M$10005,MATCH(('Reg 85'!$I$6:$Q$6&amp;'Reg 85'!$M$10&amp;'Reg 85'!$B176),('DMR 001C TIN &amp; TP'!$E$3:$E$10005&amp;'DMR 001C TIN &amp; TP'!$B$3:$B$10005&amp;'DMR 001C TIN &amp; TP'!$A$3:$A$10005),0),MATCH('Reg 85'!$O$11,'DMR 001C TIN &amp; TP'!$A$2:$M$2,0))),"")</f>
        <v>0.24</v>
      </c>
      <c r="P176" s="53">
        <f t="shared" si="70"/>
        <v>0.24</v>
      </c>
      <c r="Q176" s="73">
        <f t="array" ref="Q176">IFERROR(((L176*$F176)+(P176*$G176))/($H176),"")</f>
        <v>0.25929240655061786</v>
      </c>
      <c r="R176" s="6" t="str">
        <f t="array" ref="R176">_xlfn.IFNA((INDEX('DMR 001C TIN &amp; TP'!$A$3:$M$10005,MATCH(('Reg 85'!$I$6:$Q$6&amp;'Reg 85'!R$10&amp;'Reg 85'!$B176),('DMR 001C TIN &amp; TP'!$E$3:$E$10005&amp;'DMR 001C TIN &amp; TP'!$B$3:$B$10005&amp;'DMR 001C TIN &amp; TP'!$A$3:$A$10005),0),MATCH('Reg 85'!$O$11,'DMR 001C TIN &amp; TP'!$A$2:$M$2,0))),"")</f>
        <v/>
      </c>
      <c r="S176" s="6" t="str">
        <f t="array" ref="S176">_xlfn.IFNA((INDEX('DMR 001C TIN &amp; TP'!$A$3:$M$10005,MATCH(('Reg 85'!$I$6:$Q$6&amp;'Reg 85'!S$10&amp;'Reg 85'!$B176),('DMR 001C TIN &amp; TP'!$E$3:$E$10005&amp;'DMR 001C TIN &amp; TP'!$B$3:$B$10005&amp;'DMR 001C TIN &amp; TP'!$A$3:$A$10005),0),MATCH('Reg 85'!$O$11,'DMR 001C TIN &amp; TP'!$A$2:$M$2,0))),"")</f>
        <v/>
      </c>
      <c r="T176" s="6" t="str">
        <f t="array" ref="T176">_xlfn.IFNA((INDEX('DMR 001C TIN &amp; TP'!$A$3:$M$10005,MATCH(('Reg 85'!$I$6:$Q$6&amp;'Reg 85'!T$10&amp;'Reg 85'!$B176),('DMR 001C TIN &amp; TP'!$E$3:$E$10005&amp;'DMR 001C TIN &amp; TP'!$B$3:$B$10005&amp;'DMR 001C TIN &amp; TP'!$A$3:$A$10005),0),MATCH('Reg 85'!$O$11,'DMR 001C TIN &amp; TP'!$A$2:$M$2,0))),"")</f>
        <v/>
      </c>
      <c r="U176" s="6" t="str">
        <f t="array" ref="U176">_xlfn.IFNA((INDEX('DMR 001C TIN &amp; TP'!$A$3:$M$10005,MATCH(('Reg 85'!$I$6:$Q$6&amp;'Reg 85'!U$10&amp;'Reg 85'!$B176),('DMR 001C TIN &amp; TP'!$E$3:$E$10005&amp;'DMR 001C TIN &amp; TP'!$B$3:$B$10005&amp;'DMR 001C TIN &amp; TP'!$A$3:$A$10005),0),MATCH('Reg 85'!$O$11,'DMR 001C TIN &amp; TP'!$A$2:$M$2,0))),"")</f>
        <v/>
      </c>
      <c r="V176" s="6" t="str">
        <f t="array" ref="V176">_xlfn.IFNA((INDEX('DMR 001C TIN &amp; TP'!$A$3:$M$10005,MATCH(('Reg 85'!$I$6:$Q$6&amp;'Reg 85'!V$10&amp;'Reg 85'!$B176),('DMR 001C TIN &amp; TP'!$E$3:$E$10005&amp;'DMR 001C TIN &amp; TP'!$B$3:$B$10005&amp;'DMR 001C TIN &amp; TP'!$A$3:$A$10005),0),MATCH('Reg 85'!$O$11,'DMR 001C TIN &amp; TP'!$A$2:$M$2,0))),"")</f>
        <v/>
      </c>
      <c r="W176" s="6" t="str">
        <f t="array" ref="W176">_xlfn.IFNA((INDEX('DMR 001C TIN &amp; TP'!$A$3:$M$10005,MATCH(('Reg 85'!$I$6:$Q$6&amp;'Reg 85'!W$10&amp;'Reg 85'!$B176),('DMR 001C TIN &amp; TP'!$E$3:$E$10005&amp;'DMR 001C TIN &amp; TP'!$B$3:$B$10005&amp;'DMR 001C TIN &amp; TP'!$A$3:$A$10005),0),MATCH('Reg 85'!$O$11,'DMR 001C TIN &amp; TP'!$A$2:$M$2,0))),"")</f>
        <v/>
      </c>
      <c r="X176" s="5" t="str">
        <f t="shared" si="71"/>
        <v/>
      </c>
      <c r="Y176" s="6" t="str">
        <f t="array" ref="Y176">_xlfn.IFNA((INDEX('DMR 001C TIN &amp; TP'!$A$3:$M$10005,MATCH(('Reg 85'!$X$6&amp;'Reg 85'!$X$10&amp;'Reg 85'!$B176),('DMR 001C TIN &amp; TP'!$E$3:$E$10005&amp;'DMR 001C TIN &amp; TP'!$B$3:$B$10005&amp;'DMR 001C TIN &amp; TP'!$A$3:$A$10005),0),MATCH('Reg 85'!$Y$11,'DMR 001C TIN &amp; TP'!$A$2:$M$2,0))),"")</f>
        <v>0.06</v>
      </c>
      <c r="Z176" s="6">
        <f t="array" ref="Z176">_xlfn.IFNA((INDEX('DMR 001C TIN &amp; TP'!$A$3:$M$10005,MATCH(('Reg 85'!$X$6&amp;'Reg 85'!$X$10&amp;'Reg 85'!$B176),('DMR 001C TIN &amp; TP'!$E$3:$E$10005&amp;'DMR 001C TIN &amp; TP'!$B$3:$B$10005&amp;'DMR 001C TIN &amp; TP'!$A$3:$A$10005),0),MATCH('Reg 85'!$Z$11,'DMR 001C TIN &amp; TP'!$A$2:$M$2,0))),"")</f>
        <v>5.2</v>
      </c>
      <c r="AA176" s="53">
        <f t="shared" si="72"/>
        <v>5.2</v>
      </c>
      <c r="AB176" s="5" t="str">
        <f t="shared" si="73"/>
        <v/>
      </c>
      <c r="AC176" s="6" t="str">
        <f t="array" ref="AC176">_xlfn.IFNA((INDEX('DMR 001C TIN &amp; TP'!$A$3:$M$10005,MATCH(('Reg 85'!$X$6&amp;'Reg 85'!$AB$10&amp;'Reg 85'!$B176),('DMR 001C TIN &amp; TP'!$E$3:$E$10005&amp;'DMR 001C TIN &amp; TP'!$B$3:$B$10005&amp;'DMR 001C TIN &amp; TP'!$A$3:$A$10005),0),MATCH('Reg 85'!$AC$11,'DMR 001C TIN &amp; TP'!$A$2:$M$2,0))),"")</f>
        <v>0.06</v>
      </c>
      <c r="AD176" s="6">
        <f t="array" ref="AD176">_xlfn.IFNA((INDEX('DMR 001C TIN &amp; TP'!$A$3:$M$10005,MATCH(('Reg 85'!$X$6&amp;'Reg 85'!$AB$10&amp;'Reg 85'!$B176),('DMR 001C TIN &amp; TP'!$E$3:$E$10005&amp;'DMR 001C TIN &amp; TP'!$B$3:$B$10005&amp;'DMR 001C TIN &amp; TP'!$A$3:$A$10005),0),MATCH('Reg 85'!$AD$11,'DMR 001C TIN &amp; TP'!$A$2:$M$2,0))),"")</f>
        <v>6.35</v>
      </c>
      <c r="AE176" s="53">
        <f t="shared" si="74"/>
        <v>6.35</v>
      </c>
      <c r="AF176" s="7">
        <f t="shared" si="75"/>
        <v>5.7953433116697353</v>
      </c>
      <c r="AG176" s="6" t="str">
        <f t="array" ref="AG176">_xlfn.IFNA((INDEX('DMR 001C TIN &amp; TP'!$A$3:$M$10005,MATCH(('Reg 85'!$X$6&amp;'Reg 85'!AG$10&amp;'Reg 85'!$B176),('DMR 001C TIN &amp; TP'!$E$3:$E$10005&amp;'DMR 001C TIN &amp; TP'!$B$3:$B$10005&amp;'DMR 001C TIN &amp; TP'!$A$3:$A$10005),0),MATCH('Reg 85'!$AG$11,'DMR 001C TIN &amp; TP'!$A$2:$M$2,0))),"")</f>
        <v/>
      </c>
      <c r="AH176" s="6" t="str">
        <f t="array" ref="AH176">_xlfn.IFNA((INDEX('DMR 001C TIN &amp; TP'!$A$3:$M$10005,MATCH(('Reg 85'!$X$6&amp;'Reg 85'!AH$10&amp;'Reg 85'!$B176),('DMR 001C TIN &amp; TP'!$E$3:$E$10005&amp;'DMR 001C TIN &amp; TP'!$B$3:$B$10005&amp;'DMR 001C TIN &amp; TP'!$A$3:$A$10005),0),MATCH('Reg 85'!$AG$11,'DMR 001C TIN &amp; TP'!$A$2:$M$2,0))),"")</f>
        <v/>
      </c>
      <c r="AI176" s="6" t="str">
        <f t="array" ref="AI176">_xlfn.IFNA((INDEX('DMR 001C TIN &amp; TP'!$A$3:$M$10005,MATCH(('Reg 85'!$X$6&amp;'Reg 85'!AI$10&amp;'Reg 85'!$B176),('DMR 001C TIN &amp; TP'!$E$3:$E$10005&amp;'DMR 001C TIN &amp; TP'!$B$3:$B$10005&amp;'DMR 001C TIN &amp; TP'!$A$3:$A$10005),0),MATCH('Reg 85'!$AG$11,'DMR 001C TIN &amp; TP'!$A$2:$M$2,0))),"")</f>
        <v/>
      </c>
      <c r="AJ176" s="6" t="str">
        <f t="array" ref="AJ176">_xlfn.IFNA((INDEX('DMR 001C TIN &amp; TP'!$A$3:$M$10005,MATCH(('Reg 85'!$X$6&amp;'Reg 85'!AJ$10&amp;'Reg 85'!$B176),('DMR 001C TIN &amp; TP'!$E$3:$E$10005&amp;'DMR 001C TIN &amp; TP'!$B$3:$B$10005&amp;'DMR 001C TIN &amp; TP'!$A$3:$A$10005),0),MATCH('Reg 85'!$AG$11,'DMR 001C TIN &amp; TP'!$A$2:$M$2,0))),"")</f>
        <v/>
      </c>
      <c r="AK176" s="6" t="str">
        <f t="array" ref="AK176">_xlfn.IFNA((INDEX('DMR 001C TIN &amp; TP'!$A$3:$M$10005,MATCH(('Reg 85'!$X$6&amp;'Reg 85'!AK$10&amp;'Reg 85'!$B176),('DMR 001C TIN &amp; TP'!$E$3:$E$10005&amp;'DMR 001C TIN &amp; TP'!$B$3:$B$10005&amp;'DMR 001C TIN &amp; TP'!$A$3:$A$10005),0),MATCH('Reg 85'!$AG$11,'DMR 001C TIN &amp; TP'!$A$2:$M$2,0))),"")</f>
        <v/>
      </c>
      <c r="AL176" s="6" t="str">
        <f t="array" ref="AL176">_xlfn.IFNA((INDEX('DMR 001C TIN &amp; TP'!$A$3:$M$10005,MATCH(('Reg 85'!$X$6&amp;'Reg 85'!AL$10&amp;'Reg 85'!$B176),('DMR 001C TIN &amp; TP'!$E$3:$E$10005&amp;'DMR 001C TIN &amp; TP'!$B$3:$B$10005&amp;'DMR 001C TIN &amp; TP'!$A$3:$A$10005),0),MATCH('Reg 85'!$AG$11,'DMR 001C TIN &amp; TP'!$A$2:$M$2,0))),"")</f>
        <v/>
      </c>
      <c r="AM176" s="76"/>
      <c r="AN176" s="6"/>
      <c r="AO176" s="54">
        <f t="shared" si="62"/>
        <v>6.0546357182203527</v>
      </c>
      <c r="AP176" s="77" t="str">
        <f t="shared" si="81"/>
        <v/>
      </c>
      <c r="AQ176" s="47"/>
      <c r="AR176" s="6" t="str">
        <f t="array" ref="AR176">_xlfn.IFNA((INDEX('DMR 001C TIN &amp; TP'!$A$3:$M$10005,MATCH(('Reg 85'!$AQ$6&amp;'Reg 85'!$AQ$10&amp;'Reg 85'!$B176),('DMR 001C TIN &amp; TP'!$E$3:$E$10005&amp;'DMR 001C TIN &amp; TP'!$B$3:$B$10005&amp;'DMR 001C TIN &amp; TP'!$A$3:$A$10005),0),MATCH('Reg 85'!$AR$11,'DMR 001C TIN &amp; TP'!$A$2:$M$2,0))),"")</f>
        <v/>
      </c>
      <c r="AS176" s="6" t="str">
        <f t="array" ref="AS176">_xlfn.IFNA((INDEX('DMR 001C TIN &amp; TP'!$A$3:$M$10005,MATCH(('Reg 85'!$AQ$6&amp;'Reg 85'!$AQ$10&amp;'Reg 85'!$B176),('DMR 001C TIN &amp; TP'!$E$3:$E$10005&amp;'DMR 001C TIN &amp; TP'!$B$3:$B$10005&amp;'DMR 001C TIN &amp; TP'!$A$3:$A$10005),0),MATCH('Reg 85'!$AS$11,'DMR 001C TIN &amp; TP'!$A$2:$M$2,0))),"")</f>
        <v/>
      </c>
      <c r="AT176" s="53" t="str">
        <f t="shared" si="76"/>
        <v/>
      </c>
      <c r="AV176" s="6" t="str">
        <f t="array" ref="AV176">_xlfn.IFNA((INDEX('DMR 001C TIN &amp; TP'!$A$3:$M$10005,MATCH(('Reg 85'!$AQ$6&amp;'Reg 85'!$AU$10&amp;'Reg 85'!$B176),('DMR 001C TIN &amp; TP'!$E$3:$E$10005&amp;'DMR 001C TIN &amp; TP'!$B$3:$B$10005&amp;'DMR 001C TIN &amp; TP'!$A$3:$A$10005),0),MATCH('Reg 85'!$AV$11,'DMR 001C TIN &amp; TP'!$A$2:$M$2,0))),"")</f>
        <v/>
      </c>
      <c r="AW176" s="6" t="str">
        <f t="array" ref="AW176">_xlfn.IFNA((INDEX('DMR 001C TIN &amp; TP'!$A$3:$M$10005,MATCH(('Reg 85'!$AQ$6&amp;'Reg 85'!$AU$10&amp;'Reg 85'!$B176),('DMR 001C TIN &amp; TP'!$E$3:$E$10005&amp;'DMR 001C TIN &amp; TP'!$B$3:$B$10005&amp;'DMR 001C TIN &amp; TP'!$A$3:$A$10005),0),MATCH('Reg 85'!$AW$11,'DMR 001C TIN &amp; TP'!$A$2:$M$2,0))),"")</f>
        <v/>
      </c>
      <c r="AX176" s="53" t="str">
        <f t="shared" si="77"/>
        <v/>
      </c>
      <c r="AY176" s="55" t="str">
        <f t="shared" si="78"/>
        <v/>
      </c>
      <c r="AZ176" s="77" t="str">
        <f t="shared" si="82"/>
        <v/>
      </c>
      <c r="BA176" s="6" t="str">
        <f t="array" ref="BA176">_xlfn.IFNA((INDEX('DMR 001C TIN &amp; TP'!$A$3:$M$10005,MATCH(('Reg 85'!$AQ$6&amp;'Reg 85'!BA$10&amp;'Reg 85'!$B176),('DMR 001C TIN &amp; TP'!$E$3:$E$10005&amp;'DMR 001C TIN &amp; TP'!$B$3:$B$10005&amp;'DMR 001C TIN &amp; TP'!$A$3:$A$10005),0),MATCH('Reg 85'!$AG$11,'DMR 001C TIN &amp; TP'!$A$2:$M$2,0))),"")</f>
        <v/>
      </c>
      <c r="BB176" s="6" t="str">
        <f t="array" ref="BB176">_xlfn.IFNA((INDEX('DMR 001C TIN &amp; TP'!$A$3:$M$10005,MATCH(('Reg 85'!$AQ$6&amp;'Reg 85'!BB$10&amp;'Reg 85'!$B176),('DMR 001C TIN &amp; TP'!$E$3:$E$10005&amp;'DMR 001C TIN &amp; TP'!$B$3:$B$10005&amp;'DMR 001C TIN &amp; TP'!$A$3:$A$10005),0),MATCH('Reg 85'!$AG$11,'DMR 001C TIN &amp; TP'!$A$2:$M$2,0))),"")</f>
        <v/>
      </c>
      <c r="BC176" s="6" t="str">
        <f t="array" ref="BC176">_xlfn.IFNA((INDEX('DMR 001C TIN &amp; TP'!$A$3:$M$10005,MATCH(('Reg 85'!$AQ$6&amp;'Reg 85'!BC$10&amp;'Reg 85'!$B176),('DMR 001C TIN &amp; TP'!$E$3:$E$10005&amp;'DMR 001C TIN &amp; TP'!$B$3:$B$10005&amp;'DMR 001C TIN &amp; TP'!$A$3:$A$10005),0),MATCH('Reg 85'!$AG$11,'DMR 001C TIN &amp; TP'!$A$2:$M$2,0))),"")</f>
        <v/>
      </c>
      <c r="BD176" s="6" t="str">
        <f t="array" ref="BD176">_xlfn.IFNA((INDEX('DMR 001C TIN &amp; TP'!$A$3:$M$10005,MATCH(('Reg 85'!$AQ$6&amp;'Reg 85'!BD$10&amp;'Reg 85'!$B176),('DMR 001C TIN &amp; TP'!$E$3:$E$10005&amp;'DMR 001C TIN &amp; TP'!$B$3:$B$10005&amp;'DMR 001C TIN &amp; TP'!$A$3:$A$10005),0),MATCH('Reg 85'!$AG$11,'DMR 001C TIN &amp; TP'!$A$2:$M$2,0))),"")</f>
        <v/>
      </c>
      <c r="BE176" s="6" t="str">
        <f t="array" ref="BE176">_xlfn.IFNA((INDEX('DMR 001C TIN &amp; TP'!$A$3:$M$10005,MATCH(('Reg 85'!$AQ$6&amp;'Reg 85'!BE$10&amp;'Reg 85'!$B176),('DMR 001C TIN &amp; TP'!$E$3:$E$10005&amp;'DMR 001C TIN &amp; TP'!$B$3:$B$10005&amp;'DMR 001C TIN &amp; TP'!$A$3:$A$10005),0),MATCH('Reg 85'!$AG$11,'DMR 001C TIN &amp; TP'!$A$2:$M$2,0))),"")</f>
        <v/>
      </c>
      <c r="BF176" s="6" t="str">
        <f t="array" ref="BF176">_xlfn.IFNA((INDEX('DMR 001C TIN &amp; TP'!$A$3:$M$10005,MATCH(('Reg 85'!$AQ$6&amp;'Reg 85'!BF$10&amp;'Reg 85'!$B176),('DMR 001C TIN &amp; TP'!$E$3:$E$10005&amp;'DMR 001C TIN &amp; TP'!$B$3:$B$10005&amp;'DMR 001C TIN &amp; TP'!$A$3:$A$10005),0),MATCH('Reg 85'!$AG$11,'DMR 001C TIN &amp; TP'!$A$2:$M$2,0))),"")</f>
        <v/>
      </c>
    </row>
    <row r="177" spans="1:58">
      <c r="A177" s="3" t="str">
        <f t="shared" si="63"/>
        <v>Wed</v>
      </c>
      <c r="B177" s="96">
        <f t="shared" si="79"/>
        <v>43509</v>
      </c>
      <c r="C177" s="96">
        <f t="shared" si="64"/>
        <v>43524</v>
      </c>
      <c r="D177" s="96">
        <f t="shared" si="65"/>
        <v>43497</v>
      </c>
      <c r="E177" s="95">
        <f t="shared" si="66"/>
        <v>28</v>
      </c>
      <c r="F177" s="7">
        <f t="array" ref="F177">_xlfn.IFNA(INDEX('DMR Flows-Effluent'!$A$3:$F$9999,MATCH(($F$10&amp;$B177),('DMR Flows-Effluent'!$B$3:$B$9999&amp;'DMR Flows-Effluent'!$A$3:$A$9999),0),MATCH($F$8,'DMR Flows-Effluent'!$A$2:$F$2,0)),"")</f>
        <v>58.713900000000002</v>
      </c>
      <c r="G177" s="7">
        <f t="array" ref="G177">_xlfn.IFNA(INDEX('DMR Flows-Effluent'!$A$3:$F$9999,MATCH(($G$10&amp;$B177),('DMR Flows-Effluent'!$B$3:$B$9999&amp;'DMR Flows-Effluent'!$A$3:$A$9999),0),MATCH($F$8,'DMR Flows-Effluent'!$A$2:$F$2,0)),"")</f>
        <v>62.348199999999999</v>
      </c>
      <c r="H177" s="7">
        <f t="shared" si="67"/>
        <v>121.0621</v>
      </c>
      <c r="I177" s="45" t="str">
        <f t="shared" si="68"/>
        <v/>
      </c>
      <c r="J177" s="6" t="str">
        <f t="array" ref="J177">_xlfn.IFNA((INDEX('DMR 001C TIN &amp; TP'!$A$3:$M$10005,MATCH(('Reg 85'!$I$6:$Q$6&amp;'Reg 85'!$I$10:$K$10&amp;'Reg 85'!$B177),('DMR 001C TIN &amp; TP'!$E$3:$E$10005&amp;'DMR 001C TIN &amp; TP'!$B$3:$B$10005&amp;'DMR 001C TIN &amp; TP'!$A$3:$A$10005),0),MATCH('Reg 85'!$J$11,'DMR 001C TIN &amp; TP'!$A$2:$M$2,0))),"")</f>
        <v>0.15</v>
      </c>
      <c r="K177" s="6">
        <f t="array" ref="K177">_xlfn.IFNA((INDEX('DMR 001C TIN &amp; TP'!$A$3:$M$10005,MATCH(('Reg 85'!$I$6:$Q$6&amp;'Reg 85'!$I$10:$K$10&amp;'Reg 85'!$B177),('DMR 001C TIN &amp; TP'!$E$3:$E$10005&amp;'DMR 001C TIN &amp; TP'!$B$3:$B$10005&amp;'DMR 001C TIN &amp; TP'!$A$3:$A$10005),0),MATCH('Reg 85'!$K$11,'DMR 001C TIN &amp; TP'!$A$2:$M$2,0))),"")</f>
        <v>0.41</v>
      </c>
      <c r="L177" s="53">
        <f t="shared" si="80"/>
        <v>0.41</v>
      </c>
      <c r="M177" s="5" t="str">
        <f t="shared" si="69"/>
        <v/>
      </c>
      <c r="N177" s="6" t="str">
        <f t="array" ref="N177">_xlfn.IFNA((INDEX('DMR 001C TIN &amp; TP'!$A$3:$M$10005,MATCH(('Reg 85'!$I$6:$Q$6&amp;'Reg 85'!$M$10&amp;'Reg 85'!$B177),('DMR 001C TIN &amp; TP'!$E$3:$E$10005&amp;'DMR 001C TIN &amp; TP'!$B$3:$B$10005&amp;'DMR 001C TIN &amp; TP'!$A$3:$A$10005),0),MATCH('Reg 85'!$N$11,'DMR 001C TIN &amp; TP'!$A$2:$M$2,0))),"")</f>
        <v>0.15</v>
      </c>
      <c r="O177" s="6">
        <f t="array" ref="O177">_xlfn.IFNA((INDEX('DMR 001C TIN &amp; TP'!$A$3:$M$10005,MATCH(('Reg 85'!$I$6:$Q$6&amp;'Reg 85'!$M$10&amp;'Reg 85'!$B177),('DMR 001C TIN &amp; TP'!$E$3:$E$10005&amp;'DMR 001C TIN &amp; TP'!$B$3:$B$10005&amp;'DMR 001C TIN &amp; TP'!$A$3:$A$10005),0),MATCH('Reg 85'!$O$11,'DMR 001C TIN &amp; TP'!$A$2:$M$2,0))),"")</f>
        <v>0.42</v>
      </c>
      <c r="P177" s="53">
        <f t="shared" si="70"/>
        <v>0.42</v>
      </c>
      <c r="Q177" s="73">
        <f t="array" ref="Q177">IFERROR(((L177*$F177)+(P177*$G177))/($H177),"")</f>
        <v>0.41515010065082303</v>
      </c>
      <c r="R177" s="6" t="str">
        <f t="array" ref="R177">_xlfn.IFNA((INDEX('DMR 001C TIN &amp; TP'!$A$3:$M$10005,MATCH(('Reg 85'!$I$6:$Q$6&amp;'Reg 85'!R$10&amp;'Reg 85'!$B177),('DMR 001C TIN &amp; TP'!$E$3:$E$10005&amp;'DMR 001C TIN &amp; TP'!$B$3:$B$10005&amp;'DMR 001C TIN &amp; TP'!$A$3:$A$10005),0),MATCH('Reg 85'!$O$11,'DMR 001C TIN &amp; TP'!$A$2:$M$2,0))),"")</f>
        <v/>
      </c>
      <c r="S177" s="6" t="str">
        <f t="array" ref="S177">_xlfn.IFNA((INDEX('DMR 001C TIN &amp; TP'!$A$3:$M$10005,MATCH(('Reg 85'!$I$6:$Q$6&amp;'Reg 85'!S$10&amp;'Reg 85'!$B177),('DMR 001C TIN &amp; TP'!$E$3:$E$10005&amp;'DMR 001C TIN &amp; TP'!$B$3:$B$10005&amp;'DMR 001C TIN &amp; TP'!$A$3:$A$10005),0),MATCH('Reg 85'!$O$11,'DMR 001C TIN &amp; TP'!$A$2:$M$2,0))),"")</f>
        <v/>
      </c>
      <c r="T177" s="6" t="str">
        <f t="array" ref="T177">_xlfn.IFNA((INDEX('DMR 001C TIN &amp; TP'!$A$3:$M$10005,MATCH(('Reg 85'!$I$6:$Q$6&amp;'Reg 85'!T$10&amp;'Reg 85'!$B177),('DMR 001C TIN &amp; TP'!$E$3:$E$10005&amp;'DMR 001C TIN &amp; TP'!$B$3:$B$10005&amp;'DMR 001C TIN &amp; TP'!$A$3:$A$10005),0),MATCH('Reg 85'!$O$11,'DMR 001C TIN &amp; TP'!$A$2:$M$2,0))),"")</f>
        <v/>
      </c>
      <c r="U177" s="6" t="str">
        <f t="array" ref="U177">_xlfn.IFNA((INDEX('DMR 001C TIN &amp; TP'!$A$3:$M$10005,MATCH(('Reg 85'!$I$6:$Q$6&amp;'Reg 85'!U$10&amp;'Reg 85'!$B177),('DMR 001C TIN &amp; TP'!$E$3:$E$10005&amp;'DMR 001C TIN &amp; TP'!$B$3:$B$10005&amp;'DMR 001C TIN &amp; TP'!$A$3:$A$10005),0),MATCH('Reg 85'!$O$11,'DMR 001C TIN &amp; TP'!$A$2:$M$2,0))),"")</f>
        <v/>
      </c>
      <c r="V177" s="6" t="str">
        <f t="array" ref="V177">_xlfn.IFNA((INDEX('DMR 001C TIN &amp; TP'!$A$3:$M$10005,MATCH(('Reg 85'!$I$6:$Q$6&amp;'Reg 85'!V$10&amp;'Reg 85'!$B177),('DMR 001C TIN &amp; TP'!$E$3:$E$10005&amp;'DMR 001C TIN &amp; TP'!$B$3:$B$10005&amp;'DMR 001C TIN &amp; TP'!$A$3:$A$10005),0),MATCH('Reg 85'!$O$11,'DMR 001C TIN &amp; TP'!$A$2:$M$2,0))),"")</f>
        <v/>
      </c>
      <c r="W177" s="6" t="str">
        <f t="array" ref="W177">_xlfn.IFNA((INDEX('DMR 001C TIN &amp; TP'!$A$3:$M$10005,MATCH(('Reg 85'!$I$6:$Q$6&amp;'Reg 85'!W$10&amp;'Reg 85'!$B177),('DMR 001C TIN &amp; TP'!$E$3:$E$10005&amp;'DMR 001C TIN &amp; TP'!$B$3:$B$10005&amp;'DMR 001C TIN &amp; TP'!$A$3:$A$10005),0),MATCH('Reg 85'!$O$11,'DMR 001C TIN &amp; TP'!$A$2:$M$2,0))),"")</f>
        <v/>
      </c>
      <c r="X177" s="5" t="str">
        <f t="shared" si="71"/>
        <v/>
      </c>
      <c r="Y177" s="6" t="str">
        <f t="array" ref="Y177">_xlfn.IFNA((INDEX('DMR 001C TIN &amp; TP'!$A$3:$M$10005,MATCH(('Reg 85'!$X$6&amp;'Reg 85'!$X$10&amp;'Reg 85'!$B177),('DMR 001C TIN &amp; TP'!$E$3:$E$10005&amp;'DMR 001C TIN &amp; TP'!$B$3:$B$10005&amp;'DMR 001C TIN &amp; TP'!$A$3:$A$10005),0),MATCH('Reg 85'!$Y$11,'DMR 001C TIN &amp; TP'!$A$2:$M$2,0))),"")</f>
        <v>0.18</v>
      </c>
      <c r="Z177" s="6">
        <f t="array" ref="Z177">_xlfn.IFNA((INDEX('DMR 001C TIN &amp; TP'!$A$3:$M$10005,MATCH(('Reg 85'!$X$6&amp;'Reg 85'!$X$10&amp;'Reg 85'!$B177),('DMR 001C TIN &amp; TP'!$E$3:$E$10005&amp;'DMR 001C TIN &amp; TP'!$B$3:$B$10005&amp;'DMR 001C TIN &amp; TP'!$A$3:$A$10005),0),MATCH('Reg 85'!$Z$11,'DMR 001C TIN &amp; TP'!$A$2:$M$2,0))),"")</f>
        <v>4.59</v>
      </c>
      <c r="AA177" s="53">
        <f t="shared" si="72"/>
        <v>4.59</v>
      </c>
      <c r="AB177" s="5" t="str">
        <f t="shared" si="73"/>
        <v/>
      </c>
      <c r="AC177" s="6" t="str">
        <f t="array" ref="AC177">_xlfn.IFNA((INDEX('DMR 001C TIN &amp; TP'!$A$3:$M$10005,MATCH(('Reg 85'!$X$6&amp;'Reg 85'!$AB$10&amp;'Reg 85'!$B177),('DMR 001C TIN &amp; TP'!$E$3:$E$10005&amp;'DMR 001C TIN &amp; TP'!$B$3:$B$10005&amp;'DMR 001C TIN &amp; TP'!$A$3:$A$10005),0),MATCH('Reg 85'!$AC$11,'DMR 001C TIN &amp; TP'!$A$2:$M$2,0))),"")</f>
        <v>0.06</v>
      </c>
      <c r="AD177" s="6">
        <f t="array" ref="AD177">_xlfn.IFNA((INDEX('DMR 001C TIN &amp; TP'!$A$3:$M$10005,MATCH(('Reg 85'!$X$6&amp;'Reg 85'!$AB$10&amp;'Reg 85'!$B177),('DMR 001C TIN &amp; TP'!$E$3:$E$10005&amp;'DMR 001C TIN &amp; TP'!$B$3:$B$10005&amp;'DMR 001C TIN &amp; TP'!$A$3:$A$10005),0),MATCH('Reg 85'!$AD$11,'DMR 001C TIN &amp; TP'!$A$2:$M$2,0))),"")</f>
        <v>6.17</v>
      </c>
      <c r="AE177" s="53">
        <f t="shared" si="74"/>
        <v>6.17</v>
      </c>
      <c r="AF177" s="7">
        <f t="shared" si="75"/>
        <v>5.4037159028300357</v>
      </c>
      <c r="AG177" s="6" t="str">
        <f t="array" ref="AG177">_xlfn.IFNA((INDEX('DMR 001C TIN &amp; TP'!$A$3:$M$10005,MATCH(('Reg 85'!$X$6&amp;'Reg 85'!AG$10&amp;'Reg 85'!$B177),('DMR 001C TIN &amp; TP'!$E$3:$E$10005&amp;'DMR 001C TIN &amp; TP'!$B$3:$B$10005&amp;'DMR 001C TIN &amp; TP'!$A$3:$A$10005),0),MATCH('Reg 85'!$AG$11,'DMR 001C TIN &amp; TP'!$A$2:$M$2,0))),"")</f>
        <v/>
      </c>
      <c r="AH177" s="6" t="str">
        <f t="array" ref="AH177">_xlfn.IFNA((INDEX('DMR 001C TIN &amp; TP'!$A$3:$M$10005,MATCH(('Reg 85'!$X$6&amp;'Reg 85'!AH$10&amp;'Reg 85'!$B177),('DMR 001C TIN &amp; TP'!$E$3:$E$10005&amp;'DMR 001C TIN &amp; TP'!$B$3:$B$10005&amp;'DMR 001C TIN &amp; TP'!$A$3:$A$10005),0),MATCH('Reg 85'!$AG$11,'DMR 001C TIN &amp; TP'!$A$2:$M$2,0))),"")</f>
        <v/>
      </c>
      <c r="AI177" s="6" t="str">
        <f t="array" ref="AI177">_xlfn.IFNA((INDEX('DMR 001C TIN &amp; TP'!$A$3:$M$10005,MATCH(('Reg 85'!$X$6&amp;'Reg 85'!AI$10&amp;'Reg 85'!$B177),('DMR 001C TIN &amp; TP'!$E$3:$E$10005&amp;'DMR 001C TIN &amp; TP'!$B$3:$B$10005&amp;'DMR 001C TIN &amp; TP'!$A$3:$A$10005),0),MATCH('Reg 85'!$AG$11,'DMR 001C TIN &amp; TP'!$A$2:$M$2,0))),"")</f>
        <v/>
      </c>
      <c r="AJ177" s="6" t="str">
        <f t="array" ref="AJ177">_xlfn.IFNA((INDEX('DMR 001C TIN &amp; TP'!$A$3:$M$10005,MATCH(('Reg 85'!$X$6&amp;'Reg 85'!AJ$10&amp;'Reg 85'!$B177),('DMR 001C TIN &amp; TP'!$E$3:$E$10005&amp;'DMR 001C TIN &amp; TP'!$B$3:$B$10005&amp;'DMR 001C TIN &amp; TP'!$A$3:$A$10005),0),MATCH('Reg 85'!$AG$11,'DMR 001C TIN &amp; TP'!$A$2:$M$2,0))),"")</f>
        <v/>
      </c>
      <c r="AK177" s="6" t="str">
        <f t="array" ref="AK177">_xlfn.IFNA((INDEX('DMR 001C TIN &amp; TP'!$A$3:$M$10005,MATCH(('Reg 85'!$X$6&amp;'Reg 85'!AK$10&amp;'Reg 85'!$B177),('DMR 001C TIN &amp; TP'!$E$3:$E$10005&amp;'DMR 001C TIN &amp; TP'!$B$3:$B$10005&amp;'DMR 001C TIN &amp; TP'!$A$3:$A$10005),0),MATCH('Reg 85'!$AG$11,'DMR 001C TIN &amp; TP'!$A$2:$M$2,0))),"")</f>
        <v/>
      </c>
      <c r="AL177" s="6" t="str">
        <f t="array" ref="AL177">_xlfn.IFNA((INDEX('DMR 001C TIN &amp; TP'!$A$3:$M$10005,MATCH(('Reg 85'!$X$6&amp;'Reg 85'!AL$10&amp;'Reg 85'!$B177),('DMR 001C TIN &amp; TP'!$E$3:$E$10005&amp;'DMR 001C TIN &amp; TP'!$B$3:$B$10005&amp;'DMR 001C TIN &amp; TP'!$A$3:$A$10005),0),MATCH('Reg 85'!$AG$11,'DMR 001C TIN &amp; TP'!$A$2:$M$2,0))),"")</f>
        <v/>
      </c>
      <c r="AM177" s="76"/>
      <c r="AN177" s="6"/>
      <c r="AO177" s="54">
        <f t="shared" si="62"/>
        <v>5.818866003480859</v>
      </c>
      <c r="AP177" s="77" t="str">
        <f t="shared" si="81"/>
        <v/>
      </c>
      <c r="AQ177" s="47"/>
      <c r="AR177" s="6" t="str">
        <f t="array" ref="AR177">_xlfn.IFNA((INDEX('DMR 001C TIN &amp; TP'!$A$3:$M$10005,MATCH(('Reg 85'!$AQ$6&amp;'Reg 85'!$AQ$10&amp;'Reg 85'!$B177),('DMR 001C TIN &amp; TP'!$E$3:$E$10005&amp;'DMR 001C TIN &amp; TP'!$B$3:$B$10005&amp;'DMR 001C TIN &amp; TP'!$A$3:$A$10005),0),MATCH('Reg 85'!$AR$11,'DMR 001C TIN &amp; TP'!$A$2:$M$2,0))),"")</f>
        <v/>
      </c>
      <c r="AS177" s="6" t="str">
        <f t="array" ref="AS177">_xlfn.IFNA((INDEX('DMR 001C TIN &amp; TP'!$A$3:$M$10005,MATCH(('Reg 85'!$AQ$6&amp;'Reg 85'!$AQ$10&amp;'Reg 85'!$B177),('DMR 001C TIN &amp; TP'!$E$3:$E$10005&amp;'DMR 001C TIN &amp; TP'!$B$3:$B$10005&amp;'DMR 001C TIN &amp; TP'!$A$3:$A$10005),0),MATCH('Reg 85'!$AS$11,'DMR 001C TIN &amp; TP'!$A$2:$M$2,0))),"")</f>
        <v/>
      </c>
      <c r="AT177" s="53" t="str">
        <f t="shared" si="76"/>
        <v/>
      </c>
      <c r="AV177" s="6" t="str">
        <f t="array" ref="AV177">_xlfn.IFNA((INDEX('DMR 001C TIN &amp; TP'!$A$3:$M$10005,MATCH(('Reg 85'!$AQ$6&amp;'Reg 85'!$AU$10&amp;'Reg 85'!$B177),('DMR 001C TIN &amp; TP'!$E$3:$E$10005&amp;'DMR 001C TIN &amp; TP'!$B$3:$B$10005&amp;'DMR 001C TIN &amp; TP'!$A$3:$A$10005),0),MATCH('Reg 85'!$AV$11,'DMR 001C TIN &amp; TP'!$A$2:$M$2,0))),"")</f>
        <v/>
      </c>
      <c r="AW177" s="6" t="str">
        <f t="array" ref="AW177">_xlfn.IFNA((INDEX('DMR 001C TIN &amp; TP'!$A$3:$M$10005,MATCH(('Reg 85'!$AQ$6&amp;'Reg 85'!$AU$10&amp;'Reg 85'!$B177),('DMR 001C TIN &amp; TP'!$E$3:$E$10005&amp;'DMR 001C TIN &amp; TP'!$B$3:$B$10005&amp;'DMR 001C TIN &amp; TP'!$A$3:$A$10005),0),MATCH('Reg 85'!$AW$11,'DMR 001C TIN &amp; TP'!$A$2:$M$2,0))),"")</f>
        <v/>
      </c>
      <c r="AX177" s="53" t="str">
        <f t="shared" si="77"/>
        <v/>
      </c>
      <c r="AY177" s="55" t="str">
        <f t="shared" si="78"/>
        <v/>
      </c>
      <c r="AZ177" s="77" t="str">
        <f t="shared" si="82"/>
        <v/>
      </c>
      <c r="BA177" s="6" t="str">
        <f t="array" ref="BA177">_xlfn.IFNA((INDEX('DMR 001C TIN &amp; TP'!$A$3:$M$10005,MATCH(('Reg 85'!$AQ$6&amp;'Reg 85'!BA$10&amp;'Reg 85'!$B177),('DMR 001C TIN &amp; TP'!$E$3:$E$10005&amp;'DMR 001C TIN &amp; TP'!$B$3:$B$10005&amp;'DMR 001C TIN &amp; TP'!$A$3:$A$10005),0),MATCH('Reg 85'!$AG$11,'DMR 001C TIN &amp; TP'!$A$2:$M$2,0))),"")</f>
        <v/>
      </c>
      <c r="BB177" s="6" t="str">
        <f t="array" ref="BB177">_xlfn.IFNA((INDEX('DMR 001C TIN &amp; TP'!$A$3:$M$10005,MATCH(('Reg 85'!$AQ$6&amp;'Reg 85'!BB$10&amp;'Reg 85'!$B177),('DMR 001C TIN &amp; TP'!$E$3:$E$10005&amp;'DMR 001C TIN &amp; TP'!$B$3:$B$10005&amp;'DMR 001C TIN &amp; TP'!$A$3:$A$10005),0),MATCH('Reg 85'!$AG$11,'DMR 001C TIN &amp; TP'!$A$2:$M$2,0))),"")</f>
        <v/>
      </c>
      <c r="BC177" s="6" t="str">
        <f t="array" ref="BC177">_xlfn.IFNA((INDEX('DMR 001C TIN &amp; TP'!$A$3:$M$10005,MATCH(('Reg 85'!$AQ$6&amp;'Reg 85'!BC$10&amp;'Reg 85'!$B177),('DMR 001C TIN &amp; TP'!$E$3:$E$10005&amp;'DMR 001C TIN &amp; TP'!$B$3:$B$10005&amp;'DMR 001C TIN &amp; TP'!$A$3:$A$10005),0),MATCH('Reg 85'!$AG$11,'DMR 001C TIN &amp; TP'!$A$2:$M$2,0))),"")</f>
        <v/>
      </c>
      <c r="BD177" s="6" t="str">
        <f t="array" ref="BD177">_xlfn.IFNA((INDEX('DMR 001C TIN &amp; TP'!$A$3:$M$10005,MATCH(('Reg 85'!$AQ$6&amp;'Reg 85'!BD$10&amp;'Reg 85'!$B177),('DMR 001C TIN &amp; TP'!$E$3:$E$10005&amp;'DMR 001C TIN &amp; TP'!$B$3:$B$10005&amp;'DMR 001C TIN &amp; TP'!$A$3:$A$10005),0),MATCH('Reg 85'!$AG$11,'DMR 001C TIN &amp; TP'!$A$2:$M$2,0))),"")</f>
        <v/>
      </c>
      <c r="BE177" s="6" t="str">
        <f t="array" ref="BE177">_xlfn.IFNA((INDEX('DMR 001C TIN &amp; TP'!$A$3:$M$10005,MATCH(('Reg 85'!$AQ$6&amp;'Reg 85'!BE$10&amp;'Reg 85'!$B177),('DMR 001C TIN &amp; TP'!$E$3:$E$10005&amp;'DMR 001C TIN &amp; TP'!$B$3:$B$10005&amp;'DMR 001C TIN &amp; TP'!$A$3:$A$10005),0),MATCH('Reg 85'!$AG$11,'DMR 001C TIN &amp; TP'!$A$2:$M$2,0))),"")</f>
        <v/>
      </c>
      <c r="BF177" s="6" t="str">
        <f t="array" ref="BF177">_xlfn.IFNA((INDEX('DMR 001C TIN &amp; TP'!$A$3:$M$10005,MATCH(('Reg 85'!$AQ$6&amp;'Reg 85'!BF$10&amp;'Reg 85'!$B177),('DMR 001C TIN &amp; TP'!$E$3:$E$10005&amp;'DMR 001C TIN &amp; TP'!$B$3:$B$10005&amp;'DMR 001C TIN &amp; TP'!$A$3:$A$10005),0),MATCH('Reg 85'!$AG$11,'DMR 001C TIN &amp; TP'!$A$2:$M$2,0))),"")</f>
        <v/>
      </c>
    </row>
    <row r="178" spans="1:58">
      <c r="A178" s="3" t="str">
        <f t="shared" si="63"/>
        <v>Thu</v>
      </c>
      <c r="B178" s="96">
        <f t="shared" si="79"/>
        <v>43510</v>
      </c>
      <c r="C178" s="96">
        <f t="shared" si="64"/>
        <v>43524</v>
      </c>
      <c r="D178" s="96">
        <f t="shared" si="65"/>
        <v>43497</v>
      </c>
      <c r="E178" s="95">
        <f t="shared" si="66"/>
        <v>28</v>
      </c>
      <c r="F178" s="7">
        <f t="array" ref="F178">_xlfn.IFNA(INDEX('DMR Flows-Effluent'!$A$3:$F$9999,MATCH(($F$10&amp;$B178),('DMR Flows-Effluent'!$B$3:$B$9999&amp;'DMR Flows-Effluent'!$A$3:$A$9999),0),MATCH($F$8,'DMR Flows-Effluent'!$A$2:$F$2,0)),"")</f>
        <v>60.323799999999999</v>
      </c>
      <c r="G178" s="7">
        <f t="array" ref="G178">_xlfn.IFNA(INDEX('DMR Flows-Effluent'!$A$3:$F$9999,MATCH(($G$10&amp;$B178),('DMR Flows-Effluent'!$B$3:$B$9999&amp;'DMR Flows-Effluent'!$A$3:$A$9999),0),MATCH($F$8,'DMR Flows-Effluent'!$A$2:$F$2,0)),"")</f>
        <v>60.813400000000001</v>
      </c>
      <c r="H178" s="7">
        <f t="shared" si="67"/>
        <v>121.13720000000001</v>
      </c>
      <c r="I178" s="45" t="str">
        <f t="shared" si="68"/>
        <v/>
      </c>
      <c r="J178" s="6" t="str">
        <f t="array" ref="J178">_xlfn.IFNA((INDEX('DMR 001C TIN &amp; TP'!$A$3:$M$10005,MATCH(('Reg 85'!$I$6:$Q$6&amp;'Reg 85'!$I$10:$K$10&amp;'Reg 85'!$B178),('DMR 001C TIN &amp; TP'!$E$3:$E$10005&amp;'DMR 001C TIN &amp; TP'!$B$3:$B$10005&amp;'DMR 001C TIN &amp; TP'!$A$3:$A$10005),0),MATCH('Reg 85'!$J$11,'DMR 001C TIN &amp; TP'!$A$2:$M$2,0))),"")</f>
        <v>0.15</v>
      </c>
      <c r="K178" s="6">
        <f t="array" ref="K178">_xlfn.IFNA((INDEX('DMR 001C TIN &amp; TP'!$A$3:$M$10005,MATCH(('Reg 85'!$I$6:$Q$6&amp;'Reg 85'!$I$10:$K$10&amp;'Reg 85'!$B178),('DMR 001C TIN &amp; TP'!$E$3:$E$10005&amp;'DMR 001C TIN &amp; TP'!$B$3:$B$10005&amp;'DMR 001C TIN &amp; TP'!$A$3:$A$10005),0),MATCH('Reg 85'!$K$11,'DMR 001C TIN &amp; TP'!$A$2:$M$2,0))),"")</f>
        <v>0.93</v>
      </c>
      <c r="L178" s="53">
        <f t="shared" si="80"/>
        <v>0.93</v>
      </c>
      <c r="M178" s="5" t="str">
        <f t="shared" si="69"/>
        <v>&lt;</v>
      </c>
      <c r="N178" s="6" t="str">
        <f t="array" ref="N178">_xlfn.IFNA((INDEX('DMR 001C TIN &amp; TP'!$A$3:$M$10005,MATCH(('Reg 85'!$I$6:$Q$6&amp;'Reg 85'!$M$10&amp;'Reg 85'!$B178),('DMR 001C TIN &amp; TP'!$E$3:$E$10005&amp;'DMR 001C TIN &amp; TP'!$B$3:$B$10005&amp;'DMR 001C TIN &amp; TP'!$A$3:$A$10005),0),MATCH('Reg 85'!$N$11,'DMR 001C TIN &amp; TP'!$A$2:$M$2,0))),"")</f>
        <v>0.15</v>
      </c>
      <c r="O178" s="6">
        <f t="array" ref="O178">_xlfn.IFNA((INDEX('DMR 001C TIN &amp; TP'!$A$3:$M$10005,MATCH(('Reg 85'!$I$6:$Q$6&amp;'Reg 85'!$M$10&amp;'Reg 85'!$B178),('DMR 001C TIN &amp; TP'!$E$3:$E$10005&amp;'DMR 001C TIN &amp; TP'!$B$3:$B$10005&amp;'DMR 001C TIN &amp; TP'!$A$3:$A$10005),0),MATCH('Reg 85'!$O$11,'DMR 001C TIN &amp; TP'!$A$2:$M$2,0))),"")</f>
        <v>0.11</v>
      </c>
      <c r="P178" s="53">
        <f t="shared" si="70"/>
        <v>0</v>
      </c>
      <c r="Q178" s="73">
        <f t="array" ref="Q178">IFERROR(((L178*$F178)+(P178*$G178))/($H178),"")</f>
        <v>0.46312061034925689</v>
      </c>
      <c r="R178" s="6" t="str">
        <f t="array" ref="R178">_xlfn.IFNA((INDEX('DMR 001C TIN &amp; TP'!$A$3:$M$10005,MATCH(('Reg 85'!$I$6:$Q$6&amp;'Reg 85'!R$10&amp;'Reg 85'!$B178),('DMR 001C TIN &amp; TP'!$E$3:$E$10005&amp;'DMR 001C TIN &amp; TP'!$B$3:$B$10005&amp;'DMR 001C TIN &amp; TP'!$A$3:$A$10005),0),MATCH('Reg 85'!$O$11,'DMR 001C TIN &amp; TP'!$A$2:$M$2,0))),"")</f>
        <v/>
      </c>
      <c r="S178" s="6" t="str">
        <f t="array" ref="S178">_xlfn.IFNA((INDEX('DMR 001C TIN &amp; TP'!$A$3:$M$10005,MATCH(('Reg 85'!$I$6:$Q$6&amp;'Reg 85'!S$10&amp;'Reg 85'!$B178),('DMR 001C TIN &amp; TP'!$E$3:$E$10005&amp;'DMR 001C TIN &amp; TP'!$B$3:$B$10005&amp;'DMR 001C TIN &amp; TP'!$A$3:$A$10005),0),MATCH('Reg 85'!$O$11,'DMR 001C TIN &amp; TP'!$A$2:$M$2,0))),"")</f>
        <v/>
      </c>
      <c r="T178" s="6" t="str">
        <f t="array" ref="T178">_xlfn.IFNA((INDEX('DMR 001C TIN &amp; TP'!$A$3:$M$10005,MATCH(('Reg 85'!$I$6:$Q$6&amp;'Reg 85'!T$10&amp;'Reg 85'!$B178),('DMR 001C TIN &amp; TP'!$E$3:$E$10005&amp;'DMR 001C TIN &amp; TP'!$B$3:$B$10005&amp;'DMR 001C TIN &amp; TP'!$A$3:$A$10005),0),MATCH('Reg 85'!$O$11,'DMR 001C TIN &amp; TP'!$A$2:$M$2,0))),"")</f>
        <v/>
      </c>
      <c r="U178" s="6" t="str">
        <f t="array" ref="U178">_xlfn.IFNA((INDEX('DMR 001C TIN &amp; TP'!$A$3:$M$10005,MATCH(('Reg 85'!$I$6:$Q$6&amp;'Reg 85'!U$10&amp;'Reg 85'!$B178),('DMR 001C TIN &amp; TP'!$E$3:$E$10005&amp;'DMR 001C TIN &amp; TP'!$B$3:$B$10005&amp;'DMR 001C TIN &amp; TP'!$A$3:$A$10005),0),MATCH('Reg 85'!$O$11,'DMR 001C TIN &amp; TP'!$A$2:$M$2,0))),"")</f>
        <v/>
      </c>
      <c r="V178" s="6" t="str">
        <f t="array" ref="V178">_xlfn.IFNA((INDEX('DMR 001C TIN &amp; TP'!$A$3:$M$10005,MATCH(('Reg 85'!$I$6:$Q$6&amp;'Reg 85'!V$10&amp;'Reg 85'!$B178),('DMR 001C TIN &amp; TP'!$E$3:$E$10005&amp;'DMR 001C TIN &amp; TP'!$B$3:$B$10005&amp;'DMR 001C TIN &amp; TP'!$A$3:$A$10005),0),MATCH('Reg 85'!$O$11,'DMR 001C TIN &amp; TP'!$A$2:$M$2,0))),"")</f>
        <v/>
      </c>
      <c r="W178" s="6" t="str">
        <f t="array" ref="W178">_xlfn.IFNA((INDEX('DMR 001C TIN &amp; TP'!$A$3:$M$10005,MATCH(('Reg 85'!$I$6:$Q$6&amp;'Reg 85'!W$10&amp;'Reg 85'!$B178),('DMR 001C TIN &amp; TP'!$E$3:$E$10005&amp;'DMR 001C TIN &amp; TP'!$B$3:$B$10005&amp;'DMR 001C TIN &amp; TP'!$A$3:$A$10005),0),MATCH('Reg 85'!$O$11,'DMR 001C TIN &amp; TP'!$A$2:$M$2,0))),"")</f>
        <v/>
      </c>
      <c r="X178" s="5" t="str">
        <f t="shared" si="71"/>
        <v/>
      </c>
      <c r="Y178" s="6" t="str">
        <f t="array" ref="Y178">_xlfn.IFNA((INDEX('DMR 001C TIN &amp; TP'!$A$3:$M$10005,MATCH(('Reg 85'!$X$6&amp;'Reg 85'!$X$10&amp;'Reg 85'!$B178),('DMR 001C TIN &amp; TP'!$E$3:$E$10005&amp;'DMR 001C TIN &amp; TP'!$B$3:$B$10005&amp;'DMR 001C TIN &amp; TP'!$A$3:$A$10005),0),MATCH('Reg 85'!$Y$11,'DMR 001C TIN &amp; TP'!$A$2:$M$2,0))),"")</f>
        <v>0.06</v>
      </c>
      <c r="Z178" s="6">
        <f t="array" ref="Z178">_xlfn.IFNA((INDEX('DMR 001C TIN &amp; TP'!$A$3:$M$10005,MATCH(('Reg 85'!$X$6&amp;'Reg 85'!$X$10&amp;'Reg 85'!$B178),('DMR 001C TIN &amp; TP'!$E$3:$E$10005&amp;'DMR 001C TIN &amp; TP'!$B$3:$B$10005&amp;'DMR 001C TIN &amp; TP'!$A$3:$A$10005),0),MATCH('Reg 85'!$Z$11,'DMR 001C TIN &amp; TP'!$A$2:$M$2,0))),"")</f>
        <v>4.7300000000000004</v>
      </c>
      <c r="AA178" s="53">
        <f t="shared" si="72"/>
        <v>4.7300000000000004</v>
      </c>
      <c r="AB178" s="5" t="str">
        <f t="shared" si="73"/>
        <v/>
      </c>
      <c r="AC178" s="6" t="str">
        <f t="array" ref="AC178">_xlfn.IFNA((INDEX('DMR 001C TIN &amp; TP'!$A$3:$M$10005,MATCH(('Reg 85'!$X$6&amp;'Reg 85'!$AB$10&amp;'Reg 85'!$B178),('DMR 001C TIN &amp; TP'!$E$3:$E$10005&amp;'DMR 001C TIN &amp; TP'!$B$3:$B$10005&amp;'DMR 001C TIN &amp; TP'!$A$3:$A$10005),0),MATCH('Reg 85'!$AC$11,'DMR 001C TIN &amp; TP'!$A$2:$M$2,0))),"")</f>
        <v>0.06</v>
      </c>
      <c r="AD178" s="6">
        <f t="array" ref="AD178">_xlfn.IFNA((INDEX('DMR 001C TIN &amp; TP'!$A$3:$M$10005,MATCH(('Reg 85'!$X$6&amp;'Reg 85'!$AB$10&amp;'Reg 85'!$B178),('DMR 001C TIN &amp; TP'!$E$3:$E$10005&amp;'DMR 001C TIN &amp; TP'!$B$3:$B$10005&amp;'DMR 001C TIN &amp; TP'!$A$3:$A$10005),0),MATCH('Reg 85'!$AD$11,'DMR 001C TIN &amp; TP'!$A$2:$M$2,0))),"")</f>
        <v>6.11</v>
      </c>
      <c r="AE178" s="53">
        <f t="shared" si="74"/>
        <v>6.11</v>
      </c>
      <c r="AF178" s="7">
        <f t="shared" si="75"/>
        <v>5.4227887717398131</v>
      </c>
      <c r="AG178" s="6" t="str">
        <f t="array" ref="AG178">_xlfn.IFNA((INDEX('DMR 001C TIN &amp; TP'!$A$3:$M$10005,MATCH(('Reg 85'!$X$6&amp;'Reg 85'!AG$10&amp;'Reg 85'!$B178),('DMR 001C TIN &amp; TP'!$E$3:$E$10005&amp;'DMR 001C TIN &amp; TP'!$B$3:$B$10005&amp;'DMR 001C TIN &amp; TP'!$A$3:$A$10005),0),MATCH('Reg 85'!$AG$11,'DMR 001C TIN &amp; TP'!$A$2:$M$2,0))),"")</f>
        <v/>
      </c>
      <c r="AH178" s="6" t="str">
        <f t="array" ref="AH178">_xlfn.IFNA((INDEX('DMR 001C TIN &amp; TP'!$A$3:$M$10005,MATCH(('Reg 85'!$X$6&amp;'Reg 85'!AH$10&amp;'Reg 85'!$B178),('DMR 001C TIN &amp; TP'!$E$3:$E$10005&amp;'DMR 001C TIN &amp; TP'!$B$3:$B$10005&amp;'DMR 001C TIN &amp; TP'!$A$3:$A$10005),0),MATCH('Reg 85'!$AG$11,'DMR 001C TIN &amp; TP'!$A$2:$M$2,0))),"")</f>
        <v/>
      </c>
      <c r="AI178" s="6" t="str">
        <f t="array" ref="AI178">_xlfn.IFNA((INDEX('DMR 001C TIN &amp; TP'!$A$3:$M$10005,MATCH(('Reg 85'!$X$6&amp;'Reg 85'!AI$10&amp;'Reg 85'!$B178),('DMR 001C TIN &amp; TP'!$E$3:$E$10005&amp;'DMR 001C TIN &amp; TP'!$B$3:$B$10005&amp;'DMR 001C TIN &amp; TP'!$A$3:$A$10005),0),MATCH('Reg 85'!$AG$11,'DMR 001C TIN &amp; TP'!$A$2:$M$2,0))),"")</f>
        <v/>
      </c>
      <c r="AJ178" s="6" t="str">
        <f t="array" ref="AJ178">_xlfn.IFNA((INDEX('DMR 001C TIN &amp; TP'!$A$3:$M$10005,MATCH(('Reg 85'!$X$6&amp;'Reg 85'!AJ$10&amp;'Reg 85'!$B178),('DMR 001C TIN &amp; TP'!$E$3:$E$10005&amp;'DMR 001C TIN &amp; TP'!$B$3:$B$10005&amp;'DMR 001C TIN &amp; TP'!$A$3:$A$10005),0),MATCH('Reg 85'!$AG$11,'DMR 001C TIN &amp; TP'!$A$2:$M$2,0))),"")</f>
        <v/>
      </c>
      <c r="AK178" s="6" t="str">
        <f t="array" ref="AK178">_xlfn.IFNA((INDEX('DMR 001C TIN &amp; TP'!$A$3:$M$10005,MATCH(('Reg 85'!$X$6&amp;'Reg 85'!AK$10&amp;'Reg 85'!$B178),('DMR 001C TIN &amp; TP'!$E$3:$E$10005&amp;'DMR 001C TIN &amp; TP'!$B$3:$B$10005&amp;'DMR 001C TIN &amp; TP'!$A$3:$A$10005),0),MATCH('Reg 85'!$AG$11,'DMR 001C TIN &amp; TP'!$A$2:$M$2,0))),"")</f>
        <v/>
      </c>
      <c r="AL178" s="6" t="str">
        <f t="array" ref="AL178">_xlfn.IFNA((INDEX('DMR 001C TIN &amp; TP'!$A$3:$M$10005,MATCH(('Reg 85'!$X$6&amp;'Reg 85'!AL$10&amp;'Reg 85'!$B178),('DMR 001C TIN &amp; TP'!$E$3:$E$10005&amp;'DMR 001C TIN &amp; TP'!$B$3:$B$10005&amp;'DMR 001C TIN &amp; TP'!$A$3:$A$10005),0),MATCH('Reg 85'!$AG$11,'DMR 001C TIN &amp; TP'!$A$2:$M$2,0))),"")</f>
        <v/>
      </c>
      <c r="AM178" s="76"/>
      <c r="AN178" s="6"/>
      <c r="AO178" s="54">
        <f t="shared" si="62"/>
        <v>5.8859093820890696</v>
      </c>
      <c r="AP178" s="77" t="str">
        <f t="shared" si="81"/>
        <v/>
      </c>
      <c r="AQ178" s="47"/>
      <c r="AR178" s="6" t="str">
        <f t="array" ref="AR178">_xlfn.IFNA((INDEX('DMR 001C TIN &amp; TP'!$A$3:$M$10005,MATCH(('Reg 85'!$AQ$6&amp;'Reg 85'!$AQ$10&amp;'Reg 85'!$B178),('DMR 001C TIN &amp; TP'!$E$3:$E$10005&amp;'DMR 001C TIN &amp; TP'!$B$3:$B$10005&amp;'DMR 001C TIN &amp; TP'!$A$3:$A$10005),0),MATCH('Reg 85'!$AR$11,'DMR 001C TIN &amp; TP'!$A$2:$M$2,0))),"")</f>
        <v/>
      </c>
      <c r="AS178" s="6" t="str">
        <f t="array" ref="AS178">_xlfn.IFNA((INDEX('DMR 001C TIN &amp; TP'!$A$3:$M$10005,MATCH(('Reg 85'!$AQ$6&amp;'Reg 85'!$AQ$10&amp;'Reg 85'!$B178),('DMR 001C TIN &amp; TP'!$E$3:$E$10005&amp;'DMR 001C TIN &amp; TP'!$B$3:$B$10005&amp;'DMR 001C TIN &amp; TP'!$A$3:$A$10005),0),MATCH('Reg 85'!$AS$11,'DMR 001C TIN &amp; TP'!$A$2:$M$2,0))),"")</f>
        <v/>
      </c>
      <c r="AT178" s="53" t="str">
        <f t="shared" si="76"/>
        <v/>
      </c>
      <c r="AV178" s="6" t="str">
        <f t="array" ref="AV178">_xlfn.IFNA((INDEX('DMR 001C TIN &amp; TP'!$A$3:$M$10005,MATCH(('Reg 85'!$AQ$6&amp;'Reg 85'!$AU$10&amp;'Reg 85'!$B178),('DMR 001C TIN &amp; TP'!$E$3:$E$10005&amp;'DMR 001C TIN &amp; TP'!$B$3:$B$10005&amp;'DMR 001C TIN &amp; TP'!$A$3:$A$10005),0),MATCH('Reg 85'!$AV$11,'DMR 001C TIN &amp; TP'!$A$2:$M$2,0))),"")</f>
        <v/>
      </c>
      <c r="AW178" s="6" t="str">
        <f t="array" ref="AW178">_xlfn.IFNA((INDEX('DMR 001C TIN &amp; TP'!$A$3:$M$10005,MATCH(('Reg 85'!$AQ$6&amp;'Reg 85'!$AU$10&amp;'Reg 85'!$B178),('DMR 001C TIN &amp; TP'!$E$3:$E$10005&amp;'DMR 001C TIN &amp; TP'!$B$3:$B$10005&amp;'DMR 001C TIN &amp; TP'!$A$3:$A$10005),0),MATCH('Reg 85'!$AW$11,'DMR 001C TIN &amp; TP'!$A$2:$M$2,0))),"")</f>
        <v/>
      </c>
      <c r="AX178" s="53" t="str">
        <f t="shared" si="77"/>
        <v/>
      </c>
      <c r="AY178" s="55" t="str">
        <f t="shared" si="78"/>
        <v/>
      </c>
      <c r="AZ178" s="77" t="str">
        <f t="shared" si="82"/>
        <v/>
      </c>
      <c r="BA178" s="6" t="str">
        <f t="array" ref="BA178">_xlfn.IFNA((INDEX('DMR 001C TIN &amp; TP'!$A$3:$M$10005,MATCH(('Reg 85'!$AQ$6&amp;'Reg 85'!BA$10&amp;'Reg 85'!$B178),('DMR 001C TIN &amp; TP'!$E$3:$E$10005&amp;'DMR 001C TIN &amp; TP'!$B$3:$B$10005&amp;'DMR 001C TIN &amp; TP'!$A$3:$A$10005),0),MATCH('Reg 85'!$AG$11,'DMR 001C TIN &amp; TP'!$A$2:$M$2,0))),"")</f>
        <v/>
      </c>
      <c r="BB178" s="6" t="str">
        <f t="array" ref="BB178">_xlfn.IFNA((INDEX('DMR 001C TIN &amp; TP'!$A$3:$M$10005,MATCH(('Reg 85'!$AQ$6&amp;'Reg 85'!BB$10&amp;'Reg 85'!$B178),('DMR 001C TIN &amp; TP'!$E$3:$E$10005&amp;'DMR 001C TIN &amp; TP'!$B$3:$B$10005&amp;'DMR 001C TIN &amp; TP'!$A$3:$A$10005),0),MATCH('Reg 85'!$AG$11,'DMR 001C TIN &amp; TP'!$A$2:$M$2,0))),"")</f>
        <v/>
      </c>
      <c r="BC178" s="6" t="str">
        <f t="array" ref="BC178">_xlfn.IFNA((INDEX('DMR 001C TIN &amp; TP'!$A$3:$M$10005,MATCH(('Reg 85'!$AQ$6&amp;'Reg 85'!BC$10&amp;'Reg 85'!$B178),('DMR 001C TIN &amp; TP'!$E$3:$E$10005&amp;'DMR 001C TIN &amp; TP'!$B$3:$B$10005&amp;'DMR 001C TIN &amp; TP'!$A$3:$A$10005),0),MATCH('Reg 85'!$AG$11,'DMR 001C TIN &amp; TP'!$A$2:$M$2,0))),"")</f>
        <v/>
      </c>
      <c r="BD178" s="6" t="str">
        <f t="array" ref="BD178">_xlfn.IFNA((INDEX('DMR 001C TIN &amp; TP'!$A$3:$M$10005,MATCH(('Reg 85'!$AQ$6&amp;'Reg 85'!BD$10&amp;'Reg 85'!$B178),('DMR 001C TIN &amp; TP'!$E$3:$E$10005&amp;'DMR 001C TIN &amp; TP'!$B$3:$B$10005&amp;'DMR 001C TIN &amp; TP'!$A$3:$A$10005),0),MATCH('Reg 85'!$AG$11,'DMR 001C TIN &amp; TP'!$A$2:$M$2,0))),"")</f>
        <v/>
      </c>
      <c r="BE178" s="6" t="str">
        <f t="array" ref="BE178">_xlfn.IFNA((INDEX('DMR 001C TIN &amp; TP'!$A$3:$M$10005,MATCH(('Reg 85'!$AQ$6&amp;'Reg 85'!BE$10&amp;'Reg 85'!$B178),('DMR 001C TIN &amp; TP'!$E$3:$E$10005&amp;'DMR 001C TIN &amp; TP'!$B$3:$B$10005&amp;'DMR 001C TIN &amp; TP'!$A$3:$A$10005),0),MATCH('Reg 85'!$AG$11,'DMR 001C TIN &amp; TP'!$A$2:$M$2,0))),"")</f>
        <v/>
      </c>
      <c r="BF178" s="6" t="str">
        <f t="array" ref="BF178">_xlfn.IFNA((INDEX('DMR 001C TIN &amp; TP'!$A$3:$M$10005,MATCH(('Reg 85'!$AQ$6&amp;'Reg 85'!BF$10&amp;'Reg 85'!$B178),('DMR 001C TIN &amp; TP'!$E$3:$E$10005&amp;'DMR 001C TIN &amp; TP'!$B$3:$B$10005&amp;'DMR 001C TIN &amp; TP'!$A$3:$A$10005),0),MATCH('Reg 85'!$AG$11,'DMR 001C TIN &amp; TP'!$A$2:$M$2,0))),"")</f>
        <v/>
      </c>
    </row>
    <row r="179" spans="1:58">
      <c r="A179" s="3" t="str">
        <f t="shared" si="63"/>
        <v>Fri</v>
      </c>
      <c r="B179" s="96">
        <f t="shared" si="79"/>
        <v>43511</v>
      </c>
      <c r="C179" s="96">
        <f t="shared" si="64"/>
        <v>43524</v>
      </c>
      <c r="D179" s="96">
        <f t="shared" si="65"/>
        <v>43497</v>
      </c>
      <c r="E179" s="95">
        <f t="shared" si="66"/>
        <v>28</v>
      </c>
      <c r="F179" s="7">
        <f t="array" ref="F179">_xlfn.IFNA(INDEX('DMR Flows-Effluent'!$A$3:$F$9999,MATCH(($F$10&amp;$B179),('DMR Flows-Effluent'!$B$3:$B$9999&amp;'DMR Flows-Effluent'!$A$3:$A$9999),0),MATCH($F$8,'DMR Flows-Effluent'!$A$2:$F$2,0)),"")</f>
        <v>59.796700000000001</v>
      </c>
      <c r="G179" s="7">
        <f t="array" ref="G179">_xlfn.IFNA(INDEX('DMR Flows-Effluent'!$A$3:$F$9999,MATCH(($G$10&amp;$B179),('DMR Flows-Effluent'!$B$3:$B$9999&amp;'DMR Flows-Effluent'!$A$3:$A$9999),0),MATCH($F$8,'DMR Flows-Effluent'!$A$2:$F$2,0)),"")</f>
        <v>64.709999999999994</v>
      </c>
      <c r="H179" s="7">
        <f t="shared" si="67"/>
        <v>124.5067</v>
      </c>
      <c r="I179" s="45" t="str">
        <f t="shared" si="68"/>
        <v/>
      </c>
      <c r="J179" s="6" t="str">
        <f t="array" ref="J179">_xlfn.IFNA((INDEX('DMR 001C TIN &amp; TP'!$A$3:$M$10005,MATCH(('Reg 85'!$I$6:$Q$6&amp;'Reg 85'!$I$10:$K$10&amp;'Reg 85'!$B179),('DMR 001C TIN &amp; TP'!$E$3:$E$10005&amp;'DMR 001C TIN &amp; TP'!$B$3:$B$10005&amp;'DMR 001C TIN &amp; TP'!$A$3:$A$10005),0),MATCH('Reg 85'!$J$11,'DMR 001C TIN &amp; TP'!$A$2:$M$2,0))),"")</f>
        <v/>
      </c>
      <c r="K179" s="6" t="str">
        <f t="array" ref="K179">_xlfn.IFNA((INDEX('DMR 001C TIN &amp; TP'!$A$3:$M$10005,MATCH(('Reg 85'!$I$6:$Q$6&amp;'Reg 85'!$I$10:$K$10&amp;'Reg 85'!$B179),('DMR 001C TIN &amp; TP'!$E$3:$E$10005&amp;'DMR 001C TIN &amp; TP'!$B$3:$B$10005&amp;'DMR 001C TIN &amp; TP'!$A$3:$A$10005),0),MATCH('Reg 85'!$K$11,'DMR 001C TIN &amp; TP'!$A$2:$M$2,0))),"")</f>
        <v/>
      </c>
      <c r="L179" s="53" t="str">
        <f t="shared" si="80"/>
        <v/>
      </c>
      <c r="M179" s="5" t="str">
        <f t="shared" si="69"/>
        <v/>
      </c>
      <c r="N179" s="6" t="str">
        <f t="array" ref="N179">_xlfn.IFNA((INDEX('DMR 001C TIN &amp; TP'!$A$3:$M$10005,MATCH(('Reg 85'!$I$6:$Q$6&amp;'Reg 85'!$M$10&amp;'Reg 85'!$B179),('DMR 001C TIN &amp; TP'!$E$3:$E$10005&amp;'DMR 001C TIN &amp; TP'!$B$3:$B$10005&amp;'DMR 001C TIN &amp; TP'!$A$3:$A$10005),0),MATCH('Reg 85'!$N$11,'DMR 001C TIN &amp; TP'!$A$2:$M$2,0))),"")</f>
        <v/>
      </c>
      <c r="O179" s="6" t="str">
        <f t="array" ref="O179">_xlfn.IFNA((INDEX('DMR 001C TIN &amp; TP'!$A$3:$M$10005,MATCH(('Reg 85'!$I$6:$Q$6&amp;'Reg 85'!$M$10&amp;'Reg 85'!$B179),('DMR 001C TIN &amp; TP'!$E$3:$E$10005&amp;'DMR 001C TIN &amp; TP'!$B$3:$B$10005&amp;'DMR 001C TIN &amp; TP'!$A$3:$A$10005),0),MATCH('Reg 85'!$O$11,'DMR 001C TIN &amp; TP'!$A$2:$M$2,0))),"")</f>
        <v/>
      </c>
      <c r="P179" s="53" t="str">
        <f t="shared" si="70"/>
        <v/>
      </c>
      <c r="Q179" s="73" t="str">
        <f t="array" ref="Q179">IFERROR(((L179*$F179)+(P179*$G179))/($H179),"")</f>
        <v/>
      </c>
      <c r="R179" s="6" t="str">
        <f t="array" ref="R179">_xlfn.IFNA((INDEX('DMR 001C TIN &amp; TP'!$A$3:$M$10005,MATCH(('Reg 85'!$I$6:$Q$6&amp;'Reg 85'!R$10&amp;'Reg 85'!$B179),('DMR 001C TIN &amp; TP'!$E$3:$E$10005&amp;'DMR 001C TIN &amp; TP'!$B$3:$B$10005&amp;'DMR 001C TIN &amp; TP'!$A$3:$A$10005),0),MATCH('Reg 85'!$O$11,'DMR 001C TIN &amp; TP'!$A$2:$M$2,0))),"")</f>
        <v/>
      </c>
      <c r="S179" s="6" t="str">
        <f t="array" ref="S179">_xlfn.IFNA((INDEX('DMR 001C TIN &amp; TP'!$A$3:$M$10005,MATCH(('Reg 85'!$I$6:$Q$6&amp;'Reg 85'!S$10&amp;'Reg 85'!$B179),('DMR 001C TIN &amp; TP'!$E$3:$E$10005&amp;'DMR 001C TIN &amp; TP'!$B$3:$B$10005&amp;'DMR 001C TIN &amp; TP'!$A$3:$A$10005),0),MATCH('Reg 85'!$O$11,'DMR 001C TIN &amp; TP'!$A$2:$M$2,0))),"")</f>
        <v/>
      </c>
      <c r="T179" s="6" t="str">
        <f t="array" ref="T179">_xlfn.IFNA((INDEX('DMR 001C TIN &amp; TP'!$A$3:$M$10005,MATCH(('Reg 85'!$I$6:$Q$6&amp;'Reg 85'!T$10&amp;'Reg 85'!$B179),('DMR 001C TIN &amp; TP'!$E$3:$E$10005&amp;'DMR 001C TIN &amp; TP'!$B$3:$B$10005&amp;'DMR 001C TIN &amp; TP'!$A$3:$A$10005),0),MATCH('Reg 85'!$O$11,'DMR 001C TIN &amp; TP'!$A$2:$M$2,0))),"")</f>
        <v/>
      </c>
      <c r="U179" s="6" t="str">
        <f t="array" ref="U179">_xlfn.IFNA((INDEX('DMR 001C TIN &amp; TP'!$A$3:$M$10005,MATCH(('Reg 85'!$I$6:$Q$6&amp;'Reg 85'!U$10&amp;'Reg 85'!$B179),('DMR 001C TIN &amp; TP'!$E$3:$E$10005&amp;'DMR 001C TIN &amp; TP'!$B$3:$B$10005&amp;'DMR 001C TIN &amp; TP'!$A$3:$A$10005),0),MATCH('Reg 85'!$O$11,'DMR 001C TIN &amp; TP'!$A$2:$M$2,0))),"")</f>
        <v/>
      </c>
      <c r="V179" s="6" t="str">
        <f t="array" ref="V179">_xlfn.IFNA((INDEX('DMR 001C TIN &amp; TP'!$A$3:$M$10005,MATCH(('Reg 85'!$I$6:$Q$6&amp;'Reg 85'!V$10&amp;'Reg 85'!$B179),('DMR 001C TIN &amp; TP'!$E$3:$E$10005&amp;'DMR 001C TIN &amp; TP'!$B$3:$B$10005&amp;'DMR 001C TIN &amp; TP'!$A$3:$A$10005),0),MATCH('Reg 85'!$O$11,'DMR 001C TIN &amp; TP'!$A$2:$M$2,0))),"")</f>
        <v/>
      </c>
      <c r="W179" s="6" t="str">
        <f t="array" ref="W179">_xlfn.IFNA((INDEX('DMR 001C TIN &amp; TP'!$A$3:$M$10005,MATCH(('Reg 85'!$I$6:$Q$6&amp;'Reg 85'!W$10&amp;'Reg 85'!$B179),('DMR 001C TIN &amp; TP'!$E$3:$E$10005&amp;'DMR 001C TIN &amp; TP'!$B$3:$B$10005&amp;'DMR 001C TIN &amp; TP'!$A$3:$A$10005),0),MATCH('Reg 85'!$O$11,'DMR 001C TIN &amp; TP'!$A$2:$M$2,0))),"")</f>
        <v/>
      </c>
      <c r="X179" s="5" t="str">
        <f t="shared" si="71"/>
        <v/>
      </c>
      <c r="Y179" s="6" t="str">
        <f t="array" ref="Y179">_xlfn.IFNA((INDEX('DMR 001C TIN &amp; TP'!$A$3:$M$10005,MATCH(('Reg 85'!$X$6&amp;'Reg 85'!$X$10&amp;'Reg 85'!$B179),('DMR 001C TIN &amp; TP'!$E$3:$E$10005&amp;'DMR 001C TIN &amp; TP'!$B$3:$B$10005&amp;'DMR 001C TIN &amp; TP'!$A$3:$A$10005),0),MATCH('Reg 85'!$Y$11,'DMR 001C TIN &amp; TP'!$A$2:$M$2,0))),"")</f>
        <v/>
      </c>
      <c r="Z179" s="6" t="str">
        <f t="array" ref="Z179">_xlfn.IFNA((INDEX('DMR 001C TIN &amp; TP'!$A$3:$M$10005,MATCH(('Reg 85'!$X$6&amp;'Reg 85'!$X$10&amp;'Reg 85'!$B179),('DMR 001C TIN &amp; TP'!$E$3:$E$10005&amp;'DMR 001C TIN &amp; TP'!$B$3:$B$10005&amp;'DMR 001C TIN &amp; TP'!$A$3:$A$10005),0),MATCH('Reg 85'!$Z$11,'DMR 001C TIN &amp; TP'!$A$2:$M$2,0))),"")</f>
        <v/>
      </c>
      <c r="AA179" s="53" t="str">
        <f t="shared" si="72"/>
        <v/>
      </c>
      <c r="AB179" s="5" t="str">
        <f t="shared" si="73"/>
        <v/>
      </c>
      <c r="AC179" s="6" t="str">
        <f t="array" ref="AC179">_xlfn.IFNA((INDEX('DMR 001C TIN &amp; TP'!$A$3:$M$10005,MATCH(('Reg 85'!$X$6&amp;'Reg 85'!$AB$10&amp;'Reg 85'!$B179),('DMR 001C TIN &amp; TP'!$E$3:$E$10005&amp;'DMR 001C TIN &amp; TP'!$B$3:$B$10005&amp;'DMR 001C TIN &amp; TP'!$A$3:$A$10005),0),MATCH('Reg 85'!$AC$11,'DMR 001C TIN &amp; TP'!$A$2:$M$2,0))),"")</f>
        <v/>
      </c>
      <c r="AD179" s="6" t="str">
        <f t="array" ref="AD179">_xlfn.IFNA((INDEX('DMR 001C TIN &amp; TP'!$A$3:$M$10005,MATCH(('Reg 85'!$X$6&amp;'Reg 85'!$AB$10&amp;'Reg 85'!$B179),('DMR 001C TIN &amp; TP'!$E$3:$E$10005&amp;'DMR 001C TIN &amp; TP'!$B$3:$B$10005&amp;'DMR 001C TIN &amp; TP'!$A$3:$A$10005),0),MATCH('Reg 85'!$AD$11,'DMR 001C TIN &amp; TP'!$A$2:$M$2,0))),"")</f>
        <v/>
      </c>
      <c r="AE179" s="53" t="str">
        <f t="shared" si="74"/>
        <v/>
      </c>
      <c r="AF179" s="7" t="str">
        <f t="shared" si="75"/>
        <v/>
      </c>
      <c r="AG179" s="6" t="str">
        <f t="array" ref="AG179">_xlfn.IFNA((INDEX('DMR 001C TIN &amp; TP'!$A$3:$M$10005,MATCH(('Reg 85'!$X$6&amp;'Reg 85'!AG$10&amp;'Reg 85'!$B179),('DMR 001C TIN &amp; TP'!$E$3:$E$10005&amp;'DMR 001C TIN &amp; TP'!$B$3:$B$10005&amp;'DMR 001C TIN &amp; TP'!$A$3:$A$10005),0),MATCH('Reg 85'!$AG$11,'DMR 001C TIN &amp; TP'!$A$2:$M$2,0))),"")</f>
        <v/>
      </c>
      <c r="AH179" s="6" t="str">
        <f t="array" ref="AH179">_xlfn.IFNA((INDEX('DMR 001C TIN &amp; TP'!$A$3:$M$10005,MATCH(('Reg 85'!$X$6&amp;'Reg 85'!AH$10&amp;'Reg 85'!$B179),('DMR 001C TIN &amp; TP'!$E$3:$E$10005&amp;'DMR 001C TIN &amp; TP'!$B$3:$B$10005&amp;'DMR 001C TIN &amp; TP'!$A$3:$A$10005),0),MATCH('Reg 85'!$AG$11,'DMR 001C TIN &amp; TP'!$A$2:$M$2,0))),"")</f>
        <v/>
      </c>
      <c r="AI179" s="6" t="str">
        <f t="array" ref="AI179">_xlfn.IFNA((INDEX('DMR 001C TIN &amp; TP'!$A$3:$M$10005,MATCH(('Reg 85'!$X$6&amp;'Reg 85'!AI$10&amp;'Reg 85'!$B179),('DMR 001C TIN &amp; TP'!$E$3:$E$10005&amp;'DMR 001C TIN &amp; TP'!$B$3:$B$10005&amp;'DMR 001C TIN &amp; TP'!$A$3:$A$10005),0),MATCH('Reg 85'!$AG$11,'DMR 001C TIN &amp; TP'!$A$2:$M$2,0))),"")</f>
        <v/>
      </c>
      <c r="AJ179" s="6" t="str">
        <f t="array" ref="AJ179">_xlfn.IFNA((INDEX('DMR 001C TIN &amp; TP'!$A$3:$M$10005,MATCH(('Reg 85'!$X$6&amp;'Reg 85'!AJ$10&amp;'Reg 85'!$B179),('DMR 001C TIN &amp; TP'!$E$3:$E$10005&amp;'DMR 001C TIN &amp; TP'!$B$3:$B$10005&amp;'DMR 001C TIN &amp; TP'!$A$3:$A$10005),0),MATCH('Reg 85'!$AG$11,'DMR 001C TIN &amp; TP'!$A$2:$M$2,0))),"")</f>
        <v/>
      </c>
      <c r="AK179" s="6" t="str">
        <f t="array" ref="AK179">_xlfn.IFNA((INDEX('DMR 001C TIN &amp; TP'!$A$3:$M$10005,MATCH(('Reg 85'!$X$6&amp;'Reg 85'!AK$10&amp;'Reg 85'!$B179),('DMR 001C TIN &amp; TP'!$E$3:$E$10005&amp;'DMR 001C TIN &amp; TP'!$B$3:$B$10005&amp;'DMR 001C TIN &amp; TP'!$A$3:$A$10005),0),MATCH('Reg 85'!$AG$11,'DMR 001C TIN &amp; TP'!$A$2:$M$2,0))),"")</f>
        <v/>
      </c>
      <c r="AL179" s="6" t="str">
        <f t="array" ref="AL179">_xlfn.IFNA((INDEX('DMR 001C TIN &amp; TP'!$A$3:$M$10005,MATCH(('Reg 85'!$X$6&amp;'Reg 85'!AL$10&amp;'Reg 85'!$B179),('DMR 001C TIN &amp; TP'!$E$3:$E$10005&amp;'DMR 001C TIN &amp; TP'!$B$3:$B$10005&amp;'DMR 001C TIN &amp; TP'!$A$3:$A$10005),0),MATCH('Reg 85'!$AG$11,'DMR 001C TIN &amp; TP'!$A$2:$M$2,0))),"")</f>
        <v/>
      </c>
      <c r="AM179" s="76"/>
      <c r="AN179" s="6"/>
      <c r="AO179" s="54" t="str">
        <f t="shared" si="62"/>
        <v/>
      </c>
      <c r="AP179" s="77" t="str">
        <f t="shared" si="81"/>
        <v/>
      </c>
      <c r="AQ179" s="47"/>
      <c r="AR179" s="6" t="str">
        <f t="array" ref="AR179">_xlfn.IFNA((INDEX('DMR 001C TIN &amp; TP'!$A$3:$M$10005,MATCH(('Reg 85'!$AQ$6&amp;'Reg 85'!$AQ$10&amp;'Reg 85'!$B179),('DMR 001C TIN &amp; TP'!$E$3:$E$10005&amp;'DMR 001C TIN &amp; TP'!$B$3:$B$10005&amp;'DMR 001C TIN &amp; TP'!$A$3:$A$10005),0),MATCH('Reg 85'!$AR$11,'DMR 001C TIN &amp; TP'!$A$2:$M$2,0))),"")</f>
        <v>0.03</v>
      </c>
      <c r="AS179" s="6">
        <f t="array" ref="AS179">_xlfn.IFNA((INDEX('DMR 001C TIN &amp; TP'!$A$3:$M$10005,MATCH(('Reg 85'!$AQ$6&amp;'Reg 85'!$AQ$10&amp;'Reg 85'!$B179),('DMR 001C TIN &amp; TP'!$E$3:$E$10005&amp;'DMR 001C TIN &amp; TP'!$B$3:$B$10005&amp;'DMR 001C TIN &amp; TP'!$A$3:$A$10005),0),MATCH('Reg 85'!$AS$11,'DMR 001C TIN &amp; TP'!$A$2:$M$2,0))),"")</f>
        <v>0.39</v>
      </c>
      <c r="AT179" s="53">
        <f t="shared" si="76"/>
        <v>0.39</v>
      </c>
      <c r="AV179" s="6" t="str">
        <f t="array" ref="AV179">_xlfn.IFNA((INDEX('DMR 001C TIN &amp; TP'!$A$3:$M$10005,MATCH(('Reg 85'!$AQ$6&amp;'Reg 85'!$AU$10&amp;'Reg 85'!$B179),('DMR 001C TIN &amp; TP'!$E$3:$E$10005&amp;'DMR 001C TIN &amp; TP'!$B$3:$B$10005&amp;'DMR 001C TIN &amp; TP'!$A$3:$A$10005),0),MATCH('Reg 85'!$AV$11,'DMR 001C TIN &amp; TP'!$A$2:$M$2,0))),"")</f>
        <v>0.03</v>
      </c>
      <c r="AW179" s="6">
        <f t="array" ref="AW179">_xlfn.IFNA((INDEX('DMR 001C TIN &amp; TP'!$A$3:$M$10005,MATCH(('Reg 85'!$AQ$6&amp;'Reg 85'!$AU$10&amp;'Reg 85'!$B179),('DMR 001C TIN &amp; TP'!$E$3:$E$10005&amp;'DMR 001C TIN &amp; TP'!$B$3:$B$10005&amp;'DMR 001C TIN &amp; TP'!$A$3:$A$10005),0),MATCH('Reg 85'!$AW$11,'DMR 001C TIN &amp; TP'!$A$2:$M$2,0))),"")</f>
        <v>4.33</v>
      </c>
      <c r="AX179" s="53">
        <f t="shared" si="77"/>
        <v>4.33</v>
      </c>
      <c r="AY179" s="55">
        <f t="shared" si="78"/>
        <v>2.4377404027253156</v>
      </c>
      <c r="AZ179" s="77" t="str">
        <f t="shared" si="82"/>
        <v/>
      </c>
      <c r="BA179" s="6" t="str">
        <f t="array" ref="BA179">_xlfn.IFNA((INDEX('DMR 001C TIN &amp; TP'!$A$3:$M$10005,MATCH(('Reg 85'!$AQ$6&amp;'Reg 85'!BA$10&amp;'Reg 85'!$B179),('DMR 001C TIN &amp; TP'!$E$3:$E$10005&amp;'DMR 001C TIN &amp; TP'!$B$3:$B$10005&amp;'DMR 001C TIN &amp; TP'!$A$3:$A$10005),0),MATCH('Reg 85'!$AG$11,'DMR 001C TIN &amp; TP'!$A$2:$M$2,0))),"")</f>
        <v/>
      </c>
      <c r="BB179" s="6" t="str">
        <f t="array" ref="BB179">_xlfn.IFNA((INDEX('DMR 001C TIN &amp; TP'!$A$3:$M$10005,MATCH(('Reg 85'!$AQ$6&amp;'Reg 85'!BB$10&amp;'Reg 85'!$B179),('DMR 001C TIN &amp; TP'!$E$3:$E$10005&amp;'DMR 001C TIN &amp; TP'!$B$3:$B$10005&amp;'DMR 001C TIN &amp; TP'!$A$3:$A$10005),0),MATCH('Reg 85'!$AG$11,'DMR 001C TIN &amp; TP'!$A$2:$M$2,0))),"")</f>
        <v/>
      </c>
      <c r="BC179" s="6" t="str">
        <f t="array" ref="BC179">_xlfn.IFNA((INDEX('DMR 001C TIN &amp; TP'!$A$3:$M$10005,MATCH(('Reg 85'!$AQ$6&amp;'Reg 85'!BC$10&amp;'Reg 85'!$B179),('DMR 001C TIN &amp; TP'!$E$3:$E$10005&amp;'DMR 001C TIN &amp; TP'!$B$3:$B$10005&amp;'DMR 001C TIN &amp; TP'!$A$3:$A$10005),0),MATCH('Reg 85'!$AG$11,'DMR 001C TIN &amp; TP'!$A$2:$M$2,0))),"")</f>
        <v/>
      </c>
      <c r="BD179" s="6" t="str">
        <f t="array" ref="BD179">_xlfn.IFNA((INDEX('DMR 001C TIN &amp; TP'!$A$3:$M$10005,MATCH(('Reg 85'!$AQ$6&amp;'Reg 85'!BD$10&amp;'Reg 85'!$B179),('DMR 001C TIN &amp; TP'!$E$3:$E$10005&amp;'DMR 001C TIN &amp; TP'!$B$3:$B$10005&amp;'DMR 001C TIN &amp; TP'!$A$3:$A$10005),0),MATCH('Reg 85'!$AG$11,'DMR 001C TIN &amp; TP'!$A$2:$M$2,0))),"")</f>
        <v/>
      </c>
      <c r="BE179" s="6" t="str">
        <f t="array" ref="BE179">_xlfn.IFNA((INDEX('DMR 001C TIN &amp; TP'!$A$3:$M$10005,MATCH(('Reg 85'!$AQ$6&amp;'Reg 85'!BE$10&amp;'Reg 85'!$B179),('DMR 001C TIN &amp; TP'!$E$3:$E$10005&amp;'DMR 001C TIN &amp; TP'!$B$3:$B$10005&amp;'DMR 001C TIN &amp; TP'!$A$3:$A$10005),0),MATCH('Reg 85'!$AG$11,'DMR 001C TIN &amp; TP'!$A$2:$M$2,0))),"")</f>
        <v/>
      </c>
      <c r="BF179" s="6" t="str">
        <f t="array" ref="BF179">_xlfn.IFNA((INDEX('DMR 001C TIN &amp; TP'!$A$3:$M$10005,MATCH(('Reg 85'!$AQ$6&amp;'Reg 85'!BF$10&amp;'Reg 85'!$B179),('DMR 001C TIN &amp; TP'!$E$3:$E$10005&amp;'DMR 001C TIN &amp; TP'!$B$3:$B$10005&amp;'DMR 001C TIN &amp; TP'!$A$3:$A$10005),0),MATCH('Reg 85'!$AG$11,'DMR 001C TIN &amp; TP'!$A$2:$M$2,0))),"")</f>
        <v/>
      </c>
    </row>
    <row r="180" spans="1:58">
      <c r="A180" s="3" t="str">
        <f t="shared" si="63"/>
        <v>Sat</v>
      </c>
      <c r="B180" s="96">
        <f t="shared" si="79"/>
        <v>43512</v>
      </c>
      <c r="C180" s="96">
        <f t="shared" si="64"/>
        <v>43524</v>
      </c>
      <c r="D180" s="96">
        <f t="shared" si="65"/>
        <v>43497</v>
      </c>
      <c r="E180" s="95">
        <f t="shared" si="66"/>
        <v>28</v>
      </c>
      <c r="F180" s="7">
        <f t="array" ref="F180">_xlfn.IFNA(INDEX('DMR Flows-Effluent'!$A$3:$F$9999,MATCH(($F$10&amp;$B180),('DMR Flows-Effluent'!$B$3:$B$9999&amp;'DMR Flows-Effluent'!$A$3:$A$9999),0),MATCH($F$8,'DMR Flows-Effluent'!$A$2:$F$2,0)),"")</f>
        <v>53.653399999999998</v>
      </c>
      <c r="G180" s="7">
        <f t="array" ref="G180">_xlfn.IFNA(INDEX('DMR Flows-Effluent'!$A$3:$F$9999,MATCH(($G$10&amp;$B180),('DMR Flows-Effluent'!$B$3:$B$9999&amp;'DMR Flows-Effluent'!$A$3:$A$9999),0),MATCH($F$8,'DMR Flows-Effluent'!$A$2:$F$2,0)),"")</f>
        <v>65.648899999999998</v>
      </c>
      <c r="H180" s="7">
        <f t="shared" si="67"/>
        <v>119.3023</v>
      </c>
      <c r="I180" s="45" t="str">
        <f t="shared" si="68"/>
        <v/>
      </c>
      <c r="J180" s="6" t="str">
        <f t="array" ref="J180">_xlfn.IFNA((INDEX('DMR 001C TIN &amp; TP'!$A$3:$M$10005,MATCH(('Reg 85'!$I$6:$Q$6&amp;'Reg 85'!$I$10:$K$10&amp;'Reg 85'!$B180),('DMR 001C TIN &amp; TP'!$E$3:$E$10005&amp;'DMR 001C TIN &amp; TP'!$B$3:$B$10005&amp;'DMR 001C TIN &amp; TP'!$A$3:$A$10005),0),MATCH('Reg 85'!$J$11,'DMR 001C TIN &amp; TP'!$A$2:$M$2,0))),"")</f>
        <v/>
      </c>
      <c r="K180" s="6" t="str">
        <f t="array" ref="K180">_xlfn.IFNA((INDEX('DMR 001C TIN &amp; TP'!$A$3:$M$10005,MATCH(('Reg 85'!$I$6:$Q$6&amp;'Reg 85'!$I$10:$K$10&amp;'Reg 85'!$B180),('DMR 001C TIN &amp; TP'!$E$3:$E$10005&amp;'DMR 001C TIN &amp; TP'!$B$3:$B$10005&amp;'DMR 001C TIN &amp; TP'!$A$3:$A$10005),0),MATCH('Reg 85'!$K$11,'DMR 001C TIN &amp; TP'!$A$2:$M$2,0))),"")</f>
        <v/>
      </c>
      <c r="L180" s="53" t="str">
        <f t="shared" si="80"/>
        <v/>
      </c>
      <c r="M180" s="5" t="str">
        <f t="shared" si="69"/>
        <v/>
      </c>
      <c r="N180" s="6" t="str">
        <f t="array" ref="N180">_xlfn.IFNA((INDEX('DMR 001C TIN &amp; TP'!$A$3:$M$10005,MATCH(('Reg 85'!$I$6:$Q$6&amp;'Reg 85'!$M$10&amp;'Reg 85'!$B180),('DMR 001C TIN &amp; TP'!$E$3:$E$10005&amp;'DMR 001C TIN &amp; TP'!$B$3:$B$10005&amp;'DMR 001C TIN &amp; TP'!$A$3:$A$10005),0),MATCH('Reg 85'!$N$11,'DMR 001C TIN &amp; TP'!$A$2:$M$2,0))),"")</f>
        <v/>
      </c>
      <c r="O180" s="6" t="str">
        <f t="array" ref="O180">_xlfn.IFNA((INDEX('DMR 001C TIN &amp; TP'!$A$3:$M$10005,MATCH(('Reg 85'!$I$6:$Q$6&amp;'Reg 85'!$M$10&amp;'Reg 85'!$B180),('DMR 001C TIN &amp; TP'!$E$3:$E$10005&amp;'DMR 001C TIN &amp; TP'!$B$3:$B$10005&amp;'DMR 001C TIN &amp; TP'!$A$3:$A$10005),0),MATCH('Reg 85'!$O$11,'DMR 001C TIN &amp; TP'!$A$2:$M$2,0))),"")</f>
        <v/>
      </c>
      <c r="P180" s="53" t="str">
        <f t="shared" si="70"/>
        <v/>
      </c>
      <c r="Q180" s="73" t="str">
        <f t="array" ref="Q180">IFERROR(((L180*$F180)+(P180*$G180))/($H180),"")</f>
        <v/>
      </c>
      <c r="R180" s="6" t="str">
        <f t="array" ref="R180">_xlfn.IFNA((INDEX('DMR 001C TIN &amp; TP'!$A$3:$M$10005,MATCH(('Reg 85'!$I$6:$Q$6&amp;'Reg 85'!R$10&amp;'Reg 85'!$B180),('DMR 001C TIN &amp; TP'!$E$3:$E$10005&amp;'DMR 001C TIN &amp; TP'!$B$3:$B$10005&amp;'DMR 001C TIN &amp; TP'!$A$3:$A$10005),0),MATCH('Reg 85'!$O$11,'DMR 001C TIN &amp; TP'!$A$2:$M$2,0))),"")</f>
        <v/>
      </c>
      <c r="S180" s="6" t="str">
        <f t="array" ref="S180">_xlfn.IFNA((INDEX('DMR 001C TIN &amp; TP'!$A$3:$M$10005,MATCH(('Reg 85'!$I$6:$Q$6&amp;'Reg 85'!S$10&amp;'Reg 85'!$B180),('DMR 001C TIN &amp; TP'!$E$3:$E$10005&amp;'DMR 001C TIN &amp; TP'!$B$3:$B$10005&amp;'DMR 001C TIN &amp; TP'!$A$3:$A$10005),0),MATCH('Reg 85'!$O$11,'DMR 001C TIN &amp; TP'!$A$2:$M$2,0))),"")</f>
        <v/>
      </c>
      <c r="T180" s="6" t="str">
        <f t="array" ref="T180">_xlfn.IFNA((INDEX('DMR 001C TIN &amp; TP'!$A$3:$M$10005,MATCH(('Reg 85'!$I$6:$Q$6&amp;'Reg 85'!T$10&amp;'Reg 85'!$B180),('DMR 001C TIN &amp; TP'!$E$3:$E$10005&amp;'DMR 001C TIN &amp; TP'!$B$3:$B$10005&amp;'DMR 001C TIN &amp; TP'!$A$3:$A$10005),0),MATCH('Reg 85'!$O$11,'DMR 001C TIN &amp; TP'!$A$2:$M$2,0))),"")</f>
        <v/>
      </c>
      <c r="U180" s="6" t="str">
        <f t="array" ref="U180">_xlfn.IFNA((INDEX('DMR 001C TIN &amp; TP'!$A$3:$M$10005,MATCH(('Reg 85'!$I$6:$Q$6&amp;'Reg 85'!U$10&amp;'Reg 85'!$B180),('DMR 001C TIN &amp; TP'!$E$3:$E$10005&amp;'DMR 001C TIN &amp; TP'!$B$3:$B$10005&amp;'DMR 001C TIN &amp; TP'!$A$3:$A$10005),0),MATCH('Reg 85'!$O$11,'DMR 001C TIN &amp; TP'!$A$2:$M$2,0))),"")</f>
        <v/>
      </c>
      <c r="V180" s="6" t="str">
        <f t="array" ref="V180">_xlfn.IFNA((INDEX('DMR 001C TIN &amp; TP'!$A$3:$M$10005,MATCH(('Reg 85'!$I$6:$Q$6&amp;'Reg 85'!V$10&amp;'Reg 85'!$B180),('DMR 001C TIN &amp; TP'!$E$3:$E$10005&amp;'DMR 001C TIN &amp; TP'!$B$3:$B$10005&amp;'DMR 001C TIN &amp; TP'!$A$3:$A$10005),0),MATCH('Reg 85'!$O$11,'DMR 001C TIN &amp; TP'!$A$2:$M$2,0))),"")</f>
        <v/>
      </c>
      <c r="W180" s="6" t="str">
        <f t="array" ref="W180">_xlfn.IFNA((INDEX('DMR 001C TIN &amp; TP'!$A$3:$M$10005,MATCH(('Reg 85'!$I$6:$Q$6&amp;'Reg 85'!W$10&amp;'Reg 85'!$B180),('DMR 001C TIN &amp; TP'!$E$3:$E$10005&amp;'DMR 001C TIN &amp; TP'!$B$3:$B$10005&amp;'DMR 001C TIN &amp; TP'!$A$3:$A$10005),0),MATCH('Reg 85'!$O$11,'DMR 001C TIN &amp; TP'!$A$2:$M$2,0))),"")</f>
        <v/>
      </c>
      <c r="X180" s="5" t="str">
        <f t="shared" si="71"/>
        <v/>
      </c>
      <c r="Y180" s="6" t="str">
        <f t="array" ref="Y180">_xlfn.IFNA((INDEX('DMR 001C TIN &amp; TP'!$A$3:$M$10005,MATCH(('Reg 85'!$X$6&amp;'Reg 85'!$X$10&amp;'Reg 85'!$B180),('DMR 001C TIN &amp; TP'!$E$3:$E$10005&amp;'DMR 001C TIN &amp; TP'!$B$3:$B$10005&amp;'DMR 001C TIN &amp; TP'!$A$3:$A$10005),0),MATCH('Reg 85'!$Y$11,'DMR 001C TIN &amp; TP'!$A$2:$M$2,0))),"")</f>
        <v/>
      </c>
      <c r="Z180" s="6" t="str">
        <f t="array" ref="Z180">_xlfn.IFNA((INDEX('DMR 001C TIN &amp; TP'!$A$3:$M$10005,MATCH(('Reg 85'!$X$6&amp;'Reg 85'!$X$10&amp;'Reg 85'!$B180),('DMR 001C TIN &amp; TP'!$E$3:$E$10005&amp;'DMR 001C TIN &amp; TP'!$B$3:$B$10005&amp;'DMR 001C TIN &amp; TP'!$A$3:$A$10005),0),MATCH('Reg 85'!$Z$11,'DMR 001C TIN &amp; TP'!$A$2:$M$2,0))),"")</f>
        <v/>
      </c>
      <c r="AA180" s="53" t="str">
        <f t="shared" si="72"/>
        <v/>
      </c>
      <c r="AB180" s="5" t="str">
        <f t="shared" si="73"/>
        <v/>
      </c>
      <c r="AC180" s="6" t="str">
        <f t="array" ref="AC180">_xlfn.IFNA((INDEX('DMR 001C TIN &amp; TP'!$A$3:$M$10005,MATCH(('Reg 85'!$X$6&amp;'Reg 85'!$AB$10&amp;'Reg 85'!$B180),('DMR 001C TIN &amp; TP'!$E$3:$E$10005&amp;'DMR 001C TIN &amp; TP'!$B$3:$B$10005&amp;'DMR 001C TIN &amp; TP'!$A$3:$A$10005),0),MATCH('Reg 85'!$AC$11,'DMR 001C TIN &amp; TP'!$A$2:$M$2,0))),"")</f>
        <v/>
      </c>
      <c r="AD180" s="6" t="str">
        <f t="array" ref="AD180">_xlfn.IFNA((INDEX('DMR 001C TIN &amp; TP'!$A$3:$M$10005,MATCH(('Reg 85'!$X$6&amp;'Reg 85'!$AB$10&amp;'Reg 85'!$B180),('DMR 001C TIN &amp; TP'!$E$3:$E$10005&amp;'DMR 001C TIN &amp; TP'!$B$3:$B$10005&amp;'DMR 001C TIN &amp; TP'!$A$3:$A$10005),0),MATCH('Reg 85'!$AD$11,'DMR 001C TIN &amp; TP'!$A$2:$M$2,0))),"")</f>
        <v/>
      </c>
      <c r="AE180" s="53" t="str">
        <f t="shared" si="74"/>
        <v/>
      </c>
      <c r="AF180" s="7" t="str">
        <f t="shared" si="75"/>
        <v/>
      </c>
      <c r="AG180" s="6" t="str">
        <f t="array" ref="AG180">_xlfn.IFNA((INDEX('DMR 001C TIN &amp; TP'!$A$3:$M$10005,MATCH(('Reg 85'!$X$6&amp;'Reg 85'!AG$10&amp;'Reg 85'!$B180),('DMR 001C TIN &amp; TP'!$E$3:$E$10005&amp;'DMR 001C TIN &amp; TP'!$B$3:$B$10005&amp;'DMR 001C TIN &amp; TP'!$A$3:$A$10005),0),MATCH('Reg 85'!$AG$11,'DMR 001C TIN &amp; TP'!$A$2:$M$2,0))),"")</f>
        <v/>
      </c>
      <c r="AH180" s="6" t="str">
        <f t="array" ref="AH180">_xlfn.IFNA((INDEX('DMR 001C TIN &amp; TP'!$A$3:$M$10005,MATCH(('Reg 85'!$X$6&amp;'Reg 85'!AH$10&amp;'Reg 85'!$B180),('DMR 001C TIN &amp; TP'!$E$3:$E$10005&amp;'DMR 001C TIN &amp; TP'!$B$3:$B$10005&amp;'DMR 001C TIN &amp; TP'!$A$3:$A$10005),0),MATCH('Reg 85'!$AG$11,'DMR 001C TIN &amp; TP'!$A$2:$M$2,0))),"")</f>
        <v/>
      </c>
      <c r="AI180" s="6" t="str">
        <f t="array" ref="AI180">_xlfn.IFNA((INDEX('DMR 001C TIN &amp; TP'!$A$3:$M$10005,MATCH(('Reg 85'!$X$6&amp;'Reg 85'!AI$10&amp;'Reg 85'!$B180),('DMR 001C TIN &amp; TP'!$E$3:$E$10005&amp;'DMR 001C TIN &amp; TP'!$B$3:$B$10005&amp;'DMR 001C TIN &amp; TP'!$A$3:$A$10005),0),MATCH('Reg 85'!$AG$11,'DMR 001C TIN &amp; TP'!$A$2:$M$2,0))),"")</f>
        <v/>
      </c>
      <c r="AJ180" s="6" t="str">
        <f t="array" ref="AJ180">_xlfn.IFNA((INDEX('DMR 001C TIN &amp; TP'!$A$3:$M$10005,MATCH(('Reg 85'!$X$6&amp;'Reg 85'!AJ$10&amp;'Reg 85'!$B180),('DMR 001C TIN &amp; TP'!$E$3:$E$10005&amp;'DMR 001C TIN &amp; TP'!$B$3:$B$10005&amp;'DMR 001C TIN &amp; TP'!$A$3:$A$10005),0),MATCH('Reg 85'!$AG$11,'DMR 001C TIN &amp; TP'!$A$2:$M$2,0))),"")</f>
        <v/>
      </c>
      <c r="AK180" s="6" t="str">
        <f t="array" ref="AK180">_xlfn.IFNA((INDEX('DMR 001C TIN &amp; TP'!$A$3:$M$10005,MATCH(('Reg 85'!$X$6&amp;'Reg 85'!AK$10&amp;'Reg 85'!$B180),('DMR 001C TIN &amp; TP'!$E$3:$E$10005&amp;'DMR 001C TIN &amp; TP'!$B$3:$B$10005&amp;'DMR 001C TIN &amp; TP'!$A$3:$A$10005),0),MATCH('Reg 85'!$AG$11,'DMR 001C TIN &amp; TP'!$A$2:$M$2,0))),"")</f>
        <v/>
      </c>
      <c r="AL180" s="6" t="str">
        <f t="array" ref="AL180">_xlfn.IFNA((INDEX('DMR 001C TIN &amp; TP'!$A$3:$M$10005,MATCH(('Reg 85'!$X$6&amp;'Reg 85'!AL$10&amp;'Reg 85'!$B180),('DMR 001C TIN &amp; TP'!$E$3:$E$10005&amp;'DMR 001C TIN &amp; TP'!$B$3:$B$10005&amp;'DMR 001C TIN &amp; TP'!$A$3:$A$10005),0),MATCH('Reg 85'!$AG$11,'DMR 001C TIN &amp; TP'!$A$2:$M$2,0))),"")</f>
        <v/>
      </c>
      <c r="AM180" s="76"/>
      <c r="AN180" s="6"/>
      <c r="AO180" s="54" t="str">
        <f t="shared" si="62"/>
        <v/>
      </c>
      <c r="AP180" s="77" t="str">
        <f t="shared" si="81"/>
        <v/>
      </c>
      <c r="AQ180" s="47"/>
      <c r="AR180" s="6" t="str">
        <f t="array" ref="AR180">_xlfn.IFNA((INDEX('DMR 001C TIN &amp; TP'!$A$3:$M$10005,MATCH(('Reg 85'!$AQ$6&amp;'Reg 85'!$AQ$10&amp;'Reg 85'!$B180),('DMR 001C TIN &amp; TP'!$E$3:$E$10005&amp;'DMR 001C TIN &amp; TP'!$B$3:$B$10005&amp;'DMR 001C TIN &amp; TP'!$A$3:$A$10005),0),MATCH('Reg 85'!$AR$11,'DMR 001C TIN &amp; TP'!$A$2:$M$2,0))),"")</f>
        <v/>
      </c>
      <c r="AS180" s="6" t="str">
        <f t="array" ref="AS180">_xlfn.IFNA((INDEX('DMR 001C TIN &amp; TP'!$A$3:$M$10005,MATCH(('Reg 85'!$AQ$6&amp;'Reg 85'!$AQ$10&amp;'Reg 85'!$B180),('DMR 001C TIN &amp; TP'!$E$3:$E$10005&amp;'DMR 001C TIN &amp; TP'!$B$3:$B$10005&amp;'DMR 001C TIN &amp; TP'!$A$3:$A$10005),0),MATCH('Reg 85'!$AS$11,'DMR 001C TIN &amp; TP'!$A$2:$M$2,0))),"")</f>
        <v/>
      </c>
      <c r="AT180" s="53" t="str">
        <f t="shared" si="76"/>
        <v/>
      </c>
      <c r="AV180" s="6" t="str">
        <f t="array" ref="AV180">_xlfn.IFNA((INDEX('DMR 001C TIN &amp; TP'!$A$3:$M$10005,MATCH(('Reg 85'!$AQ$6&amp;'Reg 85'!$AU$10&amp;'Reg 85'!$B180),('DMR 001C TIN &amp; TP'!$E$3:$E$10005&amp;'DMR 001C TIN &amp; TP'!$B$3:$B$10005&amp;'DMR 001C TIN &amp; TP'!$A$3:$A$10005),0),MATCH('Reg 85'!$AV$11,'DMR 001C TIN &amp; TP'!$A$2:$M$2,0))),"")</f>
        <v/>
      </c>
      <c r="AW180" s="6" t="str">
        <f t="array" ref="AW180">_xlfn.IFNA((INDEX('DMR 001C TIN &amp; TP'!$A$3:$M$10005,MATCH(('Reg 85'!$AQ$6&amp;'Reg 85'!$AU$10&amp;'Reg 85'!$B180),('DMR 001C TIN &amp; TP'!$E$3:$E$10005&amp;'DMR 001C TIN &amp; TP'!$B$3:$B$10005&amp;'DMR 001C TIN &amp; TP'!$A$3:$A$10005),0),MATCH('Reg 85'!$AW$11,'DMR 001C TIN &amp; TP'!$A$2:$M$2,0))),"")</f>
        <v/>
      </c>
      <c r="AX180" s="53" t="str">
        <f t="shared" si="77"/>
        <v/>
      </c>
      <c r="AY180" s="55" t="str">
        <f t="shared" si="78"/>
        <v/>
      </c>
      <c r="AZ180" s="77" t="str">
        <f t="shared" si="82"/>
        <v/>
      </c>
      <c r="BA180" s="6" t="str">
        <f t="array" ref="BA180">_xlfn.IFNA((INDEX('DMR 001C TIN &amp; TP'!$A$3:$M$10005,MATCH(('Reg 85'!$AQ$6&amp;'Reg 85'!BA$10&amp;'Reg 85'!$B180),('DMR 001C TIN &amp; TP'!$E$3:$E$10005&amp;'DMR 001C TIN &amp; TP'!$B$3:$B$10005&amp;'DMR 001C TIN &amp; TP'!$A$3:$A$10005),0),MATCH('Reg 85'!$AG$11,'DMR 001C TIN &amp; TP'!$A$2:$M$2,0))),"")</f>
        <v/>
      </c>
      <c r="BB180" s="6" t="str">
        <f t="array" ref="BB180">_xlfn.IFNA((INDEX('DMR 001C TIN &amp; TP'!$A$3:$M$10005,MATCH(('Reg 85'!$AQ$6&amp;'Reg 85'!BB$10&amp;'Reg 85'!$B180),('DMR 001C TIN &amp; TP'!$E$3:$E$10005&amp;'DMR 001C TIN &amp; TP'!$B$3:$B$10005&amp;'DMR 001C TIN &amp; TP'!$A$3:$A$10005),0),MATCH('Reg 85'!$AG$11,'DMR 001C TIN &amp; TP'!$A$2:$M$2,0))),"")</f>
        <v/>
      </c>
      <c r="BC180" s="6" t="str">
        <f t="array" ref="BC180">_xlfn.IFNA((INDEX('DMR 001C TIN &amp; TP'!$A$3:$M$10005,MATCH(('Reg 85'!$AQ$6&amp;'Reg 85'!BC$10&amp;'Reg 85'!$B180),('DMR 001C TIN &amp; TP'!$E$3:$E$10005&amp;'DMR 001C TIN &amp; TP'!$B$3:$B$10005&amp;'DMR 001C TIN &amp; TP'!$A$3:$A$10005),0),MATCH('Reg 85'!$AG$11,'DMR 001C TIN &amp; TP'!$A$2:$M$2,0))),"")</f>
        <v/>
      </c>
      <c r="BD180" s="6" t="str">
        <f t="array" ref="BD180">_xlfn.IFNA((INDEX('DMR 001C TIN &amp; TP'!$A$3:$M$10005,MATCH(('Reg 85'!$AQ$6&amp;'Reg 85'!BD$10&amp;'Reg 85'!$B180),('DMR 001C TIN &amp; TP'!$E$3:$E$10005&amp;'DMR 001C TIN &amp; TP'!$B$3:$B$10005&amp;'DMR 001C TIN &amp; TP'!$A$3:$A$10005),0),MATCH('Reg 85'!$AG$11,'DMR 001C TIN &amp; TP'!$A$2:$M$2,0))),"")</f>
        <v/>
      </c>
      <c r="BE180" s="6" t="str">
        <f t="array" ref="BE180">_xlfn.IFNA((INDEX('DMR 001C TIN &amp; TP'!$A$3:$M$10005,MATCH(('Reg 85'!$AQ$6&amp;'Reg 85'!BE$10&amp;'Reg 85'!$B180),('DMR 001C TIN &amp; TP'!$E$3:$E$10005&amp;'DMR 001C TIN &amp; TP'!$B$3:$B$10005&amp;'DMR 001C TIN &amp; TP'!$A$3:$A$10005),0),MATCH('Reg 85'!$AG$11,'DMR 001C TIN &amp; TP'!$A$2:$M$2,0))),"")</f>
        <v/>
      </c>
      <c r="BF180" s="6" t="str">
        <f t="array" ref="BF180">_xlfn.IFNA((INDEX('DMR 001C TIN &amp; TP'!$A$3:$M$10005,MATCH(('Reg 85'!$AQ$6&amp;'Reg 85'!BF$10&amp;'Reg 85'!$B180),('DMR 001C TIN &amp; TP'!$E$3:$E$10005&amp;'DMR 001C TIN &amp; TP'!$B$3:$B$10005&amp;'DMR 001C TIN &amp; TP'!$A$3:$A$10005),0),MATCH('Reg 85'!$AG$11,'DMR 001C TIN &amp; TP'!$A$2:$M$2,0))),"")</f>
        <v/>
      </c>
    </row>
    <row r="181" spans="1:58">
      <c r="A181" s="3" t="str">
        <f t="shared" si="63"/>
        <v>Sun</v>
      </c>
      <c r="B181" s="96">
        <f t="shared" si="79"/>
        <v>43513</v>
      </c>
      <c r="C181" s="96">
        <f t="shared" si="64"/>
        <v>43524</v>
      </c>
      <c r="D181" s="96">
        <f t="shared" si="65"/>
        <v>43497</v>
      </c>
      <c r="E181" s="95">
        <f t="shared" si="66"/>
        <v>28</v>
      </c>
      <c r="F181" s="7">
        <f t="array" ref="F181">_xlfn.IFNA(INDEX('DMR Flows-Effluent'!$A$3:$F$9999,MATCH(($F$10&amp;$B181),('DMR Flows-Effluent'!$B$3:$B$9999&amp;'DMR Flows-Effluent'!$A$3:$A$9999),0),MATCH($F$8,'DMR Flows-Effluent'!$A$2:$F$2,0)),"")</f>
        <v>59.116599999999998</v>
      </c>
      <c r="G181" s="7">
        <f t="array" ref="G181">_xlfn.IFNA(INDEX('DMR Flows-Effluent'!$A$3:$F$9999,MATCH(($G$10&amp;$B181),('DMR Flows-Effluent'!$B$3:$B$9999&amp;'DMR Flows-Effluent'!$A$3:$A$9999),0),MATCH($F$8,'DMR Flows-Effluent'!$A$2:$F$2,0)),"")</f>
        <v>65.397000000000006</v>
      </c>
      <c r="H181" s="7">
        <f t="shared" si="67"/>
        <v>124.5136</v>
      </c>
      <c r="I181" s="45" t="str">
        <f t="shared" si="68"/>
        <v/>
      </c>
      <c r="J181" s="6" t="str">
        <f t="array" ref="J181">_xlfn.IFNA((INDEX('DMR 001C TIN &amp; TP'!$A$3:$M$10005,MATCH(('Reg 85'!$I$6:$Q$6&amp;'Reg 85'!$I$10:$K$10&amp;'Reg 85'!$B181),('DMR 001C TIN &amp; TP'!$E$3:$E$10005&amp;'DMR 001C TIN &amp; TP'!$B$3:$B$10005&amp;'DMR 001C TIN &amp; TP'!$A$3:$A$10005),0),MATCH('Reg 85'!$J$11,'DMR 001C TIN &amp; TP'!$A$2:$M$2,0))),"")</f>
        <v/>
      </c>
      <c r="K181" s="6" t="str">
        <f t="array" ref="K181">_xlfn.IFNA((INDEX('DMR 001C TIN &amp; TP'!$A$3:$M$10005,MATCH(('Reg 85'!$I$6:$Q$6&amp;'Reg 85'!$I$10:$K$10&amp;'Reg 85'!$B181),('DMR 001C TIN &amp; TP'!$E$3:$E$10005&amp;'DMR 001C TIN &amp; TP'!$B$3:$B$10005&amp;'DMR 001C TIN &amp; TP'!$A$3:$A$10005),0),MATCH('Reg 85'!$K$11,'DMR 001C TIN &amp; TP'!$A$2:$M$2,0))),"")</f>
        <v/>
      </c>
      <c r="L181" s="53" t="str">
        <f t="shared" si="80"/>
        <v/>
      </c>
      <c r="M181" s="5" t="str">
        <f t="shared" si="69"/>
        <v/>
      </c>
      <c r="N181" s="6" t="str">
        <f t="array" ref="N181">_xlfn.IFNA((INDEX('DMR 001C TIN &amp; TP'!$A$3:$M$10005,MATCH(('Reg 85'!$I$6:$Q$6&amp;'Reg 85'!$M$10&amp;'Reg 85'!$B181),('DMR 001C TIN &amp; TP'!$E$3:$E$10005&amp;'DMR 001C TIN &amp; TP'!$B$3:$B$10005&amp;'DMR 001C TIN &amp; TP'!$A$3:$A$10005),0),MATCH('Reg 85'!$N$11,'DMR 001C TIN &amp; TP'!$A$2:$M$2,0))),"")</f>
        <v/>
      </c>
      <c r="O181" s="6" t="str">
        <f t="array" ref="O181">_xlfn.IFNA((INDEX('DMR 001C TIN &amp; TP'!$A$3:$M$10005,MATCH(('Reg 85'!$I$6:$Q$6&amp;'Reg 85'!$M$10&amp;'Reg 85'!$B181),('DMR 001C TIN &amp; TP'!$E$3:$E$10005&amp;'DMR 001C TIN &amp; TP'!$B$3:$B$10005&amp;'DMR 001C TIN &amp; TP'!$A$3:$A$10005),0),MATCH('Reg 85'!$O$11,'DMR 001C TIN &amp; TP'!$A$2:$M$2,0))),"")</f>
        <v/>
      </c>
      <c r="P181" s="53" t="str">
        <f t="shared" si="70"/>
        <v/>
      </c>
      <c r="Q181" s="73" t="str">
        <f t="array" ref="Q181">IFERROR(((L181*$F181)+(P181*$G181))/($H181),"")</f>
        <v/>
      </c>
      <c r="R181" s="6" t="str">
        <f t="array" ref="R181">_xlfn.IFNA((INDEX('DMR 001C TIN &amp; TP'!$A$3:$M$10005,MATCH(('Reg 85'!$I$6:$Q$6&amp;'Reg 85'!R$10&amp;'Reg 85'!$B181),('DMR 001C TIN &amp; TP'!$E$3:$E$10005&amp;'DMR 001C TIN &amp; TP'!$B$3:$B$10005&amp;'DMR 001C TIN &amp; TP'!$A$3:$A$10005),0),MATCH('Reg 85'!$O$11,'DMR 001C TIN &amp; TP'!$A$2:$M$2,0))),"")</f>
        <v/>
      </c>
      <c r="S181" s="6" t="str">
        <f t="array" ref="S181">_xlfn.IFNA((INDEX('DMR 001C TIN &amp; TP'!$A$3:$M$10005,MATCH(('Reg 85'!$I$6:$Q$6&amp;'Reg 85'!S$10&amp;'Reg 85'!$B181),('DMR 001C TIN &amp; TP'!$E$3:$E$10005&amp;'DMR 001C TIN &amp; TP'!$B$3:$B$10005&amp;'DMR 001C TIN &amp; TP'!$A$3:$A$10005),0),MATCH('Reg 85'!$O$11,'DMR 001C TIN &amp; TP'!$A$2:$M$2,0))),"")</f>
        <v/>
      </c>
      <c r="T181" s="6" t="str">
        <f t="array" ref="T181">_xlfn.IFNA((INDEX('DMR 001C TIN &amp; TP'!$A$3:$M$10005,MATCH(('Reg 85'!$I$6:$Q$6&amp;'Reg 85'!T$10&amp;'Reg 85'!$B181),('DMR 001C TIN &amp; TP'!$E$3:$E$10005&amp;'DMR 001C TIN &amp; TP'!$B$3:$B$10005&amp;'DMR 001C TIN &amp; TP'!$A$3:$A$10005),0),MATCH('Reg 85'!$O$11,'DMR 001C TIN &amp; TP'!$A$2:$M$2,0))),"")</f>
        <v/>
      </c>
      <c r="U181" s="6" t="str">
        <f t="array" ref="U181">_xlfn.IFNA((INDEX('DMR 001C TIN &amp; TP'!$A$3:$M$10005,MATCH(('Reg 85'!$I$6:$Q$6&amp;'Reg 85'!U$10&amp;'Reg 85'!$B181),('DMR 001C TIN &amp; TP'!$E$3:$E$10005&amp;'DMR 001C TIN &amp; TP'!$B$3:$B$10005&amp;'DMR 001C TIN &amp; TP'!$A$3:$A$10005),0),MATCH('Reg 85'!$O$11,'DMR 001C TIN &amp; TP'!$A$2:$M$2,0))),"")</f>
        <v/>
      </c>
      <c r="V181" s="6" t="str">
        <f t="array" ref="V181">_xlfn.IFNA((INDEX('DMR 001C TIN &amp; TP'!$A$3:$M$10005,MATCH(('Reg 85'!$I$6:$Q$6&amp;'Reg 85'!V$10&amp;'Reg 85'!$B181),('DMR 001C TIN &amp; TP'!$E$3:$E$10005&amp;'DMR 001C TIN &amp; TP'!$B$3:$B$10005&amp;'DMR 001C TIN &amp; TP'!$A$3:$A$10005),0),MATCH('Reg 85'!$O$11,'DMR 001C TIN &amp; TP'!$A$2:$M$2,0))),"")</f>
        <v/>
      </c>
      <c r="W181" s="6" t="str">
        <f t="array" ref="W181">_xlfn.IFNA((INDEX('DMR 001C TIN &amp; TP'!$A$3:$M$10005,MATCH(('Reg 85'!$I$6:$Q$6&amp;'Reg 85'!W$10&amp;'Reg 85'!$B181),('DMR 001C TIN &amp; TP'!$E$3:$E$10005&amp;'DMR 001C TIN &amp; TP'!$B$3:$B$10005&amp;'DMR 001C TIN &amp; TP'!$A$3:$A$10005),0),MATCH('Reg 85'!$O$11,'DMR 001C TIN &amp; TP'!$A$2:$M$2,0))),"")</f>
        <v/>
      </c>
      <c r="X181" s="5" t="str">
        <f t="shared" si="71"/>
        <v/>
      </c>
      <c r="Y181" s="6" t="str">
        <f t="array" ref="Y181">_xlfn.IFNA((INDEX('DMR 001C TIN &amp; TP'!$A$3:$M$10005,MATCH(('Reg 85'!$X$6&amp;'Reg 85'!$X$10&amp;'Reg 85'!$B181),('DMR 001C TIN &amp; TP'!$E$3:$E$10005&amp;'DMR 001C TIN &amp; TP'!$B$3:$B$10005&amp;'DMR 001C TIN &amp; TP'!$A$3:$A$10005),0),MATCH('Reg 85'!$Y$11,'DMR 001C TIN &amp; TP'!$A$2:$M$2,0))),"")</f>
        <v/>
      </c>
      <c r="Z181" s="6" t="str">
        <f t="array" ref="Z181">_xlfn.IFNA((INDEX('DMR 001C TIN &amp; TP'!$A$3:$M$10005,MATCH(('Reg 85'!$X$6&amp;'Reg 85'!$X$10&amp;'Reg 85'!$B181),('DMR 001C TIN &amp; TP'!$E$3:$E$10005&amp;'DMR 001C TIN &amp; TP'!$B$3:$B$10005&amp;'DMR 001C TIN &amp; TP'!$A$3:$A$10005),0),MATCH('Reg 85'!$Z$11,'DMR 001C TIN &amp; TP'!$A$2:$M$2,0))),"")</f>
        <v/>
      </c>
      <c r="AA181" s="53" t="str">
        <f t="shared" si="72"/>
        <v/>
      </c>
      <c r="AB181" s="5" t="str">
        <f t="shared" si="73"/>
        <v/>
      </c>
      <c r="AC181" s="6" t="str">
        <f t="array" ref="AC181">_xlfn.IFNA((INDEX('DMR 001C TIN &amp; TP'!$A$3:$M$10005,MATCH(('Reg 85'!$X$6&amp;'Reg 85'!$AB$10&amp;'Reg 85'!$B181),('DMR 001C TIN &amp; TP'!$E$3:$E$10005&amp;'DMR 001C TIN &amp; TP'!$B$3:$B$10005&amp;'DMR 001C TIN &amp; TP'!$A$3:$A$10005),0),MATCH('Reg 85'!$AC$11,'DMR 001C TIN &amp; TP'!$A$2:$M$2,0))),"")</f>
        <v/>
      </c>
      <c r="AD181" s="6" t="str">
        <f t="array" ref="AD181">_xlfn.IFNA((INDEX('DMR 001C TIN &amp; TP'!$A$3:$M$10005,MATCH(('Reg 85'!$X$6&amp;'Reg 85'!$AB$10&amp;'Reg 85'!$B181),('DMR 001C TIN &amp; TP'!$E$3:$E$10005&amp;'DMR 001C TIN &amp; TP'!$B$3:$B$10005&amp;'DMR 001C TIN &amp; TP'!$A$3:$A$10005),0),MATCH('Reg 85'!$AD$11,'DMR 001C TIN &amp; TP'!$A$2:$M$2,0))),"")</f>
        <v/>
      </c>
      <c r="AE181" s="53" t="str">
        <f t="shared" si="74"/>
        <v/>
      </c>
      <c r="AF181" s="7" t="str">
        <f t="shared" si="75"/>
        <v/>
      </c>
      <c r="AG181" s="6" t="str">
        <f t="array" ref="AG181">_xlfn.IFNA((INDEX('DMR 001C TIN &amp; TP'!$A$3:$M$10005,MATCH(('Reg 85'!$X$6&amp;'Reg 85'!AG$10&amp;'Reg 85'!$B181),('DMR 001C TIN &amp; TP'!$E$3:$E$10005&amp;'DMR 001C TIN &amp; TP'!$B$3:$B$10005&amp;'DMR 001C TIN &amp; TP'!$A$3:$A$10005),0),MATCH('Reg 85'!$AG$11,'DMR 001C TIN &amp; TP'!$A$2:$M$2,0))),"")</f>
        <v/>
      </c>
      <c r="AH181" s="6" t="str">
        <f t="array" ref="AH181">_xlfn.IFNA((INDEX('DMR 001C TIN &amp; TP'!$A$3:$M$10005,MATCH(('Reg 85'!$X$6&amp;'Reg 85'!AH$10&amp;'Reg 85'!$B181),('DMR 001C TIN &amp; TP'!$E$3:$E$10005&amp;'DMR 001C TIN &amp; TP'!$B$3:$B$10005&amp;'DMR 001C TIN &amp; TP'!$A$3:$A$10005),0),MATCH('Reg 85'!$AG$11,'DMR 001C TIN &amp; TP'!$A$2:$M$2,0))),"")</f>
        <v/>
      </c>
      <c r="AI181" s="6" t="str">
        <f t="array" ref="AI181">_xlfn.IFNA((INDEX('DMR 001C TIN &amp; TP'!$A$3:$M$10005,MATCH(('Reg 85'!$X$6&amp;'Reg 85'!AI$10&amp;'Reg 85'!$B181),('DMR 001C TIN &amp; TP'!$E$3:$E$10005&amp;'DMR 001C TIN &amp; TP'!$B$3:$B$10005&amp;'DMR 001C TIN &amp; TP'!$A$3:$A$10005),0),MATCH('Reg 85'!$AG$11,'DMR 001C TIN &amp; TP'!$A$2:$M$2,0))),"")</f>
        <v/>
      </c>
      <c r="AJ181" s="6" t="str">
        <f t="array" ref="AJ181">_xlfn.IFNA((INDEX('DMR 001C TIN &amp; TP'!$A$3:$M$10005,MATCH(('Reg 85'!$X$6&amp;'Reg 85'!AJ$10&amp;'Reg 85'!$B181),('DMR 001C TIN &amp; TP'!$E$3:$E$10005&amp;'DMR 001C TIN &amp; TP'!$B$3:$B$10005&amp;'DMR 001C TIN &amp; TP'!$A$3:$A$10005),0),MATCH('Reg 85'!$AG$11,'DMR 001C TIN &amp; TP'!$A$2:$M$2,0))),"")</f>
        <v/>
      </c>
      <c r="AK181" s="6" t="str">
        <f t="array" ref="AK181">_xlfn.IFNA((INDEX('DMR 001C TIN &amp; TP'!$A$3:$M$10005,MATCH(('Reg 85'!$X$6&amp;'Reg 85'!AK$10&amp;'Reg 85'!$B181),('DMR 001C TIN &amp; TP'!$E$3:$E$10005&amp;'DMR 001C TIN &amp; TP'!$B$3:$B$10005&amp;'DMR 001C TIN &amp; TP'!$A$3:$A$10005),0),MATCH('Reg 85'!$AG$11,'DMR 001C TIN &amp; TP'!$A$2:$M$2,0))),"")</f>
        <v/>
      </c>
      <c r="AL181" s="6" t="str">
        <f t="array" ref="AL181">_xlfn.IFNA((INDEX('DMR 001C TIN &amp; TP'!$A$3:$M$10005,MATCH(('Reg 85'!$X$6&amp;'Reg 85'!AL$10&amp;'Reg 85'!$B181),('DMR 001C TIN &amp; TP'!$E$3:$E$10005&amp;'DMR 001C TIN &amp; TP'!$B$3:$B$10005&amp;'DMR 001C TIN &amp; TP'!$A$3:$A$10005),0),MATCH('Reg 85'!$AG$11,'DMR 001C TIN &amp; TP'!$A$2:$M$2,0))),"")</f>
        <v/>
      </c>
      <c r="AM181" s="76"/>
      <c r="AN181" s="6"/>
      <c r="AO181" s="54" t="str">
        <f t="shared" si="62"/>
        <v/>
      </c>
      <c r="AP181" s="77" t="str">
        <f t="shared" si="81"/>
        <v/>
      </c>
      <c r="AQ181" s="47"/>
      <c r="AR181" s="6" t="str">
        <f t="array" ref="AR181">_xlfn.IFNA((INDEX('DMR 001C TIN &amp; TP'!$A$3:$M$10005,MATCH(('Reg 85'!$AQ$6&amp;'Reg 85'!$AQ$10&amp;'Reg 85'!$B181),('DMR 001C TIN &amp; TP'!$E$3:$E$10005&amp;'DMR 001C TIN &amp; TP'!$B$3:$B$10005&amp;'DMR 001C TIN &amp; TP'!$A$3:$A$10005),0),MATCH('Reg 85'!$AR$11,'DMR 001C TIN &amp; TP'!$A$2:$M$2,0))),"")</f>
        <v/>
      </c>
      <c r="AS181" s="6" t="str">
        <f t="array" ref="AS181">_xlfn.IFNA((INDEX('DMR 001C TIN &amp; TP'!$A$3:$M$10005,MATCH(('Reg 85'!$AQ$6&amp;'Reg 85'!$AQ$10&amp;'Reg 85'!$B181),('DMR 001C TIN &amp; TP'!$E$3:$E$10005&amp;'DMR 001C TIN &amp; TP'!$B$3:$B$10005&amp;'DMR 001C TIN &amp; TP'!$A$3:$A$10005),0),MATCH('Reg 85'!$AS$11,'DMR 001C TIN &amp; TP'!$A$2:$M$2,0))),"")</f>
        <v/>
      </c>
      <c r="AT181" s="53" t="str">
        <f t="shared" si="76"/>
        <v/>
      </c>
      <c r="AV181" s="6" t="str">
        <f t="array" ref="AV181">_xlfn.IFNA((INDEX('DMR 001C TIN &amp; TP'!$A$3:$M$10005,MATCH(('Reg 85'!$AQ$6&amp;'Reg 85'!$AU$10&amp;'Reg 85'!$B181),('DMR 001C TIN &amp; TP'!$E$3:$E$10005&amp;'DMR 001C TIN &amp; TP'!$B$3:$B$10005&amp;'DMR 001C TIN &amp; TP'!$A$3:$A$10005),0),MATCH('Reg 85'!$AV$11,'DMR 001C TIN &amp; TP'!$A$2:$M$2,0))),"")</f>
        <v/>
      </c>
      <c r="AW181" s="6" t="str">
        <f t="array" ref="AW181">_xlfn.IFNA((INDEX('DMR 001C TIN &amp; TP'!$A$3:$M$10005,MATCH(('Reg 85'!$AQ$6&amp;'Reg 85'!$AU$10&amp;'Reg 85'!$B181),('DMR 001C TIN &amp; TP'!$E$3:$E$10005&amp;'DMR 001C TIN &amp; TP'!$B$3:$B$10005&amp;'DMR 001C TIN &amp; TP'!$A$3:$A$10005),0),MATCH('Reg 85'!$AW$11,'DMR 001C TIN &amp; TP'!$A$2:$M$2,0))),"")</f>
        <v/>
      </c>
      <c r="AX181" s="53" t="str">
        <f t="shared" si="77"/>
        <v/>
      </c>
      <c r="AY181" s="55" t="str">
        <f t="shared" si="78"/>
        <v/>
      </c>
      <c r="AZ181" s="77" t="str">
        <f t="shared" si="82"/>
        <v/>
      </c>
      <c r="BA181" s="6" t="str">
        <f t="array" ref="BA181">_xlfn.IFNA((INDEX('DMR 001C TIN &amp; TP'!$A$3:$M$10005,MATCH(('Reg 85'!$AQ$6&amp;'Reg 85'!BA$10&amp;'Reg 85'!$B181),('DMR 001C TIN &amp; TP'!$E$3:$E$10005&amp;'DMR 001C TIN &amp; TP'!$B$3:$B$10005&amp;'DMR 001C TIN &amp; TP'!$A$3:$A$10005),0),MATCH('Reg 85'!$AG$11,'DMR 001C TIN &amp; TP'!$A$2:$M$2,0))),"")</f>
        <v/>
      </c>
      <c r="BB181" s="6" t="str">
        <f t="array" ref="BB181">_xlfn.IFNA((INDEX('DMR 001C TIN &amp; TP'!$A$3:$M$10005,MATCH(('Reg 85'!$AQ$6&amp;'Reg 85'!BB$10&amp;'Reg 85'!$B181),('DMR 001C TIN &amp; TP'!$E$3:$E$10005&amp;'DMR 001C TIN &amp; TP'!$B$3:$B$10005&amp;'DMR 001C TIN &amp; TP'!$A$3:$A$10005),0),MATCH('Reg 85'!$AG$11,'DMR 001C TIN &amp; TP'!$A$2:$M$2,0))),"")</f>
        <v/>
      </c>
      <c r="BC181" s="6" t="str">
        <f t="array" ref="BC181">_xlfn.IFNA((INDEX('DMR 001C TIN &amp; TP'!$A$3:$M$10005,MATCH(('Reg 85'!$AQ$6&amp;'Reg 85'!BC$10&amp;'Reg 85'!$B181),('DMR 001C TIN &amp; TP'!$E$3:$E$10005&amp;'DMR 001C TIN &amp; TP'!$B$3:$B$10005&amp;'DMR 001C TIN &amp; TP'!$A$3:$A$10005),0),MATCH('Reg 85'!$AG$11,'DMR 001C TIN &amp; TP'!$A$2:$M$2,0))),"")</f>
        <v/>
      </c>
      <c r="BD181" s="6" t="str">
        <f t="array" ref="BD181">_xlfn.IFNA((INDEX('DMR 001C TIN &amp; TP'!$A$3:$M$10005,MATCH(('Reg 85'!$AQ$6&amp;'Reg 85'!BD$10&amp;'Reg 85'!$B181),('DMR 001C TIN &amp; TP'!$E$3:$E$10005&amp;'DMR 001C TIN &amp; TP'!$B$3:$B$10005&amp;'DMR 001C TIN &amp; TP'!$A$3:$A$10005),0),MATCH('Reg 85'!$AG$11,'DMR 001C TIN &amp; TP'!$A$2:$M$2,0))),"")</f>
        <v/>
      </c>
      <c r="BE181" s="6" t="str">
        <f t="array" ref="BE181">_xlfn.IFNA((INDEX('DMR 001C TIN &amp; TP'!$A$3:$M$10005,MATCH(('Reg 85'!$AQ$6&amp;'Reg 85'!BE$10&amp;'Reg 85'!$B181),('DMR 001C TIN &amp; TP'!$E$3:$E$10005&amp;'DMR 001C TIN &amp; TP'!$B$3:$B$10005&amp;'DMR 001C TIN &amp; TP'!$A$3:$A$10005),0),MATCH('Reg 85'!$AG$11,'DMR 001C TIN &amp; TP'!$A$2:$M$2,0))),"")</f>
        <v/>
      </c>
      <c r="BF181" s="6" t="str">
        <f t="array" ref="BF181">_xlfn.IFNA((INDEX('DMR 001C TIN &amp; TP'!$A$3:$M$10005,MATCH(('Reg 85'!$AQ$6&amp;'Reg 85'!BF$10&amp;'Reg 85'!$B181),('DMR 001C TIN &amp; TP'!$E$3:$E$10005&amp;'DMR 001C TIN &amp; TP'!$B$3:$B$10005&amp;'DMR 001C TIN &amp; TP'!$A$3:$A$10005),0),MATCH('Reg 85'!$AG$11,'DMR 001C TIN &amp; TP'!$A$2:$M$2,0))),"")</f>
        <v/>
      </c>
    </row>
    <row r="182" spans="1:58">
      <c r="A182" s="3" t="str">
        <f t="shared" si="63"/>
        <v>Mon</v>
      </c>
      <c r="B182" s="96">
        <f t="shared" si="79"/>
        <v>43514</v>
      </c>
      <c r="C182" s="96">
        <f t="shared" si="64"/>
        <v>43524</v>
      </c>
      <c r="D182" s="96">
        <f t="shared" si="65"/>
        <v>43497</v>
      </c>
      <c r="E182" s="95">
        <f t="shared" si="66"/>
        <v>28</v>
      </c>
      <c r="F182" s="7">
        <f t="array" ref="F182">_xlfn.IFNA(INDEX('DMR Flows-Effluent'!$A$3:$F$9999,MATCH(($F$10&amp;$B182),('DMR Flows-Effluent'!$B$3:$B$9999&amp;'DMR Flows-Effluent'!$A$3:$A$9999),0),MATCH($F$8,'DMR Flows-Effluent'!$A$2:$F$2,0)),"")</f>
        <v>60.924500000000002</v>
      </c>
      <c r="G182" s="7">
        <f t="array" ref="G182">_xlfn.IFNA(INDEX('DMR Flows-Effluent'!$A$3:$F$9999,MATCH(($G$10&amp;$B182),('DMR Flows-Effluent'!$B$3:$B$9999&amp;'DMR Flows-Effluent'!$A$3:$A$9999),0),MATCH($F$8,'DMR Flows-Effluent'!$A$2:$F$2,0)),"")</f>
        <v>60.732999999999997</v>
      </c>
      <c r="H182" s="7">
        <f t="shared" si="67"/>
        <v>121.6575</v>
      </c>
      <c r="I182" s="45" t="str">
        <f t="shared" si="68"/>
        <v/>
      </c>
      <c r="J182" s="6" t="str">
        <f t="array" ref="J182">_xlfn.IFNA((INDEX('DMR 001C TIN &amp; TP'!$A$3:$M$10005,MATCH(('Reg 85'!$I$6:$Q$6&amp;'Reg 85'!$I$10:$K$10&amp;'Reg 85'!$B182),('DMR 001C TIN &amp; TP'!$E$3:$E$10005&amp;'DMR 001C TIN &amp; TP'!$B$3:$B$10005&amp;'DMR 001C TIN &amp; TP'!$A$3:$A$10005),0),MATCH('Reg 85'!$J$11,'DMR 001C TIN &amp; TP'!$A$2:$M$2,0))),"")</f>
        <v/>
      </c>
      <c r="K182" s="6" t="str">
        <f t="array" ref="K182">_xlfn.IFNA((INDEX('DMR 001C TIN &amp; TP'!$A$3:$M$10005,MATCH(('Reg 85'!$I$6:$Q$6&amp;'Reg 85'!$I$10:$K$10&amp;'Reg 85'!$B182),('DMR 001C TIN &amp; TP'!$E$3:$E$10005&amp;'DMR 001C TIN &amp; TP'!$B$3:$B$10005&amp;'DMR 001C TIN &amp; TP'!$A$3:$A$10005),0),MATCH('Reg 85'!$K$11,'DMR 001C TIN &amp; TP'!$A$2:$M$2,0))),"")</f>
        <v/>
      </c>
      <c r="L182" s="53" t="str">
        <f t="shared" si="80"/>
        <v/>
      </c>
      <c r="M182" s="5" t="str">
        <f t="shared" si="69"/>
        <v/>
      </c>
      <c r="N182" s="6" t="str">
        <f t="array" ref="N182">_xlfn.IFNA((INDEX('DMR 001C TIN &amp; TP'!$A$3:$M$10005,MATCH(('Reg 85'!$I$6:$Q$6&amp;'Reg 85'!$M$10&amp;'Reg 85'!$B182),('DMR 001C TIN &amp; TP'!$E$3:$E$10005&amp;'DMR 001C TIN &amp; TP'!$B$3:$B$10005&amp;'DMR 001C TIN &amp; TP'!$A$3:$A$10005),0),MATCH('Reg 85'!$N$11,'DMR 001C TIN &amp; TP'!$A$2:$M$2,0))),"")</f>
        <v/>
      </c>
      <c r="O182" s="6" t="str">
        <f t="array" ref="O182">_xlfn.IFNA((INDEX('DMR 001C TIN &amp; TP'!$A$3:$M$10005,MATCH(('Reg 85'!$I$6:$Q$6&amp;'Reg 85'!$M$10&amp;'Reg 85'!$B182),('DMR 001C TIN &amp; TP'!$E$3:$E$10005&amp;'DMR 001C TIN &amp; TP'!$B$3:$B$10005&amp;'DMR 001C TIN &amp; TP'!$A$3:$A$10005),0),MATCH('Reg 85'!$O$11,'DMR 001C TIN &amp; TP'!$A$2:$M$2,0))),"")</f>
        <v/>
      </c>
      <c r="P182" s="53" t="str">
        <f t="shared" si="70"/>
        <v/>
      </c>
      <c r="Q182" s="73" t="str">
        <f t="array" ref="Q182">IFERROR(((L182*$F182)+(P182*$G182))/($H182),"")</f>
        <v/>
      </c>
      <c r="R182" s="6" t="str">
        <f t="array" ref="R182">_xlfn.IFNA((INDEX('DMR 001C TIN &amp; TP'!$A$3:$M$10005,MATCH(('Reg 85'!$I$6:$Q$6&amp;'Reg 85'!R$10&amp;'Reg 85'!$B182),('DMR 001C TIN &amp; TP'!$E$3:$E$10005&amp;'DMR 001C TIN &amp; TP'!$B$3:$B$10005&amp;'DMR 001C TIN &amp; TP'!$A$3:$A$10005),0),MATCH('Reg 85'!$O$11,'DMR 001C TIN &amp; TP'!$A$2:$M$2,0))),"")</f>
        <v/>
      </c>
      <c r="S182" s="6" t="str">
        <f t="array" ref="S182">_xlfn.IFNA((INDEX('DMR 001C TIN &amp; TP'!$A$3:$M$10005,MATCH(('Reg 85'!$I$6:$Q$6&amp;'Reg 85'!S$10&amp;'Reg 85'!$B182),('DMR 001C TIN &amp; TP'!$E$3:$E$10005&amp;'DMR 001C TIN &amp; TP'!$B$3:$B$10005&amp;'DMR 001C TIN &amp; TP'!$A$3:$A$10005),0),MATCH('Reg 85'!$O$11,'DMR 001C TIN &amp; TP'!$A$2:$M$2,0))),"")</f>
        <v/>
      </c>
      <c r="T182" s="6" t="str">
        <f t="array" ref="T182">_xlfn.IFNA((INDEX('DMR 001C TIN &amp; TP'!$A$3:$M$10005,MATCH(('Reg 85'!$I$6:$Q$6&amp;'Reg 85'!T$10&amp;'Reg 85'!$B182),('DMR 001C TIN &amp; TP'!$E$3:$E$10005&amp;'DMR 001C TIN &amp; TP'!$B$3:$B$10005&amp;'DMR 001C TIN &amp; TP'!$A$3:$A$10005),0),MATCH('Reg 85'!$O$11,'DMR 001C TIN &amp; TP'!$A$2:$M$2,0))),"")</f>
        <v/>
      </c>
      <c r="U182" s="6" t="str">
        <f t="array" ref="U182">_xlfn.IFNA((INDEX('DMR 001C TIN &amp; TP'!$A$3:$M$10005,MATCH(('Reg 85'!$I$6:$Q$6&amp;'Reg 85'!U$10&amp;'Reg 85'!$B182),('DMR 001C TIN &amp; TP'!$E$3:$E$10005&amp;'DMR 001C TIN &amp; TP'!$B$3:$B$10005&amp;'DMR 001C TIN &amp; TP'!$A$3:$A$10005),0),MATCH('Reg 85'!$O$11,'DMR 001C TIN &amp; TP'!$A$2:$M$2,0))),"")</f>
        <v/>
      </c>
      <c r="V182" s="6" t="str">
        <f t="array" ref="V182">_xlfn.IFNA((INDEX('DMR 001C TIN &amp; TP'!$A$3:$M$10005,MATCH(('Reg 85'!$I$6:$Q$6&amp;'Reg 85'!V$10&amp;'Reg 85'!$B182),('DMR 001C TIN &amp; TP'!$E$3:$E$10005&amp;'DMR 001C TIN &amp; TP'!$B$3:$B$10005&amp;'DMR 001C TIN &amp; TP'!$A$3:$A$10005),0),MATCH('Reg 85'!$O$11,'DMR 001C TIN &amp; TP'!$A$2:$M$2,0))),"")</f>
        <v/>
      </c>
      <c r="W182" s="6" t="str">
        <f t="array" ref="W182">_xlfn.IFNA((INDEX('DMR 001C TIN &amp; TP'!$A$3:$M$10005,MATCH(('Reg 85'!$I$6:$Q$6&amp;'Reg 85'!W$10&amp;'Reg 85'!$B182),('DMR 001C TIN &amp; TP'!$E$3:$E$10005&amp;'DMR 001C TIN &amp; TP'!$B$3:$B$10005&amp;'DMR 001C TIN &amp; TP'!$A$3:$A$10005),0),MATCH('Reg 85'!$O$11,'DMR 001C TIN &amp; TP'!$A$2:$M$2,0))),"")</f>
        <v/>
      </c>
      <c r="X182" s="5" t="str">
        <f t="shared" si="71"/>
        <v/>
      </c>
      <c r="Y182" s="6" t="str">
        <f t="array" ref="Y182">_xlfn.IFNA((INDEX('DMR 001C TIN &amp; TP'!$A$3:$M$10005,MATCH(('Reg 85'!$X$6&amp;'Reg 85'!$X$10&amp;'Reg 85'!$B182),('DMR 001C TIN &amp; TP'!$E$3:$E$10005&amp;'DMR 001C TIN &amp; TP'!$B$3:$B$10005&amp;'DMR 001C TIN &amp; TP'!$A$3:$A$10005),0),MATCH('Reg 85'!$Y$11,'DMR 001C TIN &amp; TP'!$A$2:$M$2,0))),"")</f>
        <v/>
      </c>
      <c r="Z182" s="6" t="str">
        <f t="array" ref="Z182">_xlfn.IFNA((INDEX('DMR 001C TIN &amp; TP'!$A$3:$M$10005,MATCH(('Reg 85'!$X$6&amp;'Reg 85'!$X$10&amp;'Reg 85'!$B182),('DMR 001C TIN &amp; TP'!$E$3:$E$10005&amp;'DMR 001C TIN &amp; TP'!$B$3:$B$10005&amp;'DMR 001C TIN &amp; TP'!$A$3:$A$10005),0),MATCH('Reg 85'!$Z$11,'DMR 001C TIN &amp; TP'!$A$2:$M$2,0))),"")</f>
        <v/>
      </c>
      <c r="AA182" s="53" t="str">
        <f t="shared" si="72"/>
        <v/>
      </c>
      <c r="AB182" s="5" t="str">
        <f t="shared" si="73"/>
        <v/>
      </c>
      <c r="AC182" s="6" t="str">
        <f t="array" ref="AC182">_xlfn.IFNA((INDEX('DMR 001C TIN &amp; TP'!$A$3:$M$10005,MATCH(('Reg 85'!$X$6&amp;'Reg 85'!$AB$10&amp;'Reg 85'!$B182),('DMR 001C TIN &amp; TP'!$E$3:$E$10005&amp;'DMR 001C TIN &amp; TP'!$B$3:$B$10005&amp;'DMR 001C TIN &amp; TP'!$A$3:$A$10005),0),MATCH('Reg 85'!$AC$11,'DMR 001C TIN &amp; TP'!$A$2:$M$2,0))),"")</f>
        <v/>
      </c>
      <c r="AD182" s="6" t="str">
        <f t="array" ref="AD182">_xlfn.IFNA((INDEX('DMR 001C TIN &amp; TP'!$A$3:$M$10005,MATCH(('Reg 85'!$X$6&amp;'Reg 85'!$AB$10&amp;'Reg 85'!$B182),('DMR 001C TIN &amp; TP'!$E$3:$E$10005&amp;'DMR 001C TIN &amp; TP'!$B$3:$B$10005&amp;'DMR 001C TIN &amp; TP'!$A$3:$A$10005),0),MATCH('Reg 85'!$AD$11,'DMR 001C TIN &amp; TP'!$A$2:$M$2,0))),"")</f>
        <v/>
      </c>
      <c r="AE182" s="53" t="str">
        <f t="shared" si="74"/>
        <v/>
      </c>
      <c r="AF182" s="7" t="str">
        <f t="shared" si="75"/>
        <v/>
      </c>
      <c r="AG182" s="6" t="str">
        <f t="array" ref="AG182">_xlfn.IFNA((INDEX('DMR 001C TIN &amp; TP'!$A$3:$M$10005,MATCH(('Reg 85'!$X$6&amp;'Reg 85'!AG$10&amp;'Reg 85'!$B182),('DMR 001C TIN &amp; TP'!$E$3:$E$10005&amp;'DMR 001C TIN &amp; TP'!$B$3:$B$10005&amp;'DMR 001C TIN &amp; TP'!$A$3:$A$10005),0),MATCH('Reg 85'!$AG$11,'DMR 001C TIN &amp; TP'!$A$2:$M$2,0))),"")</f>
        <v/>
      </c>
      <c r="AH182" s="6" t="str">
        <f t="array" ref="AH182">_xlfn.IFNA((INDEX('DMR 001C TIN &amp; TP'!$A$3:$M$10005,MATCH(('Reg 85'!$X$6&amp;'Reg 85'!AH$10&amp;'Reg 85'!$B182),('DMR 001C TIN &amp; TP'!$E$3:$E$10005&amp;'DMR 001C TIN &amp; TP'!$B$3:$B$10005&amp;'DMR 001C TIN &amp; TP'!$A$3:$A$10005),0),MATCH('Reg 85'!$AG$11,'DMR 001C TIN &amp; TP'!$A$2:$M$2,0))),"")</f>
        <v/>
      </c>
      <c r="AI182" s="6" t="str">
        <f t="array" ref="AI182">_xlfn.IFNA((INDEX('DMR 001C TIN &amp; TP'!$A$3:$M$10005,MATCH(('Reg 85'!$X$6&amp;'Reg 85'!AI$10&amp;'Reg 85'!$B182),('DMR 001C TIN &amp; TP'!$E$3:$E$10005&amp;'DMR 001C TIN &amp; TP'!$B$3:$B$10005&amp;'DMR 001C TIN &amp; TP'!$A$3:$A$10005),0),MATCH('Reg 85'!$AG$11,'DMR 001C TIN &amp; TP'!$A$2:$M$2,0))),"")</f>
        <v/>
      </c>
      <c r="AJ182" s="6" t="str">
        <f t="array" ref="AJ182">_xlfn.IFNA((INDEX('DMR 001C TIN &amp; TP'!$A$3:$M$10005,MATCH(('Reg 85'!$X$6&amp;'Reg 85'!AJ$10&amp;'Reg 85'!$B182),('DMR 001C TIN &amp; TP'!$E$3:$E$10005&amp;'DMR 001C TIN &amp; TP'!$B$3:$B$10005&amp;'DMR 001C TIN &amp; TP'!$A$3:$A$10005),0),MATCH('Reg 85'!$AG$11,'DMR 001C TIN &amp; TP'!$A$2:$M$2,0))),"")</f>
        <v/>
      </c>
      <c r="AK182" s="6" t="str">
        <f t="array" ref="AK182">_xlfn.IFNA((INDEX('DMR 001C TIN &amp; TP'!$A$3:$M$10005,MATCH(('Reg 85'!$X$6&amp;'Reg 85'!AK$10&amp;'Reg 85'!$B182),('DMR 001C TIN &amp; TP'!$E$3:$E$10005&amp;'DMR 001C TIN &amp; TP'!$B$3:$B$10005&amp;'DMR 001C TIN &amp; TP'!$A$3:$A$10005),0),MATCH('Reg 85'!$AG$11,'DMR 001C TIN &amp; TP'!$A$2:$M$2,0))),"")</f>
        <v/>
      </c>
      <c r="AL182" s="6" t="str">
        <f t="array" ref="AL182">_xlfn.IFNA((INDEX('DMR 001C TIN &amp; TP'!$A$3:$M$10005,MATCH(('Reg 85'!$X$6&amp;'Reg 85'!AL$10&amp;'Reg 85'!$B182),('DMR 001C TIN &amp; TP'!$E$3:$E$10005&amp;'DMR 001C TIN &amp; TP'!$B$3:$B$10005&amp;'DMR 001C TIN &amp; TP'!$A$3:$A$10005),0),MATCH('Reg 85'!$AG$11,'DMR 001C TIN &amp; TP'!$A$2:$M$2,0))),"")</f>
        <v/>
      </c>
      <c r="AM182" s="76"/>
      <c r="AN182" s="6"/>
      <c r="AO182" s="54" t="str">
        <f t="shared" si="62"/>
        <v/>
      </c>
      <c r="AP182" s="77" t="str">
        <f t="shared" si="81"/>
        <v/>
      </c>
      <c r="AQ182" s="47"/>
      <c r="AR182" s="6" t="str">
        <f t="array" ref="AR182">_xlfn.IFNA((INDEX('DMR 001C TIN &amp; TP'!$A$3:$M$10005,MATCH(('Reg 85'!$AQ$6&amp;'Reg 85'!$AQ$10&amp;'Reg 85'!$B182),('DMR 001C TIN &amp; TP'!$E$3:$E$10005&amp;'DMR 001C TIN &amp; TP'!$B$3:$B$10005&amp;'DMR 001C TIN &amp; TP'!$A$3:$A$10005),0),MATCH('Reg 85'!$AR$11,'DMR 001C TIN &amp; TP'!$A$2:$M$2,0))),"")</f>
        <v>0.03</v>
      </c>
      <c r="AS182" s="6">
        <f t="array" ref="AS182">_xlfn.IFNA((INDEX('DMR 001C TIN &amp; TP'!$A$3:$M$10005,MATCH(('Reg 85'!$AQ$6&amp;'Reg 85'!$AQ$10&amp;'Reg 85'!$B182),('DMR 001C TIN &amp; TP'!$E$3:$E$10005&amp;'DMR 001C TIN &amp; TP'!$B$3:$B$10005&amp;'DMR 001C TIN &amp; TP'!$A$3:$A$10005),0),MATCH('Reg 85'!$AS$11,'DMR 001C TIN &amp; TP'!$A$2:$M$2,0))),"")</f>
        <v>0.51</v>
      </c>
      <c r="AT182" s="53">
        <f t="shared" si="76"/>
        <v>0.51</v>
      </c>
      <c r="AV182" s="6" t="str">
        <f t="array" ref="AV182">_xlfn.IFNA((INDEX('DMR 001C TIN &amp; TP'!$A$3:$M$10005,MATCH(('Reg 85'!$AQ$6&amp;'Reg 85'!$AU$10&amp;'Reg 85'!$B182),('DMR 001C TIN &amp; TP'!$E$3:$E$10005&amp;'DMR 001C TIN &amp; TP'!$B$3:$B$10005&amp;'DMR 001C TIN &amp; TP'!$A$3:$A$10005),0),MATCH('Reg 85'!$AV$11,'DMR 001C TIN &amp; TP'!$A$2:$M$2,0))),"")</f>
        <v>0.06</v>
      </c>
      <c r="AW182" s="6">
        <f t="array" ref="AW182">_xlfn.IFNA((INDEX('DMR 001C TIN &amp; TP'!$A$3:$M$10005,MATCH(('Reg 85'!$AQ$6&amp;'Reg 85'!$AU$10&amp;'Reg 85'!$B182),('DMR 001C TIN &amp; TP'!$E$3:$E$10005&amp;'DMR 001C TIN &amp; TP'!$B$3:$B$10005&amp;'DMR 001C TIN &amp; TP'!$A$3:$A$10005),0),MATCH('Reg 85'!$AW$11,'DMR 001C TIN &amp; TP'!$A$2:$M$2,0))),"")</f>
        <v>5.89</v>
      </c>
      <c r="AX182" s="53">
        <f t="shared" si="77"/>
        <v>5.89</v>
      </c>
      <c r="AY182" s="55">
        <f t="shared" si="78"/>
        <v>3.1957656946756261</v>
      </c>
      <c r="AZ182" s="77" t="str">
        <f t="shared" si="82"/>
        <v/>
      </c>
      <c r="BA182" s="6" t="str">
        <f t="array" ref="BA182">_xlfn.IFNA((INDEX('DMR 001C TIN &amp; TP'!$A$3:$M$10005,MATCH(('Reg 85'!$AQ$6&amp;'Reg 85'!BA$10&amp;'Reg 85'!$B182),('DMR 001C TIN &amp; TP'!$E$3:$E$10005&amp;'DMR 001C TIN &amp; TP'!$B$3:$B$10005&amp;'DMR 001C TIN &amp; TP'!$A$3:$A$10005),0),MATCH('Reg 85'!$AG$11,'DMR 001C TIN &amp; TP'!$A$2:$M$2,0))),"")</f>
        <v/>
      </c>
      <c r="BB182" s="6" t="str">
        <f t="array" ref="BB182">_xlfn.IFNA((INDEX('DMR 001C TIN &amp; TP'!$A$3:$M$10005,MATCH(('Reg 85'!$AQ$6&amp;'Reg 85'!BB$10&amp;'Reg 85'!$B182),('DMR 001C TIN &amp; TP'!$E$3:$E$10005&amp;'DMR 001C TIN &amp; TP'!$B$3:$B$10005&amp;'DMR 001C TIN &amp; TP'!$A$3:$A$10005),0),MATCH('Reg 85'!$AG$11,'DMR 001C TIN &amp; TP'!$A$2:$M$2,0))),"")</f>
        <v/>
      </c>
      <c r="BC182" s="6" t="str">
        <f t="array" ref="BC182">_xlfn.IFNA((INDEX('DMR 001C TIN &amp; TP'!$A$3:$M$10005,MATCH(('Reg 85'!$AQ$6&amp;'Reg 85'!BC$10&amp;'Reg 85'!$B182),('DMR 001C TIN &amp; TP'!$E$3:$E$10005&amp;'DMR 001C TIN &amp; TP'!$B$3:$B$10005&amp;'DMR 001C TIN &amp; TP'!$A$3:$A$10005),0),MATCH('Reg 85'!$AG$11,'DMR 001C TIN &amp; TP'!$A$2:$M$2,0))),"")</f>
        <v/>
      </c>
      <c r="BD182" s="6" t="str">
        <f t="array" ref="BD182">_xlfn.IFNA((INDEX('DMR 001C TIN &amp; TP'!$A$3:$M$10005,MATCH(('Reg 85'!$AQ$6&amp;'Reg 85'!BD$10&amp;'Reg 85'!$B182),('DMR 001C TIN &amp; TP'!$E$3:$E$10005&amp;'DMR 001C TIN &amp; TP'!$B$3:$B$10005&amp;'DMR 001C TIN &amp; TP'!$A$3:$A$10005),0),MATCH('Reg 85'!$AG$11,'DMR 001C TIN &amp; TP'!$A$2:$M$2,0))),"")</f>
        <v/>
      </c>
      <c r="BE182" s="6" t="str">
        <f t="array" ref="BE182">_xlfn.IFNA((INDEX('DMR 001C TIN &amp; TP'!$A$3:$M$10005,MATCH(('Reg 85'!$AQ$6&amp;'Reg 85'!BE$10&amp;'Reg 85'!$B182),('DMR 001C TIN &amp; TP'!$E$3:$E$10005&amp;'DMR 001C TIN &amp; TP'!$B$3:$B$10005&amp;'DMR 001C TIN &amp; TP'!$A$3:$A$10005),0),MATCH('Reg 85'!$AG$11,'DMR 001C TIN &amp; TP'!$A$2:$M$2,0))),"")</f>
        <v/>
      </c>
      <c r="BF182" s="6" t="str">
        <f t="array" ref="BF182">_xlfn.IFNA((INDEX('DMR 001C TIN &amp; TP'!$A$3:$M$10005,MATCH(('Reg 85'!$AQ$6&amp;'Reg 85'!BF$10&amp;'Reg 85'!$B182),('DMR 001C TIN &amp; TP'!$E$3:$E$10005&amp;'DMR 001C TIN &amp; TP'!$B$3:$B$10005&amp;'DMR 001C TIN &amp; TP'!$A$3:$A$10005),0),MATCH('Reg 85'!$AG$11,'DMR 001C TIN &amp; TP'!$A$2:$M$2,0))),"")</f>
        <v/>
      </c>
    </row>
    <row r="183" spans="1:58">
      <c r="A183" s="3" t="str">
        <f t="shared" si="63"/>
        <v>Tue</v>
      </c>
      <c r="B183" s="96">
        <f t="shared" si="79"/>
        <v>43515</v>
      </c>
      <c r="C183" s="96">
        <f t="shared" si="64"/>
        <v>43524</v>
      </c>
      <c r="D183" s="96">
        <f t="shared" si="65"/>
        <v>43497</v>
      </c>
      <c r="E183" s="95">
        <f t="shared" si="66"/>
        <v>28</v>
      </c>
      <c r="F183" s="7">
        <f t="array" ref="F183">_xlfn.IFNA(INDEX('DMR Flows-Effluent'!$A$3:$F$9999,MATCH(($F$10&amp;$B183),('DMR Flows-Effluent'!$B$3:$B$9999&amp;'DMR Flows-Effluent'!$A$3:$A$9999),0),MATCH($F$8,'DMR Flows-Effluent'!$A$2:$F$2,0)),"")</f>
        <v>59.878</v>
      </c>
      <c r="G183" s="7">
        <f t="array" ref="G183">_xlfn.IFNA(INDEX('DMR Flows-Effluent'!$A$3:$F$9999,MATCH(($G$10&amp;$B183),('DMR Flows-Effluent'!$B$3:$B$9999&amp;'DMR Flows-Effluent'!$A$3:$A$9999),0),MATCH($F$8,'DMR Flows-Effluent'!$A$2:$F$2,0)),"")</f>
        <v>63.360100000000003</v>
      </c>
      <c r="H183" s="7">
        <f t="shared" si="67"/>
        <v>123.2381</v>
      </c>
      <c r="I183" s="45" t="str">
        <f t="shared" si="68"/>
        <v/>
      </c>
      <c r="J183" s="6" t="str">
        <f t="array" ref="J183">_xlfn.IFNA((INDEX('DMR 001C TIN &amp; TP'!$A$3:$M$10005,MATCH(('Reg 85'!$I$6:$Q$6&amp;'Reg 85'!$I$10:$K$10&amp;'Reg 85'!$B183),('DMR 001C TIN &amp; TP'!$E$3:$E$10005&amp;'DMR 001C TIN &amp; TP'!$B$3:$B$10005&amp;'DMR 001C TIN &amp; TP'!$A$3:$A$10005),0),MATCH('Reg 85'!$J$11,'DMR 001C TIN &amp; TP'!$A$2:$M$2,0))),"")</f>
        <v>0.15</v>
      </c>
      <c r="K183" s="6">
        <f t="array" ref="K183">_xlfn.IFNA((INDEX('DMR 001C TIN &amp; TP'!$A$3:$M$10005,MATCH(('Reg 85'!$I$6:$Q$6&amp;'Reg 85'!$I$10:$K$10&amp;'Reg 85'!$B183),('DMR 001C TIN &amp; TP'!$E$3:$E$10005&amp;'DMR 001C TIN &amp; TP'!$B$3:$B$10005&amp;'DMR 001C TIN &amp; TP'!$A$3:$A$10005),0),MATCH('Reg 85'!$K$11,'DMR 001C TIN &amp; TP'!$A$2:$M$2,0))),"")</f>
        <v>0.54</v>
      </c>
      <c r="L183" s="53">
        <f t="shared" si="80"/>
        <v>0.54</v>
      </c>
      <c r="M183" s="5" t="str">
        <f t="shared" si="69"/>
        <v/>
      </c>
      <c r="N183" s="6" t="str">
        <f t="array" ref="N183">_xlfn.IFNA((INDEX('DMR 001C TIN &amp; TP'!$A$3:$M$10005,MATCH(('Reg 85'!$I$6:$Q$6&amp;'Reg 85'!$M$10&amp;'Reg 85'!$B183),('DMR 001C TIN &amp; TP'!$E$3:$E$10005&amp;'DMR 001C TIN &amp; TP'!$B$3:$B$10005&amp;'DMR 001C TIN &amp; TP'!$A$3:$A$10005),0),MATCH('Reg 85'!$N$11,'DMR 001C TIN &amp; TP'!$A$2:$M$2,0))),"")</f>
        <v>0.15</v>
      </c>
      <c r="O183" s="6">
        <f t="array" ref="O183">_xlfn.IFNA((INDEX('DMR 001C TIN &amp; TP'!$A$3:$M$10005,MATCH(('Reg 85'!$I$6:$Q$6&amp;'Reg 85'!$M$10&amp;'Reg 85'!$B183),('DMR 001C TIN &amp; TP'!$E$3:$E$10005&amp;'DMR 001C TIN &amp; TP'!$B$3:$B$10005&amp;'DMR 001C TIN &amp; TP'!$A$3:$A$10005),0),MATCH('Reg 85'!$O$11,'DMR 001C TIN &amp; TP'!$A$2:$M$2,0))),"")</f>
        <v>0.39</v>
      </c>
      <c r="P183" s="53">
        <f t="shared" si="70"/>
        <v>0.39</v>
      </c>
      <c r="Q183" s="73">
        <f t="array" ref="Q183">IFERROR(((L183*$F183)+(P183*$G183))/($H183),"")</f>
        <v>0.46288087044509774</v>
      </c>
      <c r="R183" s="6" t="str">
        <f t="array" ref="R183">_xlfn.IFNA((INDEX('DMR 001C TIN &amp; TP'!$A$3:$M$10005,MATCH(('Reg 85'!$I$6:$Q$6&amp;'Reg 85'!R$10&amp;'Reg 85'!$B183),('DMR 001C TIN &amp; TP'!$E$3:$E$10005&amp;'DMR 001C TIN &amp; TP'!$B$3:$B$10005&amp;'DMR 001C TIN &amp; TP'!$A$3:$A$10005),0),MATCH('Reg 85'!$O$11,'DMR 001C TIN &amp; TP'!$A$2:$M$2,0))),"")</f>
        <v/>
      </c>
      <c r="S183" s="6" t="str">
        <f t="array" ref="S183">_xlfn.IFNA((INDEX('DMR 001C TIN &amp; TP'!$A$3:$M$10005,MATCH(('Reg 85'!$I$6:$Q$6&amp;'Reg 85'!S$10&amp;'Reg 85'!$B183),('DMR 001C TIN &amp; TP'!$E$3:$E$10005&amp;'DMR 001C TIN &amp; TP'!$B$3:$B$10005&amp;'DMR 001C TIN &amp; TP'!$A$3:$A$10005),0),MATCH('Reg 85'!$O$11,'DMR 001C TIN &amp; TP'!$A$2:$M$2,0))),"")</f>
        <v/>
      </c>
      <c r="T183" s="6" t="str">
        <f t="array" ref="T183">_xlfn.IFNA((INDEX('DMR 001C TIN &amp; TP'!$A$3:$M$10005,MATCH(('Reg 85'!$I$6:$Q$6&amp;'Reg 85'!T$10&amp;'Reg 85'!$B183),('DMR 001C TIN &amp; TP'!$E$3:$E$10005&amp;'DMR 001C TIN &amp; TP'!$B$3:$B$10005&amp;'DMR 001C TIN &amp; TP'!$A$3:$A$10005),0),MATCH('Reg 85'!$O$11,'DMR 001C TIN &amp; TP'!$A$2:$M$2,0))),"")</f>
        <v/>
      </c>
      <c r="U183" s="6" t="str">
        <f t="array" ref="U183">_xlfn.IFNA((INDEX('DMR 001C TIN &amp; TP'!$A$3:$M$10005,MATCH(('Reg 85'!$I$6:$Q$6&amp;'Reg 85'!U$10&amp;'Reg 85'!$B183),('DMR 001C TIN &amp; TP'!$E$3:$E$10005&amp;'DMR 001C TIN &amp; TP'!$B$3:$B$10005&amp;'DMR 001C TIN &amp; TP'!$A$3:$A$10005),0),MATCH('Reg 85'!$O$11,'DMR 001C TIN &amp; TP'!$A$2:$M$2,0))),"")</f>
        <v/>
      </c>
      <c r="V183" s="6" t="str">
        <f t="array" ref="V183">_xlfn.IFNA((INDEX('DMR 001C TIN &amp; TP'!$A$3:$M$10005,MATCH(('Reg 85'!$I$6:$Q$6&amp;'Reg 85'!V$10&amp;'Reg 85'!$B183),('DMR 001C TIN &amp; TP'!$E$3:$E$10005&amp;'DMR 001C TIN &amp; TP'!$B$3:$B$10005&amp;'DMR 001C TIN &amp; TP'!$A$3:$A$10005),0),MATCH('Reg 85'!$O$11,'DMR 001C TIN &amp; TP'!$A$2:$M$2,0))),"")</f>
        <v/>
      </c>
      <c r="W183" s="6" t="str">
        <f t="array" ref="W183">_xlfn.IFNA((INDEX('DMR 001C TIN &amp; TP'!$A$3:$M$10005,MATCH(('Reg 85'!$I$6:$Q$6&amp;'Reg 85'!W$10&amp;'Reg 85'!$B183),('DMR 001C TIN &amp; TP'!$E$3:$E$10005&amp;'DMR 001C TIN &amp; TP'!$B$3:$B$10005&amp;'DMR 001C TIN &amp; TP'!$A$3:$A$10005),0),MATCH('Reg 85'!$O$11,'DMR 001C TIN &amp; TP'!$A$2:$M$2,0))),"")</f>
        <v/>
      </c>
      <c r="X183" s="5" t="str">
        <f t="shared" si="71"/>
        <v/>
      </c>
      <c r="Y183" s="6" t="str">
        <f t="array" ref="Y183">_xlfn.IFNA((INDEX('DMR 001C TIN &amp; TP'!$A$3:$M$10005,MATCH(('Reg 85'!$X$6&amp;'Reg 85'!$X$10&amp;'Reg 85'!$B183),('DMR 001C TIN &amp; TP'!$E$3:$E$10005&amp;'DMR 001C TIN &amp; TP'!$B$3:$B$10005&amp;'DMR 001C TIN &amp; TP'!$A$3:$A$10005),0),MATCH('Reg 85'!$Y$11,'DMR 001C TIN &amp; TP'!$A$2:$M$2,0))),"")</f>
        <v>0.06</v>
      </c>
      <c r="Z183" s="6">
        <f t="array" ref="Z183">_xlfn.IFNA((INDEX('DMR 001C TIN &amp; TP'!$A$3:$M$10005,MATCH(('Reg 85'!$X$6&amp;'Reg 85'!$X$10&amp;'Reg 85'!$B183),('DMR 001C TIN &amp; TP'!$E$3:$E$10005&amp;'DMR 001C TIN &amp; TP'!$B$3:$B$10005&amp;'DMR 001C TIN &amp; TP'!$A$3:$A$10005),0),MATCH('Reg 85'!$Z$11,'DMR 001C TIN &amp; TP'!$A$2:$M$2,0))),"")</f>
        <v>5.08</v>
      </c>
      <c r="AA183" s="53">
        <f t="shared" si="72"/>
        <v>5.08</v>
      </c>
      <c r="AB183" s="5" t="str">
        <f t="shared" si="73"/>
        <v/>
      </c>
      <c r="AC183" s="6" t="str">
        <f t="array" ref="AC183">_xlfn.IFNA((INDEX('DMR 001C TIN &amp; TP'!$A$3:$M$10005,MATCH(('Reg 85'!$X$6&amp;'Reg 85'!$AB$10&amp;'Reg 85'!$B183),('DMR 001C TIN &amp; TP'!$E$3:$E$10005&amp;'DMR 001C TIN &amp; TP'!$B$3:$B$10005&amp;'DMR 001C TIN &amp; TP'!$A$3:$A$10005),0),MATCH('Reg 85'!$AC$11,'DMR 001C TIN &amp; TP'!$A$2:$M$2,0))),"")</f>
        <v>0.06</v>
      </c>
      <c r="AD183" s="6">
        <f t="array" ref="AD183">_xlfn.IFNA((INDEX('DMR 001C TIN &amp; TP'!$A$3:$M$10005,MATCH(('Reg 85'!$X$6&amp;'Reg 85'!$AB$10&amp;'Reg 85'!$B183),('DMR 001C TIN &amp; TP'!$E$3:$E$10005&amp;'DMR 001C TIN &amp; TP'!$B$3:$B$10005&amp;'DMR 001C TIN &amp; TP'!$A$3:$A$10005),0),MATCH('Reg 85'!$AD$11,'DMR 001C TIN &amp; TP'!$A$2:$M$2,0))),"")</f>
        <v>6.71</v>
      </c>
      <c r="AE183" s="53">
        <f t="shared" si="74"/>
        <v>6.71</v>
      </c>
      <c r="AF183" s="7">
        <f t="shared" si="75"/>
        <v>5.9180278744966044</v>
      </c>
      <c r="AG183" s="6" t="str">
        <f t="array" ref="AG183">_xlfn.IFNA((INDEX('DMR 001C TIN &amp; TP'!$A$3:$M$10005,MATCH(('Reg 85'!$X$6&amp;'Reg 85'!AG$10&amp;'Reg 85'!$B183),('DMR 001C TIN &amp; TP'!$E$3:$E$10005&amp;'DMR 001C TIN &amp; TP'!$B$3:$B$10005&amp;'DMR 001C TIN &amp; TP'!$A$3:$A$10005),0),MATCH('Reg 85'!$AG$11,'DMR 001C TIN &amp; TP'!$A$2:$M$2,0))),"")</f>
        <v/>
      </c>
      <c r="AH183" s="6" t="str">
        <f t="array" ref="AH183">_xlfn.IFNA((INDEX('DMR 001C TIN &amp; TP'!$A$3:$M$10005,MATCH(('Reg 85'!$X$6&amp;'Reg 85'!AH$10&amp;'Reg 85'!$B183),('DMR 001C TIN &amp; TP'!$E$3:$E$10005&amp;'DMR 001C TIN &amp; TP'!$B$3:$B$10005&amp;'DMR 001C TIN &amp; TP'!$A$3:$A$10005),0),MATCH('Reg 85'!$AG$11,'DMR 001C TIN &amp; TP'!$A$2:$M$2,0))),"")</f>
        <v/>
      </c>
      <c r="AI183" s="6" t="str">
        <f t="array" ref="AI183">_xlfn.IFNA((INDEX('DMR 001C TIN &amp; TP'!$A$3:$M$10005,MATCH(('Reg 85'!$X$6&amp;'Reg 85'!AI$10&amp;'Reg 85'!$B183),('DMR 001C TIN &amp; TP'!$E$3:$E$10005&amp;'DMR 001C TIN &amp; TP'!$B$3:$B$10005&amp;'DMR 001C TIN &amp; TP'!$A$3:$A$10005),0),MATCH('Reg 85'!$AG$11,'DMR 001C TIN &amp; TP'!$A$2:$M$2,0))),"")</f>
        <v/>
      </c>
      <c r="AJ183" s="6" t="str">
        <f t="array" ref="AJ183">_xlfn.IFNA((INDEX('DMR 001C TIN &amp; TP'!$A$3:$M$10005,MATCH(('Reg 85'!$X$6&amp;'Reg 85'!AJ$10&amp;'Reg 85'!$B183),('DMR 001C TIN &amp; TP'!$E$3:$E$10005&amp;'DMR 001C TIN &amp; TP'!$B$3:$B$10005&amp;'DMR 001C TIN &amp; TP'!$A$3:$A$10005),0),MATCH('Reg 85'!$AG$11,'DMR 001C TIN &amp; TP'!$A$2:$M$2,0))),"")</f>
        <v/>
      </c>
      <c r="AK183" s="6" t="str">
        <f t="array" ref="AK183">_xlfn.IFNA((INDEX('DMR 001C TIN &amp; TP'!$A$3:$M$10005,MATCH(('Reg 85'!$X$6&amp;'Reg 85'!AK$10&amp;'Reg 85'!$B183),('DMR 001C TIN &amp; TP'!$E$3:$E$10005&amp;'DMR 001C TIN &amp; TP'!$B$3:$B$10005&amp;'DMR 001C TIN &amp; TP'!$A$3:$A$10005),0),MATCH('Reg 85'!$AG$11,'DMR 001C TIN &amp; TP'!$A$2:$M$2,0))),"")</f>
        <v/>
      </c>
      <c r="AL183" s="6" t="str">
        <f t="array" ref="AL183">_xlfn.IFNA((INDEX('DMR 001C TIN &amp; TP'!$A$3:$M$10005,MATCH(('Reg 85'!$X$6&amp;'Reg 85'!AL$10&amp;'Reg 85'!$B183),('DMR 001C TIN &amp; TP'!$E$3:$E$10005&amp;'DMR 001C TIN &amp; TP'!$B$3:$B$10005&amp;'DMR 001C TIN &amp; TP'!$A$3:$A$10005),0),MATCH('Reg 85'!$AG$11,'DMR 001C TIN &amp; TP'!$A$2:$M$2,0))),"")</f>
        <v/>
      </c>
      <c r="AM183" s="76"/>
      <c r="AN183" s="6"/>
      <c r="AO183" s="54">
        <f t="shared" si="62"/>
        <v>6.3809087449417019</v>
      </c>
      <c r="AP183" s="77" t="str">
        <f t="shared" si="81"/>
        <v/>
      </c>
      <c r="AQ183" s="47"/>
      <c r="AR183" s="6" t="str">
        <f t="array" ref="AR183">_xlfn.IFNA((INDEX('DMR 001C TIN &amp; TP'!$A$3:$M$10005,MATCH(('Reg 85'!$AQ$6&amp;'Reg 85'!$AQ$10&amp;'Reg 85'!$B183),('DMR 001C TIN &amp; TP'!$E$3:$E$10005&amp;'DMR 001C TIN &amp; TP'!$B$3:$B$10005&amp;'DMR 001C TIN &amp; TP'!$A$3:$A$10005),0),MATCH('Reg 85'!$AR$11,'DMR 001C TIN &amp; TP'!$A$2:$M$2,0))),"")</f>
        <v/>
      </c>
      <c r="AS183" s="6" t="str">
        <f t="array" ref="AS183">_xlfn.IFNA((INDEX('DMR 001C TIN &amp; TP'!$A$3:$M$10005,MATCH(('Reg 85'!$AQ$6&amp;'Reg 85'!$AQ$10&amp;'Reg 85'!$B183),('DMR 001C TIN &amp; TP'!$E$3:$E$10005&amp;'DMR 001C TIN &amp; TP'!$B$3:$B$10005&amp;'DMR 001C TIN &amp; TP'!$A$3:$A$10005),0),MATCH('Reg 85'!$AS$11,'DMR 001C TIN &amp; TP'!$A$2:$M$2,0))),"")</f>
        <v/>
      </c>
      <c r="AT183" s="53" t="str">
        <f t="shared" si="76"/>
        <v/>
      </c>
      <c r="AV183" s="6" t="str">
        <f t="array" ref="AV183">_xlfn.IFNA((INDEX('DMR 001C TIN &amp; TP'!$A$3:$M$10005,MATCH(('Reg 85'!$AQ$6&amp;'Reg 85'!$AU$10&amp;'Reg 85'!$B183),('DMR 001C TIN &amp; TP'!$E$3:$E$10005&amp;'DMR 001C TIN &amp; TP'!$B$3:$B$10005&amp;'DMR 001C TIN &amp; TP'!$A$3:$A$10005),0),MATCH('Reg 85'!$AV$11,'DMR 001C TIN &amp; TP'!$A$2:$M$2,0))),"")</f>
        <v/>
      </c>
      <c r="AW183" s="6" t="str">
        <f t="array" ref="AW183">_xlfn.IFNA((INDEX('DMR 001C TIN &amp; TP'!$A$3:$M$10005,MATCH(('Reg 85'!$AQ$6&amp;'Reg 85'!$AU$10&amp;'Reg 85'!$B183),('DMR 001C TIN &amp; TP'!$E$3:$E$10005&amp;'DMR 001C TIN &amp; TP'!$B$3:$B$10005&amp;'DMR 001C TIN &amp; TP'!$A$3:$A$10005),0),MATCH('Reg 85'!$AW$11,'DMR 001C TIN &amp; TP'!$A$2:$M$2,0))),"")</f>
        <v/>
      </c>
      <c r="AX183" s="53" t="str">
        <f t="shared" si="77"/>
        <v/>
      </c>
      <c r="AY183" s="55" t="str">
        <f t="shared" si="78"/>
        <v/>
      </c>
      <c r="AZ183" s="77" t="str">
        <f t="shared" si="82"/>
        <v/>
      </c>
      <c r="BA183" s="6" t="str">
        <f t="array" ref="BA183">_xlfn.IFNA((INDEX('DMR 001C TIN &amp; TP'!$A$3:$M$10005,MATCH(('Reg 85'!$AQ$6&amp;'Reg 85'!BA$10&amp;'Reg 85'!$B183),('DMR 001C TIN &amp; TP'!$E$3:$E$10005&amp;'DMR 001C TIN &amp; TP'!$B$3:$B$10005&amp;'DMR 001C TIN &amp; TP'!$A$3:$A$10005),0),MATCH('Reg 85'!$AG$11,'DMR 001C TIN &amp; TP'!$A$2:$M$2,0))),"")</f>
        <v/>
      </c>
      <c r="BB183" s="6" t="str">
        <f t="array" ref="BB183">_xlfn.IFNA((INDEX('DMR 001C TIN &amp; TP'!$A$3:$M$10005,MATCH(('Reg 85'!$AQ$6&amp;'Reg 85'!BB$10&amp;'Reg 85'!$B183),('DMR 001C TIN &amp; TP'!$E$3:$E$10005&amp;'DMR 001C TIN &amp; TP'!$B$3:$B$10005&amp;'DMR 001C TIN &amp; TP'!$A$3:$A$10005),0),MATCH('Reg 85'!$AG$11,'DMR 001C TIN &amp; TP'!$A$2:$M$2,0))),"")</f>
        <v/>
      </c>
      <c r="BC183" s="6" t="str">
        <f t="array" ref="BC183">_xlfn.IFNA((INDEX('DMR 001C TIN &amp; TP'!$A$3:$M$10005,MATCH(('Reg 85'!$AQ$6&amp;'Reg 85'!BC$10&amp;'Reg 85'!$B183),('DMR 001C TIN &amp; TP'!$E$3:$E$10005&amp;'DMR 001C TIN &amp; TP'!$B$3:$B$10005&amp;'DMR 001C TIN &amp; TP'!$A$3:$A$10005),0),MATCH('Reg 85'!$AG$11,'DMR 001C TIN &amp; TP'!$A$2:$M$2,0))),"")</f>
        <v/>
      </c>
      <c r="BD183" s="6" t="str">
        <f t="array" ref="BD183">_xlfn.IFNA((INDEX('DMR 001C TIN &amp; TP'!$A$3:$M$10005,MATCH(('Reg 85'!$AQ$6&amp;'Reg 85'!BD$10&amp;'Reg 85'!$B183),('DMR 001C TIN &amp; TP'!$E$3:$E$10005&amp;'DMR 001C TIN &amp; TP'!$B$3:$B$10005&amp;'DMR 001C TIN &amp; TP'!$A$3:$A$10005),0),MATCH('Reg 85'!$AG$11,'DMR 001C TIN &amp; TP'!$A$2:$M$2,0))),"")</f>
        <v/>
      </c>
      <c r="BE183" s="6" t="str">
        <f t="array" ref="BE183">_xlfn.IFNA((INDEX('DMR 001C TIN &amp; TP'!$A$3:$M$10005,MATCH(('Reg 85'!$AQ$6&amp;'Reg 85'!BE$10&amp;'Reg 85'!$B183),('DMR 001C TIN &amp; TP'!$E$3:$E$10005&amp;'DMR 001C TIN &amp; TP'!$B$3:$B$10005&amp;'DMR 001C TIN &amp; TP'!$A$3:$A$10005),0),MATCH('Reg 85'!$AG$11,'DMR 001C TIN &amp; TP'!$A$2:$M$2,0))),"")</f>
        <v/>
      </c>
      <c r="BF183" s="6" t="str">
        <f t="array" ref="BF183">_xlfn.IFNA((INDEX('DMR 001C TIN &amp; TP'!$A$3:$M$10005,MATCH(('Reg 85'!$AQ$6&amp;'Reg 85'!BF$10&amp;'Reg 85'!$B183),('DMR 001C TIN &amp; TP'!$E$3:$E$10005&amp;'DMR 001C TIN &amp; TP'!$B$3:$B$10005&amp;'DMR 001C TIN &amp; TP'!$A$3:$A$10005),0),MATCH('Reg 85'!$AG$11,'DMR 001C TIN &amp; TP'!$A$2:$M$2,0))),"")</f>
        <v/>
      </c>
    </row>
    <row r="184" spans="1:58">
      <c r="A184" s="3" t="str">
        <f t="shared" si="63"/>
        <v>Wed</v>
      </c>
      <c r="B184" s="96">
        <f t="shared" si="79"/>
        <v>43516</v>
      </c>
      <c r="C184" s="96">
        <f t="shared" si="64"/>
        <v>43524</v>
      </c>
      <c r="D184" s="96">
        <f t="shared" si="65"/>
        <v>43497</v>
      </c>
      <c r="E184" s="95">
        <f t="shared" si="66"/>
        <v>28</v>
      </c>
      <c r="F184" s="7">
        <f t="array" ref="F184">_xlfn.IFNA(INDEX('DMR Flows-Effluent'!$A$3:$F$9999,MATCH(($F$10&amp;$B184),('DMR Flows-Effluent'!$B$3:$B$9999&amp;'DMR Flows-Effluent'!$A$3:$A$9999),0),MATCH($F$8,'DMR Flows-Effluent'!$A$2:$F$2,0)),"")</f>
        <v>59.852600000000002</v>
      </c>
      <c r="G184" s="7">
        <f t="array" ref="G184">_xlfn.IFNA(INDEX('DMR Flows-Effluent'!$A$3:$F$9999,MATCH(($G$10&amp;$B184),('DMR Flows-Effluent'!$B$3:$B$9999&amp;'DMR Flows-Effluent'!$A$3:$A$9999),0),MATCH($F$8,'DMR Flows-Effluent'!$A$2:$F$2,0)),"")</f>
        <v>63.379800000000003</v>
      </c>
      <c r="H184" s="7">
        <f t="shared" si="67"/>
        <v>123.23240000000001</v>
      </c>
      <c r="I184" s="45" t="str">
        <f t="shared" si="68"/>
        <v/>
      </c>
      <c r="J184" s="6" t="str">
        <f t="array" ref="J184">_xlfn.IFNA((INDEX('DMR 001C TIN &amp; TP'!$A$3:$M$10005,MATCH(('Reg 85'!$I$6:$Q$6&amp;'Reg 85'!$I$10:$K$10&amp;'Reg 85'!$B184),('DMR 001C TIN &amp; TP'!$E$3:$E$10005&amp;'DMR 001C TIN &amp; TP'!$B$3:$B$10005&amp;'DMR 001C TIN &amp; TP'!$A$3:$A$10005),0),MATCH('Reg 85'!$J$11,'DMR 001C TIN &amp; TP'!$A$2:$M$2,0))),"")</f>
        <v>0.15</v>
      </c>
      <c r="K184" s="6">
        <f t="array" ref="K184">_xlfn.IFNA((INDEX('DMR 001C TIN &amp; TP'!$A$3:$M$10005,MATCH(('Reg 85'!$I$6:$Q$6&amp;'Reg 85'!$I$10:$K$10&amp;'Reg 85'!$B184),('DMR 001C TIN &amp; TP'!$E$3:$E$10005&amp;'DMR 001C TIN &amp; TP'!$B$3:$B$10005&amp;'DMR 001C TIN &amp; TP'!$A$3:$A$10005),0),MATCH('Reg 85'!$K$11,'DMR 001C TIN &amp; TP'!$A$2:$M$2,0))),"")</f>
        <v>0.28999999999999998</v>
      </c>
      <c r="L184" s="53">
        <f t="shared" si="80"/>
        <v>0.28999999999999998</v>
      </c>
      <c r="M184" s="5" t="str">
        <f t="shared" si="69"/>
        <v/>
      </c>
      <c r="N184" s="6" t="str">
        <f t="array" ref="N184">_xlfn.IFNA((INDEX('DMR 001C TIN &amp; TP'!$A$3:$M$10005,MATCH(('Reg 85'!$I$6:$Q$6&amp;'Reg 85'!$M$10&amp;'Reg 85'!$B184),('DMR 001C TIN &amp; TP'!$E$3:$E$10005&amp;'DMR 001C TIN &amp; TP'!$B$3:$B$10005&amp;'DMR 001C TIN &amp; TP'!$A$3:$A$10005),0),MATCH('Reg 85'!$N$11,'DMR 001C TIN &amp; TP'!$A$2:$M$2,0))),"")</f>
        <v>0.15</v>
      </c>
      <c r="O184" s="6">
        <f t="array" ref="O184">_xlfn.IFNA((INDEX('DMR 001C TIN &amp; TP'!$A$3:$M$10005,MATCH(('Reg 85'!$I$6:$Q$6&amp;'Reg 85'!$M$10&amp;'Reg 85'!$B184),('DMR 001C TIN &amp; TP'!$E$3:$E$10005&amp;'DMR 001C TIN &amp; TP'!$B$3:$B$10005&amp;'DMR 001C TIN &amp; TP'!$A$3:$A$10005),0),MATCH('Reg 85'!$O$11,'DMR 001C TIN &amp; TP'!$A$2:$M$2,0))),"")</f>
        <v>0.21</v>
      </c>
      <c r="P184" s="53">
        <f t="shared" si="70"/>
        <v>0.21</v>
      </c>
      <c r="Q184" s="73">
        <f t="array" ref="Q184">IFERROR(((L184*$F184)+(P184*$G184))/($H184),"")</f>
        <v>0.24885510628698293</v>
      </c>
      <c r="R184" s="6" t="str">
        <f t="array" ref="R184">_xlfn.IFNA((INDEX('DMR 001C TIN &amp; TP'!$A$3:$M$10005,MATCH(('Reg 85'!$I$6:$Q$6&amp;'Reg 85'!R$10&amp;'Reg 85'!$B184),('DMR 001C TIN &amp; TP'!$E$3:$E$10005&amp;'DMR 001C TIN &amp; TP'!$B$3:$B$10005&amp;'DMR 001C TIN &amp; TP'!$A$3:$A$10005),0),MATCH('Reg 85'!$O$11,'DMR 001C TIN &amp; TP'!$A$2:$M$2,0))),"")</f>
        <v/>
      </c>
      <c r="S184" s="6" t="str">
        <f t="array" ref="S184">_xlfn.IFNA((INDEX('DMR 001C TIN &amp; TP'!$A$3:$M$10005,MATCH(('Reg 85'!$I$6:$Q$6&amp;'Reg 85'!S$10&amp;'Reg 85'!$B184),('DMR 001C TIN &amp; TP'!$E$3:$E$10005&amp;'DMR 001C TIN &amp; TP'!$B$3:$B$10005&amp;'DMR 001C TIN &amp; TP'!$A$3:$A$10005),0),MATCH('Reg 85'!$O$11,'DMR 001C TIN &amp; TP'!$A$2:$M$2,0))),"")</f>
        <v/>
      </c>
      <c r="T184" s="6" t="str">
        <f t="array" ref="T184">_xlfn.IFNA((INDEX('DMR 001C TIN &amp; TP'!$A$3:$M$10005,MATCH(('Reg 85'!$I$6:$Q$6&amp;'Reg 85'!T$10&amp;'Reg 85'!$B184),('DMR 001C TIN &amp; TP'!$E$3:$E$10005&amp;'DMR 001C TIN &amp; TP'!$B$3:$B$10005&amp;'DMR 001C TIN &amp; TP'!$A$3:$A$10005),0),MATCH('Reg 85'!$O$11,'DMR 001C TIN &amp; TP'!$A$2:$M$2,0))),"")</f>
        <v/>
      </c>
      <c r="U184" s="6" t="str">
        <f t="array" ref="U184">_xlfn.IFNA((INDEX('DMR 001C TIN &amp; TP'!$A$3:$M$10005,MATCH(('Reg 85'!$I$6:$Q$6&amp;'Reg 85'!U$10&amp;'Reg 85'!$B184),('DMR 001C TIN &amp; TP'!$E$3:$E$10005&amp;'DMR 001C TIN &amp; TP'!$B$3:$B$10005&amp;'DMR 001C TIN &amp; TP'!$A$3:$A$10005),0),MATCH('Reg 85'!$O$11,'DMR 001C TIN &amp; TP'!$A$2:$M$2,0))),"")</f>
        <v/>
      </c>
      <c r="V184" s="6" t="str">
        <f t="array" ref="V184">_xlfn.IFNA((INDEX('DMR 001C TIN &amp; TP'!$A$3:$M$10005,MATCH(('Reg 85'!$I$6:$Q$6&amp;'Reg 85'!V$10&amp;'Reg 85'!$B184),('DMR 001C TIN &amp; TP'!$E$3:$E$10005&amp;'DMR 001C TIN &amp; TP'!$B$3:$B$10005&amp;'DMR 001C TIN &amp; TP'!$A$3:$A$10005),0),MATCH('Reg 85'!$O$11,'DMR 001C TIN &amp; TP'!$A$2:$M$2,0))),"")</f>
        <v/>
      </c>
      <c r="W184" s="6" t="str">
        <f t="array" ref="W184">_xlfn.IFNA((INDEX('DMR 001C TIN &amp; TP'!$A$3:$M$10005,MATCH(('Reg 85'!$I$6:$Q$6&amp;'Reg 85'!W$10&amp;'Reg 85'!$B184),('DMR 001C TIN &amp; TP'!$E$3:$E$10005&amp;'DMR 001C TIN &amp; TP'!$B$3:$B$10005&amp;'DMR 001C TIN &amp; TP'!$A$3:$A$10005),0),MATCH('Reg 85'!$O$11,'DMR 001C TIN &amp; TP'!$A$2:$M$2,0))),"")</f>
        <v/>
      </c>
      <c r="X184" s="5" t="str">
        <f t="shared" si="71"/>
        <v/>
      </c>
      <c r="Y184" s="6" t="str">
        <f t="array" ref="Y184">_xlfn.IFNA((INDEX('DMR 001C TIN &amp; TP'!$A$3:$M$10005,MATCH(('Reg 85'!$X$6&amp;'Reg 85'!$X$10&amp;'Reg 85'!$B184),('DMR 001C TIN &amp; TP'!$E$3:$E$10005&amp;'DMR 001C TIN &amp; TP'!$B$3:$B$10005&amp;'DMR 001C TIN &amp; TP'!$A$3:$A$10005),0),MATCH('Reg 85'!$Y$11,'DMR 001C TIN &amp; TP'!$A$2:$M$2,0))),"")</f>
        <v>0.06</v>
      </c>
      <c r="Z184" s="6">
        <f t="array" ref="Z184">_xlfn.IFNA((INDEX('DMR 001C TIN &amp; TP'!$A$3:$M$10005,MATCH(('Reg 85'!$X$6&amp;'Reg 85'!$X$10&amp;'Reg 85'!$B184),('DMR 001C TIN &amp; TP'!$E$3:$E$10005&amp;'DMR 001C TIN &amp; TP'!$B$3:$B$10005&amp;'DMR 001C TIN &amp; TP'!$A$3:$A$10005),0),MATCH('Reg 85'!$Z$11,'DMR 001C TIN &amp; TP'!$A$2:$M$2,0))),"")</f>
        <v>5.62</v>
      </c>
      <c r="AA184" s="53">
        <f t="shared" si="72"/>
        <v>5.62</v>
      </c>
      <c r="AB184" s="5" t="str">
        <f t="shared" si="73"/>
        <v/>
      </c>
      <c r="AC184" s="6" t="str">
        <f t="array" ref="AC184">_xlfn.IFNA((INDEX('DMR 001C TIN &amp; TP'!$A$3:$M$10005,MATCH(('Reg 85'!$X$6&amp;'Reg 85'!$AB$10&amp;'Reg 85'!$B184),('DMR 001C TIN &amp; TP'!$E$3:$E$10005&amp;'DMR 001C TIN &amp; TP'!$B$3:$B$10005&amp;'DMR 001C TIN &amp; TP'!$A$3:$A$10005),0),MATCH('Reg 85'!$AC$11,'DMR 001C TIN &amp; TP'!$A$2:$M$2,0))),"")</f>
        <v>0.06</v>
      </c>
      <c r="AD184" s="6">
        <f t="array" ref="AD184">_xlfn.IFNA((INDEX('DMR 001C TIN &amp; TP'!$A$3:$M$10005,MATCH(('Reg 85'!$X$6&amp;'Reg 85'!$AB$10&amp;'Reg 85'!$B184),('DMR 001C TIN &amp; TP'!$E$3:$E$10005&amp;'DMR 001C TIN &amp; TP'!$B$3:$B$10005&amp;'DMR 001C TIN &amp; TP'!$A$3:$A$10005),0),MATCH('Reg 85'!$AD$11,'DMR 001C TIN &amp; TP'!$A$2:$M$2,0))),"")</f>
        <v>6.38</v>
      </c>
      <c r="AE184" s="53">
        <f t="shared" si="74"/>
        <v>6.38</v>
      </c>
      <c r="AF184" s="7">
        <f t="shared" si="75"/>
        <v>6.0108764902736622</v>
      </c>
      <c r="AG184" s="6" t="str">
        <f t="array" ref="AG184">_xlfn.IFNA((INDEX('DMR 001C TIN &amp; TP'!$A$3:$M$10005,MATCH(('Reg 85'!$X$6&amp;'Reg 85'!AG$10&amp;'Reg 85'!$B184),('DMR 001C TIN &amp; TP'!$E$3:$E$10005&amp;'DMR 001C TIN &amp; TP'!$B$3:$B$10005&amp;'DMR 001C TIN &amp; TP'!$A$3:$A$10005),0),MATCH('Reg 85'!$AG$11,'DMR 001C TIN &amp; TP'!$A$2:$M$2,0))),"")</f>
        <v/>
      </c>
      <c r="AH184" s="6" t="str">
        <f t="array" ref="AH184">_xlfn.IFNA((INDEX('DMR 001C TIN &amp; TP'!$A$3:$M$10005,MATCH(('Reg 85'!$X$6&amp;'Reg 85'!AH$10&amp;'Reg 85'!$B184),('DMR 001C TIN &amp; TP'!$E$3:$E$10005&amp;'DMR 001C TIN &amp; TP'!$B$3:$B$10005&amp;'DMR 001C TIN &amp; TP'!$A$3:$A$10005),0),MATCH('Reg 85'!$AG$11,'DMR 001C TIN &amp; TP'!$A$2:$M$2,0))),"")</f>
        <v/>
      </c>
      <c r="AI184" s="6" t="str">
        <f t="array" ref="AI184">_xlfn.IFNA((INDEX('DMR 001C TIN &amp; TP'!$A$3:$M$10005,MATCH(('Reg 85'!$X$6&amp;'Reg 85'!AI$10&amp;'Reg 85'!$B184),('DMR 001C TIN &amp; TP'!$E$3:$E$10005&amp;'DMR 001C TIN &amp; TP'!$B$3:$B$10005&amp;'DMR 001C TIN &amp; TP'!$A$3:$A$10005),0),MATCH('Reg 85'!$AG$11,'DMR 001C TIN &amp; TP'!$A$2:$M$2,0))),"")</f>
        <v/>
      </c>
      <c r="AJ184" s="6" t="str">
        <f t="array" ref="AJ184">_xlfn.IFNA((INDEX('DMR 001C TIN &amp; TP'!$A$3:$M$10005,MATCH(('Reg 85'!$X$6&amp;'Reg 85'!AJ$10&amp;'Reg 85'!$B184),('DMR 001C TIN &amp; TP'!$E$3:$E$10005&amp;'DMR 001C TIN &amp; TP'!$B$3:$B$10005&amp;'DMR 001C TIN &amp; TP'!$A$3:$A$10005),0),MATCH('Reg 85'!$AG$11,'DMR 001C TIN &amp; TP'!$A$2:$M$2,0))),"")</f>
        <v/>
      </c>
      <c r="AK184" s="6" t="str">
        <f t="array" ref="AK184">_xlfn.IFNA((INDEX('DMR 001C TIN &amp; TP'!$A$3:$M$10005,MATCH(('Reg 85'!$X$6&amp;'Reg 85'!AK$10&amp;'Reg 85'!$B184),('DMR 001C TIN &amp; TP'!$E$3:$E$10005&amp;'DMR 001C TIN &amp; TP'!$B$3:$B$10005&amp;'DMR 001C TIN &amp; TP'!$A$3:$A$10005),0),MATCH('Reg 85'!$AG$11,'DMR 001C TIN &amp; TP'!$A$2:$M$2,0))),"")</f>
        <v/>
      </c>
      <c r="AL184" s="6" t="str">
        <f t="array" ref="AL184">_xlfn.IFNA((INDEX('DMR 001C TIN &amp; TP'!$A$3:$M$10005,MATCH(('Reg 85'!$X$6&amp;'Reg 85'!AL$10&amp;'Reg 85'!$B184),('DMR 001C TIN &amp; TP'!$E$3:$E$10005&amp;'DMR 001C TIN &amp; TP'!$B$3:$B$10005&amp;'DMR 001C TIN &amp; TP'!$A$3:$A$10005),0),MATCH('Reg 85'!$AG$11,'DMR 001C TIN &amp; TP'!$A$2:$M$2,0))),"")</f>
        <v/>
      </c>
      <c r="AM184" s="76"/>
      <c r="AN184" s="6"/>
      <c r="AO184" s="54">
        <f t="shared" si="62"/>
        <v>6.2597315965606448</v>
      </c>
      <c r="AP184" s="77" t="str">
        <f t="shared" si="81"/>
        <v/>
      </c>
      <c r="AQ184" s="47"/>
      <c r="AR184" s="6" t="str">
        <f t="array" ref="AR184">_xlfn.IFNA((INDEX('DMR 001C TIN &amp; TP'!$A$3:$M$10005,MATCH(('Reg 85'!$AQ$6&amp;'Reg 85'!$AQ$10&amp;'Reg 85'!$B184),('DMR 001C TIN &amp; TP'!$E$3:$E$10005&amp;'DMR 001C TIN &amp; TP'!$B$3:$B$10005&amp;'DMR 001C TIN &amp; TP'!$A$3:$A$10005),0),MATCH('Reg 85'!$AR$11,'DMR 001C TIN &amp; TP'!$A$2:$M$2,0))),"")</f>
        <v/>
      </c>
      <c r="AS184" s="6" t="str">
        <f t="array" ref="AS184">_xlfn.IFNA((INDEX('DMR 001C TIN &amp; TP'!$A$3:$M$10005,MATCH(('Reg 85'!$AQ$6&amp;'Reg 85'!$AQ$10&amp;'Reg 85'!$B184),('DMR 001C TIN &amp; TP'!$E$3:$E$10005&amp;'DMR 001C TIN &amp; TP'!$B$3:$B$10005&amp;'DMR 001C TIN &amp; TP'!$A$3:$A$10005),0),MATCH('Reg 85'!$AS$11,'DMR 001C TIN &amp; TP'!$A$2:$M$2,0))),"")</f>
        <v/>
      </c>
      <c r="AT184" s="53" t="str">
        <f t="shared" si="76"/>
        <v/>
      </c>
      <c r="AV184" s="6" t="str">
        <f t="array" ref="AV184">_xlfn.IFNA((INDEX('DMR 001C TIN &amp; TP'!$A$3:$M$10005,MATCH(('Reg 85'!$AQ$6&amp;'Reg 85'!$AU$10&amp;'Reg 85'!$B184),('DMR 001C TIN &amp; TP'!$E$3:$E$10005&amp;'DMR 001C TIN &amp; TP'!$B$3:$B$10005&amp;'DMR 001C TIN &amp; TP'!$A$3:$A$10005),0),MATCH('Reg 85'!$AV$11,'DMR 001C TIN &amp; TP'!$A$2:$M$2,0))),"")</f>
        <v/>
      </c>
      <c r="AW184" s="6" t="str">
        <f t="array" ref="AW184">_xlfn.IFNA((INDEX('DMR 001C TIN &amp; TP'!$A$3:$M$10005,MATCH(('Reg 85'!$AQ$6&amp;'Reg 85'!$AU$10&amp;'Reg 85'!$B184),('DMR 001C TIN &amp; TP'!$E$3:$E$10005&amp;'DMR 001C TIN &amp; TP'!$B$3:$B$10005&amp;'DMR 001C TIN &amp; TP'!$A$3:$A$10005),0),MATCH('Reg 85'!$AW$11,'DMR 001C TIN &amp; TP'!$A$2:$M$2,0))),"")</f>
        <v/>
      </c>
      <c r="AX184" s="53" t="str">
        <f t="shared" si="77"/>
        <v/>
      </c>
      <c r="AY184" s="55" t="str">
        <f t="shared" si="78"/>
        <v/>
      </c>
      <c r="AZ184" s="77" t="str">
        <f t="shared" si="82"/>
        <v/>
      </c>
      <c r="BA184" s="6" t="str">
        <f t="array" ref="BA184">_xlfn.IFNA((INDEX('DMR 001C TIN &amp; TP'!$A$3:$M$10005,MATCH(('Reg 85'!$AQ$6&amp;'Reg 85'!BA$10&amp;'Reg 85'!$B184),('DMR 001C TIN &amp; TP'!$E$3:$E$10005&amp;'DMR 001C TIN &amp; TP'!$B$3:$B$10005&amp;'DMR 001C TIN &amp; TP'!$A$3:$A$10005),0),MATCH('Reg 85'!$AG$11,'DMR 001C TIN &amp; TP'!$A$2:$M$2,0))),"")</f>
        <v/>
      </c>
      <c r="BB184" s="6" t="str">
        <f t="array" ref="BB184">_xlfn.IFNA((INDEX('DMR 001C TIN &amp; TP'!$A$3:$M$10005,MATCH(('Reg 85'!$AQ$6&amp;'Reg 85'!BB$10&amp;'Reg 85'!$B184),('DMR 001C TIN &amp; TP'!$E$3:$E$10005&amp;'DMR 001C TIN &amp; TP'!$B$3:$B$10005&amp;'DMR 001C TIN &amp; TP'!$A$3:$A$10005),0),MATCH('Reg 85'!$AG$11,'DMR 001C TIN &amp; TP'!$A$2:$M$2,0))),"")</f>
        <v/>
      </c>
      <c r="BC184" s="6" t="str">
        <f t="array" ref="BC184">_xlfn.IFNA((INDEX('DMR 001C TIN &amp; TP'!$A$3:$M$10005,MATCH(('Reg 85'!$AQ$6&amp;'Reg 85'!BC$10&amp;'Reg 85'!$B184),('DMR 001C TIN &amp; TP'!$E$3:$E$10005&amp;'DMR 001C TIN &amp; TP'!$B$3:$B$10005&amp;'DMR 001C TIN &amp; TP'!$A$3:$A$10005),0),MATCH('Reg 85'!$AG$11,'DMR 001C TIN &amp; TP'!$A$2:$M$2,0))),"")</f>
        <v/>
      </c>
      <c r="BD184" s="6" t="str">
        <f t="array" ref="BD184">_xlfn.IFNA((INDEX('DMR 001C TIN &amp; TP'!$A$3:$M$10005,MATCH(('Reg 85'!$AQ$6&amp;'Reg 85'!BD$10&amp;'Reg 85'!$B184),('DMR 001C TIN &amp; TP'!$E$3:$E$10005&amp;'DMR 001C TIN &amp; TP'!$B$3:$B$10005&amp;'DMR 001C TIN &amp; TP'!$A$3:$A$10005),0),MATCH('Reg 85'!$AG$11,'DMR 001C TIN &amp; TP'!$A$2:$M$2,0))),"")</f>
        <v/>
      </c>
      <c r="BE184" s="6" t="str">
        <f t="array" ref="BE184">_xlfn.IFNA((INDEX('DMR 001C TIN &amp; TP'!$A$3:$M$10005,MATCH(('Reg 85'!$AQ$6&amp;'Reg 85'!BE$10&amp;'Reg 85'!$B184),('DMR 001C TIN &amp; TP'!$E$3:$E$10005&amp;'DMR 001C TIN &amp; TP'!$B$3:$B$10005&amp;'DMR 001C TIN &amp; TP'!$A$3:$A$10005),0),MATCH('Reg 85'!$AG$11,'DMR 001C TIN &amp; TP'!$A$2:$M$2,0))),"")</f>
        <v/>
      </c>
      <c r="BF184" s="6" t="str">
        <f t="array" ref="BF184">_xlfn.IFNA((INDEX('DMR 001C TIN &amp; TP'!$A$3:$M$10005,MATCH(('Reg 85'!$AQ$6&amp;'Reg 85'!BF$10&amp;'Reg 85'!$B184),('DMR 001C TIN &amp; TP'!$E$3:$E$10005&amp;'DMR 001C TIN &amp; TP'!$B$3:$B$10005&amp;'DMR 001C TIN &amp; TP'!$A$3:$A$10005),0),MATCH('Reg 85'!$AG$11,'DMR 001C TIN &amp; TP'!$A$2:$M$2,0))),"")</f>
        <v/>
      </c>
    </row>
    <row r="185" spans="1:58">
      <c r="A185" s="3" t="str">
        <f t="shared" si="63"/>
        <v>Thu</v>
      </c>
      <c r="B185" s="96">
        <f t="shared" si="79"/>
        <v>43517</v>
      </c>
      <c r="C185" s="96">
        <f t="shared" si="64"/>
        <v>43524</v>
      </c>
      <c r="D185" s="96">
        <f t="shared" si="65"/>
        <v>43497</v>
      </c>
      <c r="E185" s="95">
        <f t="shared" si="66"/>
        <v>28</v>
      </c>
      <c r="F185" s="7">
        <f t="array" ref="F185">_xlfn.IFNA(INDEX('DMR Flows-Effluent'!$A$3:$F$9999,MATCH(($F$10&amp;$B185),('DMR Flows-Effluent'!$B$3:$B$9999&amp;'DMR Flows-Effluent'!$A$3:$A$9999),0),MATCH($F$8,'DMR Flows-Effluent'!$A$2:$F$2,0)),"")</f>
        <v>60.712499999999999</v>
      </c>
      <c r="G185" s="7">
        <f t="array" ref="G185">_xlfn.IFNA(INDEX('DMR Flows-Effluent'!$A$3:$F$9999,MATCH(($G$10&amp;$B185),('DMR Flows-Effluent'!$B$3:$B$9999&amp;'DMR Flows-Effluent'!$A$3:$A$9999),0),MATCH($F$8,'DMR Flows-Effluent'!$A$2:$F$2,0)),"")</f>
        <v>63.314799999999998</v>
      </c>
      <c r="H185" s="7">
        <f t="shared" si="67"/>
        <v>124.0273</v>
      </c>
      <c r="I185" s="45" t="str">
        <f t="shared" si="68"/>
        <v/>
      </c>
      <c r="J185" s="6" t="str">
        <f t="array" ref="J185">_xlfn.IFNA((INDEX('DMR 001C TIN &amp; TP'!$A$3:$M$10005,MATCH(('Reg 85'!$I$6:$Q$6&amp;'Reg 85'!$I$10:$K$10&amp;'Reg 85'!$B185),('DMR 001C TIN &amp; TP'!$E$3:$E$10005&amp;'DMR 001C TIN &amp; TP'!$B$3:$B$10005&amp;'DMR 001C TIN &amp; TP'!$A$3:$A$10005),0),MATCH('Reg 85'!$J$11,'DMR 001C TIN &amp; TP'!$A$2:$M$2,0))),"")</f>
        <v>0.15</v>
      </c>
      <c r="K185" s="6">
        <f t="array" ref="K185">_xlfn.IFNA((INDEX('DMR 001C TIN &amp; TP'!$A$3:$M$10005,MATCH(('Reg 85'!$I$6:$Q$6&amp;'Reg 85'!$I$10:$K$10&amp;'Reg 85'!$B185),('DMR 001C TIN &amp; TP'!$E$3:$E$10005&amp;'DMR 001C TIN &amp; TP'!$B$3:$B$10005&amp;'DMR 001C TIN &amp; TP'!$A$3:$A$10005),0),MATCH('Reg 85'!$K$11,'DMR 001C TIN &amp; TP'!$A$2:$M$2,0))),"")</f>
        <v>0.25</v>
      </c>
      <c r="L185" s="53">
        <f t="shared" si="80"/>
        <v>0.25</v>
      </c>
      <c r="M185" s="5" t="str">
        <f t="shared" si="69"/>
        <v/>
      </c>
      <c r="N185" s="6" t="str">
        <f t="array" ref="N185">_xlfn.IFNA((INDEX('DMR 001C TIN &amp; TP'!$A$3:$M$10005,MATCH(('Reg 85'!$I$6:$Q$6&amp;'Reg 85'!$M$10&amp;'Reg 85'!$B185),('DMR 001C TIN &amp; TP'!$E$3:$E$10005&amp;'DMR 001C TIN &amp; TP'!$B$3:$B$10005&amp;'DMR 001C TIN &amp; TP'!$A$3:$A$10005),0),MATCH('Reg 85'!$N$11,'DMR 001C TIN &amp; TP'!$A$2:$M$2,0))),"")</f>
        <v>0.15</v>
      </c>
      <c r="O185" s="6">
        <f t="array" ref="O185">_xlfn.IFNA((INDEX('DMR 001C TIN &amp; TP'!$A$3:$M$10005,MATCH(('Reg 85'!$I$6:$Q$6&amp;'Reg 85'!$M$10&amp;'Reg 85'!$B185),('DMR 001C TIN &amp; TP'!$E$3:$E$10005&amp;'DMR 001C TIN &amp; TP'!$B$3:$B$10005&amp;'DMR 001C TIN &amp; TP'!$A$3:$A$10005),0),MATCH('Reg 85'!$O$11,'DMR 001C TIN &amp; TP'!$A$2:$M$2,0))),"")</f>
        <v>0.56999999999999995</v>
      </c>
      <c r="P185" s="53">
        <f t="shared" si="70"/>
        <v>0.56999999999999995</v>
      </c>
      <c r="Q185" s="73">
        <f t="array" ref="Q185">IFERROR(((L185*$F185)+(P185*$G185))/($H185),"")</f>
        <v>0.41335706735533229</v>
      </c>
      <c r="R185" s="6" t="str">
        <f t="array" ref="R185">_xlfn.IFNA((INDEX('DMR 001C TIN &amp; TP'!$A$3:$M$10005,MATCH(('Reg 85'!$I$6:$Q$6&amp;'Reg 85'!R$10&amp;'Reg 85'!$B185),('DMR 001C TIN &amp; TP'!$E$3:$E$10005&amp;'DMR 001C TIN &amp; TP'!$B$3:$B$10005&amp;'DMR 001C TIN &amp; TP'!$A$3:$A$10005),0),MATCH('Reg 85'!$O$11,'DMR 001C TIN &amp; TP'!$A$2:$M$2,0))),"")</f>
        <v/>
      </c>
      <c r="S185" s="6" t="str">
        <f t="array" ref="S185">_xlfn.IFNA((INDEX('DMR 001C TIN &amp; TP'!$A$3:$M$10005,MATCH(('Reg 85'!$I$6:$Q$6&amp;'Reg 85'!S$10&amp;'Reg 85'!$B185),('DMR 001C TIN &amp; TP'!$E$3:$E$10005&amp;'DMR 001C TIN &amp; TP'!$B$3:$B$10005&amp;'DMR 001C TIN &amp; TP'!$A$3:$A$10005),0),MATCH('Reg 85'!$O$11,'DMR 001C TIN &amp; TP'!$A$2:$M$2,0))),"")</f>
        <v/>
      </c>
      <c r="T185" s="6" t="str">
        <f t="array" ref="T185">_xlfn.IFNA((INDEX('DMR 001C TIN &amp; TP'!$A$3:$M$10005,MATCH(('Reg 85'!$I$6:$Q$6&amp;'Reg 85'!T$10&amp;'Reg 85'!$B185),('DMR 001C TIN &amp; TP'!$E$3:$E$10005&amp;'DMR 001C TIN &amp; TP'!$B$3:$B$10005&amp;'DMR 001C TIN &amp; TP'!$A$3:$A$10005),0),MATCH('Reg 85'!$O$11,'DMR 001C TIN &amp; TP'!$A$2:$M$2,0))),"")</f>
        <v/>
      </c>
      <c r="U185" s="6" t="str">
        <f t="array" ref="U185">_xlfn.IFNA((INDEX('DMR 001C TIN &amp; TP'!$A$3:$M$10005,MATCH(('Reg 85'!$I$6:$Q$6&amp;'Reg 85'!U$10&amp;'Reg 85'!$B185),('DMR 001C TIN &amp; TP'!$E$3:$E$10005&amp;'DMR 001C TIN &amp; TP'!$B$3:$B$10005&amp;'DMR 001C TIN &amp; TP'!$A$3:$A$10005),0),MATCH('Reg 85'!$O$11,'DMR 001C TIN &amp; TP'!$A$2:$M$2,0))),"")</f>
        <v/>
      </c>
      <c r="V185" s="6" t="str">
        <f t="array" ref="V185">_xlfn.IFNA((INDEX('DMR 001C TIN &amp; TP'!$A$3:$M$10005,MATCH(('Reg 85'!$I$6:$Q$6&amp;'Reg 85'!V$10&amp;'Reg 85'!$B185),('DMR 001C TIN &amp; TP'!$E$3:$E$10005&amp;'DMR 001C TIN &amp; TP'!$B$3:$B$10005&amp;'DMR 001C TIN &amp; TP'!$A$3:$A$10005),0),MATCH('Reg 85'!$O$11,'DMR 001C TIN &amp; TP'!$A$2:$M$2,0))),"")</f>
        <v/>
      </c>
      <c r="W185" s="6" t="str">
        <f t="array" ref="W185">_xlfn.IFNA((INDEX('DMR 001C TIN &amp; TP'!$A$3:$M$10005,MATCH(('Reg 85'!$I$6:$Q$6&amp;'Reg 85'!W$10&amp;'Reg 85'!$B185),('DMR 001C TIN &amp; TP'!$E$3:$E$10005&amp;'DMR 001C TIN &amp; TP'!$B$3:$B$10005&amp;'DMR 001C TIN &amp; TP'!$A$3:$A$10005),0),MATCH('Reg 85'!$O$11,'DMR 001C TIN &amp; TP'!$A$2:$M$2,0))),"")</f>
        <v/>
      </c>
      <c r="X185" s="5" t="str">
        <f t="shared" si="71"/>
        <v/>
      </c>
      <c r="Y185" s="6" t="str">
        <f t="array" ref="Y185">_xlfn.IFNA((INDEX('DMR 001C TIN &amp; TP'!$A$3:$M$10005,MATCH(('Reg 85'!$X$6&amp;'Reg 85'!$X$10&amp;'Reg 85'!$B185),('DMR 001C TIN &amp; TP'!$E$3:$E$10005&amp;'DMR 001C TIN &amp; TP'!$B$3:$B$10005&amp;'DMR 001C TIN &amp; TP'!$A$3:$A$10005),0),MATCH('Reg 85'!$Y$11,'DMR 001C TIN &amp; TP'!$A$2:$M$2,0))),"")</f>
        <v>0.06</v>
      </c>
      <c r="Z185" s="6">
        <f t="array" ref="Z185">_xlfn.IFNA((INDEX('DMR 001C TIN &amp; TP'!$A$3:$M$10005,MATCH(('Reg 85'!$X$6&amp;'Reg 85'!$X$10&amp;'Reg 85'!$B185),('DMR 001C TIN &amp; TP'!$E$3:$E$10005&amp;'DMR 001C TIN &amp; TP'!$B$3:$B$10005&amp;'DMR 001C TIN &amp; TP'!$A$3:$A$10005),0),MATCH('Reg 85'!$Z$11,'DMR 001C TIN &amp; TP'!$A$2:$M$2,0))),"")</f>
        <v>5.68</v>
      </c>
      <c r="AA185" s="53">
        <f t="shared" si="72"/>
        <v>5.68</v>
      </c>
      <c r="AB185" s="5" t="str">
        <f t="shared" si="73"/>
        <v/>
      </c>
      <c r="AC185" s="6" t="str">
        <f t="array" ref="AC185">_xlfn.IFNA((INDEX('DMR 001C TIN &amp; TP'!$A$3:$M$10005,MATCH(('Reg 85'!$X$6&amp;'Reg 85'!$AB$10&amp;'Reg 85'!$B185),('DMR 001C TIN &amp; TP'!$E$3:$E$10005&amp;'DMR 001C TIN &amp; TP'!$B$3:$B$10005&amp;'DMR 001C TIN &amp; TP'!$A$3:$A$10005),0),MATCH('Reg 85'!$AC$11,'DMR 001C TIN &amp; TP'!$A$2:$M$2,0))),"")</f>
        <v>0.06</v>
      </c>
      <c r="AD185" s="6">
        <f t="array" ref="AD185">_xlfn.IFNA((INDEX('DMR 001C TIN &amp; TP'!$A$3:$M$10005,MATCH(('Reg 85'!$X$6&amp;'Reg 85'!$AB$10&amp;'Reg 85'!$B185),('DMR 001C TIN &amp; TP'!$E$3:$E$10005&amp;'DMR 001C TIN &amp; TP'!$B$3:$B$10005&amp;'DMR 001C TIN &amp; TP'!$A$3:$A$10005),0),MATCH('Reg 85'!$AD$11,'DMR 001C TIN &amp; TP'!$A$2:$M$2,0))),"")</f>
        <v>6.94</v>
      </c>
      <c r="AE185" s="53">
        <f t="shared" si="74"/>
        <v>6.94</v>
      </c>
      <c r="AF185" s="7">
        <f t="shared" si="75"/>
        <v>6.3232184527116209</v>
      </c>
      <c r="AG185" s="6" t="str">
        <f t="array" ref="AG185">_xlfn.IFNA((INDEX('DMR 001C TIN &amp; TP'!$A$3:$M$10005,MATCH(('Reg 85'!$X$6&amp;'Reg 85'!AG$10&amp;'Reg 85'!$B185),('DMR 001C TIN &amp; TP'!$E$3:$E$10005&amp;'DMR 001C TIN &amp; TP'!$B$3:$B$10005&amp;'DMR 001C TIN &amp; TP'!$A$3:$A$10005),0),MATCH('Reg 85'!$AG$11,'DMR 001C TIN &amp; TP'!$A$2:$M$2,0))),"")</f>
        <v/>
      </c>
      <c r="AH185" s="6" t="str">
        <f t="array" ref="AH185">_xlfn.IFNA((INDEX('DMR 001C TIN &amp; TP'!$A$3:$M$10005,MATCH(('Reg 85'!$X$6&amp;'Reg 85'!AH$10&amp;'Reg 85'!$B185),('DMR 001C TIN &amp; TP'!$E$3:$E$10005&amp;'DMR 001C TIN &amp; TP'!$B$3:$B$10005&amp;'DMR 001C TIN &amp; TP'!$A$3:$A$10005),0),MATCH('Reg 85'!$AG$11,'DMR 001C TIN &amp; TP'!$A$2:$M$2,0))),"")</f>
        <v/>
      </c>
      <c r="AI185" s="6" t="str">
        <f t="array" ref="AI185">_xlfn.IFNA((INDEX('DMR 001C TIN &amp; TP'!$A$3:$M$10005,MATCH(('Reg 85'!$X$6&amp;'Reg 85'!AI$10&amp;'Reg 85'!$B185),('DMR 001C TIN &amp; TP'!$E$3:$E$10005&amp;'DMR 001C TIN &amp; TP'!$B$3:$B$10005&amp;'DMR 001C TIN &amp; TP'!$A$3:$A$10005),0),MATCH('Reg 85'!$AG$11,'DMR 001C TIN &amp; TP'!$A$2:$M$2,0))),"")</f>
        <v/>
      </c>
      <c r="AJ185" s="6" t="str">
        <f t="array" ref="AJ185">_xlfn.IFNA((INDEX('DMR 001C TIN &amp; TP'!$A$3:$M$10005,MATCH(('Reg 85'!$X$6&amp;'Reg 85'!AJ$10&amp;'Reg 85'!$B185),('DMR 001C TIN &amp; TP'!$E$3:$E$10005&amp;'DMR 001C TIN &amp; TP'!$B$3:$B$10005&amp;'DMR 001C TIN &amp; TP'!$A$3:$A$10005),0),MATCH('Reg 85'!$AG$11,'DMR 001C TIN &amp; TP'!$A$2:$M$2,0))),"")</f>
        <v/>
      </c>
      <c r="AK185" s="6" t="str">
        <f t="array" ref="AK185">_xlfn.IFNA((INDEX('DMR 001C TIN &amp; TP'!$A$3:$M$10005,MATCH(('Reg 85'!$X$6&amp;'Reg 85'!AK$10&amp;'Reg 85'!$B185),('DMR 001C TIN &amp; TP'!$E$3:$E$10005&amp;'DMR 001C TIN &amp; TP'!$B$3:$B$10005&amp;'DMR 001C TIN &amp; TP'!$A$3:$A$10005),0),MATCH('Reg 85'!$AG$11,'DMR 001C TIN &amp; TP'!$A$2:$M$2,0))),"")</f>
        <v/>
      </c>
      <c r="AL185" s="6" t="str">
        <f t="array" ref="AL185">_xlfn.IFNA((INDEX('DMR 001C TIN &amp; TP'!$A$3:$M$10005,MATCH(('Reg 85'!$X$6&amp;'Reg 85'!AL$10&amp;'Reg 85'!$B185),('DMR 001C TIN &amp; TP'!$E$3:$E$10005&amp;'DMR 001C TIN &amp; TP'!$B$3:$B$10005&amp;'DMR 001C TIN &amp; TP'!$A$3:$A$10005),0),MATCH('Reg 85'!$AG$11,'DMR 001C TIN &amp; TP'!$A$2:$M$2,0))),"")</f>
        <v/>
      </c>
      <c r="AM185" s="76"/>
      <c r="AN185" s="6"/>
      <c r="AO185" s="54">
        <f t="shared" si="62"/>
        <v>6.7365755200669533</v>
      </c>
      <c r="AP185" s="77" t="str">
        <f t="shared" si="81"/>
        <v/>
      </c>
      <c r="AQ185" s="47"/>
      <c r="AR185" s="6" t="str">
        <f t="array" ref="AR185">_xlfn.IFNA((INDEX('DMR 001C TIN &amp; TP'!$A$3:$M$10005,MATCH(('Reg 85'!$AQ$6&amp;'Reg 85'!$AQ$10&amp;'Reg 85'!$B185),('DMR 001C TIN &amp; TP'!$E$3:$E$10005&amp;'DMR 001C TIN &amp; TP'!$B$3:$B$10005&amp;'DMR 001C TIN &amp; TP'!$A$3:$A$10005),0),MATCH('Reg 85'!$AR$11,'DMR 001C TIN &amp; TP'!$A$2:$M$2,0))),"")</f>
        <v/>
      </c>
      <c r="AS185" s="6" t="str">
        <f t="array" ref="AS185">_xlfn.IFNA((INDEX('DMR 001C TIN &amp; TP'!$A$3:$M$10005,MATCH(('Reg 85'!$AQ$6&amp;'Reg 85'!$AQ$10&amp;'Reg 85'!$B185),('DMR 001C TIN &amp; TP'!$E$3:$E$10005&amp;'DMR 001C TIN &amp; TP'!$B$3:$B$10005&amp;'DMR 001C TIN &amp; TP'!$A$3:$A$10005),0),MATCH('Reg 85'!$AS$11,'DMR 001C TIN &amp; TP'!$A$2:$M$2,0))),"")</f>
        <v/>
      </c>
      <c r="AT185" s="53" t="str">
        <f t="shared" si="76"/>
        <v/>
      </c>
      <c r="AV185" s="6" t="str">
        <f t="array" ref="AV185">_xlfn.IFNA((INDEX('DMR 001C TIN &amp; TP'!$A$3:$M$10005,MATCH(('Reg 85'!$AQ$6&amp;'Reg 85'!$AU$10&amp;'Reg 85'!$B185),('DMR 001C TIN &amp; TP'!$E$3:$E$10005&amp;'DMR 001C TIN &amp; TP'!$B$3:$B$10005&amp;'DMR 001C TIN &amp; TP'!$A$3:$A$10005),0),MATCH('Reg 85'!$AV$11,'DMR 001C TIN &amp; TP'!$A$2:$M$2,0))),"")</f>
        <v/>
      </c>
      <c r="AW185" s="6" t="str">
        <f t="array" ref="AW185">_xlfn.IFNA((INDEX('DMR 001C TIN &amp; TP'!$A$3:$M$10005,MATCH(('Reg 85'!$AQ$6&amp;'Reg 85'!$AU$10&amp;'Reg 85'!$B185),('DMR 001C TIN &amp; TP'!$E$3:$E$10005&amp;'DMR 001C TIN &amp; TP'!$B$3:$B$10005&amp;'DMR 001C TIN &amp; TP'!$A$3:$A$10005),0),MATCH('Reg 85'!$AW$11,'DMR 001C TIN &amp; TP'!$A$2:$M$2,0))),"")</f>
        <v/>
      </c>
      <c r="AX185" s="53" t="str">
        <f t="shared" si="77"/>
        <v/>
      </c>
      <c r="AY185" s="55" t="str">
        <f t="shared" si="78"/>
        <v/>
      </c>
      <c r="AZ185" s="77" t="str">
        <f t="shared" si="82"/>
        <v/>
      </c>
      <c r="BA185" s="6" t="str">
        <f t="array" ref="BA185">_xlfn.IFNA((INDEX('DMR 001C TIN &amp; TP'!$A$3:$M$10005,MATCH(('Reg 85'!$AQ$6&amp;'Reg 85'!BA$10&amp;'Reg 85'!$B185),('DMR 001C TIN &amp; TP'!$E$3:$E$10005&amp;'DMR 001C TIN &amp; TP'!$B$3:$B$10005&amp;'DMR 001C TIN &amp; TP'!$A$3:$A$10005),0),MATCH('Reg 85'!$AG$11,'DMR 001C TIN &amp; TP'!$A$2:$M$2,0))),"")</f>
        <v/>
      </c>
      <c r="BB185" s="6" t="str">
        <f t="array" ref="BB185">_xlfn.IFNA((INDEX('DMR 001C TIN &amp; TP'!$A$3:$M$10005,MATCH(('Reg 85'!$AQ$6&amp;'Reg 85'!BB$10&amp;'Reg 85'!$B185),('DMR 001C TIN &amp; TP'!$E$3:$E$10005&amp;'DMR 001C TIN &amp; TP'!$B$3:$B$10005&amp;'DMR 001C TIN &amp; TP'!$A$3:$A$10005),0),MATCH('Reg 85'!$AG$11,'DMR 001C TIN &amp; TP'!$A$2:$M$2,0))),"")</f>
        <v/>
      </c>
      <c r="BC185" s="6" t="str">
        <f t="array" ref="BC185">_xlfn.IFNA((INDEX('DMR 001C TIN &amp; TP'!$A$3:$M$10005,MATCH(('Reg 85'!$AQ$6&amp;'Reg 85'!BC$10&amp;'Reg 85'!$B185),('DMR 001C TIN &amp; TP'!$E$3:$E$10005&amp;'DMR 001C TIN &amp; TP'!$B$3:$B$10005&amp;'DMR 001C TIN &amp; TP'!$A$3:$A$10005),0),MATCH('Reg 85'!$AG$11,'DMR 001C TIN &amp; TP'!$A$2:$M$2,0))),"")</f>
        <v/>
      </c>
      <c r="BD185" s="6" t="str">
        <f t="array" ref="BD185">_xlfn.IFNA((INDEX('DMR 001C TIN &amp; TP'!$A$3:$M$10005,MATCH(('Reg 85'!$AQ$6&amp;'Reg 85'!BD$10&amp;'Reg 85'!$B185),('DMR 001C TIN &amp; TP'!$E$3:$E$10005&amp;'DMR 001C TIN &amp; TP'!$B$3:$B$10005&amp;'DMR 001C TIN &amp; TP'!$A$3:$A$10005),0),MATCH('Reg 85'!$AG$11,'DMR 001C TIN &amp; TP'!$A$2:$M$2,0))),"")</f>
        <v/>
      </c>
      <c r="BE185" s="6" t="str">
        <f t="array" ref="BE185">_xlfn.IFNA((INDEX('DMR 001C TIN &amp; TP'!$A$3:$M$10005,MATCH(('Reg 85'!$AQ$6&amp;'Reg 85'!BE$10&amp;'Reg 85'!$B185),('DMR 001C TIN &amp; TP'!$E$3:$E$10005&amp;'DMR 001C TIN &amp; TP'!$B$3:$B$10005&amp;'DMR 001C TIN &amp; TP'!$A$3:$A$10005),0),MATCH('Reg 85'!$AG$11,'DMR 001C TIN &amp; TP'!$A$2:$M$2,0))),"")</f>
        <v/>
      </c>
      <c r="BF185" s="6" t="str">
        <f t="array" ref="BF185">_xlfn.IFNA((INDEX('DMR 001C TIN &amp; TP'!$A$3:$M$10005,MATCH(('Reg 85'!$AQ$6&amp;'Reg 85'!BF$10&amp;'Reg 85'!$B185),('DMR 001C TIN &amp; TP'!$E$3:$E$10005&amp;'DMR 001C TIN &amp; TP'!$B$3:$B$10005&amp;'DMR 001C TIN &amp; TP'!$A$3:$A$10005),0),MATCH('Reg 85'!$AG$11,'DMR 001C TIN &amp; TP'!$A$2:$M$2,0))),"")</f>
        <v/>
      </c>
    </row>
    <row r="186" spans="1:58">
      <c r="A186" s="3" t="str">
        <f t="shared" si="63"/>
        <v>Fri</v>
      </c>
      <c r="B186" s="96">
        <f t="shared" si="79"/>
        <v>43518</v>
      </c>
      <c r="C186" s="96">
        <f t="shared" si="64"/>
        <v>43524</v>
      </c>
      <c r="D186" s="96">
        <f t="shared" si="65"/>
        <v>43497</v>
      </c>
      <c r="E186" s="95">
        <f t="shared" si="66"/>
        <v>28</v>
      </c>
      <c r="F186" s="7">
        <f t="array" ref="F186">_xlfn.IFNA(INDEX('DMR Flows-Effluent'!$A$3:$F$9999,MATCH(($F$10&amp;$B186),('DMR Flows-Effluent'!$B$3:$B$9999&amp;'DMR Flows-Effluent'!$A$3:$A$9999),0),MATCH($F$8,'DMR Flows-Effluent'!$A$2:$F$2,0)),"")</f>
        <v>57.109099999999998</v>
      </c>
      <c r="G186" s="7">
        <f t="array" ref="G186">_xlfn.IFNA(INDEX('DMR Flows-Effluent'!$A$3:$F$9999,MATCH(($G$10&amp;$B186),('DMR Flows-Effluent'!$B$3:$B$9999&amp;'DMR Flows-Effluent'!$A$3:$A$9999),0),MATCH($F$8,'DMR Flows-Effluent'!$A$2:$F$2,0)),"")</f>
        <v>63.6113</v>
      </c>
      <c r="H186" s="7">
        <f t="shared" si="67"/>
        <v>120.7204</v>
      </c>
      <c r="I186" s="45" t="str">
        <f t="shared" si="68"/>
        <v/>
      </c>
      <c r="J186" s="6" t="str">
        <f t="array" ref="J186">_xlfn.IFNA((INDEX('DMR 001C TIN &amp; TP'!$A$3:$M$10005,MATCH(('Reg 85'!$I$6:$Q$6&amp;'Reg 85'!$I$10:$K$10&amp;'Reg 85'!$B186),('DMR 001C TIN &amp; TP'!$E$3:$E$10005&amp;'DMR 001C TIN &amp; TP'!$B$3:$B$10005&amp;'DMR 001C TIN &amp; TP'!$A$3:$A$10005),0),MATCH('Reg 85'!$J$11,'DMR 001C TIN &amp; TP'!$A$2:$M$2,0))),"")</f>
        <v/>
      </c>
      <c r="K186" s="6" t="str">
        <f t="array" ref="K186">_xlfn.IFNA((INDEX('DMR 001C TIN &amp; TP'!$A$3:$M$10005,MATCH(('Reg 85'!$I$6:$Q$6&amp;'Reg 85'!$I$10:$K$10&amp;'Reg 85'!$B186),('DMR 001C TIN &amp; TP'!$E$3:$E$10005&amp;'DMR 001C TIN &amp; TP'!$B$3:$B$10005&amp;'DMR 001C TIN &amp; TP'!$A$3:$A$10005),0),MATCH('Reg 85'!$K$11,'DMR 001C TIN &amp; TP'!$A$2:$M$2,0))),"")</f>
        <v/>
      </c>
      <c r="L186" s="53" t="str">
        <f t="shared" si="80"/>
        <v/>
      </c>
      <c r="M186" s="5" t="str">
        <f t="shared" si="69"/>
        <v/>
      </c>
      <c r="N186" s="6" t="str">
        <f t="array" ref="N186">_xlfn.IFNA((INDEX('DMR 001C TIN &amp; TP'!$A$3:$M$10005,MATCH(('Reg 85'!$I$6:$Q$6&amp;'Reg 85'!$M$10&amp;'Reg 85'!$B186),('DMR 001C TIN &amp; TP'!$E$3:$E$10005&amp;'DMR 001C TIN &amp; TP'!$B$3:$B$10005&amp;'DMR 001C TIN &amp; TP'!$A$3:$A$10005),0),MATCH('Reg 85'!$N$11,'DMR 001C TIN &amp; TP'!$A$2:$M$2,0))),"")</f>
        <v/>
      </c>
      <c r="O186" s="6" t="str">
        <f t="array" ref="O186">_xlfn.IFNA((INDEX('DMR 001C TIN &amp; TP'!$A$3:$M$10005,MATCH(('Reg 85'!$I$6:$Q$6&amp;'Reg 85'!$M$10&amp;'Reg 85'!$B186),('DMR 001C TIN &amp; TP'!$E$3:$E$10005&amp;'DMR 001C TIN &amp; TP'!$B$3:$B$10005&amp;'DMR 001C TIN &amp; TP'!$A$3:$A$10005),0),MATCH('Reg 85'!$O$11,'DMR 001C TIN &amp; TP'!$A$2:$M$2,0))),"")</f>
        <v/>
      </c>
      <c r="P186" s="53" t="str">
        <f t="shared" si="70"/>
        <v/>
      </c>
      <c r="Q186" s="73" t="str">
        <f t="array" ref="Q186">IFERROR(((L186*$F186)+(P186*$G186))/($H186),"")</f>
        <v/>
      </c>
      <c r="R186" s="6" t="str">
        <f t="array" ref="R186">_xlfn.IFNA((INDEX('DMR 001C TIN &amp; TP'!$A$3:$M$10005,MATCH(('Reg 85'!$I$6:$Q$6&amp;'Reg 85'!R$10&amp;'Reg 85'!$B186),('DMR 001C TIN &amp; TP'!$E$3:$E$10005&amp;'DMR 001C TIN &amp; TP'!$B$3:$B$10005&amp;'DMR 001C TIN &amp; TP'!$A$3:$A$10005),0),MATCH('Reg 85'!$O$11,'DMR 001C TIN &amp; TP'!$A$2:$M$2,0))),"")</f>
        <v/>
      </c>
      <c r="S186" s="6" t="str">
        <f t="array" ref="S186">_xlfn.IFNA((INDEX('DMR 001C TIN &amp; TP'!$A$3:$M$10005,MATCH(('Reg 85'!$I$6:$Q$6&amp;'Reg 85'!S$10&amp;'Reg 85'!$B186),('DMR 001C TIN &amp; TP'!$E$3:$E$10005&amp;'DMR 001C TIN &amp; TP'!$B$3:$B$10005&amp;'DMR 001C TIN &amp; TP'!$A$3:$A$10005),0),MATCH('Reg 85'!$O$11,'DMR 001C TIN &amp; TP'!$A$2:$M$2,0))),"")</f>
        <v/>
      </c>
      <c r="T186" s="6" t="str">
        <f t="array" ref="T186">_xlfn.IFNA((INDEX('DMR 001C TIN &amp; TP'!$A$3:$M$10005,MATCH(('Reg 85'!$I$6:$Q$6&amp;'Reg 85'!T$10&amp;'Reg 85'!$B186),('DMR 001C TIN &amp; TP'!$E$3:$E$10005&amp;'DMR 001C TIN &amp; TP'!$B$3:$B$10005&amp;'DMR 001C TIN &amp; TP'!$A$3:$A$10005),0),MATCH('Reg 85'!$O$11,'DMR 001C TIN &amp; TP'!$A$2:$M$2,0))),"")</f>
        <v/>
      </c>
      <c r="U186" s="6" t="str">
        <f t="array" ref="U186">_xlfn.IFNA((INDEX('DMR 001C TIN &amp; TP'!$A$3:$M$10005,MATCH(('Reg 85'!$I$6:$Q$6&amp;'Reg 85'!U$10&amp;'Reg 85'!$B186),('DMR 001C TIN &amp; TP'!$E$3:$E$10005&amp;'DMR 001C TIN &amp; TP'!$B$3:$B$10005&amp;'DMR 001C TIN &amp; TP'!$A$3:$A$10005),0),MATCH('Reg 85'!$O$11,'DMR 001C TIN &amp; TP'!$A$2:$M$2,0))),"")</f>
        <v/>
      </c>
      <c r="V186" s="6" t="str">
        <f t="array" ref="V186">_xlfn.IFNA((INDEX('DMR 001C TIN &amp; TP'!$A$3:$M$10005,MATCH(('Reg 85'!$I$6:$Q$6&amp;'Reg 85'!V$10&amp;'Reg 85'!$B186),('DMR 001C TIN &amp; TP'!$E$3:$E$10005&amp;'DMR 001C TIN &amp; TP'!$B$3:$B$10005&amp;'DMR 001C TIN &amp; TP'!$A$3:$A$10005),0),MATCH('Reg 85'!$O$11,'DMR 001C TIN &amp; TP'!$A$2:$M$2,0))),"")</f>
        <v/>
      </c>
      <c r="W186" s="6" t="str">
        <f t="array" ref="W186">_xlfn.IFNA((INDEX('DMR 001C TIN &amp; TP'!$A$3:$M$10005,MATCH(('Reg 85'!$I$6:$Q$6&amp;'Reg 85'!W$10&amp;'Reg 85'!$B186),('DMR 001C TIN &amp; TP'!$E$3:$E$10005&amp;'DMR 001C TIN &amp; TP'!$B$3:$B$10005&amp;'DMR 001C TIN &amp; TP'!$A$3:$A$10005),0),MATCH('Reg 85'!$O$11,'DMR 001C TIN &amp; TP'!$A$2:$M$2,0))),"")</f>
        <v/>
      </c>
      <c r="X186" s="5" t="str">
        <f t="shared" si="71"/>
        <v/>
      </c>
      <c r="Y186" s="6" t="str">
        <f t="array" ref="Y186">_xlfn.IFNA((INDEX('DMR 001C TIN &amp; TP'!$A$3:$M$10005,MATCH(('Reg 85'!$X$6&amp;'Reg 85'!$X$10&amp;'Reg 85'!$B186),('DMR 001C TIN &amp; TP'!$E$3:$E$10005&amp;'DMR 001C TIN &amp; TP'!$B$3:$B$10005&amp;'DMR 001C TIN &amp; TP'!$A$3:$A$10005),0),MATCH('Reg 85'!$Y$11,'DMR 001C TIN &amp; TP'!$A$2:$M$2,0))),"")</f>
        <v/>
      </c>
      <c r="Z186" s="6" t="str">
        <f t="array" ref="Z186">_xlfn.IFNA((INDEX('DMR 001C TIN &amp; TP'!$A$3:$M$10005,MATCH(('Reg 85'!$X$6&amp;'Reg 85'!$X$10&amp;'Reg 85'!$B186),('DMR 001C TIN &amp; TP'!$E$3:$E$10005&amp;'DMR 001C TIN &amp; TP'!$B$3:$B$10005&amp;'DMR 001C TIN &amp; TP'!$A$3:$A$10005),0),MATCH('Reg 85'!$Z$11,'DMR 001C TIN &amp; TP'!$A$2:$M$2,0))),"")</f>
        <v/>
      </c>
      <c r="AA186" s="53" t="str">
        <f t="shared" si="72"/>
        <v/>
      </c>
      <c r="AB186" s="5" t="str">
        <f t="shared" si="73"/>
        <v/>
      </c>
      <c r="AC186" s="6" t="str">
        <f t="array" ref="AC186">_xlfn.IFNA((INDEX('DMR 001C TIN &amp; TP'!$A$3:$M$10005,MATCH(('Reg 85'!$X$6&amp;'Reg 85'!$AB$10&amp;'Reg 85'!$B186),('DMR 001C TIN &amp; TP'!$E$3:$E$10005&amp;'DMR 001C TIN &amp; TP'!$B$3:$B$10005&amp;'DMR 001C TIN &amp; TP'!$A$3:$A$10005),0),MATCH('Reg 85'!$AC$11,'DMR 001C TIN &amp; TP'!$A$2:$M$2,0))),"")</f>
        <v/>
      </c>
      <c r="AD186" s="6" t="str">
        <f t="array" ref="AD186">_xlfn.IFNA((INDEX('DMR 001C TIN &amp; TP'!$A$3:$M$10005,MATCH(('Reg 85'!$X$6&amp;'Reg 85'!$AB$10&amp;'Reg 85'!$B186),('DMR 001C TIN &amp; TP'!$E$3:$E$10005&amp;'DMR 001C TIN &amp; TP'!$B$3:$B$10005&amp;'DMR 001C TIN &amp; TP'!$A$3:$A$10005),0),MATCH('Reg 85'!$AD$11,'DMR 001C TIN &amp; TP'!$A$2:$M$2,0))),"")</f>
        <v/>
      </c>
      <c r="AE186" s="53" t="str">
        <f t="shared" si="74"/>
        <v/>
      </c>
      <c r="AF186" s="7" t="str">
        <f t="shared" si="75"/>
        <v/>
      </c>
      <c r="AG186" s="6" t="str">
        <f t="array" ref="AG186">_xlfn.IFNA((INDEX('DMR 001C TIN &amp; TP'!$A$3:$M$10005,MATCH(('Reg 85'!$X$6&amp;'Reg 85'!AG$10&amp;'Reg 85'!$B186),('DMR 001C TIN &amp; TP'!$E$3:$E$10005&amp;'DMR 001C TIN &amp; TP'!$B$3:$B$10005&amp;'DMR 001C TIN &amp; TP'!$A$3:$A$10005),0),MATCH('Reg 85'!$AG$11,'DMR 001C TIN &amp; TP'!$A$2:$M$2,0))),"")</f>
        <v/>
      </c>
      <c r="AH186" s="6" t="str">
        <f t="array" ref="AH186">_xlfn.IFNA((INDEX('DMR 001C TIN &amp; TP'!$A$3:$M$10005,MATCH(('Reg 85'!$X$6&amp;'Reg 85'!AH$10&amp;'Reg 85'!$B186),('DMR 001C TIN &amp; TP'!$E$3:$E$10005&amp;'DMR 001C TIN &amp; TP'!$B$3:$B$10005&amp;'DMR 001C TIN &amp; TP'!$A$3:$A$10005),0),MATCH('Reg 85'!$AG$11,'DMR 001C TIN &amp; TP'!$A$2:$M$2,0))),"")</f>
        <v/>
      </c>
      <c r="AI186" s="6" t="str">
        <f t="array" ref="AI186">_xlfn.IFNA((INDEX('DMR 001C TIN &amp; TP'!$A$3:$M$10005,MATCH(('Reg 85'!$X$6&amp;'Reg 85'!AI$10&amp;'Reg 85'!$B186),('DMR 001C TIN &amp; TP'!$E$3:$E$10005&amp;'DMR 001C TIN &amp; TP'!$B$3:$B$10005&amp;'DMR 001C TIN &amp; TP'!$A$3:$A$10005),0),MATCH('Reg 85'!$AG$11,'DMR 001C TIN &amp; TP'!$A$2:$M$2,0))),"")</f>
        <v/>
      </c>
      <c r="AJ186" s="6" t="str">
        <f t="array" ref="AJ186">_xlfn.IFNA((INDEX('DMR 001C TIN &amp; TP'!$A$3:$M$10005,MATCH(('Reg 85'!$X$6&amp;'Reg 85'!AJ$10&amp;'Reg 85'!$B186),('DMR 001C TIN &amp; TP'!$E$3:$E$10005&amp;'DMR 001C TIN &amp; TP'!$B$3:$B$10005&amp;'DMR 001C TIN &amp; TP'!$A$3:$A$10005),0),MATCH('Reg 85'!$AG$11,'DMR 001C TIN &amp; TP'!$A$2:$M$2,0))),"")</f>
        <v/>
      </c>
      <c r="AK186" s="6" t="str">
        <f t="array" ref="AK186">_xlfn.IFNA((INDEX('DMR 001C TIN &amp; TP'!$A$3:$M$10005,MATCH(('Reg 85'!$X$6&amp;'Reg 85'!AK$10&amp;'Reg 85'!$B186),('DMR 001C TIN &amp; TP'!$E$3:$E$10005&amp;'DMR 001C TIN &amp; TP'!$B$3:$B$10005&amp;'DMR 001C TIN &amp; TP'!$A$3:$A$10005),0),MATCH('Reg 85'!$AG$11,'DMR 001C TIN &amp; TP'!$A$2:$M$2,0))),"")</f>
        <v/>
      </c>
      <c r="AL186" s="6" t="str">
        <f t="array" ref="AL186">_xlfn.IFNA((INDEX('DMR 001C TIN &amp; TP'!$A$3:$M$10005,MATCH(('Reg 85'!$X$6&amp;'Reg 85'!AL$10&amp;'Reg 85'!$B186),('DMR 001C TIN &amp; TP'!$E$3:$E$10005&amp;'DMR 001C TIN &amp; TP'!$B$3:$B$10005&amp;'DMR 001C TIN &amp; TP'!$A$3:$A$10005),0),MATCH('Reg 85'!$AG$11,'DMR 001C TIN &amp; TP'!$A$2:$M$2,0))),"")</f>
        <v/>
      </c>
      <c r="AM186" s="76"/>
      <c r="AN186" s="6"/>
      <c r="AO186" s="54" t="str">
        <f t="shared" si="62"/>
        <v/>
      </c>
      <c r="AP186" s="77" t="str">
        <f t="shared" si="81"/>
        <v/>
      </c>
      <c r="AQ186" s="47"/>
      <c r="AR186" s="6" t="str">
        <f t="array" ref="AR186">_xlfn.IFNA((INDEX('DMR 001C TIN &amp; TP'!$A$3:$M$10005,MATCH(('Reg 85'!$AQ$6&amp;'Reg 85'!$AQ$10&amp;'Reg 85'!$B186),('DMR 001C TIN &amp; TP'!$E$3:$E$10005&amp;'DMR 001C TIN &amp; TP'!$B$3:$B$10005&amp;'DMR 001C TIN &amp; TP'!$A$3:$A$10005),0),MATCH('Reg 85'!$AR$11,'DMR 001C TIN &amp; TP'!$A$2:$M$2,0))),"")</f>
        <v>0.03</v>
      </c>
      <c r="AS186" s="6">
        <f t="array" ref="AS186">_xlfn.IFNA((INDEX('DMR 001C TIN &amp; TP'!$A$3:$M$10005,MATCH(('Reg 85'!$AQ$6&amp;'Reg 85'!$AQ$10&amp;'Reg 85'!$B186),('DMR 001C TIN &amp; TP'!$E$3:$E$10005&amp;'DMR 001C TIN &amp; TP'!$B$3:$B$10005&amp;'DMR 001C TIN &amp; TP'!$A$3:$A$10005),0),MATCH('Reg 85'!$AS$11,'DMR 001C TIN &amp; TP'!$A$2:$M$2,0))),"")</f>
        <v>0.49</v>
      </c>
      <c r="AT186" s="53">
        <f t="shared" si="76"/>
        <v>0.49</v>
      </c>
      <c r="AV186" s="6" t="str">
        <f t="array" ref="AV186">_xlfn.IFNA((INDEX('DMR 001C TIN &amp; TP'!$A$3:$M$10005,MATCH(('Reg 85'!$AQ$6&amp;'Reg 85'!$AU$10&amp;'Reg 85'!$B186),('DMR 001C TIN &amp; TP'!$E$3:$E$10005&amp;'DMR 001C TIN &amp; TP'!$B$3:$B$10005&amp;'DMR 001C TIN &amp; TP'!$A$3:$A$10005),0),MATCH('Reg 85'!$AV$11,'DMR 001C TIN &amp; TP'!$A$2:$M$2,0))),"")</f>
        <v>0.03</v>
      </c>
      <c r="AW186" s="6">
        <f t="array" ref="AW186">_xlfn.IFNA((INDEX('DMR 001C TIN &amp; TP'!$A$3:$M$10005,MATCH(('Reg 85'!$AQ$6&amp;'Reg 85'!$AU$10&amp;'Reg 85'!$B186),('DMR 001C TIN &amp; TP'!$E$3:$E$10005&amp;'DMR 001C TIN &amp; TP'!$B$3:$B$10005&amp;'DMR 001C TIN &amp; TP'!$A$3:$A$10005),0),MATCH('Reg 85'!$AW$11,'DMR 001C TIN &amp; TP'!$A$2:$M$2,0))),"")</f>
        <v>4.6100000000000003</v>
      </c>
      <c r="AX186" s="53">
        <f t="shared" si="77"/>
        <v>4.6100000000000003</v>
      </c>
      <c r="AY186" s="55">
        <f t="shared" si="78"/>
        <v>2.6609550001491051</v>
      </c>
      <c r="AZ186" s="77" t="str">
        <f t="shared" si="82"/>
        <v/>
      </c>
      <c r="BA186" s="6" t="str">
        <f t="array" ref="BA186">_xlfn.IFNA((INDEX('DMR 001C TIN &amp; TP'!$A$3:$M$10005,MATCH(('Reg 85'!$AQ$6&amp;'Reg 85'!BA$10&amp;'Reg 85'!$B186),('DMR 001C TIN &amp; TP'!$E$3:$E$10005&amp;'DMR 001C TIN &amp; TP'!$B$3:$B$10005&amp;'DMR 001C TIN &amp; TP'!$A$3:$A$10005),0),MATCH('Reg 85'!$AG$11,'DMR 001C TIN &amp; TP'!$A$2:$M$2,0))),"")</f>
        <v/>
      </c>
      <c r="BB186" s="6" t="str">
        <f t="array" ref="BB186">_xlfn.IFNA((INDEX('DMR 001C TIN &amp; TP'!$A$3:$M$10005,MATCH(('Reg 85'!$AQ$6&amp;'Reg 85'!BB$10&amp;'Reg 85'!$B186),('DMR 001C TIN &amp; TP'!$E$3:$E$10005&amp;'DMR 001C TIN &amp; TP'!$B$3:$B$10005&amp;'DMR 001C TIN &amp; TP'!$A$3:$A$10005),0),MATCH('Reg 85'!$AG$11,'DMR 001C TIN &amp; TP'!$A$2:$M$2,0))),"")</f>
        <v/>
      </c>
      <c r="BC186" s="6" t="str">
        <f t="array" ref="BC186">_xlfn.IFNA((INDEX('DMR 001C TIN &amp; TP'!$A$3:$M$10005,MATCH(('Reg 85'!$AQ$6&amp;'Reg 85'!BC$10&amp;'Reg 85'!$B186),('DMR 001C TIN &amp; TP'!$E$3:$E$10005&amp;'DMR 001C TIN &amp; TP'!$B$3:$B$10005&amp;'DMR 001C TIN &amp; TP'!$A$3:$A$10005),0),MATCH('Reg 85'!$AG$11,'DMR 001C TIN &amp; TP'!$A$2:$M$2,0))),"")</f>
        <v/>
      </c>
      <c r="BD186" s="6" t="str">
        <f t="array" ref="BD186">_xlfn.IFNA((INDEX('DMR 001C TIN &amp; TP'!$A$3:$M$10005,MATCH(('Reg 85'!$AQ$6&amp;'Reg 85'!BD$10&amp;'Reg 85'!$B186),('DMR 001C TIN &amp; TP'!$E$3:$E$10005&amp;'DMR 001C TIN &amp; TP'!$B$3:$B$10005&amp;'DMR 001C TIN &amp; TP'!$A$3:$A$10005),0),MATCH('Reg 85'!$AG$11,'DMR 001C TIN &amp; TP'!$A$2:$M$2,0))),"")</f>
        <v/>
      </c>
      <c r="BE186" s="6" t="str">
        <f t="array" ref="BE186">_xlfn.IFNA((INDEX('DMR 001C TIN &amp; TP'!$A$3:$M$10005,MATCH(('Reg 85'!$AQ$6&amp;'Reg 85'!BE$10&amp;'Reg 85'!$B186),('DMR 001C TIN &amp; TP'!$E$3:$E$10005&amp;'DMR 001C TIN &amp; TP'!$B$3:$B$10005&amp;'DMR 001C TIN &amp; TP'!$A$3:$A$10005),0),MATCH('Reg 85'!$AG$11,'DMR 001C TIN &amp; TP'!$A$2:$M$2,0))),"")</f>
        <v/>
      </c>
      <c r="BF186" s="6" t="str">
        <f t="array" ref="BF186">_xlfn.IFNA((INDEX('DMR 001C TIN &amp; TP'!$A$3:$M$10005,MATCH(('Reg 85'!$AQ$6&amp;'Reg 85'!BF$10&amp;'Reg 85'!$B186),('DMR 001C TIN &amp; TP'!$E$3:$E$10005&amp;'DMR 001C TIN &amp; TP'!$B$3:$B$10005&amp;'DMR 001C TIN &amp; TP'!$A$3:$A$10005),0),MATCH('Reg 85'!$AG$11,'DMR 001C TIN &amp; TP'!$A$2:$M$2,0))),"")</f>
        <v/>
      </c>
    </row>
    <row r="187" spans="1:58">
      <c r="A187" s="3" t="str">
        <f t="shared" si="63"/>
        <v>Sat</v>
      </c>
      <c r="B187" s="96">
        <f t="shared" si="79"/>
        <v>43519</v>
      </c>
      <c r="C187" s="96">
        <f t="shared" si="64"/>
        <v>43524</v>
      </c>
      <c r="D187" s="96">
        <f t="shared" si="65"/>
        <v>43497</v>
      </c>
      <c r="E187" s="95">
        <f t="shared" si="66"/>
        <v>28</v>
      </c>
      <c r="F187" s="7">
        <f t="array" ref="F187">_xlfn.IFNA(INDEX('DMR Flows-Effluent'!$A$3:$F$9999,MATCH(($F$10&amp;$B187),('DMR Flows-Effluent'!$B$3:$B$9999&amp;'DMR Flows-Effluent'!$A$3:$A$9999),0),MATCH($F$8,'DMR Flows-Effluent'!$A$2:$F$2,0)),"")</f>
        <v>55.446599999999997</v>
      </c>
      <c r="G187" s="7">
        <f t="array" ref="G187">_xlfn.IFNA(INDEX('DMR Flows-Effluent'!$A$3:$F$9999,MATCH(($G$10&amp;$B187),('DMR Flows-Effluent'!$B$3:$B$9999&amp;'DMR Flows-Effluent'!$A$3:$A$9999),0),MATCH($F$8,'DMR Flows-Effluent'!$A$2:$F$2,0)),"")</f>
        <v>63.168199999999999</v>
      </c>
      <c r="H187" s="7">
        <f t="shared" si="67"/>
        <v>118.6148</v>
      </c>
      <c r="I187" s="45" t="str">
        <f t="shared" si="68"/>
        <v/>
      </c>
      <c r="J187" s="6" t="str">
        <f t="array" ref="J187">_xlfn.IFNA((INDEX('DMR 001C TIN &amp; TP'!$A$3:$M$10005,MATCH(('Reg 85'!$I$6:$Q$6&amp;'Reg 85'!$I$10:$K$10&amp;'Reg 85'!$B187),('DMR 001C TIN &amp; TP'!$E$3:$E$10005&amp;'DMR 001C TIN &amp; TP'!$B$3:$B$10005&amp;'DMR 001C TIN &amp; TP'!$A$3:$A$10005),0),MATCH('Reg 85'!$J$11,'DMR 001C TIN &amp; TP'!$A$2:$M$2,0))),"")</f>
        <v/>
      </c>
      <c r="K187" s="6" t="str">
        <f t="array" ref="K187">_xlfn.IFNA((INDEX('DMR 001C TIN &amp; TP'!$A$3:$M$10005,MATCH(('Reg 85'!$I$6:$Q$6&amp;'Reg 85'!$I$10:$K$10&amp;'Reg 85'!$B187),('DMR 001C TIN &amp; TP'!$E$3:$E$10005&amp;'DMR 001C TIN &amp; TP'!$B$3:$B$10005&amp;'DMR 001C TIN &amp; TP'!$A$3:$A$10005),0),MATCH('Reg 85'!$K$11,'DMR 001C TIN &amp; TP'!$A$2:$M$2,0))),"")</f>
        <v/>
      </c>
      <c r="L187" s="53" t="str">
        <f t="shared" si="80"/>
        <v/>
      </c>
      <c r="M187" s="5" t="str">
        <f t="shared" si="69"/>
        <v/>
      </c>
      <c r="N187" s="6" t="str">
        <f t="array" ref="N187">_xlfn.IFNA((INDEX('DMR 001C TIN &amp; TP'!$A$3:$M$10005,MATCH(('Reg 85'!$I$6:$Q$6&amp;'Reg 85'!$M$10&amp;'Reg 85'!$B187),('DMR 001C TIN &amp; TP'!$E$3:$E$10005&amp;'DMR 001C TIN &amp; TP'!$B$3:$B$10005&amp;'DMR 001C TIN &amp; TP'!$A$3:$A$10005),0),MATCH('Reg 85'!$N$11,'DMR 001C TIN &amp; TP'!$A$2:$M$2,0))),"")</f>
        <v/>
      </c>
      <c r="O187" s="6" t="str">
        <f t="array" ref="O187">_xlfn.IFNA((INDEX('DMR 001C TIN &amp; TP'!$A$3:$M$10005,MATCH(('Reg 85'!$I$6:$Q$6&amp;'Reg 85'!$M$10&amp;'Reg 85'!$B187),('DMR 001C TIN &amp; TP'!$E$3:$E$10005&amp;'DMR 001C TIN &amp; TP'!$B$3:$B$10005&amp;'DMR 001C TIN &amp; TP'!$A$3:$A$10005),0),MATCH('Reg 85'!$O$11,'DMR 001C TIN &amp; TP'!$A$2:$M$2,0))),"")</f>
        <v/>
      </c>
      <c r="P187" s="53" t="str">
        <f t="shared" si="70"/>
        <v/>
      </c>
      <c r="Q187" s="73" t="str">
        <f t="array" ref="Q187">IFERROR(((L187*$F187)+(P187*$G187))/($H187),"")</f>
        <v/>
      </c>
      <c r="R187" s="6" t="str">
        <f t="array" ref="R187">_xlfn.IFNA((INDEX('DMR 001C TIN &amp; TP'!$A$3:$M$10005,MATCH(('Reg 85'!$I$6:$Q$6&amp;'Reg 85'!R$10&amp;'Reg 85'!$B187),('DMR 001C TIN &amp; TP'!$E$3:$E$10005&amp;'DMR 001C TIN &amp; TP'!$B$3:$B$10005&amp;'DMR 001C TIN &amp; TP'!$A$3:$A$10005),0),MATCH('Reg 85'!$O$11,'DMR 001C TIN &amp; TP'!$A$2:$M$2,0))),"")</f>
        <v/>
      </c>
      <c r="S187" s="6" t="str">
        <f t="array" ref="S187">_xlfn.IFNA((INDEX('DMR 001C TIN &amp; TP'!$A$3:$M$10005,MATCH(('Reg 85'!$I$6:$Q$6&amp;'Reg 85'!S$10&amp;'Reg 85'!$B187),('DMR 001C TIN &amp; TP'!$E$3:$E$10005&amp;'DMR 001C TIN &amp; TP'!$B$3:$B$10005&amp;'DMR 001C TIN &amp; TP'!$A$3:$A$10005),0),MATCH('Reg 85'!$O$11,'DMR 001C TIN &amp; TP'!$A$2:$M$2,0))),"")</f>
        <v/>
      </c>
      <c r="T187" s="6" t="str">
        <f t="array" ref="T187">_xlfn.IFNA((INDEX('DMR 001C TIN &amp; TP'!$A$3:$M$10005,MATCH(('Reg 85'!$I$6:$Q$6&amp;'Reg 85'!T$10&amp;'Reg 85'!$B187),('DMR 001C TIN &amp; TP'!$E$3:$E$10005&amp;'DMR 001C TIN &amp; TP'!$B$3:$B$10005&amp;'DMR 001C TIN &amp; TP'!$A$3:$A$10005),0),MATCH('Reg 85'!$O$11,'DMR 001C TIN &amp; TP'!$A$2:$M$2,0))),"")</f>
        <v/>
      </c>
      <c r="U187" s="6" t="str">
        <f t="array" ref="U187">_xlfn.IFNA((INDEX('DMR 001C TIN &amp; TP'!$A$3:$M$10005,MATCH(('Reg 85'!$I$6:$Q$6&amp;'Reg 85'!U$10&amp;'Reg 85'!$B187),('DMR 001C TIN &amp; TP'!$E$3:$E$10005&amp;'DMR 001C TIN &amp; TP'!$B$3:$B$10005&amp;'DMR 001C TIN &amp; TP'!$A$3:$A$10005),0),MATCH('Reg 85'!$O$11,'DMR 001C TIN &amp; TP'!$A$2:$M$2,0))),"")</f>
        <v/>
      </c>
      <c r="V187" s="6" t="str">
        <f t="array" ref="V187">_xlfn.IFNA((INDEX('DMR 001C TIN &amp; TP'!$A$3:$M$10005,MATCH(('Reg 85'!$I$6:$Q$6&amp;'Reg 85'!V$10&amp;'Reg 85'!$B187),('DMR 001C TIN &amp; TP'!$E$3:$E$10005&amp;'DMR 001C TIN &amp; TP'!$B$3:$B$10005&amp;'DMR 001C TIN &amp; TP'!$A$3:$A$10005),0),MATCH('Reg 85'!$O$11,'DMR 001C TIN &amp; TP'!$A$2:$M$2,0))),"")</f>
        <v/>
      </c>
      <c r="W187" s="6" t="str">
        <f t="array" ref="W187">_xlfn.IFNA((INDEX('DMR 001C TIN &amp; TP'!$A$3:$M$10005,MATCH(('Reg 85'!$I$6:$Q$6&amp;'Reg 85'!W$10&amp;'Reg 85'!$B187),('DMR 001C TIN &amp; TP'!$E$3:$E$10005&amp;'DMR 001C TIN &amp; TP'!$B$3:$B$10005&amp;'DMR 001C TIN &amp; TP'!$A$3:$A$10005),0),MATCH('Reg 85'!$O$11,'DMR 001C TIN &amp; TP'!$A$2:$M$2,0))),"")</f>
        <v/>
      </c>
      <c r="X187" s="5" t="str">
        <f t="shared" si="71"/>
        <v/>
      </c>
      <c r="Y187" s="6" t="str">
        <f t="array" ref="Y187">_xlfn.IFNA((INDEX('DMR 001C TIN &amp; TP'!$A$3:$M$10005,MATCH(('Reg 85'!$X$6&amp;'Reg 85'!$X$10&amp;'Reg 85'!$B187),('DMR 001C TIN &amp; TP'!$E$3:$E$10005&amp;'DMR 001C TIN &amp; TP'!$B$3:$B$10005&amp;'DMR 001C TIN &amp; TP'!$A$3:$A$10005),0),MATCH('Reg 85'!$Y$11,'DMR 001C TIN &amp; TP'!$A$2:$M$2,0))),"")</f>
        <v/>
      </c>
      <c r="Z187" s="6" t="str">
        <f t="array" ref="Z187">_xlfn.IFNA((INDEX('DMR 001C TIN &amp; TP'!$A$3:$M$10005,MATCH(('Reg 85'!$X$6&amp;'Reg 85'!$X$10&amp;'Reg 85'!$B187),('DMR 001C TIN &amp; TP'!$E$3:$E$10005&amp;'DMR 001C TIN &amp; TP'!$B$3:$B$10005&amp;'DMR 001C TIN &amp; TP'!$A$3:$A$10005),0),MATCH('Reg 85'!$Z$11,'DMR 001C TIN &amp; TP'!$A$2:$M$2,0))),"")</f>
        <v/>
      </c>
      <c r="AA187" s="53" t="str">
        <f t="shared" si="72"/>
        <v/>
      </c>
      <c r="AB187" s="5" t="str">
        <f t="shared" si="73"/>
        <v/>
      </c>
      <c r="AC187" s="6" t="str">
        <f t="array" ref="AC187">_xlfn.IFNA((INDEX('DMR 001C TIN &amp; TP'!$A$3:$M$10005,MATCH(('Reg 85'!$X$6&amp;'Reg 85'!$AB$10&amp;'Reg 85'!$B187),('DMR 001C TIN &amp; TP'!$E$3:$E$10005&amp;'DMR 001C TIN &amp; TP'!$B$3:$B$10005&amp;'DMR 001C TIN &amp; TP'!$A$3:$A$10005),0),MATCH('Reg 85'!$AC$11,'DMR 001C TIN &amp; TP'!$A$2:$M$2,0))),"")</f>
        <v/>
      </c>
      <c r="AD187" s="6" t="str">
        <f t="array" ref="AD187">_xlfn.IFNA((INDEX('DMR 001C TIN &amp; TP'!$A$3:$M$10005,MATCH(('Reg 85'!$X$6&amp;'Reg 85'!$AB$10&amp;'Reg 85'!$B187),('DMR 001C TIN &amp; TP'!$E$3:$E$10005&amp;'DMR 001C TIN &amp; TP'!$B$3:$B$10005&amp;'DMR 001C TIN &amp; TP'!$A$3:$A$10005),0),MATCH('Reg 85'!$AD$11,'DMR 001C TIN &amp; TP'!$A$2:$M$2,0))),"")</f>
        <v/>
      </c>
      <c r="AE187" s="53" t="str">
        <f t="shared" si="74"/>
        <v/>
      </c>
      <c r="AF187" s="7" t="str">
        <f t="shared" si="75"/>
        <v/>
      </c>
      <c r="AG187" s="6" t="str">
        <f t="array" ref="AG187">_xlfn.IFNA((INDEX('DMR 001C TIN &amp; TP'!$A$3:$M$10005,MATCH(('Reg 85'!$X$6&amp;'Reg 85'!AG$10&amp;'Reg 85'!$B187),('DMR 001C TIN &amp; TP'!$E$3:$E$10005&amp;'DMR 001C TIN &amp; TP'!$B$3:$B$10005&amp;'DMR 001C TIN &amp; TP'!$A$3:$A$10005),0),MATCH('Reg 85'!$AG$11,'DMR 001C TIN &amp; TP'!$A$2:$M$2,0))),"")</f>
        <v/>
      </c>
      <c r="AH187" s="6" t="str">
        <f t="array" ref="AH187">_xlfn.IFNA((INDEX('DMR 001C TIN &amp; TP'!$A$3:$M$10005,MATCH(('Reg 85'!$X$6&amp;'Reg 85'!AH$10&amp;'Reg 85'!$B187),('DMR 001C TIN &amp; TP'!$E$3:$E$10005&amp;'DMR 001C TIN &amp; TP'!$B$3:$B$10005&amp;'DMR 001C TIN &amp; TP'!$A$3:$A$10005),0),MATCH('Reg 85'!$AG$11,'DMR 001C TIN &amp; TP'!$A$2:$M$2,0))),"")</f>
        <v/>
      </c>
      <c r="AI187" s="6" t="str">
        <f t="array" ref="AI187">_xlfn.IFNA((INDEX('DMR 001C TIN &amp; TP'!$A$3:$M$10005,MATCH(('Reg 85'!$X$6&amp;'Reg 85'!AI$10&amp;'Reg 85'!$B187),('DMR 001C TIN &amp; TP'!$E$3:$E$10005&amp;'DMR 001C TIN &amp; TP'!$B$3:$B$10005&amp;'DMR 001C TIN &amp; TP'!$A$3:$A$10005),0),MATCH('Reg 85'!$AG$11,'DMR 001C TIN &amp; TP'!$A$2:$M$2,0))),"")</f>
        <v/>
      </c>
      <c r="AJ187" s="6" t="str">
        <f t="array" ref="AJ187">_xlfn.IFNA((INDEX('DMR 001C TIN &amp; TP'!$A$3:$M$10005,MATCH(('Reg 85'!$X$6&amp;'Reg 85'!AJ$10&amp;'Reg 85'!$B187),('DMR 001C TIN &amp; TP'!$E$3:$E$10005&amp;'DMR 001C TIN &amp; TP'!$B$3:$B$10005&amp;'DMR 001C TIN &amp; TP'!$A$3:$A$10005),0),MATCH('Reg 85'!$AG$11,'DMR 001C TIN &amp; TP'!$A$2:$M$2,0))),"")</f>
        <v/>
      </c>
      <c r="AK187" s="6" t="str">
        <f t="array" ref="AK187">_xlfn.IFNA((INDEX('DMR 001C TIN &amp; TP'!$A$3:$M$10005,MATCH(('Reg 85'!$X$6&amp;'Reg 85'!AK$10&amp;'Reg 85'!$B187),('DMR 001C TIN &amp; TP'!$E$3:$E$10005&amp;'DMR 001C TIN &amp; TP'!$B$3:$B$10005&amp;'DMR 001C TIN &amp; TP'!$A$3:$A$10005),0),MATCH('Reg 85'!$AG$11,'DMR 001C TIN &amp; TP'!$A$2:$M$2,0))),"")</f>
        <v/>
      </c>
      <c r="AL187" s="6" t="str">
        <f t="array" ref="AL187">_xlfn.IFNA((INDEX('DMR 001C TIN &amp; TP'!$A$3:$M$10005,MATCH(('Reg 85'!$X$6&amp;'Reg 85'!AL$10&amp;'Reg 85'!$B187),('DMR 001C TIN &amp; TP'!$E$3:$E$10005&amp;'DMR 001C TIN &amp; TP'!$B$3:$B$10005&amp;'DMR 001C TIN &amp; TP'!$A$3:$A$10005),0),MATCH('Reg 85'!$AG$11,'DMR 001C TIN &amp; TP'!$A$2:$M$2,0))),"")</f>
        <v/>
      </c>
      <c r="AM187" s="76"/>
      <c r="AN187" s="6"/>
      <c r="AO187" s="54" t="str">
        <f t="shared" si="62"/>
        <v/>
      </c>
      <c r="AP187" s="77" t="str">
        <f t="shared" si="81"/>
        <v/>
      </c>
      <c r="AQ187" s="47"/>
      <c r="AR187" s="6" t="str">
        <f t="array" ref="AR187">_xlfn.IFNA((INDEX('DMR 001C TIN &amp; TP'!$A$3:$M$10005,MATCH(('Reg 85'!$AQ$6&amp;'Reg 85'!$AQ$10&amp;'Reg 85'!$B187),('DMR 001C TIN &amp; TP'!$E$3:$E$10005&amp;'DMR 001C TIN &amp; TP'!$B$3:$B$10005&amp;'DMR 001C TIN &amp; TP'!$A$3:$A$10005),0),MATCH('Reg 85'!$AR$11,'DMR 001C TIN &amp; TP'!$A$2:$M$2,0))),"")</f>
        <v/>
      </c>
      <c r="AS187" s="6" t="str">
        <f t="array" ref="AS187">_xlfn.IFNA((INDEX('DMR 001C TIN &amp; TP'!$A$3:$M$10005,MATCH(('Reg 85'!$AQ$6&amp;'Reg 85'!$AQ$10&amp;'Reg 85'!$B187),('DMR 001C TIN &amp; TP'!$E$3:$E$10005&amp;'DMR 001C TIN &amp; TP'!$B$3:$B$10005&amp;'DMR 001C TIN &amp; TP'!$A$3:$A$10005),0),MATCH('Reg 85'!$AS$11,'DMR 001C TIN &amp; TP'!$A$2:$M$2,0))),"")</f>
        <v/>
      </c>
      <c r="AT187" s="53" t="str">
        <f t="shared" si="76"/>
        <v/>
      </c>
      <c r="AV187" s="6" t="str">
        <f t="array" ref="AV187">_xlfn.IFNA((INDEX('DMR 001C TIN &amp; TP'!$A$3:$M$10005,MATCH(('Reg 85'!$AQ$6&amp;'Reg 85'!$AU$10&amp;'Reg 85'!$B187),('DMR 001C TIN &amp; TP'!$E$3:$E$10005&amp;'DMR 001C TIN &amp; TP'!$B$3:$B$10005&amp;'DMR 001C TIN &amp; TP'!$A$3:$A$10005),0),MATCH('Reg 85'!$AV$11,'DMR 001C TIN &amp; TP'!$A$2:$M$2,0))),"")</f>
        <v/>
      </c>
      <c r="AW187" s="6" t="str">
        <f t="array" ref="AW187">_xlfn.IFNA((INDEX('DMR 001C TIN &amp; TP'!$A$3:$M$10005,MATCH(('Reg 85'!$AQ$6&amp;'Reg 85'!$AU$10&amp;'Reg 85'!$B187),('DMR 001C TIN &amp; TP'!$E$3:$E$10005&amp;'DMR 001C TIN &amp; TP'!$B$3:$B$10005&amp;'DMR 001C TIN &amp; TP'!$A$3:$A$10005),0),MATCH('Reg 85'!$AW$11,'DMR 001C TIN &amp; TP'!$A$2:$M$2,0))),"")</f>
        <v/>
      </c>
      <c r="AX187" s="53" t="str">
        <f t="shared" si="77"/>
        <v/>
      </c>
      <c r="AY187" s="55" t="str">
        <f t="shared" si="78"/>
        <v/>
      </c>
      <c r="AZ187" s="77" t="str">
        <f t="shared" si="82"/>
        <v/>
      </c>
      <c r="BA187" s="6" t="str">
        <f t="array" ref="BA187">_xlfn.IFNA((INDEX('DMR 001C TIN &amp; TP'!$A$3:$M$10005,MATCH(('Reg 85'!$AQ$6&amp;'Reg 85'!BA$10&amp;'Reg 85'!$B187),('DMR 001C TIN &amp; TP'!$E$3:$E$10005&amp;'DMR 001C TIN &amp; TP'!$B$3:$B$10005&amp;'DMR 001C TIN &amp; TP'!$A$3:$A$10005),0),MATCH('Reg 85'!$AG$11,'DMR 001C TIN &amp; TP'!$A$2:$M$2,0))),"")</f>
        <v/>
      </c>
      <c r="BB187" s="6" t="str">
        <f t="array" ref="BB187">_xlfn.IFNA((INDEX('DMR 001C TIN &amp; TP'!$A$3:$M$10005,MATCH(('Reg 85'!$AQ$6&amp;'Reg 85'!BB$10&amp;'Reg 85'!$B187),('DMR 001C TIN &amp; TP'!$E$3:$E$10005&amp;'DMR 001C TIN &amp; TP'!$B$3:$B$10005&amp;'DMR 001C TIN &amp; TP'!$A$3:$A$10005),0),MATCH('Reg 85'!$AG$11,'DMR 001C TIN &amp; TP'!$A$2:$M$2,0))),"")</f>
        <v/>
      </c>
      <c r="BC187" s="6" t="str">
        <f t="array" ref="BC187">_xlfn.IFNA((INDEX('DMR 001C TIN &amp; TP'!$A$3:$M$10005,MATCH(('Reg 85'!$AQ$6&amp;'Reg 85'!BC$10&amp;'Reg 85'!$B187),('DMR 001C TIN &amp; TP'!$E$3:$E$10005&amp;'DMR 001C TIN &amp; TP'!$B$3:$B$10005&amp;'DMR 001C TIN &amp; TP'!$A$3:$A$10005),0),MATCH('Reg 85'!$AG$11,'DMR 001C TIN &amp; TP'!$A$2:$M$2,0))),"")</f>
        <v/>
      </c>
      <c r="BD187" s="6" t="str">
        <f t="array" ref="BD187">_xlfn.IFNA((INDEX('DMR 001C TIN &amp; TP'!$A$3:$M$10005,MATCH(('Reg 85'!$AQ$6&amp;'Reg 85'!BD$10&amp;'Reg 85'!$B187),('DMR 001C TIN &amp; TP'!$E$3:$E$10005&amp;'DMR 001C TIN &amp; TP'!$B$3:$B$10005&amp;'DMR 001C TIN &amp; TP'!$A$3:$A$10005),0),MATCH('Reg 85'!$AG$11,'DMR 001C TIN &amp; TP'!$A$2:$M$2,0))),"")</f>
        <v/>
      </c>
      <c r="BE187" s="6" t="str">
        <f t="array" ref="BE187">_xlfn.IFNA((INDEX('DMR 001C TIN &amp; TP'!$A$3:$M$10005,MATCH(('Reg 85'!$AQ$6&amp;'Reg 85'!BE$10&amp;'Reg 85'!$B187),('DMR 001C TIN &amp; TP'!$E$3:$E$10005&amp;'DMR 001C TIN &amp; TP'!$B$3:$B$10005&amp;'DMR 001C TIN &amp; TP'!$A$3:$A$10005),0),MATCH('Reg 85'!$AG$11,'DMR 001C TIN &amp; TP'!$A$2:$M$2,0))),"")</f>
        <v/>
      </c>
      <c r="BF187" s="6" t="str">
        <f t="array" ref="BF187">_xlfn.IFNA((INDEX('DMR 001C TIN &amp; TP'!$A$3:$M$10005,MATCH(('Reg 85'!$AQ$6&amp;'Reg 85'!BF$10&amp;'Reg 85'!$B187),('DMR 001C TIN &amp; TP'!$E$3:$E$10005&amp;'DMR 001C TIN &amp; TP'!$B$3:$B$10005&amp;'DMR 001C TIN &amp; TP'!$A$3:$A$10005),0),MATCH('Reg 85'!$AG$11,'DMR 001C TIN &amp; TP'!$A$2:$M$2,0))),"")</f>
        <v/>
      </c>
    </row>
    <row r="188" spans="1:58">
      <c r="A188" s="3" t="str">
        <f t="shared" si="63"/>
        <v>Sun</v>
      </c>
      <c r="B188" s="96">
        <f t="shared" si="79"/>
        <v>43520</v>
      </c>
      <c r="C188" s="96">
        <f t="shared" si="64"/>
        <v>43524</v>
      </c>
      <c r="D188" s="96">
        <f t="shared" si="65"/>
        <v>43497</v>
      </c>
      <c r="E188" s="95">
        <f t="shared" si="66"/>
        <v>28</v>
      </c>
      <c r="F188" s="7">
        <f t="array" ref="F188">_xlfn.IFNA(INDEX('DMR Flows-Effluent'!$A$3:$F$9999,MATCH(($F$10&amp;$B188),('DMR Flows-Effluent'!$B$3:$B$9999&amp;'DMR Flows-Effluent'!$A$3:$A$9999),0),MATCH($F$8,'DMR Flows-Effluent'!$A$2:$F$2,0)),"")</f>
        <v>62.994500000000002</v>
      </c>
      <c r="G188" s="7">
        <f t="array" ref="G188">_xlfn.IFNA(INDEX('DMR Flows-Effluent'!$A$3:$F$9999,MATCH(($G$10&amp;$B188),('DMR Flows-Effluent'!$B$3:$B$9999&amp;'DMR Flows-Effluent'!$A$3:$A$9999),0),MATCH($F$8,'DMR Flows-Effluent'!$A$2:$F$2,0)),"")</f>
        <v>67.1755</v>
      </c>
      <c r="H188" s="7">
        <f t="shared" si="67"/>
        <v>130.17000000000002</v>
      </c>
      <c r="I188" s="45" t="str">
        <f t="shared" si="68"/>
        <v/>
      </c>
      <c r="J188" s="6" t="str">
        <f t="array" ref="J188">_xlfn.IFNA((INDEX('DMR 001C TIN &amp; TP'!$A$3:$M$10005,MATCH(('Reg 85'!$I$6:$Q$6&amp;'Reg 85'!$I$10:$K$10&amp;'Reg 85'!$B188),('DMR 001C TIN &amp; TP'!$E$3:$E$10005&amp;'DMR 001C TIN &amp; TP'!$B$3:$B$10005&amp;'DMR 001C TIN &amp; TP'!$A$3:$A$10005),0),MATCH('Reg 85'!$J$11,'DMR 001C TIN &amp; TP'!$A$2:$M$2,0))),"")</f>
        <v/>
      </c>
      <c r="K188" s="6" t="str">
        <f t="array" ref="K188">_xlfn.IFNA((INDEX('DMR 001C TIN &amp; TP'!$A$3:$M$10005,MATCH(('Reg 85'!$I$6:$Q$6&amp;'Reg 85'!$I$10:$K$10&amp;'Reg 85'!$B188),('DMR 001C TIN &amp; TP'!$E$3:$E$10005&amp;'DMR 001C TIN &amp; TP'!$B$3:$B$10005&amp;'DMR 001C TIN &amp; TP'!$A$3:$A$10005),0),MATCH('Reg 85'!$K$11,'DMR 001C TIN &amp; TP'!$A$2:$M$2,0))),"")</f>
        <v/>
      </c>
      <c r="L188" s="53" t="str">
        <f t="shared" si="80"/>
        <v/>
      </c>
      <c r="M188" s="5" t="str">
        <f t="shared" si="69"/>
        <v/>
      </c>
      <c r="N188" s="6" t="str">
        <f t="array" ref="N188">_xlfn.IFNA((INDEX('DMR 001C TIN &amp; TP'!$A$3:$M$10005,MATCH(('Reg 85'!$I$6:$Q$6&amp;'Reg 85'!$M$10&amp;'Reg 85'!$B188),('DMR 001C TIN &amp; TP'!$E$3:$E$10005&amp;'DMR 001C TIN &amp; TP'!$B$3:$B$10005&amp;'DMR 001C TIN &amp; TP'!$A$3:$A$10005),0),MATCH('Reg 85'!$N$11,'DMR 001C TIN &amp; TP'!$A$2:$M$2,0))),"")</f>
        <v/>
      </c>
      <c r="O188" s="6" t="str">
        <f t="array" ref="O188">_xlfn.IFNA((INDEX('DMR 001C TIN &amp; TP'!$A$3:$M$10005,MATCH(('Reg 85'!$I$6:$Q$6&amp;'Reg 85'!$M$10&amp;'Reg 85'!$B188),('DMR 001C TIN &amp; TP'!$E$3:$E$10005&amp;'DMR 001C TIN &amp; TP'!$B$3:$B$10005&amp;'DMR 001C TIN &amp; TP'!$A$3:$A$10005),0),MATCH('Reg 85'!$O$11,'DMR 001C TIN &amp; TP'!$A$2:$M$2,0))),"")</f>
        <v/>
      </c>
      <c r="P188" s="53" t="str">
        <f t="shared" si="70"/>
        <v/>
      </c>
      <c r="Q188" s="73" t="str">
        <f t="array" ref="Q188">IFERROR(((L188*$F188)+(P188*$G188))/($H188),"")</f>
        <v/>
      </c>
      <c r="R188" s="6" t="str">
        <f t="array" ref="R188">_xlfn.IFNA((INDEX('DMR 001C TIN &amp; TP'!$A$3:$M$10005,MATCH(('Reg 85'!$I$6:$Q$6&amp;'Reg 85'!R$10&amp;'Reg 85'!$B188),('DMR 001C TIN &amp; TP'!$E$3:$E$10005&amp;'DMR 001C TIN &amp; TP'!$B$3:$B$10005&amp;'DMR 001C TIN &amp; TP'!$A$3:$A$10005),0),MATCH('Reg 85'!$O$11,'DMR 001C TIN &amp; TP'!$A$2:$M$2,0))),"")</f>
        <v/>
      </c>
      <c r="S188" s="6" t="str">
        <f t="array" ref="S188">_xlfn.IFNA((INDEX('DMR 001C TIN &amp; TP'!$A$3:$M$10005,MATCH(('Reg 85'!$I$6:$Q$6&amp;'Reg 85'!S$10&amp;'Reg 85'!$B188),('DMR 001C TIN &amp; TP'!$E$3:$E$10005&amp;'DMR 001C TIN &amp; TP'!$B$3:$B$10005&amp;'DMR 001C TIN &amp; TP'!$A$3:$A$10005),0),MATCH('Reg 85'!$O$11,'DMR 001C TIN &amp; TP'!$A$2:$M$2,0))),"")</f>
        <v/>
      </c>
      <c r="T188" s="6" t="str">
        <f t="array" ref="T188">_xlfn.IFNA((INDEX('DMR 001C TIN &amp; TP'!$A$3:$M$10005,MATCH(('Reg 85'!$I$6:$Q$6&amp;'Reg 85'!T$10&amp;'Reg 85'!$B188),('DMR 001C TIN &amp; TP'!$E$3:$E$10005&amp;'DMR 001C TIN &amp; TP'!$B$3:$B$10005&amp;'DMR 001C TIN &amp; TP'!$A$3:$A$10005),0),MATCH('Reg 85'!$O$11,'DMR 001C TIN &amp; TP'!$A$2:$M$2,0))),"")</f>
        <v/>
      </c>
      <c r="U188" s="6" t="str">
        <f t="array" ref="U188">_xlfn.IFNA((INDEX('DMR 001C TIN &amp; TP'!$A$3:$M$10005,MATCH(('Reg 85'!$I$6:$Q$6&amp;'Reg 85'!U$10&amp;'Reg 85'!$B188),('DMR 001C TIN &amp; TP'!$E$3:$E$10005&amp;'DMR 001C TIN &amp; TP'!$B$3:$B$10005&amp;'DMR 001C TIN &amp; TP'!$A$3:$A$10005),0),MATCH('Reg 85'!$O$11,'DMR 001C TIN &amp; TP'!$A$2:$M$2,0))),"")</f>
        <v/>
      </c>
      <c r="V188" s="6" t="str">
        <f t="array" ref="V188">_xlfn.IFNA((INDEX('DMR 001C TIN &amp; TP'!$A$3:$M$10005,MATCH(('Reg 85'!$I$6:$Q$6&amp;'Reg 85'!V$10&amp;'Reg 85'!$B188),('DMR 001C TIN &amp; TP'!$E$3:$E$10005&amp;'DMR 001C TIN &amp; TP'!$B$3:$B$10005&amp;'DMR 001C TIN &amp; TP'!$A$3:$A$10005),0),MATCH('Reg 85'!$O$11,'DMR 001C TIN &amp; TP'!$A$2:$M$2,0))),"")</f>
        <v/>
      </c>
      <c r="W188" s="6" t="str">
        <f t="array" ref="W188">_xlfn.IFNA((INDEX('DMR 001C TIN &amp; TP'!$A$3:$M$10005,MATCH(('Reg 85'!$I$6:$Q$6&amp;'Reg 85'!W$10&amp;'Reg 85'!$B188),('DMR 001C TIN &amp; TP'!$E$3:$E$10005&amp;'DMR 001C TIN &amp; TP'!$B$3:$B$10005&amp;'DMR 001C TIN &amp; TP'!$A$3:$A$10005),0),MATCH('Reg 85'!$O$11,'DMR 001C TIN &amp; TP'!$A$2:$M$2,0))),"")</f>
        <v/>
      </c>
      <c r="X188" s="5" t="str">
        <f t="shared" si="71"/>
        <v/>
      </c>
      <c r="Y188" s="6" t="str">
        <f t="array" ref="Y188">_xlfn.IFNA((INDEX('DMR 001C TIN &amp; TP'!$A$3:$M$10005,MATCH(('Reg 85'!$X$6&amp;'Reg 85'!$X$10&amp;'Reg 85'!$B188),('DMR 001C TIN &amp; TP'!$E$3:$E$10005&amp;'DMR 001C TIN &amp; TP'!$B$3:$B$10005&amp;'DMR 001C TIN &amp; TP'!$A$3:$A$10005),0),MATCH('Reg 85'!$Y$11,'DMR 001C TIN &amp; TP'!$A$2:$M$2,0))),"")</f>
        <v/>
      </c>
      <c r="Z188" s="6" t="str">
        <f t="array" ref="Z188">_xlfn.IFNA((INDEX('DMR 001C TIN &amp; TP'!$A$3:$M$10005,MATCH(('Reg 85'!$X$6&amp;'Reg 85'!$X$10&amp;'Reg 85'!$B188),('DMR 001C TIN &amp; TP'!$E$3:$E$10005&amp;'DMR 001C TIN &amp; TP'!$B$3:$B$10005&amp;'DMR 001C TIN &amp; TP'!$A$3:$A$10005),0),MATCH('Reg 85'!$Z$11,'DMR 001C TIN &amp; TP'!$A$2:$M$2,0))),"")</f>
        <v/>
      </c>
      <c r="AA188" s="53" t="str">
        <f t="shared" si="72"/>
        <v/>
      </c>
      <c r="AB188" s="5" t="str">
        <f t="shared" si="73"/>
        <v/>
      </c>
      <c r="AC188" s="6" t="str">
        <f t="array" ref="AC188">_xlfn.IFNA((INDEX('DMR 001C TIN &amp; TP'!$A$3:$M$10005,MATCH(('Reg 85'!$X$6&amp;'Reg 85'!$AB$10&amp;'Reg 85'!$B188),('DMR 001C TIN &amp; TP'!$E$3:$E$10005&amp;'DMR 001C TIN &amp; TP'!$B$3:$B$10005&amp;'DMR 001C TIN &amp; TP'!$A$3:$A$10005),0),MATCH('Reg 85'!$AC$11,'DMR 001C TIN &amp; TP'!$A$2:$M$2,0))),"")</f>
        <v/>
      </c>
      <c r="AD188" s="6" t="str">
        <f t="array" ref="AD188">_xlfn.IFNA((INDEX('DMR 001C TIN &amp; TP'!$A$3:$M$10005,MATCH(('Reg 85'!$X$6&amp;'Reg 85'!$AB$10&amp;'Reg 85'!$B188),('DMR 001C TIN &amp; TP'!$E$3:$E$10005&amp;'DMR 001C TIN &amp; TP'!$B$3:$B$10005&amp;'DMR 001C TIN &amp; TP'!$A$3:$A$10005),0),MATCH('Reg 85'!$AD$11,'DMR 001C TIN &amp; TP'!$A$2:$M$2,0))),"")</f>
        <v/>
      </c>
      <c r="AE188" s="53" t="str">
        <f t="shared" si="74"/>
        <v/>
      </c>
      <c r="AF188" s="7" t="str">
        <f t="shared" si="75"/>
        <v/>
      </c>
      <c r="AG188" s="6" t="str">
        <f t="array" ref="AG188">_xlfn.IFNA((INDEX('DMR 001C TIN &amp; TP'!$A$3:$M$10005,MATCH(('Reg 85'!$X$6&amp;'Reg 85'!AG$10&amp;'Reg 85'!$B188),('DMR 001C TIN &amp; TP'!$E$3:$E$10005&amp;'DMR 001C TIN &amp; TP'!$B$3:$B$10005&amp;'DMR 001C TIN &amp; TP'!$A$3:$A$10005),0),MATCH('Reg 85'!$AG$11,'DMR 001C TIN &amp; TP'!$A$2:$M$2,0))),"")</f>
        <v/>
      </c>
      <c r="AH188" s="6" t="str">
        <f t="array" ref="AH188">_xlfn.IFNA((INDEX('DMR 001C TIN &amp; TP'!$A$3:$M$10005,MATCH(('Reg 85'!$X$6&amp;'Reg 85'!AH$10&amp;'Reg 85'!$B188),('DMR 001C TIN &amp; TP'!$E$3:$E$10005&amp;'DMR 001C TIN &amp; TP'!$B$3:$B$10005&amp;'DMR 001C TIN &amp; TP'!$A$3:$A$10005),0),MATCH('Reg 85'!$AG$11,'DMR 001C TIN &amp; TP'!$A$2:$M$2,0))),"")</f>
        <v/>
      </c>
      <c r="AI188" s="6" t="str">
        <f t="array" ref="AI188">_xlfn.IFNA((INDEX('DMR 001C TIN &amp; TP'!$A$3:$M$10005,MATCH(('Reg 85'!$X$6&amp;'Reg 85'!AI$10&amp;'Reg 85'!$B188),('DMR 001C TIN &amp; TP'!$E$3:$E$10005&amp;'DMR 001C TIN &amp; TP'!$B$3:$B$10005&amp;'DMR 001C TIN &amp; TP'!$A$3:$A$10005),0),MATCH('Reg 85'!$AG$11,'DMR 001C TIN &amp; TP'!$A$2:$M$2,0))),"")</f>
        <v/>
      </c>
      <c r="AJ188" s="6" t="str">
        <f t="array" ref="AJ188">_xlfn.IFNA((INDEX('DMR 001C TIN &amp; TP'!$A$3:$M$10005,MATCH(('Reg 85'!$X$6&amp;'Reg 85'!AJ$10&amp;'Reg 85'!$B188),('DMR 001C TIN &amp; TP'!$E$3:$E$10005&amp;'DMR 001C TIN &amp; TP'!$B$3:$B$10005&amp;'DMR 001C TIN &amp; TP'!$A$3:$A$10005),0),MATCH('Reg 85'!$AG$11,'DMR 001C TIN &amp; TP'!$A$2:$M$2,0))),"")</f>
        <v/>
      </c>
      <c r="AK188" s="6" t="str">
        <f t="array" ref="AK188">_xlfn.IFNA((INDEX('DMR 001C TIN &amp; TP'!$A$3:$M$10005,MATCH(('Reg 85'!$X$6&amp;'Reg 85'!AK$10&amp;'Reg 85'!$B188),('DMR 001C TIN &amp; TP'!$E$3:$E$10005&amp;'DMR 001C TIN &amp; TP'!$B$3:$B$10005&amp;'DMR 001C TIN &amp; TP'!$A$3:$A$10005),0),MATCH('Reg 85'!$AG$11,'DMR 001C TIN &amp; TP'!$A$2:$M$2,0))),"")</f>
        <v/>
      </c>
      <c r="AL188" s="6" t="str">
        <f t="array" ref="AL188">_xlfn.IFNA((INDEX('DMR 001C TIN &amp; TP'!$A$3:$M$10005,MATCH(('Reg 85'!$X$6&amp;'Reg 85'!AL$10&amp;'Reg 85'!$B188),('DMR 001C TIN &amp; TP'!$E$3:$E$10005&amp;'DMR 001C TIN &amp; TP'!$B$3:$B$10005&amp;'DMR 001C TIN &amp; TP'!$A$3:$A$10005),0),MATCH('Reg 85'!$AG$11,'DMR 001C TIN &amp; TP'!$A$2:$M$2,0))),"")</f>
        <v/>
      </c>
      <c r="AM188" s="76"/>
      <c r="AN188" s="6"/>
      <c r="AO188" s="54" t="str">
        <f t="shared" si="62"/>
        <v/>
      </c>
      <c r="AP188" s="77" t="str">
        <f t="shared" si="81"/>
        <v/>
      </c>
      <c r="AQ188" s="47"/>
      <c r="AR188" s="6" t="str">
        <f t="array" ref="AR188">_xlfn.IFNA((INDEX('DMR 001C TIN &amp; TP'!$A$3:$M$10005,MATCH(('Reg 85'!$AQ$6&amp;'Reg 85'!$AQ$10&amp;'Reg 85'!$B188),('DMR 001C TIN &amp; TP'!$E$3:$E$10005&amp;'DMR 001C TIN &amp; TP'!$B$3:$B$10005&amp;'DMR 001C TIN &amp; TP'!$A$3:$A$10005),0),MATCH('Reg 85'!$AR$11,'DMR 001C TIN &amp; TP'!$A$2:$M$2,0))),"")</f>
        <v/>
      </c>
      <c r="AS188" s="6" t="str">
        <f t="array" ref="AS188">_xlfn.IFNA((INDEX('DMR 001C TIN &amp; TP'!$A$3:$M$10005,MATCH(('Reg 85'!$AQ$6&amp;'Reg 85'!$AQ$10&amp;'Reg 85'!$B188),('DMR 001C TIN &amp; TP'!$E$3:$E$10005&amp;'DMR 001C TIN &amp; TP'!$B$3:$B$10005&amp;'DMR 001C TIN &amp; TP'!$A$3:$A$10005),0),MATCH('Reg 85'!$AS$11,'DMR 001C TIN &amp; TP'!$A$2:$M$2,0))),"")</f>
        <v/>
      </c>
      <c r="AT188" s="53" t="str">
        <f t="shared" si="76"/>
        <v/>
      </c>
      <c r="AV188" s="6" t="str">
        <f t="array" ref="AV188">_xlfn.IFNA((INDEX('DMR 001C TIN &amp; TP'!$A$3:$M$10005,MATCH(('Reg 85'!$AQ$6&amp;'Reg 85'!$AU$10&amp;'Reg 85'!$B188),('DMR 001C TIN &amp; TP'!$E$3:$E$10005&amp;'DMR 001C TIN &amp; TP'!$B$3:$B$10005&amp;'DMR 001C TIN &amp; TP'!$A$3:$A$10005),0),MATCH('Reg 85'!$AV$11,'DMR 001C TIN &amp; TP'!$A$2:$M$2,0))),"")</f>
        <v/>
      </c>
      <c r="AW188" s="6" t="str">
        <f t="array" ref="AW188">_xlfn.IFNA((INDEX('DMR 001C TIN &amp; TP'!$A$3:$M$10005,MATCH(('Reg 85'!$AQ$6&amp;'Reg 85'!$AU$10&amp;'Reg 85'!$B188),('DMR 001C TIN &amp; TP'!$E$3:$E$10005&amp;'DMR 001C TIN &amp; TP'!$B$3:$B$10005&amp;'DMR 001C TIN &amp; TP'!$A$3:$A$10005),0),MATCH('Reg 85'!$AW$11,'DMR 001C TIN &amp; TP'!$A$2:$M$2,0))),"")</f>
        <v/>
      </c>
      <c r="AX188" s="53" t="str">
        <f t="shared" si="77"/>
        <v/>
      </c>
      <c r="AY188" s="55" t="str">
        <f t="shared" si="78"/>
        <v/>
      </c>
      <c r="AZ188" s="77" t="str">
        <f t="shared" si="82"/>
        <v/>
      </c>
      <c r="BA188" s="6" t="str">
        <f t="array" ref="BA188">_xlfn.IFNA((INDEX('DMR 001C TIN &amp; TP'!$A$3:$M$10005,MATCH(('Reg 85'!$AQ$6&amp;'Reg 85'!BA$10&amp;'Reg 85'!$B188),('DMR 001C TIN &amp; TP'!$E$3:$E$10005&amp;'DMR 001C TIN &amp; TP'!$B$3:$B$10005&amp;'DMR 001C TIN &amp; TP'!$A$3:$A$10005),0),MATCH('Reg 85'!$AG$11,'DMR 001C TIN &amp; TP'!$A$2:$M$2,0))),"")</f>
        <v/>
      </c>
      <c r="BB188" s="6" t="str">
        <f t="array" ref="BB188">_xlfn.IFNA((INDEX('DMR 001C TIN &amp; TP'!$A$3:$M$10005,MATCH(('Reg 85'!$AQ$6&amp;'Reg 85'!BB$10&amp;'Reg 85'!$B188),('DMR 001C TIN &amp; TP'!$E$3:$E$10005&amp;'DMR 001C TIN &amp; TP'!$B$3:$B$10005&amp;'DMR 001C TIN &amp; TP'!$A$3:$A$10005),0),MATCH('Reg 85'!$AG$11,'DMR 001C TIN &amp; TP'!$A$2:$M$2,0))),"")</f>
        <v/>
      </c>
      <c r="BC188" s="6" t="str">
        <f t="array" ref="BC188">_xlfn.IFNA((INDEX('DMR 001C TIN &amp; TP'!$A$3:$M$10005,MATCH(('Reg 85'!$AQ$6&amp;'Reg 85'!BC$10&amp;'Reg 85'!$B188),('DMR 001C TIN &amp; TP'!$E$3:$E$10005&amp;'DMR 001C TIN &amp; TP'!$B$3:$B$10005&amp;'DMR 001C TIN &amp; TP'!$A$3:$A$10005),0),MATCH('Reg 85'!$AG$11,'DMR 001C TIN &amp; TP'!$A$2:$M$2,0))),"")</f>
        <v/>
      </c>
      <c r="BD188" s="6" t="str">
        <f t="array" ref="BD188">_xlfn.IFNA((INDEX('DMR 001C TIN &amp; TP'!$A$3:$M$10005,MATCH(('Reg 85'!$AQ$6&amp;'Reg 85'!BD$10&amp;'Reg 85'!$B188),('DMR 001C TIN &amp; TP'!$E$3:$E$10005&amp;'DMR 001C TIN &amp; TP'!$B$3:$B$10005&amp;'DMR 001C TIN &amp; TP'!$A$3:$A$10005),0),MATCH('Reg 85'!$AG$11,'DMR 001C TIN &amp; TP'!$A$2:$M$2,0))),"")</f>
        <v/>
      </c>
      <c r="BE188" s="6" t="str">
        <f t="array" ref="BE188">_xlfn.IFNA((INDEX('DMR 001C TIN &amp; TP'!$A$3:$M$10005,MATCH(('Reg 85'!$AQ$6&amp;'Reg 85'!BE$10&amp;'Reg 85'!$B188),('DMR 001C TIN &amp; TP'!$E$3:$E$10005&amp;'DMR 001C TIN &amp; TP'!$B$3:$B$10005&amp;'DMR 001C TIN &amp; TP'!$A$3:$A$10005),0),MATCH('Reg 85'!$AG$11,'DMR 001C TIN &amp; TP'!$A$2:$M$2,0))),"")</f>
        <v/>
      </c>
      <c r="BF188" s="6" t="str">
        <f t="array" ref="BF188">_xlfn.IFNA((INDEX('DMR 001C TIN &amp; TP'!$A$3:$M$10005,MATCH(('Reg 85'!$AQ$6&amp;'Reg 85'!BF$10&amp;'Reg 85'!$B188),('DMR 001C TIN &amp; TP'!$E$3:$E$10005&amp;'DMR 001C TIN &amp; TP'!$B$3:$B$10005&amp;'DMR 001C TIN &amp; TP'!$A$3:$A$10005),0),MATCH('Reg 85'!$AG$11,'DMR 001C TIN &amp; TP'!$A$2:$M$2,0))),"")</f>
        <v/>
      </c>
    </row>
    <row r="189" spans="1:58">
      <c r="A189" s="3" t="str">
        <f t="shared" si="63"/>
        <v>Mon</v>
      </c>
      <c r="B189" s="96">
        <f t="shared" si="79"/>
        <v>43521</v>
      </c>
      <c r="C189" s="96">
        <f t="shared" si="64"/>
        <v>43524</v>
      </c>
      <c r="D189" s="96">
        <f t="shared" si="65"/>
        <v>43497</v>
      </c>
      <c r="E189" s="95">
        <f t="shared" si="66"/>
        <v>28</v>
      </c>
      <c r="F189" s="7">
        <f t="array" ref="F189">_xlfn.IFNA(INDEX('DMR Flows-Effluent'!$A$3:$F$9999,MATCH(($F$10&amp;$B189),('DMR Flows-Effluent'!$B$3:$B$9999&amp;'DMR Flows-Effluent'!$A$3:$A$9999),0),MATCH($F$8,'DMR Flows-Effluent'!$A$2:$F$2,0)),"")</f>
        <v>62.415199999999999</v>
      </c>
      <c r="G189" s="7">
        <f t="array" ref="G189">_xlfn.IFNA(INDEX('DMR Flows-Effluent'!$A$3:$F$9999,MATCH(($G$10&amp;$B189),('DMR Flows-Effluent'!$B$3:$B$9999&amp;'DMR Flows-Effluent'!$A$3:$A$9999),0),MATCH($F$8,'DMR Flows-Effluent'!$A$2:$F$2,0)),"")</f>
        <v>63.1813</v>
      </c>
      <c r="H189" s="7">
        <f t="shared" si="67"/>
        <v>125.59649999999999</v>
      </c>
      <c r="I189" s="45" t="str">
        <f t="shared" si="68"/>
        <v/>
      </c>
      <c r="J189" s="6" t="str">
        <f t="array" ref="J189">_xlfn.IFNA((INDEX('DMR 001C TIN &amp; TP'!$A$3:$M$10005,MATCH(('Reg 85'!$I$6:$Q$6&amp;'Reg 85'!$I$10:$K$10&amp;'Reg 85'!$B189),('DMR 001C TIN &amp; TP'!$E$3:$E$10005&amp;'DMR 001C TIN &amp; TP'!$B$3:$B$10005&amp;'DMR 001C TIN &amp; TP'!$A$3:$A$10005),0),MATCH('Reg 85'!$J$11,'DMR 001C TIN &amp; TP'!$A$2:$M$2,0))),"")</f>
        <v/>
      </c>
      <c r="K189" s="6" t="str">
        <f t="array" ref="K189">_xlfn.IFNA((INDEX('DMR 001C TIN &amp; TP'!$A$3:$M$10005,MATCH(('Reg 85'!$I$6:$Q$6&amp;'Reg 85'!$I$10:$K$10&amp;'Reg 85'!$B189),('DMR 001C TIN &amp; TP'!$E$3:$E$10005&amp;'DMR 001C TIN &amp; TP'!$B$3:$B$10005&amp;'DMR 001C TIN &amp; TP'!$A$3:$A$10005),0),MATCH('Reg 85'!$K$11,'DMR 001C TIN &amp; TP'!$A$2:$M$2,0))),"")</f>
        <v/>
      </c>
      <c r="L189" s="53" t="str">
        <f t="shared" si="80"/>
        <v/>
      </c>
      <c r="M189" s="5" t="str">
        <f t="shared" si="69"/>
        <v/>
      </c>
      <c r="N189" s="6" t="str">
        <f t="array" ref="N189">_xlfn.IFNA((INDEX('DMR 001C TIN &amp; TP'!$A$3:$M$10005,MATCH(('Reg 85'!$I$6:$Q$6&amp;'Reg 85'!$M$10&amp;'Reg 85'!$B189),('DMR 001C TIN &amp; TP'!$E$3:$E$10005&amp;'DMR 001C TIN &amp; TP'!$B$3:$B$10005&amp;'DMR 001C TIN &amp; TP'!$A$3:$A$10005),0),MATCH('Reg 85'!$N$11,'DMR 001C TIN &amp; TP'!$A$2:$M$2,0))),"")</f>
        <v/>
      </c>
      <c r="O189" s="6" t="str">
        <f t="array" ref="O189">_xlfn.IFNA((INDEX('DMR 001C TIN &amp; TP'!$A$3:$M$10005,MATCH(('Reg 85'!$I$6:$Q$6&amp;'Reg 85'!$M$10&amp;'Reg 85'!$B189),('DMR 001C TIN &amp; TP'!$E$3:$E$10005&amp;'DMR 001C TIN &amp; TP'!$B$3:$B$10005&amp;'DMR 001C TIN &amp; TP'!$A$3:$A$10005),0),MATCH('Reg 85'!$O$11,'DMR 001C TIN &amp; TP'!$A$2:$M$2,0))),"")</f>
        <v/>
      </c>
      <c r="P189" s="53" t="str">
        <f t="shared" si="70"/>
        <v/>
      </c>
      <c r="Q189" s="73" t="str">
        <f t="array" ref="Q189">IFERROR(((L189*$F189)+(P189*$G189))/($H189),"")</f>
        <v/>
      </c>
      <c r="R189" s="6" t="str">
        <f t="array" ref="R189">_xlfn.IFNA((INDEX('DMR 001C TIN &amp; TP'!$A$3:$M$10005,MATCH(('Reg 85'!$I$6:$Q$6&amp;'Reg 85'!R$10&amp;'Reg 85'!$B189),('DMR 001C TIN &amp; TP'!$E$3:$E$10005&amp;'DMR 001C TIN &amp; TP'!$B$3:$B$10005&amp;'DMR 001C TIN &amp; TP'!$A$3:$A$10005),0),MATCH('Reg 85'!$O$11,'DMR 001C TIN &amp; TP'!$A$2:$M$2,0))),"")</f>
        <v/>
      </c>
      <c r="S189" s="6" t="str">
        <f t="array" ref="S189">_xlfn.IFNA((INDEX('DMR 001C TIN &amp; TP'!$A$3:$M$10005,MATCH(('Reg 85'!$I$6:$Q$6&amp;'Reg 85'!S$10&amp;'Reg 85'!$B189),('DMR 001C TIN &amp; TP'!$E$3:$E$10005&amp;'DMR 001C TIN &amp; TP'!$B$3:$B$10005&amp;'DMR 001C TIN &amp; TP'!$A$3:$A$10005),0),MATCH('Reg 85'!$O$11,'DMR 001C TIN &amp; TP'!$A$2:$M$2,0))),"")</f>
        <v/>
      </c>
      <c r="T189" s="6" t="str">
        <f t="array" ref="T189">_xlfn.IFNA((INDEX('DMR 001C TIN &amp; TP'!$A$3:$M$10005,MATCH(('Reg 85'!$I$6:$Q$6&amp;'Reg 85'!T$10&amp;'Reg 85'!$B189),('DMR 001C TIN &amp; TP'!$E$3:$E$10005&amp;'DMR 001C TIN &amp; TP'!$B$3:$B$10005&amp;'DMR 001C TIN &amp; TP'!$A$3:$A$10005),0),MATCH('Reg 85'!$O$11,'DMR 001C TIN &amp; TP'!$A$2:$M$2,0))),"")</f>
        <v/>
      </c>
      <c r="U189" s="6" t="str">
        <f t="array" ref="U189">_xlfn.IFNA((INDEX('DMR 001C TIN &amp; TP'!$A$3:$M$10005,MATCH(('Reg 85'!$I$6:$Q$6&amp;'Reg 85'!U$10&amp;'Reg 85'!$B189),('DMR 001C TIN &amp; TP'!$E$3:$E$10005&amp;'DMR 001C TIN &amp; TP'!$B$3:$B$10005&amp;'DMR 001C TIN &amp; TP'!$A$3:$A$10005),0),MATCH('Reg 85'!$O$11,'DMR 001C TIN &amp; TP'!$A$2:$M$2,0))),"")</f>
        <v/>
      </c>
      <c r="V189" s="6" t="str">
        <f t="array" ref="V189">_xlfn.IFNA((INDEX('DMR 001C TIN &amp; TP'!$A$3:$M$10005,MATCH(('Reg 85'!$I$6:$Q$6&amp;'Reg 85'!V$10&amp;'Reg 85'!$B189),('DMR 001C TIN &amp; TP'!$E$3:$E$10005&amp;'DMR 001C TIN &amp; TP'!$B$3:$B$10005&amp;'DMR 001C TIN &amp; TP'!$A$3:$A$10005),0),MATCH('Reg 85'!$O$11,'DMR 001C TIN &amp; TP'!$A$2:$M$2,0))),"")</f>
        <v/>
      </c>
      <c r="W189" s="6" t="str">
        <f t="array" ref="W189">_xlfn.IFNA((INDEX('DMR 001C TIN &amp; TP'!$A$3:$M$10005,MATCH(('Reg 85'!$I$6:$Q$6&amp;'Reg 85'!W$10&amp;'Reg 85'!$B189),('DMR 001C TIN &amp; TP'!$E$3:$E$10005&amp;'DMR 001C TIN &amp; TP'!$B$3:$B$10005&amp;'DMR 001C TIN &amp; TP'!$A$3:$A$10005),0),MATCH('Reg 85'!$O$11,'DMR 001C TIN &amp; TP'!$A$2:$M$2,0))),"")</f>
        <v/>
      </c>
      <c r="X189" s="5" t="str">
        <f t="shared" si="71"/>
        <v/>
      </c>
      <c r="Y189" s="6" t="str">
        <f t="array" ref="Y189">_xlfn.IFNA((INDEX('DMR 001C TIN &amp; TP'!$A$3:$M$10005,MATCH(('Reg 85'!$X$6&amp;'Reg 85'!$X$10&amp;'Reg 85'!$B189),('DMR 001C TIN &amp; TP'!$E$3:$E$10005&amp;'DMR 001C TIN &amp; TP'!$B$3:$B$10005&amp;'DMR 001C TIN &amp; TP'!$A$3:$A$10005),0),MATCH('Reg 85'!$Y$11,'DMR 001C TIN &amp; TP'!$A$2:$M$2,0))),"")</f>
        <v/>
      </c>
      <c r="Z189" s="6" t="str">
        <f t="array" ref="Z189">_xlfn.IFNA((INDEX('DMR 001C TIN &amp; TP'!$A$3:$M$10005,MATCH(('Reg 85'!$X$6&amp;'Reg 85'!$X$10&amp;'Reg 85'!$B189),('DMR 001C TIN &amp; TP'!$E$3:$E$10005&amp;'DMR 001C TIN &amp; TP'!$B$3:$B$10005&amp;'DMR 001C TIN &amp; TP'!$A$3:$A$10005),0),MATCH('Reg 85'!$Z$11,'DMR 001C TIN &amp; TP'!$A$2:$M$2,0))),"")</f>
        <v/>
      </c>
      <c r="AA189" s="53" t="str">
        <f t="shared" si="72"/>
        <v/>
      </c>
      <c r="AB189" s="5" t="str">
        <f t="shared" si="73"/>
        <v/>
      </c>
      <c r="AC189" s="6" t="str">
        <f t="array" ref="AC189">_xlfn.IFNA((INDEX('DMR 001C TIN &amp; TP'!$A$3:$M$10005,MATCH(('Reg 85'!$X$6&amp;'Reg 85'!$AB$10&amp;'Reg 85'!$B189),('DMR 001C TIN &amp; TP'!$E$3:$E$10005&amp;'DMR 001C TIN &amp; TP'!$B$3:$B$10005&amp;'DMR 001C TIN &amp; TP'!$A$3:$A$10005),0),MATCH('Reg 85'!$AC$11,'DMR 001C TIN &amp; TP'!$A$2:$M$2,0))),"")</f>
        <v/>
      </c>
      <c r="AD189" s="6" t="str">
        <f t="array" ref="AD189">_xlfn.IFNA((INDEX('DMR 001C TIN &amp; TP'!$A$3:$M$10005,MATCH(('Reg 85'!$X$6&amp;'Reg 85'!$AB$10&amp;'Reg 85'!$B189),('DMR 001C TIN &amp; TP'!$E$3:$E$10005&amp;'DMR 001C TIN &amp; TP'!$B$3:$B$10005&amp;'DMR 001C TIN &amp; TP'!$A$3:$A$10005),0),MATCH('Reg 85'!$AD$11,'DMR 001C TIN &amp; TP'!$A$2:$M$2,0))),"")</f>
        <v/>
      </c>
      <c r="AE189" s="53" t="str">
        <f t="shared" si="74"/>
        <v/>
      </c>
      <c r="AF189" s="7" t="str">
        <f t="shared" si="75"/>
        <v/>
      </c>
      <c r="AG189" s="6" t="str">
        <f t="array" ref="AG189">_xlfn.IFNA((INDEX('DMR 001C TIN &amp; TP'!$A$3:$M$10005,MATCH(('Reg 85'!$X$6&amp;'Reg 85'!AG$10&amp;'Reg 85'!$B189),('DMR 001C TIN &amp; TP'!$E$3:$E$10005&amp;'DMR 001C TIN &amp; TP'!$B$3:$B$10005&amp;'DMR 001C TIN &amp; TP'!$A$3:$A$10005),0),MATCH('Reg 85'!$AG$11,'DMR 001C TIN &amp; TP'!$A$2:$M$2,0))),"")</f>
        <v/>
      </c>
      <c r="AH189" s="6" t="str">
        <f t="array" ref="AH189">_xlfn.IFNA((INDEX('DMR 001C TIN &amp; TP'!$A$3:$M$10005,MATCH(('Reg 85'!$X$6&amp;'Reg 85'!AH$10&amp;'Reg 85'!$B189),('DMR 001C TIN &amp; TP'!$E$3:$E$10005&amp;'DMR 001C TIN &amp; TP'!$B$3:$B$10005&amp;'DMR 001C TIN &amp; TP'!$A$3:$A$10005),0),MATCH('Reg 85'!$AG$11,'DMR 001C TIN &amp; TP'!$A$2:$M$2,0))),"")</f>
        <v/>
      </c>
      <c r="AI189" s="6" t="str">
        <f t="array" ref="AI189">_xlfn.IFNA((INDEX('DMR 001C TIN &amp; TP'!$A$3:$M$10005,MATCH(('Reg 85'!$X$6&amp;'Reg 85'!AI$10&amp;'Reg 85'!$B189),('DMR 001C TIN &amp; TP'!$E$3:$E$10005&amp;'DMR 001C TIN &amp; TP'!$B$3:$B$10005&amp;'DMR 001C TIN &amp; TP'!$A$3:$A$10005),0),MATCH('Reg 85'!$AG$11,'DMR 001C TIN &amp; TP'!$A$2:$M$2,0))),"")</f>
        <v/>
      </c>
      <c r="AJ189" s="6" t="str">
        <f t="array" ref="AJ189">_xlfn.IFNA((INDEX('DMR 001C TIN &amp; TP'!$A$3:$M$10005,MATCH(('Reg 85'!$X$6&amp;'Reg 85'!AJ$10&amp;'Reg 85'!$B189),('DMR 001C TIN &amp; TP'!$E$3:$E$10005&amp;'DMR 001C TIN &amp; TP'!$B$3:$B$10005&amp;'DMR 001C TIN &amp; TP'!$A$3:$A$10005),0),MATCH('Reg 85'!$AG$11,'DMR 001C TIN &amp; TP'!$A$2:$M$2,0))),"")</f>
        <v/>
      </c>
      <c r="AK189" s="6" t="str">
        <f t="array" ref="AK189">_xlfn.IFNA((INDEX('DMR 001C TIN &amp; TP'!$A$3:$M$10005,MATCH(('Reg 85'!$X$6&amp;'Reg 85'!AK$10&amp;'Reg 85'!$B189),('DMR 001C TIN &amp; TP'!$E$3:$E$10005&amp;'DMR 001C TIN &amp; TP'!$B$3:$B$10005&amp;'DMR 001C TIN &amp; TP'!$A$3:$A$10005),0),MATCH('Reg 85'!$AG$11,'DMR 001C TIN &amp; TP'!$A$2:$M$2,0))),"")</f>
        <v/>
      </c>
      <c r="AL189" s="6" t="str">
        <f t="array" ref="AL189">_xlfn.IFNA((INDEX('DMR 001C TIN &amp; TP'!$A$3:$M$10005,MATCH(('Reg 85'!$X$6&amp;'Reg 85'!AL$10&amp;'Reg 85'!$B189),('DMR 001C TIN &amp; TP'!$E$3:$E$10005&amp;'DMR 001C TIN &amp; TP'!$B$3:$B$10005&amp;'DMR 001C TIN &amp; TP'!$A$3:$A$10005),0),MATCH('Reg 85'!$AG$11,'DMR 001C TIN &amp; TP'!$A$2:$M$2,0))),"")</f>
        <v/>
      </c>
      <c r="AM189" s="76"/>
      <c r="AN189" s="6"/>
      <c r="AO189" s="54" t="str">
        <f t="shared" si="62"/>
        <v/>
      </c>
      <c r="AP189" s="77" t="str">
        <f t="shared" si="81"/>
        <v/>
      </c>
      <c r="AQ189" s="47"/>
      <c r="AR189" s="6" t="str">
        <f t="array" ref="AR189">_xlfn.IFNA((INDEX('DMR 001C TIN &amp; TP'!$A$3:$M$10005,MATCH(('Reg 85'!$AQ$6&amp;'Reg 85'!$AQ$10&amp;'Reg 85'!$B189),('DMR 001C TIN &amp; TP'!$E$3:$E$10005&amp;'DMR 001C TIN &amp; TP'!$B$3:$B$10005&amp;'DMR 001C TIN &amp; TP'!$A$3:$A$10005),0),MATCH('Reg 85'!$AR$11,'DMR 001C TIN &amp; TP'!$A$2:$M$2,0))),"")</f>
        <v>0.03</v>
      </c>
      <c r="AS189" s="6">
        <f t="array" ref="AS189">_xlfn.IFNA((INDEX('DMR 001C TIN &amp; TP'!$A$3:$M$10005,MATCH(('Reg 85'!$AQ$6&amp;'Reg 85'!$AQ$10&amp;'Reg 85'!$B189),('DMR 001C TIN &amp; TP'!$E$3:$E$10005&amp;'DMR 001C TIN &amp; TP'!$B$3:$B$10005&amp;'DMR 001C TIN &amp; TP'!$A$3:$A$10005),0),MATCH('Reg 85'!$AS$11,'DMR 001C TIN &amp; TP'!$A$2:$M$2,0))),"")</f>
        <v>0.38</v>
      </c>
      <c r="AT189" s="53">
        <f t="shared" si="76"/>
        <v>0.38</v>
      </c>
      <c r="AV189" s="6" t="str">
        <f t="array" ref="AV189">_xlfn.IFNA((INDEX('DMR 001C TIN &amp; TP'!$A$3:$M$10005,MATCH(('Reg 85'!$AQ$6&amp;'Reg 85'!$AU$10&amp;'Reg 85'!$B189),('DMR 001C TIN &amp; TP'!$E$3:$E$10005&amp;'DMR 001C TIN &amp; TP'!$B$3:$B$10005&amp;'DMR 001C TIN &amp; TP'!$A$3:$A$10005),0),MATCH('Reg 85'!$AV$11,'DMR 001C TIN &amp; TP'!$A$2:$M$2,0))),"")</f>
        <v>0.03</v>
      </c>
      <c r="AW189" s="6">
        <f t="array" ref="AW189">_xlfn.IFNA((INDEX('DMR 001C TIN &amp; TP'!$A$3:$M$10005,MATCH(('Reg 85'!$AQ$6&amp;'Reg 85'!$AU$10&amp;'Reg 85'!$B189),('DMR 001C TIN &amp; TP'!$E$3:$E$10005&amp;'DMR 001C TIN &amp; TP'!$B$3:$B$10005&amp;'DMR 001C TIN &amp; TP'!$A$3:$A$10005),0),MATCH('Reg 85'!$AW$11,'DMR 001C TIN &amp; TP'!$A$2:$M$2,0))),"")</f>
        <v>4.72</v>
      </c>
      <c r="AX189" s="53">
        <f t="shared" si="77"/>
        <v>4.72</v>
      </c>
      <c r="AY189" s="55">
        <f t="shared" si="78"/>
        <v>2.5632363322226337</v>
      </c>
      <c r="AZ189" s="77" t="str">
        <f t="shared" si="82"/>
        <v/>
      </c>
      <c r="BA189" s="6" t="str">
        <f t="array" ref="BA189">_xlfn.IFNA((INDEX('DMR 001C TIN &amp; TP'!$A$3:$M$10005,MATCH(('Reg 85'!$AQ$6&amp;'Reg 85'!BA$10&amp;'Reg 85'!$B189),('DMR 001C TIN &amp; TP'!$E$3:$E$10005&amp;'DMR 001C TIN &amp; TP'!$B$3:$B$10005&amp;'DMR 001C TIN &amp; TP'!$A$3:$A$10005),0),MATCH('Reg 85'!$AG$11,'DMR 001C TIN &amp; TP'!$A$2:$M$2,0))),"")</f>
        <v/>
      </c>
      <c r="BB189" s="6" t="str">
        <f t="array" ref="BB189">_xlfn.IFNA((INDEX('DMR 001C TIN &amp; TP'!$A$3:$M$10005,MATCH(('Reg 85'!$AQ$6&amp;'Reg 85'!BB$10&amp;'Reg 85'!$B189),('DMR 001C TIN &amp; TP'!$E$3:$E$10005&amp;'DMR 001C TIN &amp; TP'!$B$3:$B$10005&amp;'DMR 001C TIN &amp; TP'!$A$3:$A$10005),0),MATCH('Reg 85'!$AG$11,'DMR 001C TIN &amp; TP'!$A$2:$M$2,0))),"")</f>
        <v/>
      </c>
      <c r="BC189" s="6" t="str">
        <f t="array" ref="BC189">_xlfn.IFNA((INDEX('DMR 001C TIN &amp; TP'!$A$3:$M$10005,MATCH(('Reg 85'!$AQ$6&amp;'Reg 85'!BC$10&amp;'Reg 85'!$B189),('DMR 001C TIN &amp; TP'!$E$3:$E$10005&amp;'DMR 001C TIN &amp; TP'!$B$3:$B$10005&amp;'DMR 001C TIN &amp; TP'!$A$3:$A$10005),0),MATCH('Reg 85'!$AG$11,'DMR 001C TIN &amp; TP'!$A$2:$M$2,0))),"")</f>
        <v/>
      </c>
      <c r="BD189" s="6" t="str">
        <f t="array" ref="BD189">_xlfn.IFNA((INDEX('DMR 001C TIN &amp; TP'!$A$3:$M$10005,MATCH(('Reg 85'!$AQ$6&amp;'Reg 85'!BD$10&amp;'Reg 85'!$B189),('DMR 001C TIN &amp; TP'!$E$3:$E$10005&amp;'DMR 001C TIN &amp; TP'!$B$3:$B$10005&amp;'DMR 001C TIN &amp; TP'!$A$3:$A$10005),0),MATCH('Reg 85'!$AG$11,'DMR 001C TIN &amp; TP'!$A$2:$M$2,0))),"")</f>
        <v/>
      </c>
      <c r="BE189" s="6" t="str">
        <f t="array" ref="BE189">_xlfn.IFNA((INDEX('DMR 001C TIN &amp; TP'!$A$3:$M$10005,MATCH(('Reg 85'!$AQ$6&amp;'Reg 85'!BE$10&amp;'Reg 85'!$B189),('DMR 001C TIN &amp; TP'!$E$3:$E$10005&amp;'DMR 001C TIN &amp; TP'!$B$3:$B$10005&amp;'DMR 001C TIN &amp; TP'!$A$3:$A$10005),0),MATCH('Reg 85'!$AG$11,'DMR 001C TIN &amp; TP'!$A$2:$M$2,0))),"")</f>
        <v/>
      </c>
      <c r="BF189" s="6" t="str">
        <f t="array" ref="BF189">_xlfn.IFNA((INDEX('DMR 001C TIN &amp; TP'!$A$3:$M$10005,MATCH(('Reg 85'!$AQ$6&amp;'Reg 85'!BF$10&amp;'Reg 85'!$B189),('DMR 001C TIN &amp; TP'!$E$3:$E$10005&amp;'DMR 001C TIN &amp; TP'!$B$3:$B$10005&amp;'DMR 001C TIN &amp; TP'!$A$3:$A$10005),0),MATCH('Reg 85'!$AG$11,'DMR 001C TIN &amp; TP'!$A$2:$M$2,0))),"")</f>
        <v/>
      </c>
    </row>
    <row r="190" spans="1:58">
      <c r="A190" s="3" t="str">
        <f t="shared" si="63"/>
        <v>Tue</v>
      </c>
      <c r="B190" s="96">
        <f t="shared" si="79"/>
        <v>43522</v>
      </c>
      <c r="C190" s="96">
        <f t="shared" si="64"/>
        <v>43524</v>
      </c>
      <c r="D190" s="96">
        <f t="shared" si="65"/>
        <v>43497</v>
      </c>
      <c r="E190" s="95">
        <f t="shared" si="66"/>
        <v>28</v>
      </c>
      <c r="F190" s="7">
        <f t="array" ref="F190">_xlfn.IFNA(INDEX('DMR Flows-Effluent'!$A$3:$F$9999,MATCH(($F$10&amp;$B190),('DMR Flows-Effluent'!$B$3:$B$9999&amp;'DMR Flows-Effluent'!$A$3:$A$9999),0),MATCH($F$8,'DMR Flows-Effluent'!$A$2:$F$2,0)),"")</f>
        <v>64.247900000000001</v>
      </c>
      <c r="G190" s="7">
        <f t="array" ref="G190">_xlfn.IFNA(INDEX('DMR Flows-Effluent'!$A$3:$F$9999,MATCH(($G$10&amp;$B190),('DMR Flows-Effluent'!$B$3:$B$9999&amp;'DMR Flows-Effluent'!$A$3:$A$9999),0),MATCH($F$8,'DMR Flows-Effluent'!$A$2:$F$2,0)),"")</f>
        <v>62.954300000000003</v>
      </c>
      <c r="H190" s="7">
        <f t="shared" si="67"/>
        <v>127.2022</v>
      </c>
      <c r="I190" s="45" t="str">
        <f t="shared" si="68"/>
        <v/>
      </c>
      <c r="J190" s="6" t="str">
        <f t="array" ref="J190">_xlfn.IFNA((INDEX('DMR 001C TIN &amp; TP'!$A$3:$M$10005,MATCH(('Reg 85'!$I$6:$Q$6&amp;'Reg 85'!$I$10:$K$10&amp;'Reg 85'!$B190),('DMR 001C TIN &amp; TP'!$E$3:$E$10005&amp;'DMR 001C TIN &amp; TP'!$B$3:$B$10005&amp;'DMR 001C TIN &amp; TP'!$A$3:$A$10005),0),MATCH('Reg 85'!$J$11,'DMR 001C TIN &amp; TP'!$A$2:$M$2,0))),"")</f>
        <v>0.15</v>
      </c>
      <c r="K190" s="6">
        <f t="array" ref="K190">_xlfn.IFNA((INDEX('DMR 001C TIN &amp; TP'!$A$3:$M$10005,MATCH(('Reg 85'!$I$6:$Q$6&amp;'Reg 85'!$I$10:$K$10&amp;'Reg 85'!$B190),('DMR 001C TIN &amp; TP'!$E$3:$E$10005&amp;'DMR 001C TIN &amp; TP'!$B$3:$B$10005&amp;'DMR 001C TIN &amp; TP'!$A$3:$A$10005),0),MATCH('Reg 85'!$K$11,'DMR 001C TIN &amp; TP'!$A$2:$M$2,0))),"")</f>
        <v>0.89</v>
      </c>
      <c r="L190" s="53">
        <f t="shared" si="80"/>
        <v>0.89</v>
      </c>
      <c r="M190" s="5" t="str">
        <f t="shared" si="69"/>
        <v/>
      </c>
      <c r="N190" s="6" t="str">
        <f t="array" ref="N190">_xlfn.IFNA((INDEX('DMR 001C TIN &amp; TP'!$A$3:$M$10005,MATCH(('Reg 85'!$I$6:$Q$6&amp;'Reg 85'!$M$10&amp;'Reg 85'!$B190),('DMR 001C TIN &amp; TP'!$E$3:$E$10005&amp;'DMR 001C TIN &amp; TP'!$B$3:$B$10005&amp;'DMR 001C TIN &amp; TP'!$A$3:$A$10005),0),MATCH('Reg 85'!$N$11,'DMR 001C TIN &amp; TP'!$A$2:$M$2,0))),"")</f>
        <v>0.15</v>
      </c>
      <c r="O190" s="6">
        <f t="array" ref="O190">_xlfn.IFNA((INDEX('DMR 001C TIN &amp; TP'!$A$3:$M$10005,MATCH(('Reg 85'!$I$6:$Q$6&amp;'Reg 85'!$M$10&amp;'Reg 85'!$B190),('DMR 001C TIN &amp; TP'!$E$3:$E$10005&amp;'DMR 001C TIN &amp; TP'!$B$3:$B$10005&amp;'DMR 001C TIN &amp; TP'!$A$3:$A$10005),0),MATCH('Reg 85'!$O$11,'DMR 001C TIN &amp; TP'!$A$2:$M$2,0))),"")</f>
        <v>0.54</v>
      </c>
      <c r="P190" s="53">
        <f t="shared" si="70"/>
        <v>0.54</v>
      </c>
      <c r="Q190" s="73">
        <f t="array" ref="Q190">IFERROR(((L190*$F190)+(P190*$G190))/($H190),"")</f>
        <v>0.71677968620039589</v>
      </c>
      <c r="R190" s="6" t="str">
        <f t="array" ref="R190">_xlfn.IFNA((INDEX('DMR 001C TIN &amp; TP'!$A$3:$M$10005,MATCH(('Reg 85'!$I$6:$Q$6&amp;'Reg 85'!R$10&amp;'Reg 85'!$B190),('DMR 001C TIN &amp; TP'!$E$3:$E$10005&amp;'DMR 001C TIN &amp; TP'!$B$3:$B$10005&amp;'DMR 001C TIN &amp; TP'!$A$3:$A$10005),0),MATCH('Reg 85'!$O$11,'DMR 001C TIN &amp; TP'!$A$2:$M$2,0))),"")</f>
        <v/>
      </c>
      <c r="S190" s="6" t="str">
        <f t="array" ref="S190">_xlfn.IFNA((INDEX('DMR 001C TIN &amp; TP'!$A$3:$M$10005,MATCH(('Reg 85'!$I$6:$Q$6&amp;'Reg 85'!S$10&amp;'Reg 85'!$B190),('DMR 001C TIN &amp; TP'!$E$3:$E$10005&amp;'DMR 001C TIN &amp; TP'!$B$3:$B$10005&amp;'DMR 001C TIN &amp; TP'!$A$3:$A$10005),0),MATCH('Reg 85'!$O$11,'DMR 001C TIN &amp; TP'!$A$2:$M$2,0))),"")</f>
        <v/>
      </c>
      <c r="T190" s="6" t="str">
        <f t="array" ref="T190">_xlfn.IFNA((INDEX('DMR 001C TIN &amp; TP'!$A$3:$M$10005,MATCH(('Reg 85'!$I$6:$Q$6&amp;'Reg 85'!T$10&amp;'Reg 85'!$B190),('DMR 001C TIN &amp; TP'!$E$3:$E$10005&amp;'DMR 001C TIN &amp; TP'!$B$3:$B$10005&amp;'DMR 001C TIN &amp; TP'!$A$3:$A$10005),0),MATCH('Reg 85'!$O$11,'DMR 001C TIN &amp; TP'!$A$2:$M$2,0))),"")</f>
        <v/>
      </c>
      <c r="U190" s="6" t="str">
        <f t="array" ref="U190">_xlfn.IFNA((INDEX('DMR 001C TIN &amp; TP'!$A$3:$M$10005,MATCH(('Reg 85'!$I$6:$Q$6&amp;'Reg 85'!U$10&amp;'Reg 85'!$B190),('DMR 001C TIN &amp; TP'!$E$3:$E$10005&amp;'DMR 001C TIN &amp; TP'!$B$3:$B$10005&amp;'DMR 001C TIN &amp; TP'!$A$3:$A$10005),0),MATCH('Reg 85'!$O$11,'DMR 001C TIN &amp; TP'!$A$2:$M$2,0))),"")</f>
        <v/>
      </c>
      <c r="V190" s="6" t="str">
        <f t="array" ref="V190">_xlfn.IFNA((INDEX('DMR 001C TIN &amp; TP'!$A$3:$M$10005,MATCH(('Reg 85'!$I$6:$Q$6&amp;'Reg 85'!V$10&amp;'Reg 85'!$B190),('DMR 001C TIN &amp; TP'!$E$3:$E$10005&amp;'DMR 001C TIN &amp; TP'!$B$3:$B$10005&amp;'DMR 001C TIN &amp; TP'!$A$3:$A$10005),0),MATCH('Reg 85'!$O$11,'DMR 001C TIN &amp; TP'!$A$2:$M$2,0))),"")</f>
        <v/>
      </c>
      <c r="W190" s="6" t="str">
        <f t="array" ref="W190">_xlfn.IFNA((INDEX('DMR 001C TIN &amp; TP'!$A$3:$M$10005,MATCH(('Reg 85'!$I$6:$Q$6&amp;'Reg 85'!W$10&amp;'Reg 85'!$B190),('DMR 001C TIN &amp; TP'!$E$3:$E$10005&amp;'DMR 001C TIN &amp; TP'!$B$3:$B$10005&amp;'DMR 001C TIN &amp; TP'!$A$3:$A$10005),0),MATCH('Reg 85'!$O$11,'DMR 001C TIN &amp; TP'!$A$2:$M$2,0))),"")</f>
        <v/>
      </c>
      <c r="X190" s="5" t="str">
        <f t="shared" si="71"/>
        <v/>
      </c>
      <c r="Y190" s="6" t="str">
        <f t="array" ref="Y190">_xlfn.IFNA((INDEX('DMR 001C TIN &amp; TP'!$A$3:$M$10005,MATCH(('Reg 85'!$X$6&amp;'Reg 85'!$X$10&amp;'Reg 85'!$B190),('DMR 001C TIN &amp; TP'!$E$3:$E$10005&amp;'DMR 001C TIN &amp; TP'!$B$3:$B$10005&amp;'DMR 001C TIN &amp; TP'!$A$3:$A$10005),0),MATCH('Reg 85'!$Y$11,'DMR 001C TIN &amp; TP'!$A$2:$M$2,0))),"")</f>
        <v>0.06</v>
      </c>
      <c r="Z190" s="6">
        <f t="array" ref="Z190">_xlfn.IFNA((INDEX('DMR 001C TIN &amp; TP'!$A$3:$M$10005,MATCH(('Reg 85'!$X$6&amp;'Reg 85'!$X$10&amp;'Reg 85'!$B190),('DMR 001C TIN &amp; TP'!$E$3:$E$10005&amp;'DMR 001C TIN &amp; TP'!$B$3:$B$10005&amp;'DMR 001C TIN &amp; TP'!$A$3:$A$10005),0),MATCH('Reg 85'!$Z$11,'DMR 001C TIN &amp; TP'!$A$2:$M$2,0))),"")</f>
        <v>4.8600000000000003</v>
      </c>
      <c r="AA190" s="53">
        <f t="shared" si="72"/>
        <v>4.8600000000000003</v>
      </c>
      <c r="AB190" s="5" t="str">
        <f t="shared" si="73"/>
        <v/>
      </c>
      <c r="AC190" s="6" t="str">
        <f t="array" ref="AC190">_xlfn.IFNA((INDEX('DMR 001C TIN &amp; TP'!$A$3:$M$10005,MATCH(('Reg 85'!$X$6&amp;'Reg 85'!$AB$10&amp;'Reg 85'!$B190),('DMR 001C TIN &amp; TP'!$E$3:$E$10005&amp;'DMR 001C TIN &amp; TP'!$B$3:$B$10005&amp;'DMR 001C TIN &amp; TP'!$A$3:$A$10005),0),MATCH('Reg 85'!$AC$11,'DMR 001C TIN &amp; TP'!$A$2:$M$2,0))),"")</f>
        <v>0.06</v>
      </c>
      <c r="AD190" s="6">
        <f t="array" ref="AD190">_xlfn.IFNA((INDEX('DMR 001C TIN &amp; TP'!$A$3:$M$10005,MATCH(('Reg 85'!$X$6&amp;'Reg 85'!$AB$10&amp;'Reg 85'!$B190),('DMR 001C TIN &amp; TP'!$E$3:$E$10005&amp;'DMR 001C TIN &amp; TP'!$B$3:$B$10005&amp;'DMR 001C TIN &amp; TP'!$A$3:$A$10005),0),MATCH('Reg 85'!$AD$11,'DMR 001C TIN &amp; TP'!$A$2:$M$2,0))),"")</f>
        <v>5.63</v>
      </c>
      <c r="AE190" s="53">
        <f t="shared" si="74"/>
        <v>5.63</v>
      </c>
      <c r="AF190" s="7">
        <f t="shared" si="75"/>
        <v>5.2410846903591288</v>
      </c>
      <c r="AG190" s="6" t="str">
        <f t="array" ref="AG190">_xlfn.IFNA((INDEX('DMR 001C TIN &amp; TP'!$A$3:$M$10005,MATCH(('Reg 85'!$X$6&amp;'Reg 85'!AG$10&amp;'Reg 85'!$B190),('DMR 001C TIN &amp; TP'!$E$3:$E$10005&amp;'DMR 001C TIN &amp; TP'!$B$3:$B$10005&amp;'DMR 001C TIN &amp; TP'!$A$3:$A$10005),0),MATCH('Reg 85'!$AG$11,'DMR 001C TIN &amp; TP'!$A$2:$M$2,0))),"")</f>
        <v/>
      </c>
      <c r="AH190" s="6" t="str">
        <f t="array" ref="AH190">_xlfn.IFNA((INDEX('DMR 001C TIN &amp; TP'!$A$3:$M$10005,MATCH(('Reg 85'!$X$6&amp;'Reg 85'!AH$10&amp;'Reg 85'!$B190),('DMR 001C TIN &amp; TP'!$E$3:$E$10005&amp;'DMR 001C TIN &amp; TP'!$B$3:$B$10005&amp;'DMR 001C TIN &amp; TP'!$A$3:$A$10005),0),MATCH('Reg 85'!$AG$11,'DMR 001C TIN &amp; TP'!$A$2:$M$2,0))),"")</f>
        <v/>
      </c>
      <c r="AI190" s="6" t="str">
        <f t="array" ref="AI190">_xlfn.IFNA((INDEX('DMR 001C TIN &amp; TP'!$A$3:$M$10005,MATCH(('Reg 85'!$X$6&amp;'Reg 85'!AI$10&amp;'Reg 85'!$B190),('DMR 001C TIN &amp; TP'!$E$3:$E$10005&amp;'DMR 001C TIN &amp; TP'!$B$3:$B$10005&amp;'DMR 001C TIN &amp; TP'!$A$3:$A$10005),0),MATCH('Reg 85'!$AG$11,'DMR 001C TIN &amp; TP'!$A$2:$M$2,0))),"")</f>
        <v/>
      </c>
      <c r="AJ190" s="6" t="str">
        <f t="array" ref="AJ190">_xlfn.IFNA((INDEX('DMR 001C TIN &amp; TP'!$A$3:$M$10005,MATCH(('Reg 85'!$X$6&amp;'Reg 85'!AJ$10&amp;'Reg 85'!$B190),('DMR 001C TIN &amp; TP'!$E$3:$E$10005&amp;'DMR 001C TIN &amp; TP'!$B$3:$B$10005&amp;'DMR 001C TIN &amp; TP'!$A$3:$A$10005),0),MATCH('Reg 85'!$AG$11,'DMR 001C TIN &amp; TP'!$A$2:$M$2,0))),"")</f>
        <v/>
      </c>
      <c r="AK190" s="6" t="str">
        <f t="array" ref="AK190">_xlfn.IFNA((INDEX('DMR 001C TIN &amp; TP'!$A$3:$M$10005,MATCH(('Reg 85'!$X$6&amp;'Reg 85'!AK$10&amp;'Reg 85'!$B190),('DMR 001C TIN &amp; TP'!$E$3:$E$10005&amp;'DMR 001C TIN &amp; TP'!$B$3:$B$10005&amp;'DMR 001C TIN &amp; TP'!$A$3:$A$10005),0),MATCH('Reg 85'!$AG$11,'DMR 001C TIN &amp; TP'!$A$2:$M$2,0))),"")</f>
        <v/>
      </c>
      <c r="AL190" s="6" t="str">
        <f t="array" ref="AL190">_xlfn.IFNA((INDEX('DMR 001C TIN &amp; TP'!$A$3:$M$10005,MATCH(('Reg 85'!$X$6&amp;'Reg 85'!AL$10&amp;'Reg 85'!$B190),('DMR 001C TIN &amp; TP'!$E$3:$E$10005&amp;'DMR 001C TIN &amp; TP'!$B$3:$B$10005&amp;'DMR 001C TIN &amp; TP'!$A$3:$A$10005),0),MATCH('Reg 85'!$AG$11,'DMR 001C TIN &amp; TP'!$A$2:$M$2,0))),"")</f>
        <v/>
      </c>
      <c r="AM190" s="76"/>
      <c r="AN190" s="6"/>
      <c r="AO190" s="54">
        <f t="shared" si="62"/>
        <v>5.9578643765595247</v>
      </c>
      <c r="AP190" s="77" t="str">
        <f t="shared" si="81"/>
        <v/>
      </c>
      <c r="AQ190" s="47"/>
      <c r="AR190" s="6" t="str">
        <f t="array" ref="AR190">_xlfn.IFNA((INDEX('DMR 001C TIN &amp; TP'!$A$3:$M$10005,MATCH(('Reg 85'!$AQ$6&amp;'Reg 85'!$AQ$10&amp;'Reg 85'!$B190),('DMR 001C TIN &amp; TP'!$E$3:$E$10005&amp;'DMR 001C TIN &amp; TP'!$B$3:$B$10005&amp;'DMR 001C TIN &amp; TP'!$A$3:$A$10005),0),MATCH('Reg 85'!$AR$11,'DMR 001C TIN &amp; TP'!$A$2:$M$2,0))),"")</f>
        <v/>
      </c>
      <c r="AS190" s="6" t="str">
        <f t="array" ref="AS190">_xlfn.IFNA((INDEX('DMR 001C TIN &amp; TP'!$A$3:$M$10005,MATCH(('Reg 85'!$AQ$6&amp;'Reg 85'!$AQ$10&amp;'Reg 85'!$B190),('DMR 001C TIN &amp; TP'!$E$3:$E$10005&amp;'DMR 001C TIN &amp; TP'!$B$3:$B$10005&amp;'DMR 001C TIN &amp; TP'!$A$3:$A$10005),0),MATCH('Reg 85'!$AS$11,'DMR 001C TIN &amp; TP'!$A$2:$M$2,0))),"")</f>
        <v/>
      </c>
      <c r="AT190" s="53" t="str">
        <f t="shared" si="76"/>
        <v/>
      </c>
      <c r="AV190" s="6" t="str">
        <f t="array" ref="AV190">_xlfn.IFNA((INDEX('DMR 001C TIN &amp; TP'!$A$3:$M$10005,MATCH(('Reg 85'!$AQ$6&amp;'Reg 85'!$AU$10&amp;'Reg 85'!$B190),('DMR 001C TIN &amp; TP'!$E$3:$E$10005&amp;'DMR 001C TIN &amp; TP'!$B$3:$B$10005&amp;'DMR 001C TIN &amp; TP'!$A$3:$A$10005),0),MATCH('Reg 85'!$AV$11,'DMR 001C TIN &amp; TP'!$A$2:$M$2,0))),"")</f>
        <v/>
      </c>
      <c r="AW190" s="6" t="str">
        <f t="array" ref="AW190">_xlfn.IFNA((INDEX('DMR 001C TIN &amp; TP'!$A$3:$M$10005,MATCH(('Reg 85'!$AQ$6&amp;'Reg 85'!$AU$10&amp;'Reg 85'!$B190),('DMR 001C TIN &amp; TP'!$E$3:$E$10005&amp;'DMR 001C TIN &amp; TP'!$B$3:$B$10005&amp;'DMR 001C TIN &amp; TP'!$A$3:$A$10005),0),MATCH('Reg 85'!$AW$11,'DMR 001C TIN &amp; TP'!$A$2:$M$2,0))),"")</f>
        <v/>
      </c>
      <c r="AX190" s="53" t="str">
        <f t="shared" si="77"/>
        <v/>
      </c>
      <c r="AY190" s="55" t="str">
        <f t="shared" si="78"/>
        <v/>
      </c>
      <c r="AZ190" s="77" t="str">
        <f t="shared" si="82"/>
        <v/>
      </c>
      <c r="BA190" s="6" t="str">
        <f t="array" ref="BA190">_xlfn.IFNA((INDEX('DMR 001C TIN &amp; TP'!$A$3:$M$10005,MATCH(('Reg 85'!$AQ$6&amp;'Reg 85'!BA$10&amp;'Reg 85'!$B190),('DMR 001C TIN &amp; TP'!$E$3:$E$10005&amp;'DMR 001C TIN &amp; TP'!$B$3:$B$10005&amp;'DMR 001C TIN &amp; TP'!$A$3:$A$10005),0),MATCH('Reg 85'!$AG$11,'DMR 001C TIN &amp; TP'!$A$2:$M$2,0))),"")</f>
        <v/>
      </c>
      <c r="BB190" s="6" t="str">
        <f t="array" ref="BB190">_xlfn.IFNA((INDEX('DMR 001C TIN &amp; TP'!$A$3:$M$10005,MATCH(('Reg 85'!$AQ$6&amp;'Reg 85'!BB$10&amp;'Reg 85'!$B190),('DMR 001C TIN &amp; TP'!$E$3:$E$10005&amp;'DMR 001C TIN &amp; TP'!$B$3:$B$10005&amp;'DMR 001C TIN &amp; TP'!$A$3:$A$10005),0),MATCH('Reg 85'!$AG$11,'DMR 001C TIN &amp; TP'!$A$2:$M$2,0))),"")</f>
        <v/>
      </c>
      <c r="BC190" s="6" t="str">
        <f t="array" ref="BC190">_xlfn.IFNA((INDEX('DMR 001C TIN &amp; TP'!$A$3:$M$10005,MATCH(('Reg 85'!$AQ$6&amp;'Reg 85'!BC$10&amp;'Reg 85'!$B190),('DMR 001C TIN &amp; TP'!$E$3:$E$10005&amp;'DMR 001C TIN &amp; TP'!$B$3:$B$10005&amp;'DMR 001C TIN &amp; TP'!$A$3:$A$10005),0),MATCH('Reg 85'!$AG$11,'DMR 001C TIN &amp; TP'!$A$2:$M$2,0))),"")</f>
        <v/>
      </c>
      <c r="BD190" s="6" t="str">
        <f t="array" ref="BD190">_xlfn.IFNA((INDEX('DMR 001C TIN &amp; TP'!$A$3:$M$10005,MATCH(('Reg 85'!$AQ$6&amp;'Reg 85'!BD$10&amp;'Reg 85'!$B190),('DMR 001C TIN &amp; TP'!$E$3:$E$10005&amp;'DMR 001C TIN &amp; TP'!$B$3:$B$10005&amp;'DMR 001C TIN &amp; TP'!$A$3:$A$10005),0),MATCH('Reg 85'!$AG$11,'DMR 001C TIN &amp; TP'!$A$2:$M$2,0))),"")</f>
        <v/>
      </c>
      <c r="BE190" s="6" t="str">
        <f t="array" ref="BE190">_xlfn.IFNA((INDEX('DMR 001C TIN &amp; TP'!$A$3:$M$10005,MATCH(('Reg 85'!$AQ$6&amp;'Reg 85'!BE$10&amp;'Reg 85'!$B190),('DMR 001C TIN &amp; TP'!$E$3:$E$10005&amp;'DMR 001C TIN &amp; TP'!$B$3:$B$10005&amp;'DMR 001C TIN &amp; TP'!$A$3:$A$10005),0),MATCH('Reg 85'!$AG$11,'DMR 001C TIN &amp; TP'!$A$2:$M$2,0))),"")</f>
        <v/>
      </c>
      <c r="BF190" s="6" t="str">
        <f t="array" ref="BF190">_xlfn.IFNA((INDEX('DMR 001C TIN &amp; TP'!$A$3:$M$10005,MATCH(('Reg 85'!$AQ$6&amp;'Reg 85'!BF$10&amp;'Reg 85'!$B190),('DMR 001C TIN &amp; TP'!$E$3:$E$10005&amp;'DMR 001C TIN &amp; TP'!$B$3:$B$10005&amp;'DMR 001C TIN &amp; TP'!$A$3:$A$10005),0),MATCH('Reg 85'!$AG$11,'DMR 001C TIN &amp; TP'!$A$2:$M$2,0))),"")</f>
        <v/>
      </c>
    </row>
    <row r="191" spans="1:58">
      <c r="A191" s="3" t="str">
        <f t="shared" si="63"/>
        <v>Wed</v>
      </c>
      <c r="B191" s="96">
        <f t="shared" si="79"/>
        <v>43523</v>
      </c>
      <c r="C191" s="96">
        <f t="shared" si="64"/>
        <v>43524</v>
      </c>
      <c r="D191" s="96">
        <f t="shared" si="65"/>
        <v>43497</v>
      </c>
      <c r="E191" s="95">
        <f t="shared" si="66"/>
        <v>28</v>
      </c>
      <c r="F191" s="7">
        <f t="array" ref="F191">_xlfn.IFNA(INDEX('DMR Flows-Effluent'!$A$3:$F$9999,MATCH(($F$10&amp;$B191),('DMR Flows-Effluent'!$B$3:$B$9999&amp;'DMR Flows-Effluent'!$A$3:$A$9999),0),MATCH($F$8,'DMR Flows-Effluent'!$A$2:$F$2,0)),"")</f>
        <v>58.541600000000003</v>
      </c>
      <c r="G191" s="7">
        <f t="array" ref="G191">_xlfn.IFNA(INDEX('DMR Flows-Effluent'!$A$3:$F$9999,MATCH(($G$10&amp;$B191),('DMR Flows-Effluent'!$B$3:$B$9999&amp;'DMR Flows-Effluent'!$A$3:$A$9999),0),MATCH($F$8,'DMR Flows-Effluent'!$A$2:$F$2,0)),"")</f>
        <v>61.067799999999998</v>
      </c>
      <c r="H191" s="7">
        <f t="shared" si="67"/>
        <v>119.60939999999999</v>
      </c>
      <c r="I191" s="45" t="str">
        <f t="shared" si="68"/>
        <v/>
      </c>
      <c r="J191" s="6" t="str">
        <f t="array" ref="J191">_xlfn.IFNA((INDEX('DMR 001C TIN &amp; TP'!$A$3:$M$10005,MATCH(('Reg 85'!$I$6:$Q$6&amp;'Reg 85'!$I$10:$K$10&amp;'Reg 85'!$B191),('DMR 001C TIN &amp; TP'!$E$3:$E$10005&amp;'DMR 001C TIN &amp; TP'!$B$3:$B$10005&amp;'DMR 001C TIN &amp; TP'!$A$3:$A$10005),0),MATCH('Reg 85'!$J$11,'DMR 001C TIN &amp; TP'!$A$2:$M$2,0))),"")</f>
        <v>0.15</v>
      </c>
      <c r="K191" s="6">
        <f t="array" ref="K191">_xlfn.IFNA((INDEX('DMR 001C TIN &amp; TP'!$A$3:$M$10005,MATCH(('Reg 85'!$I$6:$Q$6&amp;'Reg 85'!$I$10:$K$10&amp;'Reg 85'!$B191),('DMR 001C TIN &amp; TP'!$E$3:$E$10005&amp;'DMR 001C TIN &amp; TP'!$B$3:$B$10005&amp;'DMR 001C TIN &amp; TP'!$A$3:$A$10005),0),MATCH('Reg 85'!$K$11,'DMR 001C TIN &amp; TP'!$A$2:$M$2,0))),"")</f>
        <v>0.78</v>
      </c>
      <c r="L191" s="53">
        <f t="shared" si="80"/>
        <v>0.78</v>
      </c>
      <c r="M191" s="5" t="str">
        <f t="shared" si="69"/>
        <v/>
      </c>
      <c r="N191" s="6" t="str">
        <f t="array" ref="N191">_xlfn.IFNA((INDEX('DMR 001C TIN &amp; TP'!$A$3:$M$10005,MATCH(('Reg 85'!$I$6:$Q$6&amp;'Reg 85'!$M$10&amp;'Reg 85'!$B191),('DMR 001C TIN &amp; TP'!$E$3:$E$10005&amp;'DMR 001C TIN &amp; TP'!$B$3:$B$10005&amp;'DMR 001C TIN &amp; TP'!$A$3:$A$10005),0),MATCH('Reg 85'!$N$11,'DMR 001C TIN &amp; TP'!$A$2:$M$2,0))),"")</f>
        <v>0.15</v>
      </c>
      <c r="O191" s="6">
        <f t="array" ref="O191">_xlfn.IFNA((INDEX('DMR 001C TIN &amp; TP'!$A$3:$M$10005,MATCH(('Reg 85'!$I$6:$Q$6&amp;'Reg 85'!$M$10&amp;'Reg 85'!$B191),('DMR 001C TIN &amp; TP'!$E$3:$E$10005&amp;'DMR 001C TIN &amp; TP'!$B$3:$B$10005&amp;'DMR 001C TIN &amp; TP'!$A$3:$A$10005),0),MATCH('Reg 85'!$O$11,'DMR 001C TIN &amp; TP'!$A$2:$M$2,0))),"")</f>
        <v>0.91</v>
      </c>
      <c r="P191" s="53">
        <f t="shared" si="70"/>
        <v>0.91</v>
      </c>
      <c r="Q191" s="73">
        <f t="array" ref="Q191">IFERROR(((L191*$F191)+(P191*$G191))/($H191),"")</f>
        <v>0.84637282688484361</v>
      </c>
      <c r="R191" s="6" t="str">
        <f t="array" ref="R191">_xlfn.IFNA((INDEX('DMR 001C TIN &amp; TP'!$A$3:$M$10005,MATCH(('Reg 85'!$I$6:$Q$6&amp;'Reg 85'!R$10&amp;'Reg 85'!$B191),('DMR 001C TIN &amp; TP'!$E$3:$E$10005&amp;'DMR 001C TIN &amp; TP'!$B$3:$B$10005&amp;'DMR 001C TIN &amp; TP'!$A$3:$A$10005),0),MATCH('Reg 85'!$O$11,'DMR 001C TIN &amp; TP'!$A$2:$M$2,0))),"")</f>
        <v/>
      </c>
      <c r="S191" s="6" t="str">
        <f t="array" ref="S191">_xlfn.IFNA((INDEX('DMR 001C TIN &amp; TP'!$A$3:$M$10005,MATCH(('Reg 85'!$I$6:$Q$6&amp;'Reg 85'!S$10&amp;'Reg 85'!$B191),('DMR 001C TIN &amp; TP'!$E$3:$E$10005&amp;'DMR 001C TIN &amp; TP'!$B$3:$B$10005&amp;'DMR 001C TIN &amp; TP'!$A$3:$A$10005),0),MATCH('Reg 85'!$O$11,'DMR 001C TIN &amp; TP'!$A$2:$M$2,0))),"")</f>
        <v/>
      </c>
      <c r="T191" s="6" t="str">
        <f t="array" ref="T191">_xlfn.IFNA((INDEX('DMR 001C TIN &amp; TP'!$A$3:$M$10005,MATCH(('Reg 85'!$I$6:$Q$6&amp;'Reg 85'!T$10&amp;'Reg 85'!$B191),('DMR 001C TIN &amp; TP'!$E$3:$E$10005&amp;'DMR 001C TIN &amp; TP'!$B$3:$B$10005&amp;'DMR 001C TIN &amp; TP'!$A$3:$A$10005),0),MATCH('Reg 85'!$O$11,'DMR 001C TIN &amp; TP'!$A$2:$M$2,0))),"")</f>
        <v/>
      </c>
      <c r="U191" s="6" t="str">
        <f t="array" ref="U191">_xlfn.IFNA((INDEX('DMR 001C TIN &amp; TP'!$A$3:$M$10005,MATCH(('Reg 85'!$I$6:$Q$6&amp;'Reg 85'!U$10&amp;'Reg 85'!$B191),('DMR 001C TIN &amp; TP'!$E$3:$E$10005&amp;'DMR 001C TIN &amp; TP'!$B$3:$B$10005&amp;'DMR 001C TIN &amp; TP'!$A$3:$A$10005),0),MATCH('Reg 85'!$O$11,'DMR 001C TIN &amp; TP'!$A$2:$M$2,0))),"")</f>
        <v/>
      </c>
      <c r="V191" s="6" t="str">
        <f t="array" ref="V191">_xlfn.IFNA((INDEX('DMR 001C TIN &amp; TP'!$A$3:$M$10005,MATCH(('Reg 85'!$I$6:$Q$6&amp;'Reg 85'!V$10&amp;'Reg 85'!$B191),('DMR 001C TIN &amp; TP'!$E$3:$E$10005&amp;'DMR 001C TIN &amp; TP'!$B$3:$B$10005&amp;'DMR 001C TIN &amp; TP'!$A$3:$A$10005),0),MATCH('Reg 85'!$O$11,'DMR 001C TIN &amp; TP'!$A$2:$M$2,0))),"")</f>
        <v/>
      </c>
      <c r="W191" s="6" t="str">
        <f t="array" ref="W191">_xlfn.IFNA((INDEX('DMR 001C TIN &amp; TP'!$A$3:$M$10005,MATCH(('Reg 85'!$I$6:$Q$6&amp;'Reg 85'!W$10&amp;'Reg 85'!$B191),('DMR 001C TIN &amp; TP'!$E$3:$E$10005&amp;'DMR 001C TIN &amp; TP'!$B$3:$B$10005&amp;'DMR 001C TIN &amp; TP'!$A$3:$A$10005),0),MATCH('Reg 85'!$O$11,'DMR 001C TIN &amp; TP'!$A$2:$M$2,0))),"")</f>
        <v/>
      </c>
      <c r="X191" s="5" t="str">
        <f t="shared" si="71"/>
        <v/>
      </c>
      <c r="Y191" s="6" t="str">
        <f t="array" ref="Y191">_xlfn.IFNA((INDEX('DMR 001C TIN &amp; TP'!$A$3:$M$10005,MATCH(('Reg 85'!$X$6&amp;'Reg 85'!$X$10&amp;'Reg 85'!$B191),('DMR 001C TIN &amp; TP'!$E$3:$E$10005&amp;'DMR 001C TIN &amp; TP'!$B$3:$B$10005&amp;'DMR 001C TIN &amp; TP'!$A$3:$A$10005),0),MATCH('Reg 85'!$Y$11,'DMR 001C TIN &amp; TP'!$A$2:$M$2,0))),"")</f>
        <v>0.06</v>
      </c>
      <c r="Z191" s="6">
        <f t="array" ref="Z191">_xlfn.IFNA((INDEX('DMR 001C TIN &amp; TP'!$A$3:$M$10005,MATCH(('Reg 85'!$X$6&amp;'Reg 85'!$X$10&amp;'Reg 85'!$B191),('DMR 001C TIN &amp; TP'!$E$3:$E$10005&amp;'DMR 001C TIN &amp; TP'!$B$3:$B$10005&amp;'DMR 001C TIN &amp; TP'!$A$3:$A$10005),0),MATCH('Reg 85'!$Z$11,'DMR 001C TIN &amp; TP'!$A$2:$M$2,0))),"")</f>
        <v>4.5599999999999996</v>
      </c>
      <c r="AA191" s="53">
        <f t="shared" si="72"/>
        <v>4.5599999999999996</v>
      </c>
      <c r="AB191" s="5" t="str">
        <f t="shared" si="73"/>
        <v/>
      </c>
      <c r="AC191" s="6" t="str">
        <f t="array" ref="AC191">_xlfn.IFNA((INDEX('DMR 001C TIN &amp; TP'!$A$3:$M$10005,MATCH(('Reg 85'!$X$6&amp;'Reg 85'!$AB$10&amp;'Reg 85'!$B191),('DMR 001C TIN &amp; TP'!$E$3:$E$10005&amp;'DMR 001C TIN &amp; TP'!$B$3:$B$10005&amp;'DMR 001C TIN &amp; TP'!$A$3:$A$10005),0),MATCH('Reg 85'!$AC$11,'DMR 001C TIN &amp; TP'!$A$2:$M$2,0))),"")</f>
        <v>0.06</v>
      </c>
      <c r="AD191" s="6">
        <f t="array" ref="AD191">_xlfn.IFNA((INDEX('DMR 001C TIN &amp; TP'!$A$3:$M$10005,MATCH(('Reg 85'!$X$6&amp;'Reg 85'!$AB$10&amp;'Reg 85'!$B191),('DMR 001C TIN &amp; TP'!$E$3:$E$10005&amp;'DMR 001C TIN &amp; TP'!$B$3:$B$10005&amp;'DMR 001C TIN &amp; TP'!$A$3:$A$10005),0),MATCH('Reg 85'!$AD$11,'DMR 001C TIN &amp; TP'!$A$2:$M$2,0))),"")</f>
        <v>5.76</v>
      </c>
      <c r="AE191" s="53">
        <f t="shared" si="74"/>
        <v>5.76</v>
      </c>
      <c r="AF191" s="7">
        <f t="shared" si="75"/>
        <v>5.1726722481677863</v>
      </c>
      <c r="AG191" s="6" t="str">
        <f t="array" ref="AG191">_xlfn.IFNA((INDEX('DMR 001C TIN &amp; TP'!$A$3:$M$10005,MATCH(('Reg 85'!$X$6&amp;'Reg 85'!AG$10&amp;'Reg 85'!$B191),('DMR 001C TIN &amp; TP'!$E$3:$E$10005&amp;'DMR 001C TIN &amp; TP'!$B$3:$B$10005&amp;'DMR 001C TIN &amp; TP'!$A$3:$A$10005),0),MATCH('Reg 85'!$AG$11,'DMR 001C TIN &amp; TP'!$A$2:$M$2,0))),"")</f>
        <v/>
      </c>
      <c r="AH191" s="6" t="str">
        <f t="array" ref="AH191">_xlfn.IFNA((INDEX('DMR 001C TIN &amp; TP'!$A$3:$M$10005,MATCH(('Reg 85'!$X$6&amp;'Reg 85'!AH$10&amp;'Reg 85'!$B191),('DMR 001C TIN &amp; TP'!$E$3:$E$10005&amp;'DMR 001C TIN &amp; TP'!$B$3:$B$10005&amp;'DMR 001C TIN &amp; TP'!$A$3:$A$10005),0),MATCH('Reg 85'!$AG$11,'DMR 001C TIN &amp; TP'!$A$2:$M$2,0))),"")</f>
        <v/>
      </c>
      <c r="AI191" s="6" t="str">
        <f t="array" ref="AI191">_xlfn.IFNA((INDEX('DMR 001C TIN &amp; TP'!$A$3:$M$10005,MATCH(('Reg 85'!$X$6&amp;'Reg 85'!AI$10&amp;'Reg 85'!$B191),('DMR 001C TIN &amp; TP'!$E$3:$E$10005&amp;'DMR 001C TIN &amp; TP'!$B$3:$B$10005&amp;'DMR 001C TIN &amp; TP'!$A$3:$A$10005),0),MATCH('Reg 85'!$AG$11,'DMR 001C TIN &amp; TP'!$A$2:$M$2,0))),"")</f>
        <v/>
      </c>
      <c r="AJ191" s="6" t="str">
        <f t="array" ref="AJ191">_xlfn.IFNA((INDEX('DMR 001C TIN &amp; TP'!$A$3:$M$10005,MATCH(('Reg 85'!$X$6&amp;'Reg 85'!AJ$10&amp;'Reg 85'!$B191),('DMR 001C TIN &amp; TP'!$E$3:$E$10005&amp;'DMR 001C TIN &amp; TP'!$B$3:$B$10005&amp;'DMR 001C TIN &amp; TP'!$A$3:$A$10005),0),MATCH('Reg 85'!$AG$11,'DMR 001C TIN &amp; TP'!$A$2:$M$2,0))),"")</f>
        <v/>
      </c>
      <c r="AK191" s="6" t="str">
        <f t="array" ref="AK191">_xlfn.IFNA((INDEX('DMR 001C TIN &amp; TP'!$A$3:$M$10005,MATCH(('Reg 85'!$X$6&amp;'Reg 85'!AK$10&amp;'Reg 85'!$B191),('DMR 001C TIN &amp; TP'!$E$3:$E$10005&amp;'DMR 001C TIN &amp; TP'!$B$3:$B$10005&amp;'DMR 001C TIN &amp; TP'!$A$3:$A$10005),0),MATCH('Reg 85'!$AG$11,'DMR 001C TIN &amp; TP'!$A$2:$M$2,0))),"")</f>
        <v/>
      </c>
      <c r="AL191" s="6" t="str">
        <f t="array" ref="AL191">_xlfn.IFNA((INDEX('DMR 001C TIN &amp; TP'!$A$3:$M$10005,MATCH(('Reg 85'!$X$6&amp;'Reg 85'!AL$10&amp;'Reg 85'!$B191),('DMR 001C TIN &amp; TP'!$E$3:$E$10005&amp;'DMR 001C TIN &amp; TP'!$B$3:$B$10005&amp;'DMR 001C TIN &amp; TP'!$A$3:$A$10005),0),MATCH('Reg 85'!$AG$11,'DMR 001C TIN &amp; TP'!$A$2:$M$2,0))),"")</f>
        <v/>
      </c>
      <c r="AM191" s="76"/>
      <c r="AN191" s="6"/>
      <c r="AO191" s="54">
        <f t="shared" si="62"/>
        <v>6.0190450750526301</v>
      </c>
      <c r="AP191" s="77" t="str">
        <f t="shared" si="81"/>
        <v/>
      </c>
      <c r="AQ191" s="47"/>
      <c r="AR191" s="6" t="str">
        <f t="array" ref="AR191">_xlfn.IFNA((INDEX('DMR 001C TIN &amp; TP'!$A$3:$M$10005,MATCH(('Reg 85'!$AQ$6&amp;'Reg 85'!$AQ$10&amp;'Reg 85'!$B191),('DMR 001C TIN &amp; TP'!$E$3:$E$10005&amp;'DMR 001C TIN &amp; TP'!$B$3:$B$10005&amp;'DMR 001C TIN &amp; TP'!$A$3:$A$10005),0),MATCH('Reg 85'!$AR$11,'DMR 001C TIN &amp; TP'!$A$2:$M$2,0))),"")</f>
        <v/>
      </c>
      <c r="AS191" s="6" t="str">
        <f t="array" ref="AS191">_xlfn.IFNA((INDEX('DMR 001C TIN &amp; TP'!$A$3:$M$10005,MATCH(('Reg 85'!$AQ$6&amp;'Reg 85'!$AQ$10&amp;'Reg 85'!$B191),('DMR 001C TIN &amp; TP'!$E$3:$E$10005&amp;'DMR 001C TIN &amp; TP'!$B$3:$B$10005&amp;'DMR 001C TIN &amp; TP'!$A$3:$A$10005),0),MATCH('Reg 85'!$AS$11,'DMR 001C TIN &amp; TP'!$A$2:$M$2,0))),"")</f>
        <v/>
      </c>
      <c r="AT191" s="53" t="str">
        <f t="shared" si="76"/>
        <v/>
      </c>
      <c r="AV191" s="6" t="str">
        <f t="array" ref="AV191">_xlfn.IFNA((INDEX('DMR 001C TIN &amp; TP'!$A$3:$M$10005,MATCH(('Reg 85'!$AQ$6&amp;'Reg 85'!$AU$10&amp;'Reg 85'!$B191),('DMR 001C TIN &amp; TP'!$E$3:$E$10005&amp;'DMR 001C TIN &amp; TP'!$B$3:$B$10005&amp;'DMR 001C TIN &amp; TP'!$A$3:$A$10005),0),MATCH('Reg 85'!$AV$11,'DMR 001C TIN &amp; TP'!$A$2:$M$2,0))),"")</f>
        <v/>
      </c>
      <c r="AW191" s="6" t="str">
        <f t="array" ref="AW191">_xlfn.IFNA((INDEX('DMR 001C TIN &amp; TP'!$A$3:$M$10005,MATCH(('Reg 85'!$AQ$6&amp;'Reg 85'!$AU$10&amp;'Reg 85'!$B191),('DMR 001C TIN &amp; TP'!$E$3:$E$10005&amp;'DMR 001C TIN &amp; TP'!$B$3:$B$10005&amp;'DMR 001C TIN &amp; TP'!$A$3:$A$10005),0),MATCH('Reg 85'!$AW$11,'DMR 001C TIN &amp; TP'!$A$2:$M$2,0))),"")</f>
        <v/>
      </c>
      <c r="AX191" s="53" t="str">
        <f t="shared" si="77"/>
        <v/>
      </c>
      <c r="AY191" s="55" t="str">
        <f t="shared" si="78"/>
        <v/>
      </c>
      <c r="AZ191" s="77" t="str">
        <f t="shared" si="82"/>
        <v/>
      </c>
      <c r="BA191" s="6" t="str">
        <f t="array" ref="BA191">_xlfn.IFNA((INDEX('DMR 001C TIN &amp; TP'!$A$3:$M$10005,MATCH(('Reg 85'!$AQ$6&amp;'Reg 85'!BA$10&amp;'Reg 85'!$B191),('DMR 001C TIN &amp; TP'!$E$3:$E$10005&amp;'DMR 001C TIN &amp; TP'!$B$3:$B$10005&amp;'DMR 001C TIN &amp; TP'!$A$3:$A$10005),0),MATCH('Reg 85'!$AG$11,'DMR 001C TIN &amp; TP'!$A$2:$M$2,0))),"")</f>
        <v/>
      </c>
      <c r="BB191" s="6" t="str">
        <f t="array" ref="BB191">_xlfn.IFNA((INDEX('DMR 001C TIN &amp; TP'!$A$3:$M$10005,MATCH(('Reg 85'!$AQ$6&amp;'Reg 85'!BB$10&amp;'Reg 85'!$B191),('DMR 001C TIN &amp; TP'!$E$3:$E$10005&amp;'DMR 001C TIN &amp; TP'!$B$3:$B$10005&amp;'DMR 001C TIN &amp; TP'!$A$3:$A$10005),0),MATCH('Reg 85'!$AG$11,'DMR 001C TIN &amp; TP'!$A$2:$M$2,0))),"")</f>
        <v/>
      </c>
      <c r="BC191" s="6" t="str">
        <f t="array" ref="BC191">_xlfn.IFNA((INDEX('DMR 001C TIN &amp; TP'!$A$3:$M$10005,MATCH(('Reg 85'!$AQ$6&amp;'Reg 85'!BC$10&amp;'Reg 85'!$B191),('DMR 001C TIN &amp; TP'!$E$3:$E$10005&amp;'DMR 001C TIN &amp; TP'!$B$3:$B$10005&amp;'DMR 001C TIN &amp; TP'!$A$3:$A$10005),0),MATCH('Reg 85'!$AG$11,'DMR 001C TIN &amp; TP'!$A$2:$M$2,0))),"")</f>
        <v/>
      </c>
      <c r="BD191" s="6" t="str">
        <f t="array" ref="BD191">_xlfn.IFNA((INDEX('DMR 001C TIN &amp; TP'!$A$3:$M$10005,MATCH(('Reg 85'!$AQ$6&amp;'Reg 85'!BD$10&amp;'Reg 85'!$B191),('DMR 001C TIN &amp; TP'!$E$3:$E$10005&amp;'DMR 001C TIN &amp; TP'!$B$3:$B$10005&amp;'DMR 001C TIN &amp; TP'!$A$3:$A$10005),0),MATCH('Reg 85'!$AG$11,'DMR 001C TIN &amp; TP'!$A$2:$M$2,0))),"")</f>
        <v/>
      </c>
      <c r="BE191" s="6" t="str">
        <f t="array" ref="BE191">_xlfn.IFNA((INDEX('DMR 001C TIN &amp; TP'!$A$3:$M$10005,MATCH(('Reg 85'!$AQ$6&amp;'Reg 85'!BE$10&amp;'Reg 85'!$B191),('DMR 001C TIN &amp; TP'!$E$3:$E$10005&amp;'DMR 001C TIN &amp; TP'!$B$3:$B$10005&amp;'DMR 001C TIN &amp; TP'!$A$3:$A$10005),0),MATCH('Reg 85'!$AG$11,'DMR 001C TIN &amp; TP'!$A$2:$M$2,0))),"")</f>
        <v/>
      </c>
      <c r="BF191" s="6" t="str">
        <f t="array" ref="BF191">_xlfn.IFNA((INDEX('DMR 001C TIN &amp; TP'!$A$3:$M$10005,MATCH(('Reg 85'!$AQ$6&amp;'Reg 85'!BF$10&amp;'Reg 85'!$B191),('DMR 001C TIN &amp; TP'!$E$3:$E$10005&amp;'DMR 001C TIN &amp; TP'!$B$3:$B$10005&amp;'DMR 001C TIN &amp; TP'!$A$3:$A$10005),0),MATCH('Reg 85'!$AG$11,'DMR 001C TIN &amp; TP'!$A$2:$M$2,0))),"")</f>
        <v/>
      </c>
    </row>
    <row r="192" spans="1:58">
      <c r="A192" s="3" t="str">
        <f t="shared" si="63"/>
        <v>Thu</v>
      </c>
      <c r="B192" s="96">
        <f t="shared" si="79"/>
        <v>43524</v>
      </c>
      <c r="C192" s="96">
        <f t="shared" si="64"/>
        <v>43524</v>
      </c>
      <c r="D192" s="96">
        <f t="shared" si="65"/>
        <v>43497</v>
      </c>
      <c r="E192" s="95">
        <f t="shared" si="66"/>
        <v>28</v>
      </c>
      <c r="F192" s="7">
        <f t="array" ref="F192">_xlfn.IFNA(INDEX('DMR Flows-Effluent'!$A$3:$F$9999,MATCH(($F$10&amp;$B192),('DMR Flows-Effluent'!$B$3:$B$9999&amp;'DMR Flows-Effluent'!$A$3:$A$9999),0),MATCH($F$8,'DMR Flows-Effluent'!$A$2:$F$2,0)),"")</f>
        <v>63.612900000000003</v>
      </c>
      <c r="G192" s="7">
        <f t="array" ref="G192">_xlfn.IFNA(INDEX('DMR Flows-Effluent'!$A$3:$F$9999,MATCH(($G$10&amp;$B192),('DMR Flows-Effluent'!$B$3:$B$9999&amp;'DMR Flows-Effluent'!$A$3:$A$9999),0),MATCH($F$8,'DMR Flows-Effluent'!$A$2:$F$2,0)),"")</f>
        <v>61.418399999999998</v>
      </c>
      <c r="H192" s="7">
        <f t="shared" si="67"/>
        <v>125.0313</v>
      </c>
      <c r="I192" s="45" t="str">
        <f t="shared" si="68"/>
        <v/>
      </c>
      <c r="J192" s="6" t="str">
        <f t="array" ref="J192">_xlfn.IFNA((INDEX('DMR 001C TIN &amp; TP'!$A$3:$M$10005,MATCH(('Reg 85'!$I$6:$Q$6&amp;'Reg 85'!$I$10:$K$10&amp;'Reg 85'!$B192),('DMR 001C TIN &amp; TP'!$E$3:$E$10005&amp;'DMR 001C TIN &amp; TP'!$B$3:$B$10005&amp;'DMR 001C TIN &amp; TP'!$A$3:$A$10005),0),MATCH('Reg 85'!$J$11,'DMR 001C TIN &amp; TP'!$A$2:$M$2,0))),"")</f>
        <v>0.15</v>
      </c>
      <c r="K192" s="6">
        <f t="array" ref="K192">_xlfn.IFNA((INDEX('DMR 001C TIN &amp; TP'!$A$3:$M$10005,MATCH(('Reg 85'!$I$6:$Q$6&amp;'Reg 85'!$I$10:$K$10&amp;'Reg 85'!$B192),('DMR 001C TIN &amp; TP'!$E$3:$E$10005&amp;'DMR 001C TIN &amp; TP'!$B$3:$B$10005&amp;'DMR 001C TIN &amp; TP'!$A$3:$A$10005),0),MATCH('Reg 85'!$K$11,'DMR 001C TIN &amp; TP'!$A$2:$M$2,0))),"")</f>
        <v>0.53</v>
      </c>
      <c r="L192" s="53">
        <f t="shared" si="80"/>
        <v>0.53</v>
      </c>
      <c r="M192" s="5" t="str">
        <f t="shared" si="69"/>
        <v/>
      </c>
      <c r="N192" s="6" t="str">
        <f t="array" ref="N192">_xlfn.IFNA((INDEX('DMR 001C TIN &amp; TP'!$A$3:$M$10005,MATCH(('Reg 85'!$I$6:$Q$6&amp;'Reg 85'!$M$10&amp;'Reg 85'!$B192),('DMR 001C TIN &amp; TP'!$E$3:$E$10005&amp;'DMR 001C TIN &amp; TP'!$B$3:$B$10005&amp;'DMR 001C TIN &amp; TP'!$A$3:$A$10005),0),MATCH('Reg 85'!$N$11,'DMR 001C TIN &amp; TP'!$A$2:$M$2,0))),"")</f>
        <v>0.15</v>
      </c>
      <c r="O192" s="6">
        <f t="array" ref="O192">_xlfn.IFNA((INDEX('DMR 001C TIN &amp; TP'!$A$3:$M$10005,MATCH(('Reg 85'!$I$6:$Q$6&amp;'Reg 85'!$M$10&amp;'Reg 85'!$B192),('DMR 001C TIN &amp; TP'!$E$3:$E$10005&amp;'DMR 001C TIN &amp; TP'!$B$3:$B$10005&amp;'DMR 001C TIN &amp; TP'!$A$3:$A$10005),0),MATCH('Reg 85'!$O$11,'DMR 001C TIN &amp; TP'!$A$2:$M$2,0))),"")</f>
        <v>1.1100000000000001</v>
      </c>
      <c r="P192" s="53">
        <f t="shared" si="70"/>
        <v>1.1100000000000001</v>
      </c>
      <c r="Q192" s="73">
        <f t="array" ref="Q192">IFERROR(((L192*$F192)+(P192*$G192))/($H192),"")</f>
        <v>0.81491003452735433</v>
      </c>
      <c r="R192" s="6" t="str">
        <f t="array" ref="R192">_xlfn.IFNA((INDEX('DMR 001C TIN &amp; TP'!$A$3:$M$10005,MATCH(('Reg 85'!$I$6:$Q$6&amp;'Reg 85'!R$10&amp;'Reg 85'!$B192),('DMR 001C TIN &amp; TP'!$E$3:$E$10005&amp;'DMR 001C TIN &amp; TP'!$B$3:$B$10005&amp;'DMR 001C TIN &amp; TP'!$A$3:$A$10005),0),MATCH('Reg 85'!$O$11,'DMR 001C TIN &amp; TP'!$A$2:$M$2,0))),"")</f>
        <v/>
      </c>
      <c r="S192" s="6" t="str">
        <f t="array" ref="S192">_xlfn.IFNA((INDEX('DMR 001C TIN &amp; TP'!$A$3:$M$10005,MATCH(('Reg 85'!$I$6:$Q$6&amp;'Reg 85'!S$10&amp;'Reg 85'!$B192),('DMR 001C TIN &amp; TP'!$E$3:$E$10005&amp;'DMR 001C TIN &amp; TP'!$B$3:$B$10005&amp;'DMR 001C TIN &amp; TP'!$A$3:$A$10005),0),MATCH('Reg 85'!$O$11,'DMR 001C TIN &amp; TP'!$A$2:$M$2,0))),"")</f>
        <v/>
      </c>
      <c r="T192" s="6" t="str">
        <f t="array" ref="T192">_xlfn.IFNA((INDEX('DMR 001C TIN &amp; TP'!$A$3:$M$10005,MATCH(('Reg 85'!$I$6:$Q$6&amp;'Reg 85'!T$10&amp;'Reg 85'!$B192),('DMR 001C TIN &amp; TP'!$E$3:$E$10005&amp;'DMR 001C TIN &amp; TP'!$B$3:$B$10005&amp;'DMR 001C TIN &amp; TP'!$A$3:$A$10005),0),MATCH('Reg 85'!$O$11,'DMR 001C TIN &amp; TP'!$A$2:$M$2,0))),"")</f>
        <v/>
      </c>
      <c r="U192" s="6" t="str">
        <f t="array" ref="U192">_xlfn.IFNA((INDEX('DMR 001C TIN &amp; TP'!$A$3:$M$10005,MATCH(('Reg 85'!$I$6:$Q$6&amp;'Reg 85'!U$10&amp;'Reg 85'!$B192),('DMR 001C TIN &amp; TP'!$E$3:$E$10005&amp;'DMR 001C TIN &amp; TP'!$B$3:$B$10005&amp;'DMR 001C TIN &amp; TP'!$A$3:$A$10005),0),MATCH('Reg 85'!$O$11,'DMR 001C TIN &amp; TP'!$A$2:$M$2,0))),"")</f>
        <v/>
      </c>
      <c r="V192" s="6" t="str">
        <f t="array" ref="V192">_xlfn.IFNA((INDEX('DMR 001C TIN &amp; TP'!$A$3:$M$10005,MATCH(('Reg 85'!$I$6:$Q$6&amp;'Reg 85'!V$10&amp;'Reg 85'!$B192),('DMR 001C TIN &amp; TP'!$E$3:$E$10005&amp;'DMR 001C TIN &amp; TP'!$B$3:$B$10005&amp;'DMR 001C TIN &amp; TP'!$A$3:$A$10005),0),MATCH('Reg 85'!$O$11,'DMR 001C TIN &amp; TP'!$A$2:$M$2,0))),"")</f>
        <v/>
      </c>
      <c r="W192" s="6" t="str">
        <f t="array" ref="W192">_xlfn.IFNA((INDEX('DMR 001C TIN &amp; TP'!$A$3:$M$10005,MATCH(('Reg 85'!$I$6:$Q$6&amp;'Reg 85'!W$10&amp;'Reg 85'!$B192),('DMR 001C TIN &amp; TP'!$E$3:$E$10005&amp;'DMR 001C TIN &amp; TP'!$B$3:$B$10005&amp;'DMR 001C TIN &amp; TP'!$A$3:$A$10005),0),MATCH('Reg 85'!$O$11,'DMR 001C TIN &amp; TP'!$A$2:$M$2,0))),"")</f>
        <v/>
      </c>
      <c r="X192" s="5" t="str">
        <f t="shared" si="71"/>
        <v/>
      </c>
      <c r="Y192" s="6" t="str">
        <f t="array" ref="Y192">_xlfn.IFNA((INDEX('DMR 001C TIN &amp; TP'!$A$3:$M$10005,MATCH(('Reg 85'!$X$6&amp;'Reg 85'!$X$10&amp;'Reg 85'!$B192),('DMR 001C TIN &amp; TP'!$E$3:$E$10005&amp;'DMR 001C TIN &amp; TP'!$B$3:$B$10005&amp;'DMR 001C TIN &amp; TP'!$A$3:$A$10005),0),MATCH('Reg 85'!$Y$11,'DMR 001C TIN &amp; TP'!$A$2:$M$2,0))),"")</f>
        <v>0.06</v>
      </c>
      <c r="Z192" s="6">
        <f t="array" ref="Z192">_xlfn.IFNA((INDEX('DMR 001C TIN &amp; TP'!$A$3:$M$10005,MATCH(('Reg 85'!$X$6&amp;'Reg 85'!$X$10&amp;'Reg 85'!$B192),('DMR 001C TIN &amp; TP'!$E$3:$E$10005&amp;'DMR 001C TIN &amp; TP'!$B$3:$B$10005&amp;'DMR 001C TIN &amp; TP'!$A$3:$A$10005),0),MATCH('Reg 85'!$Z$11,'DMR 001C TIN &amp; TP'!$A$2:$M$2,0))),"")</f>
        <v>4.6399999999999997</v>
      </c>
      <c r="AA192" s="53">
        <f t="shared" si="72"/>
        <v>4.6399999999999997</v>
      </c>
      <c r="AB192" s="5" t="str">
        <f t="shared" si="73"/>
        <v/>
      </c>
      <c r="AC192" s="6" t="str">
        <f t="array" ref="AC192">_xlfn.IFNA((INDEX('DMR 001C TIN &amp; TP'!$A$3:$M$10005,MATCH(('Reg 85'!$X$6&amp;'Reg 85'!$AB$10&amp;'Reg 85'!$B192),('DMR 001C TIN &amp; TP'!$E$3:$E$10005&amp;'DMR 001C TIN &amp; TP'!$B$3:$B$10005&amp;'DMR 001C TIN &amp; TP'!$A$3:$A$10005),0),MATCH('Reg 85'!$AC$11,'DMR 001C TIN &amp; TP'!$A$2:$M$2,0))),"")</f>
        <v>0.06</v>
      </c>
      <c r="AD192" s="6">
        <f t="array" ref="AD192">_xlfn.IFNA((INDEX('DMR 001C TIN &amp; TP'!$A$3:$M$10005,MATCH(('Reg 85'!$X$6&amp;'Reg 85'!$AB$10&amp;'Reg 85'!$B192),('DMR 001C TIN &amp; TP'!$E$3:$E$10005&amp;'DMR 001C TIN &amp; TP'!$B$3:$B$10005&amp;'DMR 001C TIN &amp; TP'!$A$3:$A$10005),0),MATCH('Reg 85'!$AD$11,'DMR 001C TIN &amp; TP'!$A$2:$M$2,0))),"")</f>
        <v>6.67</v>
      </c>
      <c r="AE192" s="53">
        <f t="shared" si="74"/>
        <v>6.67</v>
      </c>
      <c r="AF192" s="7">
        <f t="shared" si="75"/>
        <v>5.6371851208457402</v>
      </c>
      <c r="AG192" s="6" t="str">
        <f t="array" ref="AG192">_xlfn.IFNA((INDEX('DMR 001C TIN &amp; TP'!$A$3:$M$10005,MATCH(('Reg 85'!$X$6&amp;'Reg 85'!AG$10&amp;'Reg 85'!$B192),('DMR 001C TIN &amp; TP'!$E$3:$E$10005&amp;'DMR 001C TIN &amp; TP'!$B$3:$B$10005&amp;'DMR 001C TIN &amp; TP'!$A$3:$A$10005),0),MATCH('Reg 85'!$AG$11,'DMR 001C TIN &amp; TP'!$A$2:$M$2,0))),"")</f>
        <v/>
      </c>
      <c r="AH192" s="6" t="str">
        <f t="array" ref="AH192">_xlfn.IFNA((INDEX('DMR 001C TIN &amp; TP'!$A$3:$M$10005,MATCH(('Reg 85'!$X$6&amp;'Reg 85'!AH$10&amp;'Reg 85'!$B192),('DMR 001C TIN &amp; TP'!$E$3:$E$10005&amp;'DMR 001C TIN &amp; TP'!$B$3:$B$10005&amp;'DMR 001C TIN &amp; TP'!$A$3:$A$10005),0),MATCH('Reg 85'!$AG$11,'DMR 001C TIN &amp; TP'!$A$2:$M$2,0))),"")</f>
        <v/>
      </c>
      <c r="AI192" s="6" t="str">
        <f t="array" ref="AI192">_xlfn.IFNA((INDEX('DMR 001C TIN &amp; TP'!$A$3:$M$10005,MATCH(('Reg 85'!$X$6&amp;'Reg 85'!AI$10&amp;'Reg 85'!$B192),('DMR 001C TIN &amp; TP'!$E$3:$E$10005&amp;'DMR 001C TIN &amp; TP'!$B$3:$B$10005&amp;'DMR 001C TIN &amp; TP'!$A$3:$A$10005),0),MATCH('Reg 85'!$AG$11,'DMR 001C TIN &amp; TP'!$A$2:$M$2,0))),"")</f>
        <v/>
      </c>
      <c r="AJ192" s="6" t="str">
        <f t="array" ref="AJ192">_xlfn.IFNA((INDEX('DMR 001C TIN &amp; TP'!$A$3:$M$10005,MATCH(('Reg 85'!$X$6&amp;'Reg 85'!AJ$10&amp;'Reg 85'!$B192),('DMR 001C TIN &amp; TP'!$E$3:$E$10005&amp;'DMR 001C TIN &amp; TP'!$B$3:$B$10005&amp;'DMR 001C TIN &amp; TP'!$A$3:$A$10005),0),MATCH('Reg 85'!$AG$11,'DMR 001C TIN &amp; TP'!$A$2:$M$2,0))),"")</f>
        <v/>
      </c>
      <c r="AK192" s="6" t="str">
        <f t="array" ref="AK192">_xlfn.IFNA((INDEX('DMR 001C TIN &amp; TP'!$A$3:$M$10005,MATCH(('Reg 85'!$X$6&amp;'Reg 85'!AK$10&amp;'Reg 85'!$B192),('DMR 001C TIN &amp; TP'!$E$3:$E$10005&amp;'DMR 001C TIN &amp; TP'!$B$3:$B$10005&amp;'DMR 001C TIN &amp; TP'!$A$3:$A$10005),0),MATCH('Reg 85'!$AG$11,'DMR 001C TIN &amp; TP'!$A$2:$M$2,0))),"")</f>
        <v/>
      </c>
      <c r="AL192" s="6" t="str">
        <f t="array" ref="AL192">_xlfn.IFNA((INDEX('DMR 001C TIN &amp; TP'!$A$3:$M$10005,MATCH(('Reg 85'!$X$6&amp;'Reg 85'!AL$10&amp;'Reg 85'!$B192),('DMR 001C TIN &amp; TP'!$E$3:$E$10005&amp;'DMR 001C TIN &amp; TP'!$B$3:$B$10005&amp;'DMR 001C TIN &amp; TP'!$A$3:$A$10005),0),MATCH('Reg 85'!$AG$11,'DMR 001C TIN &amp; TP'!$A$2:$M$2,0))),"")</f>
        <v/>
      </c>
      <c r="AM192" s="76"/>
      <c r="AN192" s="6"/>
      <c r="AO192" s="54">
        <f t="shared" si="62"/>
        <v>6.4520951553730947</v>
      </c>
      <c r="AP192" s="77">
        <f>COUNT(AO165:AO192)</f>
        <v>12</v>
      </c>
      <c r="AQ192" s="47"/>
      <c r="AR192" s="6" t="str">
        <f t="array" ref="AR192">_xlfn.IFNA((INDEX('DMR 001C TIN &amp; TP'!$A$3:$M$10005,MATCH(('Reg 85'!$AQ$6&amp;'Reg 85'!$AQ$10&amp;'Reg 85'!$B192),('DMR 001C TIN &amp; TP'!$E$3:$E$10005&amp;'DMR 001C TIN &amp; TP'!$B$3:$B$10005&amp;'DMR 001C TIN &amp; TP'!$A$3:$A$10005),0),MATCH('Reg 85'!$AR$11,'DMR 001C TIN &amp; TP'!$A$2:$M$2,0))),"")</f>
        <v/>
      </c>
      <c r="AS192" s="6" t="str">
        <f t="array" ref="AS192">_xlfn.IFNA((INDEX('DMR 001C TIN &amp; TP'!$A$3:$M$10005,MATCH(('Reg 85'!$AQ$6&amp;'Reg 85'!$AQ$10&amp;'Reg 85'!$B192),('DMR 001C TIN &amp; TP'!$E$3:$E$10005&amp;'DMR 001C TIN &amp; TP'!$B$3:$B$10005&amp;'DMR 001C TIN &amp; TP'!$A$3:$A$10005),0),MATCH('Reg 85'!$AS$11,'DMR 001C TIN &amp; TP'!$A$2:$M$2,0))),"")</f>
        <v/>
      </c>
      <c r="AT192" s="53" t="str">
        <f t="shared" si="76"/>
        <v/>
      </c>
      <c r="AV192" s="6" t="str">
        <f t="array" ref="AV192">_xlfn.IFNA((INDEX('DMR 001C TIN &amp; TP'!$A$3:$M$10005,MATCH(('Reg 85'!$AQ$6&amp;'Reg 85'!$AU$10&amp;'Reg 85'!$B192),('DMR 001C TIN &amp; TP'!$E$3:$E$10005&amp;'DMR 001C TIN &amp; TP'!$B$3:$B$10005&amp;'DMR 001C TIN &amp; TP'!$A$3:$A$10005),0),MATCH('Reg 85'!$AV$11,'DMR 001C TIN &amp; TP'!$A$2:$M$2,0))),"")</f>
        <v/>
      </c>
      <c r="AW192" s="6" t="str">
        <f t="array" ref="AW192">_xlfn.IFNA((INDEX('DMR 001C TIN &amp; TP'!$A$3:$M$10005,MATCH(('Reg 85'!$AQ$6&amp;'Reg 85'!$AU$10&amp;'Reg 85'!$B192),('DMR 001C TIN &amp; TP'!$E$3:$E$10005&amp;'DMR 001C TIN &amp; TP'!$B$3:$B$10005&amp;'DMR 001C TIN &amp; TP'!$A$3:$A$10005),0),MATCH('Reg 85'!$AW$11,'DMR 001C TIN &amp; TP'!$A$2:$M$2,0))),"")</f>
        <v/>
      </c>
      <c r="AX192" s="53" t="str">
        <f t="shared" si="77"/>
        <v/>
      </c>
      <c r="AY192" s="55" t="str">
        <f t="shared" si="78"/>
        <v/>
      </c>
      <c r="AZ192" s="77">
        <f>COUNT(AY165:AY192)</f>
        <v>8</v>
      </c>
      <c r="BA192" s="6" t="str">
        <f t="array" ref="BA192">_xlfn.IFNA((INDEX('DMR 001C TIN &amp; TP'!$A$3:$M$10005,MATCH(('Reg 85'!$AQ$6&amp;'Reg 85'!BA$10&amp;'Reg 85'!$B192),('DMR 001C TIN &amp; TP'!$E$3:$E$10005&amp;'DMR 001C TIN &amp; TP'!$B$3:$B$10005&amp;'DMR 001C TIN &amp; TP'!$A$3:$A$10005),0),MATCH('Reg 85'!$AG$11,'DMR 001C TIN &amp; TP'!$A$2:$M$2,0))),"")</f>
        <v/>
      </c>
      <c r="BB192" s="6" t="str">
        <f t="array" ref="BB192">_xlfn.IFNA((INDEX('DMR 001C TIN &amp; TP'!$A$3:$M$10005,MATCH(('Reg 85'!$AQ$6&amp;'Reg 85'!BB$10&amp;'Reg 85'!$B192),('DMR 001C TIN &amp; TP'!$E$3:$E$10005&amp;'DMR 001C TIN &amp; TP'!$B$3:$B$10005&amp;'DMR 001C TIN &amp; TP'!$A$3:$A$10005),0),MATCH('Reg 85'!$AG$11,'DMR 001C TIN &amp; TP'!$A$2:$M$2,0))),"")</f>
        <v/>
      </c>
      <c r="BC192" s="6" t="str">
        <f t="array" ref="BC192">_xlfn.IFNA((INDEX('DMR 001C TIN &amp; TP'!$A$3:$M$10005,MATCH(('Reg 85'!$AQ$6&amp;'Reg 85'!BC$10&amp;'Reg 85'!$B192),('DMR 001C TIN &amp; TP'!$E$3:$E$10005&amp;'DMR 001C TIN &amp; TP'!$B$3:$B$10005&amp;'DMR 001C TIN &amp; TP'!$A$3:$A$10005),0),MATCH('Reg 85'!$AG$11,'DMR 001C TIN &amp; TP'!$A$2:$M$2,0))),"")</f>
        <v/>
      </c>
      <c r="BD192" s="6" t="str">
        <f t="array" ref="BD192">_xlfn.IFNA((INDEX('DMR 001C TIN &amp; TP'!$A$3:$M$10005,MATCH(('Reg 85'!$AQ$6&amp;'Reg 85'!BD$10&amp;'Reg 85'!$B192),('DMR 001C TIN &amp; TP'!$E$3:$E$10005&amp;'DMR 001C TIN &amp; TP'!$B$3:$B$10005&amp;'DMR 001C TIN &amp; TP'!$A$3:$A$10005),0),MATCH('Reg 85'!$AG$11,'DMR 001C TIN &amp; TP'!$A$2:$M$2,0))),"")</f>
        <v/>
      </c>
      <c r="BE192" s="6" t="str">
        <f t="array" ref="BE192">_xlfn.IFNA((INDEX('DMR 001C TIN &amp; TP'!$A$3:$M$10005,MATCH(('Reg 85'!$AQ$6&amp;'Reg 85'!BE$10&amp;'Reg 85'!$B192),('DMR 001C TIN &amp; TP'!$E$3:$E$10005&amp;'DMR 001C TIN &amp; TP'!$B$3:$B$10005&amp;'DMR 001C TIN &amp; TP'!$A$3:$A$10005),0),MATCH('Reg 85'!$AG$11,'DMR 001C TIN &amp; TP'!$A$2:$M$2,0))),"")</f>
        <v/>
      </c>
      <c r="BF192" s="6" t="str">
        <f t="array" ref="BF192">_xlfn.IFNA((INDEX('DMR 001C TIN &amp; TP'!$A$3:$M$10005,MATCH(('Reg 85'!$AQ$6&amp;'Reg 85'!BF$10&amp;'Reg 85'!$B192),('DMR 001C TIN &amp; TP'!$E$3:$E$10005&amp;'DMR 001C TIN &amp; TP'!$B$3:$B$10005&amp;'DMR 001C TIN &amp; TP'!$A$3:$A$10005),0),MATCH('Reg 85'!$AG$11,'DMR 001C TIN &amp; TP'!$A$2:$M$2,0))),"")</f>
        <v/>
      </c>
    </row>
    <row r="193" spans="1:58">
      <c r="A193" s="3" t="str">
        <f t="shared" si="63"/>
        <v>Fri</v>
      </c>
      <c r="B193" s="96">
        <f t="shared" si="79"/>
        <v>43525</v>
      </c>
      <c r="C193" s="96">
        <f t="shared" si="64"/>
        <v>43555</v>
      </c>
      <c r="D193" s="96">
        <f t="shared" si="65"/>
        <v>43525</v>
      </c>
      <c r="E193" s="95">
        <f t="shared" si="66"/>
        <v>31</v>
      </c>
      <c r="F193" s="7">
        <f t="array" ref="F193">_xlfn.IFNA(INDEX('DMR Flows-Effluent'!$A$3:$F$9999,MATCH(($F$10&amp;$B193),('DMR Flows-Effluent'!$B$3:$B$9999&amp;'DMR Flows-Effluent'!$A$3:$A$9999),0),MATCH($F$8,'DMR Flows-Effluent'!$A$2:$F$2,0)),"")</f>
        <v>55.980400000000003</v>
      </c>
      <c r="G193" s="7">
        <f t="array" ref="G193">_xlfn.IFNA(INDEX('DMR Flows-Effluent'!$A$3:$F$9999,MATCH(($G$10&amp;$B193),('DMR Flows-Effluent'!$B$3:$B$9999&amp;'DMR Flows-Effluent'!$A$3:$A$9999),0),MATCH($F$8,'DMR Flows-Effluent'!$A$2:$F$2,0)),"")</f>
        <v>59.497199999999999</v>
      </c>
      <c r="H193" s="7">
        <f t="shared" si="67"/>
        <v>115.4776</v>
      </c>
      <c r="I193" s="45" t="str">
        <f t="shared" si="68"/>
        <v/>
      </c>
      <c r="J193" s="6" t="str">
        <f t="array" ref="J193">_xlfn.IFNA((INDEX('DMR 001C TIN &amp; TP'!$A$3:$M$10005,MATCH(('Reg 85'!$I$6:$Q$6&amp;'Reg 85'!$I$10:$K$10&amp;'Reg 85'!$B193),('DMR 001C TIN &amp; TP'!$E$3:$E$10005&amp;'DMR 001C TIN &amp; TP'!$B$3:$B$10005&amp;'DMR 001C TIN &amp; TP'!$A$3:$A$10005),0),MATCH('Reg 85'!$J$11,'DMR 001C TIN &amp; TP'!$A$2:$M$2,0))),"")</f>
        <v/>
      </c>
      <c r="K193" s="6" t="str">
        <f t="array" ref="K193">_xlfn.IFNA((INDEX('DMR 001C TIN &amp; TP'!$A$3:$M$10005,MATCH(('Reg 85'!$I$6:$Q$6&amp;'Reg 85'!$I$10:$K$10&amp;'Reg 85'!$B193),('DMR 001C TIN &amp; TP'!$E$3:$E$10005&amp;'DMR 001C TIN &amp; TP'!$B$3:$B$10005&amp;'DMR 001C TIN &amp; TP'!$A$3:$A$10005),0),MATCH('Reg 85'!$K$11,'DMR 001C TIN &amp; TP'!$A$2:$M$2,0))),"")</f>
        <v/>
      </c>
      <c r="L193" s="53" t="str">
        <f t="shared" si="80"/>
        <v/>
      </c>
      <c r="M193" s="5" t="str">
        <f t="shared" si="69"/>
        <v/>
      </c>
      <c r="N193" s="6" t="str">
        <f t="array" ref="N193">_xlfn.IFNA((INDEX('DMR 001C TIN &amp; TP'!$A$3:$M$10005,MATCH(('Reg 85'!$I$6:$Q$6&amp;'Reg 85'!$M$10&amp;'Reg 85'!$B193),('DMR 001C TIN &amp; TP'!$E$3:$E$10005&amp;'DMR 001C TIN &amp; TP'!$B$3:$B$10005&amp;'DMR 001C TIN &amp; TP'!$A$3:$A$10005),0),MATCH('Reg 85'!$N$11,'DMR 001C TIN &amp; TP'!$A$2:$M$2,0))),"")</f>
        <v/>
      </c>
      <c r="O193" s="6" t="str">
        <f t="array" ref="O193">_xlfn.IFNA((INDEX('DMR 001C TIN &amp; TP'!$A$3:$M$10005,MATCH(('Reg 85'!$I$6:$Q$6&amp;'Reg 85'!$M$10&amp;'Reg 85'!$B193),('DMR 001C TIN &amp; TP'!$E$3:$E$10005&amp;'DMR 001C TIN &amp; TP'!$B$3:$B$10005&amp;'DMR 001C TIN &amp; TP'!$A$3:$A$10005),0),MATCH('Reg 85'!$O$11,'DMR 001C TIN &amp; TP'!$A$2:$M$2,0))),"")</f>
        <v/>
      </c>
      <c r="P193" s="53" t="str">
        <f t="shared" si="70"/>
        <v/>
      </c>
      <c r="Q193" s="73" t="str">
        <f t="array" ref="Q193">IFERROR(((L193*$F193)+(P193*$G193))/($H193),"")</f>
        <v/>
      </c>
      <c r="R193" s="6" t="str">
        <f t="array" ref="R193">_xlfn.IFNA((INDEX('DMR 001C TIN &amp; TP'!$A$3:$M$10005,MATCH(('Reg 85'!$I$6:$Q$6&amp;'Reg 85'!R$10&amp;'Reg 85'!$B193),('DMR 001C TIN &amp; TP'!$E$3:$E$10005&amp;'DMR 001C TIN &amp; TP'!$B$3:$B$10005&amp;'DMR 001C TIN &amp; TP'!$A$3:$A$10005),0),MATCH('Reg 85'!$O$11,'DMR 001C TIN &amp; TP'!$A$2:$M$2,0))),"")</f>
        <v/>
      </c>
      <c r="S193" s="6" t="str">
        <f t="array" ref="S193">_xlfn.IFNA((INDEX('DMR 001C TIN &amp; TP'!$A$3:$M$10005,MATCH(('Reg 85'!$I$6:$Q$6&amp;'Reg 85'!S$10&amp;'Reg 85'!$B193),('DMR 001C TIN &amp; TP'!$E$3:$E$10005&amp;'DMR 001C TIN &amp; TP'!$B$3:$B$10005&amp;'DMR 001C TIN &amp; TP'!$A$3:$A$10005),0),MATCH('Reg 85'!$O$11,'DMR 001C TIN &amp; TP'!$A$2:$M$2,0))),"")</f>
        <v/>
      </c>
      <c r="T193" s="6" t="str">
        <f t="array" ref="T193">_xlfn.IFNA((INDEX('DMR 001C TIN &amp; TP'!$A$3:$M$10005,MATCH(('Reg 85'!$I$6:$Q$6&amp;'Reg 85'!T$10&amp;'Reg 85'!$B193),('DMR 001C TIN &amp; TP'!$E$3:$E$10005&amp;'DMR 001C TIN &amp; TP'!$B$3:$B$10005&amp;'DMR 001C TIN &amp; TP'!$A$3:$A$10005),0),MATCH('Reg 85'!$O$11,'DMR 001C TIN &amp; TP'!$A$2:$M$2,0))),"")</f>
        <v/>
      </c>
      <c r="U193" s="6" t="str">
        <f t="array" ref="U193">_xlfn.IFNA((INDEX('DMR 001C TIN &amp; TP'!$A$3:$M$10005,MATCH(('Reg 85'!$I$6:$Q$6&amp;'Reg 85'!U$10&amp;'Reg 85'!$B193),('DMR 001C TIN &amp; TP'!$E$3:$E$10005&amp;'DMR 001C TIN &amp; TP'!$B$3:$B$10005&amp;'DMR 001C TIN &amp; TP'!$A$3:$A$10005),0),MATCH('Reg 85'!$O$11,'DMR 001C TIN &amp; TP'!$A$2:$M$2,0))),"")</f>
        <v/>
      </c>
      <c r="V193" s="6" t="str">
        <f t="array" ref="V193">_xlfn.IFNA((INDEX('DMR 001C TIN &amp; TP'!$A$3:$M$10005,MATCH(('Reg 85'!$I$6:$Q$6&amp;'Reg 85'!V$10&amp;'Reg 85'!$B193),('DMR 001C TIN &amp; TP'!$E$3:$E$10005&amp;'DMR 001C TIN &amp; TP'!$B$3:$B$10005&amp;'DMR 001C TIN &amp; TP'!$A$3:$A$10005),0),MATCH('Reg 85'!$O$11,'DMR 001C TIN &amp; TP'!$A$2:$M$2,0))),"")</f>
        <v/>
      </c>
      <c r="W193" s="6" t="str">
        <f t="array" ref="W193">_xlfn.IFNA((INDEX('DMR 001C TIN &amp; TP'!$A$3:$M$10005,MATCH(('Reg 85'!$I$6:$Q$6&amp;'Reg 85'!W$10&amp;'Reg 85'!$B193),('DMR 001C TIN &amp; TP'!$E$3:$E$10005&amp;'DMR 001C TIN &amp; TP'!$B$3:$B$10005&amp;'DMR 001C TIN &amp; TP'!$A$3:$A$10005),0),MATCH('Reg 85'!$O$11,'DMR 001C TIN &amp; TP'!$A$2:$M$2,0))),"")</f>
        <v/>
      </c>
      <c r="X193" s="5" t="str">
        <f t="shared" si="71"/>
        <v/>
      </c>
      <c r="Y193" s="6" t="str">
        <f t="array" ref="Y193">_xlfn.IFNA((INDEX('DMR 001C TIN &amp; TP'!$A$3:$M$10005,MATCH(('Reg 85'!$X$6&amp;'Reg 85'!$X$10&amp;'Reg 85'!$B193),('DMR 001C TIN &amp; TP'!$E$3:$E$10005&amp;'DMR 001C TIN &amp; TP'!$B$3:$B$10005&amp;'DMR 001C TIN &amp; TP'!$A$3:$A$10005),0),MATCH('Reg 85'!$Y$11,'DMR 001C TIN &amp; TP'!$A$2:$M$2,0))),"")</f>
        <v/>
      </c>
      <c r="Z193" s="6" t="str">
        <f t="array" ref="Z193">_xlfn.IFNA((INDEX('DMR 001C TIN &amp; TP'!$A$3:$M$10005,MATCH(('Reg 85'!$X$6&amp;'Reg 85'!$X$10&amp;'Reg 85'!$B193),('DMR 001C TIN &amp; TP'!$E$3:$E$10005&amp;'DMR 001C TIN &amp; TP'!$B$3:$B$10005&amp;'DMR 001C TIN &amp; TP'!$A$3:$A$10005),0),MATCH('Reg 85'!$Z$11,'DMR 001C TIN &amp; TP'!$A$2:$M$2,0))),"")</f>
        <v/>
      </c>
      <c r="AA193" s="53" t="str">
        <f t="shared" si="72"/>
        <v/>
      </c>
      <c r="AB193" s="5" t="str">
        <f t="shared" si="73"/>
        <v/>
      </c>
      <c r="AC193" s="6" t="str">
        <f t="array" ref="AC193">_xlfn.IFNA((INDEX('DMR 001C TIN &amp; TP'!$A$3:$M$10005,MATCH(('Reg 85'!$X$6&amp;'Reg 85'!$AB$10&amp;'Reg 85'!$B193),('DMR 001C TIN &amp; TP'!$E$3:$E$10005&amp;'DMR 001C TIN &amp; TP'!$B$3:$B$10005&amp;'DMR 001C TIN &amp; TP'!$A$3:$A$10005),0),MATCH('Reg 85'!$AC$11,'DMR 001C TIN &amp; TP'!$A$2:$M$2,0))),"")</f>
        <v/>
      </c>
      <c r="AD193" s="6" t="str">
        <f t="array" ref="AD193">_xlfn.IFNA((INDEX('DMR 001C TIN &amp; TP'!$A$3:$M$10005,MATCH(('Reg 85'!$X$6&amp;'Reg 85'!$AB$10&amp;'Reg 85'!$B193),('DMR 001C TIN &amp; TP'!$E$3:$E$10005&amp;'DMR 001C TIN &amp; TP'!$B$3:$B$10005&amp;'DMR 001C TIN &amp; TP'!$A$3:$A$10005),0),MATCH('Reg 85'!$AD$11,'DMR 001C TIN &amp; TP'!$A$2:$M$2,0))),"")</f>
        <v/>
      </c>
      <c r="AE193" s="53" t="str">
        <f t="shared" si="74"/>
        <v/>
      </c>
      <c r="AF193" s="7" t="str">
        <f t="shared" si="75"/>
        <v/>
      </c>
      <c r="AG193" s="6" t="str">
        <f t="array" ref="AG193">_xlfn.IFNA((INDEX('DMR 001C TIN &amp; TP'!$A$3:$M$10005,MATCH(('Reg 85'!$X$6&amp;'Reg 85'!AG$10&amp;'Reg 85'!$B193),('DMR 001C TIN &amp; TP'!$E$3:$E$10005&amp;'DMR 001C TIN &amp; TP'!$B$3:$B$10005&amp;'DMR 001C TIN &amp; TP'!$A$3:$A$10005),0),MATCH('Reg 85'!$AG$11,'DMR 001C TIN &amp; TP'!$A$2:$M$2,0))),"")</f>
        <v/>
      </c>
      <c r="AH193" s="6" t="str">
        <f t="array" ref="AH193">_xlfn.IFNA((INDEX('DMR 001C TIN &amp; TP'!$A$3:$M$10005,MATCH(('Reg 85'!$X$6&amp;'Reg 85'!AH$10&amp;'Reg 85'!$B193),('DMR 001C TIN &amp; TP'!$E$3:$E$10005&amp;'DMR 001C TIN &amp; TP'!$B$3:$B$10005&amp;'DMR 001C TIN &amp; TP'!$A$3:$A$10005),0),MATCH('Reg 85'!$AG$11,'DMR 001C TIN &amp; TP'!$A$2:$M$2,0))),"")</f>
        <v/>
      </c>
      <c r="AI193" s="6" t="str">
        <f t="array" ref="AI193">_xlfn.IFNA((INDEX('DMR 001C TIN &amp; TP'!$A$3:$M$10005,MATCH(('Reg 85'!$X$6&amp;'Reg 85'!AI$10&amp;'Reg 85'!$B193),('DMR 001C TIN &amp; TP'!$E$3:$E$10005&amp;'DMR 001C TIN &amp; TP'!$B$3:$B$10005&amp;'DMR 001C TIN &amp; TP'!$A$3:$A$10005),0),MATCH('Reg 85'!$AG$11,'DMR 001C TIN &amp; TP'!$A$2:$M$2,0))),"")</f>
        <v/>
      </c>
      <c r="AJ193" s="6" t="str">
        <f t="array" ref="AJ193">_xlfn.IFNA((INDEX('DMR 001C TIN &amp; TP'!$A$3:$M$10005,MATCH(('Reg 85'!$X$6&amp;'Reg 85'!AJ$10&amp;'Reg 85'!$B193),('DMR 001C TIN &amp; TP'!$E$3:$E$10005&amp;'DMR 001C TIN &amp; TP'!$B$3:$B$10005&amp;'DMR 001C TIN &amp; TP'!$A$3:$A$10005),0),MATCH('Reg 85'!$AG$11,'DMR 001C TIN &amp; TP'!$A$2:$M$2,0))),"")</f>
        <v/>
      </c>
      <c r="AK193" s="6" t="str">
        <f t="array" ref="AK193">_xlfn.IFNA((INDEX('DMR 001C TIN &amp; TP'!$A$3:$M$10005,MATCH(('Reg 85'!$X$6&amp;'Reg 85'!AK$10&amp;'Reg 85'!$B193),('DMR 001C TIN &amp; TP'!$E$3:$E$10005&amp;'DMR 001C TIN &amp; TP'!$B$3:$B$10005&amp;'DMR 001C TIN &amp; TP'!$A$3:$A$10005),0),MATCH('Reg 85'!$AG$11,'DMR 001C TIN &amp; TP'!$A$2:$M$2,0))),"")</f>
        <v/>
      </c>
      <c r="AL193" s="6" t="str">
        <f t="array" ref="AL193">_xlfn.IFNA((INDEX('DMR 001C TIN &amp; TP'!$A$3:$M$10005,MATCH(('Reg 85'!$X$6&amp;'Reg 85'!AL$10&amp;'Reg 85'!$B193),('DMR 001C TIN &amp; TP'!$E$3:$E$10005&amp;'DMR 001C TIN &amp; TP'!$B$3:$B$10005&amp;'DMR 001C TIN &amp; TP'!$A$3:$A$10005),0),MATCH('Reg 85'!$AG$11,'DMR 001C TIN &amp; TP'!$A$2:$M$2,0))),"")</f>
        <v/>
      </c>
      <c r="AM193" s="76"/>
      <c r="AN193" s="6"/>
      <c r="AO193" s="54" t="str">
        <f t="shared" si="62"/>
        <v/>
      </c>
      <c r="AP193" s="77" t="str">
        <f t="shared" si="81"/>
        <v/>
      </c>
      <c r="AQ193" s="47"/>
      <c r="AR193" s="6" t="str">
        <f t="array" ref="AR193">_xlfn.IFNA((INDEX('DMR 001C TIN &amp; TP'!$A$3:$M$10005,MATCH(('Reg 85'!$AQ$6&amp;'Reg 85'!$AQ$10&amp;'Reg 85'!$B193),('DMR 001C TIN &amp; TP'!$E$3:$E$10005&amp;'DMR 001C TIN &amp; TP'!$B$3:$B$10005&amp;'DMR 001C TIN &amp; TP'!$A$3:$A$10005),0),MATCH('Reg 85'!$AR$11,'DMR 001C TIN &amp; TP'!$A$2:$M$2,0))),"")</f>
        <v>0.03</v>
      </c>
      <c r="AS193" s="6">
        <f t="array" ref="AS193">_xlfn.IFNA((INDEX('DMR 001C TIN &amp; TP'!$A$3:$M$10005,MATCH(('Reg 85'!$AQ$6&amp;'Reg 85'!$AQ$10&amp;'Reg 85'!$B193),('DMR 001C TIN &amp; TP'!$E$3:$E$10005&amp;'DMR 001C TIN &amp; TP'!$B$3:$B$10005&amp;'DMR 001C TIN &amp; TP'!$A$3:$A$10005),0),MATCH('Reg 85'!$AS$11,'DMR 001C TIN &amp; TP'!$A$2:$M$2,0))),"")</f>
        <v>0.37</v>
      </c>
      <c r="AT193" s="53">
        <f t="shared" si="76"/>
        <v>0.37</v>
      </c>
      <c r="AV193" s="6" t="str">
        <f t="array" ref="AV193">_xlfn.IFNA((INDEX('DMR 001C TIN &amp; TP'!$A$3:$M$10005,MATCH(('Reg 85'!$AQ$6&amp;'Reg 85'!$AU$10&amp;'Reg 85'!$B193),('DMR 001C TIN &amp; TP'!$E$3:$E$10005&amp;'DMR 001C TIN &amp; TP'!$B$3:$B$10005&amp;'DMR 001C TIN &amp; TP'!$A$3:$A$10005),0),MATCH('Reg 85'!$AV$11,'DMR 001C TIN &amp; TP'!$A$2:$M$2,0))),"")</f>
        <v>0.06</v>
      </c>
      <c r="AW193" s="6">
        <f t="array" ref="AW193">_xlfn.IFNA((INDEX('DMR 001C TIN &amp; TP'!$A$3:$M$10005,MATCH(('Reg 85'!$AQ$6&amp;'Reg 85'!$AU$10&amp;'Reg 85'!$B193),('DMR 001C TIN &amp; TP'!$E$3:$E$10005&amp;'DMR 001C TIN &amp; TP'!$B$3:$B$10005&amp;'DMR 001C TIN &amp; TP'!$A$3:$A$10005),0),MATCH('Reg 85'!$AW$11,'DMR 001C TIN &amp; TP'!$A$2:$M$2,0))),"")</f>
        <v>6.12</v>
      </c>
      <c r="AX193" s="53">
        <f t="shared" si="77"/>
        <v>6.12</v>
      </c>
      <c r="AY193" s="55">
        <f t="shared" si="78"/>
        <v>3.3325563745696134</v>
      </c>
      <c r="AZ193" s="77" t="str">
        <f t="shared" si="82"/>
        <v/>
      </c>
      <c r="BA193" s="6" t="str">
        <f t="array" ref="BA193">_xlfn.IFNA((INDEX('DMR 001C TIN &amp; TP'!$A$3:$M$10005,MATCH(('Reg 85'!$AQ$6&amp;'Reg 85'!BA$10&amp;'Reg 85'!$B193),('DMR 001C TIN &amp; TP'!$E$3:$E$10005&amp;'DMR 001C TIN &amp; TP'!$B$3:$B$10005&amp;'DMR 001C TIN &amp; TP'!$A$3:$A$10005),0),MATCH('Reg 85'!$AG$11,'DMR 001C TIN &amp; TP'!$A$2:$M$2,0))),"")</f>
        <v/>
      </c>
      <c r="BB193" s="6" t="str">
        <f t="array" ref="BB193">_xlfn.IFNA((INDEX('DMR 001C TIN &amp; TP'!$A$3:$M$10005,MATCH(('Reg 85'!$AQ$6&amp;'Reg 85'!BB$10&amp;'Reg 85'!$B193),('DMR 001C TIN &amp; TP'!$E$3:$E$10005&amp;'DMR 001C TIN &amp; TP'!$B$3:$B$10005&amp;'DMR 001C TIN &amp; TP'!$A$3:$A$10005),0),MATCH('Reg 85'!$AG$11,'DMR 001C TIN &amp; TP'!$A$2:$M$2,0))),"")</f>
        <v/>
      </c>
      <c r="BC193" s="6" t="str">
        <f t="array" ref="BC193">_xlfn.IFNA((INDEX('DMR 001C TIN &amp; TP'!$A$3:$M$10005,MATCH(('Reg 85'!$AQ$6&amp;'Reg 85'!BC$10&amp;'Reg 85'!$B193),('DMR 001C TIN &amp; TP'!$E$3:$E$10005&amp;'DMR 001C TIN &amp; TP'!$B$3:$B$10005&amp;'DMR 001C TIN &amp; TP'!$A$3:$A$10005),0),MATCH('Reg 85'!$AG$11,'DMR 001C TIN &amp; TP'!$A$2:$M$2,0))),"")</f>
        <v/>
      </c>
      <c r="BD193" s="6" t="str">
        <f t="array" ref="BD193">_xlfn.IFNA((INDEX('DMR 001C TIN &amp; TP'!$A$3:$M$10005,MATCH(('Reg 85'!$AQ$6&amp;'Reg 85'!BD$10&amp;'Reg 85'!$B193),('DMR 001C TIN &amp; TP'!$E$3:$E$10005&amp;'DMR 001C TIN &amp; TP'!$B$3:$B$10005&amp;'DMR 001C TIN &amp; TP'!$A$3:$A$10005),0),MATCH('Reg 85'!$AG$11,'DMR 001C TIN &amp; TP'!$A$2:$M$2,0))),"")</f>
        <v/>
      </c>
      <c r="BE193" s="6" t="str">
        <f t="array" ref="BE193">_xlfn.IFNA((INDEX('DMR 001C TIN &amp; TP'!$A$3:$M$10005,MATCH(('Reg 85'!$AQ$6&amp;'Reg 85'!BE$10&amp;'Reg 85'!$B193),('DMR 001C TIN &amp; TP'!$E$3:$E$10005&amp;'DMR 001C TIN &amp; TP'!$B$3:$B$10005&amp;'DMR 001C TIN &amp; TP'!$A$3:$A$10005),0),MATCH('Reg 85'!$AG$11,'DMR 001C TIN &amp; TP'!$A$2:$M$2,0))),"")</f>
        <v/>
      </c>
      <c r="BF193" s="6" t="str">
        <f t="array" ref="BF193">_xlfn.IFNA((INDEX('DMR 001C TIN &amp; TP'!$A$3:$M$10005,MATCH(('Reg 85'!$AQ$6&amp;'Reg 85'!BF$10&amp;'Reg 85'!$B193),('DMR 001C TIN &amp; TP'!$E$3:$E$10005&amp;'DMR 001C TIN &amp; TP'!$B$3:$B$10005&amp;'DMR 001C TIN &amp; TP'!$A$3:$A$10005),0),MATCH('Reg 85'!$AG$11,'DMR 001C TIN &amp; TP'!$A$2:$M$2,0))),"")</f>
        <v/>
      </c>
    </row>
    <row r="194" spans="1:58">
      <c r="A194" s="3" t="str">
        <f t="shared" si="63"/>
        <v>Sat</v>
      </c>
      <c r="B194" s="96">
        <f t="shared" si="79"/>
        <v>43526</v>
      </c>
      <c r="C194" s="96">
        <f t="shared" si="64"/>
        <v>43555</v>
      </c>
      <c r="D194" s="96">
        <f t="shared" si="65"/>
        <v>43525</v>
      </c>
      <c r="E194" s="95">
        <f t="shared" si="66"/>
        <v>31</v>
      </c>
      <c r="F194" s="7">
        <f t="array" ref="F194">_xlfn.IFNA(INDEX('DMR Flows-Effluent'!$A$3:$F$9999,MATCH(($F$10&amp;$B194),('DMR Flows-Effluent'!$B$3:$B$9999&amp;'DMR Flows-Effluent'!$A$3:$A$9999),0),MATCH($F$8,'DMR Flows-Effluent'!$A$2:$F$2,0)),"")</f>
        <v>58.441499999999998</v>
      </c>
      <c r="G194" s="7">
        <f t="array" ref="G194">_xlfn.IFNA(INDEX('DMR Flows-Effluent'!$A$3:$F$9999,MATCH(($G$10&amp;$B194),('DMR Flows-Effluent'!$B$3:$B$9999&amp;'DMR Flows-Effluent'!$A$3:$A$9999),0),MATCH($F$8,'DMR Flows-Effluent'!$A$2:$F$2,0)),"")</f>
        <v>64.915700000000001</v>
      </c>
      <c r="H194" s="7">
        <f t="shared" si="67"/>
        <v>123.35720000000001</v>
      </c>
      <c r="I194" s="45" t="str">
        <f t="shared" si="68"/>
        <v/>
      </c>
      <c r="J194" s="6" t="str">
        <f t="array" ref="J194">_xlfn.IFNA((INDEX('DMR 001C TIN &amp; TP'!$A$3:$M$10005,MATCH(('Reg 85'!$I$6:$Q$6&amp;'Reg 85'!$I$10:$K$10&amp;'Reg 85'!$B194),('DMR 001C TIN &amp; TP'!$E$3:$E$10005&amp;'DMR 001C TIN &amp; TP'!$B$3:$B$10005&amp;'DMR 001C TIN &amp; TP'!$A$3:$A$10005),0),MATCH('Reg 85'!$J$11,'DMR 001C TIN &amp; TP'!$A$2:$M$2,0))),"")</f>
        <v/>
      </c>
      <c r="K194" s="6" t="str">
        <f t="array" ref="K194">_xlfn.IFNA((INDEX('DMR 001C TIN &amp; TP'!$A$3:$M$10005,MATCH(('Reg 85'!$I$6:$Q$6&amp;'Reg 85'!$I$10:$K$10&amp;'Reg 85'!$B194),('DMR 001C TIN &amp; TP'!$E$3:$E$10005&amp;'DMR 001C TIN &amp; TP'!$B$3:$B$10005&amp;'DMR 001C TIN &amp; TP'!$A$3:$A$10005),0),MATCH('Reg 85'!$K$11,'DMR 001C TIN &amp; TP'!$A$2:$M$2,0))),"")</f>
        <v/>
      </c>
      <c r="L194" s="53" t="str">
        <f t="shared" si="80"/>
        <v/>
      </c>
      <c r="M194" s="5" t="str">
        <f t="shared" si="69"/>
        <v/>
      </c>
      <c r="N194" s="6" t="str">
        <f t="array" ref="N194">_xlfn.IFNA((INDEX('DMR 001C TIN &amp; TP'!$A$3:$M$10005,MATCH(('Reg 85'!$I$6:$Q$6&amp;'Reg 85'!$M$10&amp;'Reg 85'!$B194),('DMR 001C TIN &amp; TP'!$E$3:$E$10005&amp;'DMR 001C TIN &amp; TP'!$B$3:$B$10005&amp;'DMR 001C TIN &amp; TP'!$A$3:$A$10005),0),MATCH('Reg 85'!$N$11,'DMR 001C TIN &amp; TP'!$A$2:$M$2,0))),"")</f>
        <v/>
      </c>
      <c r="O194" s="6" t="str">
        <f t="array" ref="O194">_xlfn.IFNA((INDEX('DMR 001C TIN &amp; TP'!$A$3:$M$10005,MATCH(('Reg 85'!$I$6:$Q$6&amp;'Reg 85'!$M$10&amp;'Reg 85'!$B194),('DMR 001C TIN &amp; TP'!$E$3:$E$10005&amp;'DMR 001C TIN &amp; TP'!$B$3:$B$10005&amp;'DMR 001C TIN &amp; TP'!$A$3:$A$10005),0),MATCH('Reg 85'!$O$11,'DMR 001C TIN &amp; TP'!$A$2:$M$2,0))),"")</f>
        <v/>
      </c>
      <c r="P194" s="53" t="str">
        <f t="shared" si="70"/>
        <v/>
      </c>
      <c r="Q194" s="73" t="str">
        <f t="array" ref="Q194">IFERROR(((L194*$F194)+(P194*$G194))/($H194),"")</f>
        <v/>
      </c>
      <c r="R194" s="6" t="str">
        <f t="array" ref="R194">_xlfn.IFNA((INDEX('DMR 001C TIN &amp; TP'!$A$3:$M$10005,MATCH(('Reg 85'!$I$6:$Q$6&amp;'Reg 85'!R$10&amp;'Reg 85'!$B194),('DMR 001C TIN &amp; TP'!$E$3:$E$10005&amp;'DMR 001C TIN &amp; TP'!$B$3:$B$10005&amp;'DMR 001C TIN &amp; TP'!$A$3:$A$10005),0),MATCH('Reg 85'!$O$11,'DMR 001C TIN &amp; TP'!$A$2:$M$2,0))),"")</f>
        <v/>
      </c>
      <c r="S194" s="6" t="str">
        <f t="array" ref="S194">_xlfn.IFNA((INDEX('DMR 001C TIN &amp; TP'!$A$3:$M$10005,MATCH(('Reg 85'!$I$6:$Q$6&amp;'Reg 85'!S$10&amp;'Reg 85'!$B194),('DMR 001C TIN &amp; TP'!$E$3:$E$10005&amp;'DMR 001C TIN &amp; TP'!$B$3:$B$10005&amp;'DMR 001C TIN &amp; TP'!$A$3:$A$10005),0),MATCH('Reg 85'!$O$11,'DMR 001C TIN &amp; TP'!$A$2:$M$2,0))),"")</f>
        <v/>
      </c>
      <c r="T194" s="6" t="str">
        <f t="array" ref="T194">_xlfn.IFNA((INDEX('DMR 001C TIN &amp; TP'!$A$3:$M$10005,MATCH(('Reg 85'!$I$6:$Q$6&amp;'Reg 85'!T$10&amp;'Reg 85'!$B194),('DMR 001C TIN &amp; TP'!$E$3:$E$10005&amp;'DMR 001C TIN &amp; TP'!$B$3:$B$10005&amp;'DMR 001C TIN &amp; TP'!$A$3:$A$10005),0),MATCH('Reg 85'!$O$11,'DMR 001C TIN &amp; TP'!$A$2:$M$2,0))),"")</f>
        <v/>
      </c>
      <c r="U194" s="6" t="str">
        <f t="array" ref="U194">_xlfn.IFNA((INDEX('DMR 001C TIN &amp; TP'!$A$3:$M$10005,MATCH(('Reg 85'!$I$6:$Q$6&amp;'Reg 85'!U$10&amp;'Reg 85'!$B194),('DMR 001C TIN &amp; TP'!$E$3:$E$10005&amp;'DMR 001C TIN &amp; TP'!$B$3:$B$10005&amp;'DMR 001C TIN &amp; TP'!$A$3:$A$10005),0),MATCH('Reg 85'!$O$11,'DMR 001C TIN &amp; TP'!$A$2:$M$2,0))),"")</f>
        <v/>
      </c>
      <c r="V194" s="6" t="str">
        <f t="array" ref="V194">_xlfn.IFNA((INDEX('DMR 001C TIN &amp; TP'!$A$3:$M$10005,MATCH(('Reg 85'!$I$6:$Q$6&amp;'Reg 85'!V$10&amp;'Reg 85'!$B194),('DMR 001C TIN &amp; TP'!$E$3:$E$10005&amp;'DMR 001C TIN &amp; TP'!$B$3:$B$10005&amp;'DMR 001C TIN &amp; TP'!$A$3:$A$10005),0),MATCH('Reg 85'!$O$11,'DMR 001C TIN &amp; TP'!$A$2:$M$2,0))),"")</f>
        <v/>
      </c>
      <c r="W194" s="6" t="str">
        <f t="array" ref="W194">_xlfn.IFNA((INDEX('DMR 001C TIN &amp; TP'!$A$3:$M$10005,MATCH(('Reg 85'!$I$6:$Q$6&amp;'Reg 85'!W$10&amp;'Reg 85'!$B194),('DMR 001C TIN &amp; TP'!$E$3:$E$10005&amp;'DMR 001C TIN &amp; TP'!$B$3:$B$10005&amp;'DMR 001C TIN &amp; TP'!$A$3:$A$10005),0),MATCH('Reg 85'!$O$11,'DMR 001C TIN &amp; TP'!$A$2:$M$2,0))),"")</f>
        <v/>
      </c>
      <c r="X194" s="5" t="str">
        <f t="shared" si="71"/>
        <v/>
      </c>
      <c r="Y194" s="6" t="str">
        <f t="array" ref="Y194">_xlfn.IFNA((INDEX('DMR 001C TIN &amp; TP'!$A$3:$M$10005,MATCH(('Reg 85'!$X$6&amp;'Reg 85'!$X$10&amp;'Reg 85'!$B194),('DMR 001C TIN &amp; TP'!$E$3:$E$10005&amp;'DMR 001C TIN &amp; TP'!$B$3:$B$10005&amp;'DMR 001C TIN &amp; TP'!$A$3:$A$10005),0),MATCH('Reg 85'!$Y$11,'DMR 001C TIN &amp; TP'!$A$2:$M$2,0))),"")</f>
        <v/>
      </c>
      <c r="Z194" s="6" t="str">
        <f t="array" ref="Z194">_xlfn.IFNA((INDEX('DMR 001C TIN &amp; TP'!$A$3:$M$10005,MATCH(('Reg 85'!$X$6&amp;'Reg 85'!$X$10&amp;'Reg 85'!$B194),('DMR 001C TIN &amp; TP'!$E$3:$E$10005&amp;'DMR 001C TIN &amp; TP'!$B$3:$B$10005&amp;'DMR 001C TIN &amp; TP'!$A$3:$A$10005),0),MATCH('Reg 85'!$Z$11,'DMR 001C TIN &amp; TP'!$A$2:$M$2,0))),"")</f>
        <v/>
      </c>
      <c r="AA194" s="53" t="str">
        <f t="shared" si="72"/>
        <v/>
      </c>
      <c r="AB194" s="5" t="str">
        <f t="shared" si="73"/>
        <v/>
      </c>
      <c r="AC194" s="6" t="str">
        <f t="array" ref="AC194">_xlfn.IFNA((INDEX('DMR 001C TIN &amp; TP'!$A$3:$M$10005,MATCH(('Reg 85'!$X$6&amp;'Reg 85'!$AB$10&amp;'Reg 85'!$B194),('DMR 001C TIN &amp; TP'!$E$3:$E$10005&amp;'DMR 001C TIN &amp; TP'!$B$3:$B$10005&amp;'DMR 001C TIN &amp; TP'!$A$3:$A$10005),0),MATCH('Reg 85'!$AC$11,'DMR 001C TIN &amp; TP'!$A$2:$M$2,0))),"")</f>
        <v/>
      </c>
      <c r="AD194" s="6" t="str">
        <f t="array" ref="AD194">_xlfn.IFNA((INDEX('DMR 001C TIN &amp; TP'!$A$3:$M$10005,MATCH(('Reg 85'!$X$6&amp;'Reg 85'!$AB$10&amp;'Reg 85'!$B194),('DMR 001C TIN &amp; TP'!$E$3:$E$10005&amp;'DMR 001C TIN &amp; TP'!$B$3:$B$10005&amp;'DMR 001C TIN &amp; TP'!$A$3:$A$10005),0),MATCH('Reg 85'!$AD$11,'DMR 001C TIN &amp; TP'!$A$2:$M$2,0))),"")</f>
        <v/>
      </c>
      <c r="AE194" s="53" t="str">
        <f t="shared" si="74"/>
        <v/>
      </c>
      <c r="AF194" s="7" t="str">
        <f t="shared" si="75"/>
        <v/>
      </c>
      <c r="AG194" s="6" t="str">
        <f t="array" ref="AG194">_xlfn.IFNA((INDEX('DMR 001C TIN &amp; TP'!$A$3:$M$10005,MATCH(('Reg 85'!$X$6&amp;'Reg 85'!AG$10&amp;'Reg 85'!$B194),('DMR 001C TIN &amp; TP'!$E$3:$E$10005&amp;'DMR 001C TIN &amp; TP'!$B$3:$B$10005&amp;'DMR 001C TIN &amp; TP'!$A$3:$A$10005),0),MATCH('Reg 85'!$AG$11,'DMR 001C TIN &amp; TP'!$A$2:$M$2,0))),"")</f>
        <v/>
      </c>
      <c r="AH194" s="6" t="str">
        <f t="array" ref="AH194">_xlfn.IFNA((INDEX('DMR 001C TIN &amp; TP'!$A$3:$M$10005,MATCH(('Reg 85'!$X$6&amp;'Reg 85'!AH$10&amp;'Reg 85'!$B194),('DMR 001C TIN &amp; TP'!$E$3:$E$10005&amp;'DMR 001C TIN &amp; TP'!$B$3:$B$10005&amp;'DMR 001C TIN &amp; TP'!$A$3:$A$10005),0),MATCH('Reg 85'!$AG$11,'DMR 001C TIN &amp; TP'!$A$2:$M$2,0))),"")</f>
        <v/>
      </c>
      <c r="AI194" s="6" t="str">
        <f t="array" ref="AI194">_xlfn.IFNA((INDEX('DMR 001C TIN &amp; TP'!$A$3:$M$10005,MATCH(('Reg 85'!$X$6&amp;'Reg 85'!AI$10&amp;'Reg 85'!$B194),('DMR 001C TIN &amp; TP'!$E$3:$E$10005&amp;'DMR 001C TIN &amp; TP'!$B$3:$B$10005&amp;'DMR 001C TIN &amp; TP'!$A$3:$A$10005),0),MATCH('Reg 85'!$AG$11,'DMR 001C TIN &amp; TP'!$A$2:$M$2,0))),"")</f>
        <v/>
      </c>
      <c r="AJ194" s="6" t="str">
        <f t="array" ref="AJ194">_xlfn.IFNA((INDEX('DMR 001C TIN &amp; TP'!$A$3:$M$10005,MATCH(('Reg 85'!$X$6&amp;'Reg 85'!AJ$10&amp;'Reg 85'!$B194),('DMR 001C TIN &amp; TP'!$E$3:$E$10005&amp;'DMR 001C TIN &amp; TP'!$B$3:$B$10005&amp;'DMR 001C TIN &amp; TP'!$A$3:$A$10005),0),MATCH('Reg 85'!$AG$11,'DMR 001C TIN &amp; TP'!$A$2:$M$2,0))),"")</f>
        <v/>
      </c>
      <c r="AK194" s="6" t="str">
        <f t="array" ref="AK194">_xlfn.IFNA((INDEX('DMR 001C TIN &amp; TP'!$A$3:$M$10005,MATCH(('Reg 85'!$X$6&amp;'Reg 85'!AK$10&amp;'Reg 85'!$B194),('DMR 001C TIN &amp; TP'!$E$3:$E$10005&amp;'DMR 001C TIN &amp; TP'!$B$3:$B$10005&amp;'DMR 001C TIN &amp; TP'!$A$3:$A$10005),0),MATCH('Reg 85'!$AG$11,'DMR 001C TIN &amp; TP'!$A$2:$M$2,0))),"")</f>
        <v/>
      </c>
      <c r="AL194" s="6" t="str">
        <f t="array" ref="AL194">_xlfn.IFNA((INDEX('DMR 001C TIN &amp; TP'!$A$3:$M$10005,MATCH(('Reg 85'!$X$6&amp;'Reg 85'!AL$10&amp;'Reg 85'!$B194),('DMR 001C TIN &amp; TP'!$E$3:$E$10005&amp;'DMR 001C TIN &amp; TP'!$B$3:$B$10005&amp;'DMR 001C TIN &amp; TP'!$A$3:$A$10005),0),MATCH('Reg 85'!$AG$11,'DMR 001C TIN &amp; TP'!$A$2:$M$2,0))),"")</f>
        <v/>
      </c>
      <c r="AM194" s="76"/>
      <c r="AN194" s="6"/>
      <c r="AO194" s="54" t="str">
        <f t="shared" si="62"/>
        <v/>
      </c>
      <c r="AP194" s="77" t="str">
        <f t="shared" si="81"/>
        <v/>
      </c>
      <c r="AQ194" s="47"/>
      <c r="AR194" s="6" t="str">
        <f t="array" ref="AR194">_xlfn.IFNA((INDEX('DMR 001C TIN &amp; TP'!$A$3:$M$10005,MATCH(('Reg 85'!$AQ$6&amp;'Reg 85'!$AQ$10&amp;'Reg 85'!$B194),('DMR 001C TIN &amp; TP'!$E$3:$E$10005&amp;'DMR 001C TIN &amp; TP'!$B$3:$B$10005&amp;'DMR 001C TIN &amp; TP'!$A$3:$A$10005),0),MATCH('Reg 85'!$AR$11,'DMR 001C TIN &amp; TP'!$A$2:$M$2,0))),"")</f>
        <v>0.03</v>
      </c>
      <c r="AS194" s="6">
        <f t="array" ref="AS194">_xlfn.IFNA((INDEX('DMR 001C TIN &amp; TP'!$A$3:$M$10005,MATCH(('Reg 85'!$AQ$6&amp;'Reg 85'!$AQ$10&amp;'Reg 85'!$B194),('DMR 001C TIN &amp; TP'!$E$3:$E$10005&amp;'DMR 001C TIN &amp; TP'!$B$3:$B$10005&amp;'DMR 001C TIN &amp; TP'!$A$3:$A$10005),0),MATCH('Reg 85'!$AS$11,'DMR 001C TIN &amp; TP'!$A$2:$M$2,0))),"")</f>
        <v>0.47</v>
      </c>
      <c r="AT194" s="53">
        <f t="shared" si="76"/>
        <v>0.47</v>
      </c>
      <c r="AV194" s="6" t="str">
        <f t="array" ref="AV194">_xlfn.IFNA((INDEX('DMR 001C TIN &amp; TP'!$A$3:$M$10005,MATCH(('Reg 85'!$AQ$6&amp;'Reg 85'!$AU$10&amp;'Reg 85'!$B194),('DMR 001C TIN &amp; TP'!$E$3:$E$10005&amp;'DMR 001C TIN &amp; TP'!$B$3:$B$10005&amp;'DMR 001C TIN &amp; TP'!$A$3:$A$10005),0),MATCH('Reg 85'!$AV$11,'DMR 001C TIN &amp; TP'!$A$2:$M$2,0))),"")</f>
        <v>0.15</v>
      </c>
      <c r="AW194" s="6">
        <f t="array" ref="AW194">_xlfn.IFNA((INDEX('DMR 001C TIN &amp; TP'!$A$3:$M$10005,MATCH(('Reg 85'!$AQ$6&amp;'Reg 85'!$AU$10&amp;'Reg 85'!$B194),('DMR 001C TIN &amp; TP'!$E$3:$E$10005&amp;'DMR 001C TIN &amp; TP'!$B$3:$B$10005&amp;'DMR 001C TIN &amp; TP'!$A$3:$A$10005),0),MATCH('Reg 85'!$AW$11,'DMR 001C TIN &amp; TP'!$A$2:$M$2,0))),"")</f>
        <v>5.63</v>
      </c>
      <c r="AX194" s="53">
        <f t="shared" si="77"/>
        <v>5.63</v>
      </c>
      <c r="AY194" s="55">
        <f t="shared" si="78"/>
        <v>3.1854070617685877</v>
      </c>
      <c r="AZ194" s="77" t="str">
        <f t="shared" si="82"/>
        <v/>
      </c>
      <c r="BA194" s="6" t="str">
        <f t="array" ref="BA194">_xlfn.IFNA((INDEX('DMR 001C TIN &amp; TP'!$A$3:$M$10005,MATCH(('Reg 85'!$AQ$6&amp;'Reg 85'!BA$10&amp;'Reg 85'!$B194),('DMR 001C TIN &amp; TP'!$E$3:$E$10005&amp;'DMR 001C TIN &amp; TP'!$B$3:$B$10005&amp;'DMR 001C TIN &amp; TP'!$A$3:$A$10005),0),MATCH('Reg 85'!$AG$11,'DMR 001C TIN &amp; TP'!$A$2:$M$2,0))),"")</f>
        <v/>
      </c>
      <c r="BB194" s="6" t="str">
        <f t="array" ref="BB194">_xlfn.IFNA((INDEX('DMR 001C TIN &amp; TP'!$A$3:$M$10005,MATCH(('Reg 85'!$AQ$6&amp;'Reg 85'!BB$10&amp;'Reg 85'!$B194),('DMR 001C TIN &amp; TP'!$E$3:$E$10005&amp;'DMR 001C TIN &amp; TP'!$B$3:$B$10005&amp;'DMR 001C TIN &amp; TP'!$A$3:$A$10005),0),MATCH('Reg 85'!$AG$11,'DMR 001C TIN &amp; TP'!$A$2:$M$2,0))),"")</f>
        <v/>
      </c>
      <c r="BC194" s="6" t="str">
        <f t="array" ref="BC194">_xlfn.IFNA((INDEX('DMR 001C TIN &amp; TP'!$A$3:$M$10005,MATCH(('Reg 85'!$AQ$6&amp;'Reg 85'!BC$10&amp;'Reg 85'!$B194),('DMR 001C TIN &amp; TP'!$E$3:$E$10005&amp;'DMR 001C TIN &amp; TP'!$B$3:$B$10005&amp;'DMR 001C TIN &amp; TP'!$A$3:$A$10005),0),MATCH('Reg 85'!$AG$11,'DMR 001C TIN &amp; TP'!$A$2:$M$2,0))),"")</f>
        <v/>
      </c>
      <c r="BD194" s="6" t="str">
        <f t="array" ref="BD194">_xlfn.IFNA((INDEX('DMR 001C TIN &amp; TP'!$A$3:$M$10005,MATCH(('Reg 85'!$AQ$6&amp;'Reg 85'!BD$10&amp;'Reg 85'!$B194),('DMR 001C TIN &amp; TP'!$E$3:$E$10005&amp;'DMR 001C TIN &amp; TP'!$B$3:$B$10005&amp;'DMR 001C TIN &amp; TP'!$A$3:$A$10005),0),MATCH('Reg 85'!$AG$11,'DMR 001C TIN &amp; TP'!$A$2:$M$2,0))),"")</f>
        <v/>
      </c>
      <c r="BE194" s="6" t="str">
        <f t="array" ref="BE194">_xlfn.IFNA((INDEX('DMR 001C TIN &amp; TP'!$A$3:$M$10005,MATCH(('Reg 85'!$AQ$6&amp;'Reg 85'!BE$10&amp;'Reg 85'!$B194),('DMR 001C TIN &amp; TP'!$E$3:$E$10005&amp;'DMR 001C TIN &amp; TP'!$B$3:$B$10005&amp;'DMR 001C TIN &amp; TP'!$A$3:$A$10005),0),MATCH('Reg 85'!$AG$11,'DMR 001C TIN &amp; TP'!$A$2:$M$2,0))),"")</f>
        <v/>
      </c>
      <c r="BF194" s="6" t="str">
        <f t="array" ref="BF194">_xlfn.IFNA((INDEX('DMR 001C TIN &amp; TP'!$A$3:$M$10005,MATCH(('Reg 85'!$AQ$6&amp;'Reg 85'!BF$10&amp;'Reg 85'!$B194),('DMR 001C TIN &amp; TP'!$E$3:$E$10005&amp;'DMR 001C TIN &amp; TP'!$B$3:$B$10005&amp;'DMR 001C TIN &amp; TP'!$A$3:$A$10005),0),MATCH('Reg 85'!$AG$11,'DMR 001C TIN &amp; TP'!$A$2:$M$2,0))),"")</f>
        <v/>
      </c>
    </row>
    <row r="195" spans="1:58">
      <c r="A195" s="3" t="str">
        <f t="shared" si="63"/>
        <v>Sun</v>
      </c>
      <c r="B195" s="96">
        <f t="shared" si="79"/>
        <v>43527</v>
      </c>
      <c r="C195" s="96">
        <f t="shared" si="64"/>
        <v>43555</v>
      </c>
      <c r="D195" s="96">
        <f t="shared" si="65"/>
        <v>43525</v>
      </c>
      <c r="E195" s="95">
        <f t="shared" si="66"/>
        <v>31</v>
      </c>
      <c r="F195" s="7">
        <f t="array" ref="F195">_xlfn.IFNA(INDEX('DMR Flows-Effluent'!$A$3:$F$9999,MATCH(($F$10&amp;$B195),('DMR Flows-Effluent'!$B$3:$B$9999&amp;'DMR Flows-Effluent'!$A$3:$A$9999),0),MATCH($F$8,'DMR Flows-Effluent'!$A$2:$F$2,0)),"")</f>
        <v>62.833399999999997</v>
      </c>
      <c r="G195" s="7">
        <f t="array" ref="G195">_xlfn.IFNA(INDEX('DMR Flows-Effluent'!$A$3:$F$9999,MATCH(($G$10&amp;$B195),('DMR Flows-Effluent'!$B$3:$B$9999&amp;'DMR Flows-Effluent'!$A$3:$A$9999),0),MATCH($F$8,'DMR Flows-Effluent'!$A$2:$F$2,0)),"")</f>
        <v>62.5657</v>
      </c>
      <c r="H195" s="7">
        <f t="shared" si="67"/>
        <v>125.3991</v>
      </c>
      <c r="I195" s="45" t="str">
        <f t="shared" si="68"/>
        <v/>
      </c>
      <c r="J195" s="6" t="str">
        <f t="array" ref="J195">_xlfn.IFNA((INDEX('DMR 001C TIN &amp; TP'!$A$3:$M$10005,MATCH(('Reg 85'!$I$6:$Q$6&amp;'Reg 85'!$I$10:$K$10&amp;'Reg 85'!$B195),('DMR 001C TIN &amp; TP'!$E$3:$E$10005&amp;'DMR 001C TIN &amp; TP'!$B$3:$B$10005&amp;'DMR 001C TIN &amp; TP'!$A$3:$A$10005),0),MATCH('Reg 85'!$J$11,'DMR 001C TIN &amp; TP'!$A$2:$M$2,0))),"")</f>
        <v>0.15</v>
      </c>
      <c r="K195" s="6">
        <f t="array" ref="K195">_xlfn.IFNA((INDEX('DMR 001C TIN &amp; TP'!$A$3:$M$10005,MATCH(('Reg 85'!$I$6:$Q$6&amp;'Reg 85'!$I$10:$K$10&amp;'Reg 85'!$B195),('DMR 001C TIN &amp; TP'!$E$3:$E$10005&amp;'DMR 001C TIN &amp; TP'!$B$3:$B$10005&amp;'DMR 001C TIN &amp; TP'!$A$3:$A$10005),0),MATCH('Reg 85'!$K$11,'DMR 001C TIN &amp; TP'!$A$2:$M$2,0))),"")</f>
        <v>3.61</v>
      </c>
      <c r="L195" s="53">
        <f t="shared" si="80"/>
        <v>3.61</v>
      </c>
      <c r="M195" s="5" t="str">
        <f t="shared" si="69"/>
        <v/>
      </c>
      <c r="N195" s="6" t="str">
        <f t="array" ref="N195">_xlfn.IFNA((INDEX('DMR 001C TIN &amp; TP'!$A$3:$M$10005,MATCH(('Reg 85'!$I$6:$Q$6&amp;'Reg 85'!$M$10&amp;'Reg 85'!$B195),('DMR 001C TIN &amp; TP'!$E$3:$E$10005&amp;'DMR 001C TIN &amp; TP'!$B$3:$B$10005&amp;'DMR 001C TIN &amp; TP'!$A$3:$A$10005),0),MATCH('Reg 85'!$N$11,'DMR 001C TIN &amp; TP'!$A$2:$M$2,0))),"")</f>
        <v>0.15</v>
      </c>
      <c r="O195" s="6">
        <f t="array" ref="O195">_xlfn.IFNA((INDEX('DMR 001C TIN &amp; TP'!$A$3:$M$10005,MATCH(('Reg 85'!$I$6:$Q$6&amp;'Reg 85'!$M$10&amp;'Reg 85'!$B195),('DMR 001C TIN &amp; TP'!$E$3:$E$10005&amp;'DMR 001C TIN &amp; TP'!$B$3:$B$10005&amp;'DMR 001C TIN &amp; TP'!$A$3:$A$10005),0),MATCH('Reg 85'!$O$11,'DMR 001C TIN &amp; TP'!$A$2:$M$2,0))),"")</f>
        <v>1.72</v>
      </c>
      <c r="P195" s="53">
        <f t="shared" si="70"/>
        <v>1.72</v>
      </c>
      <c r="Q195" s="73">
        <f t="array" ref="Q195">IFERROR(((L195*$F195)+(P195*$G195))/($H195),"")</f>
        <v>2.6670173709380687</v>
      </c>
      <c r="R195" s="6" t="str">
        <f t="array" ref="R195">_xlfn.IFNA((INDEX('DMR 001C TIN &amp; TP'!$A$3:$M$10005,MATCH(('Reg 85'!$I$6:$Q$6&amp;'Reg 85'!R$10&amp;'Reg 85'!$B195),('DMR 001C TIN &amp; TP'!$E$3:$E$10005&amp;'DMR 001C TIN &amp; TP'!$B$3:$B$10005&amp;'DMR 001C TIN &amp; TP'!$A$3:$A$10005),0),MATCH('Reg 85'!$O$11,'DMR 001C TIN &amp; TP'!$A$2:$M$2,0))),"")</f>
        <v/>
      </c>
      <c r="S195" s="6" t="str">
        <f t="array" ref="S195">_xlfn.IFNA((INDEX('DMR 001C TIN &amp; TP'!$A$3:$M$10005,MATCH(('Reg 85'!$I$6:$Q$6&amp;'Reg 85'!S$10&amp;'Reg 85'!$B195),('DMR 001C TIN &amp; TP'!$E$3:$E$10005&amp;'DMR 001C TIN &amp; TP'!$B$3:$B$10005&amp;'DMR 001C TIN &amp; TP'!$A$3:$A$10005),0),MATCH('Reg 85'!$O$11,'DMR 001C TIN &amp; TP'!$A$2:$M$2,0))),"")</f>
        <v/>
      </c>
      <c r="T195" s="6" t="str">
        <f t="array" ref="T195">_xlfn.IFNA((INDEX('DMR 001C TIN &amp; TP'!$A$3:$M$10005,MATCH(('Reg 85'!$I$6:$Q$6&amp;'Reg 85'!T$10&amp;'Reg 85'!$B195),('DMR 001C TIN &amp; TP'!$E$3:$E$10005&amp;'DMR 001C TIN &amp; TP'!$B$3:$B$10005&amp;'DMR 001C TIN &amp; TP'!$A$3:$A$10005),0),MATCH('Reg 85'!$O$11,'DMR 001C TIN &amp; TP'!$A$2:$M$2,0))),"")</f>
        <v/>
      </c>
      <c r="U195" s="6" t="str">
        <f t="array" ref="U195">_xlfn.IFNA((INDEX('DMR 001C TIN &amp; TP'!$A$3:$M$10005,MATCH(('Reg 85'!$I$6:$Q$6&amp;'Reg 85'!U$10&amp;'Reg 85'!$B195),('DMR 001C TIN &amp; TP'!$E$3:$E$10005&amp;'DMR 001C TIN &amp; TP'!$B$3:$B$10005&amp;'DMR 001C TIN &amp; TP'!$A$3:$A$10005),0),MATCH('Reg 85'!$O$11,'DMR 001C TIN &amp; TP'!$A$2:$M$2,0))),"")</f>
        <v/>
      </c>
      <c r="V195" s="6" t="str">
        <f t="array" ref="V195">_xlfn.IFNA((INDEX('DMR 001C TIN &amp; TP'!$A$3:$M$10005,MATCH(('Reg 85'!$I$6:$Q$6&amp;'Reg 85'!V$10&amp;'Reg 85'!$B195),('DMR 001C TIN &amp; TP'!$E$3:$E$10005&amp;'DMR 001C TIN &amp; TP'!$B$3:$B$10005&amp;'DMR 001C TIN &amp; TP'!$A$3:$A$10005),0),MATCH('Reg 85'!$O$11,'DMR 001C TIN &amp; TP'!$A$2:$M$2,0))),"")</f>
        <v/>
      </c>
      <c r="W195" s="6" t="str">
        <f t="array" ref="W195">_xlfn.IFNA((INDEX('DMR 001C TIN &amp; TP'!$A$3:$M$10005,MATCH(('Reg 85'!$I$6:$Q$6&amp;'Reg 85'!W$10&amp;'Reg 85'!$B195),('DMR 001C TIN &amp; TP'!$E$3:$E$10005&amp;'DMR 001C TIN &amp; TP'!$B$3:$B$10005&amp;'DMR 001C TIN &amp; TP'!$A$3:$A$10005),0),MATCH('Reg 85'!$O$11,'DMR 001C TIN &amp; TP'!$A$2:$M$2,0))),"")</f>
        <v/>
      </c>
      <c r="X195" s="5" t="str">
        <f t="shared" si="71"/>
        <v/>
      </c>
      <c r="Y195" s="6" t="str">
        <f t="array" ref="Y195">_xlfn.IFNA((INDEX('DMR 001C TIN &amp; TP'!$A$3:$M$10005,MATCH(('Reg 85'!$X$6&amp;'Reg 85'!$X$10&amp;'Reg 85'!$B195),('DMR 001C TIN &amp; TP'!$E$3:$E$10005&amp;'DMR 001C TIN &amp; TP'!$B$3:$B$10005&amp;'DMR 001C TIN &amp; TP'!$A$3:$A$10005),0),MATCH('Reg 85'!$Y$11,'DMR 001C TIN &amp; TP'!$A$2:$M$2,0))),"")</f>
        <v>0.06</v>
      </c>
      <c r="Z195" s="6">
        <f t="array" ref="Z195">_xlfn.IFNA((INDEX('DMR 001C TIN &amp; TP'!$A$3:$M$10005,MATCH(('Reg 85'!$X$6&amp;'Reg 85'!$X$10&amp;'Reg 85'!$B195),('DMR 001C TIN &amp; TP'!$E$3:$E$10005&amp;'DMR 001C TIN &amp; TP'!$B$3:$B$10005&amp;'DMR 001C TIN &amp; TP'!$A$3:$A$10005),0),MATCH('Reg 85'!$Z$11,'DMR 001C TIN &amp; TP'!$A$2:$M$2,0))),"")</f>
        <v>3.81</v>
      </c>
      <c r="AA195" s="53">
        <f t="shared" si="72"/>
        <v>3.81</v>
      </c>
      <c r="AB195" s="5" t="str">
        <f t="shared" si="73"/>
        <v/>
      </c>
      <c r="AC195" s="6" t="str">
        <f t="array" ref="AC195">_xlfn.IFNA((INDEX('DMR 001C TIN &amp; TP'!$A$3:$M$10005,MATCH(('Reg 85'!$X$6&amp;'Reg 85'!$AB$10&amp;'Reg 85'!$B195),('DMR 001C TIN &amp; TP'!$E$3:$E$10005&amp;'DMR 001C TIN &amp; TP'!$B$3:$B$10005&amp;'DMR 001C TIN &amp; TP'!$A$3:$A$10005),0),MATCH('Reg 85'!$AC$11,'DMR 001C TIN &amp; TP'!$A$2:$M$2,0))),"")</f>
        <v>0.06</v>
      </c>
      <c r="AD195" s="6">
        <f t="array" ref="AD195">_xlfn.IFNA((INDEX('DMR 001C TIN &amp; TP'!$A$3:$M$10005,MATCH(('Reg 85'!$X$6&amp;'Reg 85'!$AB$10&amp;'Reg 85'!$B195),('DMR 001C TIN &amp; TP'!$E$3:$E$10005&amp;'DMR 001C TIN &amp; TP'!$B$3:$B$10005&amp;'DMR 001C TIN &amp; TP'!$A$3:$A$10005),0),MATCH('Reg 85'!$AD$11,'DMR 001C TIN &amp; TP'!$A$2:$M$2,0))),"")</f>
        <v>6.5</v>
      </c>
      <c r="AE195" s="53">
        <f t="shared" si="74"/>
        <v>6.5</v>
      </c>
      <c r="AF195" s="7">
        <f t="shared" si="75"/>
        <v>5.1521287154373514</v>
      </c>
      <c r="AG195" s="6" t="str">
        <f t="array" ref="AG195">_xlfn.IFNA((INDEX('DMR 001C TIN &amp; TP'!$A$3:$M$10005,MATCH(('Reg 85'!$X$6&amp;'Reg 85'!AG$10&amp;'Reg 85'!$B195),('DMR 001C TIN &amp; TP'!$E$3:$E$10005&amp;'DMR 001C TIN &amp; TP'!$B$3:$B$10005&amp;'DMR 001C TIN &amp; TP'!$A$3:$A$10005),0),MATCH('Reg 85'!$AG$11,'DMR 001C TIN &amp; TP'!$A$2:$M$2,0))),"")</f>
        <v/>
      </c>
      <c r="AH195" s="6" t="str">
        <f t="array" ref="AH195">_xlfn.IFNA((INDEX('DMR 001C TIN &amp; TP'!$A$3:$M$10005,MATCH(('Reg 85'!$X$6&amp;'Reg 85'!AH$10&amp;'Reg 85'!$B195),('DMR 001C TIN &amp; TP'!$E$3:$E$10005&amp;'DMR 001C TIN &amp; TP'!$B$3:$B$10005&amp;'DMR 001C TIN &amp; TP'!$A$3:$A$10005),0),MATCH('Reg 85'!$AG$11,'DMR 001C TIN &amp; TP'!$A$2:$M$2,0))),"")</f>
        <v/>
      </c>
      <c r="AI195" s="6" t="str">
        <f t="array" ref="AI195">_xlfn.IFNA((INDEX('DMR 001C TIN &amp; TP'!$A$3:$M$10005,MATCH(('Reg 85'!$X$6&amp;'Reg 85'!AI$10&amp;'Reg 85'!$B195),('DMR 001C TIN &amp; TP'!$E$3:$E$10005&amp;'DMR 001C TIN &amp; TP'!$B$3:$B$10005&amp;'DMR 001C TIN &amp; TP'!$A$3:$A$10005),0),MATCH('Reg 85'!$AG$11,'DMR 001C TIN &amp; TP'!$A$2:$M$2,0))),"")</f>
        <v/>
      </c>
      <c r="AJ195" s="6" t="str">
        <f t="array" ref="AJ195">_xlfn.IFNA((INDEX('DMR 001C TIN &amp; TP'!$A$3:$M$10005,MATCH(('Reg 85'!$X$6&amp;'Reg 85'!AJ$10&amp;'Reg 85'!$B195),('DMR 001C TIN &amp; TP'!$E$3:$E$10005&amp;'DMR 001C TIN &amp; TP'!$B$3:$B$10005&amp;'DMR 001C TIN &amp; TP'!$A$3:$A$10005),0),MATCH('Reg 85'!$AG$11,'DMR 001C TIN &amp; TP'!$A$2:$M$2,0))),"")</f>
        <v/>
      </c>
      <c r="AK195" s="6" t="str">
        <f t="array" ref="AK195">_xlfn.IFNA((INDEX('DMR 001C TIN &amp; TP'!$A$3:$M$10005,MATCH(('Reg 85'!$X$6&amp;'Reg 85'!AK$10&amp;'Reg 85'!$B195),('DMR 001C TIN &amp; TP'!$E$3:$E$10005&amp;'DMR 001C TIN &amp; TP'!$B$3:$B$10005&amp;'DMR 001C TIN &amp; TP'!$A$3:$A$10005),0),MATCH('Reg 85'!$AG$11,'DMR 001C TIN &amp; TP'!$A$2:$M$2,0))),"")</f>
        <v/>
      </c>
      <c r="AL195" s="6" t="str">
        <f t="array" ref="AL195">_xlfn.IFNA((INDEX('DMR 001C TIN &amp; TP'!$A$3:$M$10005,MATCH(('Reg 85'!$X$6&amp;'Reg 85'!AL$10&amp;'Reg 85'!$B195),('DMR 001C TIN &amp; TP'!$E$3:$E$10005&amp;'DMR 001C TIN &amp; TP'!$B$3:$B$10005&amp;'DMR 001C TIN &amp; TP'!$A$3:$A$10005),0),MATCH('Reg 85'!$AG$11,'DMR 001C TIN &amp; TP'!$A$2:$M$2,0))),"")</f>
        <v/>
      </c>
      <c r="AM195" s="76"/>
      <c r="AN195" s="6"/>
      <c r="AO195" s="54">
        <f t="shared" si="62"/>
        <v>7.8191460863754205</v>
      </c>
      <c r="AP195" s="77" t="str">
        <f t="shared" si="81"/>
        <v/>
      </c>
      <c r="AQ195" s="47"/>
      <c r="AR195" s="6" t="str">
        <f t="array" ref="AR195">_xlfn.IFNA((INDEX('DMR 001C TIN &amp; TP'!$A$3:$M$10005,MATCH(('Reg 85'!$AQ$6&amp;'Reg 85'!$AQ$10&amp;'Reg 85'!$B195),('DMR 001C TIN &amp; TP'!$E$3:$E$10005&amp;'DMR 001C TIN &amp; TP'!$B$3:$B$10005&amp;'DMR 001C TIN &amp; TP'!$A$3:$A$10005),0),MATCH('Reg 85'!$AR$11,'DMR 001C TIN &amp; TP'!$A$2:$M$2,0))),"")</f>
        <v/>
      </c>
      <c r="AS195" s="6" t="str">
        <f t="array" ref="AS195">_xlfn.IFNA((INDEX('DMR 001C TIN &amp; TP'!$A$3:$M$10005,MATCH(('Reg 85'!$AQ$6&amp;'Reg 85'!$AQ$10&amp;'Reg 85'!$B195),('DMR 001C TIN &amp; TP'!$E$3:$E$10005&amp;'DMR 001C TIN &amp; TP'!$B$3:$B$10005&amp;'DMR 001C TIN &amp; TP'!$A$3:$A$10005),0),MATCH('Reg 85'!$AS$11,'DMR 001C TIN &amp; TP'!$A$2:$M$2,0))),"")</f>
        <v/>
      </c>
      <c r="AT195" s="53" t="str">
        <f t="shared" si="76"/>
        <v/>
      </c>
      <c r="AV195" s="6" t="str">
        <f t="array" ref="AV195">_xlfn.IFNA((INDEX('DMR 001C TIN &amp; TP'!$A$3:$M$10005,MATCH(('Reg 85'!$AQ$6&amp;'Reg 85'!$AU$10&amp;'Reg 85'!$B195),('DMR 001C TIN &amp; TP'!$E$3:$E$10005&amp;'DMR 001C TIN &amp; TP'!$B$3:$B$10005&amp;'DMR 001C TIN &amp; TP'!$A$3:$A$10005),0),MATCH('Reg 85'!$AV$11,'DMR 001C TIN &amp; TP'!$A$2:$M$2,0))),"")</f>
        <v/>
      </c>
      <c r="AW195" s="6" t="str">
        <f t="array" ref="AW195">_xlfn.IFNA((INDEX('DMR 001C TIN &amp; TP'!$A$3:$M$10005,MATCH(('Reg 85'!$AQ$6&amp;'Reg 85'!$AU$10&amp;'Reg 85'!$B195),('DMR 001C TIN &amp; TP'!$E$3:$E$10005&amp;'DMR 001C TIN &amp; TP'!$B$3:$B$10005&amp;'DMR 001C TIN &amp; TP'!$A$3:$A$10005),0),MATCH('Reg 85'!$AW$11,'DMR 001C TIN &amp; TP'!$A$2:$M$2,0))),"")</f>
        <v/>
      </c>
      <c r="AX195" s="53" t="str">
        <f t="shared" si="77"/>
        <v/>
      </c>
      <c r="AY195" s="55" t="str">
        <f t="shared" si="78"/>
        <v/>
      </c>
      <c r="AZ195" s="77" t="str">
        <f t="shared" si="82"/>
        <v/>
      </c>
      <c r="BA195" s="6" t="str">
        <f t="array" ref="BA195">_xlfn.IFNA((INDEX('DMR 001C TIN &amp; TP'!$A$3:$M$10005,MATCH(('Reg 85'!$AQ$6&amp;'Reg 85'!BA$10&amp;'Reg 85'!$B195),('DMR 001C TIN &amp; TP'!$E$3:$E$10005&amp;'DMR 001C TIN &amp; TP'!$B$3:$B$10005&amp;'DMR 001C TIN &amp; TP'!$A$3:$A$10005),0),MATCH('Reg 85'!$AG$11,'DMR 001C TIN &amp; TP'!$A$2:$M$2,0))),"")</f>
        <v/>
      </c>
      <c r="BB195" s="6" t="str">
        <f t="array" ref="BB195">_xlfn.IFNA((INDEX('DMR 001C TIN &amp; TP'!$A$3:$M$10005,MATCH(('Reg 85'!$AQ$6&amp;'Reg 85'!BB$10&amp;'Reg 85'!$B195),('DMR 001C TIN &amp; TP'!$E$3:$E$10005&amp;'DMR 001C TIN &amp; TP'!$B$3:$B$10005&amp;'DMR 001C TIN &amp; TP'!$A$3:$A$10005),0),MATCH('Reg 85'!$AG$11,'DMR 001C TIN &amp; TP'!$A$2:$M$2,0))),"")</f>
        <v/>
      </c>
      <c r="BC195" s="6" t="str">
        <f t="array" ref="BC195">_xlfn.IFNA((INDEX('DMR 001C TIN &amp; TP'!$A$3:$M$10005,MATCH(('Reg 85'!$AQ$6&amp;'Reg 85'!BC$10&amp;'Reg 85'!$B195),('DMR 001C TIN &amp; TP'!$E$3:$E$10005&amp;'DMR 001C TIN &amp; TP'!$B$3:$B$10005&amp;'DMR 001C TIN &amp; TP'!$A$3:$A$10005),0),MATCH('Reg 85'!$AG$11,'DMR 001C TIN &amp; TP'!$A$2:$M$2,0))),"")</f>
        <v/>
      </c>
      <c r="BD195" s="6" t="str">
        <f t="array" ref="BD195">_xlfn.IFNA((INDEX('DMR 001C TIN &amp; TP'!$A$3:$M$10005,MATCH(('Reg 85'!$AQ$6&amp;'Reg 85'!BD$10&amp;'Reg 85'!$B195),('DMR 001C TIN &amp; TP'!$E$3:$E$10005&amp;'DMR 001C TIN &amp; TP'!$B$3:$B$10005&amp;'DMR 001C TIN &amp; TP'!$A$3:$A$10005),0),MATCH('Reg 85'!$AG$11,'DMR 001C TIN &amp; TP'!$A$2:$M$2,0))),"")</f>
        <v/>
      </c>
      <c r="BE195" s="6" t="str">
        <f t="array" ref="BE195">_xlfn.IFNA((INDEX('DMR 001C TIN &amp; TP'!$A$3:$M$10005,MATCH(('Reg 85'!$AQ$6&amp;'Reg 85'!BE$10&amp;'Reg 85'!$B195),('DMR 001C TIN &amp; TP'!$E$3:$E$10005&amp;'DMR 001C TIN &amp; TP'!$B$3:$B$10005&amp;'DMR 001C TIN &amp; TP'!$A$3:$A$10005),0),MATCH('Reg 85'!$AG$11,'DMR 001C TIN &amp; TP'!$A$2:$M$2,0))),"")</f>
        <v/>
      </c>
      <c r="BF195" s="6" t="str">
        <f t="array" ref="BF195">_xlfn.IFNA((INDEX('DMR 001C TIN &amp; TP'!$A$3:$M$10005,MATCH(('Reg 85'!$AQ$6&amp;'Reg 85'!BF$10&amp;'Reg 85'!$B195),('DMR 001C TIN &amp; TP'!$E$3:$E$10005&amp;'DMR 001C TIN &amp; TP'!$B$3:$B$10005&amp;'DMR 001C TIN &amp; TP'!$A$3:$A$10005),0),MATCH('Reg 85'!$AG$11,'DMR 001C TIN &amp; TP'!$A$2:$M$2,0))),"")</f>
        <v/>
      </c>
    </row>
    <row r="196" spans="1:58">
      <c r="A196" s="3" t="str">
        <f t="shared" si="63"/>
        <v>Mon</v>
      </c>
      <c r="B196" s="96">
        <f t="shared" si="79"/>
        <v>43528</v>
      </c>
      <c r="C196" s="96">
        <f t="shared" si="64"/>
        <v>43555</v>
      </c>
      <c r="D196" s="96">
        <f t="shared" si="65"/>
        <v>43525</v>
      </c>
      <c r="E196" s="95">
        <f t="shared" si="66"/>
        <v>31</v>
      </c>
      <c r="F196" s="7">
        <f t="array" ref="F196">_xlfn.IFNA(INDEX('DMR Flows-Effluent'!$A$3:$F$9999,MATCH(($F$10&amp;$B196),('DMR Flows-Effluent'!$B$3:$B$9999&amp;'DMR Flows-Effluent'!$A$3:$A$9999),0),MATCH($F$8,'DMR Flows-Effluent'!$A$2:$F$2,0)),"")</f>
        <v>60.769199999999998</v>
      </c>
      <c r="G196" s="7">
        <f t="array" ref="G196">_xlfn.IFNA(INDEX('DMR Flows-Effluent'!$A$3:$F$9999,MATCH(($G$10&amp;$B196),('DMR Flows-Effluent'!$B$3:$B$9999&amp;'DMR Flows-Effluent'!$A$3:$A$9999),0),MATCH($F$8,'DMR Flows-Effluent'!$A$2:$F$2,0)),"")</f>
        <v>62.953200000000002</v>
      </c>
      <c r="H196" s="7">
        <f t="shared" si="67"/>
        <v>123.72239999999999</v>
      </c>
      <c r="I196" s="45" t="str">
        <f t="shared" si="68"/>
        <v/>
      </c>
      <c r="J196" s="6" t="str">
        <f t="array" ref="J196">_xlfn.IFNA((INDEX('DMR 001C TIN &amp; TP'!$A$3:$M$10005,MATCH(('Reg 85'!$I$6:$Q$6&amp;'Reg 85'!$I$10:$K$10&amp;'Reg 85'!$B196),('DMR 001C TIN &amp; TP'!$E$3:$E$10005&amp;'DMR 001C TIN &amp; TP'!$B$3:$B$10005&amp;'DMR 001C TIN &amp; TP'!$A$3:$A$10005),0),MATCH('Reg 85'!$J$11,'DMR 001C TIN &amp; TP'!$A$2:$M$2,0))),"")</f>
        <v>0.15</v>
      </c>
      <c r="K196" s="6">
        <f t="array" ref="K196">_xlfn.IFNA((INDEX('DMR 001C TIN &amp; TP'!$A$3:$M$10005,MATCH(('Reg 85'!$I$6:$Q$6&amp;'Reg 85'!$I$10:$K$10&amp;'Reg 85'!$B196),('DMR 001C TIN &amp; TP'!$E$3:$E$10005&amp;'DMR 001C TIN &amp; TP'!$B$3:$B$10005&amp;'DMR 001C TIN &amp; TP'!$A$3:$A$10005),0),MATCH('Reg 85'!$K$11,'DMR 001C TIN &amp; TP'!$A$2:$M$2,0))),"")</f>
        <v>0.99</v>
      </c>
      <c r="L196" s="53">
        <f t="shared" si="80"/>
        <v>0.99</v>
      </c>
      <c r="M196" s="5" t="str">
        <f t="shared" si="69"/>
        <v/>
      </c>
      <c r="N196" s="6" t="str">
        <f t="array" ref="N196">_xlfn.IFNA((INDEX('DMR 001C TIN &amp; TP'!$A$3:$M$10005,MATCH(('Reg 85'!$I$6:$Q$6&amp;'Reg 85'!$M$10&amp;'Reg 85'!$B196),('DMR 001C TIN &amp; TP'!$E$3:$E$10005&amp;'DMR 001C TIN &amp; TP'!$B$3:$B$10005&amp;'DMR 001C TIN &amp; TP'!$A$3:$A$10005),0),MATCH('Reg 85'!$N$11,'DMR 001C TIN &amp; TP'!$A$2:$M$2,0))),"")</f>
        <v>0.15</v>
      </c>
      <c r="O196" s="6">
        <f t="array" ref="O196">_xlfn.IFNA((INDEX('DMR 001C TIN &amp; TP'!$A$3:$M$10005,MATCH(('Reg 85'!$I$6:$Q$6&amp;'Reg 85'!$M$10&amp;'Reg 85'!$B196),('DMR 001C TIN &amp; TP'!$E$3:$E$10005&amp;'DMR 001C TIN &amp; TP'!$B$3:$B$10005&amp;'DMR 001C TIN &amp; TP'!$A$3:$A$10005),0),MATCH('Reg 85'!$O$11,'DMR 001C TIN &amp; TP'!$A$2:$M$2,0))),"")</f>
        <v>1.35</v>
      </c>
      <c r="P196" s="53">
        <f t="shared" si="70"/>
        <v>1.35</v>
      </c>
      <c r="Q196" s="73">
        <f t="array" ref="Q196">IFERROR(((L196*$F196)+(P196*$G196))/($H196),"")</f>
        <v>1.1731774359372271</v>
      </c>
      <c r="R196" s="6" t="str">
        <f t="array" ref="R196">_xlfn.IFNA((INDEX('DMR 001C TIN &amp; TP'!$A$3:$M$10005,MATCH(('Reg 85'!$I$6:$Q$6&amp;'Reg 85'!R$10&amp;'Reg 85'!$B196),('DMR 001C TIN &amp; TP'!$E$3:$E$10005&amp;'DMR 001C TIN &amp; TP'!$B$3:$B$10005&amp;'DMR 001C TIN &amp; TP'!$A$3:$A$10005),0),MATCH('Reg 85'!$O$11,'DMR 001C TIN &amp; TP'!$A$2:$M$2,0))),"")</f>
        <v/>
      </c>
      <c r="S196" s="6" t="str">
        <f t="array" ref="S196">_xlfn.IFNA((INDEX('DMR 001C TIN &amp; TP'!$A$3:$M$10005,MATCH(('Reg 85'!$I$6:$Q$6&amp;'Reg 85'!S$10&amp;'Reg 85'!$B196),('DMR 001C TIN &amp; TP'!$E$3:$E$10005&amp;'DMR 001C TIN &amp; TP'!$B$3:$B$10005&amp;'DMR 001C TIN &amp; TP'!$A$3:$A$10005),0),MATCH('Reg 85'!$O$11,'DMR 001C TIN &amp; TP'!$A$2:$M$2,0))),"")</f>
        <v/>
      </c>
      <c r="T196" s="6" t="str">
        <f t="array" ref="T196">_xlfn.IFNA((INDEX('DMR 001C TIN &amp; TP'!$A$3:$M$10005,MATCH(('Reg 85'!$I$6:$Q$6&amp;'Reg 85'!T$10&amp;'Reg 85'!$B196),('DMR 001C TIN &amp; TP'!$E$3:$E$10005&amp;'DMR 001C TIN &amp; TP'!$B$3:$B$10005&amp;'DMR 001C TIN &amp; TP'!$A$3:$A$10005),0),MATCH('Reg 85'!$O$11,'DMR 001C TIN &amp; TP'!$A$2:$M$2,0))),"")</f>
        <v/>
      </c>
      <c r="U196" s="6" t="str">
        <f t="array" ref="U196">_xlfn.IFNA((INDEX('DMR 001C TIN &amp; TP'!$A$3:$M$10005,MATCH(('Reg 85'!$I$6:$Q$6&amp;'Reg 85'!U$10&amp;'Reg 85'!$B196),('DMR 001C TIN &amp; TP'!$E$3:$E$10005&amp;'DMR 001C TIN &amp; TP'!$B$3:$B$10005&amp;'DMR 001C TIN &amp; TP'!$A$3:$A$10005),0),MATCH('Reg 85'!$O$11,'DMR 001C TIN &amp; TP'!$A$2:$M$2,0))),"")</f>
        <v/>
      </c>
      <c r="V196" s="6" t="str">
        <f t="array" ref="V196">_xlfn.IFNA((INDEX('DMR 001C TIN &amp; TP'!$A$3:$M$10005,MATCH(('Reg 85'!$I$6:$Q$6&amp;'Reg 85'!V$10&amp;'Reg 85'!$B196),('DMR 001C TIN &amp; TP'!$E$3:$E$10005&amp;'DMR 001C TIN &amp; TP'!$B$3:$B$10005&amp;'DMR 001C TIN &amp; TP'!$A$3:$A$10005),0),MATCH('Reg 85'!$O$11,'DMR 001C TIN &amp; TP'!$A$2:$M$2,0))),"")</f>
        <v/>
      </c>
      <c r="W196" s="6" t="str">
        <f t="array" ref="W196">_xlfn.IFNA((INDEX('DMR 001C TIN &amp; TP'!$A$3:$M$10005,MATCH(('Reg 85'!$I$6:$Q$6&amp;'Reg 85'!W$10&amp;'Reg 85'!$B196),('DMR 001C TIN &amp; TP'!$E$3:$E$10005&amp;'DMR 001C TIN &amp; TP'!$B$3:$B$10005&amp;'DMR 001C TIN &amp; TP'!$A$3:$A$10005),0),MATCH('Reg 85'!$O$11,'DMR 001C TIN &amp; TP'!$A$2:$M$2,0))),"")</f>
        <v/>
      </c>
      <c r="X196" s="5" t="str">
        <f t="shared" si="71"/>
        <v/>
      </c>
      <c r="Y196" s="6" t="str">
        <f t="array" ref="Y196">_xlfn.IFNA((INDEX('DMR 001C TIN &amp; TP'!$A$3:$M$10005,MATCH(('Reg 85'!$X$6&amp;'Reg 85'!$X$10&amp;'Reg 85'!$B196),('DMR 001C TIN &amp; TP'!$E$3:$E$10005&amp;'DMR 001C TIN &amp; TP'!$B$3:$B$10005&amp;'DMR 001C TIN &amp; TP'!$A$3:$A$10005),0),MATCH('Reg 85'!$Y$11,'DMR 001C TIN &amp; TP'!$A$2:$M$2,0))),"")</f>
        <v>0.12</v>
      </c>
      <c r="Z196" s="6">
        <f t="array" ref="Z196">_xlfn.IFNA((INDEX('DMR 001C TIN &amp; TP'!$A$3:$M$10005,MATCH(('Reg 85'!$X$6&amp;'Reg 85'!$X$10&amp;'Reg 85'!$B196),('DMR 001C TIN &amp; TP'!$E$3:$E$10005&amp;'DMR 001C TIN &amp; TP'!$B$3:$B$10005&amp;'DMR 001C TIN &amp; TP'!$A$3:$A$10005),0),MATCH('Reg 85'!$Z$11,'DMR 001C TIN &amp; TP'!$A$2:$M$2,0))),"")</f>
        <v>4.95</v>
      </c>
      <c r="AA196" s="53">
        <f t="shared" si="72"/>
        <v>4.95</v>
      </c>
      <c r="AB196" s="5" t="str">
        <f t="shared" si="73"/>
        <v/>
      </c>
      <c r="AC196" s="6" t="str">
        <f t="array" ref="AC196">_xlfn.IFNA((INDEX('DMR 001C TIN &amp; TP'!$A$3:$M$10005,MATCH(('Reg 85'!$X$6&amp;'Reg 85'!$AB$10&amp;'Reg 85'!$B196),('DMR 001C TIN &amp; TP'!$E$3:$E$10005&amp;'DMR 001C TIN &amp; TP'!$B$3:$B$10005&amp;'DMR 001C TIN &amp; TP'!$A$3:$A$10005),0),MATCH('Reg 85'!$AC$11,'DMR 001C TIN &amp; TP'!$A$2:$M$2,0))),"")</f>
        <v>0.06</v>
      </c>
      <c r="AD196" s="6">
        <f t="array" ref="AD196">_xlfn.IFNA((INDEX('DMR 001C TIN &amp; TP'!$A$3:$M$10005,MATCH(('Reg 85'!$X$6&amp;'Reg 85'!$AB$10&amp;'Reg 85'!$B196),('DMR 001C TIN &amp; TP'!$E$3:$E$10005&amp;'DMR 001C TIN &amp; TP'!$B$3:$B$10005&amp;'DMR 001C TIN &amp; TP'!$A$3:$A$10005),0),MATCH('Reg 85'!$AD$11,'DMR 001C TIN &amp; TP'!$A$2:$M$2,0))),"")</f>
        <v>6.03</v>
      </c>
      <c r="AE196" s="53">
        <f t="shared" si="74"/>
        <v>6.03</v>
      </c>
      <c r="AF196" s="7">
        <f t="shared" si="75"/>
        <v>5.4995323078116822</v>
      </c>
      <c r="AG196" s="6" t="str">
        <f t="array" ref="AG196">_xlfn.IFNA((INDEX('DMR 001C TIN &amp; TP'!$A$3:$M$10005,MATCH(('Reg 85'!$X$6&amp;'Reg 85'!AG$10&amp;'Reg 85'!$B196),('DMR 001C TIN &amp; TP'!$E$3:$E$10005&amp;'DMR 001C TIN &amp; TP'!$B$3:$B$10005&amp;'DMR 001C TIN &amp; TP'!$A$3:$A$10005),0),MATCH('Reg 85'!$AG$11,'DMR 001C TIN &amp; TP'!$A$2:$M$2,0))),"")</f>
        <v/>
      </c>
      <c r="AH196" s="6" t="str">
        <f t="array" ref="AH196">_xlfn.IFNA((INDEX('DMR 001C TIN &amp; TP'!$A$3:$M$10005,MATCH(('Reg 85'!$X$6&amp;'Reg 85'!AH$10&amp;'Reg 85'!$B196),('DMR 001C TIN &amp; TP'!$E$3:$E$10005&amp;'DMR 001C TIN &amp; TP'!$B$3:$B$10005&amp;'DMR 001C TIN &amp; TP'!$A$3:$A$10005),0),MATCH('Reg 85'!$AG$11,'DMR 001C TIN &amp; TP'!$A$2:$M$2,0))),"")</f>
        <v/>
      </c>
      <c r="AI196" s="6" t="str">
        <f t="array" ref="AI196">_xlfn.IFNA((INDEX('DMR 001C TIN &amp; TP'!$A$3:$M$10005,MATCH(('Reg 85'!$X$6&amp;'Reg 85'!AI$10&amp;'Reg 85'!$B196),('DMR 001C TIN &amp; TP'!$E$3:$E$10005&amp;'DMR 001C TIN &amp; TP'!$B$3:$B$10005&amp;'DMR 001C TIN &amp; TP'!$A$3:$A$10005),0),MATCH('Reg 85'!$AG$11,'DMR 001C TIN &amp; TP'!$A$2:$M$2,0))),"")</f>
        <v/>
      </c>
      <c r="AJ196" s="6" t="str">
        <f t="array" ref="AJ196">_xlfn.IFNA((INDEX('DMR 001C TIN &amp; TP'!$A$3:$M$10005,MATCH(('Reg 85'!$X$6&amp;'Reg 85'!AJ$10&amp;'Reg 85'!$B196),('DMR 001C TIN &amp; TP'!$E$3:$E$10005&amp;'DMR 001C TIN &amp; TP'!$B$3:$B$10005&amp;'DMR 001C TIN &amp; TP'!$A$3:$A$10005),0),MATCH('Reg 85'!$AG$11,'DMR 001C TIN &amp; TP'!$A$2:$M$2,0))),"")</f>
        <v/>
      </c>
      <c r="AK196" s="6" t="str">
        <f t="array" ref="AK196">_xlfn.IFNA((INDEX('DMR 001C TIN &amp; TP'!$A$3:$M$10005,MATCH(('Reg 85'!$X$6&amp;'Reg 85'!AK$10&amp;'Reg 85'!$B196),('DMR 001C TIN &amp; TP'!$E$3:$E$10005&amp;'DMR 001C TIN &amp; TP'!$B$3:$B$10005&amp;'DMR 001C TIN &amp; TP'!$A$3:$A$10005),0),MATCH('Reg 85'!$AG$11,'DMR 001C TIN &amp; TP'!$A$2:$M$2,0))),"")</f>
        <v/>
      </c>
      <c r="AL196" s="6" t="str">
        <f t="array" ref="AL196">_xlfn.IFNA((INDEX('DMR 001C TIN &amp; TP'!$A$3:$M$10005,MATCH(('Reg 85'!$X$6&amp;'Reg 85'!AL$10&amp;'Reg 85'!$B196),('DMR 001C TIN &amp; TP'!$E$3:$E$10005&amp;'DMR 001C TIN &amp; TP'!$B$3:$B$10005&amp;'DMR 001C TIN &amp; TP'!$A$3:$A$10005),0),MATCH('Reg 85'!$AG$11,'DMR 001C TIN &amp; TP'!$A$2:$M$2,0))),"")</f>
        <v/>
      </c>
      <c r="AM196" s="76"/>
      <c r="AN196" s="6"/>
      <c r="AO196" s="54">
        <f t="shared" si="62"/>
        <v>6.6727097437489089</v>
      </c>
      <c r="AP196" s="77" t="str">
        <f t="shared" si="81"/>
        <v/>
      </c>
      <c r="AQ196" s="47"/>
      <c r="AR196" s="6" t="str">
        <f t="array" ref="AR196">_xlfn.IFNA((INDEX('DMR 001C TIN &amp; TP'!$A$3:$M$10005,MATCH(('Reg 85'!$AQ$6&amp;'Reg 85'!$AQ$10&amp;'Reg 85'!$B196),('DMR 001C TIN &amp; TP'!$E$3:$E$10005&amp;'DMR 001C TIN &amp; TP'!$B$3:$B$10005&amp;'DMR 001C TIN &amp; TP'!$A$3:$A$10005),0),MATCH('Reg 85'!$AR$11,'DMR 001C TIN &amp; TP'!$A$2:$M$2,0))),"")</f>
        <v/>
      </c>
      <c r="AS196" s="6" t="str">
        <f t="array" ref="AS196">_xlfn.IFNA((INDEX('DMR 001C TIN &amp; TP'!$A$3:$M$10005,MATCH(('Reg 85'!$AQ$6&amp;'Reg 85'!$AQ$10&amp;'Reg 85'!$B196),('DMR 001C TIN &amp; TP'!$E$3:$E$10005&amp;'DMR 001C TIN &amp; TP'!$B$3:$B$10005&amp;'DMR 001C TIN &amp; TP'!$A$3:$A$10005),0),MATCH('Reg 85'!$AS$11,'DMR 001C TIN &amp; TP'!$A$2:$M$2,0))),"")</f>
        <v/>
      </c>
      <c r="AT196" s="53" t="str">
        <f t="shared" si="76"/>
        <v/>
      </c>
      <c r="AV196" s="6" t="str">
        <f t="array" ref="AV196">_xlfn.IFNA((INDEX('DMR 001C TIN &amp; TP'!$A$3:$M$10005,MATCH(('Reg 85'!$AQ$6&amp;'Reg 85'!$AU$10&amp;'Reg 85'!$B196),('DMR 001C TIN &amp; TP'!$E$3:$E$10005&amp;'DMR 001C TIN &amp; TP'!$B$3:$B$10005&amp;'DMR 001C TIN &amp; TP'!$A$3:$A$10005),0),MATCH('Reg 85'!$AV$11,'DMR 001C TIN &amp; TP'!$A$2:$M$2,0))),"")</f>
        <v/>
      </c>
      <c r="AW196" s="6" t="str">
        <f t="array" ref="AW196">_xlfn.IFNA((INDEX('DMR 001C TIN &amp; TP'!$A$3:$M$10005,MATCH(('Reg 85'!$AQ$6&amp;'Reg 85'!$AU$10&amp;'Reg 85'!$B196),('DMR 001C TIN &amp; TP'!$E$3:$E$10005&amp;'DMR 001C TIN &amp; TP'!$B$3:$B$10005&amp;'DMR 001C TIN &amp; TP'!$A$3:$A$10005),0),MATCH('Reg 85'!$AW$11,'DMR 001C TIN &amp; TP'!$A$2:$M$2,0))),"")</f>
        <v/>
      </c>
      <c r="AX196" s="53" t="str">
        <f t="shared" si="77"/>
        <v/>
      </c>
      <c r="AY196" s="55" t="str">
        <f t="shared" si="78"/>
        <v/>
      </c>
      <c r="AZ196" s="77" t="str">
        <f t="shared" si="82"/>
        <v/>
      </c>
      <c r="BA196" s="6" t="str">
        <f t="array" ref="BA196">_xlfn.IFNA((INDEX('DMR 001C TIN &amp; TP'!$A$3:$M$10005,MATCH(('Reg 85'!$AQ$6&amp;'Reg 85'!BA$10&amp;'Reg 85'!$B196),('DMR 001C TIN &amp; TP'!$E$3:$E$10005&amp;'DMR 001C TIN &amp; TP'!$B$3:$B$10005&amp;'DMR 001C TIN &amp; TP'!$A$3:$A$10005),0),MATCH('Reg 85'!$AG$11,'DMR 001C TIN &amp; TP'!$A$2:$M$2,0))),"")</f>
        <v/>
      </c>
      <c r="BB196" s="6" t="str">
        <f t="array" ref="BB196">_xlfn.IFNA((INDEX('DMR 001C TIN &amp; TP'!$A$3:$M$10005,MATCH(('Reg 85'!$AQ$6&amp;'Reg 85'!BB$10&amp;'Reg 85'!$B196),('DMR 001C TIN &amp; TP'!$E$3:$E$10005&amp;'DMR 001C TIN &amp; TP'!$B$3:$B$10005&amp;'DMR 001C TIN &amp; TP'!$A$3:$A$10005),0),MATCH('Reg 85'!$AG$11,'DMR 001C TIN &amp; TP'!$A$2:$M$2,0))),"")</f>
        <v/>
      </c>
      <c r="BC196" s="6" t="str">
        <f t="array" ref="BC196">_xlfn.IFNA((INDEX('DMR 001C TIN &amp; TP'!$A$3:$M$10005,MATCH(('Reg 85'!$AQ$6&amp;'Reg 85'!BC$10&amp;'Reg 85'!$B196),('DMR 001C TIN &amp; TP'!$E$3:$E$10005&amp;'DMR 001C TIN &amp; TP'!$B$3:$B$10005&amp;'DMR 001C TIN &amp; TP'!$A$3:$A$10005),0),MATCH('Reg 85'!$AG$11,'DMR 001C TIN &amp; TP'!$A$2:$M$2,0))),"")</f>
        <v/>
      </c>
      <c r="BD196" s="6" t="str">
        <f t="array" ref="BD196">_xlfn.IFNA((INDEX('DMR 001C TIN &amp; TP'!$A$3:$M$10005,MATCH(('Reg 85'!$AQ$6&amp;'Reg 85'!BD$10&amp;'Reg 85'!$B196),('DMR 001C TIN &amp; TP'!$E$3:$E$10005&amp;'DMR 001C TIN &amp; TP'!$B$3:$B$10005&amp;'DMR 001C TIN &amp; TP'!$A$3:$A$10005),0),MATCH('Reg 85'!$AG$11,'DMR 001C TIN &amp; TP'!$A$2:$M$2,0))),"")</f>
        <v/>
      </c>
      <c r="BE196" s="6" t="str">
        <f t="array" ref="BE196">_xlfn.IFNA((INDEX('DMR 001C TIN &amp; TP'!$A$3:$M$10005,MATCH(('Reg 85'!$AQ$6&amp;'Reg 85'!BE$10&amp;'Reg 85'!$B196),('DMR 001C TIN &amp; TP'!$E$3:$E$10005&amp;'DMR 001C TIN &amp; TP'!$B$3:$B$10005&amp;'DMR 001C TIN &amp; TP'!$A$3:$A$10005),0),MATCH('Reg 85'!$AG$11,'DMR 001C TIN &amp; TP'!$A$2:$M$2,0))),"")</f>
        <v/>
      </c>
      <c r="BF196" s="6" t="str">
        <f t="array" ref="BF196">_xlfn.IFNA((INDEX('DMR 001C TIN &amp; TP'!$A$3:$M$10005,MATCH(('Reg 85'!$AQ$6&amp;'Reg 85'!BF$10&amp;'Reg 85'!$B196),('DMR 001C TIN &amp; TP'!$E$3:$E$10005&amp;'DMR 001C TIN &amp; TP'!$B$3:$B$10005&amp;'DMR 001C TIN &amp; TP'!$A$3:$A$10005),0),MATCH('Reg 85'!$AG$11,'DMR 001C TIN &amp; TP'!$A$2:$M$2,0))),"")</f>
        <v/>
      </c>
    </row>
    <row r="197" spans="1:58">
      <c r="A197" s="3" t="str">
        <f t="shared" si="63"/>
        <v>Tue</v>
      </c>
      <c r="B197" s="96">
        <f t="shared" si="79"/>
        <v>43529</v>
      </c>
      <c r="C197" s="96">
        <f t="shared" si="64"/>
        <v>43555</v>
      </c>
      <c r="D197" s="96">
        <f t="shared" si="65"/>
        <v>43525</v>
      </c>
      <c r="E197" s="95">
        <f t="shared" si="66"/>
        <v>31</v>
      </c>
      <c r="F197" s="7">
        <f t="array" ref="F197">_xlfn.IFNA(INDEX('DMR Flows-Effluent'!$A$3:$F$9999,MATCH(($F$10&amp;$B197),('DMR Flows-Effluent'!$B$3:$B$9999&amp;'DMR Flows-Effluent'!$A$3:$A$9999),0),MATCH($F$8,'DMR Flows-Effluent'!$A$2:$F$2,0)),"")</f>
        <v>61.797699999999999</v>
      </c>
      <c r="G197" s="7">
        <f t="array" ref="G197">_xlfn.IFNA(INDEX('DMR Flows-Effluent'!$A$3:$F$9999,MATCH(($G$10&amp;$B197),('DMR Flows-Effluent'!$B$3:$B$9999&amp;'DMR Flows-Effluent'!$A$3:$A$9999),0),MATCH($F$8,'DMR Flows-Effluent'!$A$2:$F$2,0)),"")</f>
        <v>64.742000000000004</v>
      </c>
      <c r="H197" s="7">
        <f t="shared" si="67"/>
        <v>126.53970000000001</v>
      </c>
      <c r="I197" s="45" t="str">
        <f t="shared" si="68"/>
        <v/>
      </c>
      <c r="J197" s="6" t="str">
        <f t="array" ref="J197">_xlfn.IFNA((INDEX('DMR 001C TIN &amp; TP'!$A$3:$M$10005,MATCH(('Reg 85'!$I$6:$Q$6&amp;'Reg 85'!$I$10:$K$10&amp;'Reg 85'!$B197),('DMR 001C TIN &amp; TP'!$E$3:$E$10005&amp;'DMR 001C TIN &amp; TP'!$B$3:$B$10005&amp;'DMR 001C TIN &amp; TP'!$A$3:$A$10005),0),MATCH('Reg 85'!$J$11,'DMR 001C TIN &amp; TP'!$A$2:$M$2,0))),"")</f>
        <v>0.15</v>
      </c>
      <c r="K197" s="6">
        <f t="array" ref="K197">_xlfn.IFNA((INDEX('DMR 001C TIN &amp; TP'!$A$3:$M$10005,MATCH(('Reg 85'!$I$6:$Q$6&amp;'Reg 85'!$I$10:$K$10&amp;'Reg 85'!$B197),('DMR 001C TIN &amp; TP'!$E$3:$E$10005&amp;'DMR 001C TIN &amp; TP'!$B$3:$B$10005&amp;'DMR 001C TIN &amp; TP'!$A$3:$A$10005),0),MATCH('Reg 85'!$K$11,'DMR 001C TIN &amp; TP'!$A$2:$M$2,0))),"")</f>
        <v>0.56999999999999995</v>
      </c>
      <c r="L197" s="53">
        <f t="shared" si="80"/>
        <v>0.56999999999999995</v>
      </c>
      <c r="M197" s="5" t="str">
        <f t="shared" si="69"/>
        <v/>
      </c>
      <c r="N197" s="6" t="str">
        <f t="array" ref="N197">_xlfn.IFNA((INDEX('DMR 001C TIN &amp; TP'!$A$3:$M$10005,MATCH(('Reg 85'!$I$6:$Q$6&amp;'Reg 85'!$M$10&amp;'Reg 85'!$B197),('DMR 001C TIN &amp; TP'!$E$3:$E$10005&amp;'DMR 001C TIN &amp; TP'!$B$3:$B$10005&amp;'DMR 001C TIN &amp; TP'!$A$3:$A$10005),0),MATCH('Reg 85'!$N$11,'DMR 001C TIN &amp; TP'!$A$2:$M$2,0))),"")</f>
        <v>0.15</v>
      </c>
      <c r="O197" s="6">
        <f t="array" ref="O197">_xlfn.IFNA((INDEX('DMR 001C TIN &amp; TP'!$A$3:$M$10005,MATCH(('Reg 85'!$I$6:$Q$6&amp;'Reg 85'!$M$10&amp;'Reg 85'!$B197),('DMR 001C TIN &amp; TP'!$E$3:$E$10005&amp;'DMR 001C TIN &amp; TP'!$B$3:$B$10005&amp;'DMR 001C TIN &amp; TP'!$A$3:$A$10005),0),MATCH('Reg 85'!$O$11,'DMR 001C TIN &amp; TP'!$A$2:$M$2,0))),"")</f>
        <v>0.99</v>
      </c>
      <c r="P197" s="53">
        <f t="shared" si="70"/>
        <v>0.99</v>
      </c>
      <c r="Q197" s="73">
        <f t="array" ref="Q197">IFERROR(((L197*$F197)+(P197*$G197))/($H197),"")</f>
        <v>0.78488623728363505</v>
      </c>
      <c r="R197" s="6" t="str">
        <f t="array" ref="R197">_xlfn.IFNA((INDEX('DMR 001C TIN &amp; TP'!$A$3:$M$10005,MATCH(('Reg 85'!$I$6:$Q$6&amp;'Reg 85'!R$10&amp;'Reg 85'!$B197),('DMR 001C TIN &amp; TP'!$E$3:$E$10005&amp;'DMR 001C TIN &amp; TP'!$B$3:$B$10005&amp;'DMR 001C TIN &amp; TP'!$A$3:$A$10005),0),MATCH('Reg 85'!$O$11,'DMR 001C TIN &amp; TP'!$A$2:$M$2,0))),"")</f>
        <v/>
      </c>
      <c r="S197" s="6" t="str">
        <f t="array" ref="S197">_xlfn.IFNA((INDEX('DMR 001C TIN &amp; TP'!$A$3:$M$10005,MATCH(('Reg 85'!$I$6:$Q$6&amp;'Reg 85'!S$10&amp;'Reg 85'!$B197),('DMR 001C TIN &amp; TP'!$E$3:$E$10005&amp;'DMR 001C TIN &amp; TP'!$B$3:$B$10005&amp;'DMR 001C TIN &amp; TP'!$A$3:$A$10005),0),MATCH('Reg 85'!$O$11,'DMR 001C TIN &amp; TP'!$A$2:$M$2,0))),"")</f>
        <v/>
      </c>
      <c r="T197" s="6" t="str">
        <f t="array" ref="T197">_xlfn.IFNA((INDEX('DMR 001C TIN &amp; TP'!$A$3:$M$10005,MATCH(('Reg 85'!$I$6:$Q$6&amp;'Reg 85'!T$10&amp;'Reg 85'!$B197),('DMR 001C TIN &amp; TP'!$E$3:$E$10005&amp;'DMR 001C TIN &amp; TP'!$B$3:$B$10005&amp;'DMR 001C TIN &amp; TP'!$A$3:$A$10005),0),MATCH('Reg 85'!$O$11,'DMR 001C TIN &amp; TP'!$A$2:$M$2,0))),"")</f>
        <v/>
      </c>
      <c r="U197" s="6" t="str">
        <f t="array" ref="U197">_xlfn.IFNA((INDEX('DMR 001C TIN &amp; TP'!$A$3:$M$10005,MATCH(('Reg 85'!$I$6:$Q$6&amp;'Reg 85'!U$10&amp;'Reg 85'!$B197),('DMR 001C TIN &amp; TP'!$E$3:$E$10005&amp;'DMR 001C TIN &amp; TP'!$B$3:$B$10005&amp;'DMR 001C TIN &amp; TP'!$A$3:$A$10005),0),MATCH('Reg 85'!$O$11,'DMR 001C TIN &amp; TP'!$A$2:$M$2,0))),"")</f>
        <v/>
      </c>
      <c r="V197" s="6" t="str">
        <f t="array" ref="V197">_xlfn.IFNA((INDEX('DMR 001C TIN &amp; TP'!$A$3:$M$10005,MATCH(('Reg 85'!$I$6:$Q$6&amp;'Reg 85'!V$10&amp;'Reg 85'!$B197),('DMR 001C TIN &amp; TP'!$E$3:$E$10005&amp;'DMR 001C TIN &amp; TP'!$B$3:$B$10005&amp;'DMR 001C TIN &amp; TP'!$A$3:$A$10005),0),MATCH('Reg 85'!$O$11,'DMR 001C TIN &amp; TP'!$A$2:$M$2,0))),"")</f>
        <v/>
      </c>
      <c r="W197" s="6" t="str">
        <f t="array" ref="W197">_xlfn.IFNA((INDEX('DMR 001C TIN &amp; TP'!$A$3:$M$10005,MATCH(('Reg 85'!$I$6:$Q$6&amp;'Reg 85'!W$10&amp;'Reg 85'!$B197),('DMR 001C TIN &amp; TP'!$E$3:$E$10005&amp;'DMR 001C TIN &amp; TP'!$B$3:$B$10005&amp;'DMR 001C TIN &amp; TP'!$A$3:$A$10005),0),MATCH('Reg 85'!$O$11,'DMR 001C TIN &amp; TP'!$A$2:$M$2,0))),"")</f>
        <v/>
      </c>
      <c r="X197" s="5" t="str">
        <f t="shared" si="71"/>
        <v/>
      </c>
      <c r="Y197" s="6" t="str">
        <f t="array" ref="Y197">_xlfn.IFNA((INDEX('DMR 001C TIN &amp; TP'!$A$3:$M$10005,MATCH(('Reg 85'!$X$6&amp;'Reg 85'!$X$10&amp;'Reg 85'!$B197),('DMR 001C TIN &amp; TP'!$E$3:$E$10005&amp;'DMR 001C TIN &amp; TP'!$B$3:$B$10005&amp;'DMR 001C TIN &amp; TP'!$A$3:$A$10005),0),MATCH('Reg 85'!$Y$11,'DMR 001C TIN &amp; TP'!$A$2:$M$2,0))),"")</f>
        <v>0.06</v>
      </c>
      <c r="Z197" s="6">
        <f t="array" ref="Z197">_xlfn.IFNA((INDEX('DMR 001C TIN &amp; TP'!$A$3:$M$10005,MATCH(('Reg 85'!$X$6&amp;'Reg 85'!$X$10&amp;'Reg 85'!$B197),('DMR 001C TIN &amp; TP'!$E$3:$E$10005&amp;'DMR 001C TIN &amp; TP'!$B$3:$B$10005&amp;'DMR 001C TIN &amp; TP'!$A$3:$A$10005),0),MATCH('Reg 85'!$Z$11,'DMR 001C TIN &amp; TP'!$A$2:$M$2,0))),"")</f>
        <v>4.8899999999999997</v>
      </c>
      <c r="AA197" s="53">
        <f t="shared" si="72"/>
        <v>4.8899999999999997</v>
      </c>
      <c r="AB197" s="5" t="str">
        <f t="shared" si="73"/>
        <v/>
      </c>
      <c r="AC197" s="6" t="str">
        <f t="array" ref="AC197">_xlfn.IFNA((INDEX('DMR 001C TIN &amp; TP'!$A$3:$M$10005,MATCH(('Reg 85'!$X$6&amp;'Reg 85'!$AB$10&amp;'Reg 85'!$B197),('DMR 001C TIN &amp; TP'!$E$3:$E$10005&amp;'DMR 001C TIN &amp; TP'!$B$3:$B$10005&amp;'DMR 001C TIN &amp; TP'!$A$3:$A$10005),0),MATCH('Reg 85'!$AC$11,'DMR 001C TIN &amp; TP'!$A$2:$M$2,0))),"")</f>
        <v>0.06</v>
      </c>
      <c r="AD197" s="6">
        <f t="array" ref="AD197">_xlfn.IFNA((INDEX('DMR 001C TIN &amp; TP'!$A$3:$M$10005,MATCH(('Reg 85'!$X$6&amp;'Reg 85'!$AB$10&amp;'Reg 85'!$B197),('DMR 001C TIN &amp; TP'!$E$3:$E$10005&amp;'DMR 001C TIN &amp; TP'!$B$3:$B$10005&amp;'DMR 001C TIN &amp; TP'!$A$3:$A$10005),0),MATCH('Reg 85'!$AD$11,'DMR 001C TIN &amp; TP'!$A$2:$M$2,0))),"")</f>
        <v>5.72</v>
      </c>
      <c r="AE197" s="53">
        <f t="shared" si="74"/>
        <v>5.72</v>
      </c>
      <c r="AF197" s="7">
        <f t="shared" si="75"/>
        <v>5.3146561355843263</v>
      </c>
      <c r="AG197" s="6" t="str">
        <f t="array" ref="AG197">_xlfn.IFNA((INDEX('DMR 001C TIN &amp; TP'!$A$3:$M$10005,MATCH(('Reg 85'!$X$6&amp;'Reg 85'!AG$10&amp;'Reg 85'!$B197),('DMR 001C TIN &amp; TP'!$E$3:$E$10005&amp;'DMR 001C TIN &amp; TP'!$B$3:$B$10005&amp;'DMR 001C TIN &amp; TP'!$A$3:$A$10005),0),MATCH('Reg 85'!$AG$11,'DMR 001C TIN &amp; TP'!$A$2:$M$2,0))),"")</f>
        <v/>
      </c>
      <c r="AH197" s="6" t="str">
        <f t="array" ref="AH197">_xlfn.IFNA((INDEX('DMR 001C TIN &amp; TP'!$A$3:$M$10005,MATCH(('Reg 85'!$X$6&amp;'Reg 85'!AH$10&amp;'Reg 85'!$B197),('DMR 001C TIN &amp; TP'!$E$3:$E$10005&amp;'DMR 001C TIN &amp; TP'!$B$3:$B$10005&amp;'DMR 001C TIN &amp; TP'!$A$3:$A$10005),0),MATCH('Reg 85'!$AG$11,'DMR 001C TIN &amp; TP'!$A$2:$M$2,0))),"")</f>
        <v/>
      </c>
      <c r="AI197" s="6" t="str">
        <f t="array" ref="AI197">_xlfn.IFNA((INDEX('DMR 001C TIN &amp; TP'!$A$3:$M$10005,MATCH(('Reg 85'!$X$6&amp;'Reg 85'!AI$10&amp;'Reg 85'!$B197),('DMR 001C TIN &amp; TP'!$E$3:$E$10005&amp;'DMR 001C TIN &amp; TP'!$B$3:$B$10005&amp;'DMR 001C TIN &amp; TP'!$A$3:$A$10005),0),MATCH('Reg 85'!$AG$11,'DMR 001C TIN &amp; TP'!$A$2:$M$2,0))),"")</f>
        <v/>
      </c>
      <c r="AJ197" s="6" t="str">
        <f t="array" ref="AJ197">_xlfn.IFNA((INDEX('DMR 001C TIN &amp; TP'!$A$3:$M$10005,MATCH(('Reg 85'!$X$6&amp;'Reg 85'!AJ$10&amp;'Reg 85'!$B197),('DMR 001C TIN &amp; TP'!$E$3:$E$10005&amp;'DMR 001C TIN &amp; TP'!$B$3:$B$10005&amp;'DMR 001C TIN &amp; TP'!$A$3:$A$10005),0),MATCH('Reg 85'!$AG$11,'DMR 001C TIN &amp; TP'!$A$2:$M$2,0))),"")</f>
        <v/>
      </c>
      <c r="AK197" s="6" t="str">
        <f t="array" ref="AK197">_xlfn.IFNA((INDEX('DMR 001C TIN &amp; TP'!$A$3:$M$10005,MATCH(('Reg 85'!$X$6&amp;'Reg 85'!AK$10&amp;'Reg 85'!$B197),('DMR 001C TIN &amp; TP'!$E$3:$E$10005&amp;'DMR 001C TIN &amp; TP'!$B$3:$B$10005&amp;'DMR 001C TIN &amp; TP'!$A$3:$A$10005),0),MATCH('Reg 85'!$AG$11,'DMR 001C TIN &amp; TP'!$A$2:$M$2,0))),"")</f>
        <v/>
      </c>
      <c r="AL197" s="6" t="str">
        <f t="array" ref="AL197">_xlfn.IFNA((INDEX('DMR 001C TIN &amp; TP'!$A$3:$M$10005,MATCH(('Reg 85'!$X$6&amp;'Reg 85'!AL$10&amp;'Reg 85'!$B197),('DMR 001C TIN &amp; TP'!$E$3:$E$10005&amp;'DMR 001C TIN &amp; TP'!$B$3:$B$10005&amp;'DMR 001C TIN &amp; TP'!$A$3:$A$10005),0),MATCH('Reg 85'!$AG$11,'DMR 001C TIN &amp; TP'!$A$2:$M$2,0))),"")</f>
        <v/>
      </c>
      <c r="AM197" s="76"/>
      <c r="AN197" s="6"/>
      <c r="AO197" s="54">
        <f t="shared" si="62"/>
        <v>6.099542372867961</v>
      </c>
      <c r="AP197" s="77" t="str">
        <f t="shared" si="81"/>
        <v/>
      </c>
      <c r="AQ197" s="47"/>
      <c r="AR197" s="6" t="str">
        <f t="array" ref="AR197">_xlfn.IFNA((INDEX('DMR 001C TIN &amp; TP'!$A$3:$M$10005,MATCH(('Reg 85'!$AQ$6&amp;'Reg 85'!$AQ$10&amp;'Reg 85'!$B197),('DMR 001C TIN &amp; TP'!$E$3:$E$10005&amp;'DMR 001C TIN &amp; TP'!$B$3:$B$10005&amp;'DMR 001C TIN &amp; TP'!$A$3:$A$10005),0),MATCH('Reg 85'!$AR$11,'DMR 001C TIN &amp; TP'!$A$2:$M$2,0))),"")</f>
        <v/>
      </c>
      <c r="AS197" s="6" t="str">
        <f t="array" ref="AS197">_xlfn.IFNA((INDEX('DMR 001C TIN &amp; TP'!$A$3:$M$10005,MATCH(('Reg 85'!$AQ$6&amp;'Reg 85'!$AQ$10&amp;'Reg 85'!$B197),('DMR 001C TIN &amp; TP'!$E$3:$E$10005&amp;'DMR 001C TIN &amp; TP'!$B$3:$B$10005&amp;'DMR 001C TIN &amp; TP'!$A$3:$A$10005),0),MATCH('Reg 85'!$AS$11,'DMR 001C TIN &amp; TP'!$A$2:$M$2,0))),"")</f>
        <v/>
      </c>
      <c r="AT197" s="53" t="str">
        <f t="shared" si="76"/>
        <v/>
      </c>
      <c r="AV197" s="6" t="str">
        <f t="array" ref="AV197">_xlfn.IFNA((INDEX('DMR 001C TIN &amp; TP'!$A$3:$M$10005,MATCH(('Reg 85'!$AQ$6&amp;'Reg 85'!$AU$10&amp;'Reg 85'!$B197),('DMR 001C TIN &amp; TP'!$E$3:$E$10005&amp;'DMR 001C TIN &amp; TP'!$B$3:$B$10005&amp;'DMR 001C TIN &amp; TP'!$A$3:$A$10005),0),MATCH('Reg 85'!$AV$11,'DMR 001C TIN &amp; TP'!$A$2:$M$2,0))),"")</f>
        <v/>
      </c>
      <c r="AW197" s="6" t="str">
        <f t="array" ref="AW197">_xlfn.IFNA((INDEX('DMR 001C TIN &amp; TP'!$A$3:$M$10005,MATCH(('Reg 85'!$AQ$6&amp;'Reg 85'!$AU$10&amp;'Reg 85'!$B197),('DMR 001C TIN &amp; TP'!$E$3:$E$10005&amp;'DMR 001C TIN &amp; TP'!$B$3:$B$10005&amp;'DMR 001C TIN &amp; TP'!$A$3:$A$10005),0),MATCH('Reg 85'!$AW$11,'DMR 001C TIN &amp; TP'!$A$2:$M$2,0))),"")</f>
        <v/>
      </c>
      <c r="AX197" s="53" t="str">
        <f t="shared" si="77"/>
        <v/>
      </c>
      <c r="AY197" s="55" t="str">
        <f t="shared" si="78"/>
        <v/>
      </c>
      <c r="AZ197" s="77" t="str">
        <f t="shared" si="82"/>
        <v/>
      </c>
      <c r="BA197" s="6" t="str">
        <f t="array" ref="BA197">_xlfn.IFNA((INDEX('DMR 001C TIN &amp; TP'!$A$3:$M$10005,MATCH(('Reg 85'!$AQ$6&amp;'Reg 85'!BA$10&amp;'Reg 85'!$B197),('DMR 001C TIN &amp; TP'!$E$3:$E$10005&amp;'DMR 001C TIN &amp; TP'!$B$3:$B$10005&amp;'DMR 001C TIN &amp; TP'!$A$3:$A$10005),0),MATCH('Reg 85'!$AG$11,'DMR 001C TIN &amp; TP'!$A$2:$M$2,0))),"")</f>
        <v/>
      </c>
      <c r="BB197" s="6" t="str">
        <f t="array" ref="BB197">_xlfn.IFNA((INDEX('DMR 001C TIN &amp; TP'!$A$3:$M$10005,MATCH(('Reg 85'!$AQ$6&amp;'Reg 85'!BB$10&amp;'Reg 85'!$B197),('DMR 001C TIN &amp; TP'!$E$3:$E$10005&amp;'DMR 001C TIN &amp; TP'!$B$3:$B$10005&amp;'DMR 001C TIN &amp; TP'!$A$3:$A$10005),0),MATCH('Reg 85'!$AG$11,'DMR 001C TIN &amp; TP'!$A$2:$M$2,0))),"")</f>
        <v/>
      </c>
      <c r="BC197" s="6" t="str">
        <f t="array" ref="BC197">_xlfn.IFNA((INDEX('DMR 001C TIN &amp; TP'!$A$3:$M$10005,MATCH(('Reg 85'!$AQ$6&amp;'Reg 85'!BC$10&amp;'Reg 85'!$B197),('DMR 001C TIN &amp; TP'!$E$3:$E$10005&amp;'DMR 001C TIN &amp; TP'!$B$3:$B$10005&amp;'DMR 001C TIN &amp; TP'!$A$3:$A$10005),0),MATCH('Reg 85'!$AG$11,'DMR 001C TIN &amp; TP'!$A$2:$M$2,0))),"")</f>
        <v/>
      </c>
      <c r="BD197" s="6" t="str">
        <f t="array" ref="BD197">_xlfn.IFNA((INDEX('DMR 001C TIN &amp; TP'!$A$3:$M$10005,MATCH(('Reg 85'!$AQ$6&amp;'Reg 85'!BD$10&amp;'Reg 85'!$B197),('DMR 001C TIN &amp; TP'!$E$3:$E$10005&amp;'DMR 001C TIN &amp; TP'!$B$3:$B$10005&amp;'DMR 001C TIN &amp; TP'!$A$3:$A$10005),0),MATCH('Reg 85'!$AG$11,'DMR 001C TIN &amp; TP'!$A$2:$M$2,0))),"")</f>
        <v/>
      </c>
      <c r="BE197" s="6" t="str">
        <f t="array" ref="BE197">_xlfn.IFNA((INDEX('DMR 001C TIN &amp; TP'!$A$3:$M$10005,MATCH(('Reg 85'!$AQ$6&amp;'Reg 85'!BE$10&amp;'Reg 85'!$B197),('DMR 001C TIN &amp; TP'!$E$3:$E$10005&amp;'DMR 001C TIN &amp; TP'!$B$3:$B$10005&amp;'DMR 001C TIN &amp; TP'!$A$3:$A$10005),0),MATCH('Reg 85'!$AG$11,'DMR 001C TIN &amp; TP'!$A$2:$M$2,0))),"")</f>
        <v/>
      </c>
      <c r="BF197" s="6" t="str">
        <f t="array" ref="BF197">_xlfn.IFNA((INDEX('DMR 001C TIN &amp; TP'!$A$3:$M$10005,MATCH(('Reg 85'!$AQ$6&amp;'Reg 85'!BF$10&amp;'Reg 85'!$B197),('DMR 001C TIN &amp; TP'!$E$3:$E$10005&amp;'DMR 001C TIN &amp; TP'!$B$3:$B$10005&amp;'DMR 001C TIN &amp; TP'!$A$3:$A$10005),0),MATCH('Reg 85'!$AG$11,'DMR 001C TIN &amp; TP'!$A$2:$M$2,0))),"")</f>
        <v/>
      </c>
    </row>
    <row r="198" spans="1:58">
      <c r="A198" s="3" t="str">
        <f t="shared" si="63"/>
        <v>Wed</v>
      </c>
      <c r="B198" s="96">
        <f t="shared" si="79"/>
        <v>43530</v>
      </c>
      <c r="C198" s="96">
        <f t="shared" si="64"/>
        <v>43555</v>
      </c>
      <c r="D198" s="96">
        <f t="shared" si="65"/>
        <v>43525</v>
      </c>
      <c r="E198" s="95">
        <f t="shared" si="66"/>
        <v>31</v>
      </c>
      <c r="F198" s="7">
        <f t="array" ref="F198">_xlfn.IFNA(INDEX('DMR Flows-Effluent'!$A$3:$F$9999,MATCH(($F$10&amp;$B198),('DMR Flows-Effluent'!$B$3:$B$9999&amp;'DMR Flows-Effluent'!$A$3:$A$9999),0),MATCH($F$8,'DMR Flows-Effluent'!$A$2:$F$2,0)),"")</f>
        <v>60.517899999999997</v>
      </c>
      <c r="G198" s="7">
        <f t="array" ref="G198">_xlfn.IFNA(INDEX('DMR Flows-Effluent'!$A$3:$F$9999,MATCH(($G$10&amp;$B198),('DMR Flows-Effluent'!$B$3:$B$9999&amp;'DMR Flows-Effluent'!$A$3:$A$9999),0),MATCH($F$8,'DMR Flows-Effluent'!$A$2:$F$2,0)),"")</f>
        <v>63.183500000000002</v>
      </c>
      <c r="H198" s="7">
        <f t="shared" si="67"/>
        <v>123.70140000000001</v>
      </c>
      <c r="I198" s="45" t="str">
        <f t="shared" si="68"/>
        <v/>
      </c>
      <c r="J198" s="6" t="str">
        <f t="array" ref="J198">_xlfn.IFNA((INDEX('DMR 001C TIN &amp; TP'!$A$3:$M$10005,MATCH(('Reg 85'!$I$6:$Q$6&amp;'Reg 85'!$I$10:$K$10&amp;'Reg 85'!$B198),('DMR 001C TIN &amp; TP'!$E$3:$E$10005&amp;'DMR 001C TIN &amp; TP'!$B$3:$B$10005&amp;'DMR 001C TIN &amp; TP'!$A$3:$A$10005),0),MATCH('Reg 85'!$J$11,'DMR 001C TIN &amp; TP'!$A$2:$M$2,0))),"")</f>
        <v/>
      </c>
      <c r="K198" s="6" t="str">
        <f t="array" ref="K198">_xlfn.IFNA((INDEX('DMR 001C TIN &amp; TP'!$A$3:$M$10005,MATCH(('Reg 85'!$I$6:$Q$6&amp;'Reg 85'!$I$10:$K$10&amp;'Reg 85'!$B198),('DMR 001C TIN &amp; TP'!$E$3:$E$10005&amp;'DMR 001C TIN &amp; TP'!$B$3:$B$10005&amp;'DMR 001C TIN &amp; TP'!$A$3:$A$10005),0),MATCH('Reg 85'!$K$11,'DMR 001C TIN &amp; TP'!$A$2:$M$2,0))),"")</f>
        <v/>
      </c>
      <c r="L198" s="53" t="str">
        <f t="shared" si="80"/>
        <v/>
      </c>
      <c r="M198" s="5" t="str">
        <f t="shared" si="69"/>
        <v/>
      </c>
      <c r="N198" s="6" t="str">
        <f t="array" ref="N198">_xlfn.IFNA((INDEX('DMR 001C TIN &amp; TP'!$A$3:$M$10005,MATCH(('Reg 85'!$I$6:$Q$6&amp;'Reg 85'!$M$10&amp;'Reg 85'!$B198),('DMR 001C TIN &amp; TP'!$E$3:$E$10005&amp;'DMR 001C TIN &amp; TP'!$B$3:$B$10005&amp;'DMR 001C TIN &amp; TP'!$A$3:$A$10005),0),MATCH('Reg 85'!$N$11,'DMR 001C TIN &amp; TP'!$A$2:$M$2,0))),"")</f>
        <v/>
      </c>
      <c r="O198" s="6" t="str">
        <f t="array" ref="O198">_xlfn.IFNA((INDEX('DMR 001C TIN &amp; TP'!$A$3:$M$10005,MATCH(('Reg 85'!$I$6:$Q$6&amp;'Reg 85'!$M$10&amp;'Reg 85'!$B198),('DMR 001C TIN &amp; TP'!$E$3:$E$10005&amp;'DMR 001C TIN &amp; TP'!$B$3:$B$10005&amp;'DMR 001C TIN &amp; TP'!$A$3:$A$10005),0),MATCH('Reg 85'!$O$11,'DMR 001C TIN &amp; TP'!$A$2:$M$2,0))),"")</f>
        <v/>
      </c>
      <c r="P198" s="53" t="str">
        <f t="shared" si="70"/>
        <v/>
      </c>
      <c r="Q198" s="73" t="str">
        <f t="array" ref="Q198">IFERROR(((L198*$F198)+(P198*$G198))/($H198),"")</f>
        <v/>
      </c>
      <c r="R198" s="6" t="str">
        <f t="array" ref="R198">_xlfn.IFNA((INDEX('DMR 001C TIN &amp; TP'!$A$3:$M$10005,MATCH(('Reg 85'!$I$6:$Q$6&amp;'Reg 85'!R$10&amp;'Reg 85'!$B198),('DMR 001C TIN &amp; TP'!$E$3:$E$10005&amp;'DMR 001C TIN &amp; TP'!$B$3:$B$10005&amp;'DMR 001C TIN &amp; TP'!$A$3:$A$10005),0),MATCH('Reg 85'!$O$11,'DMR 001C TIN &amp; TP'!$A$2:$M$2,0))),"")</f>
        <v/>
      </c>
      <c r="S198" s="6" t="str">
        <f t="array" ref="S198">_xlfn.IFNA((INDEX('DMR 001C TIN &amp; TP'!$A$3:$M$10005,MATCH(('Reg 85'!$I$6:$Q$6&amp;'Reg 85'!S$10&amp;'Reg 85'!$B198),('DMR 001C TIN &amp; TP'!$E$3:$E$10005&amp;'DMR 001C TIN &amp; TP'!$B$3:$B$10005&amp;'DMR 001C TIN &amp; TP'!$A$3:$A$10005),0),MATCH('Reg 85'!$O$11,'DMR 001C TIN &amp; TP'!$A$2:$M$2,0))),"")</f>
        <v/>
      </c>
      <c r="T198" s="6" t="str">
        <f t="array" ref="T198">_xlfn.IFNA((INDEX('DMR 001C TIN &amp; TP'!$A$3:$M$10005,MATCH(('Reg 85'!$I$6:$Q$6&amp;'Reg 85'!T$10&amp;'Reg 85'!$B198),('DMR 001C TIN &amp; TP'!$E$3:$E$10005&amp;'DMR 001C TIN &amp; TP'!$B$3:$B$10005&amp;'DMR 001C TIN &amp; TP'!$A$3:$A$10005),0),MATCH('Reg 85'!$O$11,'DMR 001C TIN &amp; TP'!$A$2:$M$2,0))),"")</f>
        <v/>
      </c>
      <c r="U198" s="6" t="str">
        <f t="array" ref="U198">_xlfn.IFNA((INDEX('DMR 001C TIN &amp; TP'!$A$3:$M$10005,MATCH(('Reg 85'!$I$6:$Q$6&amp;'Reg 85'!U$10&amp;'Reg 85'!$B198),('DMR 001C TIN &amp; TP'!$E$3:$E$10005&amp;'DMR 001C TIN &amp; TP'!$B$3:$B$10005&amp;'DMR 001C TIN &amp; TP'!$A$3:$A$10005),0),MATCH('Reg 85'!$O$11,'DMR 001C TIN &amp; TP'!$A$2:$M$2,0))),"")</f>
        <v/>
      </c>
      <c r="V198" s="6" t="str">
        <f t="array" ref="V198">_xlfn.IFNA((INDEX('DMR 001C TIN &amp; TP'!$A$3:$M$10005,MATCH(('Reg 85'!$I$6:$Q$6&amp;'Reg 85'!V$10&amp;'Reg 85'!$B198),('DMR 001C TIN &amp; TP'!$E$3:$E$10005&amp;'DMR 001C TIN &amp; TP'!$B$3:$B$10005&amp;'DMR 001C TIN &amp; TP'!$A$3:$A$10005),0),MATCH('Reg 85'!$O$11,'DMR 001C TIN &amp; TP'!$A$2:$M$2,0))),"")</f>
        <v/>
      </c>
      <c r="W198" s="6" t="str">
        <f t="array" ref="W198">_xlfn.IFNA((INDEX('DMR 001C TIN &amp; TP'!$A$3:$M$10005,MATCH(('Reg 85'!$I$6:$Q$6&amp;'Reg 85'!W$10&amp;'Reg 85'!$B198),('DMR 001C TIN &amp; TP'!$E$3:$E$10005&amp;'DMR 001C TIN &amp; TP'!$B$3:$B$10005&amp;'DMR 001C TIN &amp; TP'!$A$3:$A$10005),0),MATCH('Reg 85'!$O$11,'DMR 001C TIN &amp; TP'!$A$2:$M$2,0))),"")</f>
        <v/>
      </c>
      <c r="X198" s="5" t="str">
        <f t="shared" si="71"/>
        <v/>
      </c>
      <c r="Y198" s="6" t="str">
        <f t="array" ref="Y198">_xlfn.IFNA((INDEX('DMR 001C TIN &amp; TP'!$A$3:$M$10005,MATCH(('Reg 85'!$X$6&amp;'Reg 85'!$X$10&amp;'Reg 85'!$B198),('DMR 001C TIN &amp; TP'!$E$3:$E$10005&amp;'DMR 001C TIN &amp; TP'!$B$3:$B$10005&amp;'DMR 001C TIN &amp; TP'!$A$3:$A$10005),0),MATCH('Reg 85'!$Y$11,'DMR 001C TIN &amp; TP'!$A$2:$M$2,0))),"")</f>
        <v/>
      </c>
      <c r="Z198" s="6" t="str">
        <f t="array" ref="Z198">_xlfn.IFNA((INDEX('DMR 001C TIN &amp; TP'!$A$3:$M$10005,MATCH(('Reg 85'!$X$6&amp;'Reg 85'!$X$10&amp;'Reg 85'!$B198),('DMR 001C TIN &amp; TP'!$E$3:$E$10005&amp;'DMR 001C TIN &amp; TP'!$B$3:$B$10005&amp;'DMR 001C TIN &amp; TP'!$A$3:$A$10005),0),MATCH('Reg 85'!$Z$11,'DMR 001C TIN &amp; TP'!$A$2:$M$2,0))),"")</f>
        <v/>
      </c>
      <c r="AA198" s="53" t="str">
        <f t="shared" si="72"/>
        <v/>
      </c>
      <c r="AB198" s="5" t="str">
        <f t="shared" si="73"/>
        <v/>
      </c>
      <c r="AC198" s="6" t="str">
        <f t="array" ref="AC198">_xlfn.IFNA((INDEX('DMR 001C TIN &amp; TP'!$A$3:$M$10005,MATCH(('Reg 85'!$X$6&amp;'Reg 85'!$AB$10&amp;'Reg 85'!$B198),('DMR 001C TIN &amp; TP'!$E$3:$E$10005&amp;'DMR 001C TIN &amp; TP'!$B$3:$B$10005&amp;'DMR 001C TIN &amp; TP'!$A$3:$A$10005),0),MATCH('Reg 85'!$AC$11,'DMR 001C TIN &amp; TP'!$A$2:$M$2,0))),"")</f>
        <v/>
      </c>
      <c r="AD198" s="6" t="str">
        <f t="array" ref="AD198">_xlfn.IFNA((INDEX('DMR 001C TIN &amp; TP'!$A$3:$M$10005,MATCH(('Reg 85'!$X$6&amp;'Reg 85'!$AB$10&amp;'Reg 85'!$B198),('DMR 001C TIN &amp; TP'!$E$3:$E$10005&amp;'DMR 001C TIN &amp; TP'!$B$3:$B$10005&amp;'DMR 001C TIN &amp; TP'!$A$3:$A$10005),0),MATCH('Reg 85'!$AD$11,'DMR 001C TIN &amp; TP'!$A$2:$M$2,0))),"")</f>
        <v/>
      </c>
      <c r="AE198" s="53" t="str">
        <f t="shared" si="74"/>
        <v/>
      </c>
      <c r="AF198" s="7" t="str">
        <f t="shared" si="75"/>
        <v/>
      </c>
      <c r="AG198" s="6" t="str">
        <f t="array" ref="AG198">_xlfn.IFNA((INDEX('DMR 001C TIN &amp; TP'!$A$3:$M$10005,MATCH(('Reg 85'!$X$6&amp;'Reg 85'!AG$10&amp;'Reg 85'!$B198),('DMR 001C TIN &amp; TP'!$E$3:$E$10005&amp;'DMR 001C TIN &amp; TP'!$B$3:$B$10005&amp;'DMR 001C TIN &amp; TP'!$A$3:$A$10005),0),MATCH('Reg 85'!$AG$11,'DMR 001C TIN &amp; TP'!$A$2:$M$2,0))),"")</f>
        <v/>
      </c>
      <c r="AH198" s="6" t="str">
        <f t="array" ref="AH198">_xlfn.IFNA((INDEX('DMR 001C TIN &amp; TP'!$A$3:$M$10005,MATCH(('Reg 85'!$X$6&amp;'Reg 85'!AH$10&amp;'Reg 85'!$B198),('DMR 001C TIN &amp; TP'!$E$3:$E$10005&amp;'DMR 001C TIN &amp; TP'!$B$3:$B$10005&amp;'DMR 001C TIN &amp; TP'!$A$3:$A$10005),0),MATCH('Reg 85'!$AG$11,'DMR 001C TIN &amp; TP'!$A$2:$M$2,0))),"")</f>
        <v/>
      </c>
      <c r="AI198" s="6" t="str">
        <f t="array" ref="AI198">_xlfn.IFNA((INDEX('DMR 001C TIN &amp; TP'!$A$3:$M$10005,MATCH(('Reg 85'!$X$6&amp;'Reg 85'!AI$10&amp;'Reg 85'!$B198),('DMR 001C TIN &amp; TP'!$E$3:$E$10005&amp;'DMR 001C TIN &amp; TP'!$B$3:$B$10005&amp;'DMR 001C TIN &amp; TP'!$A$3:$A$10005),0),MATCH('Reg 85'!$AG$11,'DMR 001C TIN &amp; TP'!$A$2:$M$2,0))),"")</f>
        <v/>
      </c>
      <c r="AJ198" s="6" t="str">
        <f t="array" ref="AJ198">_xlfn.IFNA((INDEX('DMR 001C TIN &amp; TP'!$A$3:$M$10005,MATCH(('Reg 85'!$X$6&amp;'Reg 85'!AJ$10&amp;'Reg 85'!$B198),('DMR 001C TIN &amp; TP'!$E$3:$E$10005&amp;'DMR 001C TIN &amp; TP'!$B$3:$B$10005&amp;'DMR 001C TIN &amp; TP'!$A$3:$A$10005),0),MATCH('Reg 85'!$AG$11,'DMR 001C TIN &amp; TP'!$A$2:$M$2,0))),"")</f>
        <v/>
      </c>
      <c r="AK198" s="6" t="str">
        <f t="array" ref="AK198">_xlfn.IFNA((INDEX('DMR 001C TIN &amp; TP'!$A$3:$M$10005,MATCH(('Reg 85'!$X$6&amp;'Reg 85'!AK$10&amp;'Reg 85'!$B198),('DMR 001C TIN &amp; TP'!$E$3:$E$10005&amp;'DMR 001C TIN &amp; TP'!$B$3:$B$10005&amp;'DMR 001C TIN &amp; TP'!$A$3:$A$10005),0),MATCH('Reg 85'!$AG$11,'DMR 001C TIN &amp; TP'!$A$2:$M$2,0))),"")</f>
        <v/>
      </c>
      <c r="AL198" s="6" t="str">
        <f t="array" ref="AL198">_xlfn.IFNA((INDEX('DMR 001C TIN &amp; TP'!$A$3:$M$10005,MATCH(('Reg 85'!$X$6&amp;'Reg 85'!AL$10&amp;'Reg 85'!$B198),('DMR 001C TIN &amp; TP'!$E$3:$E$10005&amp;'DMR 001C TIN &amp; TP'!$B$3:$B$10005&amp;'DMR 001C TIN &amp; TP'!$A$3:$A$10005),0),MATCH('Reg 85'!$AG$11,'DMR 001C TIN &amp; TP'!$A$2:$M$2,0))),"")</f>
        <v/>
      </c>
      <c r="AM198" s="76"/>
      <c r="AN198" s="6"/>
      <c r="AO198" s="54" t="str">
        <f t="shared" si="62"/>
        <v/>
      </c>
      <c r="AP198" s="77" t="str">
        <f t="shared" si="81"/>
        <v/>
      </c>
      <c r="AQ198" s="47"/>
      <c r="AR198" s="6" t="str">
        <f t="array" ref="AR198">_xlfn.IFNA((INDEX('DMR 001C TIN &amp; TP'!$A$3:$M$10005,MATCH(('Reg 85'!$AQ$6&amp;'Reg 85'!$AQ$10&amp;'Reg 85'!$B198),('DMR 001C TIN &amp; TP'!$E$3:$E$10005&amp;'DMR 001C TIN &amp; TP'!$B$3:$B$10005&amp;'DMR 001C TIN &amp; TP'!$A$3:$A$10005),0),MATCH('Reg 85'!$AR$11,'DMR 001C TIN &amp; TP'!$A$2:$M$2,0))),"")</f>
        <v>0.03</v>
      </c>
      <c r="AS198" s="6">
        <f t="array" ref="AS198">_xlfn.IFNA((INDEX('DMR 001C TIN &amp; TP'!$A$3:$M$10005,MATCH(('Reg 85'!$AQ$6&amp;'Reg 85'!$AQ$10&amp;'Reg 85'!$B198),('DMR 001C TIN &amp; TP'!$E$3:$E$10005&amp;'DMR 001C TIN &amp; TP'!$B$3:$B$10005&amp;'DMR 001C TIN &amp; TP'!$A$3:$A$10005),0),MATCH('Reg 85'!$AS$11,'DMR 001C TIN &amp; TP'!$A$2:$M$2,0))),"")</f>
        <v>0.44</v>
      </c>
      <c r="AT198" s="53">
        <f t="shared" si="76"/>
        <v>0.44</v>
      </c>
      <c r="AV198" s="6" t="str">
        <f t="array" ref="AV198">_xlfn.IFNA((INDEX('DMR 001C TIN &amp; TP'!$A$3:$M$10005,MATCH(('Reg 85'!$AQ$6&amp;'Reg 85'!$AU$10&amp;'Reg 85'!$B198),('DMR 001C TIN &amp; TP'!$E$3:$E$10005&amp;'DMR 001C TIN &amp; TP'!$B$3:$B$10005&amp;'DMR 001C TIN &amp; TP'!$A$3:$A$10005),0),MATCH('Reg 85'!$AV$11,'DMR 001C TIN &amp; TP'!$A$2:$M$2,0))),"")</f>
        <v>0.06</v>
      </c>
      <c r="AW198" s="6">
        <f t="array" ref="AW198">_xlfn.IFNA((INDEX('DMR 001C TIN &amp; TP'!$A$3:$M$10005,MATCH(('Reg 85'!$AQ$6&amp;'Reg 85'!$AU$10&amp;'Reg 85'!$B198),('DMR 001C TIN &amp; TP'!$E$3:$E$10005&amp;'DMR 001C TIN &amp; TP'!$B$3:$B$10005&amp;'DMR 001C TIN &amp; TP'!$A$3:$A$10005),0),MATCH('Reg 85'!$AW$11,'DMR 001C TIN &amp; TP'!$A$2:$M$2,0))),"")</f>
        <v>3.42</v>
      </c>
      <c r="AX198" s="53">
        <f t="shared" si="77"/>
        <v>3.42</v>
      </c>
      <c r="AY198" s="55">
        <f t="shared" si="78"/>
        <v>1.9621075105051355</v>
      </c>
      <c r="AZ198" s="77" t="str">
        <f t="shared" si="82"/>
        <v/>
      </c>
      <c r="BA198" s="6" t="str">
        <f t="array" ref="BA198">_xlfn.IFNA((INDEX('DMR 001C TIN &amp; TP'!$A$3:$M$10005,MATCH(('Reg 85'!$AQ$6&amp;'Reg 85'!BA$10&amp;'Reg 85'!$B198),('DMR 001C TIN &amp; TP'!$E$3:$E$10005&amp;'DMR 001C TIN &amp; TP'!$B$3:$B$10005&amp;'DMR 001C TIN &amp; TP'!$A$3:$A$10005),0),MATCH('Reg 85'!$AG$11,'DMR 001C TIN &amp; TP'!$A$2:$M$2,0))),"")</f>
        <v/>
      </c>
      <c r="BB198" s="6" t="str">
        <f t="array" ref="BB198">_xlfn.IFNA((INDEX('DMR 001C TIN &amp; TP'!$A$3:$M$10005,MATCH(('Reg 85'!$AQ$6&amp;'Reg 85'!BB$10&amp;'Reg 85'!$B198),('DMR 001C TIN &amp; TP'!$E$3:$E$10005&amp;'DMR 001C TIN &amp; TP'!$B$3:$B$10005&amp;'DMR 001C TIN &amp; TP'!$A$3:$A$10005),0),MATCH('Reg 85'!$AG$11,'DMR 001C TIN &amp; TP'!$A$2:$M$2,0))),"")</f>
        <v/>
      </c>
      <c r="BC198" s="6" t="str">
        <f t="array" ref="BC198">_xlfn.IFNA((INDEX('DMR 001C TIN &amp; TP'!$A$3:$M$10005,MATCH(('Reg 85'!$AQ$6&amp;'Reg 85'!BC$10&amp;'Reg 85'!$B198),('DMR 001C TIN &amp; TP'!$E$3:$E$10005&amp;'DMR 001C TIN &amp; TP'!$B$3:$B$10005&amp;'DMR 001C TIN &amp; TP'!$A$3:$A$10005),0),MATCH('Reg 85'!$AG$11,'DMR 001C TIN &amp; TP'!$A$2:$M$2,0))),"")</f>
        <v/>
      </c>
      <c r="BD198" s="6" t="str">
        <f t="array" ref="BD198">_xlfn.IFNA((INDEX('DMR 001C TIN &amp; TP'!$A$3:$M$10005,MATCH(('Reg 85'!$AQ$6&amp;'Reg 85'!BD$10&amp;'Reg 85'!$B198),('DMR 001C TIN &amp; TP'!$E$3:$E$10005&amp;'DMR 001C TIN &amp; TP'!$B$3:$B$10005&amp;'DMR 001C TIN &amp; TP'!$A$3:$A$10005),0),MATCH('Reg 85'!$AG$11,'DMR 001C TIN &amp; TP'!$A$2:$M$2,0))),"")</f>
        <v/>
      </c>
      <c r="BE198" s="6" t="str">
        <f t="array" ref="BE198">_xlfn.IFNA((INDEX('DMR 001C TIN &amp; TP'!$A$3:$M$10005,MATCH(('Reg 85'!$AQ$6&amp;'Reg 85'!BE$10&amp;'Reg 85'!$B198),('DMR 001C TIN &amp; TP'!$E$3:$E$10005&amp;'DMR 001C TIN &amp; TP'!$B$3:$B$10005&amp;'DMR 001C TIN &amp; TP'!$A$3:$A$10005),0),MATCH('Reg 85'!$AG$11,'DMR 001C TIN &amp; TP'!$A$2:$M$2,0))),"")</f>
        <v/>
      </c>
      <c r="BF198" s="6" t="str">
        <f t="array" ref="BF198">_xlfn.IFNA((INDEX('DMR 001C TIN &amp; TP'!$A$3:$M$10005,MATCH(('Reg 85'!$AQ$6&amp;'Reg 85'!BF$10&amp;'Reg 85'!$B198),('DMR 001C TIN &amp; TP'!$E$3:$E$10005&amp;'DMR 001C TIN &amp; TP'!$B$3:$B$10005&amp;'DMR 001C TIN &amp; TP'!$A$3:$A$10005),0),MATCH('Reg 85'!$AG$11,'DMR 001C TIN &amp; TP'!$A$2:$M$2,0))),"")</f>
        <v/>
      </c>
    </row>
    <row r="199" spans="1:58">
      <c r="A199" s="3" t="str">
        <f t="shared" si="63"/>
        <v>Thu</v>
      </c>
      <c r="B199" s="96">
        <f t="shared" si="79"/>
        <v>43531</v>
      </c>
      <c r="C199" s="96">
        <f t="shared" si="64"/>
        <v>43555</v>
      </c>
      <c r="D199" s="96">
        <f t="shared" si="65"/>
        <v>43525</v>
      </c>
      <c r="E199" s="95">
        <f t="shared" si="66"/>
        <v>31</v>
      </c>
      <c r="F199" s="7">
        <f t="array" ref="F199">_xlfn.IFNA(INDEX('DMR Flows-Effluent'!$A$3:$F$9999,MATCH(($F$10&amp;$B199),('DMR Flows-Effluent'!$B$3:$B$9999&amp;'DMR Flows-Effluent'!$A$3:$A$9999),0),MATCH($F$8,'DMR Flows-Effluent'!$A$2:$F$2,0)),"")</f>
        <v>65.472099999999998</v>
      </c>
      <c r="G199" s="7">
        <f t="array" ref="G199">_xlfn.IFNA(INDEX('DMR Flows-Effluent'!$A$3:$F$9999,MATCH(($G$10&amp;$B199),('DMR Flows-Effluent'!$B$3:$B$9999&amp;'DMR Flows-Effluent'!$A$3:$A$9999),0),MATCH($F$8,'DMR Flows-Effluent'!$A$2:$F$2,0)),"")</f>
        <v>66.633200000000002</v>
      </c>
      <c r="H199" s="7">
        <f t="shared" si="67"/>
        <v>132.1053</v>
      </c>
      <c r="I199" s="45" t="str">
        <f t="shared" si="68"/>
        <v/>
      </c>
      <c r="J199" s="6" t="str">
        <f t="array" ref="J199">_xlfn.IFNA((INDEX('DMR 001C TIN &amp; TP'!$A$3:$M$10005,MATCH(('Reg 85'!$I$6:$Q$6&amp;'Reg 85'!$I$10:$K$10&amp;'Reg 85'!$B199),('DMR 001C TIN &amp; TP'!$E$3:$E$10005&amp;'DMR 001C TIN &amp; TP'!$B$3:$B$10005&amp;'DMR 001C TIN &amp; TP'!$A$3:$A$10005),0),MATCH('Reg 85'!$J$11,'DMR 001C TIN &amp; TP'!$A$2:$M$2,0))),"")</f>
        <v/>
      </c>
      <c r="K199" s="6" t="str">
        <f t="array" ref="K199">_xlfn.IFNA((INDEX('DMR 001C TIN &amp; TP'!$A$3:$M$10005,MATCH(('Reg 85'!$I$6:$Q$6&amp;'Reg 85'!$I$10:$K$10&amp;'Reg 85'!$B199),('DMR 001C TIN &amp; TP'!$E$3:$E$10005&amp;'DMR 001C TIN &amp; TP'!$B$3:$B$10005&amp;'DMR 001C TIN &amp; TP'!$A$3:$A$10005),0),MATCH('Reg 85'!$K$11,'DMR 001C TIN &amp; TP'!$A$2:$M$2,0))),"")</f>
        <v/>
      </c>
      <c r="L199" s="53" t="str">
        <f t="shared" si="80"/>
        <v/>
      </c>
      <c r="M199" s="5" t="str">
        <f t="shared" si="69"/>
        <v/>
      </c>
      <c r="N199" s="6" t="str">
        <f t="array" ref="N199">_xlfn.IFNA((INDEX('DMR 001C TIN &amp; TP'!$A$3:$M$10005,MATCH(('Reg 85'!$I$6:$Q$6&amp;'Reg 85'!$M$10&amp;'Reg 85'!$B199),('DMR 001C TIN &amp; TP'!$E$3:$E$10005&amp;'DMR 001C TIN &amp; TP'!$B$3:$B$10005&amp;'DMR 001C TIN &amp; TP'!$A$3:$A$10005),0),MATCH('Reg 85'!$N$11,'DMR 001C TIN &amp; TP'!$A$2:$M$2,0))),"")</f>
        <v/>
      </c>
      <c r="O199" s="6" t="str">
        <f t="array" ref="O199">_xlfn.IFNA((INDEX('DMR 001C TIN &amp; TP'!$A$3:$M$10005,MATCH(('Reg 85'!$I$6:$Q$6&amp;'Reg 85'!$M$10&amp;'Reg 85'!$B199),('DMR 001C TIN &amp; TP'!$E$3:$E$10005&amp;'DMR 001C TIN &amp; TP'!$B$3:$B$10005&amp;'DMR 001C TIN &amp; TP'!$A$3:$A$10005),0),MATCH('Reg 85'!$O$11,'DMR 001C TIN &amp; TP'!$A$2:$M$2,0))),"")</f>
        <v/>
      </c>
      <c r="P199" s="53" t="str">
        <f t="shared" si="70"/>
        <v/>
      </c>
      <c r="Q199" s="73" t="str">
        <f t="array" ref="Q199">IFERROR(((L199*$F199)+(P199*$G199))/($H199),"")</f>
        <v/>
      </c>
      <c r="R199" s="6" t="str">
        <f t="array" ref="R199">_xlfn.IFNA((INDEX('DMR 001C TIN &amp; TP'!$A$3:$M$10005,MATCH(('Reg 85'!$I$6:$Q$6&amp;'Reg 85'!R$10&amp;'Reg 85'!$B199),('DMR 001C TIN &amp; TP'!$E$3:$E$10005&amp;'DMR 001C TIN &amp; TP'!$B$3:$B$10005&amp;'DMR 001C TIN &amp; TP'!$A$3:$A$10005),0),MATCH('Reg 85'!$O$11,'DMR 001C TIN &amp; TP'!$A$2:$M$2,0))),"")</f>
        <v/>
      </c>
      <c r="S199" s="6" t="str">
        <f t="array" ref="S199">_xlfn.IFNA((INDEX('DMR 001C TIN &amp; TP'!$A$3:$M$10005,MATCH(('Reg 85'!$I$6:$Q$6&amp;'Reg 85'!S$10&amp;'Reg 85'!$B199),('DMR 001C TIN &amp; TP'!$E$3:$E$10005&amp;'DMR 001C TIN &amp; TP'!$B$3:$B$10005&amp;'DMR 001C TIN &amp; TP'!$A$3:$A$10005),0),MATCH('Reg 85'!$O$11,'DMR 001C TIN &amp; TP'!$A$2:$M$2,0))),"")</f>
        <v/>
      </c>
      <c r="T199" s="6" t="str">
        <f t="array" ref="T199">_xlfn.IFNA((INDEX('DMR 001C TIN &amp; TP'!$A$3:$M$10005,MATCH(('Reg 85'!$I$6:$Q$6&amp;'Reg 85'!T$10&amp;'Reg 85'!$B199),('DMR 001C TIN &amp; TP'!$E$3:$E$10005&amp;'DMR 001C TIN &amp; TP'!$B$3:$B$10005&amp;'DMR 001C TIN &amp; TP'!$A$3:$A$10005),0),MATCH('Reg 85'!$O$11,'DMR 001C TIN &amp; TP'!$A$2:$M$2,0))),"")</f>
        <v/>
      </c>
      <c r="U199" s="6" t="str">
        <f t="array" ref="U199">_xlfn.IFNA((INDEX('DMR 001C TIN &amp; TP'!$A$3:$M$10005,MATCH(('Reg 85'!$I$6:$Q$6&amp;'Reg 85'!U$10&amp;'Reg 85'!$B199),('DMR 001C TIN &amp; TP'!$E$3:$E$10005&amp;'DMR 001C TIN &amp; TP'!$B$3:$B$10005&amp;'DMR 001C TIN &amp; TP'!$A$3:$A$10005),0),MATCH('Reg 85'!$O$11,'DMR 001C TIN &amp; TP'!$A$2:$M$2,0))),"")</f>
        <v/>
      </c>
      <c r="V199" s="6" t="str">
        <f t="array" ref="V199">_xlfn.IFNA((INDEX('DMR 001C TIN &amp; TP'!$A$3:$M$10005,MATCH(('Reg 85'!$I$6:$Q$6&amp;'Reg 85'!V$10&amp;'Reg 85'!$B199),('DMR 001C TIN &amp; TP'!$E$3:$E$10005&amp;'DMR 001C TIN &amp; TP'!$B$3:$B$10005&amp;'DMR 001C TIN &amp; TP'!$A$3:$A$10005),0),MATCH('Reg 85'!$O$11,'DMR 001C TIN &amp; TP'!$A$2:$M$2,0))),"")</f>
        <v/>
      </c>
      <c r="W199" s="6" t="str">
        <f t="array" ref="W199">_xlfn.IFNA((INDEX('DMR 001C TIN &amp; TP'!$A$3:$M$10005,MATCH(('Reg 85'!$I$6:$Q$6&amp;'Reg 85'!W$10&amp;'Reg 85'!$B199),('DMR 001C TIN &amp; TP'!$E$3:$E$10005&amp;'DMR 001C TIN &amp; TP'!$B$3:$B$10005&amp;'DMR 001C TIN &amp; TP'!$A$3:$A$10005),0),MATCH('Reg 85'!$O$11,'DMR 001C TIN &amp; TP'!$A$2:$M$2,0))),"")</f>
        <v/>
      </c>
      <c r="X199" s="5" t="str">
        <f t="shared" si="71"/>
        <v/>
      </c>
      <c r="Y199" s="6" t="str">
        <f t="array" ref="Y199">_xlfn.IFNA((INDEX('DMR 001C TIN &amp; TP'!$A$3:$M$10005,MATCH(('Reg 85'!$X$6&amp;'Reg 85'!$X$10&amp;'Reg 85'!$B199),('DMR 001C TIN &amp; TP'!$E$3:$E$10005&amp;'DMR 001C TIN &amp; TP'!$B$3:$B$10005&amp;'DMR 001C TIN &amp; TP'!$A$3:$A$10005),0),MATCH('Reg 85'!$Y$11,'DMR 001C TIN &amp; TP'!$A$2:$M$2,0))),"")</f>
        <v/>
      </c>
      <c r="Z199" s="6" t="str">
        <f t="array" ref="Z199">_xlfn.IFNA((INDEX('DMR 001C TIN &amp; TP'!$A$3:$M$10005,MATCH(('Reg 85'!$X$6&amp;'Reg 85'!$X$10&amp;'Reg 85'!$B199),('DMR 001C TIN &amp; TP'!$E$3:$E$10005&amp;'DMR 001C TIN &amp; TP'!$B$3:$B$10005&amp;'DMR 001C TIN &amp; TP'!$A$3:$A$10005),0),MATCH('Reg 85'!$Z$11,'DMR 001C TIN &amp; TP'!$A$2:$M$2,0))),"")</f>
        <v/>
      </c>
      <c r="AA199" s="53" t="str">
        <f t="shared" si="72"/>
        <v/>
      </c>
      <c r="AB199" s="5" t="str">
        <f t="shared" si="73"/>
        <v/>
      </c>
      <c r="AC199" s="6" t="str">
        <f t="array" ref="AC199">_xlfn.IFNA((INDEX('DMR 001C TIN &amp; TP'!$A$3:$M$10005,MATCH(('Reg 85'!$X$6&amp;'Reg 85'!$AB$10&amp;'Reg 85'!$B199),('DMR 001C TIN &amp; TP'!$E$3:$E$10005&amp;'DMR 001C TIN &amp; TP'!$B$3:$B$10005&amp;'DMR 001C TIN &amp; TP'!$A$3:$A$10005),0),MATCH('Reg 85'!$AC$11,'DMR 001C TIN &amp; TP'!$A$2:$M$2,0))),"")</f>
        <v/>
      </c>
      <c r="AD199" s="6" t="str">
        <f t="array" ref="AD199">_xlfn.IFNA((INDEX('DMR 001C TIN &amp; TP'!$A$3:$M$10005,MATCH(('Reg 85'!$X$6&amp;'Reg 85'!$AB$10&amp;'Reg 85'!$B199),('DMR 001C TIN &amp; TP'!$E$3:$E$10005&amp;'DMR 001C TIN &amp; TP'!$B$3:$B$10005&amp;'DMR 001C TIN &amp; TP'!$A$3:$A$10005),0),MATCH('Reg 85'!$AD$11,'DMR 001C TIN &amp; TP'!$A$2:$M$2,0))),"")</f>
        <v/>
      </c>
      <c r="AE199" s="53" t="str">
        <f t="shared" si="74"/>
        <v/>
      </c>
      <c r="AF199" s="7" t="str">
        <f t="shared" si="75"/>
        <v/>
      </c>
      <c r="AG199" s="6" t="str">
        <f t="array" ref="AG199">_xlfn.IFNA((INDEX('DMR 001C TIN &amp; TP'!$A$3:$M$10005,MATCH(('Reg 85'!$X$6&amp;'Reg 85'!AG$10&amp;'Reg 85'!$B199),('DMR 001C TIN &amp; TP'!$E$3:$E$10005&amp;'DMR 001C TIN &amp; TP'!$B$3:$B$10005&amp;'DMR 001C TIN &amp; TP'!$A$3:$A$10005),0),MATCH('Reg 85'!$AG$11,'DMR 001C TIN &amp; TP'!$A$2:$M$2,0))),"")</f>
        <v/>
      </c>
      <c r="AH199" s="6" t="str">
        <f t="array" ref="AH199">_xlfn.IFNA((INDEX('DMR 001C TIN &amp; TP'!$A$3:$M$10005,MATCH(('Reg 85'!$X$6&amp;'Reg 85'!AH$10&amp;'Reg 85'!$B199),('DMR 001C TIN &amp; TP'!$E$3:$E$10005&amp;'DMR 001C TIN &amp; TP'!$B$3:$B$10005&amp;'DMR 001C TIN &amp; TP'!$A$3:$A$10005),0),MATCH('Reg 85'!$AG$11,'DMR 001C TIN &amp; TP'!$A$2:$M$2,0))),"")</f>
        <v/>
      </c>
      <c r="AI199" s="6" t="str">
        <f t="array" ref="AI199">_xlfn.IFNA((INDEX('DMR 001C TIN &amp; TP'!$A$3:$M$10005,MATCH(('Reg 85'!$X$6&amp;'Reg 85'!AI$10&amp;'Reg 85'!$B199),('DMR 001C TIN &amp; TP'!$E$3:$E$10005&amp;'DMR 001C TIN &amp; TP'!$B$3:$B$10005&amp;'DMR 001C TIN &amp; TP'!$A$3:$A$10005),0),MATCH('Reg 85'!$AG$11,'DMR 001C TIN &amp; TP'!$A$2:$M$2,0))),"")</f>
        <v/>
      </c>
      <c r="AJ199" s="6" t="str">
        <f t="array" ref="AJ199">_xlfn.IFNA((INDEX('DMR 001C TIN &amp; TP'!$A$3:$M$10005,MATCH(('Reg 85'!$X$6&amp;'Reg 85'!AJ$10&amp;'Reg 85'!$B199),('DMR 001C TIN &amp; TP'!$E$3:$E$10005&amp;'DMR 001C TIN &amp; TP'!$B$3:$B$10005&amp;'DMR 001C TIN &amp; TP'!$A$3:$A$10005),0),MATCH('Reg 85'!$AG$11,'DMR 001C TIN &amp; TP'!$A$2:$M$2,0))),"")</f>
        <v/>
      </c>
      <c r="AK199" s="6" t="str">
        <f t="array" ref="AK199">_xlfn.IFNA((INDEX('DMR 001C TIN &amp; TP'!$A$3:$M$10005,MATCH(('Reg 85'!$X$6&amp;'Reg 85'!AK$10&amp;'Reg 85'!$B199),('DMR 001C TIN &amp; TP'!$E$3:$E$10005&amp;'DMR 001C TIN &amp; TP'!$B$3:$B$10005&amp;'DMR 001C TIN &amp; TP'!$A$3:$A$10005),0),MATCH('Reg 85'!$AG$11,'DMR 001C TIN &amp; TP'!$A$2:$M$2,0))),"")</f>
        <v/>
      </c>
      <c r="AL199" s="6" t="str">
        <f t="array" ref="AL199">_xlfn.IFNA((INDEX('DMR 001C TIN &amp; TP'!$A$3:$M$10005,MATCH(('Reg 85'!$X$6&amp;'Reg 85'!AL$10&amp;'Reg 85'!$B199),('DMR 001C TIN &amp; TP'!$E$3:$E$10005&amp;'DMR 001C TIN &amp; TP'!$B$3:$B$10005&amp;'DMR 001C TIN &amp; TP'!$A$3:$A$10005),0),MATCH('Reg 85'!$AG$11,'DMR 001C TIN &amp; TP'!$A$2:$M$2,0))),"")</f>
        <v/>
      </c>
      <c r="AM199" s="76"/>
      <c r="AN199" s="6"/>
      <c r="AO199" s="54" t="str">
        <f t="shared" si="62"/>
        <v/>
      </c>
      <c r="AP199" s="77" t="str">
        <f t="shared" si="81"/>
        <v/>
      </c>
      <c r="AQ199" s="47"/>
      <c r="AR199" s="6" t="str">
        <f t="array" ref="AR199">_xlfn.IFNA((INDEX('DMR 001C TIN &amp; TP'!$A$3:$M$10005,MATCH(('Reg 85'!$AQ$6&amp;'Reg 85'!$AQ$10&amp;'Reg 85'!$B199),('DMR 001C TIN &amp; TP'!$E$3:$E$10005&amp;'DMR 001C TIN &amp; TP'!$B$3:$B$10005&amp;'DMR 001C TIN &amp; TP'!$A$3:$A$10005),0),MATCH('Reg 85'!$AR$11,'DMR 001C TIN &amp; TP'!$A$2:$M$2,0))),"")</f>
        <v>0.03</v>
      </c>
      <c r="AS199" s="6">
        <f t="array" ref="AS199">_xlfn.IFNA((INDEX('DMR 001C TIN &amp; TP'!$A$3:$M$10005,MATCH(('Reg 85'!$AQ$6&amp;'Reg 85'!$AQ$10&amp;'Reg 85'!$B199),('DMR 001C TIN &amp; TP'!$E$3:$E$10005&amp;'DMR 001C TIN &amp; TP'!$B$3:$B$10005&amp;'DMR 001C TIN &amp; TP'!$A$3:$A$10005),0),MATCH('Reg 85'!$AS$11,'DMR 001C TIN &amp; TP'!$A$2:$M$2,0))),"")</f>
        <v>0.37</v>
      </c>
      <c r="AT199" s="53">
        <f t="shared" si="76"/>
        <v>0.37</v>
      </c>
      <c r="AV199" s="6" t="str">
        <f t="array" ref="AV199">_xlfn.IFNA((INDEX('DMR 001C TIN &amp; TP'!$A$3:$M$10005,MATCH(('Reg 85'!$AQ$6&amp;'Reg 85'!$AU$10&amp;'Reg 85'!$B199),('DMR 001C TIN &amp; TP'!$E$3:$E$10005&amp;'DMR 001C TIN &amp; TP'!$B$3:$B$10005&amp;'DMR 001C TIN &amp; TP'!$A$3:$A$10005),0),MATCH('Reg 85'!$AV$11,'DMR 001C TIN &amp; TP'!$A$2:$M$2,0))),"")</f>
        <v>0.06</v>
      </c>
      <c r="AW199" s="6">
        <f t="array" ref="AW199">_xlfn.IFNA((INDEX('DMR 001C TIN &amp; TP'!$A$3:$M$10005,MATCH(('Reg 85'!$AQ$6&amp;'Reg 85'!$AU$10&amp;'Reg 85'!$B199),('DMR 001C TIN &amp; TP'!$E$3:$E$10005&amp;'DMR 001C TIN &amp; TP'!$B$3:$B$10005&amp;'DMR 001C TIN &amp; TP'!$A$3:$A$10005),0),MATCH('Reg 85'!$AW$11,'DMR 001C TIN &amp; TP'!$A$2:$M$2,0))),"")</f>
        <v>3.39</v>
      </c>
      <c r="AX199" s="53">
        <f t="shared" si="77"/>
        <v>3.39</v>
      </c>
      <c r="AY199" s="55">
        <f t="shared" si="78"/>
        <v>1.8932716931114799</v>
      </c>
      <c r="AZ199" s="77" t="str">
        <f t="shared" si="82"/>
        <v/>
      </c>
      <c r="BA199" s="6" t="str">
        <f t="array" ref="BA199">_xlfn.IFNA((INDEX('DMR 001C TIN &amp; TP'!$A$3:$M$10005,MATCH(('Reg 85'!$AQ$6&amp;'Reg 85'!BA$10&amp;'Reg 85'!$B199),('DMR 001C TIN &amp; TP'!$E$3:$E$10005&amp;'DMR 001C TIN &amp; TP'!$B$3:$B$10005&amp;'DMR 001C TIN &amp; TP'!$A$3:$A$10005),0),MATCH('Reg 85'!$AG$11,'DMR 001C TIN &amp; TP'!$A$2:$M$2,0))),"")</f>
        <v/>
      </c>
      <c r="BB199" s="6" t="str">
        <f t="array" ref="BB199">_xlfn.IFNA((INDEX('DMR 001C TIN &amp; TP'!$A$3:$M$10005,MATCH(('Reg 85'!$AQ$6&amp;'Reg 85'!BB$10&amp;'Reg 85'!$B199),('DMR 001C TIN &amp; TP'!$E$3:$E$10005&amp;'DMR 001C TIN &amp; TP'!$B$3:$B$10005&amp;'DMR 001C TIN &amp; TP'!$A$3:$A$10005),0),MATCH('Reg 85'!$AG$11,'DMR 001C TIN &amp; TP'!$A$2:$M$2,0))),"")</f>
        <v/>
      </c>
      <c r="BC199" s="6" t="str">
        <f t="array" ref="BC199">_xlfn.IFNA((INDEX('DMR 001C TIN &amp; TP'!$A$3:$M$10005,MATCH(('Reg 85'!$AQ$6&amp;'Reg 85'!BC$10&amp;'Reg 85'!$B199),('DMR 001C TIN &amp; TP'!$E$3:$E$10005&amp;'DMR 001C TIN &amp; TP'!$B$3:$B$10005&amp;'DMR 001C TIN &amp; TP'!$A$3:$A$10005),0),MATCH('Reg 85'!$AG$11,'DMR 001C TIN &amp; TP'!$A$2:$M$2,0))),"")</f>
        <v/>
      </c>
      <c r="BD199" s="6" t="str">
        <f t="array" ref="BD199">_xlfn.IFNA((INDEX('DMR 001C TIN &amp; TP'!$A$3:$M$10005,MATCH(('Reg 85'!$AQ$6&amp;'Reg 85'!BD$10&amp;'Reg 85'!$B199),('DMR 001C TIN &amp; TP'!$E$3:$E$10005&amp;'DMR 001C TIN &amp; TP'!$B$3:$B$10005&amp;'DMR 001C TIN &amp; TP'!$A$3:$A$10005),0),MATCH('Reg 85'!$AG$11,'DMR 001C TIN &amp; TP'!$A$2:$M$2,0))),"")</f>
        <v/>
      </c>
      <c r="BE199" s="6" t="str">
        <f t="array" ref="BE199">_xlfn.IFNA((INDEX('DMR 001C TIN &amp; TP'!$A$3:$M$10005,MATCH(('Reg 85'!$AQ$6&amp;'Reg 85'!BE$10&amp;'Reg 85'!$B199),('DMR 001C TIN &amp; TP'!$E$3:$E$10005&amp;'DMR 001C TIN &amp; TP'!$B$3:$B$10005&amp;'DMR 001C TIN &amp; TP'!$A$3:$A$10005),0),MATCH('Reg 85'!$AG$11,'DMR 001C TIN &amp; TP'!$A$2:$M$2,0))),"")</f>
        <v/>
      </c>
      <c r="BF199" s="6" t="str">
        <f t="array" ref="BF199">_xlfn.IFNA((INDEX('DMR 001C TIN &amp; TP'!$A$3:$M$10005,MATCH(('Reg 85'!$AQ$6&amp;'Reg 85'!BF$10&amp;'Reg 85'!$B199),('DMR 001C TIN &amp; TP'!$E$3:$E$10005&amp;'DMR 001C TIN &amp; TP'!$B$3:$B$10005&amp;'DMR 001C TIN &amp; TP'!$A$3:$A$10005),0),MATCH('Reg 85'!$AG$11,'DMR 001C TIN &amp; TP'!$A$2:$M$2,0))),"")</f>
        <v/>
      </c>
    </row>
    <row r="200" spans="1:58">
      <c r="A200" s="3" t="str">
        <f t="shared" si="63"/>
        <v>Fri</v>
      </c>
      <c r="B200" s="96">
        <f t="shared" si="79"/>
        <v>43532</v>
      </c>
      <c r="C200" s="96">
        <f t="shared" si="64"/>
        <v>43555</v>
      </c>
      <c r="D200" s="96">
        <f t="shared" si="65"/>
        <v>43525</v>
      </c>
      <c r="E200" s="95">
        <f t="shared" si="66"/>
        <v>31</v>
      </c>
      <c r="F200" s="7">
        <f t="array" ref="F200">_xlfn.IFNA(INDEX('DMR Flows-Effluent'!$A$3:$F$9999,MATCH(($F$10&amp;$B200),('DMR Flows-Effluent'!$B$3:$B$9999&amp;'DMR Flows-Effluent'!$A$3:$A$9999),0),MATCH($F$8,'DMR Flows-Effluent'!$A$2:$F$2,0)),"")</f>
        <v>58.01</v>
      </c>
      <c r="G200" s="7">
        <f t="array" ref="G200">_xlfn.IFNA(INDEX('DMR Flows-Effluent'!$A$3:$F$9999,MATCH(($G$10&amp;$B200),('DMR Flows-Effluent'!$B$3:$B$9999&amp;'DMR Flows-Effluent'!$A$3:$A$9999),0),MATCH($F$8,'DMR Flows-Effluent'!$A$2:$F$2,0)),"")</f>
        <v>63.668999999999997</v>
      </c>
      <c r="H200" s="7">
        <f t="shared" si="67"/>
        <v>121.679</v>
      </c>
      <c r="I200" s="45" t="str">
        <f t="shared" si="68"/>
        <v/>
      </c>
      <c r="J200" s="6" t="str">
        <f t="array" ref="J200">_xlfn.IFNA((INDEX('DMR 001C TIN &amp; TP'!$A$3:$M$10005,MATCH(('Reg 85'!$I$6:$Q$6&amp;'Reg 85'!$I$10:$K$10&amp;'Reg 85'!$B200),('DMR 001C TIN &amp; TP'!$E$3:$E$10005&amp;'DMR 001C TIN &amp; TP'!$B$3:$B$10005&amp;'DMR 001C TIN &amp; TP'!$A$3:$A$10005),0),MATCH('Reg 85'!$J$11,'DMR 001C TIN &amp; TP'!$A$2:$M$2,0))),"")</f>
        <v/>
      </c>
      <c r="K200" s="6" t="str">
        <f t="array" ref="K200">_xlfn.IFNA((INDEX('DMR 001C TIN &amp; TP'!$A$3:$M$10005,MATCH(('Reg 85'!$I$6:$Q$6&amp;'Reg 85'!$I$10:$K$10&amp;'Reg 85'!$B200),('DMR 001C TIN &amp; TP'!$E$3:$E$10005&amp;'DMR 001C TIN &amp; TP'!$B$3:$B$10005&amp;'DMR 001C TIN &amp; TP'!$A$3:$A$10005),0),MATCH('Reg 85'!$K$11,'DMR 001C TIN &amp; TP'!$A$2:$M$2,0))),"")</f>
        <v/>
      </c>
      <c r="L200" s="53" t="str">
        <f t="shared" si="80"/>
        <v/>
      </c>
      <c r="M200" s="5" t="str">
        <f t="shared" si="69"/>
        <v/>
      </c>
      <c r="N200" s="6" t="str">
        <f t="array" ref="N200">_xlfn.IFNA((INDEX('DMR 001C TIN &amp; TP'!$A$3:$M$10005,MATCH(('Reg 85'!$I$6:$Q$6&amp;'Reg 85'!$M$10&amp;'Reg 85'!$B200),('DMR 001C TIN &amp; TP'!$E$3:$E$10005&amp;'DMR 001C TIN &amp; TP'!$B$3:$B$10005&amp;'DMR 001C TIN &amp; TP'!$A$3:$A$10005),0),MATCH('Reg 85'!$N$11,'DMR 001C TIN &amp; TP'!$A$2:$M$2,0))),"")</f>
        <v/>
      </c>
      <c r="O200" s="6" t="str">
        <f t="array" ref="O200">_xlfn.IFNA((INDEX('DMR 001C TIN &amp; TP'!$A$3:$M$10005,MATCH(('Reg 85'!$I$6:$Q$6&amp;'Reg 85'!$M$10&amp;'Reg 85'!$B200),('DMR 001C TIN &amp; TP'!$E$3:$E$10005&amp;'DMR 001C TIN &amp; TP'!$B$3:$B$10005&amp;'DMR 001C TIN &amp; TP'!$A$3:$A$10005),0),MATCH('Reg 85'!$O$11,'DMR 001C TIN &amp; TP'!$A$2:$M$2,0))),"")</f>
        <v/>
      </c>
      <c r="P200" s="53" t="str">
        <f t="shared" si="70"/>
        <v/>
      </c>
      <c r="Q200" s="73" t="str">
        <f t="array" ref="Q200">IFERROR(((L200*$F200)+(P200*$G200))/($H200),"")</f>
        <v/>
      </c>
      <c r="R200" s="6" t="str">
        <f t="array" ref="R200">_xlfn.IFNA((INDEX('DMR 001C TIN &amp; TP'!$A$3:$M$10005,MATCH(('Reg 85'!$I$6:$Q$6&amp;'Reg 85'!R$10&amp;'Reg 85'!$B200),('DMR 001C TIN &amp; TP'!$E$3:$E$10005&amp;'DMR 001C TIN &amp; TP'!$B$3:$B$10005&amp;'DMR 001C TIN &amp; TP'!$A$3:$A$10005),0),MATCH('Reg 85'!$O$11,'DMR 001C TIN &amp; TP'!$A$2:$M$2,0))),"")</f>
        <v/>
      </c>
      <c r="S200" s="6" t="str">
        <f t="array" ref="S200">_xlfn.IFNA((INDEX('DMR 001C TIN &amp; TP'!$A$3:$M$10005,MATCH(('Reg 85'!$I$6:$Q$6&amp;'Reg 85'!S$10&amp;'Reg 85'!$B200),('DMR 001C TIN &amp; TP'!$E$3:$E$10005&amp;'DMR 001C TIN &amp; TP'!$B$3:$B$10005&amp;'DMR 001C TIN &amp; TP'!$A$3:$A$10005),0),MATCH('Reg 85'!$O$11,'DMR 001C TIN &amp; TP'!$A$2:$M$2,0))),"")</f>
        <v/>
      </c>
      <c r="T200" s="6" t="str">
        <f t="array" ref="T200">_xlfn.IFNA((INDEX('DMR 001C TIN &amp; TP'!$A$3:$M$10005,MATCH(('Reg 85'!$I$6:$Q$6&amp;'Reg 85'!T$10&amp;'Reg 85'!$B200),('DMR 001C TIN &amp; TP'!$E$3:$E$10005&amp;'DMR 001C TIN &amp; TP'!$B$3:$B$10005&amp;'DMR 001C TIN &amp; TP'!$A$3:$A$10005),0),MATCH('Reg 85'!$O$11,'DMR 001C TIN &amp; TP'!$A$2:$M$2,0))),"")</f>
        <v/>
      </c>
      <c r="U200" s="6" t="str">
        <f t="array" ref="U200">_xlfn.IFNA((INDEX('DMR 001C TIN &amp; TP'!$A$3:$M$10005,MATCH(('Reg 85'!$I$6:$Q$6&amp;'Reg 85'!U$10&amp;'Reg 85'!$B200),('DMR 001C TIN &amp; TP'!$E$3:$E$10005&amp;'DMR 001C TIN &amp; TP'!$B$3:$B$10005&amp;'DMR 001C TIN &amp; TP'!$A$3:$A$10005),0),MATCH('Reg 85'!$O$11,'DMR 001C TIN &amp; TP'!$A$2:$M$2,0))),"")</f>
        <v/>
      </c>
      <c r="V200" s="6" t="str">
        <f t="array" ref="V200">_xlfn.IFNA((INDEX('DMR 001C TIN &amp; TP'!$A$3:$M$10005,MATCH(('Reg 85'!$I$6:$Q$6&amp;'Reg 85'!V$10&amp;'Reg 85'!$B200),('DMR 001C TIN &amp; TP'!$E$3:$E$10005&amp;'DMR 001C TIN &amp; TP'!$B$3:$B$10005&amp;'DMR 001C TIN &amp; TP'!$A$3:$A$10005),0),MATCH('Reg 85'!$O$11,'DMR 001C TIN &amp; TP'!$A$2:$M$2,0))),"")</f>
        <v/>
      </c>
      <c r="W200" s="6" t="str">
        <f t="array" ref="W200">_xlfn.IFNA((INDEX('DMR 001C TIN &amp; TP'!$A$3:$M$10005,MATCH(('Reg 85'!$I$6:$Q$6&amp;'Reg 85'!W$10&amp;'Reg 85'!$B200),('DMR 001C TIN &amp; TP'!$E$3:$E$10005&amp;'DMR 001C TIN &amp; TP'!$B$3:$B$10005&amp;'DMR 001C TIN &amp; TP'!$A$3:$A$10005),0),MATCH('Reg 85'!$O$11,'DMR 001C TIN &amp; TP'!$A$2:$M$2,0))),"")</f>
        <v/>
      </c>
      <c r="X200" s="5" t="str">
        <f t="shared" si="71"/>
        <v/>
      </c>
      <c r="Y200" s="6" t="str">
        <f t="array" ref="Y200">_xlfn.IFNA((INDEX('DMR 001C TIN &amp; TP'!$A$3:$M$10005,MATCH(('Reg 85'!$X$6&amp;'Reg 85'!$X$10&amp;'Reg 85'!$B200),('DMR 001C TIN &amp; TP'!$E$3:$E$10005&amp;'DMR 001C TIN &amp; TP'!$B$3:$B$10005&amp;'DMR 001C TIN &amp; TP'!$A$3:$A$10005),0),MATCH('Reg 85'!$Y$11,'DMR 001C TIN &amp; TP'!$A$2:$M$2,0))),"")</f>
        <v/>
      </c>
      <c r="Z200" s="6" t="str">
        <f t="array" ref="Z200">_xlfn.IFNA((INDEX('DMR 001C TIN &amp; TP'!$A$3:$M$10005,MATCH(('Reg 85'!$X$6&amp;'Reg 85'!$X$10&amp;'Reg 85'!$B200),('DMR 001C TIN &amp; TP'!$E$3:$E$10005&amp;'DMR 001C TIN &amp; TP'!$B$3:$B$10005&amp;'DMR 001C TIN &amp; TP'!$A$3:$A$10005),0),MATCH('Reg 85'!$Z$11,'DMR 001C TIN &amp; TP'!$A$2:$M$2,0))),"")</f>
        <v/>
      </c>
      <c r="AA200" s="53" t="str">
        <f t="shared" si="72"/>
        <v/>
      </c>
      <c r="AB200" s="5" t="str">
        <f t="shared" si="73"/>
        <v/>
      </c>
      <c r="AC200" s="6" t="str">
        <f t="array" ref="AC200">_xlfn.IFNA((INDEX('DMR 001C TIN &amp; TP'!$A$3:$M$10005,MATCH(('Reg 85'!$X$6&amp;'Reg 85'!$AB$10&amp;'Reg 85'!$B200),('DMR 001C TIN &amp; TP'!$E$3:$E$10005&amp;'DMR 001C TIN &amp; TP'!$B$3:$B$10005&amp;'DMR 001C TIN &amp; TP'!$A$3:$A$10005),0),MATCH('Reg 85'!$AC$11,'DMR 001C TIN &amp; TP'!$A$2:$M$2,0))),"")</f>
        <v/>
      </c>
      <c r="AD200" s="6" t="str">
        <f t="array" ref="AD200">_xlfn.IFNA((INDEX('DMR 001C TIN &amp; TP'!$A$3:$M$10005,MATCH(('Reg 85'!$X$6&amp;'Reg 85'!$AB$10&amp;'Reg 85'!$B200),('DMR 001C TIN &amp; TP'!$E$3:$E$10005&amp;'DMR 001C TIN &amp; TP'!$B$3:$B$10005&amp;'DMR 001C TIN &amp; TP'!$A$3:$A$10005),0),MATCH('Reg 85'!$AD$11,'DMR 001C TIN &amp; TP'!$A$2:$M$2,0))),"")</f>
        <v/>
      </c>
      <c r="AE200" s="53" t="str">
        <f t="shared" si="74"/>
        <v/>
      </c>
      <c r="AF200" s="7" t="str">
        <f t="shared" si="75"/>
        <v/>
      </c>
      <c r="AG200" s="6" t="str">
        <f t="array" ref="AG200">_xlfn.IFNA((INDEX('DMR 001C TIN &amp; TP'!$A$3:$M$10005,MATCH(('Reg 85'!$X$6&amp;'Reg 85'!AG$10&amp;'Reg 85'!$B200),('DMR 001C TIN &amp; TP'!$E$3:$E$10005&amp;'DMR 001C TIN &amp; TP'!$B$3:$B$10005&amp;'DMR 001C TIN &amp; TP'!$A$3:$A$10005),0),MATCH('Reg 85'!$AG$11,'DMR 001C TIN &amp; TP'!$A$2:$M$2,0))),"")</f>
        <v/>
      </c>
      <c r="AH200" s="6" t="str">
        <f t="array" ref="AH200">_xlfn.IFNA((INDEX('DMR 001C TIN &amp; TP'!$A$3:$M$10005,MATCH(('Reg 85'!$X$6&amp;'Reg 85'!AH$10&amp;'Reg 85'!$B200),('DMR 001C TIN &amp; TP'!$E$3:$E$10005&amp;'DMR 001C TIN &amp; TP'!$B$3:$B$10005&amp;'DMR 001C TIN &amp; TP'!$A$3:$A$10005),0),MATCH('Reg 85'!$AG$11,'DMR 001C TIN &amp; TP'!$A$2:$M$2,0))),"")</f>
        <v/>
      </c>
      <c r="AI200" s="6" t="str">
        <f t="array" ref="AI200">_xlfn.IFNA((INDEX('DMR 001C TIN &amp; TP'!$A$3:$M$10005,MATCH(('Reg 85'!$X$6&amp;'Reg 85'!AI$10&amp;'Reg 85'!$B200),('DMR 001C TIN &amp; TP'!$E$3:$E$10005&amp;'DMR 001C TIN &amp; TP'!$B$3:$B$10005&amp;'DMR 001C TIN &amp; TP'!$A$3:$A$10005),0),MATCH('Reg 85'!$AG$11,'DMR 001C TIN &amp; TP'!$A$2:$M$2,0))),"")</f>
        <v/>
      </c>
      <c r="AJ200" s="6" t="str">
        <f t="array" ref="AJ200">_xlfn.IFNA((INDEX('DMR 001C TIN &amp; TP'!$A$3:$M$10005,MATCH(('Reg 85'!$X$6&amp;'Reg 85'!AJ$10&amp;'Reg 85'!$B200),('DMR 001C TIN &amp; TP'!$E$3:$E$10005&amp;'DMR 001C TIN &amp; TP'!$B$3:$B$10005&amp;'DMR 001C TIN &amp; TP'!$A$3:$A$10005),0),MATCH('Reg 85'!$AG$11,'DMR 001C TIN &amp; TP'!$A$2:$M$2,0))),"")</f>
        <v/>
      </c>
      <c r="AK200" s="6" t="str">
        <f t="array" ref="AK200">_xlfn.IFNA((INDEX('DMR 001C TIN &amp; TP'!$A$3:$M$10005,MATCH(('Reg 85'!$X$6&amp;'Reg 85'!AK$10&amp;'Reg 85'!$B200),('DMR 001C TIN &amp; TP'!$E$3:$E$10005&amp;'DMR 001C TIN &amp; TP'!$B$3:$B$10005&amp;'DMR 001C TIN &amp; TP'!$A$3:$A$10005),0),MATCH('Reg 85'!$AG$11,'DMR 001C TIN &amp; TP'!$A$2:$M$2,0))),"")</f>
        <v/>
      </c>
      <c r="AL200" s="6" t="str">
        <f t="array" ref="AL200">_xlfn.IFNA((INDEX('DMR 001C TIN &amp; TP'!$A$3:$M$10005,MATCH(('Reg 85'!$X$6&amp;'Reg 85'!AL$10&amp;'Reg 85'!$B200),('DMR 001C TIN &amp; TP'!$E$3:$E$10005&amp;'DMR 001C TIN &amp; TP'!$B$3:$B$10005&amp;'DMR 001C TIN &amp; TP'!$A$3:$A$10005),0),MATCH('Reg 85'!$AG$11,'DMR 001C TIN &amp; TP'!$A$2:$M$2,0))),"")</f>
        <v/>
      </c>
      <c r="AM200" s="76"/>
      <c r="AN200" s="6"/>
      <c r="AO200" s="54" t="str">
        <f t="shared" si="62"/>
        <v/>
      </c>
      <c r="AP200" s="77" t="str">
        <f t="shared" si="81"/>
        <v/>
      </c>
      <c r="AQ200" s="47"/>
      <c r="AR200" s="6" t="str">
        <f t="array" ref="AR200">_xlfn.IFNA((INDEX('DMR 001C TIN &amp; TP'!$A$3:$M$10005,MATCH(('Reg 85'!$AQ$6&amp;'Reg 85'!$AQ$10&amp;'Reg 85'!$B200),('DMR 001C TIN &amp; TP'!$E$3:$E$10005&amp;'DMR 001C TIN &amp; TP'!$B$3:$B$10005&amp;'DMR 001C TIN &amp; TP'!$A$3:$A$10005),0),MATCH('Reg 85'!$AR$11,'DMR 001C TIN &amp; TP'!$A$2:$M$2,0))),"")</f>
        <v>0.03</v>
      </c>
      <c r="AS200" s="6">
        <f t="array" ref="AS200">_xlfn.IFNA((INDEX('DMR 001C TIN &amp; TP'!$A$3:$M$10005,MATCH(('Reg 85'!$AQ$6&amp;'Reg 85'!$AQ$10&amp;'Reg 85'!$B200),('DMR 001C TIN &amp; TP'!$E$3:$E$10005&amp;'DMR 001C TIN &amp; TP'!$B$3:$B$10005&amp;'DMR 001C TIN &amp; TP'!$A$3:$A$10005),0),MATCH('Reg 85'!$AS$11,'DMR 001C TIN &amp; TP'!$A$2:$M$2,0))),"")</f>
        <v>0.35</v>
      </c>
      <c r="AT200" s="53">
        <f t="shared" si="76"/>
        <v>0.35</v>
      </c>
      <c r="AV200" s="6" t="str">
        <f t="array" ref="AV200">_xlfn.IFNA((INDEX('DMR 001C TIN &amp; TP'!$A$3:$M$10005,MATCH(('Reg 85'!$AQ$6&amp;'Reg 85'!$AU$10&amp;'Reg 85'!$B200),('DMR 001C TIN &amp; TP'!$E$3:$E$10005&amp;'DMR 001C TIN &amp; TP'!$B$3:$B$10005&amp;'DMR 001C TIN &amp; TP'!$A$3:$A$10005),0),MATCH('Reg 85'!$AV$11,'DMR 001C TIN &amp; TP'!$A$2:$M$2,0))),"")</f>
        <v>0.06</v>
      </c>
      <c r="AW200" s="6">
        <f t="array" ref="AW200">_xlfn.IFNA((INDEX('DMR 001C TIN &amp; TP'!$A$3:$M$10005,MATCH(('Reg 85'!$AQ$6&amp;'Reg 85'!$AU$10&amp;'Reg 85'!$B200),('DMR 001C TIN &amp; TP'!$E$3:$E$10005&amp;'DMR 001C TIN &amp; TP'!$B$3:$B$10005&amp;'DMR 001C TIN &amp; TP'!$A$3:$A$10005),0),MATCH('Reg 85'!$AW$11,'DMR 001C TIN &amp; TP'!$A$2:$M$2,0))),"")</f>
        <v>2.14</v>
      </c>
      <c r="AX200" s="53">
        <f t="shared" si="77"/>
        <v>2.14</v>
      </c>
      <c r="AY200" s="55">
        <f t="shared" si="78"/>
        <v>1.2866243147954866</v>
      </c>
      <c r="AZ200" s="77" t="str">
        <f t="shared" si="82"/>
        <v/>
      </c>
      <c r="BA200" s="6" t="str">
        <f t="array" ref="BA200">_xlfn.IFNA((INDEX('DMR 001C TIN &amp; TP'!$A$3:$M$10005,MATCH(('Reg 85'!$AQ$6&amp;'Reg 85'!BA$10&amp;'Reg 85'!$B200),('DMR 001C TIN &amp; TP'!$E$3:$E$10005&amp;'DMR 001C TIN &amp; TP'!$B$3:$B$10005&amp;'DMR 001C TIN &amp; TP'!$A$3:$A$10005),0),MATCH('Reg 85'!$AG$11,'DMR 001C TIN &amp; TP'!$A$2:$M$2,0))),"")</f>
        <v/>
      </c>
      <c r="BB200" s="6" t="str">
        <f t="array" ref="BB200">_xlfn.IFNA((INDEX('DMR 001C TIN &amp; TP'!$A$3:$M$10005,MATCH(('Reg 85'!$AQ$6&amp;'Reg 85'!BB$10&amp;'Reg 85'!$B200),('DMR 001C TIN &amp; TP'!$E$3:$E$10005&amp;'DMR 001C TIN &amp; TP'!$B$3:$B$10005&amp;'DMR 001C TIN &amp; TP'!$A$3:$A$10005),0),MATCH('Reg 85'!$AG$11,'DMR 001C TIN &amp; TP'!$A$2:$M$2,0))),"")</f>
        <v/>
      </c>
      <c r="BC200" s="6" t="str">
        <f t="array" ref="BC200">_xlfn.IFNA((INDEX('DMR 001C TIN &amp; TP'!$A$3:$M$10005,MATCH(('Reg 85'!$AQ$6&amp;'Reg 85'!BC$10&amp;'Reg 85'!$B200),('DMR 001C TIN &amp; TP'!$E$3:$E$10005&amp;'DMR 001C TIN &amp; TP'!$B$3:$B$10005&amp;'DMR 001C TIN &amp; TP'!$A$3:$A$10005),0),MATCH('Reg 85'!$AG$11,'DMR 001C TIN &amp; TP'!$A$2:$M$2,0))),"")</f>
        <v/>
      </c>
      <c r="BD200" s="6" t="str">
        <f t="array" ref="BD200">_xlfn.IFNA((INDEX('DMR 001C TIN &amp; TP'!$A$3:$M$10005,MATCH(('Reg 85'!$AQ$6&amp;'Reg 85'!BD$10&amp;'Reg 85'!$B200),('DMR 001C TIN &amp; TP'!$E$3:$E$10005&amp;'DMR 001C TIN &amp; TP'!$B$3:$B$10005&amp;'DMR 001C TIN &amp; TP'!$A$3:$A$10005),0),MATCH('Reg 85'!$AG$11,'DMR 001C TIN &amp; TP'!$A$2:$M$2,0))),"")</f>
        <v/>
      </c>
      <c r="BE200" s="6" t="str">
        <f t="array" ref="BE200">_xlfn.IFNA((INDEX('DMR 001C TIN &amp; TP'!$A$3:$M$10005,MATCH(('Reg 85'!$AQ$6&amp;'Reg 85'!BE$10&amp;'Reg 85'!$B200),('DMR 001C TIN &amp; TP'!$E$3:$E$10005&amp;'DMR 001C TIN &amp; TP'!$B$3:$B$10005&amp;'DMR 001C TIN &amp; TP'!$A$3:$A$10005),0),MATCH('Reg 85'!$AG$11,'DMR 001C TIN &amp; TP'!$A$2:$M$2,0))),"")</f>
        <v/>
      </c>
      <c r="BF200" s="6" t="str">
        <f t="array" ref="BF200">_xlfn.IFNA((INDEX('DMR 001C TIN &amp; TP'!$A$3:$M$10005,MATCH(('Reg 85'!$AQ$6&amp;'Reg 85'!BF$10&amp;'Reg 85'!$B200),('DMR 001C TIN &amp; TP'!$E$3:$E$10005&amp;'DMR 001C TIN &amp; TP'!$B$3:$B$10005&amp;'DMR 001C TIN &amp; TP'!$A$3:$A$10005),0),MATCH('Reg 85'!$AG$11,'DMR 001C TIN &amp; TP'!$A$2:$M$2,0))),"")</f>
        <v/>
      </c>
    </row>
    <row r="201" spans="1:58">
      <c r="A201" s="3" t="str">
        <f t="shared" si="63"/>
        <v>Sat</v>
      </c>
      <c r="B201" s="96">
        <f t="shared" si="79"/>
        <v>43533</v>
      </c>
      <c r="C201" s="96">
        <f t="shared" si="64"/>
        <v>43555</v>
      </c>
      <c r="D201" s="96">
        <f t="shared" si="65"/>
        <v>43525</v>
      </c>
      <c r="E201" s="95">
        <f t="shared" si="66"/>
        <v>31</v>
      </c>
      <c r="F201" s="7">
        <f t="array" ref="F201">_xlfn.IFNA(INDEX('DMR Flows-Effluent'!$A$3:$F$9999,MATCH(($F$10&amp;$B201),('DMR Flows-Effluent'!$B$3:$B$9999&amp;'DMR Flows-Effluent'!$A$3:$A$9999),0),MATCH($F$8,'DMR Flows-Effluent'!$A$2:$F$2,0)),"")</f>
        <v>64.451599999999999</v>
      </c>
      <c r="G201" s="7">
        <f t="array" ref="G201">_xlfn.IFNA(INDEX('DMR Flows-Effluent'!$A$3:$F$9999,MATCH(($G$10&amp;$B201),('DMR Flows-Effluent'!$B$3:$B$9999&amp;'DMR Flows-Effluent'!$A$3:$A$9999),0),MATCH($F$8,'DMR Flows-Effluent'!$A$2:$F$2,0)),"")</f>
        <v>65.869399999999999</v>
      </c>
      <c r="H201" s="7">
        <f t="shared" si="67"/>
        <v>130.321</v>
      </c>
      <c r="I201" s="45" t="str">
        <f t="shared" si="68"/>
        <v/>
      </c>
      <c r="J201" s="6" t="str">
        <f t="array" ref="J201">_xlfn.IFNA((INDEX('DMR 001C TIN &amp; TP'!$A$3:$M$10005,MATCH(('Reg 85'!$I$6:$Q$6&amp;'Reg 85'!$I$10:$K$10&amp;'Reg 85'!$B201),('DMR 001C TIN &amp; TP'!$E$3:$E$10005&amp;'DMR 001C TIN &amp; TP'!$B$3:$B$10005&amp;'DMR 001C TIN &amp; TP'!$A$3:$A$10005),0),MATCH('Reg 85'!$J$11,'DMR 001C TIN &amp; TP'!$A$2:$M$2,0))),"")</f>
        <v/>
      </c>
      <c r="K201" s="6" t="str">
        <f t="array" ref="K201">_xlfn.IFNA((INDEX('DMR 001C TIN &amp; TP'!$A$3:$M$10005,MATCH(('Reg 85'!$I$6:$Q$6&amp;'Reg 85'!$I$10:$K$10&amp;'Reg 85'!$B201),('DMR 001C TIN &amp; TP'!$E$3:$E$10005&amp;'DMR 001C TIN &amp; TP'!$B$3:$B$10005&amp;'DMR 001C TIN &amp; TP'!$A$3:$A$10005),0),MATCH('Reg 85'!$K$11,'DMR 001C TIN &amp; TP'!$A$2:$M$2,0))),"")</f>
        <v/>
      </c>
      <c r="L201" s="53" t="str">
        <f t="shared" si="80"/>
        <v/>
      </c>
      <c r="M201" s="5" t="str">
        <f t="shared" si="69"/>
        <v/>
      </c>
      <c r="N201" s="6" t="str">
        <f t="array" ref="N201">_xlfn.IFNA((INDEX('DMR 001C TIN &amp; TP'!$A$3:$M$10005,MATCH(('Reg 85'!$I$6:$Q$6&amp;'Reg 85'!$M$10&amp;'Reg 85'!$B201),('DMR 001C TIN &amp; TP'!$E$3:$E$10005&amp;'DMR 001C TIN &amp; TP'!$B$3:$B$10005&amp;'DMR 001C TIN &amp; TP'!$A$3:$A$10005),0),MATCH('Reg 85'!$N$11,'DMR 001C TIN &amp; TP'!$A$2:$M$2,0))),"")</f>
        <v/>
      </c>
      <c r="O201" s="6" t="str">
        <f t="array" ref="O201">_xlfn.IFNA((INDEX('DMR 001C TIN &amp; TP'!$A$3:$M$10005,MATCH(('Reg 85'!$I$6:$Q$6&amp;'Reg 85'!$M$10&amp;'Reg 85'!$B201),('DMR 001C TIN &amp; TP'!$E$3:$E$10005&amp;'DMR 001C TIN &amp; TP'!$B$3:$B$10005&amp;'DMR 001C TIN &amp; TP'!$A$3:$A$10005),0),MATCH('Reg 85'!$O$11,'DMR 001C TIN &amp; TP'!$A$2:$M$2,0))),"")</f>
        <v/>
      </c>
      <c r="P201" s="53" t="str">
        <f t="shared" si="70"/>
        <v/>
      </c>
      <c r="Q201" s="73" t="str">
        <f t="array" ref="Q201">IFERROR(((L201*$F201)+(P201*$G201))/($H201),"")</f>
        <v/>
      </c>
      <c r="R201" s="6" t="str">
        <f t="array" ref="R201">_xlfn.IFNA((INDEX('DMR 001C TIN &amp; TP'!$A$3:$M$10005,MATCH(('Reg 85'!$I$6:$Q$6&amp;'Reg 85'!R$10&amp;'Reg 85'!$B201),('DMR 001C TIN &amp; TP'!$E$3:$E$10005&amp;'DMR 001C TIN &amp; TP'!$B$3:$B$10005&amp;'DMR 001C TIN &amp; TP'!$A$3:$A$10005),0),MATCH('Reg 85'!$O$11,'DMR 001C TIN &amp; TP'!$A$2:$M$2,0))),"")</f>
        <v/>
      </c>
      <c r="S201" s="6" t="str">
        <f t="array" ref="S201">_xlfn.IFNA((INDEX('DMR 001C TIN &amp; TP'!$A$3:$M$10005,MATCH(('Reg 85'!$I$6:$Q$6&amp;'Reg 85'!S$10&amp;'Reg 85'!$B201),('DMR 001C TIN &amp; TP'!$E$3:$E$10005&amp;'DMR 001C TIN &amp; TP'!$B$3:$B$10005&amp;'DMR 001C TIN &amp; TP'!$A$3:$A$10005),0),MATCH('Reg 85'!$O$11,'DMR 001C TIN &amp; TP'!$A$2:$M$2,0))),"")</f>
        <v/>
      </c>
      <c r="T201" s="6" t="str">
        <f t="array" ref="T201">_xlfn.IFNA((INDEX('DMR 001C TIN &amp; TP'!$A$3:$M$10005,MATCH(('Reg 85'!$I$6:$Q$6&amp;'Reg 85'!T$10&amp;'Reg 85'!$B201),('DMR 001C TIN &amp; TP'!$E$3:$E$10005&amp;'DMR 001C TIN &amp; TP'!$B$3:$B$10005&amp;'DMR 001C TIN &amp; TP'!$A$3:$A$10005),0),MATCH('Reg 85'!$O$11,'DMR 001C TIN &amp; TP'!$A$2:$M$2,0))),"")</f>
        <v/>
      </c>
      <c r="U201" s="6" t="str">
        <f t="array" ref="U201">_xlfn.IFNA((INDEX('DMR 001C TIN &amp; TP'!$A$3:$M$10005,MATCH(('Reg 85'!$I$6:$Q$6&amp;'Reg 85'!U$10&amp;'Reg 85'!$B201),('DMR 001C TIN &amp; TP'!$E$3:$E$10005&amp;'DMR 001C TIN &amp; TP'!$B$3:$B$10005&amp;'DMR 001C TIN &amp; TP'!$A$3:$A$10005),0),MATCH('Reg 85'!$O$11,'DMR 001C TIN &amp; TP'!$A$2:$M$2,0))),"")</f>
        <v/>
      </c>
      <c r="V201" s="6" t="str">
        <f t="array" ref="V201">_xlfn.IFNA((INDEX('DMR 001C TIN &amp; TP'!$A$3:$M$10005,MATCH(('Reg 85'!$I$6:$Q$6&amp;'Reg 85'!V$10&amp;'Reg 85'!$B201),('DMR 001C TIN &amp; TP'!$E$3:$E$10005&amp;'DMR 001C TIN &amp; TP'!$B$3:$B$10005&amp;'DMR 001C TIN &amp; TP'!$A$3:$A$10005),0),MATCH('Reg 85'!$O$11,'DMR 001C TIN &amp; TP'!$A$2:$M$2,0))),"")</f>
        <v/>
      </c>
      <c r="W201" s="6" t="str">
        <f t="array" ref="W201">_xlfn.IFNA((INDEX('DMR 001C TIN &amp; TP'!$A$3:$M$10005,MATCH(('Reg 85'!$I$6:$Q$6&amp;'Reg 85'!W$10&amp;'Reg 85'!$B201),('DMR 001C TIN &amp; TP'!$E$3:$E$10005&amp;'DMR 001C TIN &amp; TP'!$B$3:$B$10005&amp;'DMR 001C TIN &amp; TP'!$A$3:$A$10005),0),MATCH('Reg 85'!$O$11,'DMR 001C TIN &amp; TP'!$A$2:$M$2,0))),"")</f>
        <v/>
      </c>
      <c r="X201" s="5" t="str">
        <f t="shared" si="71"/>
        <v/>
      </c>
      <c r="Y201" s="6" t="str">
        <f t="array" ref="Y201">_xlfn.IFNA((INDEX('DMR 001C TIN &amp; TP'!$A$3:$M$10005,MATCH(('Reg 85'!$X$6&amp;'Reg 85'!$X$10&amp;'Reg 85'!$B201),('DMR 001C TIN &amp; TP'!$E$3:$E$10005&amp;'DMR 001C TIN &amp; TP'!$B$3:$B$10005&amp;'DMR 001C TIN &amp; TP'!$A$3:$A$10005),0),MATCH('Reg 85'!$Y$11,'DMR 001C TIN &amp; TP'!$A$2:$M$2,0))),"")</f>
        <v/>
      </c>
      <c r="Z201" s="6" t="str">
        <f t="array" ref="Z201">_xlfn.IFNA((INDEX('DMR 001C TIN &amp; TP'!$A$3:$M$10005,MATCH(('Reg 85'!$X$6&amp;'Reg 85'!$X$10&amp;'Reg 85'!$B201),('DMR 001C TIN &amp; TP'!$E$3:$E$10005&amp;'DMR 001C TIN &amp; TP'!$B$3:$B$10005&amp;'DMR 001C TIN &amp; TP'!$A$3:$A$10005),0),MATCH('Reg 85'!$Z$11,'DMR 001C TIN &amp; TP'!$A$2:$M$2,0))),"")</f>
        <v/>
      </c>
      <c r="AA201" s="53" t="str">
        <f t="shared" si="72"/>
        <v/>
      </c>
      <c r="AB201" s="5" t="str">
        <f t="shared" si="73"/>
        <v/>
      </c>
      <c r="AC201" s="6" t="str">
        <f t="array" ref="AC201">_xlfn.IFNA((INDEX('DMR 001C TIN &amp; TP'!$A$3:$M$10005,MATCH(('Reg 85'!$X$6&amp;'Reg 85'!$AB$10&amp;'Reg 85'!$B201),('DMR 001C TIN &amp; TP'!$E$3:$E$10005&amp;'DMR 001C TIN &amp; TP'!$B$3:$B$10005&amp;'DMR 001C TIN &amp; TP'!$A$3:$A$10005),0),MATCH('Reg 85'!$AC$11,'DMR 001C TIN &amp; TP'!$A$2:$M$2,0))),"")</f>
        <v/>
      </c>
      <c r="AD201" s="6" t="str">
        <f t="array" ref="AD201">_xlfn.IFNA((INDEX('DMR 001C TIN &amp; TP'!$A$3:$M$10005,MATCH(('Reg 85'!$X$6&amp;'Reg 85'!$AB$10&amp;'Reg 85'!$B201),('DMR 001C TIN &amp; TP'!$E$3:$E$10005&amp;'DMR 001C TIN &amp; TP'!$B$3:$B$10005&amp;'DMR 001C TIN &amp; TP'!$A$3:$A$10005),0),MATCH('Reg 85'!$AD$11,'DMR 001C TIN &amp; TP'!$A$2:$M$2,0))),"")</f>
        <v/>
      </c>
      <c r="AE201" s="53" t="str">
        <f t="shared" si="74"/>
        <v/>
      </c>
      <c r="AF201" s="7" t="str">
        <f t="shared" si="75"/>
        <v/>
      </c>
      <c r="AG201" s="6" t="str">
        <f t="array" ref="AG201">_xlfn.IFNA((INDEX('DMR 001C TIN &amp; TP'!$A$3:$M$10005,MATCH(('Reg 85'!$X$6&amp;'Reg 85'!AG$10&amp;'Reg 85'!$B201),('DMR 001C TIN &amp; TP'!$E$3:$E$10005&amp;'DMR 001C TIN &amp; TP'!$B$3:$B$10005&amp;'DMR 001C TIN &amp; TP'!$A$3:$A$10005),0),MATCH('Reg 85'!$AG$11,'DMR 001C TIN &amp; TP'!$A$2:$M$2,0))),"")</f>
        <v/>
      </c>
      <c r="AH201" s="6" t="str">
        <f t="array" ref="AH201">_xlfn.IFNA((INDEX('DMR 001C TIN &amp; TP'!$A$3:$M$10005,MATCH(('Reg 85'!$X$6&amp;'Reg 85'!AH$10&amp;'Reg 85'!$B201),('DMR 001C TIN &amp; TP'!$E$3:$E$10005&amp;'DMR 001C TIN &amp; TP'!$B$3:$B$10005&amp;'DMR 001C TIN &amp; TP'!$A$3:$A$10005),0),MATCH('Reg 85'!$AG$11,'DMR 001C TIN &amp; TP'!$A$2:$M$2,0))),"")</f>
        <v/>
      </c>
      <c r="AI201" s="6" t="str">
        <f t="array" ref="AI201">_xlfn.IFNA((INDEX('DMR 001C TIN &amp; TP'!$A$3:$M$10005,MATCH(('Reg 85'!$X$6&amp;'Reg 85'!AI$10&amp;'Reg 85'!$B201),('DMR 001C TIN &amp; TP'!$E$3:$E$10005&amp;'DMR 001C TIN &amp; TP'!$B$3:$B$10005&amp;'DMR 001C TIN &amp; TP'!$A$3:$A$10005),0),MATCH('Reg 85'!$AG$11,'DMR 001C TIN &amp; TP'!$A$2:$M$2,0))),"")</f>
        <v/>
      </c>
      <c r="AJ201" s="6" t="str">
        <f t="array" ref="AJ201">_xlfn.IFNA((INDEX('DMR 001C TIN &amp; TP'!$A$3:$M$10005,MATCH(('Reg 85'!$X$6&amp;'Reg 85'!AJ$10&amp;'Reg 85'!$B201),('DMR 001C TIN &amp; TP'!$E$3:$E$10005&amp;'DMR 001C TIN &amp; TP'!$B$3:$B$10005&amp;'DMR 001C TIN &amp; TP'!$A$3:$A$10005),0),MATCH('Reg 85'!$AG$11,'DMR 001C TIN &amp; TP'!$A$2:$M$2,0))),"")</f>
        <v/>
      </c>
      <c r="AK201" s="6" t="str">
        <f t="array" ref="AK201">_xlfn.IFNA((INDEX('DMR 001C TIN &amp; TP'!$A$3:$M$10005,MATCH(('Reg 85'!$X$6&amp;'Reg 85'!AK$10&amp;'Reg 85'!$B201),('DMR 001C TIN &amp; TP'!$E$3:$E$10005&amp;'DMR 001C TIN &amp; TP'!$B$3:$B$10005&amp;'DMR 001C TIN &amp; TP'!$A$3:$A$10005),0),MATCH('Reg 85'!$AG$11,'DMR 001C TIN &amp; TP'!$A$2:$M$2,0))),"")</f>
        <v/>
      </c>
      <c r="AL201" s="6" t="str">
        <f t="array" ref="AL201">_xlfn.IFNA((INDEX('DMR 001C TIN &amp; TP'!$A$3:$M$10005,MATCH(('Reg 85'!$X$6&amp;'Reg 85'!AL$10&amp;'Reg 85'!$B201),('DMR 001C TIN &amp; TP'!$E$3:$E$10005&amp;'DMR 001C TIN &amp; TP'!$B$3:$B$10005&amp;'DMR 001C TIN &amp; TP'!$A$3:$A$10005),0),MATCH('Reg 85'!$AG$11,'DMR 001C TIN &amp; TP'!$A$2:$M$2,0))),"")</f>
        <v/>
      </c>
      <c r="AM201" s="76"/>
      <c r="AN201" s="6"/>
      <c r="AO201" s="54" t="str">
        <f t="shared" si="62"/>
        <v/>
      </c>
      <c r="AP201" s="77" t="str">
        <f t="shared" si="81"/>
        <v/>
      </c>
      <c r="AQ201" s="47"/>
      <c r="AR201" s="6" t="str">
        <f t="array" ref="AR201">_xlfn.IFNA((INDEX('DMR 001C TIN &amp; TP'!$A$3:$M$10005,MATCH(('Reg 85'!$AQ$6&amp;'Reg 85'!$AQ$10&amp;'Reg 85'!$B201),('DMR 001C TIN &amp; TP'!$E$3:$E$10005&amp;'DMR 001C TIN &amp; TP'!$B$3:$B$10005&amp;'DMR 001C TIN &amp; TP'!$A$3:$A$10005),0),MATCH('Reg 85'!$AR$11,'DMR 001C TIN &amp; TP'!$A$2:$M$2,0))),"")</f>
        <v>0.03</v>
      </c>
      <c r="AS201" s="6">
        <f t="array" ref="AS201">_xlfn.IFNA((INDEX('DMR 001C TIN &amp; TP'!$A$3:$M$10005,MATCH(('Reg 85'!$AQ$6&amp;'Reg 85'!$AQ$10&amp;'Reg 85'!$B201),('DMR 001C TIN &amp; TP'!$E$3:$E$10005&amp;'DMR 001C TIN &amp; TP'!$B$3:$B$10005&amp;'DMR 001C TIN &amp; TP'!$A$3:$A$10005),0),MATCH('Reg 85'!$AS$11,'DMR 001C TIN &amp; TP'!$A$2:$M$2,0))),"")</f>
        <v>0.39</v>
      </c>
      <c r="AT201" s="53">
        <f t="shared" si="76"/>
        <v>0.39</v>
      </c>
      <c r="AV201" s="6" t="str">
        <f t="array" ref="AV201">_xlfn.IFNA((INDEX('DMR 001C TIN &amp; TP'!$A$3:$M$10005,MATCH(('Reg 85'!$AQ$6&amp;'Reg 85'!$AU$10&amp;'Reg 85'!$B201),('DMR 001C TIN &amp; TP'!$E$3:$E$10005&amp;'DMR 001C TIN &amp; TP'!$B$3:$B$10005&amp;'DMR 001C TIN &amp; TP'!$A$3:$A$10005),0),MATCH('Reg 85'!$AV$11,'DMR 001C TIN &amp; TP'!$A$2:$M$2,0))),"")</f>
        <v>0.06</v>
      </c>
      <c r="AW201" s="6">
        <f t="array" ref="AW201">_xlfn.IFNA((INDEX('DMR 001C TIN &amp; TP'!$A$3:$M$10005,MATCH(('Reg 85'!$AQ$6&amp;'Reg 85'!$AU$10&amp;'Reg 85'!$B201),('DMR 001C TIN &amp; TP'!$E$3:$E$10005&amp;'DMR 001C TIN &amp; TP'!$B$3:$B$10005&amp;'DMR 001C TIN &amp; TP'!$A$3:$A$10005),0),MATCH('Reg 85'!$AW$11,'DMR 001C TIN &amp; TP'!$A$2:$M$2,0))),"")</f>
        <v>2.1</v>
      </c>
      <c r="AX201" s="53">
        <f t="shared" si="77"/>
        <v>2.1</v>
      </c>
      <c r="AY201" s="55">
        <f t="shared" si="78"/>
        <v>1.2543017932643241</v>
      </c>
      <c r="AZ201" s="77" t="str">
        <f t="shared" si="82"/>
        <v/>
      </c>
      <c r="BA201" s="6" t="str">
        <f t="array" ref="BA201">_xlfn.IFNA((INDEX('DMR 001C TIN &amp; TP'!$A$3:$M$10005,MATCH(('Reg 85'!$AQ$6&amp;'Reg 85'!BA$10&amp;'Reg 85'!$B201),('DMR 001C TIN &amp; TP'!$E$3:$E$10005&amp;'DMR 001C TIN &amp; TP'!$B$3:$B$10005&amp;'DMR 001C TIN &amp; TP'!$A$3:$A$10005),0),MATCH('Reg 85'!$AG$11,'DMR 001C TIN &amp; TP'!$A$2:$M$2,0))),"")</f>
        <v/>
      </c>
      <c r="BB201" s="6" t="str">
        <f t="array" ref="BB201">_xlfn.IFNA((INDEX('DMR 001C TIN &amp; TP'!$A$3:$M$10005,MATCH(('Reg 85'!$AQ$6&amp;'Reg 85'!BB$10&amp;'Reg 85'!$B201),('DMR 001C TIN &amp; TP'!$E$3:$E$10005&amp;'DMR 001C TIN &amp; TP'!$B$3:$B$10005&amp;'DMR 001C TIN &amp; TP'!$A$3:$A$10005),0),MATCH('Reg 85'!$AG$11,'DMR 001C TIN &amp; TP'!$A$2:$M$2,0))),"")</f>
        <v/>
      </c>
      <c r="BC201" s="6" t="str">
        <f t="array" ref="BC201">_xlfn.IFNA((INDEX('DMR 001C TIN &amp; TP'!$A$3:$M$10005,MATCH(('Reg 85'!$AQ$6&amp;'Reg 85'!BC$10&amp;'Reg 85'!$B201),('DMR 001C TIN &amp; TP'!$E$3:$E$10005&amp;'DMR 001C TIN &amp; TP'!$B$3:$B$10005&amp;'DMR 001C TIN &amp; TP'!$A$3:$A$10005),0),MATCH('Reg 85'!$AG$11,'DMR 001C TIN &amp; TP'!$A$2:$M$2,0))),"")</f>
        <v/>
      </c>
      <c r="BD201" s="6" t="str">
        <f t="array" ref="BD201">_xlfn.IFNA((INDEX('DMR 001C TIN &amp; TP'!$A$3:$M$10005,MATCH(('Reg 85'!$AQ$6&amp;'Reg 85'!BD$10&amp;'Reg 85'!$B201),('DMR 001C TIN &amp; TP'!$E$3:$E$10005&amp;'DMR 001C TIN &amp; TP'!$B$3:$B$10005&amp;'DMR 001C TIN &amp; TP'!$A$3:$A$10005),0),MATCH('Reg 85'!$AG$11,'DMR 001C TIN &amp; TP'!$A$2:$M$2,0))),"")</f>
        <v/>
      </c>
      <c r="BE201" s="6" t="str">
        <f t="array" ref="BE201">_xlfn.IFNA((INDEX('DMR 001C TIN &amp; TP'!$A$3:$M$10005,MATCH(('Reg 85'!$AQ$6&amp;'Reg 85'!BE$10&amp;'Reg 85'!$B201),('DMR 001C TIN &amp; TP'!$E$3:$E$10005&amp;'DMR 001C TIN &amp; TP'!$B$3:$B$10005&amp;'DMR 001C TIN &amp; TP'!$A$3:$A$10005),0),MATCH('Reg 85'!$AG$11,'DMR 001C TIN &amp; TP'!$A$2:$M$2,0))),"")</f>
        <v/>
      </c>
      <c r="BF201" s="6" t="str">
        <f t="array" ref="BF201">_xlfn.IFNA((INDEX('DMR 001C TIN &amp; TP'!$A$3:$M$10005,MATCH(('Reg 85'!$AQ$6&amp;'Reg 85'!BF$10&amp;'Reg 85'!$B201),('DMR 001C TIN &amp; TP'!$E$3:$E$10005&amp;'DMR 001C TIN &amp; TP'!$B$3:$B$10005&amp;'DMR 001C TIN &amp; TP'!$A$3:$A$10005),0),MATCH('Reg 85'!$AG$11,'DMR 001C TIN &amp; TP'!$A$2:$M$2,0))),"")</f>
        <v/>
      </c>
    </row>
    <row r="202" spans="1:58">
      <c r="A202" s="3" t="str">
        <f t="shared" si="63"/>
        <v>Sun</v>
      </c>
      <c r="B202" s="96">
        <f t="shared" si="79"/>
        <v>43534</v>
      </c>
      <c r="C202" s="96">
        <f t="shared" si="64"/>
        <v>43555</v>
      </c>
      <c r="D202" s="96">
        <f t="shared" si="65"/>
        <v>43525</v>
      </c>
      <c r="E202" s="95">
        <f t="shared" si="66"/>
        <v>31</v>
      </c>
      <c r="F202" s="7">
        <f t="array" ref="F202">_xlfn.IFNA(INDEX('DMR Flows-Effluent'!$A$3:$F$9999,MATCH(($F$10&amp;$B202),('DMR Flows-Effluent'!$B$3:$B$9999&amp;'DMR Flows-Effluent'!$A$3:$A$9999),0),MATCH($F$8,'DMR Flows-Effluent'!$A$2:$F$2,0)),"")</f>
        <v>64.186099999999996</v>
      </c>
      <c r="G202" s="7">
        <f t="array" ref="G202">_xlfn.IFNA(INDEX('DMR Flows-Effluent'!$A$3:$F$9999,MATCH(($G$10&amp;$B202),('DMR Flows-Effluent'!$B$3:$B$9999&amp;'DMR Flows-Effluent'!$A$3:$A$9999),0),MATCH($F$8,'DMR Flows-Effluent'!$A$2:$F$2,0)),"")</f>
        <v>71.3857</v>
      </c>
      <c r="H202" s="7">
        <f t="shared" si="67"/>
        <v>135.5718</v>
      </c>
      <c r="I202" s="45" t="str">
        <f t="shared" si="68"/>
        <v/>
      </c>
      <c r="J202" s="6" t="str">
        <f t="array" ref="J202">_xlfn.IFNA((INDEX('DMR 001C TIN &amp; TP'!$A$3:$M$10005,MATCH(('Reg 85'!$I$6:$Q$6&amp;'Reg 85'!$I$10:$K$10&amp;'Reg 85'!$B202),('DMR 001C TIN &amp; TP'!$E$3:$E$10005&amp;'DMR 001C TIN &amp; TP'!$B$3:$B$10005&amp;'DMR 001C TIN &amp; TP'!$A$3:$A$10005),0),MATCH('Reg 85'!$J$11,'DMR 001C TIN &amp; TP'!$A$2:$M$2,0))),"")</f>
        <v>0.15</v>
      </c>
      <c r="K202" s="6">
        <f t="array" ref="K202">_xlfn.IFNA((INDEX('DMR 001C TIN &amp; TP'!$A$3:$M$10005,MATCH(('Reg 85'!$I$6:$Q$6&amp;'Reg 85'!$I$10:$K$10&amp;'Reg 85'!$B202),('DMR 001C TIN &amp; TP'!$E$3:$E$10005&amp;'DMR 001C TIN &amp; TP'!$B$3:$B$10005&amp;'DMR 001C TIN &amp; TP'!$A$3:$A$10005),0),MATCH('Reg 85'!$K$11,'DMR 001C TIN &amp; TP'!$A$2:$M$2,0))),"")</f>
        <v>2.29</v>
      </c>
      <c r="L202" s="53">
        <f t="shared" si="80"/>
        <v>2.29</v>
      </c>
      <c r="M202" s="5" t="str">
        <f t="shared" si="69"/>
        <v/>
      </c>
      <c r="N202" s="6" t="str">
        <f t="array" ref="N202">_xlfn.IFNA((INDEX('DMR 001C TIN &amp; TP'!$A$3:$M$10005,MATCH(('Reg 85'!$I$6:$Q$6&amp;'Reg 85'!$M$10&amp;'Reg 85'!$B202),('DMR 001C TIN &amp; TP'!$E$3:$E$10005&amp;'DMR 001C TIN &amp; TP'!$B$3:$B$10005&amp;'DMR 001C TIN &amp; TP'!$A$3:$A$10005),0),MATCH('Reg 85'!$N$11,'DMR 001C TIN &amp; TP'!$A$2:$M$2,0))),"")</f>
        <v>0.15</v>
      </c>
      <c r="O202" s="6">
        <f t="array" ref="O202">_xlfn.IFNA((INDEX('DMR 001C TIN &amp; TP'!$A$3:$M$10005,MATCH(('Reg 85'!$I$6:$Q$6&amp;'Reg 85'!$M$10&amp;'Reg 85'!$B202),('DMR 001C TIN &amp; TP'!$E$3:$E$10005&amp;'DMR 001C TIN &amp; TP'!$B$3:$B$10005&amp;'DMR 001C TIN &amp; TP'!$A$3:$A$10005),0),MATCH('Reg 85'!$O$11,'DMR 001C TIN &amp; TP'!$A$2:$M$2,0))),"")</f>
        <v>2.2599999999999998</v>
      </c>
      <c r="P202" s="53">
        <f t="shared" si="70"/>
        <v>2.2599999999999998</v>
      </c>
      <c r="Q202" s="73">
        <f t="array" ref="Q202">IFERROR(((L202*$F202)+(P202*$G202))/($H202),"")</f>
        <v>2.274203418410023</v>
      </c>
      <c r="R202" s="6" t="str">
        <f t="array" ref="R202">_xlfn.IFNA((INDEX('DMR 001C TIN &amp; TP'!$A$3:$M$10005,MATCH(('Reg 85'!$I$6:$Q$6&amp;'Reg 85'!R$10&amp;'Reg 85'!$B202),('DMR 001C TIN &amp; TP'!$E$3:$E$10005&amp;'DMR 001C TIN &amp; TP'!$B$3:$B$10005&amp;'DMR 001C TIN &amp; TP'!$A$3:$A$10005),0),MATCH('Reg 85'!$O$11,'DMR 001C TIN &amp; TP'!$A$2:$M$2,0))),"")</f>
        <v/>
      </c>
      <c r="S202" s="6" t="str">
        <f t="array" ref="S202">_xlfn.IFNA((INDEX('DMR 001C TIN &amp; TP'!$A$3:$M$10005,MATCH(('Reg 85'!$I$6:$Q$6&amp;'Reg 85'!S$10&amp;'Reg 85'!$B202),('DMR 001C TIN &amp; TP'!$E$3:$E$10005&amp;'DMR 001C TIN &amp; TP'!$B$3:$B$10005&amp;'DMR 001C TIN &amp; TP'!$A$3:$A$10005),0),MATCH('Reg 85'!$O$11,'DMR 001C TIN &amp; TP'!$A$2:$M$2,0))),"")</f>
        <v/>
      </c>
      <c r="T202" s="6" t="str">
        <f t="array" ref="T202">_xlfn.IFNA((INDEX('DMR 001C TIN &amp; TP'!$A$3:$M$10005,MATCH(('Reg 85'!$I$6:$Q$6&amp;'Reg 85'!T$10&amp;'Reg 85'!$B202),('DMR 001C TIN &amp; TP'!$E$3:$E$10005&amp;'DMR 001C TIN &amp; TP'!$B$3:$B$10005&amp;'DMR 001C TIN &amp; TP'!$A$3:$A$10005),0),MATCH('Reg 85'!$O$11,'DMR 001C TIN &amp; TP'!$A$2:$M$2,0))),"")</f>
        <v/>
      </c>
      <c r="U202" s="6" t="str">
        <f t="array" ref="U202">_xlfn.IFNA((INDEX('DMR 001C TIN &amp; TP'!$A$3:$M$10005,MATCH(('Reg 85'!$I$6:$Q$6&amp;'Reg 85'!U$10&amp;'Reg 85'!$B202),('DMR 001C TIN &amp; TP'!$E$3:$E$10005&amp;'DMR 001C TIN &amp; TP'!$B$3:$B$10005&amp;'DMR 001C TIN &amp; TP'!$A$3:$A$10005),0),MATCH('Reg 85'!$O$11,'DMR 001C TIN &amp; TP'!$A$2:$M$2,0))),"")</f>
        <v/>
      </c>
      <c r="V202" s="6" t="str">
        <f t="array" ref="V202">_xlfn.IFNA((INDEX('DMR 001C TIN &amp; TP'!$A$3:$M$10005,MATCH(('Reg 85'!$I$6:$Q$6&amp;'Reg 85'!V$10&amp;'Reg 85'!$B202),('DMR 001C TIN &amp; TP'!$E$3:$E$10005&amp;'DMR 001C TIN &amp; TP'!$B$3:$B$10005&amp;'DMR 001C TIN &amp; TP'!$A$3:$A$10005),0),MATCH('Reg 85'!$O$11,'DMR 001C TIN &amp; TP'!$A$2:$M$2,0))),"")</f>
        <v/>
      </c>
      <c r="W202" s="6" t="str">
        <f t="array" ref="W202">_xlfn.IFNA((INDEX('DMR 001C TIN &amp; TP'!$A$3:$M$10005,MATCH(('Reg 85'!$I$6:$Q$6&amp;'Reg 85'!W$10&amp;'Reg 85'!$B202),('DMR 001C TIN &amp; TP'!$E$3:$E$10005&amp;'DMR 001C TIN &amp; TP'!$B$3:$B$10005&amp;'DMR 001C TIN &amp; TP'!$A$3:$A$10005),0),MATCH('Reg 85'!$O$11,'DMR 001C TIN &amp; TP'!$A$2:$M$2,0))),"")</f>
        <v/>
      </c>
      <c r="X202" s="5" t="str">
        <f t="shared" si="71"/>
        <v/>
      </c>
      <c r="Y202" s="6" t="str">
        <f t="array" ref="Y202">_xlfn.IFNA((INDEX('DMR 001C TIN &amp; TP'!$A$3:$M$10005,MATCH(('Reg 85'!$X$6&amp;'Reg 85'!$X$10&amp;'Reg 85'!$B202),('DMR 001C TIN &amp; TP'!$E$3:$E$10005&amp;'DMR 001C TIN &amp; TP'!$B$3:$B$10005&amp;'DMR 001C TIN &amp; TP'!$A$3:$A$10005),0),MATCH('Reg 85'!$Y$11,'DMR 001C TIN &amp; TP'!$A$2:$M$2,0))),"")</f>
        <v>0.18</v>
      </c>
      <c r="Z202" s="6">
        <f t="array" ref="Z202">_xlfn.IFNA((INDEX('DMR 001C TIN &amp; TP'!$A$3:$M$10005,MATCH(('Reg 85'!$X$6&amp;'Reg 85'!$X$10&amp;'Reg 85'!$B202),('DMR 001C TIN &amp; TP'!$E$3:$E$10005&amp;'DMR 001C TIN &amp; TP'!$B$3:$B$10005&amp;'DMR 001C TIN &amp; TP'!$A$3:$A$10005),0),MATCH('Reg 85'!$Z$11,'DMR 001C TIN &amp; TP'!$A$2:$M$2,0))),"")</f>
        <v>4.0599999999999996</v>
      </c>
      <c r="AA202" s="53">
        <f t="shared" si="72"/>
        <v>4.0599999999999996</v>
      </c>
      <c r="AB202" s="5" t="str">
        <f t="shared" si="73"/>
        <v/>
      </c>
      <c r="AC202" s="6" t="str">
        <f t="array" ref="AC202">_xlfn.IFNA((INDEX('DMR 001C TIN &amp; TP'!$A$3:$M$10005,MATCH(('Reg 85'!$X$6&amp;'Reg 85'!$AB$10&amp;'Reg 85'!$B202),('DMR 001C TIN &amp; TP'!$E$3:$E$10005&amp;'DMR 001C TIN &amp; TP'!$B$3:$B$10005&amp;'DMR 001C TIN &amp; TP'!$A$3:$A$10005),0),MATCH('Reg 85'!$AC$11,'DMR 001C TIN &amp; TP'!$A$2:$M$2,0))),"")</f>
        <v>0.06</v>
      </c>
      <c r="AD202" s="6">
        <f t="array" ref="AD202">_xlfn.IFNA((INDEX('DMR 001C TIN &amp; TP'!$A$3:$M$10005,MATCH(('Reg 85'!$X$6&amp;'Reg 85'!$AB$10&amp;'Reg 85'!$B202),('DMR 001C TIN &amp; TP'!$E$3:$E$10005&amp;'DMR 001C TIN &amp; TP'!$B$3:$B$10005&amp;'DMR 001C TIN &amp; TP'!$A$3:$A$10005),0),MATCH('Reg 85'!$AD$11,'DMR 001C TIN &amp; TP'!$A$2:$M$2,0))),"")</f>
        <v>5.99</v>
      </c>
      <c r="AE202" s="53">
        <f t="shared" si="74"/>
        <v>5.99</v>
      </c>
      <c r="AF202" s="7">
        <f t="shared" si="75"/>
        <v>5.0762467489551666</v>
      </c>
      <c r="AG202" s="6" t="str">
        <f t="array" ref="AG202">_xlfn.IFNA((INDEX('DMR 001C TIN &amp; TP'!$A$3:$M$10005,MATCH(('Reg 85'!$X$6&amp;'Reg 85'!AG$10&amp;'Reg 85'!$B202),('DMR 001C TIN &amp; TP'!$E$3:$E$10005&amp;'DMR 001C TIN &amp; TP'!$B$3:$B$10005&amp;'DMR 001C TIN &amp; TP'!$A$3:$A$10005),0),MATCH('Reg 85'!$AG$11,'DMR 001C TIN &amp; TP'!$A$2:$M$2,0))),"")</f>
        <v/>
      </c>
      <c r="AH202" s="6" t="str">
        <f t="array" ref="AH202">_xlfn.IFNA((INDEX('DMR 001C TIN &amp; TP'!$A$3:$M$10005,MATCH(('Reg 85'!$X$6&amp;'Reg 85'!AH$10&amp;'Reg 85'!$B202),('DMR 001C TIN &amp; TP'!$E$3:$E$10005&amp;'DMR 001C TIN &amp; TP'!$B$3:$B$10005&amp;'DMR 001C TIN &amp; TP'!$A$3:$A$10005),0),MATCH('Reg 85'!$AG$11,'DMR 001C TIN &amp; TP'!$A$2:$M$2,0))),"")</f>
        <v/>
      </c>
      <c r="AI202" s="6" t="str">
        <f t="array" ref="AI202">_xlfn.IFNA((INDEX('DMR 001C TIN &amp; TP'!$A$3:$M$10005,MATCH(('Reg 85'!$X$6&amp;'Reg 85'!AI$10&amp;'Reg 85'!$B202),('DMR 001C TIN &amp; TP'!$E$3:$E$10005&amp;'DMR 001C TIN &amp; TP'!$B$3:$B$10005&amp;'DMR 001C TIN &amp; TP'!$A$3:$A$10005),0),MATCH('Reg 85'!$AG$11,'DMR 001C TIN &amp; TP'!$A$2:$M$2,0))),"")</f>
        <v/>
      </c>
      <c r="AJ202" s="6" t="str">
        <f t="array" ref="AJ202">_xlfn.IFNA((INDEX('DMR 001C TIN &amp; TP'!$A$3:$M$10005,MATCH(('Reg 85'!$X$6&amp;'Reg 85'!AJ$10&amp;'Reg 85'!$B202),('DMR 001C TIN &amp; TP'!$E$3:$E$10005&amp;'DMR 001C TIN &amp; TP'!$B$3:$B$10005&amp;'DMR 001C TIN &amp; TP'!$A$3:$A$10005),0),MATCH('Reg 85'!$AG$11,'DMR 001C TIN &amp; TP'!$A$2:$M$2,0))),"")</f>
        <v/>
      </c>
      <c r="AK202" s="6" t="str">
        <f t="array" ref="AK202">_xlfn.IFNA((INDEX('DMR 001C TIN &amp; TP'!$A$3:$M$10005,MATCH(('Reg 85'!$X$6&amp;'Reg 85'!AK$10&amp;'Reg 85'!$B202),('DMR 001C TIN &amp; TP'!$E$3:$E$10005&amp;'DMR 001C TIN &amp; TP'!$B$3:$B$10005&amp;'DMR 001C TIN &amp; TP'!$A$3:$A$10005),0),MATCH('Reg 85'!$AG$11,'DMR 001C TIN &amp; TP'!$A$2:$M$2,0))),"")</f>
        <v/>
      </c>
      <c r="AL202" s="6" t="str">
        <f t="array" ref="AL202">_xlfn.IFNA((INDEX('DMR 001C TIN &amp; TP'!$A$3:$M$10005,MATCH(('Reg 85'!$X$6&amp;'Reg 85'!AL$10&amp;'Reg 85'!$B202),('DMR 001C TIN &amp; TP'!$E$3:$E$10005&amp;'DMR 001C TIN &amp; TP'!$B$3:$B$10005&amp;'DMR 001C TIN &amp; TP'!$A$3:$A$10005),0),MATCH('Reg 85'!$AG$11,'DMR 001C TIN &amp; TP'!$A$2:$M$2,0))),"")</f>
        <v/>
      </c>
      <c r="AM202" s="76"/>
      <c r="AN202" s="6"/>
      <c r="AO202" s="54">
        <f t="shared" si="62"/>
        <v>7.3504501673651896</v>
      </c>
      <c r="AP202" s="77" t="str">
        <f t="shared" si="81"/>
        <v/>
      </c>
      <c r="AQ202" s="47"/>
      <c r="AR202" s="6" t="str">
        <f t="array" ref="AR202">_xlfn.IFNA((INDEX('DMR 001C TIN &amp; TP'!$A$3:$M$10005,MATCH(('Reg 85'!$AQ$6&amp;'Reg 85'!$AQ$10&amp;'Reg 85'!$B202),('DMR 001C TIN &amp; TP'!$E$3:$E$10005&amp;'DMR 001C TIN &amp; TP'!$B$3:$B$10005&amp;'DMR 001C TIN &amp; TP'!$A$3:$A$10005),0),MATCH('Reg 85'!$AR$11,'DMR 001C TIN &amp; TP'!$A$2:$M$2,0))),"")</f>
        <v/>
      </c>
      <c r="AS202" s="6" t="str">
        <f t="array" ref="AS202">_xlfn.IFNA((INDEX('DMR 001C TIN &amp; TP'!$A$3:$M$10005,MATCH(('Reg 85'!$AQ$6&amp;'Reg 85'!$AQ$10&amp;'Reg 85'!$B202),('DMR 001C TIN &amp; TP'!$E$3:$E$10005&amp;'DMR 001C TIN &amp; TP'!$B$3:$B$10005&amp;'DMR 001C TIN &amp; TP'!$A$3:$A$10005),0),MATCH('Reg 85'!$AS$11,'DMR 001C TIN &amp; TP'!$A$2:$M$2,0))),"")</f>
        <v/>
      </c>
      <c r="AT202" s="53" t="str">
        <f t="shared" si="76"/>
        <v/>
      </c>
      <c r="AV202" s="6" t="str">
        <f t="array" ref="AV202">_xlfn.IFNA((INDEX('DMR 001C TIN &amp; TP'!$A$3:$M$10005,MATCH(('Reg 85'!$AQ$6&amp;'Reg 85'!$AU$10&amp;'Reg 85'!$B202),('DMR 001C TIN &amp; TP'!$E$3:$E$10005&amp;'DMR 001C TIN &amp; TP'!$B$3:$B$10005&amp;'DMR 001C TIN &amp; TP'!$A$3:$A$10005),0),MATCH('Reg 85'!$AV$11,'DMR 001C TIN &amp; TP'!$A$2:$M$2,0))),"")</f>
        <v/>
      </c>
      <c r="AW202" s="6" t="str">
        <f t="array" ref="AW202">_xlfn.IFNA((INDEX('DMR 001C TIN &amp; TP'!$A$3:$M$10005,MATCH(('Reg 85'!$AQ$6&amp;'Reg 85'!$AU$10&amp;'Reg 85'!$B202),('DMR 001C TIN &amp; TP'!$E$3:$E$10005&amp;'DMR 001C TIN &amp; TP'!$B$3:$B$10005&amp;'DMR 001C TIN &amp; TP'!$A$3:$A$10005),0),MATCH('Reg 85'!$AW$11,'DMR 001C TIN &amp; TP'!$A$2:$M$2,0))),"")</f>
        <v/>
      </c>
      <c r="AX202" s="53" t="str">
        <f t="shared" si="77"/>
        <v/>
      </c>
      <c r="AY202" s="55" t="str">
        <f t="shared" si="78"/>
        <v/>
      </c>
      <c r="AZ202" s="77" t="str">
        <f t="shared" si="82"/>
        <v/>
      </c>
      <c r="BA202" s="6" t="str">
        <f t="array" ref="BA202">_xlfn.IFNA((INDEX('DMR 001C TIN &amp; TP'!$A$3:$M$10005,MATCH(('Reg 85'!$AQ$6&amp;'Reg 85'!BA$10&amp;'Reg 85'!$B202),('DMR 001C TIN &amp; TP'!$E$3:$E$10005&amp;'DMR 001C TIN &amp; TP'!$B$3:$B$10005&amp;'DMR 001C TIN &amp; TP'!$A$3:$A$10005),0),MATCH('Reg 85'!$AG$11,'DMR 001C TIN &amp; TP'!$A$2:$M$2,0))),"")</f>
        <v/>
      </c>
      <c r="BB202" s="6" t="str">
        <f t="array" ref="BB202">_xlfn.IFNA((INDEX('DMR 001C TIN &amp; TP'!$A$3:$M$10005,MATCH(('Reg 85'!$AQ$6&amp;'Reg 85'!BB$10&amp;'Reg 85'!$B202),('DMR 001C TIN &amp; TP'!$E$3:$E$10005&amp;'DMR 001C TIN &amp; TP'!$B$3:$B$10005&amp;'DMR 001C TIN &amp; TP'!$A$3:$A$10005),0),MATCH('Reg 85'!$AG$11,'DMR 001C TIN &amp; TP'!$A$2:$M$2,0))),"")</f>
        <v/>
      </c>
      <c r="BC202" s="6" t="str">
        <f t="array" ref="BC202">_xlfn.IFNA((INDEX('DMR 001C TIN &amp; TP'!$A$3:$M$10005,MATCH(('Reg 85'!$AQ$6&amp;'Reg 85'!BC$10&amp;'Reg 85'!$B202),('DMR 001C TIN &amp; TP'!$E$3:$E$10005&amp;'DMR 001C TIN &amp; TP'!$B$3:$B$10005&amp;'DMR 001C TIN &amp; TP'!$A$3:$A$10005),0),MATCH('Reg 85'!$AG$11,'DMR 001C TIN &amp; TP'!$A$2:$M$2,0))),"")</f>
        <v/>
      </c>
      <c r="BD202" s="6" t="str">
        <f t="array" ref="BD202">_xlfn.IFNA((INDEX('DMR 001C TIN &amp; TP'!$A$3:$M$10005,MATCH(('Reg 85'!$AQ$6&amp;'Reg 85'!BD$10&amp;'Reg 85'!$B202),('DMR 001C TIN &amp; TP'!$E$3:$E$10005&amp;'DMR 001C TIN &amp; TP'!$B$3:$B$10005&amp;'DMR 001C TIN &amp; TP'!$A$3:$A$10005),0),MATCH('Reg 85'!$AG$11,'DMR 001C TIN &amp; TP'!$A$2:$M$2,0))),"")</f>
        <v/>
      </c>
      <c r="BE202" s="6" t="str">
        <f t="array" ref="BE202">_xlfn.IFNA((INDEX('DMR 001C TIN &amp; TP'!$A$3:$M$10005,MATCH(('Reg 85'!$AQ$6&amp;'Reg 85'!BE$10&amp;'Reg 85'!$B202),('DMR 001C TIN &amp; TP'!$E$3:$E$10005&amp;'DMR 001C TIN &amp; TP'!$B$3:$B$10005&amp;'DMR 001C TIN &amp; TP'!$A$3:$A$10005),0),MATCH('Reg 85'!$AG$11,'DMR 001C TIN &amp; TP'!$A$2:$M$2,0))),"")</f>
        <v/>
      </c>
      <c r="BF202" s="6" t="str">
        <f t="array" ref="BF202">_xlfn.IFNA((INDEX('DMR 001C TIN &amp; TP'!$A$3:$M$10005,MATCH(('Reg 85'!$AQ$6&amp;'Reg 85'!BF$10&amp;'Reg 85'!$B202),('DMR 001C TIN &amp; TP'!$E$3:$E$10005&amp;'DMR 001C TIN &amp; TP'!$B$3:$B$10005&amp;'DMR 001C TIN &amp; TP'!$A$3:$A$10005),0),MATCH('Reg 85'!$AG$11,'DMR 001C TIN &amp; TP'!$A$2:$M$2,0))),"")</f>
        <v/>
      </c>
    </row>
    <row r="203" spans="1:58">
      <c r="A203" s="3" t="str">
        <f t="shared" si="63"/>
        <v>Mon</v>
      </c>
      <c r="B203" s="96">
        <f t="shared" si="79"/>
        <v>43535</v>
      </c>
      <c r="C203" s="96">
        <f t="shared" si="64"/>
        <v>43555</v>
      </c>
      <c r="D203" s="96">
        <f t="shared" si="65"/>
        <v>43525</v>
      </c>
      <c r="E203" s="95">
        <f t="shared" si="66"/>
        <v>31</v>
      </c>
      <c r="F203" s="7">
        <f t="array" ref="F203">_xlfn.IFNA(INDEX('DMR Flows-Effluent'!$A$3:$F$9999,MATCH(($F$10&amp;$B203),('DMR Flows-Effluent'!$B$3:$B$9999&amp;'DMR Flows-Effluent'!$A$3:$A$9999),0),MATCH($F$8,'DMR Flows-Effluent'!$A$2:$F$2,0)),"")</f>
        <v>62.888500000000001</v>
      </c>
      <c r="G203" s="7">
        <f t="array" ref="G203">_xlfn.IFNA(INDEX('DMR Flows-Effluent'!$A$3:$F$9999,MATCH(($G$10&amp;$B203),('DMR Flows-Effluent'!$B$3:$B$9999&amp;'DMR Flows-Effluent'!$A$3:$A$9999),0),MATCH($F$8,'DMR Flows-Effluent'!$A$2:$F$2,0)),"")</f>
        <v>62.664499999999997</v>
      </c>
      <c r="H203" s="7">
        <f t="shared" si="67"/>
        <v>125.553</v>
      </c>
      <c r="I203" s="45" t="str">
        <f t="shared" si="68"/>
        <v/>
      </c>
      <c r="J203" s="6" t="str">
        <f t="array" ref="J203">_xlfn.IFNA((INDEX('DMR 001C TIN &amp; TP'!$A$3:$M$10005,MATCH(('Reg 85'!$I$6:$Q$6&amp;'Reg 85'!$I$10:$K$10&amp;'Reg 85'!$B203),('DMR 001C TIN &amp; TP'!$E$3:$E$10005&amp;'DMR 001C TIN &amp; TP'!$B$3:$B$10005&amp;'DMR 001C TIN &amp; TP'!$A$3:$A$10005),0),MATCH('Reg 85'!$J$11,'DMR 001C TIN &amp; TP'!$A$2:$M$2,0))),"")</f>
        <v>0.15</v>
      </c>
      <c r="K203" s="6">
        <f t="array" ref="K203">_xlfn.IFNA((INDEX('DMR 001C TIN &amp; TP'!$A$3:$M$10005,MATCH(('Reg 85'!$I$6:$Q$6&amp;'Reg 85'!$I$10:$K$10&amp;'Reg 85'!$B203),('DMR 001C TIN &amp; TP'!$E$3:$E$10005&amp;'DMR 001C TIN &amp; TP'!$B$3:$B$10005&amp;'DMR 001C TIN &amp; TP'!$A$3:$A$10005),0),MATCH('Reg 85'!$K$11,'DMR 001C TIN &amp; TP'!$A$2:$M$2,0))),"")</f>
        <v>1.51</v>
      </c>
      <c r="L203" s="53">
        <f t="shared" si="80"/>
        <v>1.51</v>
      </c>
      <c r="M203" s="5" t="str">
        <f t="shared" si="69"/>
        <v/>
      </c>
      <c r="N203" s="6" t="str">
        <f t="array" ref="N203">_xlfn.IFNA((INDEX('DMR 001C TIN &amp; TP'!$A$3:$M$10005,MATCH(('Reg 85'!$I$6:$Q$6&amp;'Reg 85'!$M$10&amp;'Reg 85'!$B203),('DMR 001C TIN &amp; TP'!$E$3:$E$10005&amp;'DMR 001C TIN &amp; TP'!$B$3:$B$10005&amp;'DMR 001C TIN &amp; TP'!$A$3:$A$10005),0),MATCH('Reg 85'!$N$11,'DMR 001C TIN &amp; TP'!$A$2:$M$2,0))),"")</f>
        <v>0.15</v>
      </c>
      <c r="O203" s="6">
        <f t="array" ref="O203">_xlfn.IFNA((INDEX('DMR 001C TIN &amp; TP'!$A$3:$M$10005,MATCH(('Reg 85'!$I$6:$Q$6&amp;'Reg 85'!$M$10&amp;'Reg 85'!$B203),('DMR 001C TIN &amp; TP'!$E$3:$E$10005&amp;'DMR 001C TIN &amp; TP'!$B$3:$B$10005&amp;'DMR 001C TIN &amp; TP'!$A$3:$A$10005),0),MATCH('Reg 85'!$O$11,'DMR 001C TIN &amp; TP'!$A$2:$M$2,0))),"")</f>
        <v>1.37</v>
      </c>
      <c r="P203" s="53">
        <f t="shared" si="70"/>
        <v>1.37</v>
      </c>
      <c r="Q203" s="73">
        <f t="array" ref="Q203">IFERROR(((L203*$F203)+(P203*$G203))/($H203),"")</f>
        <v>1.4401248874977102</v>
      </c>
      <c r="R203" s="6" t="str">
        <f t="array" ref="R203">_xlfn.IFNA((INDEX('DMR 001C TIN &amp; TP'!$A$3:$M$10005,MATCH(('Reg 85'!$I$6:$Q$6&amp;'Reg 85'!R$10&amp;'Reg 85'!$B203),('DMR 001C TIN &amp; TP'!$E$3:$E$10005&amp;'DMR 001C TIN &amp; TP'!$B$3:$B$10005&amp;'DMR 001C TIN &amp; TP'!$A$3:$A$10005),0),MATCH('Reg 85'!$O$11,'DMR 001C TIN &amp; TP'!$A$2:$M$2,0))),"")</f>
        <v/>
      </c>
      <c r="S203" s="6" t="str">
        <f t="array" ref="S203">_xlfn.IFNA((INDEX('DMR 001C TIN &amp; TP'!$A$3:$M$10005,MATCH(('Reg 85'!$I$6:$Q$6&amp;'Reg 85'!S$10&amp;'Reg 85'!$B203),('DMR 001C TIN &amp; TP'!$E$3:$E$10005&amp;'DMR 001C TIN &amp; TP'!$B$3:$B$10005&amp;'DMR 001C TIN &amp; TP'!$A$3:$A$10005),0),MATCH('Reg 85'!$O$11,'DMR 001C TIN &amp; TP'!$A$2:$M$2,0))),"")</f>
        <v/>
      </c>
      <c r="T203" s="6" t="str">
        <f t="array" ref="T203">_xlfn.IFNA((INDEX('DMR 001C TIN &amp; TP'!$A$3:$M$10005,MATCH(('Reg 85'!$I$6:$Q$6&amp;'Reg 85'!T$10&amp;'Reg 85'!$B203),('DMR 001C TIN &amp; TP'!$E$3:$E$10005&amp;'DMR 001C TIN &amp; TP'!$B$3:$B$10005&amp;'DMR 001C TIN &amp; TP'!$A$3:$A$10005),0),MATCH('Reg 85'!$O$11,'DMR 001C TIN &amp; TP'!$A$2:$M$2,0))),"")</f>
        <v/>
      </c>
      <c r="U203" s="6" t="str">
        <f t="array" ref="U203">_xlfn.IFNA((INDEX('DMR 001C TIN &amp; TP'!$A$3:$M$10005,MATCH(('Reg 85'!$I$6:$Q$6&amp;'Reg 85'!U$10&amp;'Reg 85'!$B203),('DMR 001C TIN &amp; TP'!$E$3:$E$10005&amp;'DMR 001C TIN &amp; TP'!$B$3:$B$10005&amp;'DMR 001C TIN &amp; TP'!$A$3:$A$10005),0),MATCH('Reg 85'!$O$11,'DMR 001C TIN &amp; TP'!$A$2:$M$2,0))),"")</f>
        <v/>
      </c>
      <c r="V203" s="6" t="str">
        <f t="array" ref="V203">_xlfn.IFNA((INDEX('DMR 001C TIN &amp; TP'!$A$3:$M$10005,MATCH(('Reg 85'!$I$6:$Q$6&amp;'Reg 85'!V$10&amp;'Reg 85'!$B203),('DMR 001C TIN &amp; TP'!$E$3:$E$10005&amp;'DMR 001C TIN &amp; TP'!$B$3:$B$10005&amp;'DMR 001C TIN &amp; TP'!$A$3:$A$10005),0),MATCH('Reg 85'!$O$11,'DMR 001C TIN &amp; TP'!$A$2:$M$2,0))),"")</f>
        <v/>
      </c>
      <c r="W203" s="6" t="str">
        <f t="array" ref="W203">_xlfn.IFNA((INDEX('DMR 001C TIN &amp; TP'!$A$3:$M$10005,MATCH(('Reg 85'!$I$6:$Q$6&amp;'Reg 85'!W$10&amp;'Reg 85'!$B203),('DMR 001C TIN &amp; TP'!$E$3:$E$10005&amp;'DMR 001C TIN &amp; TP'!$B$3:$B$10005&amp;'DMR 001C TIN &amp; TP'!$A$3:$A$10005),0),MATCH('Reg 85'!$O$11,'DMR 001C TIN &amp; TP'!$A$2:$M$2,0))),"")</f>
        <v/>
      </c>
      <c r="X203" s="5" t="str">
        <f t="shared" si="71"/>
        <v/>
      </c>
      <c r="Y203" s="6" t="str">
        <f t="array" ref="Y203">_xlfn.IFNA((INDEX('DMR 001C TIN &amp; TP'!$A$3:$M$10005,MATCH(('Reg 85'!$X$6&amp;'Reg 85'!$X$10&amp;'Reg 85'!$B203),('DMR 001C TIN &amp; TP'!$E$3:$E$10005&amp;'DMR 001C TIN &amp; TP'!$B$3:$B$10005&amp;'DMR 001C TIN &amp; TP'!$A$3:$A$10005),0),MATCH('Reg 85'!$Y$11,'DMR 001C TIN &amp; TP'!$A$2:$M$2,0))),"")</f>
        <v>0.06</v>
      </c>
      <c r="Z203" s="6">
        <f t="array" ref="Z203">_xlfn.IFNA((INDEX('DMR 001C TIN &amp; TP'!$A$3:$M$10005,MATCH(('Reg 85'!$X$6&amp;'Reg 85'!$X$10&amp;'Reg 85'!$B203),('DMR 001C TIN &amp; TP'!$E$3:$E$10005&amp;'DMR 001C TIN &amp; TP'!$B$3:$B$10005&amp;'DMR 001C TIN &amp; TP'!$A$3:$A$10005),0),MATCH('Reg 85'!$Z$11,'DMR 001C TIN &amp; TP'!$A$2:$M$2,0))),"")</f>
        <v>4.6500000000000004</v>
      </c>
      <c r="AA203" s="53">
        <f t="shared" si="72"/>
        <v>4.6500000000000004</v>
      </c>
      <c r="AB203" s="5" t="str">
        <f t="shared" si="73"/>
        <v/>
      </c>
      <c r="AC203" s="6" t="str">
        <f t="array" ref="AC203">_xlfn.IFNA((INDEX('DMR 001C TIN &amp; TP'!$A$3:$M$10005,MATCH(('Reg 85'!$X$6&amp;'Reg 85'!$AB$10&amp;'Reg 85'!$B203),('DMR 001C TIN &amp; TP'!$E$3:$E$10005&amp;'DMR 001C TIN &amp; TP'!$B$3:$B$10005&amp;'DMR 001C TIN &amp; TP'!$A$3:$A$10005),0),MATCH('Reg 85'!$AC$11,'DMR 001C TIN &amp; TP'!$A$2:$M$2,0))),"")</f>
        <v>0.06</v>
      </c>
      <c r="AD203" s="6">
        <f t="array" ref="AD203">_xlfn.IFNA((INDEX('DMR 001C TIN &amp; TP'!$A$3:$M$10005,MATCH(('Reg 85'!$X$6&amp;'Reg 85'!$AB$10&amp;'Reg 85'!$B203),('DMR 001C TIN &amp; TP'!$E$3:$E$10005&amp;'DMR 001C TIN &amp; TP'!$B$3:$B$10005&amp;'DMR 001C TIN &amp; TP'!$A$3:$A$10005),0),MATCH('Reg 85'!$AD$11,'DMR 001C TIN &amp; TP'!$A$2:$M$2,0))),"")</f>
        <v>5.57</v>
      </c>
      <c r="AE203" s="53">
        <f t="shared" si="74"/>
        <v>5.57</v>
      </c>
      <c r="AF203" s="7">
        <f t="shared" si="75"/>
        <v>5.109179310729334</v>
      </c>
      <c r="AG203" s="6" t="str">
        <f t="array" ref="AG203">_xlfn.IFNA((INDEX('DMR 001C TIN &amp; TP'!$A$3:$M$10005,MATCH(('Reg 85'!$X$6&amp;'Reg 85'!AG$10&amp;'Reg 85'!$B203),('DMR 001C TIN &amp; TP'!$E$3:$E$10005&amp;'DMR 001C TIN &amp; TP'!$B$3:$B$10005&amp;'DMR 001C TIN &amp; TP'!$A$3:$A$10005),0),MATCH('Reg 85'!$AG$11,'DMR 001C TIN &amp; TP'!$A$2:$M$2,0))),"")</f>
        <v/>
      </c>
      <c r="AH203" s="6" t="str">
        <f t="array" ref="AH203">_xlfn.IFNA((INDEX('DMR 001C TIN &amp; TP'!$A$3:$M$10005,MATCH(('Reg 85'!$X$6&amp;'Reg 85'!AH$10&amp;'Reg 85'!$B203),('DMR 001C TIN &amp; TP'!$E$3:$E$10005&amp;'DMR 001C TIN &amp; TP'!$B$3:$B$10005&amp;'DMR 001C TIN &amp; TP'!$A$3:$A$10005),0),MATCH('Reg 85'!$AG$11,'DMR 001C TIN &amp; TP'!$A$2:$M$2,0))),"")</f>
        <v/>
      </c>
      <c r="AI203" s="6" t="str">
        <f t="array" ref="AI203">_xlfn.IFNA((INDEX('DMR 001C TIN &amp; TP'!$A$3:$M$10005,MATCH(('Reg 85'!$X$6&amp;'Reg 85'!AI$10&amp;'Reg 85'!$B203),('DMR 001C TIN &amp; TP'!$E$3:$E$10005&amp;'DMR 001C TIN &amp; TP'!$B$3:$B$10005&amp;'DMR 001C TIN &amp; TP'!$A$3:$A$10005),0),MATCH('Reg 85'!$AG$11,'DMR 001C TIN &amp; TP'!$A$2:$M$2,0))),"")</f>
        <v/>
      </c>
      <c r="AJ203" s="6" t="str">
        <f t="array" ref="AJ203">_xlfn.IFNA((INDEX('DMR 001C TIN &amp; TP'!$A$3:$M$10005,MATCH(('Reg 85'!$X$6&amp;'Reg 85'!AJ$10&amp;'Reg 85'!$B203),('DMR 001C TIN &amp; TP'!$E$3:$E$10005&amp;'DMR 001C TIN &amp; TP'!$B$3:$B$10005&amp;'DMR 001C TIN &amp; TP'!$A$3:$A$10005),0),MATCH('Reg 85'!$AG$11,'DMR 001C TIN &amp; TP'!$A$2:$M$2,0))),"")</f>
        <v/>
      </c>
      <c r="AK203" s="6" t="str">
        <f t="array" ref="AK203">_xlfn.IFNA((INDEX('DMR 001C TIN &amp; TP'!$A$3:$M$10005,MATCH(('Reg 85'!$X$6&amp;'Reg 85'!AK$10&amp;'Reg 85'!$B203),('DMR 001C TIN &amp; TP'!$E$3:$E$10005&amp;'DMR 001C TIN &amp; TP'!$B$3:$B$10005&amp;'DMR 001C TIN &amp; TP'!$A$3:$A$10005),0),MATCH('Reg 85'!$AG$11,'DMR 001C TIN &amp; TP'!$A$2:$M$2,0))),"")</f>
        <v/>
      </c>
      <c r="AL203" s="6" t="str">
        <f t="array" ref="AL203">_xlfn.IFNA((INDEX('DMR 001C TIN &amp; TP'!$A$3:$M$10005,MATCH(('Reg 85'!$X$6&amp;'Reg 85'!AL$10&amp;'Reg 85'!$B203),('DMR 001C TIN &amp; TP'!$E$3:$E$10005&amp;'DMR 001C TIN &amp; TP'!$B$3:$B$10005&amp;'DMR 001C TIN &amp; TP'!$A$3:$A$10005),0),MATCH('Reg 85'!$AG$11,'DMR 001C TIN &amp; TP'!$A$2:$M$2,0))),"")</f>
        <v/>
      </c>
      <c r="AM203" s="76"/>
      <c r="AN203" s="6"/>
      <c r="AO203" s="54">
        <f t="shared" si="62"/>
        <v>6.5493041982270439</v>
      </c>
      <c r="AP203" s="77" t="str">
        <f t="shared" si="81"/>
        <v/>
      </c>
      <c r="AQ203" s="47"/>
      <c r="AR203" s="6" t="str">
        <f t="array" ref="AR203">_xlfn.IFNA((INDEX('DMR 001C TIN &amp; TP'!$A$3:$M$10005,MATCH(('Reg 85'!$AQ$6&amp;'Reg 85'!$AQ$10&amp;'Reg 85'!$B203),('DMR 001C TIN &amp; TP'!$E$3:$E$10005&amp;'DMR 001C TIN &amp; TP'!$B$3:$B$10005&amp;'DMR 001C TIN &amp; TP'!$A$3:$A$10005),0),MATCH('Reg 85'!$AR$11,'DMR 001C TIN &amp; TP'!$A$2:$M$2,0))),"")</f>
        <v/>
      </c>
      <c r="AS203" s="6" t="str">
        <f t="array" ref="AS203">_xlfn.IFNA((INDEX('DMR 001C TIN &amp; TP'!$A$3:$M$10005,MATCH(('Reg 85'!$AQ$6&amp;'Reg 85'!$AQ$10&amp;'Reg 85'!$B203),('DMR 001C TIN &amp; TP'!$E$3:$E$10005&amp;'DMR 001C TIN &amp; TP'!$B$3:$B$10005&amp;'DMR 001C TIN &amp; TP'!$A$3:$A$10005),0),MATCH('Reg 85'!$AS$11,'DMR 001C TIN &amp; TP'!$A$2:$M$2,0))),"")</f>
        <v/>
      </c>
      <c r="AT203" s="53" t="str">
        <f t="shared" si="76"/>
        <v/>
      </c>
      <c r="AV203" s="6" t="str">
        <f t="array" ref="AV203">_xlfn.IFNA((INDEX('DMR 001C TIN &amp; TP'!$A$3:$M$10005,MATCH(('Reg 85'!$AQ$6&amp;'Reg 85'!$AU$10&amp;'Reg 85'!$B203),('DMR 001C TIN &amp; TP'!$E$3:$E$10005&amp;'DMR 001C TIN &amp; TP'!$B$3:$B$10005&amp;'DMR 001C TIN &amp; TP'!$A$3:$A$10005),0),MATCH('Reg 85'!$AV$11,'DMR 001C TIN &amp; TP'!$A$2:$M$2,0))),"")</f>
        <v/>
      </c>
      <c r="AW203" s="6" t="str">
        <f t="array" ref="AW203">_xlfn.IFNA((INDEX('DMR 001C TIN &amp; TP'!$A$3:$M$10005,MATCH(('Reg 85'!$AQ$6&amp;'Reg 85'!$AU$10&amp;'Reg 85'!$B203),('DMR 001C TIN &amp; TP'!$E$3:$E$10005&amp;'DMR 001C TIN &amp; TP'!$B$3:$B$10005&amp;'DMR 001C TIN &amp; TP'!$A$3:$A$10005),0),MATCH('Reg 85'!$AW$11,'DMR 001C TIN &amp; TP'!$A$2:$M$2,0))),"")</f>
        <v/>
      </c>
      <c r="AX203" s="53" t="str">
        <f t="shared" si="77"/>
        <v/>
      </c>
      <c r="AY203" s="55" t="str">
        <f t="shared" si="78"/>
        <v/>
      </c>
      <c r="AZ203" s="77" t="str">
        <f t="shared" si="82"/>
        <v/>
      </c>
      <c r="BA203" s="6" t="str">
        <f t="array" ref="BA203">_xlfn.IFNA((INDEX('DMR 001C TIN &amp; TP'!$A$3:$M$10005,MATCH(('Reg 85'!$AQ$6&amp;'Reg 85'!BA$10&amp;'Reg 85'!$B203),('DMR 001C TIN &amp; TP'!$E$3:$E$10005&amp;'DMR 001C TIN &amp; TP'!$B$3:$B$10005&amp;'DMR 001C TIN &amp; TP'!$A$3:$A$10005),0),MATCH('Reg 85'!$AG$11,'DMR 001C TIN &amp; TP'!$A$2:$M$2,0))),"")</f>
        <v/>
      </c>
      <c r="BB203" s="6" t="str">
        <f t="array" ref="BB203">_xlfn.IFNA((INDEX('DMR 001C TIN &amp; TP'!$A$3:$M$10005,MATCH(('Reg 85'!$AQ$6&amp;'Reg 85'!BB$10&amp;'Reg 85'!$B203),('DMR 001C TIN &amp; TP'!$E$3:$E$10005&amp;'DMR 001C TIN &amp; TP'!$B$3:$B$10005&amp;'DMR 001C TIN &amp; TP'!$A$3:$A$10005),0),MATCH('Reg 85'!$AG$11,'DMR 001C TIN &amp; TP'!$A$2:$M$2,0))),"")</f>
        <v/>
      </c>
      <c r="BC203" s="6" t="str">
        <f t="array" ref="BC203">_xlfn.IFNA((INDEX('DMR 001C TIN &amp; TP'!$A$3:$M$10005,MATCH(('Reg 85'!$AQ$6&amp;'Reg 85'!BC$10&amp;'Reg 85'!$B203),('DMR 001C TIN &amp; TP'!$E$3:$E$10005&amp;'DMR 001C TIN &amp; TP'!$B$3:$B$10005&amp;'DMR 001C TIN &amp; TP'!$A$3:$A$10005),0),MATCH('Reg 85'!$AG$11,'DMR 001C TIN &amp; TP'!$A$2:$M$2,0))),"")</f>
        <v/>
      </c>
      <c r="BD203" s="6" t="str">
        <f t="array" ref="BD203">_xlfn.IFNA((INDEX('DMR 001C TIN &amp; TP'!$A$3:$M$10005,MATCH(('Reg 85'!$AQ$6&amp;'Reg 85'!BD$10&amp;'Reg 85'!$B203),('DMR 001C TIN &amp; TP'!$E$3:$E$10005&amp;'DMR 001C TIN &amp; TP'!$B$3:$B$10005&amp;'DMR 001C TIN &amp; TP'!$A$3:$A$10005),0),MATCH('Reg 85'!$AG$11,'DMR 001C TIN &amp; TP'!$A$2:$M$2,0))),"")</f>
        <v/>
      </c>
      <c r="BE203" s="6" t="str">
        <f t="array" ref="BE203">_xlfn.IFNA((INDEX('DMR 001C TIN &amp; TP'!$A$3:$M$10005,MATCH(('Reg 85'!$AQ$6&amp;'Reg 85'!BE$10&amp;'Reg 85'!$B203),('DMR 001C TIN &amp; TP'!$E$3:$E$10005&amp;'DMR 001C TIN &amp; TP'!$B$3:$B$10005&amp;'DMR 001C TIN &amp; TP'!$A$3:$A$10005),0),MATCH('Reg 85'!$AG$11,'DMR 001C TIN &amp; TP'!$A$2:$M$2,0))),"")</f>
        <v/>
      </c>
      <c r="BF203" s="6" t="str">
        <f t="array" ref="BF203">_xlfn.IFNA((INDEX('DMR 001C TIN &amp; TP'!$A$3:$M$10005,MATCH(('Reg 85'!$AQ$6&amp;'Reg 85'!BF$10&amp;'Reg 85'!$B203),('DMR 001C TIN &amp; TP'!$E$3:$E$10005&amp;'DMR 001C TIN &amp; TP'!$B$3:$B$10005&amp;'DMR 001C TIN &amp; TP'!$A$3:$A$10005),0),MATCH('Reg 85'!$AG$11,'DMR 001C TIN &amp; TP'!$A$2:$M$2,0))),"")</f>
        <v/>
      </c>
    </row>
    <row r="204" spans="1:58">
      <c r="A204" s="3" t="str">
        <f t="shared" si="63"/>
        <v>Tue</v>
      </c>
      <c r="B204" s="96">
        <f t="shared" si="79"/>
        <v>43536</v>
      </c>
      <c r="C204" s="96">
        <f t="shared" si="64"/>
        <v>43555</v>
      </c>
      <c r="D204" s="96">
        <f t="shared" si="65"/>
        <v>43525</v>
      </c>
      <c r="E204" s="95">
        <f t="shared" si="66"/>
        <v>31</v>
      </c>
      <c r="F204" s="7">
        <f t="array" ref="F204">_xlfn.IFNA(INDEX('DMR Flows-Effluent'!$A$3:$F$9999,MATCH(($F$10&amp;$B204),('DMR Flows-Effluent'!$B$3:$B$9999&amp;'DMR Flows-Effluent'!$A$3:$A$9999),0),MATCH($F$8,'DMR Flows-Effluent'!$A$2:$F$2,0)),"")</f>
        <v>55.970799999999997</v>
      </c>
      <c r="G204" s="7">
        <f t="array" ref="G204">_xlfn.IFNA(INDEX('DMR Flows-Effluent'!$A$3:$F$9999,MATCH(($G$10&amp;$B204),('DMR Flows-Effluent'!$B$3:$B$9999&amp;'DMR Flows-Effluent'!$A$3:$A$9999),0),MATCH($F$8,'DMR Flows-Effluent'!$A$2:$F$2,0)),"")</f>
        <v>63.5779</v>
      </c>
      <c r="H204" s="7">
        <f t="shared" si="67"/>
        <v>119.5487</v>
      </c>
      <c r="I204" s="45" t="str">
        <f t="shared" si="68"/>
        <v/>
      </c>
      <c r="J204" s="6" t="str">
        <f t="array" ref="J204">_xlfn.IFNA((INDEX('DMR 001C TIN &amp; TP'!$A$3:$M$10005,MATCH(('Reg 85'!$I$6:$Q$6&amp;'Reg 85'!$I$10:$K$10&amp;'Reg 85'!$B204),('DMR 001C TIN &amp; TP'!$E$3:$E$10005&amp;'DMR 001C TIN &amp; TP'!$B$3:$B$10005&amp;'DMR 001C TIN &amp; TP'!$A$3:$A$10005),0),MATCH('Reg 85'!$J$11,'DMR 001C TIN &amp; TP'!$A$2:$M$2,0))),"")</f>
        <v>0.15</v>
      </c>
      <c r="K204" s="6">
        <f t="array" ref="K204">_xlfn.IFNA((INDEX('DMR 001C TIN &amp; TP'!$A$3:$M$10005,MATCH(('Reg 85'!$I$6:$Q$6&amp;'Reg 85'!$I$10:$K$10&amp;'Reg 85'!$B204),('DMR 001C TIN &amp; TP'!$E$3:$E$10005&amp;'DMR 001C TIN &amp; TP'!$B$3:$B$10005&amp;'DMR 001C TIN &amp; TP'!$A$3:$A$10005),0),MATCH('Reg 85'!$K$11,'DMR 001C TIN &amp; TP'!$A$2:$M$2,0))),"")</f>
        <v>0.64</v>
      </c>
      <c r="L204" s="53">
        <f t="shared" si="80"/>
        <v>0.64</v>
      </c>
      <c r="M204" s="5" t="str">
        <f t="shared" si="69"/>
        <v/>
      </c>
      <c r="N204" s="6" t="str">
        <f t="array" ref="N204">_xlfn.IFNA((INDEX('DMR 001C TIN &amp; TP'!$A$3:$M$10005,MATCH(('Reg 85'!$I$6:$Q$6&amp;'Reg 85'!$M$10&amp;'Reg 85'!$B204),('DMR 001C TIN &amp; TP'!$E$3:$E$10005&amp;'DMR 001C TIN &amp; TP'!$B$3:$B$10005&amp;'DMR 001C TIN &amp; TP'!$A$3:$A$10005),0),MATCH('Reg 85'!$N$11,'DMR 001C TIN &amp; TP'!$A$2:$M$2,0))),"")</f>
        <v>0.15</v>
      </c>
      <c r="O204" s="6">
        <f t="array" ref="O204">_xlfn.IFNA((INDEX('DMR 001C TIN &amp; TP'!$A$3:$M$10005,MATCH(('Reg 85'!$I$6:$Q$6&amp;'Reg 85'!$M$10&amp;'Reg 85'!$B204),('DMR 001C TIN &amp; TP'!$E$3:$E$10005&amp;'DMR 001C TIN &amp; TP'!$B$3:$B$10005&amp;'DMR 001C TIN &amp; TP'!$A$3:$A$10005),0),MATCH('Reg 85'!$O$11,'DMR 001C TIN &amp; TP'!$A$2:$M$2,0))),"")</f>
        <v>1.02</v>
      </c>
      <c r="P204" s="53">
        <f t="shared" si="70"/>
        <v>1.02</v>
      </c>
      <c r="Q204" s="73">
        <f t="array" ref="Q204">IFERROR(((L204*$F204)+(P204*$G204))/($H204),"")</f>
        <v>0.84209004363911955</v>
      </c>
      <c r="R204" s="6" t="str">
        <f t="array" ref="R204">_xlfn.IFNA((INDEX('DMR 001C TIN &amp; TP'!$A$3:$M$10005,MATCH(('Reg 85'!$I$6:$Q$6&amp;'Reg 85'!R$10&amp;'Reg 85'!$B204),('DMR 001C TIN &amp; TP'!$E$3:$E$10005&amp;'DMR 001C TIN &amp; TP'!$B$3:$B$10005&amp;'DMR 001C TIN &amp; TP'!$A$3:$A$10005),0),MATCH('Reg 85'!$O$11,'DMR 001C TIN &amp; TP'!$A$2:$M$2,0))),"")</f>
        <v/>
      </c>
      <c r="S204" s="6" t="str">
        <f t="array" ref="S204">_xlfn.IFNA((INDEX('DMR 001C TIN &amp; TP'!$A$3:$M$10005,MATCH(('Reg 85'!$I$6:$Q$6&amp;'Reg 85'!S$10&amp;'Reg 85'!$B204),('DMR 001C TIN &amp; TP'!$E$3:$E$10005&amp;'DMR 001C TIN &amp; TP'!$B$3:$B$10005&amp;'DMR 001C TIN &amp; TP'!$A$3:$A$10005),0),MATCH('Reg 85'!$O$11,'DMR 001C TIN &amp; TP'!$A$2:$M$2,0))),"")</f>
        <v/>
      </c>
      <c r="T204" s="6" t="str">
        <f t="array" ref="T204">_xlfn.IFNA((INDEX('DMR 001C TIN &amp; TP'!$A$3:$M$10005,MATCH(('Reg 85'!$I$6:$Q$6&amp;'Reg 85'!T$10&amp;'Reg 85'!$B204),('DMR 001C TIN &amp; TP'!$E$3:$E$10005&amp;'DMR 001C TIN &amp; TP'!$B$3:$B$10005&amp;'DMR 001C TIN &amp; TP'!$A$3:$A$10005),0),MATCH('Reg 85'!$O$11,'DMR 001C TIN &amp; TP'!$A$2:$M$2,0))),"")</f>
        <v/>
      </c>
      <c r="U204" s="6" t="str">
        <f t="array" ref="U204">_xlfn.IFNA((INDEX('DMR 001C TIN &amp; TP'!$A$3:$M$10005,MATCH(('Reg 85'!$I$6:$Q$6&amp;'Reg 85'!U$10&amp;'Reg 85'!$B204),('DMR 001C TIN &amp; TP'!$E$3:$E$10005&amp;'DMR 001C TIN &amp; TP'!$B$3:$B$10005&amp;'DMR 001C TIN &amp; TP'!$A$3:$A$10005),0),MATCH('Reg 85'!$O$11,'DMR 001C TIN &amp; TP'!$A$2:$M$2,0))),"")</f>
        <v/>
      </c>
      <c r="V204" s="6" t="str">
        <f t="array" ref="V204">_xlfn.IFNA((INDEX('DMR 001C TIN &amp; TP'!$A$3:$M$10005,MATCH(('Reg 85'!$I$6:$Q$6&amp;'Reg 85'!V$10&amp;'Reg 85'!$B204),('DMR 001C TIN &amp; TP'!$E$3:$E$10005&amp;'DMR 001C TIN &amp; TP'!$B$3:$B$10005&amp;'DMR 001C TIN &amp; TP'!$A$3:$A$10005),0),MATCH('Reg 85'!$O$11,'DMR 001C TIN &amp; TP'!$A$2:$M$2,0))),"")</f>
        <v/>
      </c>
      <c r="W204" s="6" t="str">
        <f t="array" ref="W204">_xlfn.IFNA((INDEX('DMR 001C TIN &amp; TP'!$A$3:$M$10005,MATCH(('Reg 85'!$I$6:$Q$6&amp;'Reg 85'!W$10&amp;'Reg 85'!$B204),('DMR 001C TIN &amp; TP'!$E$3:$E$10005&amp;'DMR 001C TIN &amp; TP'!$B$3:$B$10005&amp;'DMR 001C TIN &amp; TP'!$A$3:$A$10005),0),MATCH('Reg 85'!$O$11,'DMR 001C TIN &amp; TP'!$A$2:$M$2,0))),"")</f>
        <v/>
      </c>
      <c r="X204" s="5" t="str">
        <f t="shared" si="71"/>
        <v/>
      </c>
      <c r="Y204" s="6" t="str">
        <f t="array" ref="Y204">_xlfn.IFNA((INDEX('DMR 001C TIN &amp; TP'!$A$3:$M$10005,MATCH(('Reg 85'!$X$6&amp;'Reg 85'!$X$10&amp;'Reg 85'!$B204),('DMR 001C TIN &amp; TP'!$E$3:$E$10005&amp;'DMR 001C TIN &amp; TP'!$B$3:$B$10005&amp;'DMR 001C TIN &amp; TP'!$A$3:$A$10005),0),MATCH('Reg 85'!$Y$11,'DMR 001C TIN &amp; TP'!$A$2:$M$2,0))),"")</f>
        <v>0.06</v>
      </c>
      <c r="Z204" s="6">
        <f t="array" ref="Z204">_xlfn.IFNA((INDEX('DMR 001C TIN &amp; TP'!$A$3:$M$10005,MATCH(('Reg 85'!$X$6&amp;'Reg 85'!$X$10&amp;'Reg 85'!$B204),('DMR 001C TIN &amp; TP'!$E$3:$E$10005&amp;'DMR 001C TIN &amp; TP'!$B$3:$B$10005&amp;'DMR 001C TIN &amp; TP'!$A$3:$A$10005),0),MATCH('Reg 85'!$Z$11,'DMR 001C TIN &amp; TP'!$A$2:$M$2,0))),"")</f>
        <v>4.8099999999999996</v>
      </c>
      <c r="AA204" s="53">
        <f t="shared" si="72"/>
        <v>4.8099999999999996</v>
      </c>
      <c r="AB204" s="5" t="str">
        <f t="shared" si="73"/>
        <v/>
      </c>
      <c r="AC204" s="6" t="str">
        <f t="array" ref="AC204">_xlfn.IFNA((INDEX('DMR 001C TIN &amp; TP'!$A$3:$M$10005,MATCH(('Reg 85'!$X$6&amp;'Reg 85'!$AB$10&amp;'Reg 85'!$B204),('DMR 001C TIN &amp; TP'!$E$3:$E$10005&amp;'DMR 001C TIN &amp; TP'!$B$3:$B$10005&amp;'DMR 001C TIN &amp; TP'!$A$3:$A$10005),0),MATCH('Reg 85'!$AC$11,'DMR 001C TIN &amp; TP'!$A$2:$M$2,0))),"")</f>
        <v>0.06</v>
      </c>
      <c r="AD204" s="6">
        <f t="array" ref="AD204">_xlfn.IFNA((INDEX('DMR 001C TIN &amp; TP'!$A$3:$M$10005,MATCH(('Reg 85'!$X$6&amp;'Reg 85'!$AB$10&amp;'Reg 85'!$B204),('DMR 001C TIN &amp; TP'!$E$3:$E$10005&amp;'DMR 001C TIN &amp; TP'!$B$3:$B$10005&amp;'DMR 001C TIN &amp; TP'!$A$3:$A$10005),0),MATCH('Reg 85'!$AD$11,'DMR 001C TIN &amp; TP'!$A$2:$M$2,0))),"")</f>
        <v>6</v>
      </c>
      <c r="AE204" s="53">
        <f t="shared" si="74"/>
        <v>6</v>
      </c>
      <c r="AF204" s="7">
        <f t="shared" si="75"/>
        <v>5.4428609261330321</v>
      </c>
      <c r="AG204" s="6" t="str">
        <f t="array" ref="AG204">_xlfn.IFNA((INDEX('DMR 001C TIN &amp; TP'!$A$3:$M$10005,MATCH(('Reg 85'!$X$6&amp;'Reg 85'!AG$10&amp;'Reg 85'!$B204),('DMR 001C TIN &amp; TP'!$E$3:$E$10005&amp;'DMR 001C TIN &amp; TP'!$B$3:$B$10005&amp;'DMR 001C TIN &amp; TP'!$A$3:$A$10005),0),MATCH('Reg 85'!$AG$11,'DMR 001C TIN &amp; TP'!$A$2:$M$2,0))),"")</f>
        <v/>
      </c>
      <c r="AH204" s="6" t="str">
        <f t="array" ref="AH204">_xlfn.IFNA((INDEX('DMR 001C TIN &amp; TP'!$A$3:$M$10005,MATCH(('Reg 85'!$X$6&amp;'Reg 85'!AH$10&amp;'Reg 85'!$B204),('DMR 001C TIN &amp; TP'!$E$3:$E$10005&amp;'DMR 001C TIN &amp; TP'!$B$3:$B$10005&amp;'DMR 001C TIN &amp; TP'!$A$3:$A$10005),0),MATCH('Reg 85'!$AG$11,'DMR 001C TIN &amp; TP'!$A$2:$M$2,0))),"")</f>
        <v/>
      </c>
      <c r="AI204" s="6" t="str">
        <f t="array" ref="AI204">_xlfn.IFNA((INDEX('DMR 001C TIN &amp; TP'!$A$3:$M$10005,MATCH(('Reg 85'!$X$6&amp;'Reg 85'!AI$10&amp;'Reg 85'!$B204),('DMR 001C TIN &amp; TP'!$E$3:$E$10005&amp;'DMR 001C TIN &amp; TP'!$B$3:$B$10005&amp;'DMR 001C TIN &amp; TP'!$A$3:$A$10005),0),MATCH('Reg 85'!$AG$11,'DMR 001C TIN &amp; TP'!$A$2:$M$2,0))),"")</f>
        <v/>
      </c>
      <c r="AJ204" s="6" t="str">
        <f t="array" ref="AJ204">_xlfn.IFNA((INDEX('DMR 001C TIN &amp; TP'!$A$3:$M$10005,MATCH(('Reg 85'!$X$6&amp;'Reg 85'!AJ$10&amp;'Reg 85'!$B204),('DMR 001C TIN &amp; TP'!$E$3:$E$10005&amp;'DMR 001C TIN &amp; TP'!$B$3:$B$10005&amp;'DMR 001C TIN &amp; TP'!$A$3:$A$10005),0),MATCH('Reg 85'!$AG$11,'DMR 001C TIN &amp; TP'!$A$2:$M$2,0))),"")</f>
        <v/>
      </c>
      <c r="AK204" s="6" t="str">
        <f t="array" ref="AK204">_xlfn.IFNA((INDEX('DMR 001C TIN &amp; TP'!$A$3:$M$10005,MATCH(('Reg 85'!$X$6&amp;'Reg 85'!AK$10&amp;'Reg 85'!$B204),('DMR 001C TIN &amp; TP'!$E$3:$E$10005&amp;'DMR 001C TIN &amp; TP'!$B$3:$B$10005&amp;'DMR 001C TIN &amp; TP'!$A$3:$A$10005),0),MATCH('Reg 85'!$AG$11,'DMR 001C TIN &amp; TP'!$A$2:$M$2,0))),"")</f>
        <v/>
      </c>
      <c r="AL204" s="6" t="str">
        <f t="array" ref="AL204">_xlfn.IFNA((INDEX('DMR 001C TIN &amp; TP'!$A$3:$M$10005,MATCH(('Reg 85'!$X$6&amp;'Reg 85'!AL$10&amp;'Reg 85'!$B204),('DMR 001C TIN &amp; TP'!$E$3:$E$10005&amp;'DMR 001C TIN &amp; TP'!$B$3:$B$10005&amp;'DMR 001C TIN &amp; TP'!$A$3:$A$10005),0),MATCH('Reg 85'!$AG$11,'DMR 001C TIN &amp; TP'!$A$2:$M$2,0))),"")</f>
        <v/>
      </c>
      <c r="AM204" s="76"/>
      <c r="AN204" s="6"/>
      <c r="AO204" s="54">
        <f t="shared" ref="AO204:AO267" si="83">IFERROR(Q204+AF204,"")</f>
        <v>6.2849509697721517</v>
      </c>
      <c r="AP204" s="77" t="str">
        <f t="shared" si="81"/>
        <v/>
      </c>
      <c r="AQ204" s="47"/>
      <c r="AR204" s="6" t="str">
        <f t="array" ref="AR204">_xlfn.IFNA((INDEX('DMR 001C TIN &amp; TP'!$A$3:$M$10005,MATCH(('Reg 85'!$AQ$6&amp;'Reg 85'!$AQ$10&amp;'Reg 85'!$B204),('DMR 001C TIN &amp; TP'!$E$3:$E$10005&amp;'DMR 001C TIN &amp; TP'!$B$3:$B$10005&amp;'DMR 001C TIN &amp; TP'!$A$3:$A$10005),0),MATCH('Reg 85'!$AR$11,'DMR 001C TIN &amp; TP'!$A$2:$M$2,0))),"")</f>
        <v/>
      </c>
      <c r="AS204" s="6" t="str">
        <f t="array" ref="AS204">_xlfn.IFNA((INDEX('DMR 001C TIN &amp; TP'!$A$3:$M$10005,MATCH(('Reg 85'!$AQ$6&amp;'Reg 85'!$AQ$10&amp;'Reg 85'!$B204),('DMR 001C TIN &amp; TP'!$E$3:$E$10005&amp;'DMR 001C TIN &amp; TP'!$B$3:$B$10005&amp;'DMR 001C TIN &amp; TP'!$A$3:$A$10005),0),MATCH('Reg 85'!$AS$11,'DMR 001C TIN &amp; TP'!$A$2:$M$2,0))),"")</f>
        <v/>
      </c>
      <c r="AT204" s="53" t="str">
        <f t="shared" si="76"/>
        <v/>
      </c>
      <c r="AV204" s="6" t="str">
        <f t="array" ref="AV204">_xlfn.IFNA((INDEX('DMR 001C TIN &amp; TP'!$A$3:$M$10005,MATCH(('Reg 85'!$AQ$6&amp;'Reg 85'!$AU$10&amp;'Reg 85'!$B204),('DMR 001C TIN &amp; TP'!$E$3:$E$10005&amp;'DMR 001C TIN &amp; TP'!$B$3:$B$10005&amp;'DMR 001C TIN &amp; TP'!$A$3:$A$10005),0),MATCH('Reg 85'!$AV$11,'DMR 001C TIN &amp; TP'!$A$2:$M$2,0))),"")</f>
        <v/>
      </c>
      <c r="AW204" s="6" t="str">
        <f t="array" ref="AW204">_xlfn.IFNA((INDEX('DMR 001C TIN &amp; TP'!$A$3:$M$10005,MATCH(('Reg 85'!$AQ$6&amp;'Reg 85'!$AU$10&amp;'Reg 85'!$B204),('DMR 001C TIN &amp; TP'!$E$3:$E$10005&amp;'DMR 001C TIN &amp; TP'!$B$3:$B$10005&amp;'DMR 001C TIN &amp; TP'!$A$3:$A$10005),0),MATCH('Reg 85'!$AW$11,'DMR 001C TIN &amp; TP'!$A$2:$M$2,0))),"")</f>
        <v/>
      </c>
      <c r="AX204" s="53" t="str">
        <f t="shared" si="77"/>
        <v/>
      </c>
      <c r="AY204" s="55" t="str">
        <f t="shared" si="78"/>
        <v/>
      </c>
      <c r="AZ204" s="77" t="str">
        <f t="shared" si="82"/>
        <v/>
      </c>
      <c r="BA204" s="6" t="str">
        <f t="array" ref="BA204">_xlfn.IFNA((INDEX('DMR 001C TIN &amp; TP'!$A$3:$M$10005,MATCH(('Reg 85'!$AQ$6&amp;'Reg 85'!BA$10&amp;'Reg 85'!$B204),('DMR 001C TIN &amp; TP'!$E$3:$E$10005&amp;'DMR 001C TIN &amp; TP'!$B$3:$B$10005&amp;'DMR 001C TIN &amp; TP'!$A$3:$A$10005),0),MATCH('Reg 85'!$AG$11,'DMR 001C TIN &amp; TP'!$A$2:$M$2,0))),"")</f>
        <v/>
      </c>
      <c r="BB204" s="6" t="str">
        <f t="array" ref="BB204">_xlfn.IFNA((INDEX('DMR 001C TIN &amp; TP'!$A$3:$M$10005,MATCH(('Reg 85'!$AQ$6&amp;'Reg 85'!BB$10&amp;'Reg 85'!$B204),('DMR 001C TIN &amp; TP'!$E$3:$E$10005&amp;'DMR 001C TIN &amp; TP'!$B$3:$B$10005&amp;'DMR 001C TIN &amp; TP'!$A$3:$A$10005),0),MATCH('Reg 85'!$AG$11,'DMR 001C TIN &amp; TP'!$A$2:$M$2,0))),"")</f>
        <v/>
      </c>
      <c r="BC204" s="6" t="str">
        <f t="array" ref="BC204">_xlfn.IFNA((INDEX('DMR 001C TIN &amp; TP'!$A$3:$M$10005,MATCH(('Reg 85'!$AQ$6&amp;'Reg 85'!BC$10&amp;'Reg 85'!$B204),('DMR 001C TIN &amp; TP'!$E$3:$E$10005&amp;'DMR 001C TIN &amp; TP'!$B$3:$B$10005&amp;'DMR 001C TIN &amp; TP'!$A$3:$A$10005),0),MATCH('Reg 85'!$AG$11,'DMR 001C TIN &amp; TP'!$A$2:$M$2,0))),"")</f>
        <v/>
      </c>
      <c r="BD204" s="6" t="str">
        <f t="array" ref="BD204">_xlfn.IFNA((INDEX('DMR 001C TIN &amp; TP'!$A$3:$M$10005,MATCH(('Reg 85'!$AQ$6&amp;'Reg 85'!BD$10&amp;'Reg 85'!$B204),('DMR 001C TIN &amp; TP'!$E$3:$E$10005&amp;'DMR 001C TIN &amp; TP'!$B$3:$B$10005&amp;'DMR 001C TIN &amp; TP'!$A$3:$A$10005),0),MATCH('Reg 85'!$AG$11,'DMR 001C TIN &amp; TP'!$A$2:$M$2,0))),"")</f>
        <v/>
      </c>
      <c r="BE204" s="6" t="str">
        <f t="array" ref="BE204">_xlfn.IFNA((INDEX('DMR 001C TIN &amp; TP'!$A$3:$M$10005,MATCH(('Reg 85'!$AQ$6&amp;'Reg 85'!BE$10&amp;'Reg 85'!$B204),('DMR 001C TIN &amp; TP'!$E$3:$E$10005&amp;'DMR 001C TIN &amp; TP'!$B$3:$B$10005&amp;'DMR 001C TIN &amp; TP'!$A$3:$A$10005),0),MATCH('Reg 85'!$AG$11,'DMR 001C TIN &amp; TP'!$A$2:$M$2,0))),"")</f>
        <v/>
      </c>
      <c r="BF204" s="6" t="str">
        <f t="array" ref="BF204">_xlfn.IFNA((INDEX('DMR 001C TIN &amp; TP'!$A$3:$M$10005,MATCH(('Reg 85'!$AQ$6&amp;'Reg 85'!BF$10&amp;'Reg 85'!$B204),('DMR 001C TIN &amp; TP'!$E$3:$E$10005&amp;'DMR 001C TIN &amp; TP'!$B$3:$B$10005&amp;'DMR 001C TIN &amp; TP'!$A$3:$A$10005),0),MATCH('Reg 85'!$AG$11,'DMR 001C TIN &amp; TP'!$A$2:$M$2,0))),"")</f>
        <v/>
      </c>
    </row>
    <row r="205" spans="1:58">
      <c r="A205" s="3" t="str">
        <f t="shared" ref="A205:A268" si="84">TEXT(B205,"ddd")</f>
        <v>Wed</v>
      </c>
      <c r="B205" s="96">
        <f t="shared" si="79"/>
        <v>43537</v>
      </c>
      <c r="C205" s="96">
        <f t="shared" ref="C205:C268" si="85">EOMONTH(B205,0)</f>
        <v>43555</v>
      </c>
      <c r="D205" s="96">
        <f t="shared" ref="D205:D268" si="86">EOMONTH(B205,-1)+1</f>
        <v>43525</v>
      </c>
      <c r="E205" s="95">
        <f t="shared" ref="E205:E268" si="87">DAY(EOMONTH(B205,0))</f>
        <v>31</v>
      </c>
      <c r="F205" s="7">
        <f t="array" ref="F205">_xlfn.IFNA(INDEX('DMR Flows-Effluent'!$A$3:$F$9999,MATCH(($F$10&amp;$B205),('DMR Flows-Effluent'!$B$3:$B$9999&amp;'DMR Flows-Effluent'!$A$3:$A$9999),0),MATCH($F$8,'DMR Flows-Effluent'!$A$2:$F$2,0)),"")</f>
        <v>63.027799999999999</v>
      </c>
      <c r="G205" s="7">
        <f t="array" ref="G205">_xlfn.IFNA(INDEX('DMR Flows-Effluent'!$A$3:$F$9999,MATCH(($G$10&amp;$B205),('DMR Flows-Effluent'!$B$3:$B$9999&amp;'DMR Flows-Effluent'!$A$3:$A$9999),0),MATCH($F$8,'DMR Flows-Effluent'!$A$2:$F$2,0)),"")</f>
        <v>73.917699999999996</v>
      </c>
      <c r="H205" s="7">
        <f t="shared" ref="H205:H268" si="88">SUM(F205:G205)</f>
        <v>136.94549999999998</v>
      </c>
      <c r="I205" s="45" t="str">
        <f t="shared" ref="I205:I268" si="89">IFERROR(IF(L205&lt;VALUE(J205),"&lt;",""),"")</f>
        <v/>
      </c>
      <c r="J205" s="6" t="str">
        <f t="array" ref="J205">_xlfn.IFNA((INDEX('DMR 001C TIN &amp; TP'!$A$3:$M$10005,MATCH(('Reg 85'!$I$6:$Q$6&amp;'Reg 85'!$I$10:$K$10&amp;'Reg 85'!$B205),('DMR 001C TIN &amp; TP'!$E$3:$E$10005&amp;'DMR 001C TIN &amp; TP'!$B$3:$B$10005&amp;'DMR 001C TIN &amp; TP'!$A$3:$A$10005),0),MATCH('Reg 85'!$J$11,'DMR 001C TIN &amp; TP'!$A$2:$M$2,0))),"")</f>
        <v/>
      </c>
      <c r="K205" s="6" t="str">
        <f t="array" ref="K205">_xlfn.IFNA((INDEX('DMR 001C TIN &amp; TP'!$A$3:$M$10005,MATCH(('Reg 85'!$I$6:$Q$6&amp;'Reg 85'!$I$10:$K$10&amp;'Reg 85'!$B205),('DMR 001C TIN &amp; TP'!$E$3:$E$10005&amp;'DMR 001C TIN &amp; TP'!$B$3:$B$10005&amp;'DMR 001C TIN &amp; TP'!$A$3:$A$10005),0),MATCH('Reg 85'!$K$11,'DMR 001C TIN &amp; TP'!$A$2:$M$2,0))),"")</f>
        <v/>
      </c>
      <c r="L205" s="53" t="str">
        <f t="shared" si="80"/>
        <v/>
      </c>
      <c r="M205" s="5" t="str">
        <f t="shared" ref="M205:M268" si="90">IFERROR(IF(P205&lt;VALUE(N205),"&lt;",""),"")</f>
        <v/>
      </c>
      <c r="N205" s="6" t="str">
        <f t="array" ref="N205">_xlfn.IFNA((INDEX('DMR 001C TIN &amp; TP'!$A$3:$M$10005,MATCH(('Reg 85'!$I$6:$Q$6&amp;'Reg 85'!$M$10&amp;'Reg 85'!$B205),('DMR 001C TIN &amp; TP'!$E$3:$E$10005&amp;'DMR 001C TIN &amp; TP'!$B$3:$B$10005&amp;'DMR 001C TIN &amp; TP'!$A$3:$A$10005),0),MATCH('Reg 85'!$N$11,'DMR 001C TIN &amp; TP'!$A$2:$M$2,0))),"")</f>
        <v/>
      </c>
      <c r="O205" s="6" t="str">
        <f t="array" ref="O205">_xlfn.IFNA((INDEX('DMR 001C TIN &amp; TP'!$A$3:$M$10005,MATCH(('Reg 85'!$I$6:$Q$6&amp;'Reg 85'!$M$10&amp;'Reg 85'!$B205),('DMR 001C TIN &amp; TP'!$E$3:$E$10005&amp;'DMR 001C TIN &amp; TP'!$B$3:$B$10005&amp;'DMR 001C TIN &amp; TP'!$A$3:$A$10005),0),MATCH('Reg 85'!$O$11,'DMR 001C TIN &amp; TP'!$A$2:$M$2,0))),"")</f>
        <v/>
      </c>
      <c r="P205" s="53" t="str">
        <f t="shared" ref="P205:P268" si="91">IFERROR(IF(VALUE(O205)&lt;VALUE(N205),0,VALUE(O205)),"")</f>
        <v/>
      </c>
      <c r="Q205" s="73" t="str">
        <f t="array" ref="Q205">IFERROR(((L205*$F205)+(P205*$G205))/($H205),"")</f>
        <v/>
      </c>
      <c r="R205" s="6" t="str">
        <f t="array" ref="R205">_xlfn.IFNA((INDEX('DMR 001C TIN &amp; TP'!$A$3:$M$10005,MATCH(('Reg 85'!$I$6:$Q$6&amp;'Reg 85'!R$10&amp;'Reg 85'!$B205),('DMR 001C TIN &amp; TP'!$E$3:$E$10005&amp;'DMR 001C TIN &amp; TP'!$B$3:$B$10005&amp;'DMR 001C TIN &amp; TP'!$A$3:$A$10005),0),MATCH('Reg 85'!$O$11,'DMR 001C TIN &amp; TP'!$A$2:$M$2,0))),"")</f>
        <v/>
      </c>
      <c r="S205" s="6" t="str">
        <f t="array" ref="S205">_xlfn.IFNA((INDEX('DMR 001C TIN &amp; TP'!$A$3:$M$10005,MATCH(('Reg 85'!$I$6:$Q$6&amp;'Reg 85'!S$10&amp;'Reg 85'!$B205),('DMR 001C TIN &amp; TP'!$E$3:$E$10005&amp;'DMR 001C TIN &amp; TP'!$B$3:$B$10005&amp;'DMR 001C TIN &amp; TP'!$A$3:$A$10005),0),MATCH('Reg 85'!$O$11,'DMR 001C TIN &amp; TP'!$A$2:$M$2,0))),"")</f>
        <v/>
      </c>
      <c r="T205" s="6" t="str">
        <f t="array" ref="T205">_xlfn.IFNA((INDEX('DMR 001C TIN &amp; TP'!$A$3:$M$10005,MATCH(('Reg 85'!$I$6:$Q$6&amp;'Reg 85'!T$10&amp;'Reg 85'!$B205),('DMR 001C TIN &amp; TP'!$E$3:$E$10005&amp;'DMR 001C TIN &amp; TP'!$B$3:$B$10005&amp;'DMR 001C TIN &amp; TP'!$A$3:$A$10005),0),MATCH('Reg 85'!$O$11,'DMR 001C TIN &amp; TP'!$A$2:$M$2,0))),"")</f>
        <v/>
      </c>
      <c r="U205" s="6" t="str">
        <f t="array" ref="U205">_xlfn.IFNA((INDEX('DMR 001C TIN &amp; TP'!$A$3:$M$10005,MATCH(('Reg 85'!$I$6:$Q$6&amp;'Reg 85'!U$10&amp;'Reg 85'!$B205),('DMR 001C TIN &amp; TP'!$E$3:$E$10005&amp;'DMR 001C TIN &amp; TP'!$B$3:$B$10005&amp;'DMR 001C TIN &amp; TP'!$A$3:$A$10005),0),MATCH('Reg 85'!$O$11,'DMR 001C TIN &amp; TP'!$A$2:$M$2,0))),"")</f>
        <v/>
      </c>
      <c r="V205" s="6" t="str">
        <f t="array" ref="V205">_xlfn.IFNA((INDEX('DMR 001C TIN &amp; TP'!$A$3:$M$10005,MATCH(('Reg 85'!$I$6:$Q$6&amp;'Reg 85'!V$10&amp;'Reg 85'!$B205),('DMR 001C TIN &amp; TP'!$E$3:$E$10005&amp;'DMR 001C TIN &amp; TP'!$B$3:$B$10005&amp;'DMR 001C TIN &amp; TP'!$A$3:$A$10005),0),MATCH('Reg 85'!$O$11,'DMR 001C TIN &amp; TP'!$A$2:$M$2,0))),"")</f>
        <v/>
      </c>
      <c r="W205" s="6" t="str">
        <f t="array" ref="W205">_xlfn.IFNA((INDEX('DMR 001C TIN &amp; TP'!$A$3:$M$10005,MATCH(('Reg 85'!$I$6:$Q$6&amp;'Reg 85'!W$10&amp;'Reg 85'!$B205),('DMR 001C TIN &amp; TP'!$E$3:$E$10005&amp;'DMR 001C TIN &amp; TP'!$B$3:$B$10005&amp;'DMR 001C TIN &amp; TP'!$A$3:$A$10005),0),MATCH('Reg 85'!$O$11,'DMR 001C TIN &amp; TP'!$A$2:$M$2,0))),"")</f>
        <v/>
      </c>
      <c r="X205" s="5" t="str">
        <f t="shared" ref="X205:X268" si="92">IFERROR(IF(AA205&lt;VALUE(Y205),"&lt;",""),"")</f>
        <v/>
      </c>
      <c r="Y205" s="6" t="str">
        <f t="array" ref="Y205">_xlfn.IFNA((INDEX('DMR 001C TIN &amp; TP'!$A$3:$M$10005,MATCH(('Reg 85'!$X$6&amp;'Reg 85'!$X$10&amp;'Reg 85'!$B205),('DMR 001C TIN &amp; TP'!$E$3:$E$10005&amp;'DMR 001C TIN &amp; TP'!$B$3:$B$10005&amp;'DMR 001C TIN &amp; TP'!$A$3:$A$10005),0),MATCH('Reg 85'!$Y$11,'DMR 001C TIN &amp; TP'!$A$2:$M$2,0))),"")</f>
        <v/>
      </c>
      <c r="Z205" s="6" t="str">
        <f t="array" ref="Z205">_xlfn.IFNA((INDEX('DMR 001C TIN &amp; TP'!$A$3:$M$10005,MATCH(('Reg 85'!$X$6&amp;'Reg 85'!$X$10&amp;'Reg 85'!$B205),('DMR 001C TIN &amp; TP'!$E$3:$E$10005&amp;'DMR 001C TIN &amp; TP'!$B$3:$B$10005&amp;'DMR 001C TIN &amp; TP'!$A$3:$A$10005),0),MATCH('Reg 85'!$Z$11,'DMR 001C TIN &amp; TP'!$A$2:$M$2,0))),"")</f>
        <v/>
      </c>
      <c r="AA205" s="53" t="str">
        <f t="shared" ref="AA205:AA268" si="93">IFERROR(IF(VALUE(Z205)&lt;VALUE(Y205),0,VALUE(Z205)),"")</f>
        <v/>
      </c>
      <c r="AB205" s="5" t="str">
        <f t="shared" ref="AB205:AB268" si="94">IFERROR(IF(AE205&lt;VALUE(AC205),"&lt;",""),"")</f>
        <v/>
      </c>
      <c r="AC205" s="6" t="str">
        <f t="array" ref="AC205">_xlfn.IFNA((INDEX('DMR 001C TIN &amp; TP'!$A$3:$M$10005,MATCH(('Reg 85'!$X$6&amp;'Reg 85'!$AB$10&amp;'Reg 85'!$B205),('DMR 001C TIN &amp; TP'!$E$3:$E$10005&amp;'DMR 001C TIN &amp; TP'!$B$3:$B$10005&amp;'DMR 001C TIN &amp; TP'!$A$3:$A$10005),0),MATCH('Reg 85'!$AC$11,'DMR 001C TIN &amp; TP'!$A$2:$M$2,0))),"")</f>
        <v/>
      </c>
      <c r="AD205" s="6" t="str">
        <f t="array" ref="AD205">_xlfn.IFNA((INDEX('DMR 001C TIN &amp; TP'!$A$3:$M$10005,MATCH(('Reg 85'!$X$6&amp;'Reg 85'!$AB$10&amp;'Reg 85'!$B205),('DMR 001C TIN &amp; TP'!$E$3:$E$10005&amp;'DMR 001C TIN &amp; TP'!$B$3:$B$10005&amp;'DMR 001C TIN &amp; TP'!$A$3:$A$10005),0),MATCH('Reg 85'!$AD$11,'DMR 001C TIN &amp; TP'!$A$2:$M$2,0))),"")</f>
        <v/>
      </c>
      <c r="AE205" s="53" t="str">
        <f t="shared" ref="AE205:AE268" si="95">IFERROR(IF(VALUE(AD205)&lt;VALUE(AC205),0,VALUE(AD205)),"")</f>
        <v/>
      </c>
      <c r="AF205" s="7" t="str">
        <f t="shared" ref="AF205:AF268" si="96">IFERROR(((AA205*$F205)+(AE205*$G205))/($H205),"")</f>
        <v/>
      </c>
      <c r="AG205" s="6" t="str">
        <f t="array" ref="AG205">_xlfn.IFNA((INDEX('DMR 001C TIN &amp; TP'!$A$3:$M$10005,MATCH(('Reg 85'!$X$6&amp;'Reg 85'!AG$10&amp;'Reg 85'!$B205),('DMR 001C TIN &amp; TP'!$E$3:$E$10005&amp;'DMR 001C TIN &amp; TP'!$B$3:$B$10005&amp;'DMR 001C TIN &amp; TP'!$A$3:$A$10005),0),MATCH('Reg 85'!$AG$11,'DMR 001C TIN &amp; TP'!$A$2:$M$2,0))),"")</f>
        <v/>
      </c>
      <c r="AH205" s="6" t="str">
        <f t="array" ref="AH205">_xlfn.IFNA((INDEX('DMR 001C TIN &amp; TP'!$A$3:$M$10005,MATCH(('Reg 85'!$X$6&amp;'Reg 85'!AH$10&amp;'Reg 85'!$B205),('DMR 001C TIN &amp; TP'!$E$3:$E$10005&amp;'DMR 001C TIN &amp; TP'!$B$3:$B$10005&amp;'DMR 001C TIN &amp; TP'!$A$3:$A$10005),0),MATCH('Reg 85'!$AG$11,'DMR 001C TIN &amp; TP'!$A$2:$M$2,0))),"")</f>
        <v/>
      </c>
      <c r="AI205" s="6" t="str">
        <f t="array" ref="AI205">_xlfn.IFNA((INDEX('DMR 001C TIN &amp; TP'!$A$3:$M$10005,MATCH(('Reg 85'!$X$6&amp;'Reg 85'!AI$10&amp;'Reg 85'!$B205),('DMR 001C TIN &amp; TP'!$E$3:$E$10005&amp;'DMR 001C TIN &amp; TP'!$B$3:$B$10005&amp;'DMR 001C TIN &amp; TP'!$A$3:$A$10005),0),MATCH('Reg 85'!$AG$11,'DMR 001C TIN &amp; TP'!$A$2:$M$2,0))),"")</f>
        <v/>
      </c>
      <c r="AJ205" s="6" t="str">
        <f t="array" ref="AJ205">_xlfn.IFNA((INDEX('DMR 001C TIN &amp; TP'!$A$3:$M$10005,MATCH(('Reg 85'!$X$6&amp;'Reg 85'!AJ$10&amp;'Reg 85'!$B205),('DMR 001C TIN &amp; TP'!$E$3:$E$10005&amp;'DMR 001C TIN &amp; TP'!$B$3:$B$10005&amp;'DMR 001C TIN &amp; TP'!$A$3:$A$10005),0),MATCH('Reg 85'!$AG$11,'DMR 001C TIN &amp; TP'!$A$2:$M$2,0))),"")</f>
        <v/>
      </c>
      <c r="AK205" s="6" t="str">
        <f t="array" ref="AK205">_xlfn.IFNA((INDEX('DMR 001C TIN &amp; TP'!$A$3:$M$10005,MATCH(('Reg 85'!$X$6&amp;'Reg 85'!AK$10&amp;'Reg 85'!$B205),('DMR 001C TIN &amp; TP'!$E$3:$E$10005&amp;'DMR 001C TIN &amp; TP'!$B$3:$B$10005&amp;'DMR 001C TIN &amp; TP'!$A$3:$A$10005),0),MATCH('Reg 85'!$AG$11,'DMR 001C TIN &amp; TP'!$A$2:$M$2,0))),"")</f>
        <v/>
      </c>
      <c r="AL205" s="6" t="str">
        <f t="array" ref="AL205">_xlfn.IFNA((INDEX('DMR 001C TIN &amp; TP'!$A$3:$M$10005,MATCH(('Reg 85'!$X$6&amp;'Reg 85'!AL$10&amp;'Reg 85'!$B205),('DMR 001C TIN &amp; TP'!$E$3:$E$10005&amp;'DMR 001C TIN &amp; TP'!$B$3:$B$10005&amp;'DMR 001C TIN &amp; TP'!$A$3:$A$10005),0),MATCH('Reg 85'!$AG$11,'DMR 001C TIN &amp; TP'!$A$2:$M$2,0))),"")</f>
        <v/>
      </c>
      <c r="AM205" s="76"/>
      <c r="AN205" s="6"/>
      <c r="AO205" s="54" t="str">
        <f t="shared" si="83"/>
        <v/>
      </c>
      <c r="AP205" s="77" t="str">
        <f t="shared" si="81"/>
        <v/>
      </c>
      <c r="AQ205" s="47"/>
      <c r="AR205" s="6" t="str">
        <f t="array" ref="AR205">_xlfn.IFNA((INDEX('DMR 001C TIN &amp; TP'!$A$3:$M$10005,MATCH(('Reg 85'!$AQ$6&amp;'Reg 85'!$AQ$10&amp;'Reg 85'!$B205),('DMR 001C TIN &amp; TP'!$E$3:$E$10005&amp;'DMR 001C TIN &amp; TP'!$B$3:$B$10005&amp;'DMR 001C TIN &amp; TP'!$A$3:$A$10005),0),MATCH('Reg 85'!$AR$11,'DMR 001C TIN &amp; TP'!$A$2:$M$2,0))),"")</f>
        <v>0.03</v>
      </c>
      <c r="AS205" s="6">
        <f t="array" ref="AS205">_xlfn.IFNA((INDEX('DMR 001C TIN &amp; TP'!$A$3:$M$10005,MATCH(('Reg 85'!$AQ$6&amp;'Reg 85'!$AQ$10&amp;'Reg 85'!$B205),('DMR 001C TIN &amp; TP'!$E$3:$E$10005&amp;'DMR 001C TIN &amp; TP'!$B$3:$B$10005&amp;'DMR 001C TIN &amp; TP'!$A$3:$A$10005),0),MATCH('Reg 85'!$AS$11,'DMR 001C TIN &amp; TP'!$A$2:$M$2,0))),"")</f>
        <v>0.46</v>
      </c>
      <c r="AT205" s="53">
        <f t="shared" ref="AT205:AT268" si="97">IFERROR(IF(VALUE(AS205)&lt;VALUE(AR205),0,VALUE(AS205)),"")</f>
        <v>0.46</v>
      </c>
      <c r="AV205" s="6" t="str">
        <f t="array" ref="AV205">_xlfn.IFNA((INDEX('DMR 001C TIN &amp; TP'!$A$3:$M$10005,MATCH(('Reg 85'!$AQ$6&amp;'Reg 85'!$AU$10&amp;'Reg 85'!$B205),('DMR 001C TIN &amp; TP'!$E$3:$E$10005&amp;'DMR 001C TIN &amp; TP'!$B$3:$B$10005&amp;'DMR 001C TIN &amp; TP'!$A$3:$A$10005),0),MATCH('Reg 85'!$AV$11,'DMR 001C TIN &amp; TP'!$A$2:$M$2,0))),"")</f>
        <v>0.03</v>
      </c>
      <c r="AW205" s="6">
        <f t="array" ref="AW205">_xlfn.IFNA((INDEX('DMR 001C TIN &amp; TP'!$A$3:$M$10005,MATCH(('Reg 85'!$AQ$6&amp;'Reg 85'!$AU$10&amp;'Reg 85'!$B205),('DMR 001C TIN &amp; TP'!$E$3:$E$10005&amp;'DMR 001C TIN &amp; TP'!$B$3:$B$10005&amp;'DMR 001C TIN &amp; TP'!$A$3:$A$10005),0),MATCH('Reg 85'!$AW$11,'DMR 001C TIN &amp; TP'!$A$2:$M$2,0))),"")</f>
        <v>3.82</v>
      </c>
      <c r="AX205" s="53">
        <f t="shared" ref="AX205:AX268" si="98">IFERROR(IF(VALUE(AW205)&lt;VALUE(AV205),0,VALUE(AW205)),"")</f>
        <v>3.82</v>
      </c>
      <c r="AY205" s="55">
        <f t="shared" ref="AY205:AY268" si="99">IFERROR(((AT205*$F205)+(AX205*$G205))/($H205),"")</f>
        <v>2.2735935244312522</v>
      </c>
      <c r="AZ205" s="77" t="str">
        <f t="shared" si="82"/>
        <v/>
      </c>
      <c r="BA205" s="6" t="str">
        <f t="array" ref="BA205">_xlfn.IFNA((INDEX('DMR 001C TIN &amp; TP'!$A$3:$M$10005,MATCH(('Reg 85'!$AQ$6&amp;'Reg 85'!BA$10&amp;'Reg 85'!$B205),('DMR 001C TIN &amp; TP'!$E$3:$E$10005&amp;'DMR 001C TIN &amp; TP'!$B$3:$B$10005&amp;'DMR 001C TIN &amp; TP'!$A$3:$A$10005),0),MATCH('Reg 85'!$AG$11,'DMR 001C TIN &amp; TP'!$A$2:$M$2,0))),"")</f>
        <v/>
      </c>
      <c r="BB205" s="6" t="str">
        <f t="array" ref="BB205">_xlfn.IFNA((INDEX('DMR 001C TIN &amp; TP'!$A$3:$M$10005,MATCH(('Reg 85'!$AQ$6&amp;'Reg 85'!BB$10&amp;'Reg 85'!$B205),('DMR 001C TIN &amp; TP'!$E$3:$E$10005&amp;'DMR 001C TIN &amp; TP'!$B$3:$B$10005&amp;'DMR 001C TIN &amp; TP'!$A$3:$A$10005),0),MATCH('Reg 85'!$AG$11,'DMR 001C TIN &amp; TP'!$A$2:$M$2,0))),"")</f>
        <v/>
      </c>
      <c r="BC205" s="6" t="str">
        <f t="array" ref="BC205">_xlfn.IFNA((INDEX('DMR 001C TIN &amp; TP'!$A$3:$M$10005,MATCH(('Reg 85'!$AQ$6&amp;'Reg 85'!BC$10&amp;'Reg 85'!$B205),('DMR 001C TIN &amp; TP'!$E$3:$E$10005&amp;'DMR 001C TIN &amp; TP'!$B$3:$B$10005&amp;'DMR 001C TIN &amp; TP'!$A$3:$A$10005),0),MATCH('Reg 85'!$AG$11,'DMR 001C TIN &amp; TP'!$A$2:$M$2,0))),"")</f>
        <v/>
      </c>
      <c r="BD205" s="6" t="str">
        <f t="array" ref="BD205">_xlfn.IFNA((INDEX('DMR 001C TIN &amp; TP'!$A$3:$M$10005,MATCH(('Reg 85'!$AQ$6&amp;'Reg 85'!BD$10&amp;'Reg 85'!$B205),('DMR 001C TIN &amp; TP'!$E$3:$E$10005&amp;'DMR 001C TIN &amp; TP'!$B$3:$B$10005&amp;'DMR 001C TIN &amp; TP'!$A$3:$A$10005),0),MATCH('Reg 85'!$AG$11,'DMR 001C TIN &amp; TP'!$A$2:$M$2,0))),"")</f>
        <v/>
      </c>
      <c r="BE205" s="6" t="str">
        <f t="array" ref="BE205">_xlfn.IFNA((INDEX('DMR 001C TIN &amp; TP'!$A$3:$M$10005,MATCH(('Reg 85'!$AQ$6&amp;'Reg 85'!BE$10&amp;'Reg 85'!$B205),('DMR 001C TIN &amp; TP'!$E$3:$E$10005&amp;'DMR 001C TIN &amp; TP'!$B$3:$B$10005&amp;'DMR 001C TIN &amp; TP'!$A$3:$A$10005),0),MATCH('Reg 85'!$AG$11,'DMR 001C TIN &amp; TP'!$A$2:$M$2,0))),"")</f>
        <v/>
      </c>
      <c r="BF205" s="6" t="str">
        <f t="array" ref="BF205">_xlfn.IFNA((INDEX('DMR 001C TIN &amp; TP'!$A$3:$M$10005,MATCH(('Reg 85'!$AQ$6&amp;'Reg 85'!BF$10&amp;'Reg 85'!$B205),('DMR 001C TIN &amp; TP'!$E$3:$E$10005&amp;'DMR 001C TIN &amp; TP'!$B$3:$B$10005&amp;'DMR 001C TIN &amp; TP'!$A$3:$A$10005),0),MATCH('Reg 85'!$AG$11,'DMR 001C TIN &amp; TP'!$A$2:$M$2,0))),"")</f>
        <v/>
      </c>
    </row>
    <row r="206" spans="1:58">
      <c r="A206" s="3" t="str">
        <f t="shared" si="84"/>
        <v>Thu</v>
      </c>
      <c r="B206" s="96">
        <f t="shared" ref="B206:B269" si="100">B205+1</f>
        <v>43538</v>
      </c>
      <c r="C206" s="96">
        <f t="shared" si="85"/>
        <v>43555</v>
      </c>
      <c r="D206" s="96">
        <f t="shared" si="86"/>
        <v>43525</v>
      </c>
      <c r="E206" s="95">
        <f t="shared" si="87"/>
        <v>31</v>
      </c>
      <c r="F206" s="7">
        <f t="array" ref="F206">_xlfn.IFNA(INDEX('DMR Flows-Effluent'!$A$3:$F$9999,MATCH(($F$10&amp;$B206),('DMR Flows-Effluent'!$B$3:$B$9999&amp;'DMR Flows-Effluent'!$A$3:$A$9999),0),MATCH($F$8,'DMR Flows-Effluent'!$A$2:$F$2,0)),"")</f>
        <v>71.052800000000005</v>
      </c>
      <c r="G206" s="7">
        <f t="array" ref="G206">_xlfn.IFNA(INDEX('DMR Flows-Effluent'!$A$3:$F$9999,MATCH(($G$10&amp;$B206),('DMR Flows-Effluent'!$B$3:$B$9999&amp;'DMR Flows-Effluent'!$A$3:$A$9999),0),MATCH($F$8,'DMR Flows-Effluent'!$A$2:$F$2,0)),"")</f>
        <v>71.092399999999998</v>
      </c>
      <c r="H206" s="7">
        <f t="shared" si="88"/>
        <v>142.14519999999999</v>
      </c>
      <c r="I206" s="45" t="str">
        <f t="shared" si="89"/>
        <v/>
      </c>
      <c r="J206" s="6" t="str">
        <f t="array" ref="J206">_xlfn.IFNA((INDEX('DMR 001C TIN &amp; TP'!$A$3:$M$10005,MATCH(('Reg 85'!$I$6:$Q$6&amp;'Reg 85'!$I$10:$K$10&amp;'Reg 85'!$B206),('DMR 001C TIN &amp; TP'!$E$3:$E$10005&amp;'DMR 001C TIN &amp; TP'!$B$3:$B$10005&amp;'DMR 001C TIN &amp; TP'!$A$3:$A$10005),0),MATCH('Reg 85'!$J$11,'DMR 001C TIN &amp; TP'!$A$2:$M$2,0))),"")</f>
        <v/>
      </c>
      <c r="K206" s="6" t="str">
        <f t="array" ref="K206">_xlfn.IFNA((INDEX('DMR 001C TIN &amp; TP'!$A$3:$M$10005,MATCH(('Reg 85'!$I$6:$Q$6&amp;'Reg 85'!$I$10:$K$10&amp;'Reg 85'!$B206),('DMR 001C TIN &amp; TP'!$E$3:$E$10005&amp;'DMR 001C TIN &amp; TP'!$B$3:$B$10005&amp;'DMR 001C TIN &amp; TP'!$A$3:$A$10005),0),MATCH('Reg 85'!$K$11,'DMR 001C TIN &amp; TP'!$A$2:$M$2,0))),"")</f>
        <v/>
      </c>
      <c r="L206" s="53" t="str">
        <f t="shared" si="80"/>
        <v/>
      </c>
      <c r="M206" s="5" t="str">
        <f t="shared" si="90"/>
        <v/>
      </c>
      <c r="N206" s="6" t="str">
        <f t="array" ref="N206">_xlfn.IFNA((INDEX('DMR 001C TIN &amp; TP'!$A$3:$M$10005,MATCH(('Reg 85'!$I$6:$Q$6&amp;'Reg 85'!$M$10&amp;'Reg 85'!$B206),('DMR 001C TIN &amp; TP'!$E$3:$E$10005&amp;'DMR 001C TIN &amp; TP'!$B$3:$B$10005&amp;'DMR 001C TIN &amp; TP'!$A$3:$A$10005),0),MATCH('Reg 85'!$N$11,'DMR 001C TIN &amp; TP'!$A$2:$M$2,0))),"")</f>
        <v/>
      </c>
      <c r="O206" s="6" t="str">
        <f t="array" ref="O206">_xlfn.IFNA((INDEX('DMR 001C TIN &amp; TP'!$A$3:$M$10005,MATCH(('Reg 85'!$I$6:$Q$6&amp;'Reg 85'!$M$10&amp;'Reg 85'!$B206),('DMR 001C TIN &amp; TP'!$E$3:$E$10005&amp;'DMR 001C TIN &amp; TP'!$B$3:$B$10005&amp;'DMR 001C TIN &amp; TP'!$A$3:$A$10005),0),MATCH('Reg 85'!$O$11,'DMR 001C TIN &amp; TP'!$A$2:$M$2,0))),"")</f>
        <v/>
      </c>
      <c r="P206" s="53" t="str">
        <f t="shared" si="91"/>
        <v/>
      </c>
      <c r="Q206" s="73" t="str">
        <f t="array" ref="Q206">IFERROR(((L206*$F206)+(P206*$G206))/($H206),"")</f>
        <v/>
      </c>
      <c r="R206" s="6" t="str">
        <f t="array" ref="R206">_xlfn.IFNA((INDEX('DMR 001C TIN &amp; TP'!$A$3:$M$10005,MATCH(('Reg 85'!$I$6:$Q$6&amp;'Reg 85'!R$10&amp;'Reg 85'!$B206),('DMR 001C TIN &amp; TP'!$E$3:$E$10005&amp;'DMR 001C TIN &amp; TP'!$B$3:$B$10005&amp;'DMR 001C TIN &amp; TP'!$A$3:$A$10005),0),MATCH('Reg 85'!$O$11,'DMR 001C TIN &amp; TP'!$A$2:$M$2,0))),"")</f>
        <v/>
      </c>
      <c r="S206" s="6" t="str">
        <f t="array" ref="S206">_xlfn.IFNA((INDEX('DMR 001C TIN &amp; TP'!$A$3:$M$10005,MATCH(('Reg 85'!$I$6:$Q$6&amp;'Reg 85'!S$10&amp;'Reg 85'!$B206),('DMR 001C TIN &amp; TP'!$E$3:$E$10005&amp;'DMR 001C TIN &amp; TP'!$B$3:$B$10005&amp;'DMR 001C TIN &amp; TP'!$A$3:$A$10005),0),MATCH('Reg 85'!$O$11,'DMR 001C TIN &amp; TP'!$A$2:$M$2,0))),"")</f>
        <v/>
      </c>
      <c r="T206" s="6" t="str">
        <f t="array" ref="T206">_xlfn.IFNA((INDEX('DMR 001C TIN &amp; TP'!$A$3:$M$10005,MATCH(('Reg 85'!$I$6:$Q$6&amp;'Reg 85'!T$10&amp;'Reg 85'!$B206),('DMR 001C TIN &amp; TP'!$E$3:$E$10005&amp;'DMR 001C TIN &amp; TP'!$B$3:$B$10005&amp;'DMR 001C TIN &amp; TP'!$A$3:$A$10005),0),MATCH('Reg 85'!$O$11,'DMR 001C TIN &amp; TP'!$A$2:$M$2,0))),"")</f>
        <v/>
      </c>
      <c r="U206" s="6" t="str">
        <f t="array" ref="U206">_xlfn.IFNA((INDEX('DMR 001C TIN &amp; TP'!$A$3:$M$10005,MATCH(('Reg 85'!$I$6:$Q$6&amp;'Reg 85'!U$10&amp;'Reg 85'!$B206),('DMR 001C TIN &amp; TP'!$E$3:$E$10005&amp;'DMR 001C TIN &amp; TP'!$B$3:$B$10005&amp;'DMR 001C TIN &amp; TP'!$A$3:$A$10005),0),MATCH('Reg 85'!$O$11,'DMR 001C TIN &amp; TP'!$A$2:$M$2,0))),"")</f>
        <v/>
      </c>
      <c r="V206" s="6" t="str">
        <f t="array" ref="V206">_xlfn.IFNA((INDEX('DMR 001C TIN &amp; TP'!$A$3:$M$10005,MATCH(('Reg 85'!$I$6:$Q$6&amp;'Reg 85'!V$10&amp;'Reg 85'!$B206),('DMR 001C TIN &amp; TP'!$E$3:$E$10005&amp;'DMR 001C TIN &amp; TP'!$B$3:$B$10005&amp;'DMR 001C TIN &amp; TP'!$A$3:$A$10005),0),MATCH('Reg 85'!$O$11,'DMR 001C TIN &amp; TP'!$A$2:$M$2,0))),"")</f>
        <v/>
      </c>
      <c r="W206" s="6" t="str">
        <f t="array" ref="W206">_xlfn.IFNA((INDEX('DMR 001C TIN &amp; TP'!$A$3:$M$10005,MATCH(('Reg 85'!$I$6:$Q$6&amp;'Reg 85'!W$10&amp;'Reg 85'!$B206),('DMR 001C TIN &amp; TP'!$E$3:$E$10005&amp;'DMR 001C TIN &amp; TP'!$B$3:$B$10005&amp;'DMR 001C TIN &amp; TP'!$A$3:$A$10005),0),MATCH('Reg 85'!$O$11,'DMR 001C TIN &amp; TP'!$A$2:$M$2,0))),"")</f>
        <v/>
      </c>
      <c r="X206" s="5" t="str">
        <f t="shared" si="92"/>
        <v/>
      </c>
      <c r="Y206" s="6" t="str">
        <f t="array" ref="Y206">_xlfn.IFNA((INDEX('DMR 001C TIN &amp; TP'!$A$3:$M$10005,MATCH(('Reg 85'!$X$6&amp;'Reg 85'!$X$10&amp;'Reg 85'!$B206),('DMR 001C TIN &amp; TP'!$E$3:$E$10005&amp;'DMR 001C TIN &amp; TP'!$B$3:$B$10005&amp;'DMR 001C TIN &amp; TP'!$A$3:$A$10005),0),MATCH('Reg 85'!$Y$11,'DMR 001C TIN &amp; TP'!$A$2:$M$2,0))),"")</f>
        <v/>
      </c>
      <c r="Z206" s="6" t="str">
        <f t="array" ref="Z206">_xlfn.IFNA((INDEX('DMR 001C TIN &amp; TP'!$A$3:$M$10005,MATCH(('Reg 85'!$X$6&amp;'Reg 85'!$X$10&amp;'Reg 85'!$B206),('DMR 001C TIN &amp; TP'!$E$3:$E$10005&amp;'DMR 001C TIN &amp; TP'!$B$3:$B$10005&amp;'DMR 001C TIN &amp; TP'!$A$3:$A$10005),0),MATCH('Reg 85'!$Z$11,'DMR 001C TIN &amp; TP'!$A$2:$M$2,0))),"")</f>
        <v/>
      </c>
      <c r="AA206" s="53" t="str">
        <f t="shared" si="93"/>
        <v/>
      </c>
      <c r="AB206" s="5" t="str">
        <f t="shared" si="94"/>
        <v/>
      </c>
      <c r="AC206" s="6" t="str">
        <f t="array" ref="AC206">_xlfn.IFNA((INDEX('DMR 001C TIN &amp; TP'!$A$3:$M$10005,MATCH(('Reg 85'!$X$6&amp;'Reg 85'!$AB$10&amp;'Reg 85'!$B206),('DMR 001C TIN &amp; TP'!$E$3:$E$10005&amp;'DMR 001C TIN &amp; TP'!$B$3:$B$10005&amp;'DMR 001C TIN &amp; TP'!$A$3:$A$10005),0),MATCH('Reg 85'!$AC$11,'DMR 001C TIN &amp; TP'!$A$2:$M$2,0))),"")</f>
        <v/>
      </c>
      <c r="AD206" s="6" t="str">
        <f t="array" ref="AD206">_xlfn.IFNA((INDEX('DMR 001C TIN &amp; TP'!$A$3:$M$10005,MATCH(('Reg 85'!$X$6&amp;'Reg 85'!$AB$10&amp;'Reg 85'!$B206),('DMR 001C TIN &amp; TP'!$E$3:$E$10005&amp;'DMR 001C TIN &amp; TP'!$B$3:$B$10005&amp;'DMR 001C TIN &amp; TP'!$A$3:$A$10005),0),MATCH('Reg 85'!$AD$11,'DMR 001C TIN &amp; TP'!$A$2:$M$2,0))),"")</f>
        <v/>
      </c>
      <c r="AE206" s="53" t="str">
        <f t="shared" si="95"/>
        <v/>
      </c>
      <c r="AF206" s="7" t="str">
        <f t="shared" si="96"/>
        <v/>
      </c>
      <c r="AG206" s="6" t="str">
        <f t="array" ref="AG206">_xlfn.IFNA((INDEX('DMR 001C TIN &amp; TP'!$A$3:$M$10005,MATCH(('Reg 85'!$X$6&amp;'Reg 85'!AG$10&amp;'Reg 85'!$B206),('DMR 001C TIN &amp; TP'!$E$3:$E$10005&amp;'DMR 001C TIN &amp; TP'!$B$3:$B$10005&amp;'DMR 001C TIN &amp; TP'!$A$3:$A$10005),0),MATCH('Reg 85'!$AG$11,'DMR 001C TIN &amp; TP'!$A$2:$M$2,0))),"")</f>
        <v/>
      </c>
      <c r="AH206" s="6" t="str">
        <f t="array" ref="AH206">_xlfn.IFNA((INDEX('DMR 001C TIN &amp; TP'!$A$3:$M$10005,MATCH(('Reg 85'!$X$6&amp;'Reg 85'!AH$10&amp;'Reg 85'!$B206),('DMR 001C TIN &amp; TP'!$E$3:$E$10005&amp;'DMR 001C TIN &amp; TP'!$B$3:$B$10005&amp;'DMR 001C TIN &amp; TP'!$A$3:$A$10005),0),MATCH('Reg 85'!$AG$11,'DMR 001C TIN &amp; TP'!$A$2:$M$2,0))),"")</f>
        <v/>
      </c>
      <c r="AI206" s="6" t="str">
        <f t="array" ref="AI206">_xlfn.IFNA((INDEX('DMR 001C TIN &amp; TP'!$A$3:$M$10005,MATCH(('Reg 85'!$X$6&amp;'Reg 85'!AI$10&amp;'Reg 85'!$B206),('DMR 001C TIN &amp; TP'!$E$3:$E$10005&amp;'DMR 001C TIN &amp; TP'!$B$3:$B$10005&amp;'DMR 001C TIN &amp; TP'!$A$3:$A$10005),0),MATCH('Reg 85'!$AG$11,'DMR 001C TIN &amp; TP'!$A$2:$M$2,0))),"")</f>
        <v/>
      </c>
      <c r="AJ206" s="6" t="str">
        <f t="array" ref="AJ206">_xlfn.IFNA((INDEX('DMR 001C TIN &amp; TP'!$A$3:$M$10005,MATCH(('Reg 85'!$X$6&amp;'Reg 85'!AJ$10&amp;'Reg 85'!$B206),('DMR 001C TIN &amp; TP'!$E$3:$E$10005&amp;'DMR 001C TIN &amp; TP'!$B$3:$B$10005&amp;'DMR 001C TIN &amp; TP'!$A$3:$A$10005),0),MATCH('Reg 85'!$AG$11,'DMR 001C TIN &amp; TP'!$A$2:$M$2,0))),"")</f>
        <v/>
      </c>
      <c r="AK206" s="6" t="str">
        <f t="array" ref="AK206">_xlfn.IFNA((INDEX('DMR 001C TIN &amp; TP'!$A$3:$M$10005,MATCH(('Reg 85'!$X$6&amp;'Reg 85'!AK$10&amp;'Reg 85'!$B206),('DMR 001C TIN &amp; TP'!$E$3:$E$10005&amp;'DMR 001C TIN &amp; TP'!$B$3:$B$10005&amp;'DMR 001C TIN &amp; TP'!$A$3:$A$10005),0),MATCH('Reg 85'!$AG$11,'DMR 001C TIN &amp; TP'!$A$2:$M$2,0))),"")</f>
        <v/>
      </c>
      <c r="AL206" s="6" t="str">
        <f t="array" ref="AL206">_xlfn.IFNA((INDEX('DMR 001C TIN &amp; TP'!$A$3:$M$10005,MATCH(('Reg 85'!$X$6&amp;'Reg 85'!AL$10&amp;'Reg 85'!$B206),('DMR 001C TIN &amp; TP'!$E$3:$E$10005&amp;'DMR 001C TIN &amp; TP'!$B$3:$B$10005&amp;'DMR 001C TIN &amp; TP'!$A$3:$A$10005),0),MATCH('Reg 85'!$AG$11,'DMR 001C TIN &amp; TP'!$A$2:$M$2,0))),"")</f>
        <v/>
      </c>
      <c r="AM206" s="76"/>
      <c r="AN206" s="6"/>
      <c r="AO206" s="54" t="str">
        <f t="shared" si="83"/>
        <v/>
      </c>
      <c r="AP206" s="77" t="str">
        <f t="shared" si="81"/>
        <v/>
      </c>
      <c r="AQ206" s="47"/>
      <c r="AR206" s="6" t="str">
        <f t="array" ref="AR206">_xlfn.IFNA((INDEX('DMR 001C TIN &amp; TP'!$A$3:$M$10005,MATCH(('Reg 85'!$AQ$6&amp;'Reg 85'!$AQ$10&amp;'Reg 85'!$B206),('DMR 001C TIN &amp; TP'!$E$3:$E$10005&amp;'DMR 001C TIN &amp; TP'!$B$3:$B$10005&amp;'DMR 001C TIN &amp; TP'!$A$3:$A$10005),0),MATCH('Reg 85'!$AR$11,'DMR 001C TIN &amp; TP'!$A$2:$M$2,0))),"")</f>
        <v>0.03</v>
      </c>
      <c r="AS206" s="6">
        <f t="array" ref="AS206">_xlfn.IFNA((INDEX('DMR 001C TIN &amp; TP'!$A$3:$M$10005,MATCH(('Reg 85'!$AQ$6&amp;'Reg 85'!$AQ$10&amp;'Reg 85'!$B206),('DMR 001C TIN &amp; TP'!$E$3:$E$10005&amp;'DMR 001C TIN &amp; TP'!$B$3:$B$10005&amp;'DMR 001C TIN &amp; TP'!$A$3:$A$10005),0),MATCH('Reg 85'!$AS$11,'DMR 001C TIN &amp; TP'!$A$2:$M$2,0))),"")</f>
        <v>0.44</v>
      </c>
      <c r="AT206" s="53">
        <f t="shared" si="97"/>
        <v>0.44</v>
      </c>
      <c r="AV206" s="6" t="str">
        <f t="array" ref="AV206">_xlfn.IFNA((INDEX('DMR 001C TIN &amp; TP'!$A$3:$M$10005,MATCH(('Reg 85'!$AQ$6&amp;'Reg 85'!$AU$10&amp;'Reg 85'!$B206),('DMR 001C TIN &amp; TP'!$E$3:$E$10005&amp;'DMR 001C TIN &amp; TP'!$B$3:$B$10005&amp;'DMR 001C TIN &amp; TP'!$A$3:$A$10005),0),MATCH('Reg 85'!$AV$11,'DMR 001C TIN &amp; TP'!$A$2:$M$2,0))),"")</f>
        <v>0.03</v>
      </c>
      <c r="AW206" s="6">
        <f t="array" ref="AW206">_xlfn.IFNA((INDEX('DMR 001C TIN &amp; TP'!$A$3:$M$10005,MATCH(('Reg 85'!$AQ$6&amp;'Reg 85'!$AU$10&amp;'Reg 85'!$B206),('DMR 001C TIN &amp; TP'!$E$3:$E$10005&amp;'DMR 001C TIN &amp; TP'!$B$3:$B$10005&amp;'DMR 001C TIN &amp; TP'!$A$3:$A$10005),0),MATCH('Reg 85'!$AW$11,'DMR 001C TIN &amp; TP'!$A$2:$M$2,0))),"")</f>
        <v>1.98</v>
      </c>
      <c r="AX206" s="53">
        <f t="shared" si="98"/>
        <v>1.98</v>
      </c>
      <c r="AY206" s="55">
        <f t="shared" si="99"/>
        <v>1.2102145130472222</v>
      </c>
      <c r="AZ206" s="77" t="str">
        <f t="shared" si="82"/>
        <v/>
      </c>
      <c r="BA206" s="6" t="str">
        <f t="array" ref="BA206">_xlfn.IFNA((INDEX('DMR 001C TIN &amp; TP'!$A$3:$M$10005,MATCH(('Reg 85'!$AQ$6&amp;'Reg 85'!BA$10&amp;'Reg 85'!$B206),('DMR 001C TIN &amp; TP'!$E$3:$E$10005&amp;'DMR 001C TIN &amp; TP'!$B$3:$B$10005&amp;'DMR 001C TIN &amp; TP'!$A$3:$A$10005),0),MATCH('Reg 85'!$AG$11,'DMR 001C TIN &amp; TP'!$A$2:$M$2,0))),"")</f>
        <v/>
      </c>
      <c r="BB206" s="6" t="str">
        <f t="array" ref="BB206">_xlfn.IFNA((INDEX('DMR 001C TIN &amp; TP'!$A$3:$M$10005,MATCH(('Reg 85'!$AQ$6&amp;'Reg 85'!BB$10&amp;'Reg 85'!$B206),('DMR 001C TIN &amp; TP'!$E$3:$E$10005&amp;'DMR 001C TIN &amp; TP'!$B$3:$B$10005&amp;'DMR 001C TIN &amp; TP'!$A$3:$A$10005),0),MATCH('Reg 85'!$AG$11,'DMR 001C TIN &amp; TP'!$A$2:$M$2,0))),"")</f>
        <v/>
      </c>
      <c r="BC206" s="6" t="str">
        <f t="array" ref="BC206">_xlfn.IFNA((INDEX('DMR 001C TIN &amp; TP'!$A$3:$M$10005,MATCH(('Reg 85'!$AQ$6&amp;'Reg 85'!BC$10&amp;'Reg 85'!$B206),('DMR 001C TIN &amp; TP'!$E$3:$E$10005&amp;'DMR 001C TIN &amp; TP'!$B$3:$B$10005&amp;'DMR 001C TIN &amp; TP'!$A$3:$A$10005),0),MATCH('Reg 85'!$AG$11,'DMR 001C TIN &amp; TP'!$A$2:$M$2,0))),"")</f>
        <v/>
      </c>
      <c r="BD206" s="6" t="str">
        <f t="array" ref="BD206">_xlfn.IFNA((INDEX('DMR 001C TIN &amp; TP'!$A$3:$M$10005,MATCH(('Reg 85'!$AQ$6&amp;'Reg 85'!BD$10&amp;'Reg 85'!$B206),('DMR 001C TIN &amp; TP'!$E$3:$E$10005&amp;'DMR 001C TIN &amp; TP'!$B$3:$B$10005&amp;'DMR 001C TIN &amp; TP'!$A$3:$A$10005),0),MATCH('Reg 85'!$AG$11,'DMR 001C TIN &amp; TP'!$A$2:$M$2,0))),"")</f>
        <v/>
      </c>
      <c r="BE206" s="6" t="str">
        <f t="array" ref="BE206">_xlfn.IFNA((INDEX('DMR 001C TIN &amp; TP'!$A$3:$M$10005,MATCH(('Reg 85'!$AQ$6&amp;'Reg 85'!BE$10&amp;'Reg 85'!$B206),('DMR 001C TIN &amp; TP'!$E$3:$E$10005&amp;'DMR 001C TIN &amp; TP'!$B$3:$B$10005&amp;'DMR 001C TIN &amp; TP'!$A$3:$A$10005),0),MATCH('Reg 85'!$AG$11,'DMR 001C TIN &amp; TP'!$A$2:$M$2,0))),"")</f>
        <v/>
      </c>
      <c r="BF206" s="6" t="str">
        <f t="array" ref="BF206">_xlfn.IFNA((INDEX('DMR 001C TIN &amp; TP'!$A$3:$M$10005,MATCH(('Reg 85'!$AQ$6&amp;'Reg 85'!BF$10&amp;'Reg 85'!$B206),('DMR 001C TIN &amp; TP'!$E$3:$E$10005&amp;'DMR 001C TIN &amp; TP'!$B$3:$B$10005&amp;'DMR 001C TIN &amp; TP'!$A$3:$A$10005),0),MATCH('Reg 85'!$AG$11,'DMR 001C TIN &amp; TP'!$A$2:$M$2,0))),"")</f>
        <v/>
      </c>
    </row>
    <row r="207" spans="1:58">
      <c r="A207" s="3" t="str">
        <f t="shared" si="84"/>
        <v>Fri</v>
      </c>
      <c r="B207" s="96">
        <f t="shared" si="100"/>
        <v>43539</v>
      </c>
      <c r="C207" s="96">
        <f t="shared" si="85"/>
        <v>43555</v>
      </c>
      <c r="D207" s="96">
        <f t="shared" si="86"/>
        <v>43525</v>
      </c>
      <c r="E207" s="95">
        <f t="shared" si="87"/>
        <v>31</v>
      </c>
      <c r="F207" s="7">
        <f t="array" ref="F207">_xlfn.IFNA(INDEX('DMR Flows-Effluent'!$A$3:$F$9999,MATCH(($F$10&amp;$B207),('DMR Flows-Effluent'!$B$3:$B$9999&amp;'DMR Flows-Effluent'!$A$3:$A$9999),0),MATCH($F$8,'DMR Flows-Effluent'!$A$2:$F$2,0)),"")</f>
        <v>68.023899999999998</v>
      </c>
      <c r="G207" s="7">
        <f t="array" ref="G207">_xlfn.IFNA(INDEX('DMR Flows-Effluent'!$A$3:$F$9999,MATCH(($G$10&amp;$B207),('DMR Flows-Effluent'!$B$3:$B$9999&amp;'DMR Flows-Effluent'!$A$3:$A$9999),0),MATCH($F$8,'DMR Flows-Effluent'!$A$2:$F$2,0)),"")</f>
        <v>64.1999</v>
      </c>
      <c r="H207" s="7">
        <f t="shared" si="88"/>
        <v>132.22379999999998</v>
      </c>
      <c r="I207" s="45" t="str">
        <f t="shared" si="89"/>
        <v/>
      </c>
      <c r="J207" s="6" t="str">
        <f t="array" ref="J207">_xlfn.IFNA((INDEX('DMR 001C TIN &amp; TP'!$A$3:$M$10005,MATCH(('Reg 85'!$I$6:$Q$6&amp;'Reg 85'!$I$10:$K$10&amp;'Reg 85'!$B207),('DMR 001C TIN &amp; TP'!$E$3:$E$10005&amp;'DMR 001C TIN &amp; TP'!$B$3:$B$10005&amp;'DMR 001C TIN &amp; TP'!$A$3:$A$10005),0),MATCH('Reg 85'!$J$11,'DMR 001C TIN &amp; TP'!$A$2:$M$2,0))),"")</f>
        <v/>
      </c>
      <c r="K207" s="6" t="str">
        <f t="array" ref="K207">_xlfn.IFNA((INDEX('DMR 001C TIN &amp; TP'!$A$3:$M$10005,MATCH(('Reg 85'!$I$6:$Q$6&amp;'Reg 85'!$I$10:$K$10&amp;'Reg 85'!$B207),('DMR 001C TIN &amp; TP'!$E$3:$E$10005&amp;'DMR 001C TIN &amp; TP'!$B$3:$B$10005&amp;'DMR 001C TIN &amp; TP'!$A$3:$A$10005),0),MATCH('Reg 85'!$K$11,'DMR 001C TIN &amp; TP'!$A$2:$M$2,0))),"")</f>
        <v/>
      </c>
      <c r="L207" s="53" t="str">
        <f t="shared" ref="L207:L270" si="101">IFERROR(IF(VALUE(K207)&lt;VALUE(J207),0,VALUE(K207)),"")</f>
        <v/>
      </c>
      <c r="M207" s="5" t="str">
        <f t="shared" si="90"/>
        <v/>
      </c>
      <c r="N207" s="6" t="str">
        <f t="array" ref="N207">_xlfn.IFNA((INDEX('DMR 001C TIN &amp; TP'!$A$3:$M$10005,MATCH(('Reg 85'!$I$6:$Q$6&amp;'Reg 85'!$M$10&amp;'Reg 85'!$B207),('DMR 001C TIN &amp; TP'!$E$3:$E$10005&amp;'DMR 001C TIN &amp; TP'!$B$3:$B$10005&amp;'DMR 001C TIN &amp; TP'!$A$3:$A$10005),0),MATCH('Reg 85'!$N$11,'DMR 001C TIN &amp; TP'!$A$2:$M$2,0))),"")</f>
        <v/>
      </c>
      <c r="O207" s="6" t="str">
        <f t="array" ref="O207">_xlfn.IFNA((INDEX('DMR 001C TIN &amp; TP'!$A$3:$M$10005,MATCH(('Reg 85'!$I$6:$Q$6&amp;'Reg 85'!$M$10&amp;'Reg 85'!$B207),('DMR 001C TIN &amp; TP'!$E$3:$E$10005&amp;'DMR 001C TIN &amp; TP'!$B$3:$B$10005&amp;'DMR 001C TIN &amp; TP'!$A$3:$A$10005),0),MATCH('Reg 85'!$O$11,'DMR 001C TIN &amp; TP'!$A$2:$M$2,0))),"")</f>
        <v/>
      </c>
      <c r="P207" s="53" t="str">
        <f t="shared" si="91"/>
        <v/>
      </c>
      <c r="Q207" s="73" t="str">
        <f t="array" ref="Q207">IFERROR(((L207*$F207)+(P207*$G207))/($H207),"")</f>
        <v/>
      </c>
      <c r="R207" s="6" t="str">
        <f t="array" ref="R207">_xlfn.IFNA((INDEX('DMR 001C TIN &amp; TP'!$A$3:$M$10005,MATCH(('Reg 85'!$I$6:$Q$6&amp;'Reg 85'!R$10&amp;'Reg 85'!$B207),('DMR 001C TIN &amp; TP'!$E$3:$E$10005&amp;'DMR 001C TIN &amp; TP'!$B$3:$B$10005&amp;'DMR 001C TIN &amp; TP'!$A$3:$A$10005),0),MATCH('Reg 85'!$O$11,'DMR 001C TIN &amp; TP'!$A$2:$M$2,0))),"")</f>
        <v/>
      </c>
      <c r="S207" s="6" t="str">
        <f t="array" ref="S207">_xlfn.IFNA((INDEX('DMR 001C TIN &amp; TP'!$A$3:$M$10005,MATCH(('Reg 85'!$I$6:$Q$6&amp;'Reg 85'!S$10&amp;'Reg 85'!$B207),('DMR 001C TIN &amp; TP'!$E$3:$E$10005&amp;'DMR 001C TIN &amp; TP'!$B$3:$B$10005&amp;'DMR 001C TIN &amp; TP'!$A$3:$A$10005),0),MATCH('Reg 85'!$O$11,'DMR 001C TIN &amp; TP'!$A$2:$M$2,0))),"")</f>
        <v/>
      </c>
      <c r="T207" s="6" t="str">
        <f t="array" ref="T207">_xlfn.IFNA((INDEX('DMR 001C TIN &amp; TP'!$A$3:$M$10005,MATCH(('Reg 85'!$I$6:$Q$6&amp;'Reg 85'!T$10&amp;'Reg 85'!$B207),('DMR 001C TIN &amp; TP'!$E$3:$E$10005&amp;'DMR 001C TIN &amp; TP'!$B$3:$B$10005&amp;'DMR 001C TIN &amp; TP'!$A$3:$A$10005),0),MATCH('Reg 85'!$O$11,'DMR 001C TIN &amp; TP'!$A$2:$M$2,0))),"")</f>
        <v/>
      </c>
      <c r="U207" s="6" t="str">
        <f t="array" ref="U207">_xlfn.IFNA((INDEX('DMR 001C TIN &amp; TP'!$A$3:$M$10005,MATCH(('Reg 85'!$I$6:$Q$6&amp;'Reg 85'!U$10&amp;'Reg 85'!$B207),('DMR 001C TIN &amp; TP'!$E$3:$E$10005&amp;'DMR 001C TIN &amp; TP'!$B$3:$B$10005&amp;'DMR 001C TIN &amp; TP'!$A$3:$A$10005),0),MATCH('Reg 85'!$O$11,'DMR 001C TIN &amp; TP'!$A$2:$M$2,0))),"")</f>
        <v/>
      </c>
      <c r="V207" s="6" t="str">
        <f t="array" ref="V207">_xlfn.IFNA((INDEX('DMR 001C TIN &amp; TP'!$A$3:$M$10005,MATCH(('Reg 85'!$I$6:$Q$6&amp;'Reg 85'!V$10&amp;'Reg 85'!$B207),('DMR 001C TIN &amp; TP'!$E$3:$E$10005&amp;'DMR 001C TIN &amp; TP'!$B$3:$B$10005&amp;'DMR 001C TIN &amp; TP'!$A$3:$A$10005),0),MATCH('Reg 85'!$O$11,'DMR 001C TIN &amp; TP'!$A$2:$M$2,0))),"")</f>
        <v/>
      </c>
      <c r="W207" s="6" t="str">
        <f t="array" ref="W207">_xlfn.IFNA((INDEX('DMR 001C TIN &amp; TP'!$A$3:$M$10005,MATCH(('Reg 85'!$I$6:$Q$6&amp;'Reg 85'!W$10&amp;'Reg 85'!$B207),('DMR 001C TIN &amp; TP'!$E$3:$E$10005&amp;'DMR 001C TIN &amp; TP'!$B$3:$B$10005&amp;'DMR 001C TIN &amp; TP'!$A$3:$A$10005),0),MATCH('Reg 85'!$O$11,'DMR 001C TIN &amp; TP'!$A$2:$M$2,0))),"")</f>
        <v/>
      </c>
      <c r="X207" s="5" t="str">
        <f t="shared" si="92"/>
        <v/>
      </c>
      <c r="Y207" s="6" t="str">
        <f t="array" ref="Y207">_xlfn.IFNA((INDEX('DMR 001C TIN &amp; TP'!$A$3:$M$10005,MATCH(('Reg 85'!$X$6&amp;'Reg 85'!$X$10&amp;'Reg 85'!$B207),('DMR 001C TIN &amp; TP'!$E$3:$E$10005&amp;'DMR 001C TIN &amp; TP'!$B$3:$B$10005&amp;'DMR 001C TIN &amp; TP'!$A$3:$A$10005),0),MATCH('Reg 85'!$Y$11,'DMR 001C TIN &amp; TP'!$A$2:$M$2,0))),"")</f>
        <v/>
      </c>
      <c r="Z207" s="6" t="str">
        <f t="array" ref="Z207">_xlfn.IFNA((INDEX('DMR 001C TIN &amp; TP'!$A$3:$M$10005,MATCH(('Reg 85'!$X$6&amp;'Reg 85'!$X$10&amp;'Reg 85'!$B207),('DMR 001C TIN &amp; TP'!$E$3:$E$10005&amp;'DMR 001C TIN &amp; TP'!$B$3:$B$10005&amp;'DMR 001C TIN &amp; TP'!$A$3:$A$10005),0),MATCH('Reg 85'!$Z$11,'DMR 001C TIN &amp; TP'!$A$2:$M$2,0))),"")</f>
        <v/>
      </c>
      <c r="AA207" s="53" t="str">
        <f t="shared" si="93"/>
        <v/>
      </c>
      <c r="AB207" s="5" t="str">
        <f t="shared" si="94"/>
        <v/>
      </c>
      <c r="AC207" s="6" t="str">
        <f t="array" ref="AC207">_xlfn.IFNA((INDEX('DMR 001C TIN &amp; TP'!$A$3:$M$10005,MATCH(('Reg 85'!$X$6&amp;'Reg 85'!$AB$10&amp;'Reg 85'!$B207),('DMR 001C TIN &amp; TP'!$E$3:$E$10005&amp;'DMR 001C TIN &amp; TP'!$B$3:$B$10005&amp;'DMR 001C TIN &amp; TP'!$A$3:$A$10005),0),MATCH('Reg 85'!$AC$11,'DMR 001C TIN &amp; TP'!$A$2:$M$2,0))),"")</f>
        <v/>
      </c>
      <c r="AD207" s="6" t="str">
        <f t="array" ref="AD207">_xlfn.IFNA((INDEX('DMR 001C TIN &amp; TP'!$A$3:$M$10005,MATCH(('Reg 85'!$X$6&amp;'Reg 85'!$AB$10&amp;'Reg 85'!$B207),('DMR 001C TIN &amp; TP'!$E$3:$E$10005&amp;'DMR 001C TIN &amp; TP'!$B$3:$B$10005&amp;'DMR 001C TIN &amp; TP'!$A$3:$A$10005),0),MATCH('Reg 85'!$AD$11,'DMR 001C TIN &amp; TP'!$A$2:$M$2,0))),"")</f>
        <v/>
      </c>
      <c r="AE207" s="53" t="str">
        <f t="shared" si="95"/>
        <v/>
      </c>
      <c r="AF207" s="7" t="str">
        <f t="shared" si="96"/>
        <v/>
      </c>
      <c r="AG207" s="6" t="str">
        <f t="array" ref="AG207">_xlfn.IFNA((INDEX('DMR 001C TIN &amp; TP'!$A$3:$M$10005,MATCH(('Reg 85'!$X$6&amp;'Reg 85'!AG$10&amp;'Reg 85'!$B207),('DMR 001C TIN &amp; TP'!$E$3:$E$10005&amp;'DMR 001C TIN &amp; TP'!$B$3:$B$10005&amp;'DMR 001C TIN &amp; TP'!$A$3:$A$10005),0),MATCH('Reg 85'!$AG$11,'DMR 001C TIN &amp; TP'!$A$2:$M$2,0))),"")</f>
        <v/>
      </c>
      <c r="AH207" s="6" t="str">
        <f t="array" ref="AH207">_xlfn.IFNA((INDEX('DMR 001C TIN &amp; TP'!$A$3:$M$10005,MATCH(('Reg 85'!$X$6&amp;'Reg 85'!AH$10&amp;'Reg 85'!$B207),('DMR 001C TIN &amp; TP'!$E$3:$E$10005&amp;'DMR 001C TIN &amp; TP'!$B$3:$B$10005&amp;'DMR 001C TIN &amp; TP'!$A$3:$A$10005),0),MATCH('Reg 85'!$AG$11,'DMR 001C TIN &amp; TP'!$A$2:$M$2,0))),"")</f>
        <v/>
      </c>
      <c r="AI207" s="6" t="str">
        <f t="array" ref="AI207">_xlfn.IFNA((INDEX('DMR 001C TIN &amp; TP'!$A$3:$M$10005,MATCH(('Reg 85'!$X$6&amp;'Reg 85'!AI$10&amp;'Reg 85'!$B207),('DMR 001C TIN &amp; TP'!$E$3:$E$10005&amp;'DMR 001C TIN &amp; TP'!$B$3:$B$10005&amp;'DMR 001C TIN &amp; TP'!$A$3:$A$10005),0),MATCH('Reg 85'!$AG$11,'DMR 001C TIN &amp; TP'!$A$2:$M$2,0))),"")</f>
        <v/>
      </c>
      <c r="AJ207" s="6" t="str">
        <f t="array" ref="AJ207">_xlfn.IFNA((INDEX('DMR 001C TIN &amp; TP'!$A$3:$M$10005,MATCH(('Reg 85'!$X$6&amp;'Reg 85'!AJ$10&amp;'Reg 85'!$B207),('DMR 001C TIN &amp; TP'!$E$3:$E$10005&amp;'DMR 001C TIN &amp; TP'!$B$3:$B$10005&amp;'DMR 001C TIN &amp; TP'!$A$3:$A$10005),0),MATCH('Reg 85'!$AG$11,'DMR 001C TIN &amp; TP'!$A$2:$M$2,0))),"")</f>
        <v/>
      </c>
      <c r="AK207" s="6" t="str">
        <f t="array" ref="AK207">_xlfn.IFNA((INDEX('DMR 001C TIN &amp; TP'!$A$3:$M$10005,MATCH(('Reg 85'!$X$6&amp;'Reg 85'!AK$10&amp;'Reg 85'!$B207),('DMR 001C TIN &amp; TP'!$E$3:$E$10005&amp;'DMR 001C TIN &amp; TP'!$B$3:$B$10005&amp;'DMR 001C TIN &amp; TP'!$A$3:$A$10005),0),MATCH('Reg 85'!$AG$11,'DMR 001C TIN &amp; TP'!$A$2:$M$2,0))),"")</f>
        <v/>
      </c>
      <c r="AL207" s="6" t="str">
        <f t="array" ref="AL207">_xlfn.IFNA((INDEX('DMR 001C TIN &amp; TP'!$A$3:$M$10005,MATCH(('Reg 85'!$X$6&amp;'Reg 85'!AL$10&amp;'Reg 85'!$B207),('DMR 001C TIN &amp; TP'!$E$3:$E$10005&amp;'DMR 001C TIN &amp; TP'!$B$3:$B$10005&amp;'DMR 001C TIN &amp; TP'!$A$3:$A$10005),0),MATCH('Reg 85'!$AG$11,'DMR 001C TIN &amp; TP'!$A$2:$M$2,0))),"")</f>
        <v/>
      </c>
      <c r="AM207" s="76"/>
      <c r="AN207" s="6"/>
      <c r="AO207" s="54" t="str">
        <f t="shared" si="83"/>
        <v/>
      </c>
      <c r="AP207" s="77" t="str">
        <f t="shared" si="81"/>
        <v/>
      </c>
      <c r="AQ207" s="47"/>
      <c r="AR207" s="6" t="str">
        <f t="array" ref="AR207">_xlfn.IFNA((INDEX('DMR 001C TIN &amp; TP'!$A$3:$M$10005,MATCH(('Reg 85'!$AQ$6&amp;'Reg 85'!$AQ$10&amp;'Reg 85'!$B207),('DMR 001C TIN &amp; TP'!$E$3:$E$10005&amp;'DMR 001C TIN &amp; TP'!$B$3:$B$10005&amp;'DMR 001C TIN &amp; TP'!$A$3:$A$10005),0),MATCH('Reg 85'!$AR$11,'DMR 001C TIN &amp; TP'!$A$2:$M$2,0))),"")</f>
        <v>0.03</v>
      </c>
      <c r="AS207" s="6">
        <f t="array" ref="AS207">_xlfn.IFNA((INDEX('DMR 001C TIN &amp; TP'!$A$3:$M$10005,MATCH(('Reg 85'!$AQ$6&amp;'Reg 85'!$AQ$10&amp;'Reg 85'!$B207),('DMR 001C TIN &amp; TP'!$E$3:$E$10005&amp;'DMR 001C TIN &amp; TP'!$B$3:$B$10005&amp;'DMR 001C TIN &amp; TP'!$A$3:$A$10005),0),MATCH('Reg 85'!$AS$11,'DMR 001C TIN &amp; TP'!$A$2:$M$2,0))),"")</f>
        <v>0.43</v>
      </c>
      <c r="AT207" s="53">
        <f t="shared" si="97"/>
        <v>0.43</v>
      </c>
      <c r="AV207" s="6" t="str">
        <f t="array" ref="AV207">_xlfn.IFNA((INDEX('DMR 001C TIN &amp; TP'!$A$3:$M$10005,MATCH(('Reg 85'!$AQ$6&amp;'Reg 85'!$AU$10&amp;'Reg 85'!$B207),('DMR 001C TIN &amp; TP'!$E$3:$E$10005&amp;'DMR 001C TIN &amp; TP'!$B$3:$B$10005&amp;'DMR 001C TIN &amp; TP'!$A$3:$A$10005),0),MATCH('Reg 85'!$AV$11,'DMR 001C TIN &amp; TP'!$A$2:$M$2,0))),"")</f>
        <v>0.03</v>
      </c>
      <c r="AW207" s="6">
        <f t="array" ref="AW207">_xlfn.IFNA((INDEX('DMR 001C TIN &amp; TP'!$A$3:$M$10005,MATCH(('Reg 85'!$AQ$6&amp;'Reg 85'!$AU$10&amp;'Reg 85'!$B207),('DMR 001C TIN &amp; TP'!$E$3:$E$10005&amp;'DMR 001C TIN &amp; TP'!$B$3:$B$10005&amp;'DMR 001C TIN &amp; TP'!$A$3:$A$10005),0),MATCH('Reg 85'!$AW$11,'DMR 001C TIN &amp; TP'!$A$2:$M$2,0))),"")</f>
        <v>2.5299999999999998</v>
      </c>
      <c r="AX207" s="53">
        <f t="shared" si="98"/>
        <v>2.5299999999999998</v>
      </c>
      <c r="AY207" s="55">
        <f t="shared" si="99"/>
        <v>1.4496333035353697</v>
      </c>
      <c r="AZ207" s="77" t="str">
        <f t="shared" si="82"/>
        <v/>
      </c>
      <c r="BA207" s="6" t="str">
        <f t="array" ref="BA207">_xlfn.IFNA((INDEX('DMR 001C TIN &amp; TP'!$A$3:$M$10005,MATCH(('Reg 85'!$AQ$6&amp;'Reg 85'!BA$10&amp;'Reg 85'!$B207),('DMR 001C TIN &amp; TP'!$E$3:$E$10005&amp;'DMR 001C TIN &amp; TP'!$B$3:$B$10005&amp;'DMR 001C TIN &amp; TP'!$A$3:$A$10005),0),MATCH('Reg 85'!$AG$11,'DMR 001C TIN &amp; TP'!$A$2:$M$2,0))),"")</f>
        <v/>
      </c>
      <c r="BB207" s="6" t="str">
        <f t="array" ref="BB207">_xlfn.IFNA((INDEX('DMR 001C TIN &amp; TP'!$A$3:$M$10005,MATCH(('Reg 85'!$AQ$6&amp;'Reg 85'!BB$10&amp;'Reg 85'!$B207),('DMR 001C TIN &amp; TP'!$E$3:$E$10005&amp;'DMR 001C TIN &amp; TP'!$B$3:$B$10005&amp;'DMR 001C TIN &amp; TP'!$A$3:$A$10005),0),MATCH('Reg 85'!$AG$11,'DMR 001C TIN &amp; TP'!$A$2:$M$2,0))),"")</f>
        <v/>
      </c>
      <c r="BC207" s="6" t="str">
        <f t="array" ref="BC207">_xlfn.IFNA((INDEX('DMR 001C TIN &amp; TP'!$A$3:$M$10005,MATCH(('Reg 85'!$AQ$6&amp;'Reg 85'!BC$10&amp;'Reg 85'!$B207),('DMR 001C TIN &amp; TP'!$E$3:$E$10005&amp;'DMR 001C TIN &amp; TP'!$B$3:$B$10005&amp;'DMR 001C TIN &amp; TP'!$A$3:$A$10005),0),MATCH('Reg 85'!$AG$11,'DMR 001C TIN &amp; TP'!$A$2:$M$2,0))),"")</f>
        <v/>
      </c>
      <c r="BD207" s="6" t="str">
        <f t="array" ref="BD207">_xlfn.IFNA((INDEX('DMR 001C TIN &amp; TP'!$A$3:$M$10005,MATCH(('Reg 85'!$AQ$6&amp;'Reg 85'!BD$10&amp;'Reg 85'!$B207),('DMR 001C TIN &amp; TP'!$E$3:$E$10005&amp;'DMR 001C TIN &amp; TP'!$B$3:$B$10005&amp;'DMR 001C TIN &amp; TP'!$A$3:$A$10005),0),MATCH('Reg 85'!$AG$11,'DMR 001C TIN &amp; TP'!$A$2:$M$2,0))),"")</f>
        <v/>
      </c>
      <c r="BE207" s="6" t="str">
        <f t="array" ref="BE207">_xlfn.IFNA((INDEX('DMR 001C TIN &amp; TP'!$A$3:$M$10005,MATCH(('Reg 85'!$AQ$6&amp;'Reg 85'!BE$10&amp;'Reg 85'!$B207),('DMR 001C TIN &amp; TP'!$E$3:$E$10005&amp;'DMR 001C TIN &amp; TP'!$B$3:$B$10005&amp;'DMR 001C TIN &amp; TP'!$A$3:$A$10005),0),MATCH('Reg 85'!$AG$11,'DMR 001C TIN &amp; TP'!$A$2:$M$2,0))),"")</f>
        <v/>
      </c>
      <c r="BF207" s="6" t="str">
        <f t="array" ref="BF207">_xlfn.IFNA((INDEX('DMR 001C TIN &amp; TP'!$A$3:$M$10005,MATCH(('Reg 85'!$AQ$6&amp;'Reg 85'!BF$10&amp;'Reg 85'!$B207),('DMR 001C TIN &amp; TP'!$E$3:$E$10005&amp;'DMR 001C TIN &amp; TP'!$B$3:$B$10005&amp;'DMR 001C TIN &amp; TP'!$A$3:$A$10005),0),MATCH('Reg 85'!$AG$11,'DMR 001C TIN &amp; TP'!$A$2:$M$2,0))),"")</f>
        <v/>
      </c>
    </row>
    <row r="208" spans="1:58">
      <c r="A208" s="3" t="str">
        <f t="shared" si="84"/>
        <v>Sat</v>
      </c>
      <c r="B208" s="96">
        <f t="shared" si="100"/>
        <v>43540</v>
      </c>
      <c r="C208" s="96">
        <f t="shared" si="85"/>
        <v>43555</v>
      </c>
      <c r="D208" s="96">
        <f t="shared" si="86"/>
        <v>43525</v>
      </c>
      <c r="E208" s="95">
        <f t="shared" si="87"/>
        <v>31</v>
      </c>
      <c r="F208" s="7">
        <f t="array" ref="F208">_xlfn.IFNA(INDEX('DMR Flows-Effluent'!$A$3:$F$9999,MATCH(($F$10&amp;$B208),('DMR Flows-Effluent'!$B$3:$B$9999&amp;'DMR Flows-Effluent'!$A$3:$A$9999),0),MATCH($F$8,'DMR Flows-Effluent'!$A$2:$F$2,0)),"")</f>
        <v>65.4054</v>
      </c>
      <c r="G208" s="7">
        <f t="array" ref="G208">_xlfn.IFNA(INDEX('DMR Flows-Effluent'!$A$3:$F$9999,MATCH(($G$10&amp;$B208),('DMR Flows-Effluent'!$B$3:$B$9999&amp;'DMR Flows-Effluent'!$A$3:$A$9999),0),MATCH($F$8,'DMR Flows-Effluent'!$A$2:$F$2,0)),"")</f>
        <v>64.096400000000003</v>
      </c>
      <c r="H208" s="7">
        <f t="shared" si="88"/>
        <v>129.5018</v>
      </c>
      <c r="I208" s="45" t="str">
        <f t="shared" si="89"/>
        <v/>
      </c>
      <c r="J208" s="6" t="str">
        <f t="array" ref="J208">_xlfn.IFNA((INDEX('DMR 001C TIN &amp; TP'!$A$3:$M$10005,MATCH(('Reg 85'!$I$6:$Q$6&amp;'Reg 85'!$I$10:$K$10&amp;'Reg 85'!$B208),('DMR 001C TIN &amp; TP'!$E$3:$E$10005&amp;'DMR 001C TIN &amp; TP'!$B$3:$B$10005&amp;'DMR 001C TIN &amp; TP'!$A$3:$A$10005),0),MATCH('Reg 85'!$J$11,'DMR 001C TIN &amp; TP'!$A$2:$M$2,0))),"")</f>
        <v/>
      </c>
      <c r="K208" s="6" t="str">
        <f t="array" ref="K208">_xlfn.IFNA((INDEX('DMR 001C TIN &amp; TP'!$A$3:$M$10005,MATCH(('Reg 85'!$I$6:$Q$6&amp;'Reg 85'!$I$10:$K$10&amp;'Reg 85'!$B208),('DMR 001C TIN &amp; TP'!$E$3:$E$10005&amp;'DMR 001C TIN &amp; TP'!$B$3:$B$10005&amp;'DMR 001C TIN &amp; TP'!$A$3:$A$10005),0),MATCH('Reg 85'!$K$11,'DMR 001C TIN &amp; TP'!$A$2:$M$2,0))),"")</f>
        <v/>
      </c>
      <c r="L208" s="53" t="str">
        <f t="shared" si="101"/>
        <v/>
      </c>
      <c r="M208" s="5" t="str">
        <f t="shared" si="90"/>
        <v/>
      </c>
      <c r="N208" s="6" t="str">
        <f t="array" ref="N208">_xlfn.IFNA((INDEX('DMR 001C TIN &amp; TP'!$A$3:$M$10005,MATCH(('Reg 85'!$I$6:$Q$6&amp;'Reg 85'!$M$10&amp;'Reg 85'!$B208),('DMR 001C TIN &amp; TP'!$E$3:$E$10005&amp;'DMR 001C TIN &amp; TP'!$B$3:$B$10005&amp;'DMR 001C TIN &amp; TP'!$A$3:$A$10005),0),MATCH('Reg 85'!$N$11,'DMR 001C TIN &amp; TP'!$A$2:$M$2,0))),"")</f>
        <v/>
      </c>
      <c r="O208" s="6" t="str">
        <f t="array" ref="O208">_xlfn.IFNA((INDEX('DMR 001C TIN &amp; TP'!$A$3:$M$10005,MATCH(('Reg 85'!$I$6:$Q$6&amp;'Reg 85'!$M$10&amp;'Reg 85'!$B208),('DMR 001C TIN &amp; TP'!$E$3:$E$10005&amp;'DMR 001C TIN &amp; TP'!$B$3:$B$10005&amp;'DMR 001C TIN &amp; TP'!$A$3:$A$10005),0),MATCH('Reg 85'!$O$11,'DMR 001C TIN &amp; TP'!$A$2:$M$2,0))),"")</f>
        <v/>
      </c>
      <c r="P208" s="53" t="str">
        <f t="shared" si="91"/>
        <v/>
      </c>
      <c r="Q208" s="73" t="str">
        <f t="array" ref="Q208">IFERROR(((L208*$F208)+(P208*$G208))/($H208),"")</f>
        <v/>
      </c>
      <c r="R208" s="6" t="str">
        <f t="array" ref="R208">_xlfn.IFNA((INDEX('DMR 001C TIN &amp; TP'!$A$3:$M$10005,MATCH(('Reg 85'!$I$6:$Q$6&amp;'Reg 85'!R$10&amp;'Reg 85'!$B208),('DMR 001C TIN &amp; TP'!$E$3:$E$10005&amp;'DMR 001C TIN &amp; TP'!$B$3:$B$10005&amp;'DMR 001C TIN &amp; TP'!$A$3:$A$10005),0),MATCH('Reg 85'!$O$11,'DMR 001C TIN &amp; TP'!$A$2:$M$2,0))),"")</f>
        <v/>
      </c>
      <c r="S208" s="6" t="str">
        <f t="array" ref="S208">_xlfn.IFNA((INDEX('DMR 001C TIN &amp; TP'!$A$3:$M$10005,MATCH(('Reg 85'!$I$6:$Q$6&amp;'Reg 85'!S$10&amp;'Reg 85'!$B208),('DMR 001C TIN &amp; TP'!$E$3:$E$10005&amp;'DMR 001C TIN &amp; TP'!$B$3:$B$10005&amp;'DMR 001C TIN &amp; TP'!$A$3:$A$10005),0),MATCH('Reg 85'!$O$11,'DMR 001C TIN &amp; TP'!$A$2:$M$2,0))),"")</f>
        <v/>
      </c>
      <c r="T208" s="6" t="str">
        <f t="array" ref="T208">_xlfn.IFNA((INDEX('DMR 001C TIN &amp; TP'!$A$3:$M$10005,MATCH(('Reg 85'!$I$6:$Q$6&amp;'Reg 85'!T$10&amp;'Reg 85'!$B208),('DMR 001C TIN &amp; TP'!$E$3:$E$10005&amp;'DMR 001C TIN &amp; TP'!$B$3:$B$10005&amp;'DMR 001C TIN &amp; TP'!$A$3:$A$10005),0),MATCH('Reg 85'!$O$11,'DMR 001C TIN &amp; TP'!$A$2:$M$2,0))),"")</f>
        <v/>
      </c>
      <c r="U208" s="6" t="str">
        <f t="array" ref="U208">_xlfn.IFNA((INDEX('DMR 001C TIN &amp; TP'!$A$3:$M$10005,MATCH(('Reg 85'!$I$6:$Q$6&amp;'Reg 85'!U$10&amp;'Reg 85'!$B208),('DMR 001C TIN &amp; TP'!$E$3:$E$10005&amp;'DMR 001C TIN &amp; TP'!$B$3:$B$10005&amp;'DMR 001C TIN &amp; TP'!$A$3:$A$10005),0),MATCH('Reg 85'!$O$11,'DMR 001C TIN &amp; TP'!$A$2:$M$2,0))),"")</f>
        <v/>
      </c>
      <c r="V208" s="6" t="str">
        <f t="array" ref="V208">_xlfn.IFNA((INDEX('DMR 001C TIN &amp; TP'!$A$3:$M$10005,MATCH(('Reg 85'!$I$6:$Q$6&amp;'Reg 85'!V$10&amp;'Reg 85'!$B208),('DMR 001C TIN &amp; TP'!$E$3:$E$10005&amp;'DMR 001C TIN &amp; TP'!$B$3:$B$10005&amp;'DMR 001C TIN &amp; TP'!$A$3:$A$10005),0),MATCH('Reg 85'!$O$11,'DMR 001C TIN &amp; TP'!$A$2:$M$2,0))),"")</f>
        <v/>
      </c>
      <c r="W208" s="6" t="str">
        <f t="array" ref="W208">_xlfn.IFNA((INDEX('DMR 001C TIN &amp; TP'!$A$3:$M$10005,MATCH(('Reg 85'!$I$6:$Q$6&amp;'Reg 85'!W$10&amp;'Reg 85'!$B208),('DMR 001C TIN &amp; TP'!$E$3:$E$10005&amp;'DMR 001C TIN &amp; TP'!$B$3:$B$10005&amp;'DMR 001C TIN &amp; TP'!$A$3:$A$10005),0),MATCH('Reg 85'!$O$11,'DMR 001C TIN &amp; TP'!$A$2:$M$2,0))),"")</f>
        <v/>
      </c>
      <c r="X208" s="5" t="str">
        <f t="shared" si="92"/>
        <v/>
      </c>
      <c r="Y208" s="6" t="str">
        <f t="array" ref="Y208">_xlfn.IFNA((INDEX('DMR 001C TIN &amp; TP'!$A$3:$M$10005,MATCH(('Reg 85'!$X$6&amp;'Reg 85'!$X$10&amp;'Reg 85'!$B208),('DMR 001C TIN &amp; TP'!$E$3:$E$10005&amp;'DMR 001C TIN &amp; TP'!$B$3:$B$10005&amp;'DMR 001C TIN &amp; TP'!$A$3:$A$10005),0),MATCH('Reg 85'!$Y$11,'DMR 001C TIN &amp; TP'!$A$2:$M$2,0))),"")</f>
        <v/>
      </c>
      <c r="Z208" s="6" t="str">
        <f t="array" ref="Z208">_xlfn.IFNA((INDEX('DMR 001C TIN &amp; TP'!$A$3:$M$10005,MATCH(('Reg 85'!$X$6&amp;'Reg 85'!$X$10&amp;'Reg 85'!$B208),('DMR 001C TIN &amp; TP'!$E$3:$E$10005&amp;'DMR 001C TIN &amp; TP'!$B$3:$B$10005&amp;'DMR 001C TIN &amp; TP'!$A$3:$A$10005),0),MATCH('Reg 85'!$Z$11,'DMR 001C TIN &amp; TP'!$A$2:$M$2,0))),"")</f>
        <v/>
      </c>
      <c r="AA208" s="53" t="str">
        <f t="shared" si="93"/>
        <v/>
      </c>
      <c r="AB208" s="5" t="str">
        <f t="shared" si="94"/>
        <v/>
      </c>
      <c r="AC208" s="6" t="str">
        <f t="array" ref="AC208">_xlfn.IFNA((INDEX('DMR 001C TIN &amp; TP'!$A$3:$M$10005,MATCH(('Reg 85'!$X$6&amp;'Reg 85'!$AB$10&amp;'Reg 85'!$B208),('DMR 001C TIN &amp; TP'!$E$3:$E$10005&amp;'DMR 001C TIN &amp; TP'!$B$3:$B$10005&amp;'DMR 001C TIN &amp; TP'!$A$3:$A$10005),0),MATCH('Reg 85'!$AC$11,'DMR 001C TIN &amp; TP'!$A$2:$M$2,0))),"")</f>
        <v/>
      </c>
      <c r="AD208" s="6" t="str">
        <f t="array" ref="AD208">_xlfn.IFNA((INDEX('DMR 001C TIN &amp; TP'!$A$3:$M$10005,MATCH(('Reg 85'!$X$6&amp;'Reg 85'!$AB$10&amp;'Reg 85'!$B208),('DMR 001C TIN &amp; TP'!$E$3:$E$10005&amp;'DMR 001C TIN &amp; TP'!$B$3:$B$10005&amp;'DMR 001C TIN &amp; TP'!$A$3:$A$10005),0),MATCH('Reg 85'!$AD$11,'DMR 001C TIN &amp; TP'!$A$2:$M$2,0))),"")</f>
        <v/>
      </c>
      <c r="AE208" s="53" t="str">
        <f t="shared" si="95"/>
        <v/>
      </c>
      <c r="AF208" s="7" t="str">
        <f t="shared" si="96"/>
        <v/>
      </c>
      <c r="AG208" s="6" t="str">
        <f t="array" ref="AG208">_xlfn.IFNA((INDEX('DMR 001C TIN &amp; TP'!$A$3:$M$10005,MATCH(('Reg 85'!$X$6&amp;'Reg 85'!AG$10&amp;'Reg 85'!$B208),('DMR 001C TIN &amp; TP'!$E$3:$E$10005&amp;'DMR 001C TIN &amp; TP'!$B$3:$B$10005&amp;'DMR 001C TIN &amp; TP'!$A$3:$A$10005),0),MATCH('Reg 85'!$AG$11,'DMR 001C TIN &amp; TP'!$A$2:$M$2,0))),"")</f>
        <v/>
      </c>
      <c r="AH208" s="6" t="str">
        <f t="array" ref="AH208">_xlfn.IFNA((INDEX('DMR 001C TIN &amp; TP'!$A$3:$M$10005,MATCH(('Reg 85'!$X$6&amp;'Reg 85'!AH$10&amp;'Reg 85'!$B208),('DMR 001C TIN &amp; TP'!$E$3:$E$10005&amp;'DMR 001C TIN &amp; TP'!$B$3:$B$10005&amp;'DMR 001C TIN &amp; TP'!$A$3:$A$10005),0),MATCH('Reg 85'!$AG$11,'DMR 001C TIN &amp; TP'!$A$2:$M$2,0))),"")</f>
        <v/>
      </c>
      <c r="AI208" s="6" t="str">
        <f t="array" ref="AI208">_xlfn.IFNA((INDEX('DMR 001C TIN &amp; TP'!$A$3:$M$10005,MATCH(('Reg 85'!$X$6&amp;'Reg 85'!AI$10&amp;'Reg 85'!$B208),('DMR 001C TIN &amp; TP'!$E$3:$E$10005&amp;'DMR 001C TIN &amp; TP'!$B$3:$B$10005&amp;'DMR 001C TIN &amp; TP'!$A$3:$A$10005),0),MATCH('Reg 85'!$AG$11,'DMR 001C TIN &amp; TP'!$A$2:$M$2,0))),"")</f>
        <v/>
      </c>
      <c r="AJ208" s="6" t="str">
        <f t="array" ref="AJ208">_xlfn.IFNA((INDEX('DMR 001C TIN &amp; TP'!$A$3:$M$10005,MATCH(('Reg 85'!$X$6&amp;'Reg 85'!AJ$10&amp;'Reg 85'!$B208),('DMR 001C TIN &amp; TP'!$E$3:$E$10005&amp;'DMR 001C TIN &amp; TP'!$B$3:$B$10005&amp;'DMR 001C TIN &amp; TP'!$A$3:$A$10005),0),MATCH('Reg 85'!$AG$11,'DMR 001C TIN &amp; TP'!$A$2:$M$2,0))),"")</f>
        <v/>
      </c>
      <c r="AK208" s="6" t="str">
        <f t="array" ref="AK208">_xlfn.IFNA((INDEX('DMR 001C TIN &amp; TP'!$A$3:$M$10005,MATCH(('Reg 85'!$X$6&amp;'Reg 85'!AK$10&amp;'Reg 85'!$B208),('DMR 001C TIN &amp; TP'!$E$3:$E$10005&amp;'DMR 001C TIN &amp; TP'!$B$3:$B$10005&amp;'DMR 001C TIN &amp; TP'!$A$3:$A$10005),0),MATCH('Reg 85'!$AG$11,'DMR 001C TIN &amp; TP'!$A$2:$M$2,0))),"")</f>
        <v/>
      </c>
      <c r="AL208" s="6" t="str">
        <f t="array" ref="AL208">_xlfn.IFNA((INDEX('DMR 001C TIN &amp; TP'!$A$3:$M$10005,MATCH(('Reg 85'!$X$6&amp;'Reg 85'!AL$10&amp;'Reg 85'!$B208),('DMR 001C TIN &amp; TP'!$E$3:$E$10005&amp;'DMR 001C TIN &amp; TP'!$B$3:$B$10005&amp;'DMR 001C TIN &amp; TP'!$A$3:$A$10005),0),MATCH('Reg 85'!$AG$11,'DMR 001C TIN &amp; TP'!$A$2:$M$2,0))),"")</f>
        <v/>
      </c>
      <c r="AM208" s="76"/>
      <c r="AN208" s="6"/>
      <c r="AO208" s="54" t="str">
        <f t="shared" si="83"/>
        <v/>
      </c>
      <c r="AP208" s="77" t="str">
        <f t="shared" si="81"/>
        <v/>
      </c>
      <c r="AQ208" s="47"/>
      <c r="AR208" s="6" t="str">
        <f t="array" ref="AR208">_xlfn.IFNA((INDEX('DMR 001C TIN &amp; TP'!$A$3:$M$10005,MATCH(('Reg 85'!$AQ$6&amp;'Reg 85'!$AQ$10&amp;'Reg 85'!$B208),('DMR 001C TIN &amp; TP'!$E$3:$E$10005&amp;'DMR 001C TIN &amp; TP'!$B$3:$B$10005&amp;'DMR 001C TIN &amp; TP'!$A$3:$A$10005),0),MATCH('Reg 85'!$AR$11,'DMR 001C TIN &amp; TP'!$A$2:$M$2,0))),"")</f>
        <v>0.03</v>
      </c>
      <c r="AS208" s="6">
        <f t="array" ref="AS208">_xlfn.IFNA((INDEX('DMR 001C TIN &amp; TP'!$A$3:$M$10005,MATCH(('Reg 85'!$AQ$6&amp;'Reg 85'!$AQ$10&amp;'Reg 85'!$B208),('DMR 001C TIN &amp; TP'!$E$3:$E$10005&amp;'DMR 001C TIN &amp; TP'!$B$3:$B$10005&amp;'DMR 001C TIN &amp; TP'!$A$3:$A$10005),0),MATCH('Reg 85'!$AS$11,'DMR 001C TIN &amp; TP'!$A$2:$M$2,0))),"")</f>
        <v>0.43</v>
      </c>
      <c r="AT208" s="53">
        <f t="shared" si="97"/>
        <v>0.43</v>
      </c>
      <c r="AV208" s="6" t="str">
        <f t="array" ref="AV208">_xlfn.IFNA((INDEX('DMR 001C TIN &amp; TP'!$A$3:$M$10005,MATCH(('Reg 85'!$AQ$6&amp;'Reg 85'!$AU$10&amp;'Reg 85'!$B208),('DMR 001C TIN &amp; TP'!$E$3:$E$10005&amp;'DMR 001C TIN &amp; TP'!$B$3:$B$10005&amp;'DMR 001C TIN &amp; TP'!$A$3:$A$10005),0),MATCH('Reg 85'!$AV$11,'DMR 001C TIN &amp; TP'!$A$2:$M$2,0))),"")</f>
        <v>0.03</v>
      </c>
      <c r="AW208" s="6">
        <f t="array" ref="AW208">_xlfn.IFNA((INDEX('DMR 001C TIN &amp; TP'!$A$3:$M$10005,MATCH(('Reg 85'!$AQ$6&amp;'Reg 85'!$AU$10&amp;'Reg 85'!$B208),('DMR 001C TIN &amp; TP'!$E$3:$E$10005&amp;'DMR 001C TIN &amp; TP'!$B$3:$B$10005&amp;'DMR 001C TIN &amp; TP'!$A$3:$A$10005),0),MATCH('Reg 85'!$AW$11,'DMR 001C TIN &amp; TP'!$A$2:$M$2,0))),"")</f>
        <v>4.21</v>
      </c>
      <c r="AX208" s="53">
        <f t="shared" si="98"/>
        <v>4.21</v>
      </c>
      <c r="AY208" s="55">
        <f t="shared" si="99"/>
        <v>2.3008959412147165</v>
      </c>
      <c r="AZ208" s="77" t="str">
        <f t="shared" si="82"/>
        <v/>
      </c>
      <c r="BA208" s="6" t="str">
        <f t="array" ref="BA208">_xlfn.IFNA((INDEX('DMR 001C TIN &amp; TP'!$A$3:$M$10005,MATCH(('Reg 85'!$AQ$6&amp;'Reg 85'!BA$10&amp;'Reg 85'!$B208),('DMR 001C TIN &amp; TP'!$E$3:$E$10005&amp;'DMR 001C TIN &amp; TP'!$B$3:$B$10005&amp;'DMR 001C TIN &amp; TP'!$A$3:$A$10005),0),MATCH('Reg 85'!$AG$11,'DMR 001C TIN &amp; TP'!$A$2:$M$2,0))),"")</f>
        <v/>
      </c>
      <c r="BB208" s="6" t="str">
        <f t="array" ref="BB208">_xlfn.IFNA((INDEX('DMR 001C TIN &amp; TP'!$A$3:$M$10005,MATCH(('Reg 85'!$AQ$6&amp;'Reg 85'!BB$10&amp;'Reg 85'!$B208),('DMR 001C TIN &amp; TP'!$E$3:$E$10005&amp;'DMR 001C TIN &amp; TP'!$B$3:$B$10005&amp;'DMR 001C TIN &amp; TP'!$A$3:$A$10005),0),MATCH('Reg 85'!$AG$11,'DMR 001C TIN &amp; TP'!$A$2:$M$2,0))),"")</f>
        <v/>
      </c>
      <c r="BC208" s="6" t="str">
        <f t="array" ref="BC208">_xlfn.IFNA((INDEX('DMR 001C TIN &amp; TP'!$A$3:$M$10005,MATCH(('Reg 85'!$AQ$6&amp;'Reg 85'!BC$10&amp;'Reg 85'!$B208),('DMR 001C TIN &amp; TP'!$E$3:$E$10005&amp;'DMR 001C TIN &amp; TP'!$B$3:$B$10005&amp;'DMR 001C TIN &amp; TP'!$A$3:$A$10005),0),MATCH('Reg 85'!$AG$11,'DMR 001C TIN &amp; TP'!$A$2:$M$2,0))),"")</f>
        <v/>
      </c>
      <c r="BD208" s="6" t="str">
        <f t="array" ref="BD208">_xlfn.IFNA((INDEX('DMR 001C TIN &amp; TP'!$A$3:$M$10005,MATCH(('Reg 85'!$AQ$6&amp;'Reg 85'!BD$10&amp;'Reg 85'!$B208),('DMR 001C TIN &amp; TP'!$E$3:$E$10005&amp;'DMR 001C TIN &amp; TP'!$B$3:$B$10005&amp;'DMR 001C TIN &amp; TP'!$A$3:$A$10005),0),MATCH('Reg 85'!$AG$11,'DMR 001C TIN &amp; TP'!$A$2:$M$2,0))),"")</f>
        <v/>
      </c>
      <c r="BE208" s="6" t="str">
        <f t="array" ref="BE208">_xlfn.IFNA((INDEX('DMR 001C TIN &amp; TP'!$A$3:$M$10005,MATCH(('Reg 85'!$AQ$6&amp;'Reg 85'!BE$10&amp;'Reg 85'!$B208),('DMR 001C TIN &amp; TP'!$E$3:$E$10005&amp;'DMR 001C TIN &amp; TP'!$B$3:$B$10005&amp;'DMR 001C TIN &amp; TP'!$A$3:$A$10005),0),MATCH('Reg 85'!$AG$11,'DMR 001C TIN &amp; TP'!$A$2:$M$2,0))),"")</f>
        <v/>
      </c>
      <c r="BF208" s="6" t="str">
        <f t="array" ref="BF208">_xlfn.IFNA((INDEX('DMR 001C TIN &amp; TP'!$A$3:$M$10005,MATCH(('Reg 85'!$AQ$6&amp;'Reg 85'!BF$10&amp;'Reg 85'!$B208),('DMR 001C TIN &amp; TP'!$E$3:$E$10005&amp;'DMR 001C TIN &amp; TP'!$B$3:$B$10005&amp;'DMR 001C TIN &amp; TP'!$A$3:$A$10005),0),MATCH('Reg 85'!$AG$11,'DMR 001C TIN &amp; TP'!$A$2:$M$2,0))),"")</f>
        <v/>
      </c>
    </row>
    <row r="209" spans="1:58">
      <c r="A209" s="3" t="str">
        <f t="shared" si="84"/>
        <v>Sun</v>
      </c>
      <c r="B209" s="96">
        <f t="shared" si="100"/>
        <v>43541</v>
      </c>
      <c r="C209" s="96">
        <f t="shared" si="85"/>
        <v>43555</v>
      </c>
      <c r="D209" s="96">
        <f t="shared" si="86"/>
        <v>43525</v>
      </c>
      <c r="E209" s="95">
        <f t="shared" si="87"/>
        <v>31</v>
      </c>
      <c r="F209" s="7">
        <f t="array" ref="F209">_xlfn.IFNA(INDEX('DMR Flows-Effluent'!$A$3:$F$9999,MATCH(($F$10&amp;$B209),('DMR Flows-Effluent'!$B$3:$B$9999&amp;'DMR Flows-Effluent'!$A$3:$A$9999),0),MATCH($F$8,'DMR Flows-Effluent'!$A$2:$F$2,0)),"")</f>
        <v>64.790999999999997</v>
      </c>
      <c r="G209" s="7">
        <f t="array" ref="G209">_xlfn.IFNA(INDEX('DMR Flows-Effluent'!$A$3:$F$9999,MATCH(($G$10&amp;$B209),('DMR Flows-Effluent'!$B$3:$B$9999&amp;'DMR Flows-Effluent'!$A$3:$A$9999),0),MATCH($F$8,'DMR Flows-Effluent'!$A$2:$F$2,0)),"")</f>
        <v>70.017600000000002</v>
      </c>
      <c r="H209" s="7">
        <f t="shared" si="88"/>
        <v>134.80860000000001</v>
      </c>
      <c r="I209" s="45" t="str">
        <f t="shared" si="89"/>
        <v/>
      </c>
      <c r="J209" s="6" t="str">
        <f t="array" ref="J209">_xlfn.IFNA((INDEX('DMR 001C TIN &amp; TP'!$A$3:$M$10005,MATCH(('Reg 85'!$I$6:$Q$6&amp;'Reg 85'!$I$10:$K$10&amp;'Reg 85'!$B209),('DMR 001C TIN &amp; TP'!$E$3:$E$10005&amp;'DMR 001C TIN &amp; TP'!$B$3:$B$10005&amp;'DMR 001C TIN &amp; TP'!$A$3:$A$10005),0),MATCH('Reg 85'!$J$11,'DMR 001C TIN &amp; TP'!$A$2:$M$2,0))),"")</f>
        <v>0.15</v>
      </c>
      <c r="K209" s="6">
        <f t="array" ref="K209">_xlfn.IFNA((INDEX('DMR 001C TIN &amp; TP'!$A$3:$M$10005,MATCH(('Reg 85'!$I$6:$Q$6&amp;'Reg 85'!$I$10:$K$10&amp;'Reg 85'!$B209),('DMR 001C TIN &amp; TP'!$E$3:$E$10005&amp;'DMR 001C TIN &amp; TP'!$B$3:$B$10005&amp;'DMR 001C TIN &amp; TP'!$A$3:$A$10005),0),MATCH('Reg 85'!$K$11,'DMR 001C TIN &amp; TP'!$A$2:$M$2,0))),"")</f>
        <v>1</v>
      </c>
      <c r="L209" s="53">
        <f t="shared" si="101"/>
        <v>1</v>
      </c>
      <c r="M209" s="5" t="str">
        <f t="shared" si="90"/>
        <v/>
      </c>
      <c r="N209" s="6" t="str">
        <f t="array" ref="N209">_xlfn.IFNA((INDEX('DMR 001C TIN &amp; TP'!$A$3:$M$10005,MATCH(('Reg 85'!$I$6:$Q$6&amp;'Reg 85'!$M$10&amp;'Reg 85'!$B209),('DMR 001C TIN &amp; TP'!$E$3:$E$10005&amp;'DMR 001C TIN &amp; TP'!$B$3:$B$10005&amp;'DMR 001C TIN &amp; TP'!$A$3:$A$10005),0),MATCH('Reg 85'!$N$11,'DMR 001C TIN &amp; TP'!$A$2:$M$2,0))),"")</f>
        <v>0.15</v>
      </c>
      <c r="O209" s="6">
        <f t="array" ref="O209">_xlfn.IFNA((INDEX('DMR 001C TIN &amp; TP'!$A$3:$M$10005,MATCH(('Reg 85'!$I$6:$Q$6&amp;'Reg 85'!$M$10&amp;'Reg 85'!$B209),('DMR 001C TIN &amp; TP'!$E$3:$E$10005&amp;'DMR 001C TIN &amp; TP'!$B$3:$B$10005&amp;'DMR 001C TIN &amp; TP'!$A$3:$A$10005),0),MATCH('Reg 85'!$O$11,'DMR 001C TIN &amp; TP'!$A$2:$M$2,0))),"")</f>
        <v>1.54</v>
      </c>
      <c r="P209" s="53">
        <f t="shared" si="91"/>
        <v>1.54</v>
      </c>
      <c r="Q209" s="73">
        <f t="array" ref="Q209">IFERROR(((L209*$F209)+(P209*$G209))/($H209),"")</f>
        <v>1.280468041356412</v>
      </c>
      <c r="R209" s="6" t="str">
        <f t="array" ref="R209">_xlfn.IFNA((INDEX('DMR 001C TIN &amp; TP'!$A$3:$M$10005,MATCH(('Reg 85'!$I$6:$Q$6&amp;'Reg 85'!R$10&amp;'Reg 85'!$B209),('DMR 001C TIN &amp; TP'!$E$3:$E$10005&amp;'DMR 001C TIN &amp; TP'!$B$3:$B$10005&amp;'DMR 001C TIN &amp; TP'!$A$3:$A$10005),0),MATCH('Reg 85'!$O$11,'DMR 001C TIN &amp; TP'!$A$2:$M$2,0))),"")</f>
        <v/>
      </c>
      <c r="S209" s="6" t="str">
        <f t="array" ref="S209">_xlfn.IFNA((INDEX('DMR 001C TIN &amp; TP'!$A$3:$M$10005,MATCH(('Reg 85'!$I$6:$Q$6&amp;'Reg 85'!S$10&amp;'Reg 85'!$B209),('DMR 001C TIN &amp; TP'!$E$3:$E$10005&amp;'DMR 001C TIN &amp; TP'!$B$3:$B$10005&amp;'DMR 001C TIN &amp; TP'!$A$3:$A$10005),0),MATCH('Reg 85'!$O$11,'DMR 001C TIN &amp; TP'!$A$2:$M$2,0))),"")</f>
        <v/>
      </c>
      <c r="T209" s="6" t="str">
        <f t="array" ref="T209">_xlfn.IFNA((INDEX('DMR 001C TIN &amp; TP'!$A$3:$M$10005,MATCH(('Reg 85'!$I$6:$Q$6&amp;'Reg 85'!T$10&amp;'Reg 85'!$B209),('DMR 001C TIN &amp; TP'!$E$3:$E$10005&amp;'DMR 001C TIN &amp; TP'!$B$3:$B$10005&amp;'DMR 001C TIN &amp; TP'!$A$3:$A$10005),0),MATCH('Reg 85'!$O$11,'DMR 001C TIN &amp; TP'!$A$2:$M$2,0))),"")</f>
        <v/>
      </c>
      <c r="U209" s="6" t="str">
        <f t="array" ref="U209">_xlfn.IFNA((INDEX('DMR 001C TIN &amp; TP'!$A$3:$M$10005,MATCH(('Reg 85'!$I$6:$Q$6&amp;'Reg 85'!U$10&amp;'Reg 85'!$B209),('DMR 001C TIN &amp; TP'!$E$3:$E$10005&amp;'DMR 001C TIN &amp; TP'!$B$3:$B$10005&amp;'DMR 001C TIN &amp; TP'!$A$3:$A$10005),0),MATCH('Reg 85'!$O$11,'DMR 001C TIN &amp; TP'!$A$2:$M$2,0))),"")</f>
        <v/>
      </c>
      <c r="V209" s="6" t="str">
        <f t="array" ref="V209">_xlfn.IFNA((INDEX('DMR 001C TIN &amp; TP'!$A$3:$M$10005,MATCH(('Reg 85'!$I$6:$Q$6&amp;'Reg 85'!V$10&amp;'Reg 85'!$B209),('DMR 001C TIN &amp; TP'!$E$3:$E$10005&amp;'DMR 001C TIN &amp; TP'!$B$3:$B$10005&amp;'DMR 001C TIN &amp; TP'!$A$3:$A$10005),0),MATCH('Reg 85'!$O$11,'DMR 001C TIN &amp; TP'!$A$2:$M$2,0))),"")</f>
        <v/>
      </c>
      <c r="W209" s="6" t="str">
        <f t="array" ref="W209">_xlfn.IFNA((INDEX('DMR 001C TIN &amp; TP'!$A$3:$M$10005,MATCH(('Reg 85'!$I$6:$Q$6&amp;'Reg 85'!W$10&amp;'Reg 85'!$B209),('DMR 001C TIN &amp; TP'!$E$3:$E$10005&amp;'DMR 001C TIN &amp; TP'!$B$3:$B$10005&amp;'DMR 001C TIN &amp; TP'!$A$3:$A$10005),0),MATCH('Reg 85'!$O$11,'DMR 001C TIN &amp; TP'!$A$2:$M$2,0))),"")</f>
        <v/>
      </c>
      <c r="X209" s="5" t="str">
        <f t="shared" si="92"/>
        <v/>
      </c>
      <c r="Y209" s="6" t="str">
        <f t="array" ref="Y209">_xlfn.IFNA((INDEX('DMR 001C TIN &amp; TP'!$A$3:$M$10005,MATCH(('Reg 85'!$X$6&amp;'Reg 85'!$X$10&amp;'Reg 85'!$B209),('DMR 001C TIN &amp; TP'!$E$3:$E$10005&amp;'DMR 001C TIN &amp; TP'!$B$3:$B$10005&amp;'DMR 001C TIN &amp; TP'!$A$3:$A$10005),0),MATCH('Reg 85'!$Y$11,'DMR 001C TIN &amp; TP'!$A$2:$M$2,0))),"")</f>
        <v>0.06</v>
      </c>
      <c r="Z209" s="6">
        <f t="array" ref="Z209">_xlfn.IFNA((INDEX('DMR 001C TIN &amp; TP'!$A$3:$M$10005,MATCH(('Reg 85'!$X$6&amp;'Reg 85'!$X$10&amp;'Reg 85'!$B209),('DMR 001C TIN &amp; TP'!$E$3:$E$10005&amp;'DMR 001C TIN &amp; TP'!$B$3:$B$10005&amp;'DMR 001C TIN &amp; TP'!$A$3:$A$10005),0),MATCH('Reg 85'!$Z$11,'DMR 001C TIN &amp; TP'!$A$2:$M$2,0))),"")</f>
        <v>4.84</v>
      </c>
      <c r="AA209" s="53">
        <f t="shared" si="93"/>
        <v>4.84</v>
      </c>
      <c r="AB209" s="5" t="str">
        <f t="shared" si="94"/>
        <v/>
      </c>
      <c r="AC209" s="6" t="str">
        <f t="array" ref="AC209">_xlfn.IFNA((INDEX('DMR 001C TIN &amp; TP'!$A$3:$M$10005,MATCH(('Reg 85'!$X$6&amp;'Reg 85'!$AB$10&amp;'Reg 85'!$B209),('DMR 001C TIN &amp; TP'!$E$3:$E$10005&amp;'DMR 001C TIN &amp; TP'!$B$3:$B$10005&amp;'DMR 001C TIN &amp; TP'!$A$3:$A$10005),0),MATCH('Reg 85'!$AC$11,'DMR 001C TIN &amp; TP'!$A$2:$M$2,0))),"")</f>
        <v>0.06</v>
      </c>
      <c r="AD209" s="6">
        <f t="array" ref="AD209">_xlfn.IFNA((INDEX('DMR 001C TIN &amp; TP'!$A$3:$M$10005,MATCH(('Reg 85'!$X$6&amp;'Reg 85'!$AB$10&amp;'Reg 85'!$B209),('DMR 001C TIN &amp; TP'!$E$3:$E$10005&amp;'DMR 001C TIN &amp; TP'!$B$3:$B$10005&amp;'DMR 001C TIN &amp; TP'!$A$3:$A$10005),0),MATCH('Reg 85'!$AD$11,'DMR 001C TIN &amp; TP'!$A$2:$M$2,0))),"")</f>
        <v>6.14</v>
      </c>
      <c r="AE209" s="53">
        <f t="shared" si="95"/>
        <v>6.14</v>
      </c>
      <c r="AF209" s="7">
        <f t="shared" si="96"/>
        <v>5.5152008403024722</v>
      </c>
      <c r="AG209" s="6" t="str">
        <f t="array" ref="AG209">_xlfn.IFNA((INDEX('DMR 001C TIN &amp; TP'!$A$3:$M$10005,MATCH(('Reg 85'!$X$6&amp;'Reg 85'!AG$10&amp;'Reg 85'!$B209),('DMR 001C TIN &amp; TP'!$E$3:$E$10005&amp;'DMR 001C TIN &amp; TP'!$B$3:$B$10005&amp;'DMR 001C TIN &amp; TP'!$A$3:$A$10005),0),MATCH('Reg 85'!$AG$11,'DMR 001C TIN &amp; TP'!$A$2:$M$2,0))),"")</f>
        <v/>
      </c>
      <c r="AH209" s="6" t="str">
        <f t="array" ref="AH209">_xlfn.IFNA((INDEX('DMR 001C TIN &amp; TP'!$A$3:$M$10005,MATCH(('Reg 85'!$X$6&amp;'Reg 85'!AH$10&amp;'Reg 85'!$B209),('DMR 001C TIN &amp; TP'!$E$3:$E$10005&amp;'DMR 001C TIN &amp; TP'!$B$3:$B$10005&amp;'DMR 001C TIN &amp; TP'!$A$3:$A$10005),0),MATCH('Reg 85'!$AG$11,'DMR 001C TIN &amp; TP'!$A$2:$M$2,0))),"")</f>
        <v/>
      </c>
      <c r="AI209" s="6" t="str">
        <f t="array" ref="AI209">_xlfn.IFNA((INDEX('DMR 001C TIN &amp; TP'!$A$3:$M$10005,MATCH(('Reg 85'!$X$6&amp;'Reg 85'!AI$10&amp;'Reg 85'!$B209),('DMR 001C TIN &amp; TP'!$E$3:$E$10005&amp;'DMR 001C TIN &amp; TP'!$B$3:$B$10005&amp;'DMR 001C TIN &amp; TP'!$A$3:$A$10005),0),MATCH('Reg 85'!$AG$11,'DMR 001C TIN &amp; TP'!$A$2:$M$2,0))),"")</f>
        <v/>
      </c>
      <c r="AJ209" s="6" t="str">
        <f t="array" ref="AJ209">_xlfn.IFNA((INDEX('DMR 001C TIN &amp; TP'!$A$3:$M$10005,MATCH(('Reg 85'!$X$6&amp;'Reg 85'!AJ$10&amp;'Reg 85'!$B209),('DMR 001C TIN &amp; TP'!$E$3:$E$10005&amp;'DMR 001C TIN &amp; TP'!$B$3:$B$10005&amp;'DMR 001C TIN &amp; TP'!$A$3:$A$10005),0),MATCH('Reg 85'!$AG$11,'DMR 001C TIN &amp; TP'!$A$2:$M$2,0))),"")</f>
        <v/>
      </c>
      <c r="AK209" s="6" t="str">
        <f t="array" ref="AK209">_xlfn.IFNA((INDEX('DMR 001C TIN &amp; TP'!$A$3:$M$10005,MATCH(('Reg 85'!$X$6&amp;'Reg 85'!AK$10&amp;'Reg 85'!$B209),('DMR 001C TIN &amp; TP'!$E$3:$E$10005&amp;'DMR 001C TIN &amp; TP'!$B$3:$B$10005&amp;'DMR 001C TIN &amp; TP'!$A$3:$A$10005),0),MATCH('Reg 85'!$AG$11,'DMR 001C TIN &amp; TP'!$A$2:$M$2,0))),"")</f>
        <v/>
      </c>
      <c r="AL209" s="6" t="str">
        <f t="array" ref="AL209">_xlfn.IFNA((INDEX('DMR 001C TIN &amp; TP'!$A$3:$M$10005,MATCH(('Reg 85'!$X$6&amp;'Reg 85'!AL$10&amp;'Reg 85'!$B209),('DMR 001C TIN &amp; TP'!$E$3:$E$10005&amp;'DMR 001C TIN &amp; TP'!$B$3:$B$10005&amp;'DMR 001C TIN &amp; TP'!$A$3:$A$10005),0),MATCH('Reg 85'!$AG$11,'DMR 001C TIN &amp; TP'!$A$2:$M$2,0))),"")</f>
        <v/>
      </c>
      <c r="AM209" s="76"/>
      <c r="AN209" s="6"/>
      <c r="AO209" s="54">
        <f t="shared" si="83"/>
        <v>6.7956688816588837</v>
      </c>
      <c r="AP209" s="77" t="str">
        <f t="shared" si="81"/>
        <v/>
      </c>
      <c r="AQ209" s="47"/>
      <c r="AR209" s="6" t="str">
        <f t="array" ref="AR209">_xlfn.IFNA((INDEX('DMR 001C TIN &amp; TP'!$A$3:$M$10005,MATCH(('Reg 85'!$AQ$6&amp;'Reg 85'!$AQ$10&amp;'Reg 85'!$B209),('DMR 001C TIN &amp; TP'!$E$3:$E$10005&amp;'DMR 001C TIN &amp; TP'!$B$3:$B$10005&amp;'DMR 001C TIN &amp; TP'!$A$3:$A$10005),0),MATCH('Reg 85'!$AR$11,'DMR 001C TIN &amp; TP'!$A$2:$M$2,0))),"")</f>
        <v/>
      </c>
      <c r="AS209" s="6" t="str">
        <f t="array" ref="AS209">_xlfn.IFNA((INDEX('DMR 001C TIN &amp; TP'!$A$3:$M$10005,MATCH(('Reg 85'!$AQ$6&amp;'Reg 85'!$AQ$10&amp;'Reg 85'!$B209),('DMR 001C TIN &amp; TP'!$E$3:$E$10005&amp;'DMR 001C TIN &amp; TP'!$B$3:$B$10005&amp;'DMR 001C TIN &amp; TP'!$A$3:$A$10005),0),MATCH('Reg 85'!$AS$11,'DMR 001C TIN &amp; TP'!$A$2:$M$2,0))),"")</f>
        <v/>
      </c>
      <c r="AT209" s="53" t="str">
        <f t="shared" si="97"/>
        <v/>
      </c>
      <c r="AV209" s="6" t="str">
        <f t="array" ref="AV209">_xlfn.IFNA((INDEX('DMR 001C TIN &amp; TP'!$A$3:$M$10005,MATCH(('Reg 85'!$AQ$6&amp;'Reg 85'!$AU$10&amp;'Reg 85'!$B209),('DMR 001C TIN &amp; TP'!$E$3:$E$10005&amp;'DMR 001C TIN &amp; TP'!$B$3:$B$10005&amp;'DMR 001C TIN &amp; TP'!$A$3:$A$10005),0),MATCH('Reg 85'!$AV$11,'DMR 001C TIN &amp; TP'!$A$2:$M$2,0))),"")</f>
        <v/>
      </c>
      <c r="AW209" s="6" t="str">
        <f t="array" ref="AW209">_xlfn.IFNA((INDEX('DMR 001C TIN &amp; TP'!$A$3:$M$10005,MATCH(('Reg 85'!$AQ$6&amp;'Reg 85'!$AU$10&amp;'Reg 85'!$B209),('DMR 001C TIN &amp; TP'!$E$3:$E$10005&amp;'DMR 001C TIN &amp; TP'!$B$3:$B$10005&amp;'DMR 001C TIN &amp; TP'!$A$3:$A$10005),0),MATCH('Reg 85'!$AW$11,'DMR 001C TIN &amp; TP'!$A$2:$M$2,0))),"")</f>
        <v/>
      </c>
      <c r="AX209" s="53" t="str">
        <f t="shared" si="98"/>
        <v/>
      </c>
      <c r="AY209" s="55" t="str">
        <f t="shared" si="99"/>
        <v/>
      </c>
      <c r="AZ209" s="77" t="str">
        <f t="shared" si="82"/>
        <v/>
      </c>
      <c r="BA209" s="6" t="str">
        <f t="array" ref="BA209">_xlfn.IFNA((INDEX('DMR 001C TIN &amp; TP'!$A$3:$M$10005,MATCH(('Reg 85'!$AQ$6&amp;'Reg 85'!BA$10&amp;'Reg 85'!$B209),('DMR 001C TIN &amp; TP'!$E$3:$E$10005&amp;'DMR 001C TIN &amp; TP'!$B$3:$B$10005&amp;'DMR 001C TIN &amp; TP'!$A$3:$A$10005),0),MATCH('Reg 85'!$AG$11,'DMR 001C TIN &amp; TP'!$A$2:$M$2,0))),"")</f>
        <v/>
      </c>
      <c r="BB209" s="6" t="str">
        <f t="array" ref="BB209">_xlfn.IFNA((INDEX('DMR 001C TIN &amp; TP'!$A$3:$M$10005,MATCH(('Reg 85'!$AQ$6&amp;'Reg 85'!BB$10&amp;'Reg 85'!$B209),('DMR 001C TIN &amp; TP'!$E$3:$E$10005&amp;'DMR 001C TIN &amp; TP'!$B$3:$B$10005&amp;'DMR 001C TIN &amp; TP'!$A$3:$A$10005),0),MATCH('Reg 85'!$AG$11,'DMR 001C TIN &amp; TP'!$A$2:$M$2,0))),"")</f>
        <v/>
      </c>
      <c r="BC209" s="6" t="str">
        <f t="array" ref="BC209">_xlfn.IFNA((INDEX('DMR 001C TIN &amp; TP'!$A$3:$M$10005,MATCH(('Reg 85'!$AQ$6&amp;'Reg 85'!BC$10&amp;'Reg 85'!$B209),('DMR 001C TIN &amp; TP'!$E$3:$E$10005&amp;'DMR 001C TIN &amp; TP'!$B$3:$B$10005&amp;'DMR 001C TIN &amp; TP'!$A$3:$A$10005),0),MATCH('Reg 85'!$AG$11,'DMR 001C TIN &amp; TP'!$A$2:$M$2,0))),"")</f>
        <v/>
      </c>
      <c r="BD209" s="6" t="str">
        <f t="array" ref="BD209">_xlfn.IFNA((INDEX('DMR 001C TIN &amp; TP'!$A$3:$M$10005,MATCH(('Reg 85'!$AQ$6&amp;'Reg 85'!BD$10&amp;'Reg 85'!$B209),('DMR 001C TIN &amp; TP'!$E$3:$E$10005&amp;'DMR 001C TIN &amp; TP'!$B$3:$B$10005&amp;'DMR 001C TIN &amp; TP'!$A$3:$A$10005),0),MATCH('Reg 85'!$AG$11,'DMR 001C TIN &amp; TP'!$A$2:$M$2,0))),"")</f>
        <v/>
      </c>
      <c r="BE209" s="6" t="str">
        <f t="array" ref="BE209">_xlfn.IFNA((INDEX('DMR 001C TIN &amp; TP'!$A$3:$M$10005,MATCH(('Reg 85'!$AQ$6&amp;'Reg 85'!BE$10&amp;'Reg 85'!$B209),('DMR 001C TIN &amp; TP'!$E$3:$E$10005&amp;'DMR 001C TIN &amp; TP'!$B$3:$B$10005&amp;'DMR 001C TIN &amp; TP'!$A$3:$A$10005),0),MATCH('Reg 85'!$AG$11,'DMR 001C TIN &amp; TP'!$A$2:$M$2,0))),"")</f>
        <v/>
      </c>
      <c r="BF209" s="6" t="str">
        <f t="array" ref="BF209">_xlfn.IFNA((INDEX('DMR 001C TIN &amp; TP'!$A$3:$M$10005,MATCH(('Reg 85'!$AQ$6&amp;'Reg 85'!BF$10&amp;'Reg 85'!$B209),('DMR 001C TIN &amp; TP'!$E$3:$E$10005&amp;'DMR 001C TIN &amp; TP'!$B$3:$B$10005&amp;'DMR 001C TIN &amp; TP'!$A$3:$A$10005),0),MATCH('Reg 85'!$AG$11,'DMR 001C TIN &amp; TP'!$A$2:$M$2,0))),"")</f>
        <v/>
      </c>
    </row>
    <row r="210" spans="1:58">
      <c r="A210" s="3" t="str">
        <f t="shared" si="84"/>
        <v>Mon</v>
      </c>
      <c r="B210" s="96">
        <f t="shared" si="100"/>
        <v>43542</v>
      </c>
      <c r="C210" s="96">
        <f t="shared" si="85"/>
        <v>43555</v>
      </c>
      <c r="D210" s="96">
        <f t="shared" si="86"/>
        <v>43525</v>
      </c>
      <c r="E210" s="95">
        <f t="shared" si="87"/>
        <v>31</v>
      </c>
      <c r="F210" s="7">
        <f t="array" ref="F210">_xlfn.IFNA(INDEX('DMR Flows-Effluent'!$A$3:$F$9999,MATCH(($F$10&amp;$B210),('DMR Flows-Effluent'!$B$3:$B$9999&amp;'DMR Flows-Effluent'!$A$3:$A$9999),0),MATCH($F$8,'DMR Flows-Effluent'!$A$2:$F$2,0)),"")</f>
        <v>67.3797</v>
      </c>
      <c r="G210" s="7">
        <f t="array" ref="G210">_xlfn.IFNA(INDEX('DMR Flows-Effluent'!$A$3:$F$9999,MATCH(($G$10&amp;$B210),('DMR Flows-Effluent'!$B$3:$B$9999&amp;'DMR Flows-Effluent'!$A$3:$A$9999),0),MATCH($F$8,'DMR Flows-Effluent'!$A$2:$F$2,0)),"")</f>
        <v>65.155500000000004</v>
      </c>
      <c r="H210" s="7">
        <f t="shared" si="88"/>
        <v>132.5352</v>
      </c>
      <c r="I210" s="45" t="str">
        <f t="shared" si="89"/>
        <v/>
      </c>
      <c r="J210" s="6" t="str">
        <f t="array" ref="J210">_xlfn.IFNA((INDEX('DMR 001C TIN &amp; TP'!$A$3:$M$10005,MATCH(('Reg 85'!$I$6:$Q$6&amp;'Reg 85'!$I$10:$K$10&amp;'Reg 85'!$B210),('DMR 001C TIN &amp; TP'!$E$3:$E$10005&amp;'DMR 001C TIN &amp; TP'!$B$3:$B$10005&amp;'DMR 001C TIN &amp; TP'!$A$3:$A$10005),0),MATCH('Reg 85'!$J$11,'DMR 001C TIN &amp; TP'!$A$2:$M$2,0))),"")</f>
        <v>0.15</v>
      </c>
      <c r="K210" s="6">
        <f t="array" ref="K210">_xlfn.IFNA((INDEX('DMR 001C TIN &amp; TP'!$A$3:$M$10005,MATCH(('Reg 85'!$I$6:$Q$6&amp;'Reg 85'!$I$10:$K$10&amp;'Reg 85'!$B210),('DMR 001C TIN &amp; TP'!$E$3:$E$10005&amp;'DMR 001C TIN &amp; TP'!$B$3:$B$10005&amp;'DMR 001C TIN &amp; TP'!$A$3:$A$10005),0),MATCH('Reg 85'!$K$11,'DMR 001C TIN &amp; TP'!$A$2:$M$2,0))),"")</f>
        <v>0.67</v>
      </c>
      <c r="L210" s="53">
        <f t="shared" si="101"/>
        <v>0.67</v>
      </c>
      <c r="M210" s="5" t="str">
        <f t="shared" si="90"/>
        <v/>
      </c>
      <c r="N210" s="6" t="str">
        <f t="array" ref="N210">_xlfn.IFNA((INDEX('DMR 001C TIN &amp; TP'!$A$3:$M$10005,MATCH(('Reg 85'!$I$6:$Q$6&amp;'Reg 85'!$M$10&amp;'Reg 85'!$B210),('DMR 001C TIN &amp; TP'!$E$3:$E$10005&amp;'DMR 001C TIN &amp; TP'!$B$3:$B$10005&amp;'DMR 001C TIN &amp; TP'!$A$3:$A$10005),0),MATCH('Reg 85'!$N$11,'DMR 001C TIN &amp; TP'!$A$2:$M$2,0))),"")</f>
        <v>0.15</v>
      </c>
      <c r="O210" s="6">
        <f t="array" ref="O210">_xlfn.IFNA((INDEX('DMR 001C TIN &amp; TP'!$A$3:$M$10005,MATCH(('Reg 85'!$I$6:$Q$6&amp;'Reg 85'!$M$10&amp;'Reg 85'!$B210),('DMR 001C TIN &amp; TP'!$E$3:$E$10005&amp;'DMR 001C TIN &amp; TP'!$B$3:$B$10005&amp;'DMR 001C TIN &amp; TP'!$A$3:$A$10005),0),MATCH('Reg 85'!$O$11,'DMR 001C TIN &amp; TP'!$A$2:$M$2,0))),"")</f>
        <v>0.5</v>
      </c>
      <c r="P210" s="53">
        <f t="shared" si="91"/>
        <v>0.5</v>
      </c>
      <c r="Q210" s="73">
        <f t="array" ref="Q210">IFERROR(((L210*$F210)+(P210*$G210))/($H210),"")</f>
        <v>0.586426466327436</v>
      </c>
      <c r="R210" s="6" t="str">
        <f t="array" ref="R210">_xlfn.IFNA((INDEX('DMR 001C TIN &amp; TP'!$A$3:$M$10005,MATCH(('Reg 85'!$I$6:$Q$6&amp;'Reg 85'!R$10&amp;'Reg 85'!$B210),('DMR 001C TIN &amp; TP'!$E$3:$E$10005&amp;'DMR 001C TIN &amp; TP'!$B$3:$B$10005&amp;'DMR 001C TIN &amp; TP'!$A$3:$A$10005),0),MATCH('Reg 85'!$O$11,'DMR 001C TIN &amp; TP'!$A$2:$M$2,0))),"")</f>
        <v/>
      </c>
      <c r="S210" s="6" t="str">
        <f t="array" ref="S210">_xlfn.IFNA((INDEX('DMR 001C TIN &amp; TP'!$A$3:$M$10005,MATCH(('Reg 85'!$I$6:$Q$6&amp;'Reg 85'!S$10&amp;'Reg 85'!$B210),('DMR 001C TIN &amp; TP'!$E$3:$E$10005&amp;'DMR 001C TIN &amp; TP'!$B$3:$B$10005&amp;'DMR 001C TIN &amp; TP'!$A$3:$A$10005),0),MATCH('Reg 85'!$O$11,'DMR 001C TIN &amp; TP'!$A$2:$M$2,0))),"")</f>
        <v/>
      </c>
      <c r="T210" s="6" t="str">
        <f t="array" ref="T210">_xlfn.IFNA((INDEX('DMR 001C TIN &amp; TP'!$A$3:$M$10005,MATCH(('Reg 85'!$I$6:$Q$6&amp;'Reg 85'!T$10&amp;'Reg 85'!$B210),('DMR 001C TIN &amp; TP'!$E$3:$E$10005&amp;'DMR 001C TIN &amp; TP'!$B$3:$B$10005&amp;'DMR 001C TIN &amp; TP'!$A$3:$A$10005),0),MATCH('Reg 85'!$O$11,'DMR 001C TIN &amp; TP'!$A$2:$M$2,0))),"")</f>
        <v/>
      </c>
      <c r="U210" s="6" t="str">
        <f t="array" ref="U210">_xlfn.IFNA((INDEX('DMR 001C TIN &amp; TP'!$A$3:$M$10005,MATCH(('Reg 85'!$I$6:$Q$6&amp;'Reg 85'!U$10&amp;'Reg 85'!$B210),('DMR 001C TIN &amp; TP'!$E$3:$E$10005&amp;'DMR 001C TIN &amp; TP'!$B$3:$B$10005&amp;'DMR 001C TIN &amp; TP'!$A$3:$A$10005),0),MATCH('Reg 85'!$O$11,'DMR 001C TIN &amp; TP'!$A$2:$M$2,0))),"")</f>
        <v/>
      </c>
      <c r="V210" s="6" t="str">
        <f t="array" ref="V210">_xlfn.IFNA((INDEX('DMR 001C TIN &amp; TP'!$A$3:$M$10005,MATCH(('Reg 85'!$I$6:$Q$6&amp;'Reg 85'!V$10&amp;'Reg 85'!$B210),('DMR 001C TIN &amp; TP'!$E$3:$E$10005&amp;'DMR 001C TIN &amp; TP'!$B$3:$B$10005&amp;'DMR 001C TIN &amp; TP'!$A$3:$A$10005),0),MATCH('Reg 85'!$O$11,'DMR 001C TIN &amp; TP'!$A$2:$M$2,0))),"")</f>
        <v/>
      </c>
      <c r="W210" s="6" t="str">
        <f t="array" ref="W210">_xlfn.IFNA((INDEX('DMR 001C TIN &amp; TP'!$A$3:$M$10005,MATCH(('Reg 85'!$I$6:$Q$6&amp;'Reg 85'!W$10&amp;'Reg 85'!$B210),('DMR 001C TIN &amp; TP'!$E$3:$E$10005&amp;'DMR 001C TIN &amp; TP'!$B$3:$B$10005&amp;'DMR 001C TIN &amp; TP'!$A$3:$A$10005),0),MATCH('Reg 85'!$O$11,'DMR 001C TIN &amp; TP'!$A$2:$M$2,0))),"")</f>
        <v/>
      </c>
      <c r="X210" s="5" t="str">
        <f t="shared" si="92"/>
        <v/>
      </c>
      <c r="Y210" s="6" t="str">
        <f t="array" ref="Y210">_xlfn.IFNA((INDEX('DMR 001C TIN &amp; TP'!$A$3:$M$10005,MATCH(('Reg 85'!$X$6&amp;'Reg 85'!$X$10&amp;'Reg 85'!$B210),('DMR 001C TIN &amp; TP'!$E$3:$E$10005&amp;'DMR 001C TIN &amp; TP'!$B$3:$B$10005&amp;'DMR 001C TIN &amp; TP'!$A$3:$A$10005),0),MATCH('Reg 85'!$Y$11,'DMR 001C TIN &amp; TP'!$A$2:$M$2,0))),"")</f>
        <v>0.06</v>
      </c>
      <c r="Z210" s="6">
        <f t="array" ref="Z210">_xlfn.IFNA((INDEX('DMR 001C TIN &amp; TP'!$A$3:$M$10005,MATCH(('Reg 85'!$X$6&amp;'Reg 85'!$X$10&amp;'Reg 85'!$B210),('DMR 001C TIN &amp; TP'!$E$3:$E$10005&amp;'DMR 001C TIN &amp; TP'!$B$3:$B$10005&amp;'DMR 001C TIN &amp; TP'!$A$3:$A$10005),0),MATCH('Reg 85'!$Z$11,'DMR 001C TIN &amp; TP'!$A$2:$M$2,0))),"")</f>
        <v>5.0199999999999996</v>
      </c>
      <c r="AA210" s="53">
        <f t="shared" si="93"/>
        <v>5.0199999999999996</v>
      </c>
      <c r="AB210" s="5" t="str">
        <f t="shared" si="94"/>
        <v/>
      </c>
      <c r="AC210" s="6" t="str">
        <f t="array" ref="AC210">_xlfn.IFNA((INDEX('DMR 001C TIN &amp; TP'!$A$3:$M$10005,MATCH(('Reg 85'!$X$6&amp;'Reg 85'!$AB$10&amp;'Reg 85'!$B210),('DMR 001C TIN &amp; TP'!$E$3:$E$10005&amp;'DMR 001C TIN &amp; TP'!$B$3:$B$10005&amp;'DMR 001C TIN &amp; TP'!$A$3:$A$10005),0),MATCH('Reg 85'!$AC$11,'DMR 001C TIN &amp; TP'!$A$2:$M$2,0))),"")</f>
        <v>0.06</v>
      </c>
      <c r="AD210" s="6">
        <f t="array" ref="AD210">_xlfn.IFNA((INDEX('DMR 001C TIN &amp; TP'!$A$3:$M$10005,MATCH(('Reg 85'!$X$6&amp;'Reg 85'!$AB$10&amp;'Reg 85'!$B210),('DMR 001C TIN &amp; TP'!$E$3:$E$10005&amp;'DMR 001C TIN &amp; TP'!$B$3:$B$10005&amp;'DMR 001C TIN &amp; TP'!$A$3:$A$10005),0),MATCH('Reg 85'!$AD$11,'DMR 001C TIN &amp; TP'!$A$2:$M$2,0))),"")</f>
        <v>5.24</v>
      </c>
      <c r="AE210" s="53">
        <f t="shared" si="95"/>
        <v>5.24</v>
      </c>
      <c r="AF210" s="7">
        <f t="shared" si="96"/>
        <v>5.1281539847527302</v>
      </c>
      <c r="AG210" s="6" t="str">
        <f t="array" ref="AG210">_xlfn.IFNA((INDEX('DMR 001C TIN &amp; TP'!$A$3:$M$10005,MATCH(('Reg 85'!$X$6&amp;'Reg 85'!AG$10&amp;'Reg 85'!$B210),('DMR 001C TIN &amp; TP'!$E$3:$E$10005&amp;'DMR 001C TIN &amp; TP'!$B$3:$B$10005&amp;'DMR 001C TIN &amp; TP'!$A$3:$A$10005),0),MATCH('Reg 85'!$AG$11,'DMR 001C TIN &amp; TP'!$A$2:$M$2,0))),"")</f>
        <v/>
      </c>
      <c r="AH210" s="6" t="str">
        <f t="array" ref="AH210">_xlfn.IFNA((INDEX('DMR 001C TIN &amp; TP'!$A$3:$M$10005,MATCH(('Reg 85'!$X$6&amp;'Reg 85'!AH$10&amp;'Reg 85'!$B210),('DMR 001C TIN &amp; TP'!$E$3:$E$10005&amp;'DMR 001C TIN &amp; TP'!$B$3:$B$10005&amp;'DMR 001C TIN &amp; TP'!$A$3:$A$10005),0),MATCH('Reg 85'!$AG$11,'DMR 001C TIN &amp; TP'!$A$2:$M$2,0))),"")</f>
        <v/>
      </c>
      <c r="AI210" s="6" t="str">
        <f t="array" ref="AI210">_xlfn.IFNA((INDEX('DMR 001C TIN &amp; TP'!$A$3:$M$10005,MATCH(('Reg 85'!$X$6&amp;'Reg 85'!AI$10&amp;'Reg 85'!$B210),('DMR 001C TIN &amp; TP'!$E$3:$E$10005&amp;'DMR 001C TIN &amp; TP'!$B$3:$B$10005&amp;'DMR 001C TIN &amp; TP'!$A$3:$A$10005),0),MATCH('Reg 85'!$AG$11,'DMR 001C TIN &amp; TP'!$A$2:$M$2,0))),"")</f>
        <v/>
      </c>
      <c r="AJ210" s="6" t="str">
        <f t="array" ref="AJ210">_xlfn.IFNA((INDEX('DMR 001C TIN &amp; TP'!$A$3:$M$10005,MATCH(('Reg 85'!$X$6&amp;'Reg 85'!AJ$10&amp;'Reg 85'!$B210),('DMR 001C TIN &amp; TP'!$E$3:$E$10005&amp;'DMR 001C TIN &amp; TP'!$B$3:$B$10005&amp;'DMR 001C TIN &amp; TP'!$A$3:$A$10005),0),MATCH('Reg 85'!$AG$11,'DMR 001C TIN &amp; TP'!$A$2:$M$2,0))),"")</f>
        <v/>
      </c>
      <c r="AK210" s="6" t="str">
        <f t="array" ref="AK210">_xlfn.IFNA((INDEX('DMR 001C TIN &amp; TP'!$A$3:$M$10005,MATCH(('Reg 85'!$X$6&amp;'Reg 85'!AK$10&amp;'Reg 85'!$B210),('DMR 001C TIN &amp; TP'!$E$3:$E$10005&amp;'DMR 001C TIN &amp; TP'!$B$3:$B$10005&amp;'DMR 001C TIN &amp; TP'!$A$3:$A$10005),0),MATCH('Reg 85'!$AG$11,'DMR 001C TIN &amp; TP'!$A$2:$M$2,0))),"")</f>
        <v/>
      </c>
      <c r="AL210" s="6" t="str">
        <f t="array" ref="AL210">_xlfn.IFNA((INDEX('DMR 001C TIN &amp; TP'!$A$3:$M$10005,MATCH(('Reg 85'!$X$6&amp;'Reg 85'!AL$10&amp;'Reg 85'!$B210),('DMR 001C TIN &amp; TP'!$E$3:$E$10005&amp;'DMR 001C TIN &amp; TP'!$B$3:$B$10005&amp;'DMR 001C TIN &amp; TP'!$A$3:$A$10005),0),MATCH('Reg 85'!$AG$11,'DMR 001C TIN &amp; TP'!$A$2:$M$2,0))),"")</f>
        <v/>
      </c>
      <c r="AM210" s="76"/>
      <c r="AN210" s="6"/>
      <c r="AO210" s="54">
        <f t="shared" si="83"/>
        <v>5.7145804510801659</v>
      </c>
      <c r="AP210" s="77" t="str">
        <f t="shared" si="81"/>
        <v/>
      </c>
      <c r="AQ210" s="47"/>
      <c r="AR210" s="6" t="str">
        <f t="array" ref="AR210">_xlfn.IFNA((INDEX('DMR 001C TIN &amp; TP'!$A$3:$M$10005,MATCH(('Reg 85'!$AQ$6&amp;'Reg 85'!$AQ$10&amp;'Reg 85'!$B210),('DMR 001C TIN &amp; TP'!$E$3:$E$10005&amp;'DMR 001C TIN &amp; TP'!$B$3:$B$10005&amp;'DMR 001C TIN &amp; TP'!$A$3:$A$10005),0),MATCH('Reg 85'!$AR$11,'DMR 001C TIN &amp; TP'!$A$2:$M$2,0))),"")</f>
        <v/>
      </c>
      <c r="AS210" s="6" t="str">
        <f t="array" ref="AS210">_xlfn.IFNA((INDEX('DMR 001C TIN &amp; TP'!$A$3:$M$10005,MATCH(('Reg 85'!$AQ$6&amp;'Reg 85'!$AQ$10&amp;'Reg 85'!$B210),('DMR 001C TIN &amp; TP'!$E$3:$E$10005&amp;'DMR 001C TIN &amp; TP'!$B$3:$B$10005&amp;'DMR 001C TIN &amp; TP'!$A$3:$A$10005),0),MATCH('Reg 85'!$AS$11,'DMR 001C TIN &amp; TP'!$A$2:$M$2,0))),"")</f>
        <v/>
      </c>
      <c r="AT210" s="53" t="str">
        <f t="shared" si="97"/>
        <v/>
      </c>
      <c r="AV210" s="6" t="str">
        <f t="array" ref="AV210">_xlfn.IFNA((INDEX('DMR 001C TIN &amp; TP'!$A$3:$M$10005,MATCH(('Reg 85'!$AQ$6&amp;'Reg 85'!$AU$10&amp;'Reg 85'!$B210),('DMR 001C TIN &amp; TP'!$E$3:$E$10005&amp;'DMR 001C TIN &amp; TP'!$B$3:$B$10005&amp;'DMR 001C TIN &amp; TP'!$A$3:$A$10005),0),MATCH('Reg 85'!$AV$11,'DMR 001C TIN &amp; TP'!$A$2:$M$2,0))),"")</f>
        <v/>
      </c>
      <c r="AW210" s="6" t="str">
        <f t="array" ref="AW210">_xlfn.IFNA((INDEX('DMR 001C TIN &amp; TP'!$A$3:$M$10005,MATCH(('Reg 85'!$AQ$6&amp;'Reg 85'!$AU$10&amp;'Reg 85'!$B210),('DMR 001C TIN &amp; TP'!$E$3:$E$10005&amp;'DMR 001C TIN &amp; TP'!$B$3:$B$10005&amp;'DMR 001C TIN &amp; TP'!$A$3:$A$10005),0),MATCH('Reg 85'!$AW$11,'DMR 001C TIN &amp; TP'!$A$2:$M$2,0))),"")</f>
        <v/>
      </c>
      <c r="AX210" s="53" t="str">
        <f t="shared" si="98"/>
        <v/>
      </c>
      <c r="AY210" s="55" t="str">
        <f t="shared" si="99"/>
        <v/>
      </c>
      <c r="AZ210" s="77" t="str">
        <f t="shared" si="82"/>
        <v/>
      </c>
      <c r="BA210" s="6" t="str">
        <f t="array" ref="BA210">_xlfn.IFNA((INDEX('DMR 001C TIN &amp; TP'!$A$3:$M$10005,MATCH(('Reg 85'!$AQ$6&amp;'Reg 85'!BA$10&amp;'Reg 85'!$B210),('DMR 001C TIN &amp; TP'!$E$3:$E$10005&amp;'DMR 001C TIN &amp; TP'!$B$3:$B$10005&amp;'DMR 001C TIN &amp; TP'!$A$3:$A$10005),0),MATCH('Reg 85'!$AG$11,'DMR 001C TIN &amp; TP'!$A$2:$M$2,0))),"")</f>
        <v/>
      </c>
      <c r="BB210" s="6" t="str">
        <f t="array" ref="BB210">_xlfn.IFNA((INDEX('DMR 001C TIN &amp; TP'!$A$3:$M$10005,MATCH(('Reg 85'!$AQ$6&amp;'Reg 85'!BB$10&amp;'Reg 85'!$B210),('DMR 001C TIN &amp; TP'!$E$3:$E$10005&amp;'DMR 001C TIN &amp; TP'!$B$3:$B$10005&amp;'DMR 001C TIN &amp; TP'!$A$3:$A$10005),0),MATCH('Reg 85'!$AG$11,'DMR 001C TIN &amp; TP'!$A$2:$M$2,0))),"")</f>
        <v/>
      </c>
      <c r="BC210" s="6" t="str">
        <f t="array" ref="BC210">_xlfn.IFNA((INDEX('DMR 001C TIN &amp; TP'!$A$3:$M$10005,MATCH(('Reg 85'!$AQ$6&amp;'Reg 85'!BC$10&amp;'Reg 85'!$B210),('DMR 001C TIN &amp; TP'!$E$3:$E$10005&amp;'DMR 001C TIN &amp; TP'!$B$3:$B$10005&amp;'DMR 001C TIN &amp; TP'!$A$3:$A$10005),0),MATCH('Reg 85'!$AG$11,'DMR 001C TIN &amp; TP'!$A$2:$M$2,0))),"")</f>
        <v/>
      </c>
      <c r="BD210" s="6" t="str">
        <f t="array" ref="BD210">_xlfn.IFNA((INDEX('DMR 001C TIN &amp; TP'!$A$3:$M$10005,MATCH(('Reg 85'!$AQ$6&amp;'Reg 85'!BD$10&amp;'Reg 85'!$B210),('DMR 001C TIN &amp; TP'!$E$3:$E$10005&amp;'DMR 001C TIN &amp; TP'!$B$3:$B$10005&amp;'DMR 001C TIN &amp; TP'!$A$3:$A$10005),0),MATCH('Reg 85'!$AG$11,'DMR 001C TIN &amp; TP'!$A$2:$M$2,0))),"")</f>
        <v/>
      </c>
      <c r="BE210" s="6" t="str">
        <f t="array" ref="BE210">_xlfn.IFNA((INDEX('DMR 001C TIN &amp; TP'!$A$3:$M$10005,MATCH(('Reg 85'!$AQ$6&amp;'Reg 85'!BE$10&amp;'Reg 85'!$B210),('DMR 001C TIN &amp; TP'!$E$3:$E$10005&amp;'DMR 001C TIN &amp; TP'!$B$3:$B$10005&amp;'DMR 001C TIN &amp; TP'!$A$3:$A$10005),0),MATCH('Reg 85'!$AG$11,'DMR 001C TIN &amp; TP'!$A$2:$M$2,0))),"")</f>
        <v/>
      </c>
      <c r="BF210" s="6" t="str">
        <f t="array" ref="BF210">_xlfn.IFNA((INDEX('DMR 001C TIN &amp; TP'!$A$3:$M$10005,MATCH(('Reg 85'!$AQ$6&amp;'Reg 85'!BF$10&amp;'Reg 85'!$B210),('DMR 001C TIN &amp; TP'!$E$3:$E$10005&amp;'DMR 001C TIN &amp; TP'!$B$3:$B$10005&amp;'DMR 001C TIN &amp; TP'!$A$3:$A$10005),0),MATCH('Reg 85'!$AG$11,'DMR 001C TIN &amp; TP'!$A$2:$M$2,0))),"")</f>
        <v/>
      </c>
    </row>
    <row r="211" spans="1:58">
      <c r="A211" s="3" t="str">
        <f t="shared" si="84"/>
        <v>Tue</v>
      </c>
      <c r="B211" s="96">
        <f t="shared" si="100"/>
        <v>43543</v>
      </c>
      <c r="C211" s="96">
        <f t="shared" si="85"/>
        <v>43555</v>
      </c>
      <c r="D211" s="96">
        <f t="shared" si="86"/>
        <v>43525</v>
      </c>
      <c r="E211" s="95">
        <f t="shared" si="87"/>
        <v>31</v>
      </c>
      <c r="F211" s="7">
        <f t="array" ref="F211">_xlfn.IFNA(INDEX('DMR Flows-Effluent'!$A$3:$F$9999,MATCH(($F$10&amp;$B211),('DMR Flows-Effluent'!$B$3:$B$9999&amp;'DMR Flows-Effluent'!$A$3:$A$9999),0),MATCH($F$8,'DMR Flows-Effluent'!$A$2:$F$2,0)),"")</f>
        <v>63.264099999999999</v>
      </c>
      <c r="G211" s="7">
        <f t="array" ref="G211">_xlfn.IFNA(INDEX('DMR Flows-Effluent'!$A$3:$F$9999,MATCH(($G$10&amp;$B211),('DMR Flows-Effluent'!$B$3:$B$9999&amp;'DMR Flows-Effluent'!$A$3:$A$9999),0),MATCH($F$8,'DMR Flows-Effluent'!$A$2:$F$2,0)),"")</f>
        <v>64.271699999999996</v>
      </c>
      <c r="H211" s="7">
        <f t="shared" si="88"/>
        <v>127.53579999999999</v>
      </c>
      <c r="I211" s="45" t="str">
        <f t="shared" si="89"/>
        <v/>
      </c>
      <c r="J211" s="6" t="str">
        <f t="array" ref="J211">_xlfn.IFNA((INDEX('DMR 001C TIN &amp; TP'!$A$3:$M$10005,MATCH(('Reg 85'!$I$6:$Q$6&amp;'Reg 85'!$I$10:$K$10&amp;'Reg 85'!$B211),('DMR 001C TIN &amp; TP'!$E$3:$E$10005&amp;'DMR 001C TIN &amp; TP'!$B$3:$B$10005&amp;'DMR 001C TIN &amp; TP'!$A$3:$A$10005),0),MATCH('Reg 85'!$J$11,'DMR 001C TIN &amp; TP'!$A$2:$M$2,0))),"")</f>
        <v>0.15</v>
      </c>
      <c r="K211" s="6">
        <f t="array" ref="K211">_xlfn.IFNA((INDEX('DMR 001C TIN &amp; TP'!$A$3:$M$10005,MATCH(('Reg 85'!$I$6:$Q$6&amp;'Reg 85'!$I$10:$K$10&amp;'Reg 85'!$B211),('DMR 001C TIN &amp; TP'!$E$3:$E$10005&amp;'DMR 001C TIN &amp; TP'!$B$3:$B$10005&amp;'DMR 001C TIN &amp; TP'!$A$3:$A$10005),0),MATCH('Reg 85'!$K$11,'DMR 001C TIN &amp; TP'!$A$2:$M$2,0))),"")</f>
        <v>0.56999999999999995</v>
      </c>
      <c r="L211" s="53">
        <f t="shared" si="101"/>
        <v>0.56999999999999995</v>
      </c>
      <c r="M211" s="5" t="str">
        <f t="shared" si="90"/>
        <v/>
      </c>
      <c r="N211" s="6" t="str">
        <f t="array" ref="N211">_xlfn.IFNA((INDEX('DMR 001C TIN &amp; TP'!$A$3:$M$10005,MATCH(('Reg 85'!$I$6:$Q$6&amp;'Reg 85'!$M$10&amp;'Reg 85'!$B211),('DMR 001C TIN &amp; TP'!$E$3:$E$10005&amp;'DMR 001C TIN &amp; TP'!$B$3:$B$10005&amp;'DMR 001C TIN &amp; TP'!$A$3:$A$10005),0),MATCH('Reg 85'!$N$11,'DMR 001C TIN &amp; TP'!$A$2:$M$2,0))),"")</f>
        <v>0.15</v>
      </c>
      <c r="O211" s="6">
        <f t="array" ref="O211">_xlfn.IFNA((INDEX('DMR 001C TIN &amp; TP'!$A$3:$M$10005,MATCH(('Reg 85'!$I$6:$Q$6&amp;'Reg 85'!$M$10&amp;'Reg 85'!$B211),('DMR 001C TIN &amp; TP'!$E$3:$E$10005&amp;'DMR 001C TIN &amp; TP'!$B$3:$B$10005&amp;'DMR 001C TIN &amp; TP'!$A$3:$A$10005),0),MATCH('Reg 85'!$O$11,'DMR 001C TIN &amp; TP'!$A$2:$M$2,0))),"")</f>
        <v>0.31</v>
      </c>
      <c r="P211" s="53">
        <f t="shared" si="91"/>
        <v>0.31</v>
      </c>
      <c r="Q211" s="73">
        <f t="array" ref="Q211">IFERROR(((L211*$F211)+(P211*$G211))/($H211),"")</f>
        <v>0.43897293152197264</v>
      </c>
      <c r="R211" s="6" t="str">
        <f t="array" ref="R211">_xlfn.IFNA((INDEX('DMR 001C TIN &amp; TP'!$A$3:$M$10005,MATCH(('Reg 85'!$I$6:$Q$6&amp;'Reg 85'!R$10&amp;'Reg 85'!$B211),('DMR 001C TIN &amp; TP'!$E$3:$E$10005&amp;'DMR 001C TIN &amp; TP'!$B$3:$B$10005&amp;'DMR 001C TIN &amp; TP'!$A$3:$A$10005),0),MATCH('Reg 85'!$O$11,'DMR 001C TIN &amp; TP'!$A$2:$M$2,0))),"")</f>
        <v/>
      </c>
      <c r="S211" s="6" t="str">
        <f t="array" ref="S211">_xlfn.IFNA((INDEX('DMR 001C TIN &amp; TP'!$A$3:$M$10005,MATCH(('Reg 85'!$I$6:$Q$6&amp;'Reg 85'!S$10&amp;'Reg 85'!$B211),('DMR 001C TIN &amp; TP'!$E$3:$E$10005&amp;'DMR 001C TIN &amp; TP'!$B$3:$B$10005&amp;'DMR 001C TIN &amp; TP'!$A$3:$A$10005),0),MATCH('Reg 85'!$O$11,'DMR 001C TIN &amp; TP'!$A$2:$M$2,0))),"")</f>
        <v/>
      </c>
      <c r="T211" s="6" t="str">
        <f t="array" ref="T211">_xlfn.IFNA((INDEX('DMR 001C TIN &amp; TP'!$A$3:$M$10005,MATCH(('Reg 85'!$I$6:$Q$6&amp;'Reg 85'!T$10&amp;'Reg 85'!$B211),('DMR 001C TIN &amp; TP'!$E$3:$E$10005&amp;'DMR 001C TIN &amp; TP'!$B$3:$B$10005&amp;'DMR 001C TIN &amp; TP'!$A$3:$A$10005),0),MATCH('Reg 85'!$O$11,'DMR 001C TIN &amp; TP'!$A$2:$M$2,0))),"")</f>
        <v/>
      </c>
      <c r="U211" s="6" t="str">
        <f t="array" ref="U211">_xlfn.IFNA((INDEX('DMR 001C TIN &amp; TP'!$A$3:$M$10005,MATCH(('Reg 85'!$I$6:$Q$6&amp;'Reg 85'!U$10&amp;'Reg 85'!$B211),('DMR 001C TIN &amp; TP'!$E$3:$E$10005&amp;'DMR 001C TIN &amp; TP'!$B$3:$B$10005&amp;'DMR 001C TIN &amp; TP'!$A$3:$A$10005),0),MATCH('Reg 85'!$O$11,'DMR 001C TIN &amp; TP'!$A$2:$M$2,0))),"")</f>
        <v/>
      </c>
      <c r="V211" s="6" t="str">
        <f t="array" ref="V211">_xlfn.IFNA((INDEX('DMR 001C TIN &amp; TP'!$A$3:$M$10005,MATCH(('Reg 85'!$I$6:$Q$6&amp;'Reg 85'!V$10&amp;'Reg 85'!$B211),('DMR 001C TIN &amp; TP'!$E$3:$E$10005&amp;'DMR 001C TIN &amp; TP'!$B$3:$B$10005&amp;'DMR 001C TIN &amp; TP'!$A$3:$A$10005),0),MATCH('Reg 85'!$O$11,'DMR 001C TIN &amp; TP'!$A$2:$M$2,0))),"")</f>
        <v/>
      </c>
      <c r="W211" s="6" t="str">
        <f t="array" ref="W211">_xlfn.IFNA((INDEX('DMR 001C TIN &amp; TP'!$A$3:$M$10005,MATCH(('Reg 85'!$I$6:$Q$6&amp;'Reg 85'!W$10&amp;'Reg 85'!$B211),('DMR 001C TIN &amp; TP'!$E$3:$E$10005&amp;'DMR 001C TIN &amp; TP'!$B$3:$B$10005&amp;'DMR 001C TIN &amp; TP'!$A$3:$A$10005),0),MATCH('Reg 85'!$O$11,'DMR 001C TIN &amp; TP'!$A$2:$M$2,0))),"")</f>
        <v/>
      </c>
      <c r="X211" s="5" t="str">
        <f t="shared" si="92"/>
        <v/>
      </c>
      <c r="Y211" s="6" t="str">
        <f t="array" ref="Y211">_xlfn.IFNA((INDEX('DMR 001C TIN &amp; TP'!$A$3:$M$10005,MATCH(('Reg 85'!$X$6&amp;'Reg 85'!$X$10&amp;'Reg 85'!$B211),('DMR 001C TIN &amp; TP'!$E$3:$E$10005&amp;'DMR 001C TIN &amp; TP'!$B$3:$B$10005&amp;'DMR 001C TIN &amp; TP'!$A$3:$A$10005),0),MATCH('Reg 85'!$Y$11,'DMR 001C TIN &amp; TP'!$A$2:$M$2,0))),"")</f>
        <v>0.06</v>
      </c>
      <c r="Z211" s="6">
        <f t="array" ref="Z211">_xlfn.IFNA((INDEX('DMR 001C TIN &amp; TP'!$A$3:$M$10005,MATCH(('Reg 85'!$X$6&amp;'Reg 85'!$X$10&amp;'Reg 85'!$B211),('DMR 001C TIN &amp; TP'!$E$3:$E$10005&amp;'DMR 001C TIN &amp; TP'!$B$3:$B$10005&amp;'DMR 001C TIN &amp; TP'!$A$3:$A$10005),0),MATCH('Reg 85'!$Z$11,'DMR 001C TIN &amp; TP'!$A$2:$M$2,0))),"")</f>
        <v>5.27</v>
      </c>
      <c r="AA211" s="53">
        <f t="shared" si="93"/>
        <v>5.27</v>
      </c>
      <c r="AB211" s="5" t="str">
        <f t="shared" si="94"/>
        <v/>
      </c>
      <c r="AC211" s="6" t="str">
        <f t="array" ref="AC211">_xlfn.IFNA((INDEX('DMR 001C TIN &amp; TP'!$A$3:$M$10005,MATCH(('Reg 85'!$X$6&amp;'Reg 85'!$AB$10&amp;'Reg 85'!$B211),('DMR 001C TIN &amp; TP'!$E$3:$E$10005&amp;'DMR 001C TIN &amp; TP'!$B$3:$B$10005&amp;'DMR 001C TIN &amp; TP'!$A$3:$A$10005),0),MATCH('Reg 85'!$AC$11,'DMR 001C TIN &amp; TP'!$A$2:$M$2,0))),"")</f>
        <v>0.06</v>
      </c>
      <c r="AD211" s="6">
        <f t="array" ref="AD211">_xlfn.IFNA((INDEX('DMR 001C TIN &amp; TP'!$A$3:$M$10005,MATCH(('Reg 85'!$X$6&amp;'Reg 85'!$AB$10&amp;'Reg 85'!$B211),('DMR 001C TIN &amp; TP'!$E$3:$E$10005&amp;'DMR 001C TIN &amp; TP'!$B$3:$B$10005&amp;'DMR 001C TIN &amp; TP'!$A$3:$A$10005),0),MATCH('Reg 85'!$AD$11,'DMR 001C TIN &amp; TP'!$A$2:$M$2,0))),"")</f>
        <v>6.25</v>
      </c>
      <c r="AE211" s="53">
        <f t="shared" si="95"/>
        <v>6.25</v>
      </c>
      <c r="AF211" s="7">
        <f t="shared" si="96"/>
        <v>5.7638712581094866</v>
      </c>
      <c r="AG211" s="6" t="str">
        <f t="array" ref="AG211">_xlfn.IFNA((INDEX('DMR 001C TIN &amp; TP'!$A$3:$M$10005,MATCH(('Reg 85'!$X$6&amp;'Reg 85'!AG$10&amp;'Reg 85'!$B211),('DMR 001C TIN &amp; TP'!$E$3:$E$10005&amp;'DMR 001C TIN &amp; TP'!$B$3:$B$10005&amp;'DMR 001C TIN &amp; TP'!$A$3:$A$10005),0),MATCH('Reg 85'!$AG$11,'DMR 001C TIN &amp; TP'!$A$2:$M$2,0))),"")</f>
        <v/>
      </c>
      <c r="AH211" s="6" t="str">
        <f t="array" ref="AH211">_xlfn.IFNA((INDEX('DMR 001C TIN &amp; TP'!$A$3:$M$10005,MATCH(('Reg 85'!$X$6&amp;'Reg 85'!AH$10&amp;'Reg 85'!$B211),('DMR 001C TIN &amp; TP'!$E$3:$E$10005&amp;'DMR 001C TIN &amp; TP'!$B$3:$B$10005&amp;'DMR 001C TIN &amp; TP'!$A$3:$A$10005),0),MATCH('Reg 85'!$AG$11,'DMR 001C TIN &amp; TP'!$A$2:$M$2,0))),"")</f>
        <v/>
      </c>
      <c r="AI211" s="6" t="str">
        <f t="array" ref="AI211">_xlfn.IFNA((INDEX('DMR 001C TIN &amp; TP'!$A$3:$M$10005,MATCH(('Reg 85'!$X$6&amp;'Reg 85'!AI$10&amp;'Reg 85'!$B211),('DMR 001C TIN &amp; TP'!$E$3:$E$10005&amp;'DMR 001C TIN &amp; TP'!$B$3:$B$10005&amp;'DMR 001C TIN &amp; TP'!$A$3:$A$10005),0),MATCH('Reg 85'!$AG$11,'DMR 001C TIN &amp; TP'!$A$2:$M$2,0))),"")</f>
        <v/>
      </c>
      <c r="AJ211" s="6" t="str">
        <f t="array" ref="AJ211">_xlfn.IFNA((INDEX('DMR 001C TIN &amp; TP'!$A$3:$M$10005,MATCH(('Reg 85'!$X$6&amp;'Reg 85'!AJ$10&amp;'Reg 85'!$B211),('DMR 001C TIN &amp; TP'!$E$3:$E$10005&amp;'DMR 001C TIN &amp; TP'!$B$3:$B$10005&amp;'DMR 001C TIN &amp; TP'!$A$3:$A$10005),0),MATCH('Reg 85'!$AG$11,'DMR 001C TIN &amp; TP'!$A$2:$M$2,0))),"")</f>
        <v/>
      </c>
      <c r="AK211" s="6" t="str">
        <f t="array" ref="AK211">_xlfn.IFNA((INDEX('DMR 001C TIN &amp; TP'!$A$3:$M$10005,MATCH(('Reg 85'!$X$6&amp;'Reg 85'!AK$10&amp;'Reg 85'!$B211),('DMR 001C TIN &amp; TP'!$E$3:$E$10005&amp;'DMR 001C TIN &amp; TP'!$B$3:$B$10005&amp;'DMR 001C TIN &amp; TP'!$A$3:$A$10005),0),MATCH('Reg 85'!$AG$11,'DMR 001C TIN &amp; TP'!$A$2:$M$2,0))),"")</f>
        <v/>
      </c>
      <c r="AL211" s="6" t="str">
        <f t="array" ref="AL211">_xlfn.IFNA((INDEX('DMR 001C TIN &amp; TP'!$A$3:$M$10005,MATCH(('Reg 85'!$X$6&amp;'Reg 85'!AL$10&amp;'Reg 85'!$B211),('DMR 001C TIN &amp; TP'!$E$3:$E$10005&amp;'DMR 001C TIN &amp; TP'!$B$3:$B$10005&amp;'DMR 001C TIN &amp; TP'!$A$3:$A$10005),0),MATCH('Reg 85'!$AG$11,'DMR 001C TIN &amp; TP'!$A$2:$M$2,0))),"")</f>
        <v/>
      </c>
      <c r="AM211" s="76"/>
      <c r="AN211" s="6"/>
      <c r="AO211" s="54">
        <f t="shared" si="83"/>
        <v>6.2028441896314597</v>
      </c>
      <c r="AP211" s="77" t="str">
        <f t="shared" si="81"/>
        <v/>
      </c>
      <c r="AQ211" s="47"/>
      <c r="AR211" s="6" t="str">
        <f t="array" ref="AR211">_xlfn.IFNA((INDEX('DMR 001C TIN &amp; TP'!$A$3:$M$10005,MATCH(('Reg 85'!$AQ$6&amp;'Reg 85'!$AQ$10&amp;'Reg 85'!$B211),('DMR 001C TIN &amp; TP'!$E$3:$E$10005&amp;'DMR 001C TIN &amp; TP'!$B$3:$B$10005&amp;'DMR 001C TIN &amp; TP'!$A$3:$A$10005),0),MATCH('Reg 85'!$AR$11,'DMR 001C TIN &amp; TP'!$A$2:$M$2,0))),"")</f>
        <v/>
      </c>
      <c r="AS211" s="6" t="str">
        <f t="array" ref="AS211">_xlfn.IFNA((INDEX('DMR 001C TIN &amp; TP'!$A$3:$M$10005,MATCH(('Reg 85'!$AQ$6&amp;'Reg 85'!$AQ$10&amp;'Reg 85'!$B211),('DMR 001C TIN &amp; TP'!$E$3:$E$10005&amp;'DMR 001C TIN &amp; TP'!$B$3:$B$10005&amp;'DMR 001C TIN &amp; TP'!$A$3:$A$10005),0),MATCH('Reg 85'!$AS$11,'DMR 001C TIN &amp; TP'!$A$2:$M$2,0))),"")</f>
        <v/>
      </c>
      <c r="AT211" s="53" t="str">
        <f t="shared" si="97"/>
        <v/>
      </c>
      <c r="AV211" s="6" t="str">
        <f t="array" ref="AV211">_xlfn.IFNA((INDEX('DMR 001C TIN &amp; TP'!$A$3:$M$10005,MATCH(('Reg 85'!$AQ$6&amp;'Reg 85'!$AU$10&amp;'Reg 85'!$B211),('DMR 001C TIN &amp; TP'!$E$3:$E$10005&amp;'DMR 001C TIN &amp; TP'!$B$3:$B$10005&amp;'DMR 001C TIN &amp; TP'!$A$3:$A$10005),0),MATCH('Reg 85'!$AV$11,'DMR 001C TIN &amp; TP'!$A$2:$M$2,0))),"")</f>
        <v/>
      </c>
      <c r="AW211" s="6" t="str">
        <f t="array" ref="AW211">_xlfn.IFNA((INDEX('DMR 001C TIN &amp; TP'!$A$3:$M$10005,MATCH(('Reg 85'!$AQ$6&amp;'Reg 85'!$AU$10&amp;'Reg 85'!$B211),('DMR 001C TIN &amp; TP'!$E$3:$E$10005&amp;'DMR 001C TIN &amp; TP'!$B$3:$B$10005&amp;'DMR 001C TIN &amp; TP'!$A$3:$A$10005),0),MATCH('Reg 85'!$AW$11,'DMR 001C TIN &amp; TP'!$A$2:$M$2,0))),"")</f>
        <v/>
      </c>
      <c r="AX211" s="53" t="str">
        <f t="shared" si="98"/>
        <v/>
      </c>
      <c r="AY211" s="55" t="str">
        <f t="shared" si="99"/>
        <v/>
      </c>
      <c r="AZ211" s="77" t="str">
        <f t="shared" si="82"/>
        <v/>
      </c>
      <c r="BA211" s="6" t="str">
        <f t="array" ref="BA211">_xlfn.IFNA((INDEX('DMR 001C TIN &amp; TP'!$A$3:$M$10005,MATCH(('Reg 85'!$AQ$6&amp;'Reg 85'!BA$10&amp;'Reg 85'!$B211),('DMR 001C TIN &amp; TP'!$E$3:$E$10005&amp;'DMR 001C TIN &amp; TP'!$B$3:$B$10005&amp;'DMR 001C TIN &amp; TP'!$A$3:$A$10005),0),MATCH('Reg 85'!$AG$11,'DMR 001C TIN &amp; TP'!$A$2:$M$2,0))),"")</f>
        <v/>
      </c>
      <c r="BB211" s="6" t="str">
        <f t="array" ref="BB211">_xlfn.IFNA((INDEX('DMR 001C TIN &amp; TP'!$A$3:$M$10005,MATCH(('Reg 85'!$AQ$6&amp;'Reg 85'!BB$10&amp;'Reg 85'!$B211),('DMR 001C TIN &amp; TP'!$E$3:$E$10005&amp;'DMR 001C TIN &amp; TP'!$B$3:$B$10005&amp;'DMR 001C TIN &amp; TP'!$A$3:$A$10005),0),MATCH('Reg 85'!$AG$11,'DMR 001C TIN &amp; TP'!$A$2:$M$2,0))),"")</f>
        <v/>
      </c>
      <c r="BC211" s="6" t="str">
        <f t="array" ref="BC211">_xlfn.IFNA((INDEX('DMR 001C TIN &amp; TP'!$A$3:$M$10005,MATCH(('Reg 85'!$AQ$6&amp;'Reg 85'!BC$10&amp;'Reg 85'!$B211),('DMR 001C TIN &amp; TP'!$E$3:$E$10005&amp;'DMR 001C TIN &amp; TP'!$B$3:$B$10005&amp;'DMR 001C TIN &amp; TP'!$A$3:$A$10005),0),MATCH('Reg 85'!$AG$11,'DMR 001C TIN &amp; TP'!$A$2:$M$2,0))),"")</f>
        <v/>
      </c>
      <c r="BD211" s="6" t="str">
        <f t="array" ref="BD211">_xlfn.IFNA((INDEX('DMR 001C TIN &amp; TP'!$A$3:$M$10005,MATCH(('Reg 85'!$AQ$6&amp;'Reg 85'!BD$10&amp;'Reg 85'!$B211),('DMR 001C TIN &amp; TP'!$E$3:$E$10005&amp;'DMR 001C TIN &amp; TP'!$B$3:$B$10005&amp;'DMR 001C TIN &amp; TP'!$A$3:$A$10005),0),MATCH('Reg 85'!$AG$11,'DMR 001C TIN &amp; TP'!$A$2:$M$2,0))),"")</f>
        <v/>
      </c>
      <c r="BE211" s="6" t="str">
        <f t="array" ref="BE211">_xlfn.IFNA((INDEX('DMR 001C TIN &amp; TP'!$A$3:$M$10005,MATCH(('Reg 85'!$AQ$6&amp;'Reg 85'!BE$10&amp;'Reg 85'!$B211),('DMR 001C TIN &amp; TP'!$E$3:$E$10005&amp;'DMR 001C TIN &amp; TP'!$B$3:$B$10005&amp;'DMR 001C TIN &amp; TP'!$A$3:$A$10005),0),MATCH('Reg 85'!$AG$11,'DMR 001C TIN &amp; TP'!$A$2:$M$2,0))),"")</f>
        <v/>
      </c>
      <c r="BF211" s="6" t="str">
        <f t="array" ref="BF211">_xlfn.IFNA((INDEX('DMR 001C TIN &amp; TP'!$A$3:$M$10005,MATCH(('Reg 85'!$AQ$6&amp;'Reg 85'!BF$10&amp;'Reg 85'!$B211),('DMR 001C TIN &amp; TP'!$E$3:$E$10005&amp;'DMR 001C TIN &amp; TP'!$B$3:$B$10005&amp;'DMR 001C TIN &amp; TP'!$A$3:$A$10005),0),MATCH('Reg 85'!$AG$11,'DMR 001C TIN &amp; TP'!$A$2:$M$2,0))),"")</f>
        <v/>
      </c>
    </row>
    <row r="212" spans="1:58">
      <c r="A212" s="3" t="str">
        <f t="shared" si="84"/>
        <v>Wed</v>
      </c>
      <c r="B212" s="96">
        <f t="shared" si="100"/>
        <v>43544</v>
      </c>
      <c r="C212" s="96">
        <f t="shared" si="85"/>
        <v>43555</v>
      </c>
      <c r="D212" s="96">
        <f t="shared" si="86"/>
        <v>43525</v>
      </c>
      <c r="E212" s="95">
        <f t="shared" si="87"/>
        <v>31</v>
      </c>
      <c r="F212" s="7">
        <f t="array" ref="F212">_xlfn.IFNA(INDEX('DMR Flows-Effluent'!$A$3:$F$9999,MATCH(($F$10&amp;$B212),('DMR Flows-Effluent'!$B$3:$B$9999&amp;'DMR Flows-Effluent'!$A$3:$A$9999),0),MATCH($F$8,'DMR Flows-Effluent'!$A$2:$F$2,0)),"")</f>
        <v>66.651899999999998</v>
      </c>
      <c r="G212" s="7">
        <f t="array" ref="G212">_xlfn.IFNA(INDEX('DMR Flows-Effluent'!$A$3:$F$9999,MATCH(($G$10&amp;$B212),('DMR Flows-Effluent'!$B$3:$B$9999&amp;'DMR Flows-Effluent'!$A$3:$A$9999),0),MATCH($F$8,'DMR Flows-Effluent'!$A$2:$F$2,0)),"")</f>
        <v>65.051599999999993</v>
      </c>
      <c r="H212" s="7">
        <f t="shared" si="88"/>
        <v>131.70349999999999</v>
      </c>
      <c r="I212" s="45" t="str">
        <f t="shared" si="89"/>
        <v/>
      </c>
      <c r="J212" s="6" t="str">
        <f t="array" ref="J212">_xlfn.IFNA((INDEX('DMR 001C TIN &amp; TP'!$A$3:$M$10005,MATCH(('Reg 85'!$I$6:$Q$6&amp;'Reg 85'!$I$10:$K$10&amp;'Reg 85'!$B212),('DMR 001C TIN &amp; TP'!$E$3:$E$10005&amp;'DMR 001C TIN &amp; TP'!$B$3:$B$10005&amp;'DMR 001C TIN &amp; TP'!$A$3:$A$10005),0),MATCH('Reg 85'!$J$11,'DMR 001C TIN &amp; TP'!$A$2:$M$2,0))),"")</f>
        <v/>
      </c>
      <c r="K212" s="6" t="str">
        <f t="array" ref="K212">_xlfn.IFNA((INDEX('DMR 001C TIN &amp; TP'!$A$3:$M$10005,MATCH(('Reg 85'!$I$6:$Q$6&amp;'Reg 85'!$I$10:$K$10&amp;'Reg 85'!$B212),('DMR 001C TIN &amp; TP'!$E$3:$E$10005&amp;'DMR 001C TIN &amp; TP'!$B$3:$B$10005&amp;'DMR 001C TIN &amp; TP'!$A$3:$A$10005),0),MATCH('Reg 85'!$K$11,'DMR 001C TIN &amp; TP'!$A$2:$M$2,0))),"")</f>
        <v/>
      </c>
      <c r="L212" s="53" t="str">
        <f t="shared" si="101"/>
        <v/>
      </c>
      <c r="M212" s="5" t="str">
        <f t="shared" si="90"/>
        <v/>
      </c>
      <c r="N212" s="6" t="str">
        <f t="array" ref="N212">_xlfn.IFNA((INDEX('DMR 001C TIN &amp; TP'!$A$3:$M$10005,MATCH(('Reg 85'!$I$6:$Q$6&amp;'Reg 85'!$M$10&amp;'Reg 85'!$B212),('DMR 001C TIN &amp; TP'!$E$3:$E$10005&amp;'DMR 001C TIN &amp; TP'!$B$3:$B$10005&amp;'DMR 001C TIN &amp; TP'!$A$3:$A$10005),0),MATCH('Reg 85'!$N$11,'DMR 001C TIN &amp; TP'!$A$2:$M$2,0))),"")</f>
        <v/>
      </c>
      <c r="O212" s="6" t="str">
        <f t="array" ref="O212">_xlfn.IFNA((INDEX('DMR 001C TIN &amp; TP'!$A$3:$M$10005,MATCH(('Reg 85'!$I$6:$Q$6&amp;'Reg 85'!$M$10&amp;'Reg 85'!$B212),('DMR 001C TIN &amp; TP'!$E$3:$E$10005&amp;'DMR 001C TIN &amp; TP'!$B$3:$B$10005&amp;'DMR 001C TIN &amp; TP'!$A$3:$A$10005),0),MATCH('Reg 85'!$O$11,'DMR 001C TIN &amp; TP'!$A$2:$M$2,0))),"")</f>
        <v/>
      </c>
      <c r="P212" s="53" t="str">
        <f t="shared" si="91"/>
        <v/>
      </c>
      <c r="Q212" s="73" t="str">
        <f t="array" ref="Q212">IFERROR(((L212*$F212)+(P212*$G212))/($H212),"")</f>
        <v/>
      </c>
      <c r="R212" s="6" t="str">
        <f t="array" ref="R212">_xlfn.IFNA((INDEX('DMR 001C TIN &amp; TP'!$A$3:$M$10005,MATCH(('Reg 85'!$I$6:$Q$6&amp;'Reg 85'!R$10&amp;'Reg 85'!$B212),('DMR 001C TIN &amp; TP'!$E$3:$E$10005&amp;'DMR 001C TIN &amp; TP'!$B$3:$B$10005&amp;'DMR 001C TIN &amp; TP'!$A$3:$A$10005),0),MATCH('Reg 85'!$O$11,'DMR 001C TIN &amp; TP'!$A$2:$M$2,0))),"")</f>
        <v/>
      </c>
      <c r="S212" s="6" t="str">
        <f t="array" ref="S212">_xlfn.IFNA((INDEX('DMR 001C TIN &amp; TP'!$A$3:$M$10005,MATCH(('Reg 85'!$I$6:$Q$6&amp;'Reg 85'!S$10&amp;'Reg 85'!$B212),('DMR 001C TIN &amp; TP'!$E$3:$E$10005&amp;'DMR 001C TIN &amp; TP'!$B$3:$B$10005&amp;'DMR 001C TIN &amp; TP'!$A$3:$A$10005),0),MATCH('Reg 85'!$O$11,'DMR 001C TIN &amp; TP'!$A$2:$M$2,0))),"")</f>
        <v/>
      </c>
      <c r="T212" s="6" t="str">
        <f t="array" ref="T212">_xlfn.IFNA((INDEX('DMR 001C TIN &amp; TP'!$A$3:$M$10005,MATCH(('Reg 85'!$I$6:$Q$6&amp;'Reg 85'!T$10&amp;'Reg 85'!$B212),('DMR 001C TIN &amp; TP'!$E$3:$E$10005&amp;'DMR 001C TIN &amp; TP'!$B$3:$B$10005&amp;'DMR 001C TIN &amp; TP'!$A$3:$A$10005),0),MATCH('Reg 85'!$O$11,'DMR 001C TIN &amp; TP'!$A$2:$M$2,0))),"")</f>
        <v/>
      </c>
      <c r="U212" s="6" t="str">
        <f t="array" ref="U212">_xlfn.IFNA((INDEX('DMR 001C TIN &amp; TP'!$A$3:$M$10005,MATCH(('Reg 85'!$I$6:$Q$6&amp;'Reg 85'!U$10&amp;'Reg 85'!$B212),('DMR 001C TIN &amp; TP'!$E$3:$E$10005&amp;'DMR 001C TIN &amp; TP'!$B$3:$B$10005&amp;'DMR 001C TIN &amp; TP'!$A$3:$A$10005),0),MATCH('Reg 85'!$O$11,'DMR 001C TIN &amp; TP'!$A$2:$M$2,0))),"")</f>
        <v/>
      </c>
      <c r="V212" s="6" t="str">
        <f t="array" ref="V212">_xlfn.IFNA((INDEX('DMR 001C TIN &amp; TP'!$A$3:$M$10005,MATCH(('Reg 85'!$I$6:$Q$6&amp;'Reg 85'!V$10&amp;'Reg 85'!$B212),('DMR 001C TIN &amp; TP'!$E$3:$E$10005&amp;'DMR 001C TIN &amp; TP'!$B$3:$B$10005&amp;'DMR 001C TIN &amp; TP'!$A$3:$A$10005),0),MATCH('Reg 85'!$O$11,'DMR 001C TIN &amp; TP'!$A$2:$M$2,0))),"")</f>
        <v/>
      </c>
      <c r="W212" s="6" t="str">
        <f t="array" ref="W212">_xlfn.IFNA((INDEX('DMR 001C TIN &amp; TP'!$A$3:$M$10005,MATCH(('Reg 85'!$I$6:$Q$6&amp;'Reg 85'!W$10&amp;'Reg 85'!$B212),('DMR 001C TIN &amp; TP'!$E$3:$E$10005&amp;'DMR 001C TIN &amp; TP'!$B$3:$B$10005&amp;'DMR 001C TIN &amp; TP'!$A$3:$A$10005),0),MATCH('Reg 85'!$O$11,'DMR 001C TIN &amp; TP'!$A$2:$M$2,0))),"")</f>
        <v/>
      </c>
      <c r="X212" s="5" t="str">
        <f t="shared" si="92"/>
        <v/>
      </c>
      <c r="Y212" s="6" t="str">
        <f t="array" ref="Y212">_xlfn.IFNA((INDEX('DMR 001C TIN &amp; TP'!$A$3:$M$10005,MATCH(('Reg 85'!$X$6&amp;'Reg 85'!$X$10&amp;'Reg 85'!$B212),('DMR 001C TIN &amp; TP'!$E$3:$E$10005&amp;'DMR 001C TIN &amp; TP'!$B$3:$B$10005&amp;'DMR 001C TIN &amp; TP'!$A$3:$A$10005),0),MATCH('Reg 85'!$Y$11,'DMR 001C TIN &amp; TP'!$A$2:$M$2,0))),"")</f>
        <v/>
      </c>
      <c r="Z212" s="6" t="str">
        <f t="array" ref="Z212">_xlfn.IFNA((INDEX('DMR 001C TIN &amp; TP'!$A$3:$M$10005,MATCH(('Reg 85'!$X$6&amp;'Reg 85'!$X$10&amp;'Reg 85'!$B212),('DMR 001C TIN &amp; TP'!$E$3:$E$10005&amp;'DMR 001C TIN &amp; TP'!$B$3:$B$10005&amp;'DMR 001C TIN &amp; TP'!$A$3:$A$10005),0),MATCH('Reg 85'!$Z$11,'DMR 001C TIN &amp; TP'!$A$2:$M$2,0))),"")</f>
        <v/>
      </c>
      <c r="AA212" s="53" t="str">
        <f t="shared" si="93"/>
        <v/>
      </c>
      <c r="AB212" s="5" t="str">
        <f t="shared" si="94"/>
        <v/>
      </c>
      <c r="AC212" s="6" t="str">
        <f t="array" ref="AC212">_xlfn.IFNA((INDEX('DMR 001C TIN &amp; TP'!$A$3:$M$10005,MATCH(('Reg 85'!$X$6&amp;'Reg 85'!$AB$10&amp;'Reg 85'!$B212),('DMR 001C TIN &amp; TP'!$E$3:$E$10005&amp;'DMR 001C TIN &amp; TP'!$B$3:$B$10005&amp;'DMR 001C TIN &amp; TP'!$A$3:$A$10005),0),MATCH('Reg 85'!$AC$11,'DMR 001C TIN &amp; TP'!$A$2:$M$2,0))),"")</f>
        <v/>
      </c>
      <c r="AD212" s="6" t="str">
        <f t="array" ref="AD212">_xlfn.IFNA((INDEX('DMR 001C TIN &amp; TP'!$A$3:$M$10005,MATCH(('Reg 85'!$X$6&amp;'Reg 85'!$AB$10&amp;'Reg 85'!$B212),('DMR 001C TIN &amp; TP'!$E$3:$E$10005&amp;'DMR 001C TIN &amp; TP'!$B$3:$B$10005&amp;'DMR 001C TIN &amp; TP'!$A$3:$A$10005),0),MATCH('Reg 85'!$AD$11,'DMR 001C TIN &amp; TP'!$A$2:$M$2,0))),"")</f>
        <v/>
      </c>
      <c r="AE212" s="53" t="str">
        <f t="shared" si="95"/>
        <v/>
      </c>
      <c r="AF212" s="7" t="str">
        <f t="shared" si="96"/>
        <v/>
      </c>
      <c r="AG212" s="6" t="str">
        <f t="array" ref="AG212">_xlfn.IFNA((INDEX('DMR 001C TIN &amp; TP'!$A$3:$M$10005,MATCH(('Reg 85'!$X$6&amp;'Reg 85'!AG$10&amp;'Reg 85'!$B212),('DMR 001C TIN &amp; TP'!$E$3:$E$10005&amp;'DMR 001C TIN &amp; TP'!$B$3:$B$10005&amp;'DMR 001C TIN &amp; TP'!$A$3:$A$10005),0),MATCH('Reg 85'!$AG$11,'DMR 001C TIN &amp; TP'!$A$2:$M$2,0))),"")</f>
        <v/>
      </c>
      <c r="AH212" s="6" t="str">
        <f t="array" ref="AH212">_xlfn.IFNA((INDEX('DMR 001C TIN &amp; TP'!$A$3:$M$10005,MATCH(('Reg 85'!$X$6&amp;'Reg 85'!AH$10&amp;'Reg 85'!$B212),('DMR 001C TIN &amp; TP'!$E$3:$E$10005&amp;'DMR 001C TIN &amp; TP'!$B$3:$B$10005&amp;'DMR 001C TIN &amp; TP'!$A$3:$A$10005),0),MATCH('Reg 85'!$AG$11,'DMR 001C TIN &amp; TP'!$A$2:$M$2,0))),"")</f>
        <v/>
      </c>
      <c r="AI212" s="6" t="str">
        <f t="array" ref="AI212">_xlfn.IFNA((INDEX('DMR 001C TIN &amp; TP'!$A$3:$M$10005,MATCH(('Reg 85'!$X$6&amp;'Reg 85'!AI$10&amp;'Reg 85'!$B212),('DMR 001C TIN &amp; TP'!$E$3:$E$10005&amp;'DMR 001C TIN &amp; TP'!$B$3:$B$10005&amp;'DMR 001C TIN &amp; TP'!$A$3:$A$10005),0),MATCH('Reg 85'!$AG$11,'DMR 001C TIN &amp; TP'!$A$2:$M$2,0))),"")</f>
        <v/>
      </c>
      <c r="AJ212" s="6" t="str">
        <f t="array" ref="AJ212">_xlfn.IFNA((INDEX('DMR 001C TIN &amp; TP'!$A$3:$M$10005,MATCH(('Reg 85'!$X$6&amp;'Reg 85'!AJ$10&amp;'Reg 85'!$B212),('DMR 001C TIN &amp; TP'!$E$3:$E$10005&amp;'DMR 001C TIN &amp; TP'!$B$3:$B$10005&amp;'DMR 001C TIN &amp; TP'!$A$3:$A$10005),0),MATCH('Reg 85'!$AG$11,'DMR 001C TIN &amp; TP'!$A$2:$M$2,0))),"")</f>
        <v/>
      </c>
      <c r="AK212" s="6" t="str">
        <f t="array" ref="AK212">_xlfn.IFNA((INDEX('DMR 001C TIN &amp; TP'!$A$3:$M$10005,MATCH(('Reg 85'!$X$6&amp;'Reg 85'!AK$10&amp;'Reg 85'!$B212),('DMR 001C TIN &amp; TP'!$E$3:$E$10005&amp;'DMR 001C TIN &amp; TP'!$B$3:$B$10005&amp;'DMR 001C TIN &amp; TP'!$A$3:$A$10005),0),MATCH('Reg 85'!$AG$11,'DMR 001C TIN &amp; TP'!$A$2:$M$2,0))),"")</f>
        <v/>
      </c>
      <c r="AL212" s="6" t="str">
        <f t="array" ref="AL212">_xlfn.IFNA((INDEX('DMR 001C TIN &amp; TP'!$A$3:$M$10005,MATCH(('Reg 85'!$X$6&amp;'Reg 85'!AL$10&amp;'Reg 85'!$B212),('DMR 001C TIN &amp; TP'!$E$3:$E$10005&amp;'DMR 001C TIN &amp; TP'!$B$3:$B$10005&amp;'DMR 001C TIN &amp; TP'!$A$3:$A$10005),0),MATCH('Reg 85'!$AG$11,'DMR 001C TIN &amp; TP'!$A$2:$M$2,0))),"")</f>
        <v/>
      </c>
      <c r="AM212" s="76"/>
      <c r="AN212" s="6"/>
      <c r="AO212" s="54" t="str">
        <f t="shared" si="83"/>
        <v/>
      </c>
      <c r="AP212" s="77" t="str">
        <f t="shared" si="81"/>
        <v/>
      </c>
      <c r="AQ212" s="47"/>
      <c r="AR212" s="6" t="str">
        <f t="array" ref="AR212">_xlfn.IFNA((INDEX('DMR 001C TIN &amp; TP'!$A$3:$M$10005,MATCH(('Reg 85'!$AQ$6&amp;'Reg 85'!$AQ$10&amp;'Reg 85'!$B212),('DMR 001C TIN &amp; TP'!$E$3:$E$10005&amp;'DMR 001C TIN &amp; TP'!$B$3:$B$10005&amp;'DMR 001C TIN &amp; TP'!$A$3:$A$10005),0),MATCH('Reg 85'!$AR$11,'DMR 001C TIN &amp; TP'!$A$2:$M$2,0))),"")</f>
        <v>0.03</v>
      </c>
      <c r="AS212" s="6">
        <f t="array" ref="AS212">_xlfn.IFNA((INDEX('DMR 001C TIN &amp; TP'!$A$3:$M$10005,MATCH(('Reg 85'!$AQ$6&amp;'Reg 85'!$AQ$10&amp;'Reg 85'!$B212),('DMR 001C TIN &amp; TP'!$E$3:$E$10005&amp;'DMR 001C TIN &amp; TP'!$B$3:$B$10005&amp;'DMR 001C TIN &amp; TP'!$A$3:$A$10005),0),MATCH('Reg 85'!$AS$11,'DMR 001C TIN &amp; TP'!$A$2:$M$2,0))),"")</f>
        <v>0.36</v>
      </c>
      <c r="AT212" s="53">
        <f t="shared" si="97"/>
        <v>0.36</v>
      </c>
      <c r="AV212" s="6" t="str">
        <f t="array" ref="AV212">_xlfn.IFNA((INDEX('DMR 001C TIN &amp; TP'!$A$3:$M$10005,MATCH(('Reg 85'!$AQ$6&amp;'Reg 85'!$AU$10&amp;'Reg 85'!$B212),('DMR 001C TIN &amp; TP'!$E$3:$E$10005&amp;'DMR 001C TIN &amp; TP'!$B$3:$B$10005&amp;'DMR 001C TIN &amp; TP'!$A$3:$A$10005),0),MATCH('Reg 85'!$AV$11,'DMR 001C TIN &amp; TP'!$A$2:$M$2,0))),"")</f>
        <v>0.03</v>
      </c>
      <c r="AW212" s="6">
        <f t="array" ref="AW212">_xlfn.IFNA((INDEX('DMR 001C TIN &amp; TP'!$A$3:$M$10005,MATCH(('Reg 85'!$AQ$6&amp;'Reg 85'!$AU$10&amp;'Reg 85'!$B212),('DMR 001C TIN &amp; TP'!$E$3:$E$10005&amp;'DMR 001C TIN &amp; TP'!$B$3:$B$10005&amp;'DMR 001C TIN &amp; TP'!$A$3:$A$10005),0),MATCH('Reg 85'!$AW$11,'DMR 001C TIN &amp; TP'!$A$2:$M$2,0))),"")</f>
        <v>4.6900000000000004</v>
      </c>
      <c r="AX212" s="53">
        <f t="shared" si="98"/>
        <v>4.6900000000000004</v>
      </c>
      <c r="AY212" s="55">
        <f t="shared" si="99"/>
        <v>2.498693565470925</v>
      </c>
      <c r="AZ212" s="77" t="str">
        <f t="shared" si="82"/>
        <v/>
      </c>
      <c r="BA212" s="6" t="str">
        <f t="array" ref="BA212">_xlfn.IFNA((INDEX('DMR 001C TIN &amp; TP'!$A$3:$M$10005,MATCH(('Reg 85'!$AQ$6&amp;'Reg 85'!BA$10&amp;'Reg 85'!$B212),('DMR 001C TIN &amp; TP'!$E$3:$E$10005&amp;'DMR 001C TIN &amp; TP'!$B$3:$B$10005&amp;'DMR 001C TIN &amp; TP'!$A$3:$A$10005),0),MATCH('Reg 85'!$AG$11,'DMR 001C TIN &amp; TP'!$A$2:$M$2,0))),"")</f>
        <v/>
      </c>
      <c r="BB212" s="6" t="str">
        <f t="array" ref="BB212">_xlfn.IFNA((INDEX('DMR 001C TIN &amp; TP'!$A$3:$M$10005,MATCH(('Reg 85'!$AQ$6&amp;'Reg 85'!BB$10&amp;'Reg 85'!$B212),('DMR 001C TIN &amp; TP'!$E$3:$E$10005&amp;'DMR 001C TIN &amp; TP'!$B$3:$B$10005&amp;'DMR 001C TIN &amp; TP'!$A$3:$A$10005),0),MATCH('Reg 85'!$AG$11,'DMR 001C TIN &amp; TP'!$A$2:$M$2,0))),"")</f>
        <v/>
      </c>
      <c r="BC212" s="6" t="str">
        <f t="array" ref="BC212">_xlfn.IFNA((INDEX('DMR 001C TIN &amp; TP'!$A$3:$M$10005,MATCH(('Reg 85'!$AQ$6&amp;'Reg 85'!BC$10&amp;'Reg 85'!$B212),('DMR 001C TIN &amp; TP'!$E$3:$E$10005&amp;'DMR 001C TIN &amp; TP'!$B$3:$B$10005&amp;'DMR 001C TIN &amp; TP'!$A$3:$A$10005),0),MATCH('Reg 85'!$AG$11,'DMR 001C TIN &amp; TP'!$A$2:$M$2,0))),"")</f>
        <v/>
      </c>
      <c r="BD212" s="6" t="str">
        <f t="array" ref="BD212">_xlfn.IFNA((INDEX('DMR 001C TIN &amp; TP'!$A$3:$M$10005,MATCH(('Reg 85'!$AQ$6&amp;'Reg 85'!BD$10&amp;'Reg 85'!$B212),('DMR 001C TIN &amp; TP'!$E$3:$E$10005&amp;'DMR 001C TIN &amp; TP'!$B$3:$B$10005&amp;'DMR 001C TIN &amp; TP'!$A$3:$A$10005),0),MATCH('Reg 85'!$AG$11,'DMR 001C TIN &amp; TP'!$A$2:$M$2,0))),"")</f>
        <v/>
      </c>
      <c r="BE212" s="6" t="str">
        <f t="array" ref="BE212">_xlfn.IFNA((INDEX('DMR 001C TIN &amp; TP'!$A$3:$M$10005,MATCH(('Reg 85'!$AQ$6&amp;'Reg 85'!BE$10&amp;'Reg 85'!$B212),('DMR 001C TIN &amp; TP'!$E$3:$E$10005&amp;'DMR 001C TIN &amp; TP'!$B$3:$B$10005&amp;'DMR 001C TIN &amp; TP'!$A$3:$A$10005),0),MATCH('Reg 85'!$AG$11,'DMR 001C TIN &amp; TP'!$A$2:$M$2,0))),"")</f>
        <v/>
      </c>
      <c r="BF212" s="6" t="str">
        <f t="array" ref="BF212">_xlfn.IFNA((INDEX('DMR 001C TIN &amp; TP'!$A$3:$M$10005,MATCH(('Reg 85'!$AQ$6&amp;'Reg 85'!BF$10&amp;'Reg 85'!$B212),('DMR 001C TIN &amp; TP'!$E$3:$E$10005&amp;'DMR 001C TIN &amp; TP'!$B$3:$B$10005&amp;'DMR 001C TIN &amp; TP'!$A$3:$A$10005),0),MATCH('Reg 85'!$AG$11,'DMR 001C TIN &amp; TP'!$A$2:$M$2,0))),"")</f>
        <v/>
      </c>
    </row>
    <row r="213" spans="1:58">
      <c r="A213" s="3" t="str">
        <f t="shared" si="84"/>
        <v>Thu</v>
      </c>
      <c r="B213" s="96">
        <f t="shared" si="100"/>
        <v>43545</v>
      </c>
      <c r="C213" s="96">
        <f t="shared" si="85"/>
        <v>43555</v>
      </c>
      <c r="D213" s="96">
        <f t="shared" si="86"/>
        <v>43525</v>
      </c>
      <c r="E213" s="95">
        <f t="shared" si="87"/>
        <v>31</v>
      </c>
      <c r="F213" s="7">
        <f t="array" ref="F213">_xlfn.IFNA(INDEX('DMR Flows-Effluent'!$A$3:$F$9999,MATCH(($F$10&amp;$B213),('DMR Flows-Effluent'!$B$3:$B$9999&amp;'DMR Flows-Effluent'!$A$3:$A$9999),0),MATCH($F$8,'DMR Flows-Effluent'!$A$2:$F$2,0)),"")</f>
        <v>61.289299999999997</v>
      </c>
      <c r="G213" s="7">
        <f t="array" ref="G213">_xlfn.IFNA(INDEX('DMR Flows-Effluent'!$A$3:$F$9999,MATCH(($G$10&amp;$B213),('DMR Flows-Effluent'!$B$3:$B$9999&amp;'DMR Flows-Effluent'!$A$3:$A$9999),0),MATCH($F$8,'DMR Flows-Effluent'!$A$2:$F$2,0)),"")</f>
        <v>66.168700000000001</v>
      </c>
      <c r="H213" s="7">
        <f t="shared" si="88"/>
        <v>127.458</v>
      </c>
      <c r="I213" s="45" t="str">
        <f t="shared" si="89"/>
        <v/>
      </c>
      <c r="J213" s="6" t="str">
        <f t="array" ref="J213">_xlfn.IFNA((INDEX('DMR 001C TIN &amp; TP'!$A$3:$M$10005,MATCH(('Reg 85'!$I$6:$Q$6&amp;'Reg 85'!$I$10:$K$10&amp;'Reg 85'!$B213),('DMR 001C TIN &amp; TP'!$E$3:$E$10005&amp;'DMR 001C TIN &amp; TP'!$B$3:$B$10005&amp;'DMR 001C TIN &amp; TP'!$A$3:$A$10005),0),MATCH('Reg 85'!$J$11,'DMR 001C TIN &amp; TP'!$A$2:$M$2,0))),"")</f>
        <v/>
      </c>
      <c r="K213" s="6" t="str">
        <f t="array" ref="K213">_xlfn.IFNA((INDEX('DMR 001C TIN &amp; TP'!$A$3:$M$10005,MATCH(('Reg 85'!$I$6:$Q$6&amp;'Reg 85'!$I$10:$K$10&amp;'Reg 85'!$B213),('DMR 001C TIN &amp; TP'!$E$3:$E$10005&amp;'DMR 001C TIN &amp; TP'!$B$3:$B$10005&amp;'DMR 001C TIN &amp; TP'!$A$3:$A$10005),0),MATCH('Reg 85'!$K$11,'DMR 001C TIN &amp; TP'!$A$2:$M$2,0))),"")</f>
        <v/>
      </c>
      <c r="L213" s="53" t="str">
        <f t="shared" si="101"/>
        <v/>
      </c>
      <c r="M213" s="5" t="str">
        <f t="shared" si="90"/>
        <v/>
      </c>
      <c r="N213" s="6" t="str">
        <f t="array" ref="N213">_xlfn.IFNA((INDEX('DMR 001C TIN &amp; TP'!$A$3:$M$10005,MATCH(('Reg 85'!$I$6:$Q$6&amp;'Reg 85'!$M$10&amp;'Reg 85'!$B213),('DMR 001C TIN &amp; TP'!$E$3:$E$10005&amp;'DMR 001C TIN &amp; TP'!$B$3:$B$10005&amp;'DMR 001C TIN &amp; TP'!$A$3:$A$10005),0),MATCH('Reg 85'!$N$11,'DMR 001C TIN &amp; TP'!$A$2:$M$2,0))),"")</f>
        <v/>
      </c>
      <c r="O213" s="6" t="str">
        <f t="array" ref="O213">_xlfn.IFNA((INDEX('DMR 001C TIN &amp; TP'!$A$3:$M$10005,MATCH(('Reg 85'!$I$6:$Q$6&amp;'Reg 85'!$M$10&amp;'Reg 85'!$B213),('DMR 001C TIN &amp; TP'!$E$3:$E$10005&amp;'DMR 001C TIN &amp; TP'!$B$3:$B$10005&amp;'DMR 001C TIN &amp; TP'!$A$3:$A$10005),0),MATCH('Reg 85'!$O$11,'DMR 001C TIN &amp; TP'!$A$2:$M$2,0))),"")</f>
        <v/>
      </c>
      <c r="P213" s="53" t="str">
        <f t="shared" si="91"/>
        <v/>
      </c>
      <c r="Q213" s="73" t="str">
        <f t="array" ref="Q213">IFERROR(((L213*$F213)+(P213*$G213))/($H213),"")</f>
        <v/>
      </c>
      <c r="R213" s="6" t="str">
        <f t="array" ref="R213">_xlfn.IFNA((INDEX('DMR 001C TIN &amp; TP'!$A$3:$M$10005,MATCH(('Reg 85'!$I$6:$Q$6&amp;'Reg 85'!R$10&amp;'Reg 85'!$B213),('DMR 001C TIN &amp; TP'!$E$3:$E$10005&amp;'DMR 001C TIN &amp; TP'!$B$3:$B$10005&amp;'DMR 001C TIN &amp; TP'!$A$3:$A$10005),0),MATCH('Reg 85'!$O$11,'DMR 001C TIN &amp; TP'!$A$2:$M$2,0))),"")</f>
        <v/>
      </c>
      <c r="S213" s="6" t="str">
        <f t="array" ref="S213">_xlfn.IFNA((INDEX('DMR 001C TIN &amp; TP'!$A$3:$M$10005,MATCH(('Reg 85'!$I$6:$Q$6&amp;'Reg 85'!S$10&amp;'Reg 85'!$B213),('DMR 001C TIN &amp; TP'!$E$3:$E$10005&amp;'DMR 001C TIN &amp; TP'!$B$3:$B$10005&amp;'DMR 001C TIN &amp; TP'!$A$3:$A$10005),0),MATCH('Reg 85'!$O$11,'DMR 001C TIN &amp; TP'!$A$2:$M$2,0))),"")</f>
        <v/>
      </c>
      <c r="T213" s="6" t="str">
        <f t="array" ref="T213">_xlfn.IFNA((INDEX('DMR 001C TIN &amp; TP'!$A$3:$M$10005,MATCH(('Reg 85'!$I$6:$Q$6&amp;'Reg 85'!T$10&amp;'Reg 85'!$B213),('DMR 001C TIN &amp; TP'!$E$3:$E$10005&amp;'DMR 001C TIN &amp; TP'!$B$3:$B$10005&amp;'DMR 001C TIN &amp; TP'!$A$3:$A$10005),0),MATCH('Reg 85'!$O$11,'DMR 001C TIN &amp; TP'!$A$2:$M$2,0))),"")</f>
        <v/>
      </c>
      <c r="U213" s="6" t="str">
        <f t="array" ref="U213">_xlfn.IFNA((INDEX('DMR 001C TIN &amp; TP'!$A$3:$M$10005,MATCH(('Reg 85'!$I$6:$Q$6&amp;'Reg 85'!U$10&amp;'Reg 85'!$B213),('DMR 001C TIN &amp; TP'!$E$3:$E$10005&amp;'DMR 001C TIN &amp; TP'!$B$3:$B$10005&amp;'DMR 001C TIN &amp; TP'!$A$3:$A$10005),0),MATCH('Reg 85'!$O$11,'DMR 001C TIN &amp; TP'!$A$2:$M$2,0))),"")</f>
        <v/>
      </c>
      <c r="V213" s="6" t="str">
        <f t="array" ref="V213">_xlfn.IFNA((INDEX('DMR 001C TIN &amp; TP'!$A$3:$M$10005,MATCH(('Reg 85'!$I$6:$Q$6&amp;'Reg 85'!V$10&amp;'Reg 85'!$B213),('DMR 001C TIN &amp; TP'!$E$3:$E$10005&amp;'DMR 001C TIN &amp; TP'!$B$3:$B$10005&amp;'DMR 001C TIN &amp; TP'!$A$3:$A$10005),0),MATCH('Reg 85'!$O$11,'DMR 001C TIN &amp; TP'!$A$2:$M$2,0))),"")</f>
        <v/>
      </c>
      <c r="W213" s="6" t="str">
        <f t="array" ref="W213">_xlfn.IFNA((INDEX('DMR 001C TIN &amp; TP'!$A$3:$M$10005,MATCH(('Reg 85'!$I$6:$Q$6&amp;'Reg 85'!W$10&amp;'Reg 85'!$B213),('DMR 001C TIN &amp; TP'!$E$3:$E$10005&amp;'DMR 001C TIN &amp; TP'!$B$3:$B$10005&amp;'DMR 001C TIN &amp; TP'!$A$3:$A$10005),0),MATCH('Reg 85'!$O$11,'DMR 001C TIN &amp; TP'!$A$2:$M$2,0))),"")</f>
        <v/>
      </c>
      <c r="X213" s="5" t="str">
        <f t="shared" si="92"/>
        <v/>
      </c>
      <c r="Y213" s="6" t="str">
        <f t="array" ref="Y213">_xlfn.IFNA((INDEX('DMR 001C TIN &amp; TP'!$A$3:$M$10005,MATCH(('Reg 85'!$X$6&amp;'Reg 85'!$X$10&amp;'Reg 85'!$B213),('DMR 001C TIN &amp; TP'!$E$3:$E$10005&amp;'DMR 001C TIN &amp; TP'!$B$3:$B$10005&amp;'DMR 001C TIN &amp; TP'!$A$3:$A$10005),0),MATCH('Reg 85'!$Y$11,'DMR 001C TIN &amp; TP'!$A$2:$M$2,0))),"")</f>
        <v/>
      </c>
      <c r="Z213" s="6" t="str">
        <f t="array" ref="Z213">_xlfn.IFNA((INDEX('DMR 001C TIN &amp; TP'!$A$3:$M$10005,MATCH(('Reg 85'!$X$6&amp;'Reg 85'!$X$10&amp;'Reg 85'!$B213),('DMR 001C TIN &amp; TP'!$E$3:$E$10005&amp;'DMR 001C TIN &amp; TP'!$B$3:$B$10005&amp;'DMR 001C TIN &amp; TP'!$A$3:$A$10005),0),MATCH('Reg 85'!$Z$11,'DMR 001C TIN &amp; TP'!$A$2:$M$2,0))),"")</f>
        <v/>
      </c>
      <c r="AA213" s="53" t="str">
        <f t="shared" si="93"/>
        <v/>
      </c>
      <c r="AB213" s="5" t="str">
        <f t="shared" si="94"/>
        <v/>
      </c>
      <c r="AC213" s="6" t="str">
        <f t="array" ref="AC213">_xlfn.IFNA((INDEX('DMR 001C TIN &amp; TP'!$A$3:$M$10005,MATCH(('Reg 85'!$X$6&amp;'Reg 85'!$AB$10&amp;'Reg 85'!$B213),('DMR 001C TIN &amp; TP'!$E$3:$E$10005&amp;'DMR 001C TIN &amp; TP'!$B$3:$B$10005&amp;'DMR 001C TIN &amp; TP'!$A$3:$A$10005),0),MATCH('Reg 85'!$AC$11,'DMR 001C TIN &amp; TP'!$A$2:$M$2,0))),"")</f>
        <v/>
      </c>
      <c r="AD213" s="6" t="str">
        <f t="array" ref="AD213">_xlfn.IFNA((INDEX('DMR 001C TIN &amp; TP'!$A$3:$M$10005,MATCH(('Reg 85'!$X$6&amp;'Reg 85'!$AB$10&amp;'Reg 85'!$B213),('DMR 001C TIN &amp; TP'!$E$3:$E$10005&amp;'DMR 001C TIN &amp; TP'!$B$3:$B$10005&amp;'DMR 001C TIN &amp; TP'!$A$3:$A$10005),0),MATCH('Reg 85'!$AD$11,'DMR 001C TIN &amp; TP'!$A$2:$M$2,0))),"")</f>
        <v/>
      </c>
      <c r="AE213" s="53" t="str">
        <f t="shared" si="95"/>
        <v/>
      </c>
      <c r="AF213" s="7" t="str">
        <f t="shared" si="96"/>
        <v/>
      </c>
      <c r="AG213" s="6" t="str">
        <f t="array" ref="AG213">_xlfn.IFNA((INDEX('DMR 001C TIN &amp; TP'!$A$3:$M$10005,MATCH(('Reg 85'!$X$6&amp;'Reg 85'!AG$10&amp;'Reg 85'!$B213),('DMR 001C TIN &amp; TP'!$E$3:$E$10005&amp;'DMR 001C TIN &amp; TP'!$B$3:$B$10005&amp;'DMR 001C TIN &amp; TP'!$A$3:$A$10005),0),MATCH('Reg 85'!$AG$11,'DMR 001C TIN &amp; TP'!$A$2:$M$2,0))),"")</f>
        <v/>
      </c>
      <c r="AH213" s="6" t="str">
        <f t="array" ref="AH213">_xlfn.IFNA((INDEX('DMR 001C TIN &amp; TP'!$A$3:$M$10005,MATCH(('Reg 85'!$X$6&amp;'Reg 85'!AH$10&amp;'Reg 85'!$B213),('DMR 001C TIN &amp; TP'!$E$3:$E$10005&amp;'DMR 001C TIN &amp; TP'!$B$3:$B$10005&amp;'DMR 001C TIN &amp; TP'!$A$3:$A$10005),0),MATCH('Reg 85'!$AG$11,'DMR 001C TIN &amp; TP'!$A$2:$M$2,0))),"")</f>
        <v/>
      </c>
      <c r="AI213" s="6" t="str">
        <f t="array" ref="AI213">_xlfn.IFNA((INDEX('DMR 001C TIN &amp; TP'!$A$3:$M$10005,MATCH(('Reg 85'!$X$6&amp;'Reg 85'!AI$10&amp;'Reg 85'!$B213),('DMR 001C TIN &amp; TP'!$E$3:$E$10005&amp;'DMR 001C TIN &amp; TP'!$B$3:$B$10005&amp;'DMR 001C TIN &amp; TP'!$A$3:$A$10005),0),MATCH('Reg 85'!$AG$11,'DMR 001C TIN &amp; TP'!$A$2:$M$2,0))),"")</f>
        <v/>
      </c>
      <c r="AJ213" s="6" t="str">
        <f t="array" ref="AJ213">_xlfn.IFNA((INDEX('DMR 001C TIN &amp; TP'!$A$3:$M$10005,MATCH(('Reg 85'!$X$6&amp;'Reg 85'!AJ$10&amp;'Reg 85'!$B213),('DMR 001C TIN &amp; TP'!$E$3:$E$10005&amp;'DMR 001C TIN &amp; TP'!$B$3:$B$10005&amp;'DMR 001C TIN &amp; TP'!$A$3:$A$10005),0),MATCH('Reg 85'!$AG$11,'DMR 001C TIN &amp; TP'!$A$2:$M$2,0))),"")</f>
        <v/>
      </c>
      <c r="AK213" s="6" t="str">
        <f t="array" ref="AK213">_xlfn.IFNA((INDEX('DMR 001C TIN &amp; TP'!$A$3:$M$10005,MATCH(('Reg 85'!$X$6&amp;'Reg 85'!AK$10&amp;'Reg 85'!$B213),('DMR 001C TIN &amp; TP'!$E$3:$E$10005&amp;'DMR 001C TIN &amp; TP'!$B$3:$B$10005&amp;'DMR 001C TIN &amp; TP'!$A$3:$A$10005),0),MATCH('Reg 85'!$AG$11,'DMR 001C TIN &amp; TP'!$A$2:$M$2,0))),"")</f>
        <v/>
      </c>
      <c r="AL213" s="6" t="str">
        <f t="array" ref="AL213">_xlfn.IFNA((INDEX('DMR 001C TIN &amp; TP'!$A$3:$M$10005,MATCH(('Reg 85'!$X$6&amp;'Reg 85'!AL$10&amp;'Reg 85'!$B213),('DMR 001C TIN &amp; TP'!$E$3:$E$10005&amp;'DMR 001C TIN &amp; TP'!$B$3:$B$10005&amp;'DMR 001C TIN &amp; TP'!$A$3:$A$10005),0),MATCH('Reg 85'!$AG$11,'DMR 001C TIN &amp; TP'!$A$2:$M$2,0))),"")</f>
        <v/>
      </c>
      <c r="AM213" s="76"/>
      <c r="AN213" s="6"/>
      <c r="AO213" s="54" t="str">
        <f t="shared" si="83"/>
        <v/>
      </c>
      <c r="AP213" s="77" t="str">
        <f t="shared" si="81"/>
        <v/>
      </c>
      <c r="AQ213" s="47"/>
      <c r="AR213" s="6" t="str">
        <f t="array" ref="AR213">_xlfn.IFNA((INDEX('DMR 001C TIN &amp; TP'!$A$3:$M$10005,MATCH(('Reg 85'!$AQ$6&amp;'Reg 85'!$AQ$10&amp;'Reg 85'!$B213),('DMR 001C TIN &amp; TP'!$E$3:$E$10005&amp;'DMR 001C TIN &amp; TP'!$B$3:$B$10005&amp;'DMR 001C TIN &amp; TP'!$A$3:$A$10005),0),MATCH('Reg 85'!$AR$11,'DMR 001C TIN &amp; TP'!$A$2:$M$2,0))),"")</f>
        <v>0.03</v>
      </c>
      <c r="AS213" s="6">
        <f t="array" ref="AS213">_xlfn.IFNA((INDEX('DMR 001C TIN &amp; TP'!$A$3:$M$10005,MATCH(('Reg 85'!$AQ$6&amp;'Reg 85'!$AQ$10&amp;'Reg 85'!$B213),('DMR 001C TIN &amp; TP'!$E$3:$E$10005&amp;'DMR 001C TIN &amp; TP'!$B$3:$B$10005&amp;'DMR 001C TIN &amp; TP'!$A$3:$A$10005),0),MATCH('Reg 85'!$AS$11,'DMR 001C TIN &amp; TP'!$A$2:$M$2,0))),"")</f>
        <v>0.35</v>
      </c>
      <c r="AT213" s="53">
        <f t="shared" si="97"/>
        <v>0.35</v>
      </c>
      <c r="AV213" s="6" t="str">
        <f t="array" ref="AV213">_xlfn.IFNA((INDEX('DMR 001C TIN &amp; TP'!$A$3:$M$10005,MATCH(('Reg 85'!$AQ$6&amp;'Reg 85'!$AU$10&amp;'Reg 85'!$B213),('DMR 001C TIN &amp; TP'!$E$3:$E$10005&amp;'DMR 001C TIN &amp; TP'!$B$3:$B$10005&amp;'DMR 001C TIN &amp; TP'!$A$3:$A$10005),0),MATCH('Reg 85'!$AV$11,'DMR 001C TIN &amp; TP'!$A$2:$M$2,0))),"")</f>
        <v>0.06</v>
      </c>
      <c r="AW213" s="6">
        <f t="array" ref="AW213">_xlfn.IFNA((INDEX('DMR 001C TIN &amp; TP'!$A$3:$M$10005,MATCH(('Reg 85'!$AQ$6&amp;'Reg 85'!$AU$10&amp;'Reg 85'!$B213),('DMR 001C TIN &amp; TP'!$E$3:$E$10005&amp;'DMR 001C TIN &amp; TP'!$B$3:$B$10005&amp;'DMR 001C TIN &amp; TP'!$A$3:$A$10005),0),MATCH('Reg 85'!$AW$11,'DMR 001C TIN &amp; TP'!$A$2:$M$2,0))),"")</f>
        <v>5.49</v>
      </c>
      <c r="AX213" s="53">
        <f t="shared" si="98"/>
        <v>5.49</v>
      </c>
      <c r="AY213" s="55">
        <f t="shared" si="99"/>
        <v>3.0183858055202499</v>
      </c>
      <c r="AZ213" s="77" t="str">
        <f t="shared" si="82"/>
        <v/>
      </c>
      <c r="BA213" s="6" t="str">
        <f t="array" ref="BA213">_xlfn.IFNA((INDEX('DMR 001C TIN &amp; TP'!$A$3:$M$10005,MATCH(('Reg 85'!$AQ$6&amp;'Reg 85'!BA$10&amp;'Reg 85'!$B213),('DMR 001C TIN &amp; TP'!$E$3:$E$10005&amp;'DMR 001C TIN &amp; TP'!$B$3:$B$10005&amp;'DMR 001C TIN &amp; TP'!$A$3:$A$10005),0),MATCH('Reg 85'!$AG$11,'DMR 001C TIN &amp; TP'!$A$2:$M$2,0))),"")</f>
        <v/>
      </c>
      <c r="BB213" s="6" t="str">
        <f t="array" ref="BB213">_xlfn.IFNA((INDEX('DMR 001C TIN &amp; TP'!$A$3:$M$10005,MATCH(('Reg 85'!$AQ$6&amp;'Reg 85'!BB$10&amp;'Reg 85'!$B213),('DMR 001C TIN &amp; TP'!$E$3:$E$10005&amp;'DMR 001C TIN &amp; TP'!$B$3:$B$10005&amp;'DMR 001C TIN &amp; TP'!$A$3:$A$10005),0),MATCH('Reg 85'!$AG$11,'DMR 001C TIN &amp; TP'!$A$2:$M$2,0))),"")</f>
        <v/>
      </c>
      <c r="BC213" s="6" t="str">
        <f t="array" ref="BC213">_xlfn.IFNA((INDEX('DMR 001C TIN &amp; TP'!$A$3:$M$10005,MATCH(('Reg 85'!$AQ$6&amp;'Reg 85'!BC$10&amp;'Reg 85'!$B213),('DMR 001C TIN &amp; TP'!$E$3:$E$10005&amp;'DMR 001C TIN &amp; TP'!$B$3:$B$10005&amp;'DMR 001C TIN &amp; TP'!$A$3:$A$10005),0),MATCH('Reg 85'!$AG$11,'DMR 001C TIN &amp; TP'!$A$2:$M$2,0))),"")</f>
        <v/>
      </c>
      <c r="BD213" s="6" t="str">
        <f t="array" ref="BD213">_xlfn.IFNA((INDEX('DMR 001C TIN &amp; TP'!$A$3:$M$10005,MATCH(('Reg 85'!$AQ$6&amp;'Reg 85'!BD$10&amp;'Reg 85'!$B213),('DMR 001C TIN &amp; TP'!$E$3:$E$10005&amp;'DMR 001C TIN &amp; TP'!$B$3:$B$10005&amp;'DMR 001C TIN &amp; TP'!$A$3:$A$10005),0),MATCH('Reg 85'!$AG$11,'DMR 001C TIN &amp; TP'!$A$2:$M$2,0))),"")</f>
        <v/>
      </c>
      <c r="BE213" s="6" t="str">
        <f t="array" ref="BE213">_xlfn.IFNA((INDEX('DMR 001C TIN &amp; TP'!$A$3:$M$10005,MATCH(('Reg 85'!$AQ$6&amp;'Reg 85'!BE$10&amp;'Reg 85'!$B213),('DMR 001C TIN &amp; TP'!$E$3:$E$10005&amp;'DMR 001C TIN &amp; TP'!$B$3:$B$10005&amp;'DMR 001C TIN &amp; TP'!$A$3:$A$10005),0),MATCH('Reg 85'!$AG$11,'DMR 001C TIN &amp; TP'!$A$2:$M$2,0))),"")</f>
        <v/>
      </c>
      <c r="BF213" s="6" t="str">
        <f t="array" ref="BF213">_xlfn.IFNA((INDEX('DMR 001C TIN &amp; TP'!$A$3:$M$10005,MATCH(('Reg 85'!$AQ$6&amp;'Reg 85'!BF$10&amp;'Reg 85'!$B213),('DMR 001C TIN &amp; TP'!$E$3:$E$10005&amp;'DMR 001C TIN &amp; TP'!$B$3:$B$10005&amp;'DMR 001C TIN &amp; TP'!$A$3:$A$10005),0),MATCH('Reg 85'!$AG$11,'DMR 001C TIN &amp; TP'!$A$2:$M$2,0))),"")</f>
        <v/>
      </c>
    </row>
    <row r="214" spans="1:58">
      <c r="A214" s="3" t="str">
        <f t="shared" si="84"/>
        <v>Fri</v>
      </c>
      <c r="B214" s="96">
        <f t="shared" si="100"/>
        <v>43546</v>
      </c>
      <c r="C214" s="96">
        <f t="shared" si="85"/>
        <v>43555</v>
      </c>
      <c r="D214" s="96">
        <f t="shared" si="86"/>
        <v>43525</v>
      </c>
      <c r="E214" s="95">
        <f t="shared" si="87"/>
        <v>31</v>
      </c>
      <c r="F214" s="7">
        <f t="array" ref="F214">_xlfn.IFNA(INDEX('DMR Flows-Effluent'!$A$3:$F$9999,MATCH(($F$10&amp;$B214),('DMR Flows-Effluent'!$B$3:$B$9999&amp;'DMR Flows-Effluent'!$A$3:$A$9999),0),MATCH($F$8,'DMR Flows-Effluent'!$A$2:$F$2,0)),"")</f>
        <v>63.3857</v>
      </c>
      <c r="G214" s="7">
        <f t="array" ref="G214">_xlfn.IFNA(INDEX('DMR Flows-Effluent'!$A$3:$F$9999,MATCH(($G$10&amp;$B214),('DMR Flows-Effluent'!$B$3:$B$9999&amp;'DMR Flows-Effluent'!$A$3:$A$9999),0),MATCH($F$8,'DMR Flows-Effluent'!$A$2:$F$2,0)),"")</f>
        <v>67.533100000000005</v>
      </c>
      <c r="H214" s="7">
        <f t="shared" si="88"/>
        <v>130.9188</v>
      </c>
      <c r="I214" s="45" t="str">
        <f t="shared" si="89"/>
        <v/>
      </c>
      <c r="J214" s="6" t="str">
        <f t="array" ref="J214">_xlfn.IFNA((INDEX('DMR 001C TIN &amp; TP'!$A$3:$M$10005,MATCH(('Reg 85'!$I$6:$Q$6&amp;'Reg 85'!$I$10:$K$10&amp;'Reg 85'!$B214),('DMR 001C TIN &amp; TP'!$E$3:$E$10005&amp;'DMR 001C TIN &amp; TP'!$B$3:$B$10005&amp;'DMR 001C TIN &amp; TP'!$A$3:$A$10005),0),MATCH('Reg 85'!$J$11,'DMR 001C TIN &amp; TP'!$A$2:$M$2,0))),"")</f>
        <v/>
      </c>
      <c r="K214" s="6" t="str">
        <f t="array" ref="K214">_xlfn.IFNA((INDEX('DMR 001C TIN &amp; TP'!$A$3:$M$10005,MATCH(('Reg 85'!$I$6:$Q$6&amp;'Reg 85'!$I$10:$K$10&amp;'Reg 85'!$B214),('DMR 001C TIN &amp; TP'!$E$3:$E$10005&amp;'DMR 001C TIN &amp; TP'!$B$3:$B$10005&amp;'DMR 001C TIN &amp; TP'!$A$3:$A$10005),0),MATCH('Reg 85'!$K$11,'DMR 001C TIN &amp; TP'!$A$2:$M$2,0))),"")</f>
        <v/>
      </c>
      <c r="L214" s="53" t="str">
        <f t="shared" si="101"/>
        <v/>
      </c>
      <c r="M214" s="5" t="str">
        <f t="shared" si="90"/>
        <v/>
      </c>
      <c r="N214" s="6" t="str">
        <f t="array" ref="N214">_xlfn.IFNA((INDEX('DMR 001C TIN &amp; TP'!$A$3:$M$10005,MATCH(('Reg 85'!$I$6:$Q$6&amp;'Reg 85'!$M$10&amp;'Reg 85'!$B214),('DMR 001C TIN &amp; TP'!$E$3:$E$10005&amp;'DMR 001C TIN &amp; TP'!$B$3:$B$10005&amp;'DMR 001C TIN &amp; TP'!$A$3:$A$10005),0),MATCH('Reg 85'!$N$11,'DMR 001C TIN &amp; TP'!$A$2:$M$2,0))),"")</f>
        <v/>
      </c>
      <c r="O214" s="6" t="str">
        <f t="array" ref="O214">_xlfn.IFNA((INDEX('DMR 001C TIN &amp; TP'!$A$3:$M$10005,MATCH(('Reg 85'!$I$6:$Q$6&amp;'Reg 85'!$M$10&amp;'Reg 85'!$B214),('DMR 001C TIN &amp; TP'!$E$3:$E$10005&amp;'DMR 001C TIN &amp; TP'!$B$3:$B$10005&amp;'DMR 001C TIN &amp; TP'!$A$3:$A$10005),0),MATCH('Reg 85'!$O$11,'DMR 001C TIN &amp; TP'!$A$2:$M$2,0))),"")</f>
        <v/>
      </c>
      <c r="P214" s="53" t="str">
        <f t="shared" si="91"/>
        <v/>
      </c>
      <c r="Q214" s="73" t="str">
        <f t="array" ref="Q214">IFERROR(((L214*$F214)+(P214*$G214))/($H214),"")</f>
        <v/>
      </c>
      <c r="R214" s="6" t="str">
        <f t="array" ref="R214">_xlfn.IFNA((INDEX('DMR 001C TIN &amp; TP'!$A$3:$M$10005,MATCH(('Reg 85'!$I$6:$Q$6&amp;'Reg 85'!R$10&amp;'Reg 85'!$B214),('DMR 001C TIN &amp; TP'!$E$3:$E$10005&amp;'DMR 001C TIN &amp; TP'!$B$3:$B$10005&amp;'DMR 001C TIN &amp; TP'!$A$3:$A$10005),0),MATCH('Reg 85'!$O$11,'DMR 001C TIN &amp; TP'!$A$2:$M$2,0))),"")</f>
        <v/>
      </c>
      <c r="S214" s="6" t="str">
        <f t="array" ref="S214">_xlfn.IFNA((INDEX('DMR 001C TIN &amp; TP'!$A$3:$M$10005,MATCH(('Reg 85'!$I$6:$Q$6&amp;'Reg 85'!S$10&amp;'Reg 85'!$B214),('DMR 001C TIN &amp; TP'!$E$3:$E$10005&amp;'DMR 001C TIN &amp; TP'!$B$3:$B$10005&amp;'DMR 001C TIN &amp; TP'!$A$3:$A$10005),0),MATCH('Reg 85'!$O$11,'DMR 001C TIN &amp; TP'!$A$2:$M$2,0))),"")</f>
        <v/>
      </c>
      <c r="T214" s="6" t="str">
        <f t="array" ref="T214">_xlfn.IFNA((INDEX('DMR 001C TIN &amp; TP'!$A$3:$M$10005,MATCH(('Reg 85'!$I$6:$Q$6&amp;'Reg 85'!T$10&amp;'Reg 85'!$B214),('DMR 001C TIN &amp; TP'!$E$3:$E$10005&amp;'DMR 001C TIN &amp; TP'!$B$3:$B$10005&amp;'DMR 001C TIN &amp; TP'!$A$3:$A$10005),0),MATCH('Reg 85'!$O$11,'DMR 001C TIN &amp; TP'!$A$2:$M$2,0))),"")</f>
        <v/>
      </c>
      <c r="U214" s="6" t="str">
        <f t="array" ref="U214">_xlfn.IFNA((INDEX('DMR 001C TIN &amp; TP'!$A$3:$M$10005,MATCH(('Reg 85'!$I$6:$Q$6&amp;'Reg 85'!U$10&amp;'Reg 85'!$B214),('DMR 001C TIN &amp; TP'!$E$3:$E$10005&amp;'DMR 001C TIN &amp; TP'!$B$3:$B$10005&amp;'DMR 001C TIN &amp; TP'!$A$3:$A$10005),0),MATCH('Reg 85'!$O$11,'DMR 001C TIN &amp; TP'!$A$2:$M$2,0))),"")</f>
        <v/>
      </c>
      <c r="V214" s="6" t="str">
        <f t="array" ref="V214">_xlfn.IFNA((INDEX('DMR 001C TIN &amp; TP'!$A$3:$M$10005,MATCH(('Reg 85'!$I$6:$Q$6&amp;'Reg 85'!V$10&amp;'Reg 85'!$B214),('DMR 001C TIN &amp; TP'!$E$3:$E$10005&amp;'DMR 001C TIN &amp; TP'!$B$3:$B$10005&amp;'DMR 001C TIN &amp; TP'!$A$3:$A$10005),0),MATCH('Reg 85'!$O$11,'DMR 001C TIN &amp; TP'!$A$2:$M$2,0))),"")</f>
        <v/>
      </c>
      <c r="W214" s="6" t="str">
        <f t="array" ref="W214">_xlfn.IFNA((INDEX('DMR 001C TIN &amp; TP'!$A$3:$M$10005,MATCH(('Reg 85'!$I$6:$Q$6&amp;'Reg 85'!W$10&amp;'Reg 85'!$B214),('DMR 001C TIN &amp; TP'!$E$3:$E$10005&amp;'DMR 001C TIN &amp; TP'!$B$3:$B$10005&amp;'DMR 001C TIN &amp; TP'!$A$3:$A$10005),0),MATCH('Reg 85'!$O$11,'DMR 001C TIN &amp; TP'!$A$2:$M$2,0))),"")</f>
        <v/>
      </c>
      <c r="X214" s="5" t="str">
        <f t="shared" si="92"/>
        <v/>
      </c>
      <c r="Y214" s="6" t="str">
        <f t="array" ref="Y214">_xlfn.IFNA((INDEX('DMR 001C TIN &amp; TP'!$A$3:$M$10005,MATCH(('Reg 85'!$X$6&amp;'Reg 85'!$X$10&amp;'Reg 85'!$B214),('DMR 001C TIN &amp; TP'!$E$3:$E$10005&amp;'DMR 001C TIN &amp; TP'!$B$3:$B$10005&amp;'DMR 001C TIN &amp; TP'!$A$3:$A$10005),0),MATCH('Reg 85'!$Y$11,'DMR 001C TIN &amp; TP'!$A$2:$M$2,0))),"")</f>
        <v/>
      </c>
      <c r="Z214" s="6" t="str">
        <f t="array" ref="Z214">_xlfn.IFNA((INDEX('DMR 001C TIN &amp; TP'!$A$3:$M$10005,MATCH(('Reg 85'!$X$6&amp;'Reg 85'!$X$10&amp;'Reg 85'!$B214),('DMR 001C TIN &amp; TP'!$E$3:$E$10005&amp;'DMR 001C TIN &amp; TP'!$B$3:$B$10005&amp;'DMR 001C TIN &amp; TP'!$A$3:$A$10005),0),MATCH('Reg 85'!$Z$11,'DMR 001C TIN &amp; TP'!$A$2:$M$2,0))),"")</f>
        <v/>
      </c>
      <c r="AA214" s="53" t="str">
        <f t="shared" si="93"/>
        <v/>
      </c>
      <c r="AB214" s="5" t="str">
        <f t="shared" si="94"/>
        <v/>
      </c>
      <c r="AC214" s="6" t="str">
        <f t="array" ref="AC214">_xlfn.IFNA((INDEX('DMR 001C TIN &amp; TP'!$A$3:$M$10005,MATCH(('Reg 85'!$X$6&amp;'Reg 85'!$AB$10&amp;'Reg 85'!$B214),('DMR 001C TIN &amp; TP'!$E$3:$E$10005&amp;'DMR 001C TIN &amp; TP'!$B$3:$B$10005&amp;'DMR 001C TIN &amp; TP'!$A$3:$A$10005),0),MATCH('Reg 85'!$AC$11,'DMR 001C TIN &amp; TP'!$A$2:$M$2,0))),"")</f>
        <v/>
      </c>
      <c r="AD214" s="6" t="str">
        <f t="array" ref="AD214">_xlfn.IFNA((INDEX('DMR 001C TIN &amp; TP'!$A$3:$M$10005,MATCH(('Reg 85'!$X$6&amp;'Reg 85'!$AB$10&amp;'Reg 85'!$B214),('DMR 001C TIN &amp; TP'!$E$3:$E$10005&amp;'DMR 001C TIN &amp; TP'!$B$3:$B$10005&amp;'DMR 001C TIN &amp; TP'!$A$3:$A$10005),0),MATCH('Reg 85'!$AD$11,'DMR 001C TIN &amp; TP'!$A$2:$M$2,0))),"")</f>
        <v/>
      </c>
      <c r="AE214" s="53" t="str">
        <f t="shared" si="95"/>
        <v/>
      </c>
      <c r="AF214" s="7" t="str">
        <f t="shared" si="96"/>
        <v/>
      </c>
      <c r="AG214" s="6" t="str">
        <f t="array" ref="AG214">_xlfn.IFNA((INDEX('DMR 001C TIN &amp; TP'!$A$3:$M$10005,MATCH(('Reg 85'!$X$6&amp;'Reg 85'!AG$10&amp;'Reg 85'!$B214),('DMR 001C TIN &amp; TP'!$E$3:$E$10005&amp;'DMR 001C TIN &amp; TP'!$B$3:$B$10005&amp;'DMR 001C TIN &amp; TP'!$A$3:$A$10005),0),MATCH('Reg 85'!$AG$11,'DMR 001C TIN &amp; TP'!$A$2:$M$2,0))),"")</f>
        <v/>
      </c>
      <c r="AH214" s="6" t="str">
        <f t="array" ref="AH214">_xlfn.IFNA((INDEX('DMR 001C TIN &amp; TP'!$A$3:$M$10005,MATCH(('Reg 85'!$X$6&amp;'Reg 85'!AH$10&amp;'Reg 85'!$B214),('DMR 001C TIN &amp; TP'!$E$3:$E$10005&amp;'DMR 001C TIN &amp; TP'!$B$3:$B$10005&amp;'DMR 001C TIN &amp; TP'!$A$3:$A$10005),0),MATCH('Reg 85'!$AG$11,'DMR 001C TIN &amp; TP'!$A$2:$M$2,0))),"")</f>
        <v/>
      </c>
      <c r="AI214" s="6" t="str">
        <f t="array" ref="AI214">_xlfn.IFNA((INDEX('DMR 001C TIN &amp; TP'!$A$3:$M$10005,MATCH(('Reg 85'!$X$6&amp;'Reg 85'!AI$10&amp;'Reg 85'!$B214),('DMR 001C TIN &amp; TP'!$E$3:$E$10005&amp;'DMR 001C TIN &amp; TP'!$B$3:$B$10005&amp;'DMR 001C TIN &amp; TP'!$A$3:$A$10005),0),MATCH('Reg 85'!$AG$11,'DMR 001C TIN &amp; TP'!$A$2:$M$2,0))),"")</f>
        <v/>
      </c>
      <c r="AJ214" s="6" t="str">
        <f t="array" ref="AJ214">_xlfn.IFNA((INDEX('DMR 001C TIN &amp; TP'!$A$3:$M$10005,MATCH(('Reg 85'!$X$6&amp;'Reg 85'!AJ$10&amp;'Reg 85'!$B214),('DMR 001C TIN &amp; TP'!$E$3:$E$10005&amp;'DMR 001C TIN &amp; TP'!$B$3:$B$10005&amp;'DMR 001C TIN &amp; TP'!$A$3:$A$10005),0),MATCH('Reg 85'!$AG$11,'DMR 001C TIN &amp; TP'!$A$2:$M$2,0))),"")</f>
        <v/>
      </c>
      <c r="AK214" s="6" t="str">
        <f t="array" ref="AK214">_xlfn.IFNA((INDEX('DMR 001C TIN &amp; TP'!$A$3:$M$10005,MATCH(('Reg 85'!$X$6&amp;'Reg 85'!AK$10&amp;'Reg 85'!$B214),('DMR 001C TIN &amp; TP'!$E$3:$E$10005&amp;'DMR 001C TIN &amp; TP'!$B$3:$B$10005&amp;'DMR 001C TIN &amp; TP'!$A$3:$A$10005),0),MATCH('Reg 85'!$AG$11,'DMR 001C TIN &amp; TP'!$A$2:$M$2,0))),"")</f>
        <v/>
      </c>
      <c r="AL214" s="6" t="str">
        <f t="array" ref="AL214">_xlfn.IFNA((INDEX('DMR 001C TIN &amp; TP'!$A$3:$M$10005,MATCH(('Reg 85'!$X$6&amp;'Reg 85'!AL$10&amp;'Reg 85'!$B214),('DMR 001C TIN &amp; TP'!$E$3:$E$10005&amp;'DMR 001C TIN &amp; TP'!$B$3:$B$10005&amp;'DMR 001C TIN &amp; TP'!$A$3:$A$10005),0),MATCH('Reg 85'!$AG$11,'DMR 001C TIN &amp; TP'!$A$2:$M$2,0))),"")</f>
        <v/>
      </c>
      <c r="AM214" s="76"/>
      <c r="AN214" s="6"/>
      <c r="AO214" s="54" t="str">
        <f t="shared" si="83"/>
        <v/>
      </c>
      <c r="AP214" s="77" t="str">
        <f t="shared" si="81"/>
        <v/>
      </c>
      <c r="AQ214" s="47"/>
      <c r="AR214" s="6" t="str">
        <f t="array" ref="AR214">_xlfn.IFNA((INDEX('DMR 001C TIN &amp; TP'!$A$3:$M$10005,MATCH(('Reg 85'!$AQ$6&amp;'Reg 85'!$AQ$10&amp;'Reg 85'!$B214),('DMR 001C TIN &amp; TP'!$E$3:$E$10005&amp;'DMR 001C TIN &amp; TP'!$B$3:$B$10005&amp;'DMR 001C TIN &amp; TP'!$A$3:$A$10005),0),MATCH('Reg 85'!$AR$11,'DMR 001C TIN &amp; TP'!$A$2:$M$2,0))),"")</f>
        <v>0.03</v>
      </c>
      <c r="AS214" s="6">
        <f t="array" ref="AS214">_xlfn.IFNA((INDEX('DMR 001C TIN &amp; TP'!$A$3:$M$10005,MATCH(('Reg 85'!$AQ$6&amp;'Reg 85'!$AQ$10&amp;'Reg 85'!$B214),('DMR 001C TIN &amp; TP'!$E$3:$E$10005&amp;'DMR 001C TIN &amp; TP'!$B$3:$B$10005&amp;'DMR 001C TIN &amp; TP'!$A$3:$A$10005),0),MATCH('Reg 85'!$AS$11,'DMR 001C TIN &amp; TP'!$A$2:$M$2,0))),"")</f>
        <v>0.33</v>
      </c>
      <c r="AT214" s="53">
        <f t="shared" si="97"/>
        <v>0.33</v>
      </c>
      <c r="AV214" s="6" t="str">
        <f t="array" ref="AV214">_xlfn.IFNA((INDEX('DMR 001C TIN &amp; TP'!$A$3:$M$10005,MATCH(('Reg 85'!$AQ$6&amp;'Reg 85'!$AU$10&amp;'Reg 85'!$B214),('DMR 001C TIN &amp; TP'!$E$3:$E$10005&amp;'DMR 001C TIN &amp; TP'!$B$3:$B$10005&amp;'DMR 001C TIN &amp; TP'!$A$3:$A$10005),0),MATCH('Reg 85'!$AV$11,'DMR 001C TIN &amp; TP'!$A$2:$M$2,0))),"")</f>
        <v>0.06</v>
      </c>
      <c r="AW214" s="6">
        <f t="array" ref="AW214">_xlfn.IFNA((INDEX('DMR 001C TIN &amp; TP'!$A$3:$M$10005,MATCH(('Reg 85'!$AQ$6&amp;'Reg 85'!$AU$10&amp;'Reg 85'!$B214),('DMR 001C TIN &amp; TP'!$E$3:$E$10005&amp;'DMR 001C TIN &amp; TP'!$B$3:$B$10005&amp;'DMR 001C TIN &amp; TP'!$A$3:$A$10005),0),MATCH('Reg 85'!$AW$11,'DMR 001C TIN &amp; TP'!$A$2:$M$2,0))),"")</f>
        <v>4.53</v>
      </c>
      <c r="AX214" s="53">
        <f t="shared" si="98"/>
        <v>4.53</v>
      </c>
      <c r="AY214" s="55">
        <f t="shared" si="99"/>
        <v>2.4965262743013228</v>
      </c>
      <c r="AZ214" s="77" t="str">
        <f t="shared" si="82"/>
        <v/>
      </c>
      <c r="BA214" s="6" t="str">
        <f t="array" ref="BA214">_xlfn.IFNA((INDEX('DMR 001C TIN &amp; TP'!$A$3:$M$10005,MATCH(('Reg 85'!$AQ$6&amp;'Reg 85'!BA$10&amp;'Reg 85'!$B214),('DMR 001C TIN &amp; TP'!$E$3:$E$10005&amp;'DMR 001C TIN &amp; TP'!$B$3:$B$10005&amp;'DMR 001C TIN &amp; TP'!$A$3:$A$10005),0),MATCH('Reg 85'!$AG$11,'DMR 001C TIN &amp; TP'!$A$2:$M$2,0))),"")</f>
        <v/>
      </c>
      <c r="BB214" s="6" t="str">
        <f t="array" ref="BB214">_xlfn.IFNA((INDEX('DMR 001C TIN &amp; TP'!$A$3:$M$10005,MATCH(('Reg 85'!$AQ$6&amp;'Reg 85'!BB$10&amp;'Reg 85'!$B214),('DMR 001C TIN &amp; TP'!$E$3:$E$10005&amp;'DMR 001C TIN &amp; TP'!$B$3:$B$10005&amp;'DMR 001C TIN &amp; TP'!$A$3:$A$10005),0),MATCH('Reg 85'!$AG$11,'DMR 001C TIN &amp; TP'!$A$2:$M$2,0))),"")</f>
        <v/>
      </c>
      <c r="BC214" s="6" t="str">
        <f t="array" ref="BC214">_xlfn.IFNA((INDEX('DMR 001C TIN &amp; TP'!$A$3:$M$10005,MATCH(('Reg 85'!$AQ$6&amp;'Reg 85'!BC$10&amp;'Reg 85'!$B214),('DMR 001C TIN &amp; TP'!$E$3:$E$10005&amp;'DMR 001C TIN &amp; TP'!$B$3:$B$10005&amp;'DMR 001C TIN &amp; TP'!$A$3:$A$10005),0),MATCH('Reg 85'!$AG$11,'DMR 001C TIN &amp; TP'!$A$2:$M$2,0))),"")</f>
        <v/>
      </c>
      <c r="BD214" s="6" t="str">
        <f t="array" ref="BD214">_xlfn.IFNA((INDEX('DMR 001C TIN &amp; TP'!$A$3:$M$10005,MATCH(('Reg 85'!$AQ$6&amp;'Reg 85'!BD$10&amp;'Reg 85'!$B214),('DMR 001C TIN &amp; TP'!$E$3:$E$10005&amp;'DMR 001C TIN &amp; TP'!$B$3:$B$10005&amp;'DMR 001C TIN &amp; TP'!$A$3:$A$10005),0),MATCH('Reg 85'!$AG$11,'DMR 001C TIN &amp; TP'!$A$2:$M$2,0))),"")</f>
        <v/>
      </c>
      <c r="BE214" s="6" t="str">
        <f t="array" ref="BE214">_xlfn.IFNA((INDEX('DMR 001C TIN &amp; TP'!$A$3:$M$10005,MATCH(('Reg 85'!$AQ$6&amp;'Reg 85'!BE$10&amp;'Reg 85'!$B214),('DMR 001C TIN &amp; TP'!$E$3:$E$10005&amp;'DMR 001C TIN &amp; TP'!$B$3:$B$10005&amp;'DMR 001C TIN &amp; TP'!$A$3:$A$10005),0),MATCH('Reg 85'!$AG$11,'DMR 001C TIN &amp; TP'!$A$2:$M$2,0))),"")</f>
        <v/>
      </c>
      <c r="BF214" s="6" t="str">
        <f t="array" ref="BF214">_xlfn.IFNA((INDEX('DMR 001C TIN &amp; TP'!$A$3:$M$10005,MATCH(('Reg 85'!$AQ$6&amp;'Reg 85'!BF$10&amp;'Reg 85'!$B214),('DMR 001C TIN &amp; TP'!$E$3:$E$10005&amp;'DMR 001C TIN &amp; TP'!$B$3:$B$10005&amp;'DMR 001C TIN &amp; TP'!$A$3:$A$10005),0),MATCH('Reg 85'!$AG$11,'DMR 001C TIN &amp; TP'!$A$2:$M$2,0))),"")</f>
        <v/>
      </c>
    </row>
    <row r="215" spans="1:58">
      <c r="A215" s="3" t="str">
        <f t="shared" si="84"/>
        <v>Sat</v>
      </c>
      <c r="B215" s="96">
        <f t="shared" si="100"/>
        <v>43547</v>
      </c>
      <c r="C215" s="96">
        <f t="shared" si="85"/>
        <v>43555</v>
      </c>
      <c r="D215" s="96">
        <f t="shared" si="86"/>
        <v>43525</v>
      </c>
      <c r="E215" s="95">
        <f t="shared" si="87"/>
        <v>31</v>
      </c>
      <c r="F215" s="7">
        <f t="array" ref="F215">_xlfn.IFNA(INDEX('DMR Flows-Effluent'!$A$3:$F$9999,MATCH(($F$10&amp;$B215),('DMR Flows-Effluent'!$B$3:$B$9999&amp;'DMR Flows-Effluent'!$A$3:$A$9999),0),MATCH($F$8,'DMR Flows-Effluent'!$A$2:$F$2,0)),"")</f>
        <v>54.687899999999999</v>
      </c>
      <c r="G215" s="7">
        <f t="array" ref="G215">_xlfn.IFNA(INDEX('DMR Flows-Effluent'!$A$3:$F$9999,MATCH(($G$10&amp;$B215),('DMR Flows-Effluent'!$B$3:$B$9999&amp;'DMR Flows-Effluent'!$A$3:$A$9999),0),MATCH($F$8,'DMR Flows-Effluent'!$A$2:$F$2,0)),"")</f>
        <v>67.686999999999998</v>
      </c>
      <c r="H215" s="7">
        <f t="shared" si="88"/>
        <v>122.3749</v>
      </c>
      <c r="I215" s="45" t="str">
        <f t="shared" si="89"/>
        <v/>
      </c>
      <c r="J215" s="6" t="str">
        <f t="array" ref="J215">_xlfn.IFNA((INDEX('DMR 001C TIN &amp; TP'!$A$3:$M$10005,MATCH(('Reg 85'!$I$6:$Q$6&amp;'Reg 85'!$I$10:$K$10&amp;'Reg 85'!$B215),('DMR 001C TIN &amp; TP'!$E$3:$E$10005&amp;'DMR 001C TIN &amp; TP'!$B$3:$B$10005&amp;'DMR 001C TIN &amp; TP'!$A$3:$A$10005),0),MATCH('Reg 85'!$J$11,'DMR 001C TIN &amp; TP'!$A$2:$M$2,0))),"")</f>
        <v/>
      </c>
      <c r="K215" s="6" t="str">
        <f t="array" ref="K215">_xlfn.IFNA((INDEX('DMR 001C TIN &amp; TP'!$A$3:$M$10005,MATCH(('Reg 85'!$I$6:$Q$6&amp;'Reg 85'!$I$10:$K$10&amp;'Reg 85'!$B215),('DMR 001C TIN &amp; TP'!$E$3:$E$10005&amp;'DMR 001C TIN &amp; TP'!$B$3:$B$10005&amp;'DMR 001C TIN &amp; TP'!$A$3:$A$10005),0),MATCH('Reg 85'!$K$11,'DMR 001C TIN &amp; TP'!$A$2:$M$2,0))),"")</f>
        <v/>
      </c>
      <c r="L215" s="53" t="str">
        <f t="shared" si="101"/>
        <v/>
      </c>
      <c r="M215" s="5" t="str">
        <f t="shared" si="90"/>
        <v/>
      </c>
      <c r="N215" s="6" t="str">
        <f t="array" ref="N215">_xlfn.IFNA((INDEX('DMR 001C TIN &amp; TP'!$A$3:$M$10005,MATCH(('Reg 85'!$I$6:$Q$6&amp;'Reg 85'!$M$10&amp;'Reg 85'!$B215),('DMR 001C TIN &amp; TP'!$E$3:$E$10005&amp;'DMR 001C TIN &amp; TP'!$B$3:$B$10005&amp;'DMR 001C TIN &amp; TP'!$A$3:$A$10005),0),MATCH('Reg 85'!$N$11,'DMR 001C TIN &amp; TP'!$A$2:$M$2,0))),"")</f>
        <v/>
      </c>
      <c r="O215" s="6" t="str">
        <f t="array" ref="O215">_xlfn.IFNA((INDEX('DMR 001C TIN &amp; TP'!$A$3:$M$10005,MATCH(('Reg 85'!$I$6:$Q$6&amp;'Reg 85'!$M$10&amp;'Reg 85'!$B215),('DMR 001C TIN &amp; TP'!$E$3:$E$10005&amp;'DMR 001C TIN &amp; TP'!$B$3:$B$10005&amp;'DMR 001C TIN &amp; TP'!$A$3:$A$10005),0),MATCH('Reg 85'!$O$11,'DMR 001C TIN &amp; TP'!$A$2:$M$2,0))),"")</f>
        <v/>
      </c>
      <c r="P215" s="53" t="str">
        <f t="shared" si="91"/>
        <v/>
      </c>
      <c r="Q215" s="73" t="str">
        <f t="array" ref="Q215">IFERROR(((L215*$F215)+(P215*$G215))/($H215),"")</f>
        <v/>
      </c>
      <c r="R215" s="6" t="str">
        <f t="array" ref="R215">_xlfn.IFNA((INDEX('DMR 001C TIN &amp; TP'!$A$3:$M$10005,MATCH(('Reg 85'!$I$6:$Q$6&amp;'Reg 85'!R$10&amp;'Reg 85'!$B215),('DMR 001C TIN &amp; TP'!$E$3:$E$10005&amp;'DMR 001C TIN &amp; TP'!$B$3:$B$10005&amp;'DMR 001C TIN &amp; TP'!$A$3:$A$10005),0),MATCH('Reg 85'!$O$11,'DMR 001C TIN &amp; TP'!$A$2:$M$2,0))),"")</f>
        <v/>
      </c>
      <c r="S215" s="6" t="str">
        <f t="array" ref="S215">_xlfn.IFNA((INDEX('DMR 001C TIN &amp; TP'!$A$3:$M$10005,MATCH(('Reg 85'!$I$6:$Q$6&amp;'Reg 85'!S$10&amp;'Reg 85'!$B215),('DMR 001C TIN &amp; TP'!$E$3:$E$10005&amp;'DMR 001C TIN &amp; TP'!$B$3:$B$10005&amp;'DMR 001C TIN &amp; TP'!$A$3:$A$10005),0),MATCH('Reg 85'!$O$11,'DMR 001C TIN &amp; TP'!$A$2:$M$2,0))),"")</f>
        <v/>
      </c>
      <c r="T215" s="6" t="str">
        <f t="array" ref="T215">_xlfn.IFNA((INDEX('DMR 001C TIN &amp; TP'!$A$3:$M$10005,MATCH(('Reg 85'!$I$6:$Q$6&amp;'Reg 85'!T$10&amp;'Reg 85'!$B215),('DMR 001C TIN &amp; TP'!$E$3:$E$10005&amp;'DMR 001C TIN &amp; TP'!$B$3:$B$10005&amp;'DMR 001C TIN &amp; TP'!$A$3:$A$10005),0),MATCH('Reg 85'!$O$11,'DMR 001C TIN &amp; TP'!$A$2:$M$2,0))),"")</f>
        <v/>
      </c>
      <c r="U215" s="6" t="str">
        <f t="array" ref="U215">_xlfn.IFNA((INDEX('DMR 001C TIN &amp; TP'!$A$3:$M$10005,MATCH(('Reg 85'!$I$6:$Q$6&amp;'Reg 85'!U$10&amp;'Reg 85'!$B215),('DMR 001C TIN &amp; TP'!$E$3:$E$10005&amp;'DMR 001C TIN &amp; TP'!$B$3:$B$10005&amp;'DMR 001C TIN &amp; TP'!$A$3:$A$10005),0),MATCH('Reg 85'!$O$11,'DMR 001C TIN &amp; TP'!$A$2:$M$2,0))),"")</f>
        <v/>
      </c>
      <c r="V215" s="6" t="str">
        <f t="array" ref="V215">_xlfn.IFNA((INDEX('DMR 001C TIN &amp; TP'!$A$3:$M$10005,MATCH(('Reg 85'!$I$6:$Q$6&amp;'Reg 85'!V$10&amp;'Reg 85'!$B215),('DMR 001C TIN &amp; TP'!$E$3:$E$10005&amp;'DMR 001C TIN &amp; TP'!$B$3:$B$10005&amp;'DMR 001C TIN &amp; TP'!$A$3:$A$10005),0),MATCH('Reg 85'!$O$11,'DMR 001C TIN &amp; TP'!$A$2:$M$2,0))),"")</f>
        <v/>
      </c>
      <c r="W215" s="6" t="str">
        <f t="array" ref="W215">_xlfn.IFNA((INDEX('DMR 001C TIN &amp; TP'!$A$3:$M$10005,MATCH(('Reg 85'!$I$6:$Q$6&amp;'Reg 85'!W$10&amp;'Reg 85'!$B215),('DMR 001C TIN &amp; TP'!$E$3:$E$10005&amp;'DMR 001C TIN &amp; TP'!$B$3:$B$10005&amp;'DMR 001C TIN &amp; TP'!$A$3:$A$10005),0),MATCH('Reg 85'!$O$11,'DMR 001C TIN &amp; TP'!$A$2:$M$2,0))),"")</f>
        <v/>
      </c>
      <c r="X215" s="5" t="str">
        <f t="shared" si="92"/>
        <v/>
      </c>
      <c r="Y215" s="6" t="str">
        <f t="array" ref="Y215">_xlfn.IFNA((INDEX('DMR 001C TIN &amp; TP'!$A$3:$M$10005,MATCH(('Reg 85'!$X$6&amp;'Reg 85'!$X$10&amp;'Reg 85'!$B215),('DMR 001C TIN &amp; TP'!$E$3:$E$10005&amp;'DMR 001C TIN &amp; TP'!$B$3:$B$10005&amp;'DMR 001C TIN &amp; TP'!$A$3:$A$10005),0),MATCH('Reg 85'!$Y$11,'DMR 001C TIN &amp; TP'!$A$2:$M$2,0))),"")</f>
        <v/>
      </c>
      <c r="Z215" s="6" t="str">
        <f t="array" ref="Z215">_xlfn.IFNA((INDEX('DMR 001C TIN &amp; TP'!$A$3:$M$10005,MATCH(('Reg 85'!$X$6&amp;'Reg 85'!$X$10&amp;'Reg 85'!$B215),('DMR 001C TIN &amp; TP'!$E$3:$E$10005&amp;'DMR 001C TIN &amp; TP'!$B$3:$B$10005&amp;'DMR 001C TIN &amp; TP'!$A$3:$A$10005),0),MATCH('Reg 85'!$Z$11,'DMR 001C TIN &amp; TP'!$A$2:$M$2,0))),"")</f>
        <v/>
      </c>
      <c r="AA215" s="53" t="str">
        <f t="shared" si="93"/>
        <v/>
      </c>
      <c r="AB215" s="5" t="str">
        <f t="shared" si="94"/>
        <v/>
      </c>
      <c r="AC215" s="6" t="str">
        <f t="array" ref="AC215">_xlfn.IFNA((INDEX('DMR 001C TIN &amp; TP'!$A$3:$M$10005,MATCH(('Reg 85'!$X$6&amp;'Reg 85'!$AB$10&amp;'Reg 85'!$B215),('DMR 001C TIN &amp; TP'!$E$3:$E$10005&amp;'DMR 001C TIN &amp; TP'!$B$3:$B$10005&amp;'DMR 001C TIN &amp; TP'!$A$3:$A$10005),0),MATCH('Reg 85'!$AC$11,'DMR 001C TIN &amp; TP'!$A$2:$M$2,0))),"")</f>
        <v/>
      </c>
      <c r="AD215" s="6" t="str">
        <f t="array" ref="AD215">_xlfn.IFNA((INDEX('DMR 001C TIN &amp; TP'!$A$3:$M$10005,MATCH(('Reg 85'!$X$6&amp;'Reg 85'!$AB$10&amp;'Reg 85'!$B215),('DMR 001C TIN &amp; TP'!$E$3:$E$10005&amp;'DMR 001C TIN &amp; TP'!$B$3:$B$10005&amp;'DMR 001C TIN &amp; TP'!$A$3:$A$10005),0),MATCH('Reg 85'!$AD$11,'DMR 001C TIN &amp; TP'!$A$2:$M$2,0))),"")</f>
        <v/>
      </c>
      <c r="AE215" s="53" t="str">
        <f t="shared" si="95"/>
        <v/>
      </c>
      <c r="AF215" s="7" t="str">
        <f t="shared" si="96"/>
        <v/>
      </c>
      <c r="AG215" s="6" t="str">
        <f t="array" ref="AG215">_xlfn.IFNA((INDEX('DMR 001C TIN &amp; TP'!$A$3:$M$10005,MATCH(('Reg 85'!$X$6&amp;'Reg 85'!AG$10&amp;'Reg 85'!$B215),('DMR 001C TIN &amp; TP'!$E$3:$E$10005&amp;'DMR 001C TIN &amp; TP'!$B$3:$B$10005&amp;'DMR 001C TIN &amp; TP'!$A$3:$A$10005),0),MATCH('Reg 85'!$AG$11,'DMR 001C TIN &amp; TP'!$A$2:$M$2,0))),"")</f>
        <v/>
      </c>
      <c r="AH215" s="6" t="str">
        <f t="array" ref="AH215">_xlfn.IFNA((INDEX('DMR 001C TIN &amp; TP'!$A$3:$M$10005,MATCH(('Reg 85'!$X$6&amp;'Reg 85'!AH$10&amp;'Reg 85'!$B215),('DMR 001C TIN &amp; TP'!$E$3:$E$10005&amp;'DMR 001C TIN &amp; TP'!$B$3:$B$10005&amp;'DMR 001C TIN &amp; TP'!$A$3:$A$10005),0),MATCH('Reg 85'!$AG$11,'DMR 001C TIN &amp; TP'!$A$2:$M$2,0))),"")</f>
        <v/>
      </c>
      <c r="AI215" s="6" t="str">
        <f t="array" ref="AI215">_xlfn.IFNA((INDEX('DMR 001C TIN &amp; TP'!$A$3:$M$10005,MATCH(('Reg 85'!$X$6&amp;'Reg 85'!AI$10&amp;'Reg 85'!$B215),('DMR 001C TIN &amp; TP'!$E$3:$E$10005&amp;'DMR 001C TIN &amp; TP'!$B$3:$B$10005&amp;'DMR 001C TIN &amp; TP'!$A$3:$A$10005),0),MATCH('Reg 85'!$AG$11,'DMR 001C TIN &amp; TP'!$A$2:$M$2,0))),"")</f>
        <v/>
      </c>
      <c r="AJ215" s="6" t="str">
        <f t="array" ref="AJ215">_xlfn.IFNA((INDEX('DMR 001C TIN &amp; TP'!$A$3:$M$10005,MATCH(('Reg 85'!$X$6&amp;'Reg 85'!AJ$10&amp;'Reg 85'!$B215),('DMR 001C TIN &amp; TP'!$E$3:$E$10005&amp;'DMR 001C TIN &amp; TP'!$B$3:$B$10005&amp;'DMR 001C TIN &amp; TP'!$A$3:$A$10005),0),MATCH('Reg 85'!$AG$11,'DMR 001C TIN &amp; TP'!$A$2:$M$2,0))),"")</f>
        <v/>
      </c>
      <c r="AK215" s="6" t="str">
        <f t="array" ref="AK215">_xlfn.IFNA((INDEX('DMR 001C TIN &amp; TP'!$A$3:$M$10005,MATCH(('Reg 85'!$X$6&amp;'Reg 85'!AK$10&amp;'Reg 85'!$B215),('DMR 001C TIN &amp; TP'!$E$3:$E$10005&amp;'DMR 001C TIN &amp; TP'!$B$3:$B$10005&amp;'DMR 001C TIN &amp; TP'!$A$3:$A$10005),0),MATCH('Reg 85'!$AG$11,'DMR 001C TIN &amp; TP'!$A$2:$M$2,0))),"")</f>
        <v/>
      </c>
      <c r="AL215" s="6" t="str">
        <f t="array" ref="AL215">_xlfn.IFNA((INDEX('DMR 001C TIN &amp; TP'!$A$3:$M$10005,MATCH(('Reg 85'!$X$6&amp;'Reg 85'!AL$10&amp;'Reg 85'!$B215),('DMR 001C TIN &amp; TP'!$E$3:$E$10005&amp;'DMR 001C TIN &amp; TP'!$B$3:$B$10005&amp;'DMR 001C TIN &amp; TP'!$A$3:$A$10005),0),MATCH('Reg 85'!$AG$11,'DMR 001C TIN &amp; TP'!$A$2:$M$2,0))),"")</f>
        <v/>
      </c>
      <c r="AM215" s="76"/>
      <c r="AN215" s="6"/>
      <c r="AO215" s="54" t="str">
        <f t="shared" si="83"/>
        <v/>
      </c>
      <c r="AP215" s="77" t="str">
        <f t="shared" si="81"/>
        <v/>
      </c>
      <c r="AQ215" s="47"/>
      <c r="AR215" s="6" t="str">
        <f t="array" ref="AR215">_xlfn.IFNA((INDEX('DMR 001C TIN &amp; TP'!$A$3:$M$10005,MATCH(('Reg 85'!$AQ$6&amp;'Reg 85'!$AQ$10&amp;'Reg 85'!$B215),('DMR 001C TIN &amp; TP'!$E$3:$E$10005&amp;'DMR 001C TIN &amp; TP'!$B$3:$B$10005&amp;'DMR 001C TIN &amp; TP'!$A$3:$A$10005),0),MATCH('Reg 85'!$AR$11,'DMR 001C TIN &amp; TP'!$A$2:$M$2,0))),"")</f>
        <v>0.03</v>
      </c>
      <c r="AS215" s="6">
        <f t="array" ref="AS215">_xlfn.IFNA((INDEX('DMR 001C TIN &amp; TP'!$A$3:$M$10005,MATCH(('Reg 85'!$AQ$6&amp;'Reg 85'!$AQ$10&amp;'Reg 85'!$B215),('DMR 001C TIN &amp; TP'!$E$3:$E$10005&amp;'DMR 001C TIN &amp; TP'!$B$3:$B$10005&amp;'DMR 001C TIN &amp; TP'!$A$3:$A$10005),0),MATCH('Reg 85'!$AS$11,'DMR 001C TIN &amp; TP'!$A$2:$M$2,0))),"")</f>
        <v>0.3</v>
      </c>
      <c r="AT215" s="53">
        <f t="shared" si="97"/>
        <v>0.3</v>
      </c>
      <c r="AV215" s="6" t="str">
        <f t="array" ref="AV215">_xlfn.IFNA((INDEX('DMR 001C TIN &amp; TP'!$A$3:$M$10005,MATCH(('Reg 85'!$AQ$6&amp;'Reg 85'!$AU$10&amp;'Reg 85'!$B215),('DMR 001C TIN &amp; TP'!$E$3:$E$10005&amp;'DMR 001C TIN &amp; TP'!$B$3:$B$10005&amp;'DMR 001C TIN &amp; TP'!$A$3:$A$10005),0),MATCH('Reg 85'!$AV$11,'DMR 001C TIN &amp; TP'!$A$2:$M$2,0))),"")</f>
        <v>0.06</v>
      </c>
      <c r="AW215" s="6">
        <f t="array" ref="AW215">_xlfn.IFNA((INDEX('DMR 001C TIN &amp; TP'!$A$3:$M$10005,MATCH(('Reg 85'!$AQ$6&amp;'Reg 85'!$AU$10&amp;'Reg 85'!$B215),('DMR 001C TIN &amp; TP'!$E$3:$E$10005&amp;'DMR 001C TIN &amp; TP'!$B$3:$B$10005&amp;'DMR 001C TIN &amp; TP'!$A$3:$A$10005),0),MATCH('Reg 85'!$AW$11,'DMR 001C TIN &amp; TP'!$A$2:$M$2,0))),"")</f>
        <v>4.18</v>
      </c>
      <c r="AX215" s="53">
        <f t="shared" si="98"/>
        <v>4.18</v>
      </c>
      <c r="AY215" s="55">
        <f t="shared" si="99"/>
        <v>2.4460737455148069</v>
      </c>
      <c r="AZ215" s="77" t="str">
        <f t="shared" si="82"/>
        <v/>
      </c>
      <c r="BA215" s="6" t="str">
        <f t="array" ref="BA215">_xlfn.IFNA((INDEX('DMR 001C TIN &amp; TP'!$A$3:$M$10005,MATCH(('Reg 85'!$AQ$6&amp;'Reg 85'!BA$10&amp;'Reg 85'!$B215),('DMR 001C TIN &amp; TP'!$E$3:$E$10005&amp;'DMR 001C TIN &amp; TP'!$B$3:$B$10005&amp;'DMR 001C TIN &amp; TP'!$A$3:$A$10005),0),MATCH('Reg 85'!$AG$11,'DMR 001C TIN &amp; TP'!$A$2:$M$2,0))),"")</f>
        <v/>
      </c>
      <c r="BB215" s="6" t="str">
        <f t="array" ref="BB215">_xlfn.IFNA((INDEX('DMR 001C TIN &amp; TP'!$A$3:$M$10005,MATCH(('Reg 85'!$AQ$6&amp;'Reg 85'!BB$10&amp;'Reg 85'!$B215),('DMR 001C TIN &amp; TP'!$E$3:$E$10005&amp;'DMR 001C TIN &amp; TP'!$B$3:$B$10005&amp;'DMR 001C TIN &amp; TP'!$A$3:$A$10005),0),MATCH('Reg 85'!$AG$11,'DMR 001C TIN &amp; TP'!$A$2:$M$2,0))),"")</f>
        <v/>
      </c>
      <c r="BC215" s="6" t="str">
        <f t="array" ref="BC215">_xlfn.IFNA((INDEX('DMR 001C TIN &amp; TP'!$A$3:$M$10005,MATCH(('Reg 85'!$AQ$6&amp;'Reg 85'!BC$10&amp;'Reg 85'!$B215),('DMR 001C TIN &amp; TP'!$E$3:$E$10005&amp;'DMR 001C TIN &amp; TP'!$B$3:$B$10005&amp;'DMR 001C TIN &amp; TP'!$A$3:$A$10005),0),MATCH('Reg 85'!$AG$11,'DMR 001C TIN &amp; TP'!$A$2:$M$2,0))),"")</f>
        <v/>
      </c>
      <c r="BD215" s="6" t="str">
        <f t="array" ref="BD215">_xlfn.IFNA((INDEX('DMR 001C TIN &amp; TP'!$A$3:$M$10005,MATCH(('Reg 85'!$AQ$6&amp;'Reg 85'!BD$10&amp;'Reg 85'!$B215),('DMR 001C TIN &amp; TP'!$E$3:$E$10005&amp;'DMR 001C TIN &amp; TP'!$B$3:$B$10005&amp;'DMR 001C TIN &amp; TP'!$A$3:$A$10005),0),MATCH('Reg 85'!$AG$11,'DMR 001C TIN &amp; TP'!$A$2:$M$2,0))),"")</f>
        <v/>
      </c>
      <c r="BE215" s="6" t="str">
        <f t="array" ref="BE215">_xlfn.IFNA((INDEX('DMR 001C TIN &amp; TP'!$A$3:$M$10005,MATCH(('Reg 85'!$AQ$6&amp;'Reg 85'!BE$10&amp;'Reg 85'!$B215),('DMR 001C TIN &amp; TP'!$E$3:$E$10005&amp;'DMR 001C TIN &amp; TP'!$B$3:$B$10005&amp;'DMR 001C TIN &amp; TP'!$A$3:$A$10005),0),MATCH('Reg 85'!$AG$11,'DMR 001C TIN &amp; TP'!$A$2:$M$2,0))),"")</f>
        <v/>
      </c>
      <c r="BF215" s="6" t="str">
        <f t="array" ref="BF215">_xlfn.IFNA((INDEX('DMR 001C TIN &amp; TP'!$A$3:$M$10005,MATCH(('Reg 85'!$AQ$6&amp;'Reg 85'!BF$10&amp;'Reg 85'!$B215),('DMR 001C TIN &amp; TP'!$E$3:$E$10005&amp;'DMR 001C TIN &amp; TP'!$B$3:$B$10005&amp;'DMR 001C TIN &amp; TP'!$A$3:$A$10005),0),MATCH('Reg 85'!$AG$11,'DMR 001C TIN &amp; TP'!$A$2:$M$2,0))),"")</f>
        <v/>
      </c>
    </row>
    <row r="216" spans="1:58">
      <c r="A216" s="3" t="str">
        <f t="shared" si="84"/>
        <v>Sun</v>
      </c>
      <c r="B216" s="96">
        <f t="shared" si="100"/>
        <v>43548</v>
      </c>
      <c r="C216" s="96">
        <f t="shared" si="85"/>
        <v>43555</v>
      </c>
      <c r="D216" s="96">
        <f t="shared" si="86"/>
        <v>43525</v>
      </c>
      <c r="E216" s="95">
        <f t="shared" si="87"/>
        <v>31</v>
      </c>
      <c r="F216" s="7">
        <f t="array" ref="F216">_xlfn.IFNA(INDEX('DMR Flows-Effluent'!$A$3:$F$9999,MATCH(($F$10&amp;$B216),('DMR Flows-Effluent'!$B$3:$B$9999&amp;'DMR Flows-Effluent'!$A$3:$A$9999),0),MATCH($F$8,'DMR Flows-Effluent'!$A$2:$F$2,0)),"")</f>
        <v>58.076900000000002</v>
      </c>
      <c r="G216" s="7">
        <f t="array" ref="G216">_xlfn.IFNA(INDEX('DMR Flows-Effluent'!$A$3:$F$9999,MATCH(($G$10&amp;$B216),('DMR Flows-Effluent'!$B$3:$B$9999&amp;'DMR Flows-Effluent'!$A$3:$A$9999),0),MATCH($F$8,'DMR Flows-Effluent'!$A$2:$F$2,0)),"")</f>
        <v>72.200299999999999</v>
      </c>
      <c r="H216" s="7">
        <f t="shared" si="88"/>
        <v>130.27719999999999</v>
      </c>
      <c r="I216" s="45" t="str">
        <f t="shared" si="89"/>
        <v/>
      </c>
      <c r="J216" s="6" t="str">
        <f t="array" ref="J216">_xlfn.IFNA((INDEX('DMR 001C TIN &amp; TP'!$A$3:$M$10005,MATCH(('Reg 85'!$I$6:$Q$6&amp;'Reg 85'!$I$10:$K$10&amp;'Reg 85'!$B216),('DMR 001C TIN &amp; TP'!$E$3:$E$10005&amp;'DMR 001C TIN &amp; TP'!$B$3:$B$10005&amp;'DMR 001C TIN &amp; TP'!$A$3:$A$10005),0),MATCH('Reg 85'!$J$11,'DMR 001C TIN &amp; TP'!$A$2:$M$2,0))),"")</f>
        <v>0.15</v>
      </c>
      <c r="K216" s="6">
        <f t="array" ref="K216">_xlfn.IFNA((INDEX('DMR 001C TIN &amp; TP'!$A$3:$M$10005,MATCH(('Reg 85'!$I$6:$Q$6&amp;'Reg 85'!$I$10:$K$10&amp;'Reg 85'!$B216),('DMR 001C TIN &amp; TP'!$E$3:$E$10005&amp;'DMR 001C TIN &amp; TP'!$B$3:$B$10005&amp;'DMR 001C TIN &amp; TP'!$A$3:$A$10005),0),MATCH('Reg 85'!$K$11,'DMR 001C TIN &amp; TP'!$A$2:$M$2,0))),"")</f>
        <v>0.51</v>
      </c>
      <c r="L216" s="53">
        <f t="shared" si="101"/>
        <v>0.51</v>
      </c>
      <c r="M216" s="5" t="str">
        <f t="shared" si="90"/>
        <v/>
      </c>
      <c r="N216" s="6" t="str">
        <f t="array" ref="N216">_xlfn.IFNA((INDEX('DMR 001C TIN &amp; TP'!$A$3:$M$10005,MATCH(('Reg 85'!$I$6:$Q$6&amp;'Reg 85'!$M$10&amp;'Reg 85'!$B216),('DMR 001C TIN &amp; TP'!$E$3:$E$10005&amp;'DMR 001C TIN &amp; TP'!$B$3:$B$10005&amp;'DMR 001C TIN &amp; TP'!$A$3:$A$10005),0),MATCH('Reg 85'!$N$11,'DMR 001C TIN &amp; TP'!$A$2:$M$2,0))),"")</f>
        <v>0.15</v>
      </c>
      <c r="O216" s="6">
        <f t="array" ref="O216">_xlfn.IFNA((INDEX('DMR 001C TIN &amp; TP'!$A$3:$M$10005,MATCH(('Reg 85'!$I$6:$Q$6&amp;'Reg 85'!$M$10&amp;'Reg 85'!$B216),('DMR 001C TIN &amp; TP'!$E$3:$E$10005&amp;'DMR 001C TIN &amp; TP'!$B$3:$B$10005&amp;'DMR 001C TIN &amp; TP'!$A$3:$A$10005),0),MATCH('Reg 85'!$O$11,'DMR 001C TIN &amp; TP'!$A$2:$M$2,0))),"")</f>
        <v>0.81</v>
      </c>
      <c r="P216" s="53">
        <f t="shared" si="91"/>
        <v>0.81</v>
      </c>
      <c r="Q216" s="73">
        <f t="array" ref="Q216">IFERROR(((L216*$F216)+(P216*$G216))/($H216),"")</f>
        <v>0.67626155612801009</v>
      </c>
      <c r="R216" s="6" t="str">
        <f t="array" ref="R216">_xlfn.IFNA((INDEX('DMR 001C TIN &amp; TP'!$A$3:$M$10005,MATCH(('Reg 85'!$I$6:$Q$6&amp;'Reg 85'!R$10&amp;'Reg 85'!$B216),('DMR 001C TIN &amp; TP'!$E$3:$E$10005&amp;'DMR 001C TIN &amp; TP'!$B$3:$B$10005&amp;'DMR 001C TIN &amp; TP'!$A$3:$A$10005),0),MATCH('Reg 85'!$O$11,'DMR 001C TIN &amp; TP'!$A$2:$M$2,0))),"")</f>
        <v/>
      </c>
      <c r="S216" s="6" t="str">
        <f t="array" ref="S216">_xlfn.IFNA((INDEX('DMR 001C TIN &amp; TP'!$A$3:$M$10005,MATCH(('Reg 85'!$I$6:$Q$6&amp;'Reg 85'!S$10&amp;'Reg 85'!$B216),('DMR 001C TIN &amp; TP'!$E$3:$E$10005&amp;'DMR 001C TIN &amp; TP'!$B$3:$B$10005&amp;'DMR 001C TIN &amp; TP'!$A$3:$A$10005),0),MATCH('Reg 85'!$O$11,'DMR 001C TIN &amp; TP'!$A$2:$M$2,0))),"")</f>
        <v/>
      </c>
      <c r="T216" s="6" t="str">
        <f t="array" ref="T216">_xlfn.IFNA((INDEX('DMR 001C TIN &amp; TP'!$A$3:$M$10005,MATCH(('Reg 85'!$I$6:$Q$6&amp;'Reg 85'!T$10&amp;'Reg 85'!$B216),('DMR 001C TIN &amp; TP'!$E$3:$E$10005&amp;'DMR 001C TIN &amp; TP'!$B$3:$B$10005&amp;'DMR 001C TIN &amp; TP'!$A$3:$A$10005),0),MATCH('Reg 85'!$O$11,'DMR 001C TIN &amp; TP'!$A$2:$M$2,0))),"")</f>
        <v/>
      </c>
      <c r="U216" s="6" t="str">
        <f t="array" ref="U216">_xlfn.IFNA((INDEX('DMR 001C TIN &amp; TP'!$A$3:$M$10005,MATCH(('Reg 85'!$I$6:$Q$6&amp;'Reg 85'!U$10&amp;'Reg 85'!$B216),('DMR 001C TIN &amp; TP'!$E$3:$E$10005&amp;'DMR 001C TIN &amp; TP'!$B$3:$B$10005&amp;'DMR 001C TIN &amp; TP'!$A$3:$A$10005),0),MATCH('Reg 85'!$O$11,'DMR 001C TIN &amp; TP'!$A$2:$M$2,0))),"")</f>
        <v/>
      </c>
      <c r="V216" s="6" t="str">
        <f t="array" ref="V216">_xlfn.IFNA((INDEX('DMR 001C TIN &amp; TP'!$A$3:$M$10005,MATCH(('Reg 85'!$I$6:$Q$6&amp;'Reg 85'!V$10&amp;'Reg 85'!$B216),('DMR 001C TIN &amp; TP'!$E$3:$E$10005&amp;'DMR 001C TIN &amp; TP'!$B$3:$B$10005&amp;'DMR 001C TIN &amp; TP'!$A$3:$A$10005),0),MATCH('Reg 85'!$O$11,'DMR 001C TIN &amp; TP'!$A$2:$M$2,0))),"")</f>
        <v/>
      </c>
      <c r="W216" s="6" t="str">
        <f t="array" ref="W216">_xlfn.IFNA((INDEX('DMR 001C TIN &amp; TP'!$A$3:$M$10005,MATCH(('Reg 85'!$I$6:$Q$6&amp;'Reg 85'!W$10&amp;'Reg 85'!$B216),('DMR 001C TIN &amp; TP'!$E$3:$E$10005&amp;'DMR 001C TIN &amp; TP'!$B$3:$B$10005&amp;'DMR 001C TIN &amp; TP'!$A$3:$A$10005),0),MATCH('Reg 85'!$O$11,'DMR 001C TIN &amp; TP'!$A$2:$M$2,0))),"")</f>
        <v/>
      </c>
      <c r="X216" s="5" t="str">
        <f t="shared" si="92"/>
        <v/>
      </c>
      <c r="Y216" s="6" t="str">
        <f t="array" ref="Y216">_xlfn.IFNA((INDEX('DMR 001C TIN &amp; TP'!$A$3:$M$10005,MATCH(('Reg 85'!$X$6&amp;'Reg 85'!$X$10&amp;'Reg 85'!$B216),('DMR 001C TIN &amp; TP'!$E$3:$E$10005&amp;'DMR 001C TIN &amp; TP'!$B$3:$B$10005&amp;'DMR 001C TIN &amp; TP'!$A$3:$A$10005),0),MATCH('Reg 85'!$Y$11,'DMR 001C TIN &amp; TP'!$A$2:$M$2,0))),"")</f>
        <v>0.06</v>
      </c>
      <c r="Z216" s="6">
        <f t="array" ref="Z216">_xlfn.IFNA((INDEX('DMR 001C TIN &amp; TP'!$A$3:$M$10005,MATCH(('Reg 85'!$X$6&amp;'Reg 85'!$X$10&amp;'Reg 85'!$B216),('DMR 001C TIN &amp; TP'!$E$3:$E$10005&amp;'DMR 001C TIN &amp; TP'!$B$3:$B$10005&amp;'DMR 001C TIN &amp; TP'!$A$3:$A$10005),0),MATCH('Reg 85'!$Z$11,'DMR 001C TIN &amp; TP'!$A$2:$M$2,0))),"")</f>
        <v>5.14</v>
      </c>
      <c r="AA216" s="53">
        <f t="shared" si="93"/>
        <v>5.14</v>
      </c>
      <c r="AB216" s="5" t="str">
        <f t="shared" si="94"/>
        <v/>
      </c>
      <c r="AC216" s="6" t="str">
        <f t="array" ref="AC216">_xlfn.IFNA((INDEX('DMR 001C TIN &amp; TP'!$A$3:$M$10005,MATCH(('Reg 85'!$X$6&amp;'Reg 85'!$AB$10&amp;'Reg 85'!$B216),('DMR 001C TIN &amp; TP'!$E$3:$E$10005&amp;'DMR 001C TIN &amp; TP'!$B$3:$B$10005&amp;'DMR 001C TIN &amp; TP'!$A$3:$A$10005),0),MATCH('Reg 85'!$AC$11,'DMR 001C TIN &amp; TP'!$A$2:$M$2,0))),"")</f>
        <v>0.06</v>
      </c>
      <c r="AD216" s="6">
        <f t="array" ref="AD216">_xlfn.IFNA((INDEX('DMR 001C TIN &amp; TP'!$A$3:$M$10005,MATCH(('Reg 85'!$X$6&amp;'Reg 85'!$AB$10&amp;'Reg 85'!$B216),('DMR 001C TIN &amp; TP'!$E$3:$E$10005&amp;'DMR 001C TIN &amp; TP'!$B$3:$B$10005&amp;'DMR 001C TIN &amp; TP'!$A$3:$A$10005),0),MATCH('Reg 85'!$AD$11,'DMR 001C TIN &amp; TP'!$A$2:$M$2,0))),"")</f>
        <v>5.88</v>
      </c>
      <c r="AE216" s="53">
        <f t="shared" si="95"/>
        <v>5.88</v>
      </c>
      <c r="AF216" s="7">
        <f t="shared" si="96"/>
        <v>5.5501118384490926</v>
      </c>
      <c r="AG216" s="6" t="str">
        <f t="array" ref="AG216">_xlfn.IFNA((INDEX('DMR 001C TIN &amp; TP'!$A$3:$M$10005,MATCH(('Reg 85'!$X$6&amp;'Reg 85'!AG$10&amp;'Reg 85'!$B216),('DMR 001C TIN &amp; TP'!$E$3:$E$10005&amp;'DMR 001C TIN &amp; TP'!$B$3:$B$10005&amp;'DMR 001C TIN &amp; TP'!$A$3:$A$10005),0),MATCH('Reg 85'!$AG$11,'DMR 001C TIN &amp; TP'!$A$2:$M$2,0))),"")</f>
        <v/>
      </c>
      <c r="AH216" s="6" t="str">
        <f t="array" ref="AH216">_xlfn.IFNA((INDEX('DMR 001C TIN &amp; TP'!$A$3:$M$10005,MATCH(('Reg 85'!$X$6&amp;'Reg 85'!AH$10&amp;'Reg 85'!$B216),('DMR 001C TIN &amp; TP'!$E$3:$E$10005&amp;'DMR 001C TIN &amp; TP'!$B$3:$B$10005&amp;'DMR 001C TIN &amp; TP'!$A$3:$A$10005),0),MATCH('Reg 85'!$AG$11,'DMR 001C TIN &amp; TP'!$A$2:$M$2,0))),"")</f>
        <v/>
      </c>
      <c r="AI216" s="6" t="str">
        <f t="array" ref="AI216">_xlfn.IFNA((INDEX('DMR 001C TIN &amp; TP'!$A$3:$M$10005,MATCH(('Reg 85'!$X$6&amp;'Reg 85'!AI$10&amp;'Reg 85'!$B216),('DMR 001C TIN &amp; TP'!$E$3:$E$10005&amp;'DMR 001C TIN &amp; TP'!$B$3:$B$10005&amp;'DMR 001C TIN &amp; TP'!$A$3:$A$10005),0),MATCH('Reg 85'!$AG$11,'DMR 001C TIN &amp; TP'!$A$2:$M$2,0))),"")</f>
        <v/>
      </c>
      <c r="AJ216" s="6" t="str">
        <f t="array" ref="AJ216">_xlfn.IFNA((INDEX('DMR 001C TIN &amp; TP'!$A$3:$M$10005,MATCH(('Reg 85'!$X$6&amp;'Reg 85'!AJ$10&amp;'Reg 85'!$B216),('DMR 001C TIN &amp; TP'!$E$3:$E$10005&amp;'DMR 001C TIN &amp; TP'!$B$3:$B$10005&amp;'DMR 001C TIN &amp; TP'!$A$3:$A$10005),0),MATCH('Reg 85'!$AG$11,'DMR 001C TIN &amp; TP'!$A$2:$M$2,0))),"")</f>
        <v/>
      </c>
      <c r="AK216" s="6" t="str">
        <f t="array" ref="AK216">_xlfn.IFNA((INDEX('DMR 001C TIN &amp; TP'!$A$3:$M$10005,MATCH(('Reg 85'!$X$6&amp;'Reg 85'!AK$10&amp;'Reg 85'!$B216),('DMR 001C TIN &amp; TP'!$E$3:$E$10005&amp;'DMR 001C TIN &amp; TP'!$B$3:$B$10005&amp;'DMR 001C TIN &amp; TP'!$A$3:$A$10005),0),MATCH('Reg 85'!$AG$11,'DMR 001C TIN &amp; TP'!$A$2:$M$2,0))),"")</f>
        <v/>
      </c>
      <c r="AL216" s="6" t="str">
        <f t="array" ref="AL216">_xlfn.IFNA((INDEX('DMR 001C TIN &amp; TP'!$A$3:$M$10005,MATCH(('Reg 85'!$X$6&amp;'Reg 85'!AL$10&amp;'Reg 85'!$B216),('DMR 001C TIN &amp; TP'!$E$3:$E$10005&amp;'DMR 001C TIN &amp; TP'!$B$3:$B$10005&amp;'DMR 001C TIN &amp; TP'!$A$3:$A$10005),0),MATCH('Reg 85'!$AG$11,'DMR 001C TIN &amp; TP'!$A$2:$M$2,0))),"")</f>
        <v/>
      </c>
      <c r="AM216" s="76"/>
      <c r="AN216" s="6"/>
      <c r="AO216" s="54">
        <f t="shared" si="83"/>
        <v>6.2263733945771023</v>
      </c>
      <c r="AP216" s="77" t="str">
        <f t="shared" si="81"/>
        <v/>
      </c>
      <c r="AQ216" s="47"/>
      <c r="AR216" s="6" t="str">
        <f t="array" ref="AR216">_xlfn.IFNA((INDEX('DMR 001C TIN &amp; TP'!$A$3:$M$10005,MATCH(('Reg 85'!$AQ$6&amp;'Reg 85'!$AQ$10&amp;'Reg 85'!$B216),('DMR 001C TIN &amp; TP'!$E$3:$E$10005&amp;'DMR 001C TIN &amp; TP'!$B$3:$B$10005&amp;'DMR 001C TIN &amp; TP'!$A$3:$A$10005),0),MATCH('Reg 85'!$AR$11,'DMR 001C TIN &amp; TP'!$A$2:$M$2,0))),"")</f>
        <v/>
      </c>
      <c r="AS216" s="6" t="str">
        <f t="array" ref="AS216">_xlfn.IFNA((INDEX('DMR 001C TIN &amp; TP'!$A$3:$M$10005,MATCH(('Reg 85'!$AQ$6&amp;'Reg 85'!$AQ$10&amp;'Reg 85'!$B216),('DMR 001C TIN &amp; TP'!$E$3:$E$10005&amp;'DMR 001C TIN &amp; TP'!$B$3:$B$10005&amp;'DMR 001C TIN &amp; TP'!$A$3:$A$10005),0),MATCH('Reg 85'!$AS$11,'DMR 001C TIN &amp; TP'!$A$2:$M$2,0))),"")</f>
        <v/>
      </c>
      <c r="AT216" s="53" t="str">
        <f t="shared" si="97"/>
        <v/>
      </c>
      <c r="AV216" s="6" t="str">
        <f t="array" ref="AV216">_xlfn.IFNA((INDEX('DMR 001C TIN &amp; TP'!$A$3:$M$10005,MATCH(('Reg 85'!$AQ$6&amp;'Reg 85'!$AU$10&amp;'Reg 85'!$B216),('DMR 001C TIN &amp; TP'!$E$3:$E$10005&amp;'DMR 001C TIN &amp; TP'!$B$3:$B$10005&amp;'DMR 001C TIN &amp; TP'!$A$3:$A$10005),0),MATCH('Reg 85'!$AV$11,'DMR 001C TIN &amp; TP'!$A$2:$M$2,0))),"")</f>
        <v/>
      </c>
      <c r="AW216" s="6" t="str">
        <f t="array" ref="AW216">_xlfn.IFNA((INDEX('DMR 001C TIN &amp; TP'!$A$3:$M$10005,MATCH(('Reg 85'!$AQ$6&amp;'Reg 85'!$AU$10&amp;'Reg 85'!$B216),('DMR 001C TIN &amp; TP'!$E$3:$E$10005&amp;'DMR 001C TIN &amp; TP'!$B$3:$B$10005&amp;'DMR 001C TIN &amp; TP'!$A$3:$A$10005),0),MATCH('Reg 85'!$AW$11,'DMR 001C TIN &amp; TP'!$A$2:$M$2,0))),"")</f>
        <v/>
      </c>
      <c r="AX216" s="53" t="str">
        <f t="shared" si="98"/>
        <v/>
      </c>
      <c r="AY216" s="55" t="str">
        <f t="shared" si="99"/>
        <v/>
      </c>
      <c r="AZ216" s="77" t="str">
        <f t="shared" si="82"/>
        <v/>
      </c>
      <c r="BA216" s="6" t="str">
        <f t="array" ref="BA216">_xlfn.IFNA((INDEX('DMR 001C TIN &amp; TP'!$A$3:$M$10005,MATCH(('Reg 85'!$AQ$6&amp;'Reg 85'!BA$10&amp;'Reg 85'!$B216),('DMR 001C TIN &amp; TP'!$E$3:$E$10005&amp;'DMR 001C TIN &amp; TP'!$B$3:$B$10005&amp;'DMR 001C TIN &amp; TP'!$A$3:$A$10005),0),MATCH('Reg 85'!$AG$11,'DMR 001C TIN &amp; TP'!$A$2:$M$2,0))),"")</f>
        <v/>
      </c>
      <c r="BB216" s="6" t="str">
        <f t="array" ref="BB216">_xlfn.IFNA((INDEX('DMR 001C TIN &amp; TP'!$A$3:$M$10005,MATCH(('Reg 85'!$AQ$6&amp;'Reg 85'!BB$10&amp;'Reg 85'!$B216),('DMR 001C TIN &amp; TP'!$E$3:$E$10005&amp;'DMR 001C TIN &amp; TP'!$B$3:$B$10005&amp;'DMR 001C TIN &amp; TP'!$A$3:$A$10005),0),MATCH('Reg 85'!$AG$11,'DMR 001C TIN &amp; TP'!$A$2:$M$2,0))),"")</f>
        <v/>
      </c>
      <c r="BC216" s="6" t="str">
        <f t="array" ref="BC216">_xlfn.IFNA((INDEX('DMR 001C TIN &amp; TP'!$A$3:$M$10005,MATCH(('Reg 85'!$AQ$6&amp;'Reg 85'!BC$10&amp;'Reg 85'!$B216),('DMR 001C TIN &amp; TP'!$E$3:$E$10005&amp;'DMR 001C TIN &amp; TP'!$B$3:$B$10005&amp;'DMR 001C TIN &amp; TP'!$A$3:$A$10005),0),MATCH('Reg 85'!$AG$11,'DMR 001C TIN &amp; TP'!$A$2:$M$2,0))),"")</f>
        <v/>
      </c>
      <c r="BD216" s="6" t="str">
        <f t="array" ref="BD216">_xlfn.IFNA((INDEX('DMR 001C TIN &amp; TP'!$A$3:$M$10005,MATCH(('Reg 85'!$AQ$6&amp;'Reg 85'!BD$10&amp;'Reg 85'!$B216),('DMR 001C TIN &amp; TP'!$E$3:$E$10005&amp;'DMR 001C TIN &amp; TP'!$B$3:$B$10005&amp;'DMR 001C TIN &amp; TP'!$A$3:$A$10005),0),MATCH('Reg 85'!$AG$11,'DMR 001C TIN &amp; TP'!$A$2:$M$2,0))),"")</f>
        <v/>
      </c>
      <c r="BE216" s="6" t="str">
        <f t="array" ref="BE216">_xlfn.IFNA((INDEX('DMR 001C TIN &amp; TP'!$A$3:$M$10005,MATCH(('Reg 85'!$AQ$6&amp;'Reg 85'!BE$10&amp;'Reg 85'!$B216),('DMR 001C TIN &amp; TP'!$E$3:$E$10005&amp;'DMR 001C TIN &amp; TP'!$B$3:$B$10005&amp;'DMR 001C TIN &amp; TP'!$A$3:$A$10005),0),MATCH('Reg 85'!$AG$11,'DMR 001C TIN &amp; TP'!$A$2:$M$2,0))),"")</f>
        <v/>
      </c>
      <c r="BF216" s="6" t="str">
        <f t="array" ref="BF216">_xlfn.IFNA((INDEX('DMR 001C TIN &amp; TP'!$A$3:$M$10005,MATCH(('Reg 85'!$AQ$6&amp;'Reg 85'!BF$10&amp;'Reg 85'!$B216),('DMR 001C TIN &amp; TP'!$E$3:$E$10005&amp;'DMR 001C TIN &amp; TP'!$B$3:$B$10005&amp;'DMR 001C TIN &amp; TP'!$A$3:$A$10005),0),MATCH('Reg 85'!$AG$11,'DMR 001C TIN &amp; TP'!$A$2:$M$2,0))),"")</f>
        <v/>
      </c>
    </row>
    <row r="217" spans="1:58">
      <c r="A217" s="3" t="str">
        <f t="shared" si="84"/>
        <v>Mon</v>
      </c>
      <c r="B217" s="96">
        <f t="shared" si="100"/>
        <v>43549</v>
      </c>
      <c r="C217" s="96">
        <f t="shared" si="85"/>
        <v>43555</v>
      </c>
      <c r="D217" s="96">
        <f t="shared" si="86"/>
        <v>43525</v>
      </c>
      <c r="E217" s="95">
        <f t="shared" si="87"/>
        <v>31</v>
      </c>
      <c r="F217" s="7">
        <f t="array" ref="F217">_xlfn.IFNA(INDEX('DMR Flows-Effluent'!$A$3:$F$9999,MATCH(($F$10&amp;$B217),('DMR Flows-Effluent'!$B$3:$B$9999&amp;'DMR Flows-Effluent'!$A$3:$A$9999),0),MATCH($F$8,'DMR Flows-Effluent'!$A$2:$F$2,0)),"")</f>
        <v>62.623199999999997</v>
      </c>
      <c r="G217" s="7">
        <f t="array" ref="G217">_xlfn.IFNA(INDEX('DMR Flows-Effluent'!$A$3:$F$9999,MATCH(($G$10&amp;$B217),('DMR Flows-Effluent'!$B$3:$B$9999&amp;'DMR Flows-Effluent'!$A$3:$A$9999),0),MATCH($F$8,'DMR Flows-Effluent'!$A$2:$F$2,0)),"")</f>
        <v>65.495900000000006</v>
      </c>
      <c r="H217" s="7">
        <f t="shared" si="88"/>
        <v>128.1191</v>
      </c>
      <c r="I217" s="45" t="str">
        <f t="shared" si="89"/>
        <v/>
      </c>
      <c r="J217" s="6" t="str">
        <f t="array" ref="J217">_xlfn.IFNA((INDEX('DMR 001C TIN &amp; TP'!$A$3:$M$10005,MATCH(('Reg 85'!$I$6:$Q$6&amp;'Reg 85'!$I$10:$K$10&amp;'Reg 85'!$B217),('DMR 001C TIN &amp; TP'!$E$3:$E$10005&amp;'DMR 001C TIN &amp; TP'!$B$3:$B$10005&amp;'DMR 001C TIN &amp; TP'!$A$3:$A$10005),0),MATCH('Reg 85'!$J$11,'DMR 001C TIN &amp; TP'!$A$2:$M$2,0))),"")</f>
        <v>0.15</v>
      </c>
      <c r="K217" s="6">
        <f t="array" ref="K217">_xlfn.IFNA((INDEX('DMR 001C TIN &amp; TP'!$A$3:$M$10005,MATCH(('Reg 85'!$I$6:$Q$6&amp;'Reg 85'!$I$10:$K$10&amp;'Reg 85'!$B217),('DMR 001C TIN &amp; TP'!$E$3:$E$10005&amp;'DMR 001C TIN &amp; TP'!$B$3:$B$10005&amp;'DMR 001C TIN &amp; TP'!$A$3:$A$10005),0),MATCH('Reg 85'!$K$11,'DMR 001C TIN &amp; TP'!$A$2:$M$2,0))),"")</f>
        <v>0.55000000000000004</v>
      </c>
      <c r="L217" s="53">
        <f t="shared" si="101"/>
        <v>0.55000000000000004</v>
      </c>
      <c r="M217" s="5" t="str">
        <f t="shared" si="90"/>
        <v>&lt;</v>
      </c>
      <c r="N217" s="6" t="str">
        <f t="array" ref="N217">_xlfn.IFNA((INDEX('DMR 001C TIN &amp; TP'!$A$3:$M$10005,MATCH(('Reg 85'!$I$6:$Q$6&amp;'Reg 85'!$M$10&amp;'Reg 85'!$B217),('DMR 001C TIN &amp; TP'!$E$3:$E$10005&amp;'DMR 001C TIN &amp; TP'!$B$3:$B$10005&amp;'DMR 001C TIN &amp; TP'!$A$3:$A$10005),0),MATCH('Reg 85'!$N$11,'DMR 001C TIN &amp; TP'!$A$2:$M$2,0))),"")</f>
        <v>0.15</v>
      </c>
      <c r="O217" s="6">
        <f t="array" ref="O217">_xlfn.IFNA((INDEX('DMR 001C TIN &amp; TP'!$A$3:$M$10005,MATCH(('Reg 85'!$I$6:$Q$6&amp;'Reg 85'!$M$10&amp;'Reg 85'!$B217),('DMR 001C TIN &amp; TP'!$E$3:$E$10005&amp;'DMR 001C TIN &amp; TP'!$B$3:$B$10005&amp;'DMR 001C TIN &amp; TP'!$A$3:$A$10005),0),MATCH('Reg 85'!$O$11,'DMR 001C TIN &amp; TP'!$A$2:$M$2,0))),"")</f>
        <v>0</v>
      </c>
      <c r="P217" s="53">
        <f t="shared" si="91"/>
        <v>0</v>
      </c>
      <c r="Q217" s="73">
        <f t="array" ref="Q217">IFERROR(((L217*$F217)+(P217*$G217))/($H217),"")</f>
        <v>0.26883392093762754</v>
      </c>
      <c r="R217" s="6" t="str">
        <f t="array" ref="R217">_xlfn.IFNA((INDEX('DMR 001C TIN &amp; TP'!$A$3:$M$10005,MATCH(('Reg 85'!$I$6:$Q$6&amp;'Reg 85'!R$10&amp;'Reg 85'!$B217),('DMR 001C TIN &amp; TP'!$E$3:$E$10005&amp;'DMR 001C TIN &amp; TP'!$B$3:$B$10005&amp;'DMR 001C TIN &amp; TP'!$A$3:$A$10005),0),MATCH('Reg 85'!$O$11,'DMR 001C TIN &amp; TP'!$A$2:$M$2,0))),"")</f>
        <v/>
      </c>
      <c r="S217" s="6" t="str">
        <f t="array" ref="S217">_xlfn.IFNA((INDEX('DMR 001C TIN &amp; TP'!$A$3:$M$10005,MATCH(('Reg 85'!$I$6:$Q$6&amp;'Reg 85'!S$10&amp;'Reg 85'!$B217),('DMR 001C TIN &amp; TP'!$E$3:$E$10005&amp;'DMR 001C TIN &amp; TP'!$B$3:$B$10005&amp;'DMR 001C TIN &amp; TP'!$A$3:$A$10005),0),MATCH('Reg 85'!$O$11,'DMR 001C TIN &amp; TP'!$A$2:$M$2,0))),"")</f>
        <v/>
      </c>
      <c r="T217" s="6" t="str">
        <f t="array" ref="T217">_xlfn.IFNA((INDEX('DMR 001C TIN &amp; TP'!$A$3:$M$10005,MATCH(('Reg 85'!$I$6:$Q$6&amp;'Reg 85'!T$10&amp;'Reg 85'!$B217),('DMR 001C TIN &amp; TP'!$E$3:$E$10005&amp;'DMR 001C TIN &amp; TP'!$B$3:$B$10005&amp;'DMR 001C TIN &amp; TP'!$A$3:$A$10005),0),MATCH('Reg 85'!$O$11,'DMR 001C TIN &amp; TP'!$A$2:$M$2,0))),"")</f>
        <v/>
      </c>
      <c r="U217" s="6" t="str">
        <f t="array" ref="U217">_xlfn.IFNA((INDEX('DMR 001C TIN &amp; TP'!$A$3:$M$10005,MATCH(('Reg 85'!$I$6:$Q$6&amp;'Reg 85'!U$10&amp;'Reg 85'!$B217),('DMR 001C TIN &amp; TP'!$E$3:$E$10005&amp;'DMR 001C TIN &amp; TP'!$B$3:$B$10005&amp;'DMR 001C TIN &amp; TP'!$A$3:$A$10005),0),MATCH('Reg 85'!$O$11,'DMR 001C TIN &amp; TP'!$A$2:$M$2,0))),"")</f>
        <v/>
      </c>
      <c r="V217" s="6" t="str">
        <f t="array" ref="V217">_xlfn.IFNA((INDEX('DMR 001C TIN &amp; TP'!$A$3:$M$10005,MATCH(('Reg 85'!$I$6:$Q$6&amp;'Reg 85'!V$10&amp;'Reg 85'!$B217),('DMR 001C TIN &amp; TP'!$E$3:$E$10005&amp;'DMR 001C TIN &amp; TP'!$B$3:$B$10005&amp;'DMR 001C TIN &amp; TP'!$A$3:$A$10005),0),MATCH('Reg 85'!$O$11,'DMR 001C TIN &amp; TP'!$A$2:$M$2,0))),"")</f>
        <v/>
      </c>
      <c r="W217" s="6" t="str">
        <f t="array" ref="W217">_xlfn.IFNA((INDEX('DMR 001C TIN &amp; TP'!$A$3:$M$10005,MATCH(('Reg 85'!$I$6:$Q$6&amp;'Reg 85'!W$10&amp;'Reg 85'!$B217),('DMR 001C TIN &amp; TP'!$E$3:$E$10005&amp;'DMR 001C TIN &amp; TP'!$B$3:$B$10005&amp;'DMR 001C TIN &amp; TP'!$A$3:$A$10005),0),MATCH('Reg 85'!$O$11,'DMR 001C TIN &amp; TP'!$A$2:$M$2,0))),"")</f>
        <v/>
      </c>
      <c r="X217" s="5" t="str">
        <f t="shared" si="92"/>
        <v/>
      </c>
      <c r="Y217" s="6" t="str">
        <f t="array" ref="Y217">_xlfn.IFNA((INDEX('DMR 001C TIN &amp; TP'!$A$3:$M$10005,MATCH(('Reg 85'!$X$6&amp;'Reg 85'!$X$10&amp;'Reg 85'!$B217),('DMR 001C TIN &amp; TP'!$E$3:$E$10005&amp;'DMR 001C TIN &amp; TP'!$B$3:$B$10005&amp;'DMR 001C TIN &amp; TP'!$A$3:$A$10005),0),MATCH('Reg 85'!$Y$11,'DMR 001C TIN &amp; TP'!$A$2:$M$2,0))),"")</f>
        <v>0.06</v>
      </c>
      <c r="Z217" s="6">
        <f t="array" ref="Z217">_xlfn.IFNA((INDEX('DMR 001C TIN &amp; TP'!$A$3:$M$10005,MATCH(('Reg 85'!$X$6&amp;'Reg 85'!$X$10&amp;'Reg 85'!$B217),('DMR 001C TIN &amp; TP'!$E$3:$E$10005&amp;'DMR 001C TIN &amp; TP'!$B$3:$B$10005&amp;'DMR 001C TIN &amp; TP'!$A$3:$A$10005),0),MATCH('Reg 85'!$Z$11,'DMR 001C TIN &amp; TP'!$A$2:$M$2,0))),"")</f>
        <v>4.6500000000000004</v>
      </c>
      <c r="AA217" s="53">
        <f t="shared" si="93"/>
        <v>4.6500000000000004</v>
      </c>
      <c r="AB217" s="5" t="str">
        <f t="shared" si="94"/>
        <v/>
      </c>
      <c r="AC217" s="6" t="str">
        <f t="array" ref="AC217">_xlfn.IFNA((INDEX('DMR 001C TIN &amp; TP'!$A$3:$M$10005,MATCH(('Reg 85'!$X$6&amp;'Reg 85'!$AB$10&amp;'Reg 85'!$B217),('DMR 001C TIN &amp; TP'!$E$3:$E$10005&amp;'DMR 001C TIN &amp; TP'!$B$3:$B$10005&amp;'DMR 001C TIN &amp; TP'!$A$3:$A$10005),0),MATCH('Reg 85'!$AC$11,'DMR 001C TIN &amp; TP'!$A$2:$M$2,0))),"")</f>
        <v>0.06</v>
      </c>
      <c r="AD217" s="6">
        <f t="array" ref="AD217">_xlfn.IFNA((INDEX('DMR 001C TIN &amp; TP'!$A$3:$M$10005,MATCH(('Reg 85'!$X$6&amp;'Reg 85'!$AB$10&amp;'Reg 85'!$B217),('DMR 001C TIN &amp; TP'!$E$3:$E$10005&amp;'DMR 001C TIN &amp; TP'!$B$3:$B$10005&amp;'DMR 001C TIN &amp; TP'!$A$3:$A$10005),0),MATCH('Reg 85'!$AD$11,'DMR 001C TIN &amp; TP'!$A$2:$M$2,0))),"")</f>
        <v>4.93</v>
      </c>
      <c r="AE217" s="53">
        <f t="shared" si="95"/>
        <v>4.93</v>
      </c>
      <c r="AF217" s="7">
        <f t="shared" si="96"/>
        <v>4.7931390947953894</v>
      </c>
      <c r="AG217" s="6" t="str">
        <f t="array" ref="AG217">_xlfn.IFNA((INDEX('DMR 001C TIN &amp; TP'!$A$3:$M$10005,MATCH(('Reg 85'!$X$6&amp;'Reg 85'!AG$10&amp;'Reg 85'!$B217),('DMR 001C TIN &amp; TP'!$E$3:$E$10005&amp;'DMR 001C TIN &amp; TP'!$B$3:$B$10005&amp;'DMR 001C TIN &amp; TP'!$A$3:$A$10005),0),MATCH('Reg 85'!$AG$11,'DMR 001C TIN &amp; TP'!$A$2:$M$2,0))),"")</f>
        <v/>
      </c>
      <c r="AH217" s="6" t="str">
        <f t="array" ref="AH217">_xlfn.IFNA((INDEX('DMR 001C TIN &amp; TP'!$A$3:$M$10005,MATCH(('Reg 85'!$X$6&amp;'Reg 85'!AH$10&amp;'Reg 85'!$B217),('DMR 001C TIN &amp; TP'!$E$3:$E$10005&amp;'DMR 001C TIN &amp; TP'!$B$3:$B$10005&amp;'DMR 001C TIN &amp; TP'!$A$3:$A$10005),0),MATCH('Reg 85'!$AG$11,'DMR 001C TIN &amp; TP'!$A$2:$M$2,0))),"")</f>
        <v/>
      </c>
      <c r="AI217" s="6" t="str">
        <f t="array" ref="AI217">_xlfn.IFNA((INDEX('DMR 001C TIN &amp; TP'!$A$3:$M$10005,MATCH(('Reg 85'!$X$6&amp;'Reg 85'!AI$10&amp;'Reg 85'!$B217),('DMR 001C TIN &amp; TP'!$E$3:$E$10005&amp;'DMR 001C TIN &amp; TP'!$B$3:$B$10005&amp;'DMR 001C TIN &amp; TP'!$A$3:$A$10005),0),MATCH('Reg 85'!$AG$11,'DMR 001C TIN &amp; TP'!$A$2:$M$2,0))),"")</f>
        <v/>
      </c>
      <c r="AJ217" s="6" t="str">
        <f t="array" ref="AJ217">_xlfn.IFNA((INDEX('DMR 001C TIN &amp; TP'!$A$3:$M$10005,MATCH(('Reg 85'!$X$6&amp;'Reg 85'!AJ$10&amp;'Reg 85'!$B217),('DMR 001C TIN &amp; TP'!$E$3:$E$10005&amp;'DMR 001C TIN &amp; TP'!$B$3:$B$10005&amp;'DMR 001C TIN &amp; TP'!$A$3:$A$10005),0),MATCH('Reg 85'!$AG$11,'DMR 001C TIN &amp; TP'!$A$2:$M$2,0))),"")</f>
        <v/>
      </c>
      <c r="AK217" s="6" t="str">
        <f t="array" ref="AK217">_xlfn.IFNA((INDEX('DMR 001C TIN &amp; TP'!$A$3:$M$10005,MATCH(('Reg 85'!$X$6&amp;'Reg 85'!AK$10&amp;'Reg 85'!$B217),('DMR 001C TIN &amp; TP'!$E$3:$E$10005&amp;'DMR 001C TIN &amp; TP'!$B$3:$B$10005&amp;'DMR 001C TIN &amp; TP'!$A$3:$A$10005),0),MATCH('Reg 85'!$AG$11,'DMR 001C TIN &amp; TP'!$A$2:$M$2,0))),"")</f>
        <v/>
      </c>
      <c r="AL217" s="6" t="str">
        <f t="array" ref="AL217">_xlfn.IFNA((INDEX('DMR 001C TIN &amp; TP'!$A$3:$M$10005,MATCH(('Reg 85'!$X$6&amp;'Reg 85'!AL$10&amp;'Reg 85'!$B217),('DMR 001C TIN &amp; TP'!$E$3:$E$10005&amp;'DMR 001C TIN &amp; TP'!$B$3:$B$10005&amp;'DMR 001C TIN &amp; TP'!$A$3:$A$10005),0),MATCH('Reg 85'!$AG$11,'DMR 001C TIN &amp; TP'!$A$2:$M$2,0))),"")</f>
        <v/>
      </c>
      <c r="AM217" s="76"/>
      <c r="AN217" s="6"/>
      <c r="AO217" s="54">
        <f t="shared" si="83"/>
        <v>5.0619730157330167</v>
      </c>
      <c r="AP217" s="77" t="str">
        <f t="shared" si="81"/>
        <v/>
      </c>
      <c r="AQ217" s="47"/>
      <c r="AR217" s="6" t="str">
        <f t="array" ref="AR217">_xlfn.IFNA((INDEX('DMR 001C TIN &amp; TP'!$A$3:$M$10005,MATCH(('Reg 85'!$AQ$6&amp;'Reg 85'!$AQ$10&amp;'Reg 85'!$B217),('DMR 001C TIN &amp; TP'!$E$3:$E$10005&amp;'DMR 001C TIN &amp; TP'!$B$3:$B$10005&amp;'DMR 001C TIN &amp; TP'!$A$3:$A$10005),0),MATCH('Reg 85'!$AR$11,'DMR 001C TIN &amp; TP'!$A$2:$M$2,0))),"")</f>
        <v/>
      </c>
      <c r="AS217" s="6" t="str">
        <f t="array" ref="AS217">_xlfn.IFNA((INDEX('DMR 001C TIN &amp; TP'!$A$3:$M$10005,MATCH(('Reg 85'!$AQ$6&amp;'Reg 85'!$AQ$10&amp;'Reg 85'!$B217),('DMR 001C TIN &amp; TP'!$E$3:$E$10005&amp;'DMR 001C TIN &amp; TP'!$B$3:$B$10005&amp;'DMR 001C TIN &amp; TP'!$A$3:$A$10005),0),MATCH('Reg 85'!$AS$11,'DMR 001C TIN &amp; TP'!$A$2:$M$2,0))),"")</f>
        <v/>
      </c>
      <c r="AT217" s="53" t="str">
        <f t="shared" si="97"/>
        <v/>
      </c>
      <c r="AV217" s="6" t="str">
        <f t="array" ref="AV217">_xlfn.IFNA((INDEX('DMR 001C TIN &amp; TP'!$A$3:$M$10005,MATCH(('Reg 85'!$AQ$6&amp;'Reg 85'!$AU$10&amp;'Reg 85'!$B217),('DMR 001C TIN &amp; TP'!$E$3:$E$10005&amp;'DMR 001C TIN &amp; TP'!$B$3:$B$10005&amp;'DMR 001C TIN &amp; TP'!$A$3:$A$10005),0),MATCH('Reg 85'!$AV$11,'DMR 001C TIN &amp; TP'!$A$2:$M$2,0))),"")</f>
        <v/>
      </c>
      <c r="AW217" s="6" t="str">
        <f t="array" ref="AW217">_xlfn.IFNA((INDEX('DMR 001C TIN &amp; TP'!$A$3:$M$10005,MATCH(('Reg 85'!$AQ$6&amp;'Reg 85'!$AU$10&amp;'Reg 85'!$B217),('DMR 001C TIN &amp; TP'!$E$3:$E$10005&amp;'DMR 001C TIN &amp; TP'!$B$3:$B$10005&amp;'DMR 001C TIN &amp; TP'!$A$3:$A$10005),0),MATCH('Reg 85'!$AW$11,'DMR 001C TIN &amp; TP'!$A$2:$M$2,0))),"")</f>
        <v/>
      </c>
      <c r="AX217" s="53" t="str">
        <f t="shared" si="98"/>
        <v/>
      </c>
      <c r="AY217" s="55" t="str">
        <f t="shared" si="99"/>
        <v/>
      </c>
      <c r="AZ217" s="77" t="str">
        <f t="shared" si="82"/>
        <v/>
      </c>
      <c r="BA217" s="6" t="str">
        <f t="array" ref="BA217">_xlfn.IFNA((INDEX('DMR 001C TIN &amp; TP'!$A$3:$M$10005,MATCH(('Reg 85'!$AQ$6&amp;'Reg 85'!BA$10&amp;'Reg 85'!$B217),('DMR 001C TIN &amp; TP'!$E$3:$E$10005&amp;'DMR 001C TIN &amp; TP'!$B$3:$B$10005&amp;'DMR 001C TIN &amp; TP'!$A$3:$A$10005),0),MATCH('Reg 85'!$AG$11,'DMR 001C TIN &amp; TP'!$A$2:$M$2,0))),"")</f>
        <v/>
      </c>
      <c r="BB217" s="6" t="str">
        <f t="array" ref="BB217">_xlfn.IFNA((INDEX('DMR 001C TIN &amp; TP'!$A$3:$M$10005,MATCH(('Reg 85'!$AQ$6&amp;'Reg 85'!BB$10&amp;'Reg 85'!$B217),('DMR 001C TIN &amp; TP'!$E$3:$E$10005&amp;'DMR 001C TIN &amp; TP'!$B$3:$B$10005&amp;'DMR 001C TIN &amp; TP'!$A$3:$A$10005),0),MATCH('Reg 85'!$AG$11,'DMR 001C TIN &amp; TP'!$A$2:$M$2,0))),"")</f>
        <v/>
      </c>
      <c r="BC217" s="6" t="str">
        <f t="array" ref="BC217">_xlfn.IFNA((INDEX('DMR 001C TIN &amp; TP'!$A$3:$M$10005,MATCH(('Reg 85'!$AQ$6&amp;'Reg 85'!BC$10&amp;'Reg 85'!$B217),('DMR 001C TIN &amp; TP'!$E$3:$E$10005&amp;'DMR 001C TIN &amp; TP'!$B$3:$B$10005&amp;'DMR 001C TIN &amp; TP'!$A$3:$A$10005),0),MATCH('Reg 85'!$AG$11,'DMR 001C TIN &amp; TP'!$A$2:$M$2,0))),"")</f>
        <v/>
      </c>
      <c r="BD217" s="6" t="str">
        <f t="array" ref="BD217">_xlfn.IFNA((INDEX('DMR 001C TIN &amp; TP'!$A$3:$M$10005,MATCH(('Reg 85'!$AQ$6&amp;'Reg 85'!BD$10&amp;'Reg 85'!$B217),('DMR 001C TIN &amp; TP'!$E$3:$E$10005&amp;'DMR 001C TIN &amp; TP'!$B$3:$B$10005&amp;'DMR 001C TIN &amp; TP'!$A$3:$A$10005),0),MATCH('Reg 85'!$AG$11,'DMR 001C TIN &amp; TP'!$A$2:$M$2,0))),"")</f>
        <v/>
      </c>
      <c r="BE217" s="6" t="str">
        <f t="array" ref="BE217">_xlfn.IFNA((INDEX('DMR 001C TIN &amp; TP'!$A$3:$M$10005,MATCH(('Reg 85'!$AQ$6&amp;'Reg 85'!BE$10&amp;'Reg 85'!$B217),('DMR 001C TIN &amp; TP'!$E$3:$E$10005&amp;'DMR 001C TIN &amp; TP'!$B$3:$B$10005&amp;'DMR 001C TIN &amp; TP'!$A$3:$A$10005),0),MATCH('Reg 85'!$AG$11,'DMR 001C TIN &amp; TP'!$A$2:$M$2,0))),"")</f>
        <v/>
      </c>
      <c r="BF217" s="6" t="str">
        <f t="array" ref="BF217">_xlfn.IFNA((INDEX('DMR 001C TIN &amp; TP'!$A$3:$M$10005,MATCH(('Reg 85'!$AQ$6&amp;'Reg 85'!BF$10&amp;'Reg 85'!$B217),('DMR 001C TIN &amp; TP'!$E$3:$E$10005&amp;'DMR 001C TIN &amp; TP'!$B$3:$B$10005&amp;'DMR 001C TIN &amp; TP'!$A$3:$A$10005),0),MATCH('Reg 85'!$AG$11,'DMR 001C TIN &amp; TP'!$A$2:$M$2,0))),"")</f>
        <v/>
      </c>
    </row>
    <row r="218" spans="1:58">
      <c r="A218" s="3" t="str">
        <f t="shared" si="84"/>
        <v>Tue</v>
      </c>
      <c r="B218" s="96">
        <f t="shared" si="100"/>
        <v>43550</v>
      </c>
      <c r="C218" s="96">
        <f t="shared" si="85"/>
        <v>43555</v>
      </c>
      <c r="D218" s="96">
        <f t="shared" si="86"/>
        <v>43525</v>
      </c>
      <c r="E218" s="95">
        <f t="shared" si="87"/>
        <v>31</v>
      </c>
      <c r="F218" s="7">
        <f t="array" ref="F218">_xlfn.IFNA(INDEX('DMR Flows-Effluent'!$A$3:$F$9999,MATCH(($F$10&amp;$B218),('DMR Flows-Effluent'!$B$3:$B$9999&amp;'DMR Flows-Effluent'!$A$3:$A$9999),0),MATCH($F$8,'DMR Flows-Effluent'!$A$2:$F$2,0)),"")</f>
        <v>58.0854</v>
      </c>
      <c r="G218" s="7">
        <f t="array" ref="G218">_xlfn.IFNA(INDEX('DMR Flows-Effluent'!$A$3:$F$9999,MATCH(($G$10&amp;$B218),('DMR Flows-Effluent'!$B$3:$B$9999&amp;'DMR Flows-Effluent'!$A$3:$A$9999),0),MATCH($F$8,'DMR Flows-Effluent'!$A$2:$F$2,0)),"")</f>
        <v>66.121099999999998</v>
      </c>
      <c r="H218" s="7">
        <f t="shared" si="88"/>
        <v>124.20650000000001</v>
      </c>
      <c r="I218" s="45" t="str">
        <f t="shared" si="89"/>
        <v/>
      </c>
      <c r="J218" s="6" t="str">
        <f t="array" ref="J218">_xlfn.IFNA((INDEX('DMR 001C TIN &amp; TP'!$A$3:$M$10005,MATCH(('Reg 85'!$I$6:$Q$6&amp;'Reg 85'!$I$10:$K$10&amp;'Reg 85'!$B218),('DMR 001C TIN &amp; TP'!$E$3:$E$10005&amp;'DMR 001C TIN &amp; TP'!$B$3:$B$10005&amp;'DMR 001C TIN &amp; TP'!$A$3:$A$10005),0),MATCH('Reg 85'!$J$11,'DMR 001C TIN &amp; TP'!$A$2:$M$2,0))),"")</f>
        <v>0.15</v>
      </c>
      <c r="K218" s="6">
        <f t="array" ref="K218">_xlfn.IFNA((INDEX('DMR 001C TIN &amp; TP'!$A$3:$M$10005,MATCH(('Reg 85'!$I$6:$Q$6&amp;'Reg 85'!$I$10:$K$10&amp;'Reg 85'!$B218),('DMR 001C TIN &amp; TP'!$E$3:$E$10005&amp;'DMR 001C TIN &amp; TP'!$B$3:$B$10005&amp;'DMR 001C TIN &amp; TP'!$A$3:$A$10005),0),MATCH('Reg 85'!$K$11,'DMR 001C TIN &amp; TP'!$A$2:$M$2,0))),"")</f>
        <v>0.37</v>
      </c>
      <c r="L218" s="53">
        <f t="shared" si="101"/>
        <v>0.37</v>
      </c>
      <c r="M218" s="5" t="str">
        <f t="shared" si="90"/>
        <v>&lt;</v>
      </c>
      <c r="N218" s="6" t="str">
        <f t="array" ref="N218">_xlfn.IFNA((INDEX('DMR 001C TIN &amp; TP'!$A$3:$M$10005,MATCH(('Reg 85'!$I$6:$Q$6&amp;'Reg 85'!$M$10&amp;'Reg 85'!$B218),('DMR 001C TIN &amp; TP'!$E$3:$E$10005&amp;'DMR 001C TIN &amp; TP'!$B$3:$B$10005&amp;'DMR 001C TIN &amp; TP'!$A$3:$A$10005),0),MATCH('Reg 85'!$N$11,'DMR 001C TIN &amp; TP'!$A$2:$M$2,0))),"")</f>
        <v>0.15</v>
      </c>
      <c r="O218" s="6">
        <f t="array" ref="O218">_xlfn.IFNA((INDEX('DMR 001C TIN &amp; TP'!$A$3:$M$10005,MATCH(('Reg 85'!$I$6:$Q$6&amp;'Reg 85'!$M$10&amp;'Reg 85'!$B218),('DMR 001C TIN &amp; TP'!$E$3:$E$10005&amp;'DMR 001C TIN &amp; TP'!$B$3:$B$10005&amp;'DMR 001C TIN &amp; TP'!$A$3:$A$10005),0),MATCH('Reg 85'!$O$11,'DMR 001C TIN &amp; TP'!$A$2:$M$2,0))),"")</f>
        <v>0</v>
      </c>
      <c r="P218" s="53">
        <f t="shared" si="91"/>
        <v>0</v>
      </c>
      <c r="Q218" s="73">
        <f t="array" ref="Q218">IFERROR(((L218*$F218)+(P218*$G218))/($H218),"")</f>
        <v>0.17303118596852821</v>
      </c>
      <c r="R218" s="6" t="str">
        <f t="array" ref="R218">_xlfn.IFNA((INDEX('DMR 001C TIN &amp; TP'!$A$3:$M$10005,MATCH(('Reg 85'!$I$6:$Q$6&amp;'Reg 85'!R$10&amp;'Reg 85'!$B218),('DMR 001C TIN &amp; TP'!$E$3:$E$10005&amp;'DMR 001C TIN &amp; TP'!$B$3:$B$10005&amp;'DMR 001C TIN &amp; TP'!$A$3:$A$10005),0),MATCH('Reg 85'!$O$11,'DMR 001C TIN &amp; TP'!$A$2:$M$2,0))),"")</f>
        <v/>
      </c>
      <c r="S218" s="6" t="str">
        <f t="array" ref="S218">_xlfn.IFNA((INDEX('DMR 001C TIN &amp; TP'!$A$3:$M$10005,MATCH(('Reg 85'!$I$6:$Q$6&amp;'Reg 85'!S$10&amp;'Reg 85'!$B218),('DMR 001C TIN &amp; TP'!$E$3:$E$10005&amp;'DMR 001C TIN &amp; TP'!$B$3:$B$10005&amp;'DMR 001C TIN &amp; TP'!$A$3:$A$10005),0),MATCH('Reg 85'!$O$11,'DMR 001C TIN &amp; TP'!$A$2:$M$2,0))),"")</f>
        <v/>
      </c>
      <c r="T218" s="6" t="str">
        <f t="array" ref="T218">_xlfn.IFNA((INDEX('DMR 001C TIN &amp; TP'!$A$3:$M$10005,MATCH(('Reg 85'!$I$6:$Q$6&amp;'Reg 85'!T$10&amp;'Reg 85'!$B218),('DMR 001C TIN &amp; TP'!$E$3:$E$10005&amp;'DMR 001C TIN &amp; TP'!$B$3:$B$10005&amp;'DMR 001C TIN &amp; TP'!$A$3:$A$10005),0),MATCH('Reg 85'!$O$11,'DMR 001C TIN &amp; TP'!$A$2:$M$2,0))),"")</f>
        <v/>
      </c>
      <c r="U218" s="6" t="str">
        <f t="array" ref="U218">_xlfn.IFNA((INDEX('DMR 001C TIN &amp; TP'!$A$3:$M$10005,MATCH(('Reg 85'!$I$6:$Q$6&amp;'Reg 85'!U$10&amp;'Reg 85'!$B218),('DMR 001C TIN &amp; TP'!$E$3:$E$10005&amp;'DMR 001C TIN &amp; TP'!$B$3:$B$10005&amp;'DMR 001C TIN &amp; TP'!$A$3:$A$10005),0),MATCH('Reg 85'!$O$11,'DMR 001C TIN &amp; TP'!$A$2:$M$2,0))),"")</f>
        <v/>
      </c>
      <c r="V218" s="6" t="str">
        <f t="array" ref="V218">_xlfn.IFNA((INDEX('DMR 001C TIN &amp; TP'!$A$3:$M$10005,MATCH(('Reg 85'!$I$6:$Q$6&amp;'Reg 85'!V$10&amp;'Reg 85'!$B218),('DMR 001C TIN &amp; TP'!$E$3:$E$10005&amp;'DMR 001C TIN &amp; TP'!$B$3:$B$10005&amp;'DMR 001C TIN &amp; TP'!$A$3:$A$10005),0),MATCH('Reg 85'!$O$11,'DMR 001C TIN &amp; TP'!$A$2:$M$2,0))),"")</f>
        <v/>
      </c>
      <c r="W218" s="6" t="str">
        <f t="array" ref="W218">_xlfn.IFNA((INDEX('DMR 001C TIN &amp; TP'!$A$3:$M$10005,MATCH(('Reg 85'!$I$6:$Q$6&amp;'Reg 85'!W$10&amp;'Reg 85'!$B218),('DMR 001C TIN &amp; TP'!$E$3:$E$10005&amp;'DMR 001C TIN &amp; TP'!$B$3:$B$10005&amp;'DMR 001C TIN &amp; TP'!$A$3:$A$10005),0),MATCH('Reg 85'!$O$11,'DMR 001C TIN &amp; TP'!$A$2:$M$2,0))),"")</f>
        <v/>
      </c>
      <c r="X218" s="5" t="str">
        <f t="shared" si="92"/>
        <v/>
      </c>
      <c r="Y218" s="6" t="str">
        <f t="array" ref="Y218">_xlfn.IFNA((INDEX('DMR 001C TIN &amp; TP'!$A$3:$M$10005,MATCH(('Reg 85'!$X$6&amp;'Reg 85'!$X$10&amp;'Reg 85'!$B218),('DMR 001C TIN &amp; TP'!$E$3:$E$10005&amp;'DMR 001C TIN &amp; TP'!$B$3:$B$10005&amp;'DMR 001C TIN &amp; TP'!$A$3:$A$10005),0),MATCH('Reg 85'!$Y$11,'DMR 001C TIN &amp; TP'!$A$2:$M$2,0))),"")</f>
        <v>0.06</v>
      </c>
      <c r="Z218" s="6">
        <f t="array" ref="Z218">_xlfn.IFNA((INDEX('DMR 001C TIN &amp; TP'!$A$3:$M$10005,MATCH(('Reg 85'!$X$6&amp;'Reg 85'!$X$10&amp;'Reg 85'!$B218),('DMR 001C TIN &amp; TP'!$E$3:$E$10005&amp;'DMR 001C TIN &amp; TP'!$B$3:$B$10005&amp;'DMR 001C TIN &amp; TP'!$A$3:$A$10005),0),MATCH('Reg 85'!$Z$11,'DMR 001C TIN &amp; TP'!$A$2:$M$2,0))),"")</f>
        <v>4.37</v>
      </c>
      <c r="AA218" s="53">
        <f t="shared" si="93"/>
        <v>4.37</v>
      </c>
      <c r="AB218" s="5" t="str">
        <f t="shared" si="94"/>
        <v/>
      </c>
      <c r="AC218" s="6" t="str">
        <f t="array" ref="AC218">_xlfn.IFNA((INDEX('DMR 001C TIN &amp; TP'!$A$3:$M$10005,MATCH(('Reg 85'!$X$6&amp;'Reg 85'!$AB$10&amp;'Reg 85'!$B218),('DMR 001C TIN &amp; TP'!$E$3:$E$10005&amp;'DMR 001C TIN &amp; TP'!$B$3:$B$10005&amp;'DMR 001C TIN &amp; TP'!$A$3:$A$10005),0),MATCH('Reg 85'!$AC$11,'DMR 001C TIN &amp; TP'!$A$2:$M$2,0))),"")</f>
        <v>0.06</v>
      </c>
      <c r="AD218" s="6">
        <f t="array" ref="AD218">_xlfn.IFNA((INDEX('DMR 001C TIN &amp; TP'!$A$3:$M$10005,MATCH(('Reg 85'!$X$6&amp;'Reg 85'!$AB$10&amp;'Reg 85'!$B218),('DMR 001C TIN &amp; TP'!$E$3:$E$10005&amp;'DMR 001C TIN &amp; TP'!$B$3:$B$10005&amp;'DMR 001C TIN &amp; TP'!$A$3:$A$10005),0),MATCH('Reg 85'!$AD$11,'DMR 001C TIN &amp; TP'!$A$2:$M$2,0))),"")</f>
        <v>4.9400000000000004</v>
      </c>
      <c r="AE218" s="53">
        <f t="shared" si="95"/>
        <v>4.9400000000000004</v>
      </c>
      <c r="AF218" s="7">
        <f t="shared" si="96"/>
        <v>4.6734384432376732</v>
      </c>
      <c r="AG218" s="6" t="str">
        <f t="array" ref="AG218">_xlfn.IFNA((INDEX('DMR 001C TIN &amp; TP'!$A$3:$M$10005,MATCH(('Reg 85'!$X$6&amp;'Reg 85'!AG$10&amp;'Reg 85'!$B218),('DMR 001C TIN &amp; TP'!$E$3:$E$10005&amp;'DMR 001C TIN &amp; TP'!$B$3:$B$10005&amp;'DMR 001C TIN &amp; TP'!$A$3:$A$10005),0),MATCH('Reg 85'!$AG$11,'DMR 001C TIN &amp; TP'!$A$2:$M$2,0))),"")</f>
        <v/>
      </c>
      <c r="AH218" s="6" t="str">
        <f t="array" ref="AH218">_xlfn.IFNA((INDEX('DMR 001C TIN &amp; TP'!$A$3:$M$10005,MATCH(('Reg 85'!$X$6&amp;'Reg 85'!AH$10&amp;'Reg 85'!$B218),('DMR 001C TIN &amp; TP'!$E$3:$E$10005&amp;'DMR 001C TIN &amp; TP'!$B$3:$B$10005&amp;'DMR 001C TIN &amp; TP'!$A$3:$A$10005),0),MATCH('Reg 85'!$AG$11,'DMR 001C TIN &amp; TP'!$A$2:$M$2,0))),"")</f>
        <v/>
      </c>
      <c r="AI218" s="6" t="str">
        <f t="array" ref="AI218">_xlfn.IFNA((INDEX('DMR 001C TIN &amp; TP'!$A$3:$M$10005,MATCH(('Reg 85'!$X$6&amp;'Reg 85'!AI$10&amp;'Reg 85'!$B218),('DMR 001C TIN &amp; TP'!$E$3:$E$10005&amp;'DMR 001C TIN &amp; TP'!$B$3:$B$10005&amp;'DMR 001C TIN &amp; TP'!$A$3:$A$10005),0),MATCH('Reg 85'!$AG$11,'DMR 001C TIN &amp; TP'!$A$2:$M$2,0))),"")</f>
        <v/>
      </c>
      <c r="AJ218" s="6" t="str">
        <f t="array" ref="AJ218">_xlfn.IFNA((INDEX('DMR 001C TIN &amp; TP'!$A$3:$M$10005,MATCH(('Reg 85'!$X$6&amp;'Reg 85'!AJ$10&amp;'Reg 85'!$B218),('DMR 001C TIN &amp; TP'!$E$3:$E$10005&amp;'DMR 001C TIN &amp; TP'!$B$3:$B$10005&amp;'DMR 001C TIN &amp; TP'!$A$3:$A$10005),0),MATCH('Reg 85'!$AG$11,'DMR 001C TIN &amp; TP'!$A$2:$M$2,0))),"")</f>
        <v/>
      </c>
      <c r="AK218" s="6" t="str">
        <f t="array" ref="AK218">_xlfn.IFNA((INDEX('DMR 001C TIN &amp; TP'!$A$3:$M$10005,MATCH(('Reg 85'!$X$6&amp;'Reg 85'!AK$10&amp;'Reg 85'!$B218),('DMR 001C TIN &amp; TP'!$E$3:$E$10005&amp;'DMR 001C TIN &amp; TP'!$B$3:$B$10005&amp;'DMR 001C TIN &amp; TP'!$A$3:$A$10005),0),MATCH('Reg 85'!$AG$11,'DMR 001C TIN &amp; TP'!$A$2:$M$2,0))),"")</f>
        <v/>
      </c>
      <c r="AL218" s="6" t="str">
        <f t="array" ref="AL218">_xlfn.IFNA((INDEX('DMR 001C TIN &amp; TP'!$A$3:$M$10005,MATCH(('Reg 85'!$X$6&amp;'Reg 85'!AL$10&amp;'Reg 85'!$B218),('DMR 001C TIN &amp; TP'!$E$3:$E$10005&amp;'DMR 001C TIN &amp; TP'!$B$3:$B$10005&amp;'DMR 001C TIN &amp; TP'!$A$3:$A$10005),0),MATCH('Reg 85'!$AG$11,'DMR 001C TIN &amp; TP'!$A$2:$M$2,0))),"")</f>
        <v/>
      </c>
      <c r="AM218" s="76"/>
      <c r="AN218" s="6"/>
      <c r="AO218" s="54">
        <f t="shared" si="83"/>
        <v>4.8464696292062017</v>
      </c>
      <c r="AP218" s="77" t="str">
        <f t="shared" si="81"/>
        <v/>
      </c>
      <c r="AQ218" s="47"/>
      <c r="AR218" s="6" t="str">
        <f t="array" ref="AR218">_xlfn.IFNA((INDEX('DMR 001C TIN &amp; TP'!$A$3:$M$10005,MATCH(('Reg 85'!$AQ$6&amp;'Reg 85'!$AQ$10&amp;'Reg 85'!$B218),('DMR 001C TIN &amp; TP'!$E$3:$E$10005&amp;'DMR 001C TIN &amp; TP'!$B$3:$B$10005&amp;'DMR 001C TIN &amp; TP'!$A$3:$A$10005),0),MATCH('Reg 85'!$AR$11,'DMR 001C TIN &amp; TP'!$A$2:$M$2,0))),"")</f>
        <v/>
      </c>
      <c r="AS218" s="6" t="str">
        <f t="array" ref="AS218">_xlfn.IFNA((INDEX('DMR 001C TIN &amp; TP'!$A$3:$M$10005,MATCH(('Reg 85'!$AQ$6&amp;'Reg 85'!$AQ$10&amp;'Reg 85'!$B218),('DMR 001C TIN &amp; TP'!$E$3:$E$10005&amp;'DMR 001C TIN &amp; TP'!$B$3:$B$10005&amp;'DMR 001C TIN &amp; TP'!$A$3:$A$10005),0),MATCH('Reg 85'!$AS$11,'DMR 001C TIN &amp; TP'!$A$2:$M$2,0))),"")</f>
        <v/>
      </c>
      <c r="AT218" s="53" t="str">
        <f t="shared" si="97"/>
        <v/>
      </c>
      <c r="AV218" s="6" t="str">
        <f t="array" ref="AV218">_xlfn.IFNA((INDEX('DMR 001C TIN &amp; TP'!$A$3:$M$10005,MATCH(('Reg 85'!$AQ$6&amp;'Reg 85'!$AU$10&amp;'Reg 85'!$B218),('DMR 001C TIN &amp; TP'!$E$3:$E$10005&amp;'DMR 001C TIN &amp; TP'!$B$3:$B$10005&amp;'DMR 001C TIN &amp; TP'!$A$3:$A$10005),0),MATCH('Reg 85'!$AV$11,'DMR 001C TIN &amp; TP'!$A$2:$M$2,0))),"")</f>
        <v/>
      </c>
      <c r="AW218" s="6" t="str">
        <f t="array" ref="AW218">_xlfn.IFNA((INDEX('DMR 001C TIN &amp; TP'!$A$3:$M$10005,MATCH(('Reg 85'!$AQ$6&amp;'Reg 85'!$AU$10&amp;'Reg 85'!$B218),('DMR 001C TIN &amp; TP'!$E$3:$E$10005&amp;'DMR 001C TIN &amp; TP'!$B$3:$B$10005&amp;'DMR 001C TIN &amp; TP'!$A$3:$A$10005),0),MATCH('Reg 85'!$AW$11,'DMR 001C TIN &amp; TP'!$A$2:$M$2,0))),"")</f>
        <v/>
      </c>
      <c r="AX218" s="53" t="str">
        <f t="shared" si="98"/>
        <v/>
      </c>
      <c r="AY218" s="55" t="str">
        <f t="shared" si="99"/>
        <v/>
      </c>
      <c r="AZ218" s="77" t="str">
        <f t="shared" si="82"/>
        <v/>
      </c>
      <c r="BA218" s="6" t="str">
        <f t="array" ref="BA218">_xlfn.IFNA((INDEX('DMR 001C TIN &amp; TP'!$A$3:$M$10005,MATCH(('Reg 85'!$AQ$6&amp;'Reg 85'!BA$10&amp;'Reg 85'!$B218),('DMR 001C TIN &amp; TP'!$E$3:$E$10005&amp;'DMR 001C TIN &amp; TP'!$B$3:$B$10005&amp;'DMR 001C TIN &amp; TP'!$A$3:$A$10005),0),MATCH('Reg 85'!$AG$11,'DMR 001C TIN &amp; TP'!$A$2:$M$2,0))),"")</f>
        <v/>
      </c>
      <c r="BB218" s="6" t="str">
        <f t="array" ref="BB218">_xlfn.IFNA((INDEX('DMR 001C TIN &amp; TP'!$A$3:$M$10005,MATCH(('Reg 85'!$AQ$6&amp;'Reg 85'!BB$10&amp;'Reg 85'!$B218),('DMR 001C TIN &amp; TP'!$E$3:$E$10005&amp;'DMR 001C TIN &amp; TP'!$B$3:$B$10005&amp;'DMR 001C TIN &amp; TP'!$A$3:$A$10005),0),MATCH('Reg 85'!$AG$11,'DMR 001C TIN &amp; TP'!$A$2:$M$2,0))),"")</f>
        <v/>
      </c>
      <c r="BC218" s="6" t="str">
        <f t="array" ref="BC218">_xlfn.IFNA((INDEX('DMR 001C TIN &amp; TP'!$A$3:$M$10005,MATCH(('Reg 85'!$AQ$6&amp;'Reg 85'!BC$10&amp;'Reg 85'!$B218),('DMR 001C TIN &amp; TP'!$E$3:$E$10005&amp;'DMR 001C TIN &amp; TP'!$B$3:$B$10005&amp;'DMR 001C TIN &amp; TP'!$A$3:$A$10005),0),MATCH('Reg 85'!$AG$11,'DMR 001C TIN &amp; TP'!$A$2:$M$2,0))),"")</f>
        <v/>
      </c>
      <c r="BD218" s="6" t="str">
        <f t="array" ref="BD218">_xlfn.IFNA((INDEX('DMR 001C TIN &amp; TP'!$A$3:$M$10005,MATCH(('Reg 85'!$AQ$6&amp;'Reg 85'!BD$10&amp;'Reg 85'!$B218),('DMR 001C TIN &amp; TP'!$E$3:$E$10005&amp;'DMR 001C TIN &amp; TP'!$B$3:$B$10005&amp;'DMR 001C TIN &amp; TP'!$A$3:$A$10005),0),MATCH('Reg 85'!$AG$11,'DMR 001C TIN &amp; TP'!$A$2:$M$2,0))),"")</f>
        <v/>
      </c>
      <c r="BE218" s="6" t="str">
        <f t="array" ref="BE218">_xlfn.IFNA((INDEX('DMR 001C TIN &amp; TP'!$A$3:$M$10005,MATCH(('Reg 85'!$AQ$6&amp;'Reg 85'!BE$10&amp;'Reg 85'!$B218),('DMR 001C TIN &amp; TP'!$E$3:$E$10005&amp;'DMR 001C TIN &amp; TP'!$B$3:$B$10005&amp;'DMR 001C TIN &amp; TP'!$A$3:$A$10005),0),MATCH('Reg 85'!$AG$11,'DMR 001C TIN &amp; TP'!$A$2:$M$2,0))),"")</f>
        <v/>
      </c>
      <c r="BF218" s="6" t="str">
        <f t="array" ref="BF218">_xlfn.IFNA((INDEX('DMR 001C TIN &amp; TP'!$A$3:$M$10005,MATCH(('Reg 85'!$AQ$6&amp;'Reg 85'!BF$10&amp;'Reg 85'!$B218),('DMR 001C TIN &amp; TP'!$E$3:$E$10005&amp;'DMR 001C TIN &amp; TP'!$B$3:$B$10005&amp;'DMR 001C TIN &amp; TP'!$A$3:$A$10005),0),MATCH('Reg 85'!$AG$11,'DMR 001C TIN &amp; TP'!$A$2:$M$2,0))),"")</f>
        <v/>
      </c>
    </row>
    <row r="219" spans="1:58">
      <c r="A219" s="3" t="str">
        <f t="shared" si="84"/>
        <v>Wed</v>
      </c>
      <c r="B219" s="96">
        <f t="shared" si="100"/>
        <v>43551</v>
      </c>
      <c r="C219" s="96">
        <f t="shared" si="85"/>
        <v>43555</v>
      </c>
      <c r="D219" s="96">
        <f t="shared" si="86"/>
        <v>43525</v>
      </c>
      <c r="E219" s="95">
        <f t="shared" si="87"/>
        <v>31</v>
      </c>
      <c r="F219" s="7">
        <f t="array" ref="F219">_xlfn.IFNA(INDEX('DMR Flows-Effluent'!$A$3:$F$9999,MATCH(($F$10&amp;$B219),('DMR Flows-Effluent'!$B$3:$B$9999&amp;'DMR Flows-Effluent'!$A$3:$A$9999),0),MATCH($F$8,'DMR Flows-Effluent'!$A$2:$F$2,0)),"")</f>
        <v>63.053199999999997</v>
      </c>
      <c r="G219" s="7">
        <f t="array" ref="G219">_xlfn.IFNA(INDEX('DMR Flows-Effluent'!$A$3:$F$9999,MATCH(($G$10&amp;$B219),('DMR Flows-Effluent'!$B$3:$B$9999&amp;'DMR Flows-Effluent'!$A$3:$A$9999),0),MATCH($F$8,'DMR Flows-Effluent'!$A$2:$F$2,0)),"")</f>
        <v>62.536200000000001</v>
      </c>
      <c r="H219" s="7">
        <f t="shared" si="88"/>
        <v>125.5894</v>
      </c>
      <c r="I219" s="45" t="str">
        <f t="shared" si="89"/>
        <v/>
      </c>
      <c r="J219" s="6" t="str">
        <f t="array" ref="J219">_xlfn.IFNA((INDEX('DMR 001C TIN &amp; TP'!$A$3:$M$10005,MATCH(('Reg 85'!$I$6:$Q$6&amp;'Reg 85'!$I$10:$K$10&amp;'Reg 85'!$B219),('DMR 001C TIN &amp; TP'!$E$3:$E$10005&amp;'DMR 001C TIN &amp; TP'!$B$3:$B$10005&amp;'DMR 001C TIN &amp; TP'!$A$3:$A$10005),0),MATCH('Reg 85'!$J$11,'DMR 001C TIN &amp; TP'!$A$2:$M$2,0))),"")</f>
        <v/>
      </c>
      <c r="K219" s="6" t="str">
        <f t="array" ref="K219">_xlfn.IFNA((INDEX('DMR 001C TIN &amp; TP'!$A$3:$M$10005,MATCH(('Reg 85'!$I$6:$Q$6&amp;'Reg 85'!$I$10:$K$10&amp;'Reg 85'!$B219),('DMR 001C TIN &amp; TP'!$E$3:$E$10005&amp;'DMR 001C TIN &amp; TP'!$B$3:$B$10005&amp;'DMR 001C TIN &amp; TP'!$A$3:$A$10005),0),MATCH('Reg 85'!$K$11,'DMR 001C TIN &amp; TP'!$A$2:$M$2,0))),"")</f>
        <v/>
      </c>
      <c r="L219" s="53" t="str">
        <f t="shared" si="101"/>
        <v/>
      </c>
      <c r="M219" s="5" t="str">
        <f t="shared" si="90"/>
        <v/>
      </c>
      <c r="N219" s="6" t="str">
        <f t="array" ref="N219">_xlfn.IFNA((INDEX('DMR 001C TIN &amp; TP'!$A$3:$M$10005,MATCH(('Reg 85'!$I$6:$Q$6&amp;'Reg 85'!$M$10&amp;'Reg 85'!$B219),('DMR 001C TIN &amp; TP'!$E$3:$E$10005&amp;'DMR 001C TIN &amp; TP'!$B$3:$B$10005&amp;'DMR 001C TIN &amp; TP'!$A$3:$A$10005),0),MATCH('Reg 85'!$N$11,'DMR 001C TIN &amp; TP'!$A$2:$M$2,0))),"")</f>
        <v/>
      </c>
      <c r="O219" s="6" t="str">
        <f t="array" ref="O219">_xlfn.IFNA((INDEX('DMR 001C TIN &amp; TP'!$A$3:$M$10005,MATCH(('Reg 85'!$I$6:$Q$6&amp;'Reg 85'!$M$10&amp;'Reg 85'!$B219),('DMR 001C TIN &amp; TP'!$E$3:$E$10005&amp;'DMR 001C TIN &amp; TP'!$B$3:$B$10005&amp;'DMR 001C TIN &amp; TP'!$A$3:$A$10005),0),MATCH('Reg 85'!$O$11,'DMR 001C TIN &amp; TP'!$A$2:$M$2,0))),"")</f>
        <v/>
      </c>
      <c r="P219" s="53" t="str">
        <f t="shared" si="91"/>
        <v/>
      </c>
      <c r="Q219" s="73" t="str">
        <f t="array" ref="Q219">IFERROR(((L219*$F219)+(P219*$G219))/($H219),"")</f>
        <v/>
      </c>
      <c r="R219" s="6" t="str">
        <f t="array" ref="R219">_xlfn.IFNA((INDEX('DMR 001C TIN &amp; TP'!$A$3:$M$10005,MATCH(('Reg 85'!$I$6:$Q$6&amp;'Reg 85'!R$10&amp;'Reg 85'!$B219),('DMR 001C TIN &amp; TP'!$E$3:$E$10005&amp;'DMR 001C TIN &amp; TP'!$B$3:$B$10005&amp;'DMR 001C TIN &amp; TP'!$A$3:$A$10005),0),MATCH('Reg 85'!$O$11,'DMR 001C TIN &amp; TP'!$A$2:$M$2,0))),"")</f>
        <v/>
      </c>
      <c r="S219" s="6" t="str">
        <f t="array" ref="S219">_xlfn.IFNA((INDEX('DMR 001C TIN &amp; TP'!$A$3:$M$10005,MATCH(('Reg 85'!$I$6:$Q$6&amp;'Reg 85'!S$10&amp;'Reg 85'!$B219),('DMR 001C TIN &amp; TP'!$E$3:$E$10005&amp;'DMR 001C TIN &amp; TP'!$B$3:$B$10005&amp;'DMR 001C TIN &amp; TP'!$A$3:$A$10005),0),MATCH('Reg 85'!$O$11,'DMR 001C TIN &amp; TP'!$A$2:$M$2,0))),"")</f>
        <v/>
      </c>
      <c r="T219" s="6" t="str">
        <f t="array" ref="T219">_xlfn.IFNA((INDEX('DMR 001C TIN &amp; TP'!$A$3:$M$10005,MATCH(('Reg 85'!$I$6:$Q$6&amp;'Reg 85'!T$10&amp;'Reg 85'!$B219),('DMR 001C TIN &amp; TP'!$E$3:$E$10005&amp;'DMR 001C TIN &amp; TP'!$B$3:$B$10005&amp;'DMR 001C TIN &amp; TP'!$A$3:$A$10005),0),MATCH('Reg 85'!$O$11,'DMR 001C TIN &amp; TP'!$A$2:$M$2,0))),"")</f>
        <v/>
      </c>
      <c r="U219" s="6" t="str">
        <f t="array" ref="U219">_xlfn.IFNA((INDEX('DMR 001C TIN &amp; TP'!$A$3:$M$10005,MATCH(('Reg 85'!$I$6:$Q$6&amp;'Reg 85'!U$10&amp;'Reg 85'!$B219),('DMR 001C TIN &amp; TP'!$E$3:$E$10005&amp;'DMR 001C TIN &amp; TP'!$B$3:$B$10005&amp;'DMR 001C TIN &amp; TP'!$A$3:$A$10005),0),MATCH('Reg 85'!$O$11,'DMR 001C TIN &amp; TP'!$A$2:$M$2,0))),"")</f>
        <v/>
      </c>
      <c r="V219" s="6" t="str">
        <f t="array" ref="V219">_xlfn.IFNA((INDEX('DMR 001C TIN &amp; TP'!$A$3:$M$10005,MATCH(('Reg 85'!$I$6:$Q$6&amp;'Reg 85'!V$10&amp;'Reg 85'!$B219),('DMR 001C TIN &amp; TP'!$E$3:$E$10005&amp;'DMR 001C TIN &amp; TP'!$B$3:$B$10005&amp;'DMR 001C TIN &amp; TP'!$A$3:$A$10005),0),MATCH('Reg 85'!$O$11,'DMR 001C TIN &amp; TP'!$A$2:$M$2,0))),"")</f>
        <v/>
      </c>
      <c r="W219" s="6" t="str">
        <f t="array" ref="W219">_xlfn.IFNA((INDEX('DMR 001C TIN &amp; TP'!$A$3:$M$10005,MATCH(('Reg 85'!$I$6:$Q$6&amp;'Reg 85'!W$10&amp;'Reg 85'!$B219),('DMR 001C TIN &amp; TP'!$E$3:$E$10005&amp;'DMR 001C TIN &amp; TP'!$B$3:$B$10005&amp;'DMR 001C TIN &amp; TP'!$A$3:$A$10005),0),MATCH('Reg 85'!$O$11,'DMR 001C TIN &amp; TP'!$A$2:$M$2,0))),"")</f>
        <v/>
      </c>
      <c r="X219" s="5" t="str">
        <f t="shared" si="92"/>
        <v/>
      </c>
      <c r="Y219" s="6" t="str">
        <f t="array" ref="Y219">_xlfn.IFNA((INDEX('DMR 001C TIN &amp; TP'!$A$3:$M$10005,MATCH(('Reg 85'!$X$6&amp;'Reg 85'!$X$10&amp;'Reg 85'!$B219),('DMR 001C TIN &amp; TP'!$E$3:$E$10005&amp;'DMR 001C TIN &amp; TP'!$B$3:$B$10005&amp;'DMR 001C TIN &amp; TP'!$A$3:$A$10005),0),MATCH('Reg 85'!$Y$11,'DMR 001C TIN &amp; TP'!$A$2:$M$2,0))),"")</f>
        <v/>
      </c>
      <c r="Z219" s="6" t="str">
        <f t="array" ref="Z219">_xlfn.IFNA((INDEX('DMR 001C TIN &amp; TP'!$A$3:$M$10005,MATCH(('Reg 85'!$X$6&amp;'Reg 85'!$X$10&amp;'Reg 85'!$B219),('DMR 001C TIN &amp; TP'!$E$3:$E$10005&amp;'DMR 001C TIN &amp; TP'!$B$3:$B$10005&amp;'DMR 001C TIN &amp; TP'!$A$3:$A$10005),0),MATCH('Reg 85'!$Z$11,'DMR 001C TIN &amp; TP'!$A$2:$M$2,0))),"")</f>
        <v/>
      </c>
      <c r="AA219" s="53" t="str">
        <f t="shared" si="93"/>
        <v/>
      </c>
      <c r="AB219" s="5" t="str">
        <f t="shared" si="94"/>
        <v/>
      </c>
      <c r="AC219" s="6" t="str">
        <f t="array" ref="AC219">_xlfn.IFNA((INDEX('DMR 001C TIN &amp; TP'!$A$3:$M$10005,MATCH(('Reg 85'!$X$6&amp;'Reg 85'!$AB$10&amp;'Reg 85'!$B219),('DMR 001C TIN &amp; TP'!$E$3:$E$10005&amp;'DMR 001C TIN &amp; TP'!$B$3:$B$10005&amp;'DMR 001C TIN &amp; TP'!$A$3:$A$10005),0),MATCH('Reg 85'!$AC$11,'DMR 001C TIN &amp; TP'!$A$2:$M$2,0))),"")</f>
        <v/>
      </c>
      <c r="AD219" s="6" t="str">
        <f t="array" ref="AD219">_xlfn.IFNA((INDEX('DMR 001C TIN &amp; TP'!$A$3:$M$10005,MATCH(('Reg 85'!$X$6&amp;'Reg 85'!$AB$10&amp;'Reg 85'!$B219),('DMR 001C TIN &amp; TP'!$E$3:$E$10005&amp;'DMR 001C TIN &amp; TP'!$B$3:$B$10005&amp;'DMR 001C TIN &amp; TP'!$A$3:$A$10005),0),MATCH('Reg 85'!$AD$11,'DMR 001C TIN &amp; TP'!$A$2:$M$2,0))),"")</f>
        <v/>
      </c>
      <c r="AE219" s="53" t="str">
        <f t="shared" si="95"/>
        <v/>
      </c>
      <c r="AF219" s="7" t="str">
        <f t="shared" si="96"/>
        <v/>
      </c>
      <c r="AG219" s="6" t="str">
        <f t="array" ref="AG219">_xlfn.IFNA((INDEX('DMR 001C TIN &amp; TP'!$A$3:$M$10005,MATCH(('Reg 85'!$X$6&amp;'Reg 85'!AG$10&amp;'Reg 85'!$B219),('DMR 001C TIN &amp; TP'!$E$3:$E$10005&amp;'DMR 001C TIN &amp; TP'!$B$3:$B$10005&amp;'DMR 001C TIN &amp; TP'!$A$3:$A$10005),0),MATCH('Reg 85'!$AG$11,'DMR 001C TIN &amp; TP'!$A$2:$M$2,0))),"")</f>
        <v/>
      </c>
      <c r="AH219" s="6" t="str">
        <f t="array" ref="AH219">_xlfn.IFNA((INDEX('DMR 001C TIN &amp; TP'!$A$3:$M$10005,MATCH(('Reg 85'!$X$6&amp;'Reg 85'!AH$10&amp;'Reg 85'!$B219),('DMR 001C TIN &amp; TP'!$E$3:$E$10005&amp;'DMR 001C TIN &amp; TP'!$B$3:$B$10005&amp;'DMR 001C TIN &amp; TP'!$A$3:$A$10005),0),MATCH('Reg 85'!$AG$11,'DMR 001C TIN &amp; TP'!$A$2:$M$2,0))),"")</f>
        <v/>
      </c>
      <c r="AI219" s="6" t="str">
        <f t="array" ref="AI219">_xlfn.IFNA((INDEX('DMR 001C TIN &amp; TP'!$A$3:$M$10005,MATCH(('Reg 85'!$X$6&amp;'Reg 85'!AI$10&amp;'Reg 85'!$B219),('DMR 001C TIN &amp; TP'!$E$3:$E$10005&amp;'DMR 001C TIN &amp; TP'!$B$3:$B$10005&amp;'DMR 001C TIN &amp; TP'!$A$3:$A$10005),0),MATCH('Reg 85'!$AG$11,'DMR 001C TIN &amp; TP'!$A$2:$M$2,0))),"")</f>
        <v/>
      </c>
      <c r="AJ219" s="6" t="str">
        <f t="array" ref="AJ219">_xlfn.IFNA((INDEX('DMR 001C TIN &amp; TP'!$A$3:$M$10005,MATCH(('Reg 85'!$X$6&amp;'Reg 85'!AJ$10&amp;'Reg 85'!$B219),('DMR 001C TIN &amp; TP'!$E$3:$E$10005&amp;'DMR 001C TIN &amp; TP'!$B$3:$B$10005&amp;'DMR 001C TIN &amp; TP'!$A$3:$A$10005),0),MATCH('Reg 85'!$AG$11,'DMR 001C TIN &amp; TP'!$A$2:$M$2,0))),"")</f>
        <v/>
      </c>
      <c r="AK219" s="6" t="str">
        <f t="array" ref="AK219">_xlfn.IFNA((INDEX('DMR 001C TIN &amp; TP'!$A$3:$M$10005,MATCH(('Reg 85'!$X$6&amp;'Reg 85'!AK$10&amp;'Reg 85'!$B219),('DMR 001C TIN &amp; TP'!$E$3:$E$10005&amp;'DMR 001C TIN &amp; TP'!$B$3:$B$10005&amp;'DMR 001C TIN &amp; TP'!$A$3:$A$10005),0),MATCH('Reg 85'!$AG$11,'DMR 001C TIN &amp; TP'!$A$2:$M$2,0))),"")</f>
        <v/>
      </c>
      <c r="AL219" s="6" t="str">
        <f t="array" ref="AL219">_xlfn.IFNA((INDEX('DMR 001C TIN &amp; TP'!$A$3:$M$10005,MATCH(('Reg 85'!$X$6&amp;'Reg 85'!AL$10&amp;'Reg 85'!$B219),('DMR 001C TIN &amp; TP'!$E$3:$E$10005&amp;'DMR 001C TIN &amp; TP'!$B$3:$B$10005&amp;'DMR 001C TIN &amp; TP'!$A$3:$A$10005),0),MATCH('Reg 85'!$AG$11,'DMR 001C TIN &amp; TP'!$A$2:$M$2,0))),"")</f>
        <v/>
      </c>
      <c r="AM219" s="76"/>
      <c r="AN219" s="6"/>
      <c r="AO219" s="54" t="str">
        <f t="shared" si="83"/>
        <v/>
      </c>
      <c r="AP219" s="77" t="str">
        <f t="shared" si="81"/>
        <v/>
      </c>
      <c r="AQ219" s="47"/>
      <c r="AR219" s="6" t="str">
        <f t="array" ref="AR219">_xlfn.IFNA((INDEX('DMR 001C TIN &amp; TP'!$A$3:$M$10005,MATCH(('Reg 85'!$AQ$6&amp;'Reg 85'!$AQ$10&amp;'Reg 85'!$B219),('DMR 001C TIN &amp; TP'!$E$3:$E$10005&amp;'DMR 001C TIN &amp; TP'!$B$3:$B$10005&amp;'DMR 001C TIN &amp; TP'!$A$3:$A$10005),0),MATCH('Reg 85'!$AR$11,'DMR 001C TIN &amp; TP'!$A$2:$M$2,0))),"")</f>
        <v>0.03</v>
      </c>
      <c r="AS219" s="6">
        <f t="array" ref="AS219">_xlfn.IFNA((INDEX('DMR 001C TIN &amp; TP'!$A$3:$M$10005,MATCH(('Reg 85'!$AQ$6&amp;'Reg 85'!$AQ$10&amp;'Reg 85'!$B219),('DMR 001C TIN &amp; TP'!$E$3:$E$10005&amp;'DMR 001C TIN &amp; TP'!$B$3:$B$10005&amp;'DMR 001C TIN &amp; TP'!$A$3:$A$10005),0),MATCH('Reg 85'!$AS$11,'DMR 001C TIN &amp; TP'!$A$2:$M$2,0))),"")</f>
        <v>0.23</v>
      </c>
      <c r="AT219" s="53">
        <f t="shared" si="97"/>
        <v>0.23</v>
      </c>
      <c r="AV219" s="6" t="str">
        <f t="array" ref="AV219">_xlfn.IFNA((INDEX('DMR 001C TIN &amp; TP'!$A$3:$M$10005,MATCH(('Reg 85'!$AQ$6&amp;'Reg 85'!$AU$10&amp;'Reg 85'!$B219),('DMR 001C TIN &amp; TP'!$E$3:$E$10005&amp;'DMR 001C TIN &amp; TP'!$B$3:$B$10005&amp;'DMR 001C TIN &amp; TP'!$A$3:$A$10005),0),MATCH('Reg 85'!$AV$11,'DMR 001C TIN &amp; TP'!$A$2:$M$2,0))),"")</f>
        <v>0.06</v>
      </c>
      <c r="AW219" s="6">
        <f t="array" ref="AW219">_xlfn.IFNA((INDEX('DMR 001C TIN &amp; TP'!$A$3:$M$10005,MATCH(('Reg 85'!$AQ$6&amp;'Reg 85'!$AU$10&amp;'Reg 85'!$B219),('DMR 001C TIN &amp; TP'!$E$3:$E$10005&amp;'DMR 001C TIN &amp; TP'!$B$3:$B$10005&amp;'DMR 001C TIN &amp; TP'!$A$3:$A$10005),0),MATCH('Reg 85'!$AW$11,'DMR 001C TIN &amp; TP'!$A$2:$M$2,0))),"")</f>
        <v>0.69</v>
      </c>
      <c r="AX219" s="53">
        <f t="shared" si="98"/>
        <v>0.69</v>
      </c>
      <c r="AY219" s="55">
        <f t="shared" si="99"/>
        <v>0.4590531844248002</v>
      </c>
      <c r="AZ219" s="77" t="str">
        <f t="shared" si="82"/>
        <v/>
      </c>
      <c r="BA219" s="6" t="str">
        <f t="array" ref="BA219">_xlfn.IFNA((INDEX('DMR 001C TIN &amp; TP'!$A$3:$M$10005,MATCH(('Reg 85'!$AQ$6&amp;'Reg 85'!BA$10&amp;'Reg 85'!$B219),('DMR 001C TIN &amp; TP'!$E$3:$E$10005&amp;'DMR 001C TIN &amp; TP'!$B$3:$B$10005&amp;'DMR 001C TIN &amp; TP'!$A$3:$A$10005),0),MATCH('Reg 85'!$AG$11,'DMR 001C TIN &amp; TP'!$A$2:$M$2,0))),"")</f>
        <v/>
      </c>
      <c r="BB219" s="6" t="str">
        <f t="array" ref="BB219">_xlfn.IFNA((INDEX('DMR 001C TIN &amp; TP'!$A$3:$M$10005,MATCH(('Reg 85'!$AQ$6&amp;'Reg 85'!BB$10&amp;'Reg 85'!$B219),('DMR 001C TIN &amp; TP'!$E$3:$E$10005&amp;'DMR 001C TIN &amp; TP'!$B$3:$B$10005&amp;'DMR 001C TIN &amp; TP'!$A$3:$A$10005),0),MATCH('Reg 85'!$AG$11,'DMR 001C TIN &amp; TP'!$A$2:$M$2,0))),"")</f>
        <v/>
      </c>
      <c r="BC219" s="6" t="str">
        <f t="array" ref="BC219">_xlfn.IFNA((INDEX('DMR 001C TIN &amp; TP'!$A$3:$M$10005,MATCH(('Reg 85'!$AQ$6&amp;'Reg 85'!BC$10&amp;'Reg 85'!$B219),('DMR 001C TIN &amp; TP'!$E$3:$E$10005&amp;'DMR 001C TIN &amp; TP'!$B$3:$B$10005&amp;'DMR 001C TIN &amp; TP'!$A$3:$A$10005),0),MATCH('Reg 85'!$AG$11,'DMR 001C TIN &amp; TP'!$A$2:$M$2,0))),"")</f>
        <v/>
      </c>
      <c r="BD219" s="6" t="str">
        <f t="array" ref="BD219">_xlfn.IFNA((INDEX('DMR 001C TIN &amp; TP'!$A$3:$M$10005,MATCH(('Reg 85'!$AQ$6&amp;'Reg 85'!BD$10&amp;'Reg 85'!$B219),('DMR 001C TIN &amp; TP'!$E$3:$E$10005&amp;'DMR 001C TIN &amp; TP'!$B$3:$B$10005&amp;'DMR 001C TIN &amp; TP'!$A$3:$A$10005),0),MATCH('Reg 85'!$AG$11,'DMR 001C TIN &amp; TP'!$A$2:$M$2,0))),"")</f>
        <v/>
      </c>
      <c r="BE219" s="6" t="str">
        <f t="array" ref="BE219">_xlfn.IFNA((INDEX('DMR 001C TIN &amp; TP'!$A$3:$M$10005,MATCH(('Reg 85'!$AQ$6&amp;'Reg 85'!BE$10&amp;'Reg 85'!$B219),('DMR 001C TIN &amp; TP'!$E$3:$E$10005&amp;'DMR 001C TIN &amp; TP'!$B$3:$B$10005&amp;'DMR 001C TIN &amp; TP'!$A$3:$A$10005),0),MATCH('Reg 85'!$AG$11,'DMR 001C TIN &amp; TP'!$A$2:$M$2,0))),"")</f>
        <v/>
      </c>
      <c r="BF219" s="6" t="str">
        <f t="array" ref="BF219">_xlfn.IFNA((INDEX('DMR 001C TIN &amp; TP'!$A$3:$M$10005,MATCH(('Reg 85'!$AQ$6&amp;'Reg 85'!BF$10&amp;'Reg 85'!$B219),('DMR 001C TIN &amp; TP'!$E$3:$E$10005&amp;'DMR 001C TIN &amp; TP'!$B$3:$B$10005&amp;'DMR 001C TIN &amp; TP'!$A$3:$A$10005),0),MATCH('Reg 85'!$AG$11,'DMR 001C TIN &amp; TP'!$A$2:$M$2,0))),"")</f>
        <v/>
      </c>
    </row>
    <row r="220" spans="1:58">
      <c r="A220" s="3" t="str">
        <f t="shared" si="84"/>
        <v>Thu</v>
      </c>
      <c r="B220" s="96">
        <f t="shared" si="100"/>
        <v>43552</v>
      </c>
      <c r="C220" s="96">
        <f t="shared" si="85"/>
        <v>43555</v>
      </c>
      <c r="D220" s="96">
        <f t="shared" si="86"/>
        <v>43525</v>
      </c>
      <c r="E220" s="95">
        <f t="shared" si="87"/>
        <v>31</v>
      </c>
      <c r="F220" s="7">
        <f t="array" ref="F220">_xlfn.IFNA(INDEX('DMR Flows-Effluent'!$A$3:$F$9999,MATCH(($F$10&amp;$B220),('DMR Flows-Effluent'!$B$3:$B$9999&amp;'DMR Flows-Effluent'!$A$3:$A$9999),0),MATCH($F$8,'DMR Flows-Effluent'!$A$2:$F$2,0)),"")</f>
        <v>59.238700000000001</v>
      </c>
      <c r="G220" s="7">
        <f t="array" ref="G220">_xlfn.IFNA(INDEX('DMR Flows-Effluent'!$A$3:$F$9999,MATCH(($G$10&amp;$B220),('DMR Flows-Effluent'!$B$3:$B$9999&amp;'DMR Flows-Effluent'!$A$3:$A$9999),0),MATCH($F$8,'DMR Flows-Effluent'!$A$2:$F$2,0)),"")</f>
        <v>63.254300000000001</v>
      </c>
      <c r="H220" s="7">
        <f t="shared" si="88"/>
        <v>122.49299999999999</v>
      </c>
      <c r="I220" s="45" t="str">
        <f t="shared" si="89"/>
        <v/>
      </c>
      <c r="J220" s="6" t="str">
        <f t="array" ref="J220">_xlfn.IFNA((INDEX('DMR 001C TIN &amp; TP'!$A$3:$M$10005,MATCH(('Reg 85'!$I$6:$Q$6&amp;'Reg 85'!$I$10:$K$10&amp;'Reg 85'!$B220),('DMR 001C TIN &amp; TP'!$E$3:$E$10005&amp;'DMR 001C TIN &amp; TP'!$B$3:$B$10005&amp;'DMR 001C TIN &amp; TP'!$A$3:$A$10005),0),MATCH('Reg 85'!$J$11,'DMR 001C TIN &amp; TP'!$A$2:$M$2,0))),"")</f>
        <v/>
      </c>
      <c r="K220" s="6" t="str">
        <f t="array" ref="K220">_xlfn.IFNA((INDEX('DMR 001C TIN &amp; TP'!$A$3:$M$10005,MATCH(('Reg 85'!$I$6:$Q$6&amp;'Reg 85'!$I$10:$K$10&amp;'Reg 85'!$B220),('DMR 001C TIN &amp; TP'!$E$3:$E$10005&amp;'DMR 001C TIN &amp; TP'!$B$3:$B$10005&amp;'DMR 001C TIN &amp; TP'!$A$3:$A$10005),0),MATCH('Reg 85'!$K$11,'DMR 001C TIN &amp; TP'!$A$2:$M$2,0))),"")</f>
        <v/>
      </c>
      <c r="L220" s="53" t="str">
        <f t="shared" si="101"/>
        <v/>
      </c>
      <c r="M220" s="5" t="str">
        <f t="shared" si="90"/>
        <v/>
      </c>
      <c r="N220" s="6" t="str">
        <f t="array" ref="N220">_xlfn.IFNA((INDEX('DMR 001C TIN &amp; TP'!$A$3:$M$10005,MATCH(('Reg 85'!$I$6:$Q$6&amp;'Reg 85'!$M$10&amp;'Reg 85'!$B220),('DMR 001C TIN &amp; TP'!$E$3:$E$10005&amp;'DMR 001C TIN &amp; TP'!$B$3:$B$10005&amp;'DMR 001C TIN &amp; TP'!$A$3:$A$10005),0),MATCH('Reg 85'!$N$11,'DMR 001C TIN &amp; TP'!$A$2:$M$2,0))),"")</f>
        <v/>
      </c>
      <c r="O220" s="6" t="str">
        <f t="array" ref="O220">_xlfn.IFNA((INDEX('DMR 001C TIN &amp; TP'!$A$3:$M$10005,MATCH(('Reg 85'!$I$6:$Q$6&amp;'Reg 85'!$M$10&amp;'Reg 85'!$B220),('DMR 001C TIN &amp; TP'!$E$3:$E$10005&amp;'DMR 001C TIN &amp; TP'!$B$3:$B$10005&amp;'DMR 001C TIN &amp; TP'!$A$3:$A$10005),0),MATCH('Reg 85'!$O$11,'DMR 001C TIN &amp; TP'!$A$2:$M$2,0))),"")</f>
        <v/>
      </c>
      <c r="P220" s="53" t="str">
        <f t="shared" si="91"/>
        <v/>
      </c>
      <c r="Q220" s="73" t="str">
        <f t="array" ref="Q220">IFERROR(((L220*$F220)+(P220*$G220))/($H220),"")</f>
        <v/>
      </c>
      <c r="R220" s="6" t="str">
        <f t="array" ref="R220">_xlfn.IFNA((INDEX('DMR 001C TIN &amp; TP'!$A$3:$M$10005,MATCH(('Reg 85'!$I$6:$Q$6&amp;'Reg 85'!R$10&amp;'Reg 85'!$B220),('DMR 001C TIN &amp; TP'!$E$3:$E$10005&amp;'DMR 001C TIN &amp; TP'!$B$3:$B$10005&amp;'DMR 001C TIN &amp; TP'!$A$3:$A$10005),0),MATCH('Reg 85'!$O$11,'DMR 001C TIN &amp; TP'!$A$2:$M$2,0))),"")</f>
        <v/>
      </c>
      <c r="S220" s="6" t="str">
        <f t="array" ref="S220">_xlfn.IFNA((INDEX('DMR 001C TIN &amp; TP'!$A$3:$M$10005,MATCH(('Reg 85'!$I$6:$Q$6&amp;'Reg 85'!S$10&amp;'Reg 85'!$B220),('DMR 001C TIN &amp; TP'!$E$3:$E$10005&amp;'DMR 001C TIN &amp; TP'!$B$3:$B$10005&amp;'DMR 001C TIN &amp; TP'!$A$3:$A$10005),0),MATCH('Reg 85'!$O$11,'DMR 001C TIN &amp; TP'!$A$2:$M$2,0))),"")</f>
        <v/>
      </c>
      <c r="T220" s="6" t="str">
        <f t="array" ref="T220">_xlfn.IFNA((INDEX('DMR 001C TIN &amp; TP'!$A$3:$M$10005,MATCH(('Reg 85'!$I$6:$Q$6&amp;'Reg 85'!T$10&amp;'Reg 85'!$B220),('DMR 001C TIN &amp; TP'!$E$3:$E$10005&amp;'DMR 001C TIN &amp; TP'!$B$3:$B$10005&amp;'DMR 001C TIN &amp; TP'!$A$3:$A$10005),0),MATCH('Reg 85'!$O$11,'DMR 001C TIN &amp; TP'!$A$2:$M$2,0))),"")</f>
        <v/>
      </c>
      <c r="U220" s="6" t="str">
        <f t="array" ref="U220">_xlfn.IFNA((INDEX('DMR 001C TIN &amp; TP'!$A$3:$M$10005,MATCH(('Reg 85'!$I$6:$Q$6&amp;'Reg 85'!U$10&amp;'Reg 85'!$B220),('DMR 001C TIN &amp; TP'!$E$3:$E$10005&amp;'DMR 001C TIN &amp; TP'!$B$3:$B$10005&amp;'DMR 001C TIN &amp; TP'!$A$3:$A$10005),0),MATCH('Reg 85'!$O$11,'DMR 001C TIN &amp; TP'!$A$2:$M$2,0))),"")</f>
        <v/>
      </c>
      <c r="V220" s="6" t="str">
        <f t="array" ref="V220">_xlfn.IFNA((INDEX('DMR 001C TIN &amp; TP'!$A$3:$M$10005,MATCH(('Reg 85'!$I$6:$Q$6&amp;'Reg 85'!V$10&amp;'Reg 85'!$B220),('DMR 001C TIN &amp; TP'!$E$3:$E$10005&amp;'DMR 001C TIN &amp; TP'!$B$3:$B$10005&amp;'DMR 001C TIN &amp; TP'!$A$3:$A$10005),0),MATCH('Reg 85'!$O$11,'DMR 001C TIN &amp; TP'!$A$2:$M$2,0))),"")</f>
        <v/>
      </c>
      <c r="W220" s="6" t="str">
        <f t="array" ref="W220">_xlfn.IFNA((INDEX('DMR 001C TIN &amp; TP'!$A$3:$M$10005,MATCH(('Reg 85'!$I$6:$Q$6&amp;'Reg 85'!W$10&amp;'Reg 85'!$B220),('DMR 001C TIN &amp; TP'!$E$3:$E$10005&amp;'DMR 001C TIN &amp; TP'!$B$3:$B$10005&amp;'DMR 001C TIN &amp; TP'!$A$3:$A$10005),0),MATCH('Reg 85'!$O$11,'DMR 001C TIN &amp; TP'!$A$2:$M$2,0))),"")</f>
        <v/>
      </c>
      <c r="X220" s="5" t="str">
        <f t="shared" si="92"/>
        <v/>
      </c>
      <c r="Y220" s="6" t="str">
        <f t="array" ref="Y220">_xlfn.IFNA((INDEX('DMR 001C TIN &amp; TP'!$A$3:$M$10005,MATCH(('Reg 85'!$X$6&amp;'Reg 85'!$X$10&amp;'Reg 85'!$B220),('DMR 001C TIN &amp; TP'!$E$3:$E$10005&amp;'DMR 001C TIN &amp; TP'!$B$3:$B$10005&amp;'DMR 001C TIN &amp; TP'!$A$3:$A$10005),0),MATCH('Reg 85'!$Y$11,'DMR 001C TIN &amp; TP'!$A$2:$M$2,0))),"")</f>
        <v/>
      </c>
      <c r="Z220" s="6" t="str">
        <f t="array" ref="Z220">_xlfn.IFNA((INDEX('DMR 001C TIN &amp; TP'!$A$3:$M$10005,MATCH(('Reg 85'!$X$6&amp;'Reg 85'!$X$10&amp;'Reg 85'!$B220),('DMR 001C TIN &amp; TP'!$E$3:$E$10005&amp;'DMR 001C TIN &amp; TP'!$B$3:$B$10005&amp;'DMR 001C TIN &amp; TP'!$A$3:$A$10005),0),MATCH('Reg 85'!$Z$11,'DMR 001C TIN &amp; TP'!$A$2:$M$2,0))),"")</f>
        <v/>
      </c>
      <c r="AA220" s="53" t="str">
        <f t="shared" si="93"/>
        <v/>
      </c>
      <c r="AB220" s="5" t="str">
        <f t="shared" si="94"/>
        <v/>
      </c>
      <c r="AC220" s="6" t="str">
        <f t="array" ref="AC220">_xlfn.IFNA((INDEX('DMR 001C TIN &amp; TP'!$A$3:$M$10005,MATCH(('Reg 85'!$X$6&amp;'Reg 85'!$AB$10&amp;'Reg 85'!$B220),('DMR 001C TIN &amp; TP'!$E$3:$E$10005&amp;'DMR 001C TIN &amp; TP'!$B$3:$B$10005&amp;'DMR 001C TIN &amp; TP'!$A$3:$A$10005),0),MATCH('Reg 85'!$AC$11,'DMR 001C TIN &amp; TP'!$A$2:$M$2,0))),"")</f>
        <v/>
      </c>
      <c r="AD220" s="6" t="str">
        <f t="array" ref="AD220">_xlfn.IFNA((INDEX('DMR 001C TIN &amp; TP'!$A$3:$M$10005,MATCH(('Reg 85'!$X$6&amp;'Reg 85'!$AB$10&amp;'Reg 85'!$B220),('DMR 001C TIN &amp; TP'!$E$3:$E$10005&amp;'DMR 001C TIN &amp; TP'!$B$3:$B$10005&amp;'DMR 001C TIN &amp; TP'!$A$3:$A$10005),0),MATCH('Reg 85'!$AD$11,'DMR 001C TIN &amp; TP'!$A$2:$M$2,0))),"")</f>
        <v/>
      </c>
      <c r="AE220" s="53" t="str">
        <f t="shared" si="95"/>
        <v/>
      </c>
      <c r="AF220" s="7" t="str">
        <f t="shared" si="96"/>
        <v/>
      </c>
      <c r="AG220" s="6" t="str">
        <f t="array" ref="AG220">_xlfn.IFNA((INDEX('DMR 001C TIN &amp; TP'!$A$3:$M$10005,MATCH(('Reg 85'!$X$6&amp;'Reg 85'!AG$10&amp;'Reg 85'!$B220),('DMR 001C TIN &amp; TP'!$E$3:$E$10005&amp;'DMR 001C TIN &amp; TP'!$B$3:$B$10005&amp;'DMR 001C TIN &amp; TP'!$A$3:$A$10005),0),MATCH('Reg 85'!$AG$11,'DMR 001C TIN &amp; TP'!$A$2:$M$2,0))),"")</f>
        <v/>
      </c>
      <c r="AH220" s="6" t="str">
        <f t="array" ref="AH220">_xlfn.IFNA((INDEX('DMR 001C TIN &amp; TP'!$A$3:$M$10005,MATCH(('Reg 85'!$X$6&amp;'Reg 85'!AH$10&amp;'Reg 85'!$B220),('DMR 001C TIN &amp; TP'!$E$3:$E$10005&amp;'DMR 001C TIN &amp; TP'!$B$3:$B$10005&amp;'DMR 001C TIN &amp; TP'!$A$3:$A$10005),0),MATCH('Reg 85'!$AG$11,'DMR 001C TIN &amp; TP'!$A$2:$M$2,0))),"")</f>
        <v/>
      </c>
      <c r="AI220" s="6" t="str">
        <f t="array" ref="AI220">_xlfn.IFNA((INDEX('DMR 001C TIN &amp; TP'!$A$3:$M$10005,MATCH(('Reg 85'!$X$6&amp;'Reg 85'!AI$10&amp;'Reg 85'!$B220),('DMR 001C TIN &amp; TP'!$E$3:$E$10005&amp;'DMR 001C TIN &amp; TP'!$B$3:$B$10005&amp;'DMR 001C TIN &amp; TP'!$A$3:$A$10005),0),MATCH('Reg 85'!$AG$11,'DMR 001C TIN &amp; TP'!$A$2:$M$2,0))),"")</f>
        <v/>
      </c>
      <c r="AJ220" s="6" t="str">
        <f t="array" ref="AJ220">_xlfn.IFNA((INDEX('DMR 001C TIN &amp; TP'!$A$3:$M$10005,MATCH(('Reg 85'!$X$6&amp;'Reg 85'!AJ$10&amp;'Reg 85'!$B220),('DMR 001C TIN &amp; TP'!$E$3:$E$10005&amp;'DMR 001C TIN &amp; TP'!$B$3:$B$10005&amp;'DMR 001C TIN &amp; TP'!$A$3:$A$10005),0),MATCH('Reg 85'!$AG$11,'DMR 001C TIN &amp; TP'!$A$2:$M$2,0))),"")</f>
        <v/>
      </c>
      <c r="AK220" s="6" t="str">
        <f t="array" ref="AK220">_xlfn.IFNA((INDEX('DMR 001C TIN &amp; TP'!$A$3:$M$10005,MATCH(('Reg 85'!$X$6&amp;'Reg 85'!AK$10&amp;'Reg 85'!$B220),('DMR 001C TIN &amp; TP'!$E$3:$E$10005&amp;'DMR 001C TIN &amp; TP'!$B$3:$B$10005&amp;'DMR 001C TIN &amp; TP'!$A$3:$A$10005),0),MATCH('Reg 85'!$AG$11,'DMR 001C TIN &amp; TP'!$A$2:$M$2,0))),"")</f>
        <v/>
      </c>
      <c r="AL220" s="6" t="str">
        <f t="array" ref="AL220">_xlfn.IFNA((INDEX('DMR 001C TIN &amp; TP'!$A$3:$M$10005,MATCH(('Reg 85'!$X$6&amp;'Reg 85'!AL$10&amp;'Reg 85'!$B220),('DMR 001C TIN &amp; TP'!$E$3:$E$10005&amp;'DMR 001C TIN &amp; TP'!$B$3:$B$10005&amp;'DMR 001C TIN &amp; TP'!$A$3:$A$10005),0),MATCH('Reg 85'!$AG$11,'DMR 001C TIN &amp; TP'!$A$2:$M$2,0))),"")</f>
        <v/>
      </c>
      <c r="AM220" s="76"/>
      <c r="AN220" s="6"/>
      <c r="AO220" s="54" t="str">
        <f t="shared" si="83"/>
        <v/>
      </c>
      <c r="AP220" s="77" t="str">
        <f t="shared" si="81"/>
        <v/>
      </c>
      <c r="AQ220" s="47"/>
      <c r="AR220" s="6" t="str">
        <f t="array" ref="AR220">_xlfn.IFNA((INDEX('DMR 001C TIN &amp; TP'!$A$3:$M$10005,MATCH(('Reg 85'!$AQ$6&amp;'Reg 85'!$AQ$10&amp;'Reg 85'!$B220),('DMR 001C TIN &amp; TP'!$E$3:$E$10005&amp;'DMR 001C TIN &amp; TP'!$B$3:$B$10005&amp;'DMR 001C TIN &amp; TP'!$A$3:$A$10005),0),MATCH('Reg 85'!$AR$11,'DMR 001C TIN &amp; TP'!$A$2:$M$2,0))),"")</f>
        <v>0.03</v>
      </c>
      <c r="AS220" s="6">
        <f t="array" ref="AS220">_xlfn.IFNA((INDEX('DMR 001C TIN &amp; TP'!$A$3:$M$10005,MATCH(('Reg 85'!$AQ$6&amp;'Reg 85'!$AQ$10&amp;'Reg 85'!$B220),('DMR 001C TIN &amp; TP'!$E$3:$E$10005&amp;'DMR 001C TIN &amp; TP'!$B$3:$B$10005&amp;'DMR 001C TIN &amp; TP'!$A$3:$A$10005),0),MATCH('Reg 85'!$AS$11,'DMR 001C TIN &amp; TP'!$A$2:$M$2,0))),"")</f>
        <v>0.25</v>
      </c>
      <c r="AT220" s="53">
        <f t="shared" si="97"/>
        <v>0.25</v>
      </c>
      <c r="AV220" s="6" t="str">
        <f t="array" ref="AV220">_xlfn.IFNA((INDEX('DMR 001C TIN &amp; TP'!$A$3:$M$10005,MATCH(('Reg 85'!$AQ$6&amp;'Reg 85'!$AU$10&amp;'Reg 85'!$B220),('DMR 001C TIN &amp; TP'!$E$3:$E$10005&amp;'DMR 001C TIN &amp; TP'!$B$3:$B$10005&amp;'DMR 001C TIN &amp; TP'!$A$3:$A$10005),0),MATCH('Reg 85'!$AV$11,'DMR 001C TIN &amp; TP'!$A$2:$M$2,0))),"")</f>
        <v>0.06</v>
      </c>
      <c r="AW220" s="6">
        <f t="array" ref="AW220">_xlfn.IFNA((INDEX('DMR 001C TIN &amp; TP'!$A$3:$M$10005,MATCH(('Reg 85'!$AQ$6&amp;'Reg 85'!$AU$10&amp;'Reg 85'!$B220),('DMR 001C TIN &amp; TP'!$E$3:$E$10005&amp;'DMR 001C TIN &amp; TP'!$B$3:$B$10005&amp;'DMR 001C TIN &amp; TP'!$A$3:$A$10005),0),MATCH('Reg 85'!$AW$11,'DMR 001C TIN &amp; TP'!$A$2:$M$2,0))),"")</f>
        <v>2.02</v>
      </c>
      <c r="AX220" s="53">
        <f t="shared" si="98"/>
        <v>2.02</v>
      </c>
      <c r="AY220" s="55">
        <f t="shared" si="99"/>
        <v>1.1640123190712939</v>
      </c>
      <c r="AZ220" s="77" t="str">
        <f t="shared" si="82"/>
        <v/>
      </c>
      <c r="BA220" s="6" t="str">
        <f t="array" ref="BA220">_xlfn.IFNA((INDEX('DMR 001C TIN &amp; TP'!$A$3:$M$10005,MATCH(('Reg 85'!$AQ$6&amp;'Reg 85'!BA$10&amp;'Reg 85'!$B220),('DMR 001C TIN &amp; TP'!$E$3:$E$10005&amp;'DMR 001C TIN &amp; TP'!$B$3:$B$10005&amp;'DMR 001C TIN &amp; TP'!$A$3:$A$10005),0),MATCH('Reg 85'!$AG$11,'DMR 001C TIN &amp; TP'!$A$2:$M$2,0))),"")</f>
        <v/>
      </c>
      <c r="BB220" s="6" t="str">
        <f t="array" ref="BB220">_xlfn.IFNA((INDEX('DMR 001C TIN &amp; TP'!$A$3:$M$10005,MATCH(('Reg 85'!$AQ$6&amp;'Reg 85'!BB$10&amp;'Reg 85'!$B220),('DMR 001C TIN &amp; TP'!$E$3:$E$10005&amp;'DMR 001C TIN &amp; TP'!$B$3:$B$10005&amp;'DMR 001C TIN &amp; TP'!$A$3:$A$10005),0),MATCH('Reg 85'!$AG$11,'DMR 001C TIN &amp; TP'!$A$2:$M$2,0))),"")</f>
        <v/>
      </c>
      <c r="BC220" s="6" t="str">
        <f t="array" ref="BC220">_xlfn.IFNA((INDEX('DMR 001C TIN &amp; TP'!$A$3:$M$10005,MATCH(('Reg 85'!$AQ$6&amp;'Reg 85'!BC$10&amp;'Reg 85'!$B220),('DMR 001C TIN &amp; TP'!$E$3:$E$10005&amp;'DMR 001C TIN &amp; TP'!$B$3:$B$10005&amp;'DMR 001C TIN &amp; TP'!$A$3:$A$10005),0),MATCH('Reg 85'!$AG$11,'DMR 001C TIN &amp; TP'!$A$2:$M$2,0))),"")</f>
        <v/>
      </c>
      <c r="BD220" s="6" t="str">
        <f t="array" ref="BD220">_xlfn.IFNA((INDEX('DMR 001C TIN &amp; TP'!$A$3:$M$10005,MATCH(('Reg 85'!$AQ$6&amp;'Reg 85'!BD$10&amp;'Reg 85'!$B220),('DMR 001C TIN &amp; TP'!$E$3:$E$10005&amp;'DMR 001C TIN &amp; TP'!$B$3:$B$10005&amp;'DMR 001C TIN &amp; TP'!$A$3:$A$10005),0),MATCH('Reg 85'!$AG$11,'DMR 001C TIN &amp; TP'!$A$2:$M$2,0))),"")</f>
        <v/>
      </c>
      <c r="BE220" s="6" t="str">
        <f t="array" ref="BE220">_xlfn.IFNA((INDEX('DMR 001C TIN &amp; TP'!$A$3:$M$10005,MATCH(('Reg 85'!$AQ$6&amp;'Reg 85'!BE$10&amp;'Reg 85'!$B220),('DMR 001C TIN &amp; TP'!$E$3:$E$10005&amp;'DMR 001C TIN &amp; TP'!$B$3:$B$10005&amp;'DMR 001C TIN &amp; TP'!$A$3:$A$10005),0),MATCH('Reg 85'!$AG$11,'DMR 001C TIN &amp; TP'!$A$2:$M$2,0))),"")</f>
        <v/>
      </c>
      <c r="BF220" s="6" t="str">
        <f t="array" ref="BF220">_xlfn.IFNA((INDEX('DMR 001C TIN &amp; TP'!$A$3:$M$10005,MATCH(('Reg 85'!$AQ$6&amp;'Reg 85'!BF$10&amp;'Reg 85'!$B220),('DMR 001C TIN &amp; TP'!$E$3:$E$10005&amp;'DMR 001C TIN &amp; TP'!$B$3:$B$10005&amp;'DMR 001C TIN &amp; TP'!$A$3:$A$10005),0),MATCH('Reg 85'!$AG$11,'DMR 001C TIN &amp; TP'!$A$2:$M$2,0))),"")</f>
        <v/>
      </c>
    </row>
    <row r="221" spans="1:58">
      <c r="A221" s="3" t="str">
        <f t="shared" si="84"/>
        <v>Fri</v>
      </c>
      <c r="B221" s="96">
        <f t="shared" si="100"/>
        <v>43553</v>
      </c>
      <c r="C221" s="96">
        <f t="shared" si="85"/>
        <v>43555</v>
      </c>
      <c r="D221" s="96">
        <f t="shared" si="86"/>
        <v>43525</v>
      </c>
      <c r="E221" s="95">
        <f t="shared" si="87"/>
        <v>31</v>
      </c>
      <c r="F221" s="7">
        <f t="array" ref="F221">_xlfn.IFNA(INDEX('DMR Flows-Effluent'!$A$3:$F$9999,MATCH(($F$10&amp;$B221),('DMR Flows-Effluent'!$B$3:$B$9999&amp;'DMR Flows-Effluent'!$A$3:$A$9999),0),MATCH($F$8,'DMR Flows-Effluent'!$A$2:$F$2,0)),"")</f>
        <v>59.938899999999997</v>
      </c>
      <c r="G221" s="7">
        <f t="array" ref="G221">_xlfn.IFNA(INDEX('DMR Flows-Effluent'!$A$3:$F$9999,MATCH(($G$10&amp;$B221),('DMR Flows-Effluent'!$B$3:$B$9999&amp;'DMR Flows-Effluent'!$A$3:$A$9999),0),MATCH($F$8,'DMR Flows-Effluent'!$A$2:$F$2,0)),"")</f>
        <v>59.840499999999999</v>
      </c>
      <c r="H221" s="7">
        <f t="shared" si="88"/>
        <v>119.7794</v>
      </c>
      <c r="I221" s="45" t="str">
        <f t="shared" si="89"/>
        <v/>
      </c>
      <c r="J221" s="6" t="str">
        <f t="array" ref="J221">_xlfn.IFNA((INDEX('DMR 001C TIN &amp; TP'!$A$3:$M$10005,MATCH(('Reg 85'!$I$6:$Q$6&amp;'Reg 85'!$I$10:$K$10&amp;'Reg 85'!$B221),('DMR 001C TIN &amp; TP'!$E$3:$E$10005&amp;'DMR 001C TIN &amp; TP'!$B$3:$B$10005&amp;'DMR 001C TIN &amp; TP'!$A$3:$A$10005),0),MATCH('Reg 85'!$J$11,'DMR 001C TIN &amp; TP'!$A$2:$M$2,0))),"")</f>
        <v/>
      </c>
      <c r="K221" s="6" t="str">
        <f t="array" ref="K221">_xlfn.IFNA((INDEX('DMR 001C TIN &amp; TP'!$A$3:$M$10005,MATCH(('Reg 85'!$I$6:$Q$6&amp;'Reg 85'!$I$10:$K$10&amp;'Reg 85'!$B221),('DMR 001C TIN &amp; TP'!$E$3:$E$10005&amp;'DMR 001C TIN &amp; TP'!$B$3:$B$10005&amp;'DMR 001C TIN &amp; TP'!$A$3:$A$10005),0),MATCH('Reg 85'!$K$11,'DMR 001C TIN &amp; TP'!$A$2:$M$2,0))),"")</f>
        <v/>
      </c>
      <c r="L221" s="53" t="str">
        <f t="shared" si="101"/>
        <v/>
      </c>
      <c r="M221" s="5" t="str">
        <f t="shared" si="90"/>
        <v/>
      </c>
      <c r="N221" s="6" t="str">
        <f t="array" ref="N221">_xlfn.IFNA((INDEX('DMR 001C TIN &amp; TP'!$A$3:$M$10005,MATCH(('Reg 85'!$I$6:$Q$6&amp;'Reg 85'!$M$10&amp;'Reg 85'!$B221),('DMR 001C TIN &amp; TP'!$E$3:$E$10005&amp;'DMR 001C TIN &amp; TP'!$B$3:$B$10005&amp;'DMR 001C TIN &amp; TP'!$A$3:$A$10005),0),MATCH('Reg 85'!$N$11,'DMR 001C TIN &amp; TP'!$A$2:$M$2,0))),"")</f>
        <v/>
      </c>
      <c r="O221" s="6" t="str">
        <f t="array" ref="O221">_xlfn.IFNA((INDEX('DMR 001C TIN &amp; TP'!$A$3:$M$10005,MATCH(('Reg 85'!$I$6:$Q$6&amp;'Reg 85'!$M$10&amp;'Reg 85'!$B221),('DMR 001C TIN &amp; TP'!$E$3:$E$10005&amp;'DMR 001C TIN &amp; TP'!$B$3:$B$10005&amp;'DMR 001C TIN &amp; TP'!$A$3:$A$10005),0),MATCH('Reg 85'!$O$11,'DMR 001C TIN &amp; TP'!$A$2:$M$2,0))),"")</f>
        <v/>
      </c>
      <c r="P221" s="53" t="str">
        <f t="shared" si="91"/>
        <v/>
      </c>
      <c r="Q221" s="73" t="str">
        <f t="array" ref="Q221">IFERROR(((L221*$F221)+(P221*$G221))/($H221),"")</f>
        <v/>
      </c>
      <c r="R221" s="6" t="str">
        <f t="array" ref="R221">_xlfn.IFNA((INDEX('DMR 001C TIN &amp; TP'!$A$3:$M$10005,MATCH(('Reg 85'!$I$6:$Q$6&amp;'Reg 85'!R$10&amp;'Reg 85'!$B221),('DMR 001C TIN &amp; TP'!$E$3:$E$10005&amp;'DMR 001C TIN &amp; TP'!$B$3:$B$10005&amp;'DMR 001C TIN &amp; TP'!$A$3:$A$10005),0),MATCH('Reg 85'!$O$11,'DMR 001C TIN &amp; TP'!$A$2:$M$2,0))),"")</f>
        <v/>
      </c>
      <c r="S221" s="6" t="str">
        <f t="array" ref="S221">_xlfn.IFNA((INDEX('DMR 001C TIN &amp; TP'!$A$3:$M$10005,MATCH(('Reg 85'!$I$6:$Q$6&amp;'Reg 85'!S$10&amp;'Reg 85'!$B221),('DMR 001C TIN &amp; TP'!$E$3:$E$10005&amp;'DMR 001C TIN &amp; TP'!$B$3:$B$10005&amp;'DMR 001C TIN &amp; TP'!$A$3:$A$10005),0),MATCH('Reg 85'!$O$11,'DMR 001C TIN &amp; TP'!$A$2:$M$2,0))),"")</f>
        <v/>
      </c>
      <c r="T221" s="6" t="str">
        <f t="array" ref="T221">_xlfn.IFNA((INDEX('DMR 001C TIN &amp; TP'!$A$3:$M$10005,MATCH(('Reg 85'!$I$6:$Q$6&amp;'Reg 85'!T$10&amp;'Reg 85'!$B221),('DMR 001C TIN &amp; TP'!$E$3:$E$10005&amp;'DMR 001C TIN &amp; TP'!$B$3:$B$10005&amp;'DMR 001C TIN &amp; TP'!$A$3:$A$10005),0),MATCH('Reg 85'!$O$11,'DMR 001C TIN &amp; TP'!$A$2:$M$2,0))),"")</f>
        <v/>
      </c>
      <c r="U221" s="6" t="str">
        <f t="array" ref="U221">_xlfn.IFNA((INDEX('DMR 001C TIN &amp; TP'!$A$3:$M$10005,MATCH(('Reg 85'!$I$6:$Q$6&amp;'Reg 85'!U$10&amp;'Reg 85'!$B221),('DMR 001C TIN &amp; TP'!$E$3:$E$10005&amp;'DMR 001C TIN &amp; TP'!$B$3:$B$10005&amp;'DMR 001C TIN &amp; TP'!$A$3:$A$10005),0),MATCH('Reg 85'!$O$11,'DMR 001C TIN &amp; TP'!$A$2:$M$2,0))),"")</f>
        <v/>
      </c>
      <c r="V221" s="6" t="str">
        <f t="array" ref="V221">_xlfn.IFNA((INDEX('DMR 001C TIN &amp; TP'!$A$3:$M$10005,MATCH(('Reg 85'!$I$6:$Q$6&amp;'Reg 85'!V$10&amp;'Reg 85'!$B221),('DMR 001C TIN &amp; TP'!$E$3:$E$10005&amp;'DMR 001C TIN &amp; TP'!$B$3:$B$10005&amp;'DMR 001C TIN &amp; TP'!$A$3:$A$10005),0),MATCH('Reg 85'!$O$11,'DMR 001C TIN &amp; TP'!$A$2:$M$2,0))),"")</f>
        <v/>
      </c>
      <c r="W221" s="6" t="str">
        <f t="array" ref="W221">_xlfn.IFNA((INDEX('DMR 001C TIN &amp; TP'!$A$3:$M$10005,MATCH(('Reg 85'!$I$6:$Q$6&amp;'Reg 85'!W$10&amp;'Reg 85'!$B221),('DMR 001C TIN &amp; TP'!$E$3:$E$10005&amp;'DMR 001C TIN &amp; TP'!$B$3:$B$10005&amp;'DMR 001C TIN &amp; TP'!$A$3:$A$10005),0),MATCH('Reg 85'!$O$11,'DMR 001C TIN &amp; TP'!$A$2:$M$2,0))),"")</f>
        <v/>
      </c>
      <c r="X221" s="5" t="str">
        <f t="shared" si="92"/>
        <v/>
      </c>
      <c r="Y221" s="6" t="str">
        <f t="array" ref="Y221">_xlfn.IFNA((INDEX('DMR 001C TIN &amp; TP'!$A$3:$M$10005,MATCH(('Reg 85'!$X$6&amp;'Reg 85'!$X$10&amp;'Reg 85'!$B221),('DMR 001C TIN &amp; TP'!$E$3:$E$10005&amp;'DMR 001C TIN &amp; TP'!$B$3:$B$10005&amp;'DMR 001C TIN &amp; TP'!$A$3:$A$10005),0),MATCH('Reg 85'!$Y$11,'DMR 001C TIN &amp; TP'!$A$2:$M$2,0))),"")</f>
        <v/>
      </c>
      <c r="Z221" s="6" t="str">
        <f t="array" ref="Z221">_xlfn.IFNA((INDEX('DMR 001C TIN &amp; TP'!$A$3:$M$10005,MATCH(('Reg 85'!$X$6&amp;'Reg 85'!$X$10&amp;'Reg 85'!$B221),('DMR 001C TIN &amp; TP'!$E$3:$E$10005&amp;'DMR 001C TIN &amp; TP'!$B$3:$B$10005&amp;'DMR 001C TIN &amp; TP'!$A$3:$A$10005),0),MATCH('Reg 85'!$Z$11,'DMR 001C TIN &amp; TP'!$A$2:$M$2,0))),"")</f>
        <v/>
      </c>
      <c r="AA221" s="53" t="str">
        <f t="shared" si="93"/>
        <v/>
      </c>
      <c r="AB221" s="5" t="str">
        <f t="shared" si="94"/>
        <v/>
      </c>
      <c r="AC221" s="6" t="str">
        <f t="array" ref="AC221">_xlfn.IFNA((INDEX('DMR 001C TIN &amp; TP'!$A$3:$M$10005,MATCH(('Reg 85'!$X$6&amp;'Reg 85'!$AB$10&amp;'Reg 85'!$B221),('DMR 001C TIN &amp; TP'!$E$3:$E$10005&amp;'DMR 001C TIN &amp; TP'!$B$3:$B$10005&amp;'DMR 001C TIN &amp; TP'!$A$3:$A$10005),0),MATCH('Reg 85'!$AC$11,'DMR 001C TIN &amp; TP'!$A$2:$M$2,0))),"")</f>
        <v/>
      </c>
      <c r="AD221" s="6" t="str">
        <f t="array" ref="AD221">_xlfn.IFNA((INDEX('DMR 001C TIN &amp; TP'!$A$3:$M$10005,MATCH(('Reg 85'!$X$6&amp;'Reg 85'!$AB$10&amp;'Reg 85'!$B221),('DMR 001C TIN &amp; TP'!$E$3:$E$10005&amp;'DMR 001C TIN &amp; TP'!$B$3:$B$10005&amp;'DMR 001C TIN &amp; TP'!$A$3:$A$10005),0),MATCH('Reg 85'!$AD$11,'DMR 001C TIN &amp; TP'!$A$2:$M$2,0))),"")</f>
        <v/>
      </c>
      <c r="AE221" s="53" t="str">
        <f t="shared" si="95"/>
        <v/>
      </c>
      <c r="AF221" s="7" t="str">
        <f t="shared" si="96"/>
        <v/>
      </c>
      <c r="AG221" s="6" t="str">
        <f t="array" ref="AG221">_xlfn.IFNA((INDEX('DMR 001C TIN &amp; TP'!$A$3:$M$10005,MATCH(('Reg 85'!$X$6&amp;'Reg 85'!AG$10&amp;'Reg 85'!$B221),('DMR 001C TIN &amp; TP'!$E$3:$E$10005&amp;'DMR 001C TIN &amp; TP'!$B$3:$B$10005&amp;'DMR 001C TIN &amp; TP'!$A$3:$A$10005),0),MATCH('Reg 85'!$AG$11,'DMR 001C TIN &amp; TP'!$A$2:$M$2,0))),"")</f>
        <v/>
      </c>
      <c r="AH221" s="6" t="str">
        <f t="array" ref="AH221">_xlfn.IFNA((INDEX('DMR 001C TIN &amp; TP'!$A$3:$M$10005,MATCH(('Reg 85'!$X$6&amp;'Reg 85'!AH$10&amp;'Reg 85'!$B221),('DMR 001C TIN &amp; TP'!$E$3:$E$10005&amp;'DMR 001C TIN &amp; TP'!$B$3:$B$10005&amp;'DMR 001C TIN &amp; TP'!$A$3:$A$10005),0),MATCH('Reg 85'!$AG$11,'DMR 001C TIN &amp; TP'!$A$2:$M$2,0))),"")</f>
        <v/>
      </c>
      <c r="AI221" s="6" t="str">
        <f t="array" ref="AI221">_xlfn.IFNA((INDEX('DMR 001C TIN &amp; TP'!$A$3:$M$10005,MATCH(('Reg 85'!$X$6&amp;'Reg 85'!AI$10&amp;'Reg 85'!$B221),('DMR 001C TIN &amp; TP'!$E$3:$E$10005&amp;'DMR 001C TIN &amp; TP'!$B$3:$B$10005&amp;'DMR 001C TIN &amp; TP'!$A$3:$A$10005),0),MATCH('Reg 85'!$AG$11,'DMR 001C TIN &amp; TP'!$A$2:$M$2,0))),"")</f>
        <v/>
      </c>
      <c r="AJ221" s="6" t="str">
        <f t="array" ref="AJ221">_xlfn.IFNA((INDEX('DMR 001C TIN &amp; TP'!$A$3:$M$10005,MATCH(('Reg 85'!$X$6&amp;'Reg 85'!AJ$10&amp;'Reg 85'!$B221),('DMR 001C TIN &amp; TP'!$E$3:$E$10005&amp;'DMR 001C TIN &amp; TP'!$B$3:$B$10005&amp;'DMR 001C TIN &amp; TP'!$A$3:$A$10005),0),MATCH('Reg 85'!$AG$11,'DMR 001C TIN &amp; TP'!$A$2:$M$2,0))),"")</f>
        <v/>
      </c>
      <c r="AK221" s="6" t="str">
        <f t="array" ref="AK221">_xlfn.IFNA((INDEX('DMR 001C TIN &amp; TP'!$A$3:$M$10005,MATCH(('Reg 85'!$X$6&amp;'Reg 85'!AK$10&amp;'Reg 85'!$B221),('DMR 001C TIN &amp; TP'!$E$3:$E$10005&amp;'DMR 001C TIN &amp; TP'!$B$3:$B$10005&amp;'DMR 001C TIN &amp; TP'!$A$3:$A$10005),0),MATCH('Reg 85'!$AG$11,'DMR 001C TIN &amp; TP'!$A$2:$M$2,0))),"")</f>
        <v/>
      </c>
      <c r="AL221" s="6" t="str">
        <f t="array" ref="AL221">_xlfn.IFNA((INDEX('DMR 001C TIN &amp; TP'!$A$3:$M$10005,MATCH(('Reg 85'!$X$6&amp;'Reg 85'!AL$10&amp;'Reg 85'!$B221),('DMR 001C TIN &amp; TP'!$E$3:$E$10005&amp;'DMR 001C TIN &amp; TP'!$B$3:$B$10005&amp;'DMR 001C TIN &amp; TP'!$A$3:$A$10005),0),MATCH('Reg 85'!$AG$11,'DMR 001C TIN &amp; TP'!$A$2:$M$2,0))),"")</f>
        <v/>
      </c>
      <c r="AM221" s="76"/>
      <c r="AN221" s="6"/>
      <c r="AO221" s="54" t="str">
        <f t="shared" si="83"/>
        <v/>
      </c>
      <c r="AP221" s="77" t="str">
        <f t="shared" si="81"/>
        <v/>
      </c>
      <c r="AQ221" s="47"/>
      <c r="AR221" s="6" t="str">
        <f t="array" ref="AR221">_xlfn.IFNA((INDEX('DMR 001C TIN &amp; TP'!$A$3:$M$10005,MATCH(('Reg 85'!$AQ$6&amp;'Reg 85'!$AQ$10&amp;'Reg 85'!$B221),('DMR 001C TIN &amp; TP'!$E$3:$E$10005&amp;'DMR 001C TIN &amp; TP'!$B$3:$B$10005&amp;'DMR 001C TIN &amp; TP'!$A$3:$A$10005),0),MATCH('Reg 85'!$AR$11,'DMR 001C TIN &amp; TP'!$A$2:$M$2,0))),"")</f>
        <v>0.03</v>
      </c>
      <c r="AS221" s="6">
        <f t="array" ref="AS221">_xlfn.IFNA((INDEX('DMR 001C TIN &amp; TP'!$A$3:$M$10005,MATCH(('Reg 85'!$AQ$6&amp;'Reg 85'!$AQ$10&amp;'Reg 85'!$B221),('DMR 001C TIN &amp; TP'!$E$3:$E$10005&amp;'DMR 001C TIN &amp; TP'!$B$3:$B$10005&amp;'DMR 001C TIN &amp; TP'!$A$3:$A$10005),0),MATCH('Reg 85'!$AS$11,'DMR 001C TIN &amp; TP'!$A$2:$M$2,0))),"")</f>
        <v>0.27</v>
      </c>
      <c r="AT221" s="53">
        <f t="shared" si="97"/>
        <v>0.27</v>
      </c>
      <c r="AV221" s="6" t="str">
        <f t="array" ref="AV221">_xlfn.IFNA((INDEX('DMR 001C TIN &amp; TP'!$A$3:$M$10005,MATCH(('Reg 85'!$AQ$6&amp;'Reg 85'!$AU$10&amp;'Reg 85'!$B221),('DMR 001C TIN &amp; TP'!$E$3:$E$10005&amp;'DMR 001C TIN &amp; TP'!$B$3:$B$10005&amp;'DMR 001C TIN &amp; TP'!$A$3:$A$10005),0),MATCH('Reg 85'!$AV$11,'DMR 001C TIN &amp; TP'!$A$2:$M$2,0))),"")</f>
        <v>0.15</v>
      </c>
      <c r="AW221" s="6">
        <f t="array" ref="AW221">_xlfn.IFNA((INDEX('DMR 001C TIN &amp; TP'!$A$3:$M$10005,MATCH(('Reg 85'!$AQ$6&amp;'Reg 85'!$AU$10&amp;'Reg 85'!$B221),('DMR 001C TIN &amp; TP'!$E$3:$E$10005&amp;'DMR 001C TIN &amp; TP'!$B$3:$B$10005&amp;'DMR 001C TIN &amp; TP'!$A$3:$A$10005),0),MATCH('Reg 85'!$AW$11,'DMR 001C TIN &amp; TP'!$A$2:$M$2,0))),"")</f>
        <v>2.35</v>
      </c>
      <c r="AX221" s="53">
        <f t="shared" si="98"/>
        <v>2.35</v>
      </c>
      <c r="AY221" s="55">
        <f t="shared" si="99"/>
        <v>1.3091456293820141</v>
      </c>
      <c r="AZ221" s="77" t="str">
        <f t="shared" si="82"/>
        <v/>
      </c>
      <c r="BA221" s="6" t="str">
        <f t="array" ref="BA221">_xlfn.IFNA((INDEX('DMR 001C TIN &amp; TP'!$A$3:$M$10005,MATCH(('Reg 85'!$AQ$6&amp;'Reg 85'!BA$10&amp;'Reg 85'!$B221),('DMR 001C TIN &amp; TP'!$E$3:$E$10005&amp;'DMR 001C TIN &amp; TP'!$B$3:$B$10005&amp;'DMR 001C TIN &amp; TP'!$A$3:$A$10005),0),MATCH('Reg 85'!$AG$11,'DMR 001C TIN &amp; TP'!$A$2:$M$2,0))),"")</f>
        <v/>
      </c>
      <c r="BB221" s="6" t="str">
        <f t="array" ref="BB221">_xlfn.IFNA((INDEX('DMR 001C TIN &amp; TP'!$A$3:$M$10005,MATCH(('Reg 85'!$AQ$6&amp;'Reg 85'!BB$10&amp;'Reg 85'!$B221),('DMR 001C TIN &amp; TP'!$E$3:$E$10005&amp;'DMR 001C TIN &amp; TP'!$B$3:$B$10005&amp;'DMR 001C TIN &amp; TP'!$A$3:$A$10005),0),MATCH('Reg 85'!$AG$11,'DMR 001C TIN &amp; TP'!$A$2:$M$2,0))),"")</f>
        <v/>
      </c>
      <c r="BC221" s="6" t="str">
        <f t="array" ref="BC221">_xlfn.IFNA((INDEX('DMR 001C TIN &amp; TP'!$A$3:$M$10005,MATCH(('Reg 85'!$AQ$6&amp;'Reg 85'!BC$10&amp;'Reg 85'!$B221),('DMR 001C TIN &amp; TP'!$E$3:$E$10005&amp;'DMR 001C TIN &amp; TP'!$B$3:$B$10005&amp;'DMR 001C TIN &amp; TP'!$A$3:$A$10005),0),MATCH('Reg 85'!$AG$11,'DMR 001C TIN &amp; TP'!$A$2:$M$2,0))),"")</f>
        <v/>
      </c>
      <c r="BD221" s="6" t="str">
        <f t="array" ref="BD221">_xlfn.IFNA((INDEX('DMR 001C TIN &amp; TP'!$A$3:$M$10005,MATCH(('Reg 85'!$AQ$6&amp;'Reg 85'!BD$10&amp;'Reg 85'!$B221),('DMR 001C TIN &amp; TP'!$E$3:$E$10005&amp;'DMR 001C TIN &amp; TP'!$B$3:$B$10005&amp;'DMR 001C TIN &amp; TP'!$A$3:$A$10005),0),MATCH('Reg 85'!$AG$11,'DMR 001C TIN &amp; TP'!$A$2:$M$2,0))),"")</f>
        <v/>
      </c>
      <c r="BE221" s="6" t="str">
        <f t="array" ref="BE221">_xlfn.IFNA((INDEX('DMR 001C TIN &amp; TP'!$A$3:$M$10005,MATCH(('Reg 85'!$AQ$6&amp;'Reg 85'!BE$10&amp;'Reg 85'!$B221),('DMR 001C TIN &amp; TP'!$E$3:$E$10005&amp;'DMR 001C TIN &amp; TP'!$B$3:$B$10005&amp;'DMR 001C TIN &amp; TP'!$A$3:$A$10005),0),MATCH('Reg 85'!$AG$11,'DMR 001C TIN &amp; TP'!$A$2:$M$2,0))),"")</f>
        <v/>
      </c>
      <c r="BF221" s="6" t="str">
        <f t="array" ref="BF221">_xlfn.IFNA((INDEX('DMR 001C TIN &amp; TP'!$A$3:$M$10005,MATCH(('Reg 85'!$AQ$6&amp;'Reg 85'!BF$10&amp;'Reg 85'!$B221),('DMR 001C TIN &amp; TP'!$E$3:$E$10005&amp;'DMR 001C TIN &amp; TP'!$B$3:$B$10005&amp;'DMR 001C TIN &amp; TP'!$A$3:$A$10005),0),MATCH('Reg 85'!$AG$11,'DMR 001C TIN &amp; TP'!$A$2:$M$2,0))),"")</f>
        <v/>
      </c>
    </row>
    <row r="222" spans="1:58">
      <c r="A222" s="3" t="str">
        <f t="shared" si="84"/>
        <v>Sat</v>
      </c>
      <c r="B222" s="96">
        <f t="shared" si="100"/>
        <v>43554</v>
      </c>
      <c r="C222" s="96">
        <f t="shared" si="85"/>
        <v>43555</v>
      </c>
      <c r="D222" s="96">
        <f t="shared" si="86"/>
        <v>43525</v>
      </c>
      <c r="E222" s="95">
        <f t="shared" si="87"/>
        <v>31</v>
      </c>
      <c r="F222" s="7">
        <f t="array" ref="F222">_xlfn.IFNA(INDEX('DMR Flows-Effluent'!$A$3:$F$9999,MATCH(($F$10&amp;$B222),('DMR Flows-Effluent'!$B$3:$B$9999&amp;'DMR Flows-Effluent'!$A$3:$A$9999),0),MATCH($F$8,'DMR Flows-Effluent'!$A$2:$F$2,0)),"")</f>
        <v>58.106099999999998</v>
      </c>
      <c r="G222" s="7">
        <f t="array" ref="G222">_xlfn.IFNA(INDEX('DMR Flows-Effluent'!$A$3:$F$9999,MATCH(($G$10&amp;$B222),('DMR Flows-Effluent'!$B$3:$B$9999&amp;'DMR Flows-Effluent'!$A$3:$A$9999),0),MATCH($F$8,'DMR Flows-Effluent'!$A$2:$F$2,0)),"")</f>
        <v>75.400099999999995</v>
      </c>
      <c r="H222" s="7">
        <f t="shared" si="88"/>
        <v>133.50619999999998</v>
      </c>
      <c r="I222" s="45" t="str">
        <f t="shared" si="89"/>
        <v/>
      </c>
      <c r="J222" s="6" t="str">
        <f t="array" ref="J222">_xlfn.IFNA((INDEX('DMR 001C TIN &amp; TP'!$A$3:$M$10005,MATCH(('Reg 85'!$I$6:$Q$6&amp;'Reg 85'!$I$10:$K$10&amp;'Reg 85'!$B222),('DMR 001C TIN &amp; TP'!$E$3:$E$10005&amp;'DMR 001C TIN &amp; TP'!$B$3:$B$10005&amp;'DMR 001C TIN &amp; TP'!$A$3:$A$10005),0),MATCH('Reg 85'!$J$11,'DMR 001C TIN &amp; TP'!$A$2:$M$2,0))),"")</f>
        <v/>
      </c>
      <c r="K222" s="6" t="str">
        <f t="array" ref="K222">_xlfn.IFNA((INDEX('DMR 001C TIN &amp; TP'!$A$3:$M$10005,MATCH(('Reg 85'!$I$6:$Q$6&amp;'Reg 85'!$I$10:$K$10&amp;'Reg 85'!$B222),('DMR 001C TIN &amp; TP'!$E$3:$E$10005&amp;'DMR 001C TIN &amp; TP'!$B$3:$B$10005&amp;'DMR 001C TIN &amp; TP'!$A$3:$A$10005),0),MATCH('Reg 85'!$K$11,'DMR 001C TIN &amp; TP'!$A$2:$M$2,0))),"")</f>
        <v/>
      </c>
      <c r="L222" s="53" t="str">
        <f t="shared" si="101"/>
        <v/>
      </c>
      <c r="M222" s="5" t="str">
        <f t="shared" si="90"/>
        <v/>
      </c>
      <c r="N222" s="6" t="str">
        <f t="array" ref="N222">_xlfn.IFNA((INDEX('DMR 001C TIN &amp; TP'!$A$3:$M$10005,MATCH(('Reg 85'!$I$6:$Q$6&amp;'Reg 85'!$M$10&amp;'Reg 85'!$B222),('DMR 001C TIN &amp; TP'!$E$3:$E$10005&amp;'DMR 001C TIN &amp; TP'!$B$3:$B$10005&amp;'DMR 001C TIN &amp; TP'!$A$3:$A$10005),0),MATCH('Reg 85'!$N$11,'DMR 001C TIN &amp; TP'!$A$2:$M$2,0))),"")</f>
        <v/>
      </c>
      <c r="O222" s="6" t="str">
        <f t="array" ref="O222">_xlfn.IFNA((INDEX('DMR 001C TIN &amp; TP'!$A$3:$M$10005,MATCH(('Reg 85'!$I$6:$Q$6&amp;'Reg 85'!$M$10&amp;'Reg 85'!$B222),('DMR 001C TIN &amp; TP'!$E$3:$E$10005&amp;'DMR 001C TIN &amp; TP'!$B$3:$B$10005&amp;'DMR 001C TIN &amp; TP'!$A$3:$A$10005),0),MATCH('Reg 85'!$O$11,'DMR 001C TIN &amp; TP'!$A$2:$M$2,0))),"")</f>
        <v/>
      </c>
      <c r="P222" s="53" t="str">
        <f t="shared" si="91"/>
        <v/>
      </c>
      <c r="Q222" s="73" t="str">
        <f t="array" ref="Q222">IFERROR(((L222*$F222)+(P222*$G222))/($H222),"")</f>
        <v/>
      </c>
      <c r="R222" s="6" t="str">
        <f t="array" ref="R222">_xlfn.IFNA((INDEX('DMR 001C TIN &amp; TP'!$A$3:$M$10005,MATCH(('Reg 85'!$I$6:$Q$6&amp;'Reg 85'!R$10&amp;'Reg 85'!$B222),('DMR 001C TIN &amp; TP'!$E$3:$E$10005&amp;'DMR 001C TIN &amp; TP'!$B$3:$B$10005&amp;'DMR 001C TIN &amp; TP'!$A$3:$A$10005),0),MATCH('Reg 85'!$O$11,'DMR 001C TIN &amp; TP'!$A$2:$M$2,0))),"")</f>
        <v/>
      </c>
      <c r="S222" s="6" t="str">
        <f t="array" ref="S222">_xlfn.IFNA((INDEX('DMR 001C TIN &amp; TP'!$A$3:$M$10005,MATCH(('Reg 85'!$I$6:$Q$6&amp;'Reg 85'!S$10&amp;'Reg 85'!$B222),('DMR 001C TIN &amp; TP'!$E$3:$E$10005&amp;'DMR 001C TIN &amp; TP'!$B$3:$B$10005&amp;'DMR 001C TIN &amp; TP'!$A$3:$A$10005),0),MATCH('Reg 85'!$O$11,'DMR 001C TIN &amp; TP'!$A$2:$M$2,0))),"")</f>
        <v/>
      </c>
      <c r="T222" s="6" t="str">
        <f t="array" ref="T222">_xlfn.IFNA((INDEX('DMR 001C TIN &amp; TP'!$A$3:$M$10005,MATCH(('Reg 85'!$I$6:$Q$6&amp;'Reg 85'!T$10&amp;'Reg 85'!$B222),('DMR 001C TIN &amp; TP'!$E$3:$E$10005&amp;'DMR 001C TIN &amp; TP'!$B$3:$B$10005&amp;'DMR 001C TIN &amp; TP'!$A$3:$A$10005),0),MATCH('Reg 85'!$O$11,'DMR 001C TIN &amp; TP'!$A$2:$M$2,0))),"")</f>
        <v/>
      </c>
      <c r="U222" s="6" t="str">
        <f t="array" ref="U222">_xlfn.IFNA((INDEX('DMR 001C TIN &amp; TP'!$A$3:$M$10005,MATCH(('Reg 85'!$I$6:$Q$6&amp;'Reg 85'!U$10&amp;'Reg 85'!$B222),('DMR 001C TIN &amp; TP'!$E$3:$E$10005&amp;'DMR 001C TIN &amp; TP'!$B$3:$B$10005&amp;'DMR 001C TIN &amp; TP'!$A$3:$A$10005),0),MATCH('Reg 85'!$O$11,'DMR 001C TIN &amp; TP'!$A$2:$M$2,0))),"")</f>
        <v/>
      </c>
      <c r="V222" s="6" t="str">
        <f t="array" ref="V222">_xlfn.IFNA((INDEX('DMR 001C TIN &amp; TP'!$A$3:$M$10005,MATCH(('Reg 85'!$I$6:$Q$6&amp;'Reg 85'!V$10&amp;'Reg 85'!$B222),('DMR 001C TIN &amp; TP'!$E$3:$E$10005&amp;'DMR 001C TIN &amp; TP'!$B$3:$B$10005&amp;'DMR 001C TIN &amp; TP'!$A$3:$A$10005),0),MATCH('Reg 85'!$O$11,'DMR 001C TIN &amp; TP'!$A$2:$M$2,0))),"")</f>
        <v/>
      </c>
      <c r="W222" s="6" t="str">
        <f t="array" ref="W222">_xlfn.IFNA((INDEX('DMR 001C TIN &amp; TP'!$A$3:$M$10005,MATCH(('Reg 85'!$I$6:$Q$6&amp;'Reg 85'!W$10&amp;'Reg 85'!$B222),('DMR 001C TIN &amp; TP'!$E$3:$E$10005&amp;'DMR 001C TIN &amp; TP'!$B$3:$B$10005&amp;'DMR 001C TIN &amp; TP'!$A$3:$A$10005),0),MATCH('Reg 85'!$O$11,'DMR 001C TIN &amp; TP'!$A$2:$M$2,0))),"")</f>
        <v/>
      </c>
      <c r="X222" s="5" t="str">
        <f t="shared" si="92"/>
        <v/>
      </c>
      <c r="Y222" s="6" t="str">
        <f t="array" ref="Y222">_xlfn.IFNA((INDEX('DMR 001C TIN &amp; TP'!$A$3:$M$10005,MATCH(('Reg 85'!$X$6&amp;'Reg 85'!$X$10&amp;'Reg 85'!$B222),('DMR 001C TIN &amp; TP'!$E$3:$E$10005&amp;'DMR 001C TIN &amp; TP'!$B$3:$B$10005&amp;'DMR 001C TIN &amp; TP'!$A$3:$A$10005),0),MATCH('Reg 85'!$Y$11,'DMR 001C TIN &amp; TP'!$A$2:$M$2,0))),"")</f>
        <v/>
      </c>
      <c r="Z222" s="6" t="str">
        <f t="array" ref="Z222">_xlfn.IFNA((INDEX('DMR 001C TIN &amp; TP'!$A$3:$M$10005,MATCH(('Reg 85'!$X$6&amp;'Reg 85'!$X$10&amp;'Reg 85'!$B222),('DMR 001C TIN &amp; TP'!$E$3:$E$10005&amp;'DMR 001C TIN &amp; TP'!$B$3:$B$10005&amp;'DMR 001C TIN &amp; TP'!$A$3:$A$10005),0),MATCH('Reg 85'!$Z$11,'DMR 001C TIN &amp; TP'!$A$2:$M$2,0))),"")</f>
        <v/>
      </c>
      <c r="AA222" s="53" t="str">
        <f t="shared" si="93"/>
        <v/>
      </c>
      <c r="AB222" s="5" t="str">
        <f t="shared" si="94"/>
        <v/>
      </c>
      <c r="AC222" s="6" t="str">
        <f t="array" ref="AC222">_xlfn.IFNA((INDEX('DMR 001C TIN &amp; TP'!$A$3:$M$10005,MATCH(('Reg 85'!$X$6&amp;'Reg 85'!$AB$10&amp;'Reg 85'!$B222),('DMR 001C TIN &amp; TP'!$E$3:$E$10005&amp;'DMR 001C TIN &amp; TP'!$B$3:$B$10005&amp;'DMR 001C TIN &amp; TP'!$A$3:$A$10005),0),MATCH('Reg 85'!$AC$11,'DMR 001C TIN &amp; TP'!$A$2:$M$2,0))),"")</f>
        <v/>
      </c>
      <c r="AD222" s="6" t="str">
        <f t="array" ref="AD222">_xlfn.IFNA((INDEX('DMR 001C TIN &amp; TP'!$A$3:$M$10005,MATCH(('Reg 85'!$X$6&amp;'Reg 85'!$AB$10&amp;'Reg 85'!$B222),('DMR 001C TIN &amp; TP'!$E$3:$E$10005&amp;'DMR 001C TIN &amp; TP'!$B$3:$B$10005&amp;'DMR 001C TIN &amp; TP'!$A$3:$A$10005),0),MATCH('Reg 85'!$AD$11,'DMR 001C TIN &amp; TP'!$A$2:$M$2,0))),"")</f>
        <v/>
      </c>
      <c r="AE222" s="53" t="str">
        <f t="shared" si="95"/>
        <v/>
      </c>
      <c r="AF222" s="7" t="str">
        <f t="shared" si="96"/>
        <v/>
      </c>
      <c r="AG222" s="6" t="str">
        <f t="array" ref="AG222">_xlfn.IFNA((INDEX('DMR 001C TIN &amp; TP'!$A$3:$M$10005,MATCH(('Reg 85'!$X$6&amp;'Reg 85'!AG$10&amp;'Reg 85'!$B222),('DMR 001C TIN &amp; TP'!$E$3:$E$10005&amp;'DMR 001C TIN &amp; TP'!$B$3:$B$10005&amp;'DMR 001C TIN &amp; TP'!$A$3:$A$10005),0),MATCH('Reg 85'!$AG$11,'DMR 001C TIN &amp; TP'!$A$2:$M$2,0))),"")</f>
        <v/>
      </c>
      <c r="AH222" s="6" t="str">
        <f t="array" ref="AH222">_xlfn.IFNA((INDEX('DMR 001C TIN &amp; TP'!$A$3:$M$10005,MATCH(('Reg 85'!$X$6&amp;'Reg 85'!AH$10&amp;'Reg 85'!$B222),('DMR 001C TIN &amp; TP'!$E$3:$E$10005&amp;'DMR 001C TIN &amp; TP'!$B$3:$B$10005&amp;'DMR 001C TIN &amp; TP'!$A$3:$A$10005),0),MATCH('Reg 85'!$AG$11,'DMR 001C TIN &amp; TP'!$A$2:$M$2,0))),"")</f>
        <v/>
      </c>
      <c r="AI222" s="6" t="str">
        <f t="array" ref="AI222">_xlfn.IFNA((INDEX('DMR 001C TIN &amp; TP'!$A$3:$M$10005,MATCH(('Reg 85'!$X$6&amp;'Reg 85'!AI$10&amp;'Reg 85'!$B222),('DMR 001C TIN &amp; TP'!$E$3:$E$10005&amp;'DMR 001C TIN &amp; TP'!$B$3:$B$10005&amp;'DMR 001C TIN &amp; TP'!$A$3:$A$10005),0),MATCH('Reg 85'!$AG$11,'DMR 001C TIN &amp; TP'!$A$2:$M$2,0))),"")</f>
        <v/>
      </c>
      <c r="AJ222" s="6" t="str">
        <f t="array" ref="AJ222">_xlfn.IFNA((INDEX('DMR 001C TIN &amp; TP'!$A$3:$M$10005,MATCH(('Reg 85'!$X$6&amp;'Reg 85'!AJ$10&amp;'Reg 85'!$B222),('DMR 001C TIN &amp; TP'!$E$3:$E$10005&amp;'DMR 001C TIN &amp; TP'!$B$3:$B$10005&amp;'DMR 001C TIN &amp; TP'!$A$3:$A$10005),0),MATCH('Reg 85'!$AG$11,'DMR 001C TIN &amp; TP'!$A$2:$M$2,0))),"")</f>
        <v/>
      </c>
      <c r="AK222" s="6" t="str">
        <f t="array" ref="AK222">_xlfn.IFNA((INDEX('DMR 001C TIN &amp; TP'!$A$3:$M$10005,MATCH(('Reg 85'!$X$6&amp;'Reg 85'!AK$10&amp;'Reg 85'!$B222),('DMR 001C TIN &amp; TP'!$E$3:$E$10005&amp;'DMR 001C TIN &amp; TP'!$B$3:$B$10005&amp;'DMR 001C TIN &amp; TP'!$A$3:$A$10005),0),MATCH('Reg 85'!$AG$11,'DMR 001C TIN &amp; TP'!$A$2:$M$2,0))),"")</f>
        <v/>
      </c>
      <c r="AL222" s="6" t="str">
        <f t="array" ref="AL222">_xlfn.IFNA((INDEX('DMR 001C TIN &amp; TP'!$A$3:$M$10005,MATCH(('Reg 85'!$X$6&amp;'Reg 85'!AL$10&amp;'Reg 85'!$B222),('DMR 001C TIN &amp; TP'!$E$3:$E$10005&amp;'DMR 001C TIN &amp; TP'!$B$3:$B$10005&amp;'DMR 001C TIN &amp; TP'!$A$3:$A$10005),0),MATCH('Reg 85'!$AG$11,'DMR 001C TIN &amp; TP'!$A$2:$M$2,0))),"")</f>
        <v/>
      </c>
      <c r="AM222" s="76"/>
      <c r="AN222" s="6"/>
      <c r="AO222" s="54" t="str">
        <f t="shared" si="83"/>
        <v/>
      </c>
      <c r="AP222" s="77" t="str">
        <f t="shared" si="81"/>
        <v/>
      </c>
      <c r="AQ222" s="47"/>
      <c r="AR222" s="6" t="str">
        <f t="array" ref="AR222">_xlfn.IFNA((INDEX('DMR 001C TIN &amp; TP'!$A$3:$M$10005,MATCH(('Reg 85'!$AQ$6&amp;'Reg 85'!$AQ$10&amp;'Reg 85'!$B222),('DMR 001C TIN &amp; TP'!$E$3:$E$10005&amp;'DMR 001C TIN &amp; TP'!$B$3:$B$10005&amp;'DMR 001C TIN &amp; TP'!$A$3:$A$10005),0),MATCH('Reg 85'!$AR$11,'DMR 001C TIN &amp; TP'!$A$2:$M$2,0))),"")</f>
        <v>0.03</v>
      </c>
      <c r="AS222" s="6">
        <f t="array" ref="AS222">_xlfn.IFNA((INDEX('DMR 001C TIN &amp; TP'!$A$3:$M$10005,MATCH(('Reg 85'!$AQ$6&amp;'Reg 85'!$AQ$10&amp;'Reg 85'!$B222),('DMR 001C TIN &amp; TP'!$E$3:$E$10005&amp;'DMR 001C TIN &amp; TP'!$B$3:$B$10005&amp;'DMR 001C TIN &amp; TP'!$A$3:$A$10005),0),MATCH('Reg 85'!$AS$11,'DMR 001C TIN &amp; TP'!$A$2:$M$2,0))),"")</f>
        <v>0.25</v>
      </c>
      <c r="AT222" s="53">
        <f t="shared" si="97"/>
        <v>0.25</v>
      </c>
      <c r="AV222" s="6" t="str">
        <f t="array" ref="AV222">_xlfn.IFNA((INDEX('DMR 001C TIN &amp; TP'!$A$3:$M$10005,MATCH(('Reg 85'!$AQ$6&amp;'Reg 85'!$AU$10&amp;'Reg 85'!$B222),('DMR 001C TIN &amp; TP'!$E$3:$E$10005&amp;'DMR 001C TIN &amp; TP'!$B$3:$B$10005&amp;'DMR 001C TIN &amp; TP'!$A$3:$A$10005),0),MATCH('Reg 85'!$AV$11,'DMR 001C TIN &amp; TP'!$A$2:$M$2,0))),"")</f>
        <v>0.03</v>
      </c>
      <c r="AW222" s="6">
        <f t="array" ref="AW222">_xlfn.IFNA((INDEX('DMR 001C TIN &amp; TP'!$A$3:$M$10005,MATCH(('Reg 85'!$AQ$6&amp;'Reg 85'!$AU$10&amp;'Reg 85'!$B222),('DMR 001C TIN &amp; TP'!$E$3:$E$10005&amp;'DMR 001C TIN &amp; TP'!$B$3:$B$10005&amp;'DMR 001C TIN &amp; TP'!$A$3:$A$10005),0),MATCH('Reg 85'!$AW$11,'DMR 001C TIN &amp; TP'!$A$2:$M$2,0))),"")</f>
        <v>3.55</v>
      </c>
      <c r="AX222" s="53">
        <f t="shared" si="98"/>
        <v>3.55</v>
      </c>
      <c r="AY222" s="55">
        <f t="shared" si="99"/>
        <v>2.1137361410930731</v>
      </c>
      <c r="AZ222" s="77" t="str">
        <f t="shared" si="82"/>
        <v/>
      </c>
      <c r="BA222" s="6" t="str">
        <f t="array" ref="BA222">_xlfn.IFNA((INDEX('DMR 001C TIN &amp; TP'!$A$3:$M$10005,MATCH(('Reg 85'!$AQ$6&amp;'Reg 85'!BA$10&amp;'Reg 85'!$B222),('DMR 001C TIN &amp; TP'!$E$3:$E$10005&amp;'DMR 001C TIN &amp; TP'!$B$3:$B$10005&amp;'DMR 001C TIN &amp; TP'!$A$3:$A$10005),0),MATCH('Reg 85'!$AG$11,'DMR 001C TIN &amp; TP'!$A$2:$M$2,0))),"")</f>
        <v/>
      </c>
      <c r="BB222" s="6" t="str">
        <f t="array" ref="BB222">_xlfn.IFNA((INDEX('DMR 001C TIN &amp; TP'!$A$3:$M$10005,MATCH(('Reg 85'!$AQ$6&amp;'Reg 85'!BB$10&amp;'Reg 85'!$B222),('DMR 001C TIN &amp; TP'!$E$3:$E$10005&amp;'DMR 001C TIN &amp; TP'!$B$3:$B$10005&amp;'DMR 001C TIN &amp; TP'!$A$3:$A$10005),0),MATCH('Reg 85'!$AG$11,'DMR 001C TIN &amp; TP'!$A$2:$M$2,0))),"")</f>
        <v/>
      </c>
      <c r="BC222" s="6" t="str">
        <f t="array" ref="BC222">_xlfn.IFNA((INDEX('DMR 001C TIN &amp; TP'!$A$3:$M$10005,MATCH(('Reg 85'!$AQ$6&amp;'Reg 85'!BC$10&amp;'Reg 85'!$B222),('DMR 001C TIN &amp; TP'!$E$3:$E$10005&amp;'DMR 001C TIN &amp; TP'!$B$3:$B$10005&amp;'DMR 001C TIN &amp; TP'!$A$3:$A$10005),0),MATCH('Reg 85'!$AG$11,'DMR 001C TIN &amp; TP'!$A$2:$M$2,0))),"")</f>
        <v/>
      </c>
      <c r="BD222" s="6" t="str">
        <f t="array" ref="BD222">_xlfn.IFNA((INDEX('DMR 001C TIN &amp; TP'!$A$3:$M$10005,MATCH(('Reg 85'!$AQ$6&amp;'Reg 85'!BD$10&amp;'Reg 85'!$B222),('DMR 001C TIN &amp; TP'!$E$3:$E$10005&amp;'DMR 001C TIN &amp; TP'!$B$3:$B$10005&amp;'DMR 001C TIN &amp; TP'!$A$3:$A$10005),0),MATCH('Reg 85'!$AG$11,'DMR 001C TIN &amp; TP'!$A$2:$M$2,0))),"")</f>
        <v/>
      </c>
      <c r="BE222" s="6" t="str">
        <f t="array" ref="BE222">_xlfn.IFNA((INDEX('DMR 001C TIN &amp; TP'!$A$3:$M$10005,MATCH(('Reg 85'!$AQ$6&amp;'Reg 85'!BE$10&amp;'Reg 85'!$B222),('DMR 001C TIN &amp; TP'!$E$3:$E$10005&amp;'DMR 001C TIN &amp; TP'!$B$3:$B$10005&amp;'DMR 001C TIN &amp; TP'!$A$3:$A$10005),0),MATCH('Reg 85'!$AG$11,'DMR 001C TIN &amp; TP'!$A$2:$M$2,0))),"")</f>
        <v/>
      </c>
      <c r="BF222" s="6" t="str">
        <f t="array" ref="BF222">_xlfn.IFNA((INDEX('DMR 001C TIN &amp; TP'!$A$3:$M$10005,MATCH(('Reg 85'!$AQ$6&amp;'Reg 85'!BF$10&amp;'Reg 85'!$B222),('DMR 001C TIN &amp; TP'!$E$3:$E$10005&amp;'DMR 001C TIN &amp; TP'!$B$3:$B$10005&amp;'DMR 001C TIN &amp; TP'!$A$3:$A$10005),0),MATCH('Reg 85'!$AG$11,'DMR 001C TIN &amp; TP'!$A$2:$M$2,0))),"")</f>
        <v/>
      </c>
    </row>
    <row r="223" spans="1:58">
      <c r="A223" s="3" t="str">
        <f t="shared" si="84"/>
        <v>Sun</v>
      </c>
      <c r="B223" s="96">
        <f t="shared" si="100"/>
        <v>43555</v>
      </c>
      <c r="C223" s="96">
        <f t="shared" si="85"/>
        <v>43555</v>
      </c>
      <c r="D223" s="96">
        <f t="shared" si="86"/>
        <v>43525</v>
      </c>
      <c r="E223" s="95">
        <f t="shared" si="87"/>
        <v>31</v>
      </c>
      <c r="F223" s="7">
        <f t="array" ref="F223">_xlfn.IFNA(INDEX('DMR Flows-Effluent'!$A$3:$F$9999,MATCH(($F$10&amp;$B223),('DMR Flows-Effluent'!$B$3:$B$9999&amp;'DMR Flows-Effluent'!$A$3:$A$9999),0),MATCH($F$8,'DMR Flows-Effluent'!$A$2:$F$2,0)),"")</f>
        <v>58.833500000000001</v>
      </c>
      <c r="G223" s="7">
        <f t="array" ref="G223">_xlfn.IFNA(INDEX('DMR Flows-Effluent'!$A$3:$F$9999,MATCH(($G$10&amp;$B223),('DMR Flows-Effluent'!$B$3:$B$9999&amp;'DMR Flows-Effluent'!$A$3:$A$9999),0),MATCH($F$8,'DMR Flows-Effluent'!$A$2:$F$2,0)),"")</f>
        <v>73.494600000000005</v>
      </c>
      <c r="H223" s="7">
        <f t="shared" si="88"/>
        <v>132.32810000000001</v>
      </c>
      <c r="I223" s="45" t="str">
        <f t="shared" si="89"/>
        <v/>
      </c>
      <c r="J223" s="6" t="str">
        <f t="array" ref="J223">_xlfn.IFNA((INDEX('DMR 001C TIN &amp; TP'!$A$3:$M$10005,MATCH(('Reg 85'!$I$6:$Q$6&amp;'Reg 85'!$I$10:$K$10&amp;'Reg 85'!$B223),('DMR 001C TIN &amp; TP'!$E$3:$E$10005&amp;'DMR 001C TIN &amp; TP'!$B$3:$B$10005&amp;'DMR 001C TIN &amp; TP'!$A$3:$A$10005),0),MATCH('Reg 85'!$J$11,'DMR 001C TIN &amp; TP'!$A$2:$M$2,0))),"")</f>
        <v>0.15</v>
      </c>
      <c r="K223" s="6">
        <f t="array" ref="K223">_xlfn.IFNA((INDEX('DMR 001C TIN &amp; TP'!$A$3:$M$10005,MATCH(('Reg 85'!$I$6:$Q$6&amp;'Reg 85'!$I$10:$K$10&amp;'Reg 85'!$B223),('DMR 001C TIN &amp; TP'!$E$3:$E$10005&amp;'DMR 001C TIN &amp; TP'!$B$3:$B$10005&amp;'DMR 001C TIN &amp; TP'!$A$3:$A$10005),0),MATCH('Reg 85'!$K$11,'DMR 001C TIN &amp; TP'!$A$2:$M$2,0))),"")</f>
        <v>0.83</v>
      </c>
      <c r="L223" s="53">
        <f t="shared" si="101"/>
        <v>0.83</v>
      </c>
      <c r="M223" s="5" t="str">
        <f t="shared" si="90"/>
        <v/>
      </c>
      <c r="N223" s="6" t="str">
        <f t="array" ref="N223">_xlfn.IFNA((INDEX('DMR 001C TIN &amp; TP'!$A$3:$M$10005,MATCH(('Reg 85'!$I$6:$Q$6&amp;'Reg 85'!$M$10&amp;'Reg 85'!$B223),('DMR 001C TIN &amp; TP'!$E$3:$E$10005&amp;'DMR 001C TIN &amp; TP'!$B$3:$B$10005&amp;'DMR 001C TIN &amp; TP'!$A$3:$A$10005),0),MATCH('Reg 85'!$N$11,'DMR 001C TIN &amp; TP'!$A$2:$M$2,0))),"")</f>
        <v>0.15</v>
      </c>
      <c r="O223" s="6">
        <f t="array" ref="O223">_xlfn.IFNA((INDEX('DMR 001C TIN &amp; TP'!$A$3:$M$10005,MATCH(('Reg 85'!$I$6:$Q$6&amp;'Reg 85'!$M$10&amp;'Reg 85'!$B223),('DMR 001C TIN &amp; TP'!$E$3:$E$10005&amp;'DMR 001C TIN &amp; TP'!$B$3:$B$10005&amp;'DMR 001C TIN &amp; TP'!$A$3:$A$10005),0),MATCH('Reg 85'!$O$11,'DMR 001C TIN &amp; TP'!$A$2:$M$2,0))),"")</f>
        <v>0.33</v>
      </c>
      <c r="P223" s="53">
        <f t="shared" si="91"/>
        <v>0.33</v>
      </c>
      <c r="Q223" s="73">
        <f t="array" ref="Q223">IFERROR(((L223*$F223)+(P223*$G223))/($H223),"")</f>
        <v>0.55230161243152442</v>
      </c>
      <c r="R223" s="6" t="str">
        <f t="array" ref="R223">_xlfn.IFNA((INDEX('DMR 001C TIN &amp; TP'!$A$3:$M$10005,MATCH(('Reg 85'!$I$6:$Q$6&amp;'Reg 85'!R$10&amp;'Reg 85'!$B223),('DMR 001C TIN &amp; TP'!$E$3:$E$10005&amp;'DMR 001C TIN &amp; TP'!$B$3:$B$10005&amp;'DMR 001C TIN &amp; TP'!$A$3:$A$10005),0),MATCH('Reg 85'!$O$11,'DMR 001C TIN &amp; TP'!$A$2:$M$2,0))),"")</f>
        <v/>
      </c>
      <c r="S223" s="6" t="str">
        <f t="array" ref="S223">_xlfn.IFNA((INDEX('DMR 001C TIN &amp; TP'!$A$3:$M$10005,MATCH(('Reg 85'!$I$6:$Q$6&amp;'Reg 85'!S$10&amp;'Reg 85'!$B223),('DMR 001C TIN &amp; TP'!$E$3:$E$10005&amp;'DMR 001C TIN &amp; TP'!$B$3:$B$10005&amp;'DMR 001C TIN &amp; TP'!$A$3:$A$10005),0),MATCH('Reg 85'!$O$11,'DMR 001C TIN &amp; TP'!$A$2:$M$2,0))),"")</f>
        <v/>
      </c>
      <c r="T223" s="6" t="str">
        <f t="array" ref="T223">_xlfn.IFNA((INDEX('DMR 001C TIN &amp; TP'!$A$3:$M$10005,MATCH(('Reg 85'!$I$6:$Q$6&amp;'Reg 85'!T$10&amp;'Reg 85'!$B223),('DMR 001C TIN &amp; TP'!$E$3:$E$10005&amp;'DMR 001C TIN &amp; TP'!$B$3:$B$10005&amp;'DMR 001C TIN &amp; TP'!$A$3:$A$10005),0),MATCH('Reg 85'!$O$11,'DMR 001C TIN &amp; TP'!$A$2:$M$2,0))),"")</f>
        <v/>
      </c>
      <c r="U223" s="6" t="str">
        <f t="array" ref="U223">_xlfn.IFNA((INDEX('DMR 001C TIN &amp; TP'!$A$3:$M$10005,MATCH(('Reg 85'!$I$6:$Q$6&amp;'Reg 85'!U$10&amp;'Reg 85'!$B223),('DMR 001C TIN &amp; TP'!$E$3:$E$10005&amp;'DMR 001C TIN &amp; TP'!$B$3:$B$10005&amp;'DMR 001C TIN &amp; TP'!$A$3:$A$10005),0),MATCH('Reg 85'!$O$11,'DMR 001C TIN &amp; TP'!$A$2:$M$2,0))),"")</f>
        <v/>
      </c>
      <c r="V223" s="6" t="str">
        <f t="array" ref="V223">_xlfn.IFNA((INDEX('DMR 001C TIN &amp; TP'!$A$3:$M$10005,MATCH(('Reg 85'!$I$6:$Q$6&amp;'Reg 85'!V$10&amp;'Reg 85'!$B223),('DMR 001C TIN &amp; TP'!$E$3:$E$10005&amp;'DMR 001C TIN &amp; TP'!$B$3:$B$10005&amp;'DMR 001C TIN &amp; TP'!$A$3:$A$10005),0),MATCH('Reg 85'!$O$11,'DMR 001C TIN &amp; TP'!$A$2:$M$2,0))),"")</f>
        <v/>
      </c>
      <c r="W223" s="6" t="str">
        <f t="array" ref="W223">_xlfn.IFNA((INDEX('DMR 001C TIN &amp; TP'!$A$3:$M$10005,MATCH(('Reg 85'!$I$6:$Q$6&amp;'Reg 85'!W$10&amp;'Reg 85'!$B223),('DMR 001C TIN &amp; TP'!$E$3:$E$10005&amp;'DMR 001C TIN &amp; TP'!$B$3:$B$10005&amp;'DMR 001C TIN &amp; TP'!$A$3:$A$10005),0),MATCH('Reg 85'!$O$11,'DMR 001C TIN &amp; TP'!$A$2:$M$2,0))),"")</f>
        <v/>
      </c>
      <c r="X223" s="5" t="str">
        <f t="shared" si="92"/>
        <v/>
      </c>
      <c r="Y223" s="6" t="str">
        <f t="array" ref="Y223">_xlfn.IFNA((INDEX('DMR 001C TIN &amp; TP'!$A$3:$M$10005,MATCH(('Reg 85'!$X$6&amp;'Reg 85'!$X$10&amp;'Reg 85'!$B223),('DMR 001C TIN &amp; TP'!$E$3:$E$10005&amp;'DMR 001C TIN &amp; TP'!$B$3:$B$10005&amp;'DMR 001C TIN &amp; TP'!$A$3:$A$10005),0),MATCH('Reg 85'!$Y$11,'DMR 001C TIN &amp; TP'!$A$2:$M$2,0))),"")</f>
        <v>0.12</v>
      </c>
      <c r="Z223" s="6">
        <f t="array" ref="Z223">_xlfn.IFNA((INDEX('DMR 001C TIN &amp; TP'!$A$3:$M$10005,MATCH(('Reg 85'!$X$6&amp;'Reg 85'!$X$10&amp;'Reg 85'!$B223),('DMR 001C TIN &amp; TP'!$E$3:$E$10005&amp;'DMR 001C TIN &amp; TP'!$B$3:$B$10005&amp;'DMR 001C TIN &amp; TP'!$A$3:$A$10005),0),MATCH('Reg 85'!$Z$11,'DMR 001C TIN &amp; TP'!$A$2:$M$2,0))),"")</f>
        <v>4.91</v>
      </c>
      <c r="AA223" s="53">
        <f t="shared" si="93"/>
        <v>4.91</v>
      </c>
      <c r="AB223" s="5" t="str">
        <f t="shared" si="94"/>
        <v/>
      </c>
      <c r="AC223" s="6" t="str">
        <f t="array" ref="AC223">_xlfn.IFNA((INDEX('DMR 001C TIN &amp; TP'!$A$3:$M$10005,MATCH(('Reg 85'!$X$6&amp;'Reg 85'!$AB$10&amp;'Reg 85'!$B223),('DMR 001C TIN &amp; TP'!$E$3:$E$10005&amp;'DMR 001C TIN &amp; TP'!$B$3:$B$10005&amp;'DMR 001C TIN &amp; TP'!$A$3:$A$10005),0),MATCH('Reg 85'!$AC$11,'DMR 001C TIN &amp; TP'!$A$2:$M$2,0))),"")</f>
        <v>0.06</v>
      </c>
      <c r="AD223" s="6">
        <f t="array" ref="AD223">_xlfn.IFNA((INDEX('DMR 001C TIN &amp; TP'!$A$3:$M$10005,MATCH(('Reg 85'!$X$6&amp;'Reg 85'!$AB$10&amp;'Reg 85'!$B223),('DMR 001C TIN &amp; TP'!$E$3:$E$10005&amp;'DMR 001C TIN &amp; TP'!$B$3:$B$10005&amp;'DMR 001C TIN &amp; TP'!$A$3:$A$10005),0),MATCH('Reg 85'!$AD$11,'DMR 001C TIN &amp; TP'!$A$2:$M$2,0))),"")</f>
        <v>5.28</v>
      </c>
      <c r="AE223" s="53">
        <f t="shared" si="95"/>
        <v>5.28</v>
      </c>
      <c r="AF223" s="7">
        <f t="shared" si="96"/>
        <v>5.1154968068006728</v>
      </c>
      <c r="AG223" s="6" t="str">
        <f t="array" ref="AG223">_xlfn.IFNA((INDEX('DMR 001C TIN &amp; TP'!$A$3:$M$10005,MATCH(('Reg 85'!$X$6&amp;'Reg 85'!AG$10&amp;'Reg 85'!$B223),('DMR 001C TIN &amp; TP'!$E$3:$E$10005&amp;'DMR 001C TIN &amp; TP'!$B$3:$B$10005&amp;'DMR 001C TIN &amp; TP'!$A$3:$A$10005),0),MATCH('Reg 85'!$AG$11,'DMR 001C TIN &amp; TP'!$A$2:$M$2,0))),"")</f>
        <v/>
      </c>
      <c r="AH223" s="6" t="str">
        <f t="array" ref="AH223">_xlfn.IFNA((INDEX('DMR 001C TIN &amp; TP'!$A$3:$M$10005,MATCH(('Reg 85'!$X$6&amp;'Reg 85'!AH$10&amp;'Reg 85'!$B223),('DMR 001C TIN &amp; TP'!$E$3:$E$10005&amp;'DMR 001C TIN &amp; TP'!$B$3:$B$10005&amp;'DMR 001C TIN &amp; TP'!$A$3:$A$10005),0),MATCH('Reg 85'!$AG$11,'DMR 001C TIN &amp; TP'!$A$2:$M$2,0))),"")</f>
        <v/>
      </c>
      <c r="AI223" s="6" t="str">
        <f t="array" ref="AI223">_xlfn.IFNA((INDEX('DMR 001C TIN &amp; TP'!$A$3:$M$10005,MATCH(('Reg 85'!$X$6&amp;'Reg 85'!AI$10&amp;'Reg 85'!$B223),('DMR 001C TIN &amp; TP'!$E$3:$E$10005&amp;'DMR 001C TIN &amp; TP'!$B$3:$B$10005&amp;'DMR 001C TIN &amp; TP'!$A$3:$A$10005),0),MATCH('Reg 85'!$AG$11,'DMR 001C TIN &amp; TP'!$A$2:$M$2,0))),"")</f>
        <v/>
      </c>
      <c r="AJ223" s="6" t="str">
        <f t="array" ref="AJ223">_xlfn.IFNA((INDEX('DMR 001C TIN &amp; TP'!$A$3:$M$10005,MATCH(('Reg 85'!$X$6&amp;'Reg 85'!AJ$10&amp;'Reg 85'!$B223),('DMR 001C TIN &amp; TP'!$E$3:$E$10005&amp;'DMR 001C TIN &amp; TP'!$B$3:$B$10005&amp;'DMR 001C TIN &amp; TP'!$A$3:$A$10005),0),MATCH('Reg 85'!$AG$11,'DMR 001C TIN &amp; TP'!$A$2:$M$2,0))),"")</f>
        <v/>
      </c>
      <c r="AK223" s="6" t="str">
        <f t="array" ref="AK223">_xlfn.IFNA((INDEX('DMR 001C TIN &amp; TP'!$A$3:$M$10005,MATCH(('Reg 85'!$X$6&amp;'Reg 85'!AK$10&amp;'Reg 85'!$B223),('DMR 001C TIN &amp; TP'!$E$3:$E$10005&amp;'DMR 001C TIN &amp; TP'!$B$3:$B$10005&amp;'DMR 001C TIN &amp; TP'!$A$3:$A$10005),0),MATCH('Reg 85'!$AG$11,'DMR 001C TIN &amp; TP'!$A$2:$M$2,0))),"")</f>
        <v/>
      </c>
      <c r="AL223" s="6" t="str">
        <f t="array" ref="AL223">_xlfn.IFNA((INDEX('DMR 001C TIN &amp; TP'!$A$3:$M$10005,MATCH(('Reg 85'!$X$6&amp;'Reg 85'!AL$10&amp;'Reg 85'!$B223),('DMR 001C TIN &amp; TP'!$E$3:$E$10005&amp;'DMR 001C TIN &amp; TP'!$B$3:$B$10005&amp;'DMR 001C TIN &amp; TP'!$A$3:$A$10005),0),MATCH('Reg 85'!$AG$11,'DMR 001C TIN &amp; TP'!$A$2:$M$2,0))),"")</f>
        <v/>
      </c>
      <c r="AM223" s="76"/>
      <c r="AN223" s="6"/>
      <c r="AO223" s="54">
        <f t="shared" si="83"/>
        <v>5.6677984192321968</v>
      </c>
      <c r="AP223" s="77">
        <f>COUNT(AO193:AO223)</f>
        <v>13</v>
      </c>
      <c r="AQ223" s="47"/>
      <c r="AR223" s="6" t="str">
        <f t="array" ref="AR223">_xlfn.IFNA((INDEX('DMR 001C TIN &amp; TP'!$A$3:$M$10005,MATCH(('Reg 85'!$AQ$6&amp;'Reg 85'!$AQ$10&amp;'Reg 85'!$B223),('DMR 001C TIN &amp; TP'!$E$3:$E$10005&amp;'DMR 001C TIN &amp; TP'!$B$3:$B$10005&amp;'DMR 001C TIN &amp; TP'!$A$3:$A$10005),0),MATCH('Reg 85'!$AR$11,'DMR 001C TIN &amp; TP'!$A$2:$M$2,0))),"")</f>
        <v/>
      </c>
      <c r="AS223" s="6" t="str">
        <f t="array" ref="AS223">_xlfn.IFNA((INDEX('DMR 001C TIN &amp; TP'!$A$3:$M$10005,MATCH(('Reg 85'!$AQ$6&amp;'Reg 85'!$AQ$10&amp;'Reg 85'!$B223),('DMR 001C TIN &amp; TP'!$E$3:$E$10005&amp;'DMR 001C TIN &amp; TP'!$B$3:$B$10005&amp;'DMR 001C TIN &amp; TP'!$A$3:$A$10005),0),MATCH('Reg 85'!$AS$11,'DMR 001C TIN &amp; TP'!$A$2:$M$2,0))),"")</f>
        <v/>
      </c>
      <c r="AT223" s="53" t="str">
        <f t="shared" si="97"/>
        <v/>
      </c>
      <c r="AV223" s="6" t="str">
        <f t="array" ref="AV223">_xlfn.IFNA((INDEX('DMR 001C TIN &amp; TP'!$A$3:$M$10005,MATCH(('Reg 85'!$AQ$6&amp;'Reg 85'!$AU$10&amp;'Reg 85'!$B223),('DMR 001C TIN &amp; TP'!$E$3:$E$10005&amp;'DMR 001C TIN &amp; TP'!$B$3:$B$10005&amp;'DMR 001C TIN &amp; TP'!$A$3:$A$10005),0),MATCH('Reg 85'!$AV$11,'DMR 001C TIN &amp; TP'!$A$2:$M$2,0))),"")</f>
        <v/>
      </c>
      <c r="AW223" s="6" t="str">
        <f t="array" ref="AW223">_xlfn.IFNA((INDEX('DMR 001C TIN &amp; TP'!$A$3:$M$10005,MATCH(('Reg 85'!$AQ$6&amp;'Reg 85'!$AU$10&amp;'Reg 85'!$B223),('DMR 001C TIN &amp; TP'!$E$3:$E$10005&amp;'DMR 001C TIN &amp; TP'!$B$3:$B$10005&amp;'DMR 001C TIN &amp; TP'!$A$3:$A$10005),0),MATCH('Reg 85'!$AW$11,'DMR 001C TIN &amp; TP'!$A$2:$M$2,0))),"")</f>
        <v/>
      </c>
      <c r="AX223" s="53" t="str">
        <f t="shared" si="98"/>
        <v/>
      </c>
      <c r="AY223" s="55" t="str">
        <f t="shared" si="99"/>
        <v/>
      </c>
      <c r="AZ223" s="77">
        <f>COUNT(AY193:AY223)</f>
        <v>18</v>
      </c>
      <c r="BA223" s="6" t="str">
        <f t="array" ref="BA223">_xlfn.IFNA((INDEX('DMR 001C TIN &amp; TP'!$A$3:$M$10005,MATCH(('Reg 85'!$AQ$6&amp;'Reg 85'!BA$10&amp;'Reg 85'!$B223),('DMR 001C TIN &amp; TP'!$E$3:$E$10005&amp;'DMR 001C TIN &amp; TP'!$B$3:$B$10005&amp;'DMR 001C TIN &amp; TP'!$A$3:$A$10005),0),MATCH('Reg 85'!$AG$11,'DMR 001C TIN &amp; TP'!$A$2:$M$2,0))),"")</f>
        <v/>
      </c>
      <c r="BB223" s="6" t="str">
        <f t="array" ref="BB223">_xlfn.IFNA((INDEX('DMR 001C TIN &amp; TP'!$A$3:$M$10005,MATCH(('Reg 85'!$AQ$6&amp;'Reg 85'!BB$10&amp;'Reg 85'!$B223),('DMR 001C TIN &amp; TP'!$E$3:$E$10005&amp;'DMR 001C TIN &amp; TP'!$B$3:$B$10005&amp;'DMR 001C TIN &amp; TP'!$A$3:$A$10005),0),MATCH('Reg 85'!$AG$11,'DMR 001C TIN &amp; TP'!$A$2:$M$2,0))),"")</f>
        <v/>
      </c>
      <c r="BC223" s="6" t="str">
        <f t="array" ref="BC223">_xlfn.IFNA((INDEX('DMR 001C TIN &amp; TP'!$A$3:$M$10005,MATCH(('Reg 85'!$AQ$6&amp;'Reg 85'!BC$10&amp;'Reg 85'!$B223),('DMR 001C TIN &amp; TP'!$E$3:$E$10005&amp;'DMR 001C TIN &amp; TP'!$B$3:$B$10005&amp;'DMR 001C TIN &amp; TP'!$A$3:$A$10005),0),MATCH('Reg 85'!$AG$11,'DMR 001C TIN &amp; TP'!$A$2:$M$2,0))),"")</f>
        <v/>
      </c>
      <c r="BD223" s="6" t="str">
        <f t="array" ref="BD223">_xlfn.IFNA((INDEX('DMR 001C TIN &amp; TP'!$A$3:$M$10005,MATCH(('Reg 85'!$AQ$6&amp;'Reg 85'!BD$10&amp;'Reg 85'!$B223),('DMR 001C TIN &amp; TP'!$E$3:$E$10005&amp;'DMR 001C TIN &amp; TP'!$B$3:$B$10005&amp;'DMR 001C TIN &amp; TP'!$A$3:$A$10005),0),MATCH('Reg 85'!$AG$11,'DMR 001C TIN &amp; TP'!$A$2:$M$2,0))),"")</f>
        <v/>
      </c>
      <c r="BE223" s="6" t="str">
        <f t="array" ref="BE223">_xlfn.IFNA((INDEX('DMR 001C TIN &amp; TP'!$A$3:$M$10005,MATCH(('Reg 85'!$AQ$6&amp;'Reg 85'!BE$10&amp;'Reg 85'!$B223),('DMR 001C TIN &amp; TP'!$E$3:$E$10005&amp;'DMR 001C TIN &amp; TP'!$B$3:$B$10005&amp;'DMR 001C TIN &amp; TP'!$A$3:$A$10005),0),MATCH('Reg 85'!$AG$11,'DMR 001C TIN &amp; TP'!$A$2:$M$2,0))),"")</f>
        <v/>
      </c>
      <c r="BF223" s="6" t="str">
        <f t="array" ref="BF223">_xlfn.IFNA((INDEX('DMR 001C TIN &amp; TP'!$A$3:$M$10005,MATCH(('Reg 85'!$AQ$6&amp;'Reg 85'!BF$10&amp;'Reg 85'!$B223),('DMR 001C TIN &amp; TP'!$E$3:$E$10005&amp;'DMR 001C TIN &amp; TP'!$B$3:$B$10005&amp;'DMR 001C TIN &amp; TP'!$A$3:$A$10005),0),MATCH('Reg 85'!$AG$11,'DMR 001C TIN &amp; TP'!$A$2:$M$2,0))),"")</f>
        <v/>
      </c>
    </row>
    <row r="224" spans="1:58">
      <c r="A224" s="3" t="str">
        <f t="shared" si="84"/>
        <v>Mon</v>
      </c>
      <c r="B224" s="96">
        <f t="shared" si="100"/>
        <v>43556</v>
      </c>
      <c r="C224" s="96">
        <f t="shared" si="85"/>
        <v>43585</v>
      </c>
      <c r="D224" s="96">
        <f t="shared" si="86"/>
        <v>43556</v>
      </c>
      <c r="E224" s="95">
        <f t="shared" si="87"/>
        <v>30</v>
      </c>
      <c r="F224" s="7">
        <f t="array" ref="F224">_xlfn.IFNA(INDEX('DMR Flows-Effluent'!$A$3:$F$9999,MATCH(($F$10&amp;$B224),('DMR Flows-Effluent'!$B$3:$B$9999&amp;'DMR Flows-Effluent'!$A$3:$A$9999),0),MATCH($F$8,'DMR Flows-Effluent'!$A$2:$F$2,0)),"")</f>
        <v>64.704499999999996</v>
      </c>
      <c r="G224" s="7">
        <f t="array" ref="G224">_xlfn.IFNA(INDEX('DMR Flows-Effluent'!$A$3:$F$9999,MATCH(($G$10&amp;$B224),('DMR Flows-Effluent'!$B$3:$B$9999&amp;'DMR Flows-Effluent'!$A$3:$A$9999),0),MATCH($F$8,'DMR Flows-Effluent'!$A$2:$F$2,0)),"")</f>
        <v>60.763199999999998</v>
      </c>
      <c r="H224" s="7">
        <f t="shared" si="88"/>
        <v>125.46769999999999</v>
      </c>
      <c r="I224" s="45" t="str">
        <f t="shared" si="89"/>
        <v/>
      </c>
      <c r="J224" s="6" t="str">
        <f t="array" ref="J224">_xlfn.IFNA((INDEX('DMR 001C TIN &amp; TP'!$A$3:$M$10005,MATCH(('Reg 85'!$I$6:$Q$6&amp;'Reg 85'!$I$10:$K$10&amp;'Reg 85'!$B224),('DMR 001C TIN &amp; TP'!$E$3:$E$10005&amp;'DMR 001C TIN &amp; TP'!$B$3:$B$10005&amp;'DMR 001C TIN &amp; TP'!$A$3:$A$10005),0),MATCH('Reg 85'!$J$11,'DMR 001C TIN &amp; TP'!$A$2:$M$2,0))),"")</f>
        <v>0.15</v>
      </c>
      <c r="K224" s="6">
        <f t="array" ref="K224">_xlfn.IFNA((INDEX('DMR 001C TIN &amp; TP'!$A$3:$M$10005,MATCH(('Reg 85'!$I$6:$Q$6&amp;'Reg 85'!$I$10:$K$10&amp;'Reg 85'!$B224),('DMR 001C TIN &amp; TP'!$E$3:$E$10005&amp;'DMR 001C TIN &amp; TP'!$B$3:$B$10005&amp;'DMR 001C TIN &amp; TP'!$A$3:$A$10005),0),MATCH('Reg 85'!$K$11,'DMR 001C TIN &amp; TP'!$A$2:$M$2,0))),"")</f>
        <v>0.55000000000000004</v>
      </c>
      <c r="L224" s="53">
        <f t="shared" si="101"/>
        <v>0.55000000000000004</v>
      </c>
      <c r="M224" s="5" t="str">
        <f t="shared" si="90"/>
        <v/>
      </c>
      <c r="N224" s="6" t="str">
        <f t="array" ref="N224">_xlfn.IFNA((INDEX('DMR 001C TIN &amp; TP'!$A$3:$M$10005,MATCH(('Reg 85'!$I$6:$Q$6&amp;'Reg 85'!$M$10&amp;'Reg 85'!$B224),('DMR 001C TIN &amp; TP'!$E$3:$E$10005&amp;'DMR 001C TIN &amp; TP'!$B$3:$B$10005&amp;'DMR 001C TIN &amp; TP'!$A$3:$A$10005),0),MATCH('Reg 85'!$N$11,'DMR 001C TIN &amp; TP'!$A$2:$M$2,0))),"")</f>
        <v>0.15</v>
      </c>
      <c r="O224" s="6">
        <f t="array" ref="O224">_xlfn.IFNA((INDEX('DMR 001C TIN &amp; TP'!$A$3:$M$10005,MATCH(('Reg 85'!$I$6:$Q$6&amp;'Reg 85'!$M$10&amp;'Reg 85'!$B224),('DMR 001C TIN &amp; TP'!$E$3:$E$10005&amp;'DMR 001C TIN &amp; TP'!$B$3:$B$10005&amp;'DMR 001C TIN &amp; TP'!$A$3:$A$10005),0),MATCH('Reg 85'!$O$11,'DMR 001C TIN &amp; TP'!$A$2:$M$2,0))),"")</f>
        <v>0.19</v>
      </c>
      <c r="P224" s="53">
        <f t="shared" si="91"/>
        <v>0.19</v>
      </c>
      <c r="Q224" s="73">
        <f t="array" ref="Q224">IFERROR(((L224*$F224)+(P224*$G224))/($H224),"")</f>
        <v>0.37565431581195796</v>
      </c>
      <c r="R224" s="6" t="str">
        <f t="array" ref="R224">_xlfn.IFNA((INDEX('DMR 001C TIN &amp; TP'!$A$3:$M$10005,MATCH(('Reg 85'!$I$6:$Q$6&amp;'Reg 85'!R$10&amp;'Reg 85'!$B224),('DMR 001C TIN &amp; TP'!$E$3:$E$10005&amp;'DMR 001C TIN &amp; TP'!$B$3:$B$10005&amp;'DMR 001C TIN &amp; TP'!$A$3:$A$10005),0),MATCH('Reg 85'!$O$11,'DMR 001C TIN &amp; TP'!$A$2:$M$2,0))),"")</f>
        <v/>
      </c>
      <c r="S224" s="6" t="str">
        <f t="array" ref="S224">_xlfn.IFNA((INDEX('DMR 001C TIN &amp; TP'!$A$3:$M$10005,MATCH(('Reg 85'!$I$6:$Q$6&amp;'Reg 85'!S$10&amp;'Reg 85'!$B224),('DMR 001C TIN &amp; TP'!$E$3:$E$10005&amp;'DMR 001C TIN &amp; TP'!$B$3:$B$10005&amp;'DMR 001C TIN &amp; TP'!$A$3:$A$10005),0),MATCH('Reg 85'!$O$11,'DMR 001C TIN &amp; TP'!$A$2:$M$2,0))),"")</f>
        <v/>
      </c>
      <c r="T224" s="6" t="str">
        <f t="array" ref="T224">_xlfn.IFNA((INDEX('DMR 001C TIN &amp; TP'!$A$3:$M$10005,MATCH(('Reg 85'!$I$6:$Q$6&amp;'Reg 85'!T$10&amp;'Reg 85'!$B224),('DMR 001C TIN &amp; TP'!$E$3:$E$10005&amp;'DMR 001C TIN &amp; TP'!$B$3:$B$10005&amp;'DMR 001C TIN &amp; TP'!$A$3:$A$10005),0),MATCH('Reg 85'!$O$11,'DMR 001C TIN &amp; TP'!$A$2:$M$2,0))),"")</f>
        <v/>
      </c>
      <c r="U224" s="6" t="str">
        <f t="array" ref="U224">_xlfn.IFNA((INDEX('DMR 001C TIN &amp; TP'!$A$3:$M$10005,MATCH(('Reg 85'!$I$6:$Q$6&amp;'Reg 85'!U$10&amp;'Reg 85'!$B224),('DMR 001C TIN &amp; TP'!$E$3:$E$10005&amp;'DMR 001C TIN &amp; TP'!$B$3:$B$10005&amp;'DMR 001C TIN &amp; TP'!$A$3:$A$10005),0),MATCH('Reg 85'!$O$11,'DMR 001C TIN &amp; TP'!$A$2:$M$2,0))),"")</f>
        <v/>
      </c>
      <c r="V224" s="6" t="str">
        <f t="array" ref="V224">_xlfn.IFNA((INDEX('DMR 001C TIN &amp; TP'!$A$3:$M$10005,MATCH(('Reg 85'!$I$6:$Q$6&amp;'Reg 85'!V$10&amp;'Reg 85'!$B224),('DMR 001C TIN &amp; TP'!$E$3:$E$10005&amp;'DMR 001C TIN &amp; TP'!$B$3:$B$10005&amp;'DMR 001C TIN &amp; TP'!$A$3:$A$10005),0),MATCH('Reg 85'!$O$11,'DMR 001C TIN &amp; TP'!$A$2:$M$2,0))),"")</f>
        <v/>
      </c>
      <c r="W224" s="6" t="str">
        <f t="array" ref="W224">_xlfn.IFNA((INDEX('DMR 001C TIN &amp; TP'!$A$3:$M$10005,MATCH(('Reg 85'!$I$6:$Q$6&amp;'Reg 85'!W$10&amp;'Reg 85'!$B224),('DMR 001C TIN &amp; TP'!$E$3:$E$10005&amp;'DMR 001C TIN &amp; TP'!$B$3:$B$10005&amp;'DMR 001C TIN &amp; TP'!$A$3:$A$10005),0),MATCH('Reg 85'!$O$11,'DMR 001C TIN &amp; TP'!$A$2:$M$2,0))),"")</f>
        <v/>
      </c>
      <c r="X224" s="5" t="str">
        <f t="shared" si="92"/>
        <v/>
      </c>
      <c r="Y224" s="6" t="str">
        <f t="array" ref="Y224">_xlfn.IFNA((INDEX('DMR 001C TIN &amp; TP'!$A$3:$M$10005,MATCH(('Reg 85'!$X$6&amp;'Reg 85'!$X$10&amp;'Reg 85'!$B224),('DMR 001C TIN &amp; TP'!$E$3:$E$10005&amp;'DMR 001C TIN &amp; TP'!$B$3:$B$10005&amp;'DMR 001C TIN &amp; TP'!$A$3:$A$10005),0),MATCH('Reg 85'!$Y$11,'DMR 001C TIN &amp; TP'!$A$2:$M$2,0))),"")</f>
        <v>0.06</v>
      </c>
      <c r="Z224" s="6">
        <f t="array" ref="Z224">_xlfn.IFNA((INDEX('DMR 001C TIN &amp; TP'!$A$3:$M$10005,MATCH(('Reg 85'!$X$6&amp;'Reg 85'!$X$10&amp;'Reg 85'!$B224),('DMR 001C TIN &amp; TP'!$E$3:$E$10005&amp;'DMR 001C TIN &amp; TP'!$B$3:$B$10005&amp;'DMR 001C TIN &amp; TP'!$A$3:$A$10005),0),MATCH('Reg 85'!$Z$11,'DMR 001C TIN &amp; TP'!$A$2:$M$2,0))),"")</f>
        <v>5.18</v>
      </c>
      <c r="AA224" s="53">
        <f t="shared" si="93"/>
        <v>5.18</v>
      </c>
      <c r="AB224" s="5" t="str">
        <f t="shared" si="94"/>
        <v/>
      </c>
      <c r="AC224" s="6" t="str">
        <f t="array" ref="AC224">_xlfn.IFNA((INDEX('DMR 001C TIN &amp; TP'!$A$3:$M$10005,MATCH(('Reg 85'!$X$6&amp;'Reg 85'!$AB$10&amp;'Reg 85'!$B224),('DMR 001C TIN &amp; TP'!$E$3:$E$10005&amp;'DMR 001C TIN &amp; TP'!$B$3:$B$10005&amp;'DMR 001C TIN &amp; TP'!$A$3:$A$10005),0),MATCH('Reg 85'!$AC$11,'DMR 001C TIN &amp; TP'!$A$2:$M$2,0))),"")</f>
        <v>0.06</v>
      </c>
      <c r="AD224" s="6">
        <f t="array" ref="AD224">_xlfn.IFNA((INDEX('DMR 001C TIN &amp; TP'!$A$3:$M$10005,MATCH(('Reg 85'!$X$6&amp;'Reg 85'!$AB$10&amp;'Reg 85'!$B224),('DMR 001C TIN &amp; TP'!$E$3:$E$10005&amp;'DMR 001C TIN &amp; TP'!$B$3:$B$10005&amp;'DMR 001C TIN &amp; TP'!$A$3:$A$10005),0),MATCH('Reg 85'!$AD$11,'DMR 001C TIN &amp; TP'!$A$2:$M$2,0))),"")</f>
        <v>4.34</v>
      </c>
      <c r="AE224" s="53">
        <f t="shared" si="95"/>
        <v>4.34</v>
      </c>
      <c r="AF224" s="7">
        <f t="shared" si="96"/>
        <v>4.7731934035612351</v>
      </c>
      <c r="AG224" s="6" t="str">
        <f t="array" ref="AG224">_xlfn.IFNA((INDEX('DMR 001C TIN &amp; TP'!$A$3:$M$10005,MATCH(('Reg 85'!$X$6&amp;'Reg 85'!AG$10&amp;'Reg 85'!$B224),('DMR 001C TIN &amp; TP'!$E$3:$E$10005&amp;'DMR 001C TIN &amp; TP'!$B$3:$B$10005&amp;'DMR 001C TIN &amp; TP'!$A$3:$A$10005),0),MATCH('Reg 85'!$AG$11,'DMR 001C TIN &amp; TP'!$A$2:$M$2,0))),"")</f>
        <v/>
      </c>
      <c r="AH224" s="6" t="str">
        <f t="array" ref="AH224">_xlfn.IFNA((INDEX('DMR 001C TIN &amp; TP'!$A$3:$M$10005,MATCH(('Reg 85'!$X$6&amp;'Reg 85'!AH$10&amp;'Reg 85'!$B224),('DMR 001C TIN &amp; TP'!$E$3:$E$10005&amp;'DMR 001C TIN &amp; TP'!$B$3:$B$10005&amp;'DMR 001C TIN &amp; TP'!$A$3:$A$10005),0),MATCH('Reg 85'!$AG$11,'DMR 001C TIN &amp; TP'!$A$2:$M$2,0))),"")</f>
        <v/>
      </c>
      <c r="AI224" s="6" t="str">
        <f t="array" ref="AI224">_xlfn.IFNA((INDEX('DMR 001C TIN &amp; TP'!$A$3:$M$10005,MATCH(('Reg 85'!$X$6&amp;'Reg 85'!AI$10&amp;'Reg 85'!$B224),('DMR 001C TIN &amp; TP'!$E$3:$E$10005&amp;'DMR 001C TIN &amp; TP'!$B$3:$B$10005&amp;'DMR 001C TIN &amp; TP'!$A$3:$A$10005),0),MATCH('Reg 85'!$AG$11,'DMR 001C TIN &amp; TP'!$A$2:$M$2,0))),"")</f>
        <v/>
      </c>
      <c r="AJ224" s="6" t="str">
        <f t="array" ref="AJ224">_xlfn.IFNA((INDEX('DMR 001C TIN &amp; TP'!$A$3:$M$10005,MATCH(('Reg 85'!$X$6&amp;'Reg 85'!AJ$10&amp;'Reg 85'!$B224),('DMR 001C TIN &amp; TP'!$E$3:$E$10005&amp;'DMR 001C TIN &amp; TP'!$B$3:$B$10005&amp;'DMR 001C TIN &amp; TP'!$A$3:$A$10005),0),MATCH('Reg 85'!$AG$11,'DMR 001C TIN &amp; TP'!$A$2:$M$2,0))),"")</f>
        <v/>
      </c>
      <c r="AK224" s="6" t="str">
        <f t="array" ref="AK224">_xlfn.IFNA((INDEX('DMR 001C TIN &amp; TP'!$A$3:$M$10005,MATCH(('Reg 85'!$X$6&amp;'Reg 85'!AK$10&amp;'Reg 85'!$B224),('DMR 001C TIN &amp; TP'!$E$3:$E$10005&amp;'DMR 001C TIN &amp; TP'!$B$3:$B$10005&amp;'DMR 001C TIN &amp; TP'!$A$3:$A$10005),0),MATCH('Reg 85'!$AG$11,'DMR 001C TIN &amp; TP'!$A$2:$M$2,0))),"")</f>
        <v/>
      </c>
      <c r="AL224" s="6" t="str">
        <f t="array" ref="AL224">_xlfn.IFNA((INDEX('DMR 001C TIN &amp; TP'!$A$3:$M$10005,MATCH(('Reg 85'!$X$6&amp;'Reg 85'!AL$10&amp;'Reg 85'!$B224),('DMR 001C TIN &amp; TP'!$E$3:$E$10005&amp;'DMR 001C TIN &amp; TP'!$B$3:$B$10005&amp;'DMR 001C TIN &amp; TP'!$A$3:$A$10005),0),MATCH('Reg 85'!$AG$11,'DMR 001C TIN &amp; TP'!$A$2:$M$2,0))),"")</f>
        <v/>
      </c>
      <c r="AM224" s="76"/>
      <c r="AN224" s="6"/>
      <c r="AO224" s="54">
        <f t="shared" si="83"/>
        <v>5.148847719373193</v>
      </c>
      <c r="AP224" s="77" t="str">
        <f t="shared" si="81"/>
        <v/>
      </c>
      <c r="AQ224" s="47"/>
      <c r="AR224" s="6" t="str">
        <f t="array" ref="AR224">_xlfn.IFNA((INDEX('DMR 001C TIN &amp; TP'!$A$3:$M$10005,MATCH(('Reg 85'!$AQ$6&amp;'Reg 85'!$AQ$10&amp;'Reg 85'!$B224),('DMR 001C TIN &amp; TP'!$E$3:$E$10005&amp;'DMR 001C TIN &amp; TP'!$B$3:$B$10005&amp;'DMR 001C TIN &amp; TP'!$A$3:$A$10005),0),MATCH('Reg 85'!$AR$11,'DMR 001C TIN &amp; TP'!$A$2:$M$2,0))),"")</f>
        <v/>
      </c>
      <c r="AS224" s="6" t="str">
        <f t="array" ref="AS224">_xlfn.IFNA((INDEX('DMR 001C TIN &amp; TP'!$A$3:$M$10005,MATCH(('Reg 85'!$AQ$6&amp;'Reg 85'!$AQ$10&amp;'Reg 85'!$B224),('DMR 001C TIN &amp; TP'!$E$3:$E$10005&amp;'DMR 001C TIN &amp; TP'!$B$3:$B$10005&amp;'DMR 001C TIN &amp; TP'!$A$3:$A$10005),0),MATCH('Reg 85'!$AS$11,'DMR 001C TIN &amp; TP'!$A$2:$M$2,0))),"")</f>
        <v/>
      </c>
      <c r="AT224" s="53" t="str">
        <f t="shared" si="97"/>
        <v/>
      </c>
      <c r="AV224" s="6" t="str">
        <f t="array" ref="AV224">_xlfn.IFNA((INDEX('DMR 001C TIN &amp; TP'!$A$3:$M$10005,MATCH(('Reg 85'!$AQ$6&amp;'Reg 85'!$AU$10&amp;'Reg 85'!$B224),('DMR 001C TIN &amp; TP'!$E$3:$E$10005&amp;'DMR 001C TIN &amp; TP'!$B$3:$B$10005&amp;'DMR 001C TIN &amp; TP'!$A$3:$A$10005),0),MATCH('Reg 85'!$AV$11,'DMR 001C TIN &amp; TP'!$A$2:$M$2,0))),"")</f>
        <v/>
      </c>
      <c r="AW224" s="6" t="str">
        <f t="array" ref="AW224">_xlfn.IFNA((INDEX('DMR 001C TIN &amp; TP'!$A$3:$M$10005,MATCH(('Reg 85'!$AQ$6&amp;'Reg 85'!$AU$10&amp;'Reg 85'!$B224),('DMR 001C TIN &amp; TP'!$E$3:$E$10005&amp;'DMR 001C TIN &amp; TP'!$B$3:$B$10005&amp;'DMR 001C TIN &amp; TP'!$A$3:$A$10005),0),MATCH('Reg 85'!$AW$11,'DMR 001C TIN &amp; TP'!$A$2:$M$2,0))),"")</f>
        <v/>
      </c>
      <c r="AX224" s="53" t="str">
        <f t="shared" si="98"/>
        <v/>
      </c>
      <c r="AY224" s="55" t="str">
        <f t="shared" si="99"/>
        <v/>
      </c>
      <c r="AZ224" s="77" t="str">
        <f t="shared" si="82"/>
        <v/>
      </c>
      <c r="BA224" s="6" t="str">
        <f t="array" ref="BA224">_xlfn.IFNA((INDEX('DMR 001C TIN &amp; TP'!$A$3:$M$10005,MATCH(('Reg 85'!$AQ$6&amp;'Reg 85'!BA$10&amp;'Reg 85'!$B224),('DMR 001C TIN &amp; TP'!$E$3:$E$10005&amp;'DMR 001C TIN &amp; TP'!$B$3:$B$10005&amp;'DMR 001C TIN &amp; TP'!$A$3:$A$10005),0),MATCH('Reg 85'!$AG$11,'DMR 001C TIN &amp; TP'!$A$2:$M$2,0))),"")</f>
        <v/>
      </c>
      <c r="BB224" s="6" t="str">
        <f t="array" ref="BB224">_xlfn.IFNA((INDEX('DMR 001C TIN &amp; TP'!$A$3:$M$10005,MATCH(('Reg 85'!$AQ$6&amp;'Reg 85'!BB$10&amp;'Reg 85'!$B224),('DMR 001C TIN &amp; TP'!$E$3:$E$10005&amp;'DMR 001C TIN &amp; TP'!$B$3:$B$10005&amp;'DMR 001C TIN &amp; TP'!$A$3:$A$10005),0),MATCH('Reg 85'!$AG$11,'DMR 001C TIN &amp; TP'!$A$2:$M$2,0))),"")</f>
        <v/>
      </c>
      <c r="BC224" s="6" t="str">
        <f t="array" ref="BC224">_xlfn.IFNA((INDEX('DMR 001C TIN &amp; TP'!$A$3:$M$10005,MATCH(('Reg 85'!$AQ$6&amp;'Reg 85'!BC$10&amp;'Reg 85'!$B224),('DMR 001C TIN &amp; TP'!$E$3:$E$10005&amp;'DMR 001C TIN &amp; TP'!$B$3:$B$10005&amp;'DMR 001C TIN &amp; TP'!$A$3:$A$10005),0),MATCH('Reg 85'!$AG$11,'DMR 001C TIN &amp; TP'!$A$2:$M$2,0))),"")</f>
        <v/>
      </c>
      <c r="BD224" s="6" t="str">
        <f t="array" ref="BD224">_xlfn.IFNA((INDEX('DMR 001C TIN &amp; TP'!$A$3:$M$10005,MATCH(('Reg 85'!$AQ$6&amp;'Reg 85'!BD$10&amp;'Reg 85'!$B224),('DMR 001C TIN &amp; TP'!$E$3:$E$10005&amp;'DMR 001C TIN &amp; TP'!$B$3:$B$10005&amp;'DMR 001C TIN &amp; TP'!$A$3:$A$10005),0),MATCH('Reg 85'!$AG$11,'DMR 001C TIN &amp; TP'!$A$2:$M$2,0))),"")</f>
        <v/>
      </c>
      <c r="BE224" s="6" t="str">
        <f t="array" ref="BE224">_xlfn.IFNA((INDEX('DMR 001C TIN &amp; TP'!$A$3:$M$10005,MATCH(('Reg 85'!$AQ$6&amp;'Reg 85'!BE$10&amp;'Reg 85'!$B224),('DMR 001C TIN &amp; TP'!$E$3:$E$10005&amp;'DMR 001C TIN &amp; TP'!$B$3:$B$10005&amp;'DMR 001C TIN &amp; TP'!$A$3:$A$10005),0),MATCH('Reg 85'!$AG$11,'DMR 001C TIN &amp; TP'!$A$2:$M$2,0))),"")</f>
        <v/>
      </c>
      <c r="BF224" s="6" t="str">
        <f t="array" ref="BF224">_xlfn.IFNA((INDEX('DMR 001C TIN &amp; TP'!$A$3:$M$10005,MATCH(('Reg 85'!$AQ$6&amp;'Reg 85'!BF$10&amp;'Reg 85'!$B224),('DMR 001C TIN &amp; TP'!$E$3:$E$10005&amp;'DMR 001C TIN &amp; TP'!$B$3:$B$10005&amp;'DMR 001C TIN &amp; TP'!$A$3:$A$10005),0),MATCH('Reg 85'!$AG$11,'DMR 001C TIN &amp; TP'!$A$2:$M$2,0))),"")</f>
        <v/>
      </c>
    </row>
    <row r="225" spans="1:58">
      <c r="A225" s="3" t="str">
        <f t="shared" si="84"/>
        <v>Tue</v>
      </c>
      <c r="B225" s="96">
        <f t="shared" si="100"/>
        <v>43557</v>
      </c>
      <c r="C225" s="96">
        <f t="shared" si="85"/>
        <v>43585</v>
      </c>
      <c r="D225" s="96">
        <f t="shared" si="86"/>
        <v>43556</v>
      </c>
      <c r="E225" s="95">
        <f t="shared" si="87"/>
        <v>30</v>
      </c>
      <c r="F225" s="7">
        <f t="array" ref="F225">_xlfn.IFNA(INDEX('DMR Flows-Effluent'!$A$3:$F$9999,MATCH(($F$10&amp;$B225),('DMR Flows-Effluent'!$B$3:$B$9999&amp;'DMR Flows-Effluent'!$A$3:$A$9999),0),MATCH($F$8,'DMR Flows-Effluent'!$A$2:$F$2,0)),"")</f>
        <v>66.169899999999998</v>
      </c>
      <c r="G225" s="7">
        <f t="array" ref="G225">_xlfn.IFNA(INDEX('DMR Flows-Effluent'!$A$3:$F$9999,MATCH(($G$10&amp;$B225),('DMR Flows-Effluent'!$B$3:$B$9999&amp;'DMR Flows-Effluent'!$A$3:$A$9999),0),MATCH($F$8,'DMR Flows-Effluent'!$A$2:$F$2,0)),"")</f>
        <v>53.541800000000002</v>
      </c>
      <c r="H225" s="7">
        <f t="shared" si="88"/>
        <v>119.71170000000001</v>
      </c>
      <c r="I225" s="45" t="str">
        <f t="shared" si="89"/>
        <v/>
      </c>
      <c r="J225" s="6" t="str">
        <f t="array" ref="J225">_xlfn.IFNA((INDEX('DMR 001C TIN &amp; TP'!$A$3:$M$10005,MATCH(('Reg 85'!$I$6:$Q$6&amp;'Reg 85'!$I$10:$K$10&amp;'Reg 85'!$B225),('DMR 001C TIN &amp; TP'!$E$3:$E$10005&amp;'DMR 001C TIN &amp; TP'!$B$3:$B$10005&amp;'DMR 001C TIN &amp; TP'!$A$3:$A$10005),0),MATCH('Reg 85'!$J$11,'DMR 001C TIN &amp; TP'!$A$2:$M$2,0))),"")</f>
        <v>0.15</v>
      </c>
      <c r="K225" s="6">
        <f t="array" ref="K225">_xlfn.IFNA((INDEX('DMR 001C TIN &amp; TP'!$A$3:$M$10005,MATCH(('Reg 85'!$I$6:$Q$6&amp;'Reg 85'!$I$10:$K$10&amp;'Reg 85'!$B225),('DMR 001C TIN &amp; TP'!$E$3:$E$10005&amp;'DMR 001C TIN &amp; TP'!$B$3:$B$10005&amp;'DMR 001C TIN &amp; TP'!$A$3:$A$10005),0),MATCH('Reg 85'!$K$11,'DMR 001C TIN &amp; TP'!$A$2:$M$2,0))),"")</f>
        <v>1.23</v>
      </c>
      <c r="L225" s="53">
        <f t="shared" si="101"/>
        <v>1.23</v>
      </c>
      <c r="M225" s="5" t="str">
        <f t="shared" si="90"/>
        <v/>
      </c>
      <c r="N225" s="6" t="str">
        <f t="array" ref="N225">_xlfn.IFNA((INDEX('DMR 001C TIN &amp; TP'!$A$3:$M$10005,MATCH(('Reg 85'!$I$6:$Q$6&amp;'Reg 85'!$M$10&amp;'Reg 85'!$B225),('DMR 001C TIN &amp; TP'!$E$3:$E$10005&amp;'DMR 001C TIN &amp; TP'!$B$3:$B$10005&amp;'DMR 001C TIN &amp; TP'!$A$3:$A$10005),0),MATCH('Reg 85'!$N$11,'DMR 001C TIN &amp; TP'!$A$2:$M$2,0))),"")</f>
        <v>0.15</v>
      </c>
      <c r="O225" s="6">
        <f t="array" ref="O225">_xlfn.IFNA((INDEX('DMR 001C TIN &amp; TP'!$A$3:$M$10005,MATCH(('Reg 85'!$I$6:$Q$6&amp;'Reg 85'!$M$10&amp;'Reg 85'!$B225),('DMR 001C TIN &amp; TP'!$E$3:$E$10005&amp;'DMR 001C TIN &amp; TP'!$B$3:$B$10005&amp;'DMR 001C TIN &amp; TP'!$A$3:$A$10005),0),MATCH('Reg 85'!$O$11,'DMR 001C TIN &amp; TP'!$A$2:$M$2,0))),"")</f>
        <v>2.15</v>
      </c>
      <c r="P225" s="53">
        <f t="shared" si="91"/>
        <v>2.15</v>
      </c>
      <c r="Q225" s="73">
        <f t="array" ref="Q225">IFERROR(((L225*$F225)+(P225*$G225))/($H225),"")</f>
        <v>1.6414757037115002</v>
      </c>
      <c r="R225" s="6" t="str">
        <f t="array" ref="R225">_xlfn.IFNA((INDEX('DMR 001C TIN &amp; TP'!$A$3:$M$10005,MATCH(('Reg 85'!$I$6:$Q$6&amp;'Reg 85'!R$10&amp;'Reg 85'!$B225),('DMR 001C TIN &amp; TP'!$E$3:$E$10005&amp;'DMR 001C TIN &amp; TP'!$B$3:$B$10005&amp;'DMR 001C TIN &amp; TP'!$A$3:$A$10005),0),MATCH('Reg 85'!$O$11,'DMR 001C TIN &amp; TP'!$A$2:$M$2,0))),"")</f>
        <v/>
      </c>
      <c r="S225" s="6" t="str">
        <f t="array" ref="S225">_xlfn.IFNA((INDEX('DMR 001C TIN &amp; TP'!$A$3:$M$10005,MATCH(('Reg 85'!$I$6:$Q$6&amp;'Reg 85'!S$10&amp;'Reg 85'!$B225),('DMR 001C TIN &amp; TP'!$E$3:$E$10005&amp;'DMR 001C TIN &amp; TP'!$B$3:$B$10005&amp;'DMR 001C TIN &amp; TP'!$A$3:$A$10005),0),MATCH('Reg 85'!$O$11,'DMR 001C TIN &amp; TP'!$A$2:$M$2,0))),"")</f>
        <v/>
      </c>
      <c r="T225" s="6" t="str">
        <f t="array" ref="T225">_xlfn.IFNA((INDEX('DMR 001C TIN &amp; TP'!$A$3:$M$10005,MATCH(('Reg 85'!$I$6:$Q$6&amp;'Reg 85'!T$10&amp;'Reg 85'!$B225),('DMR 001C TIN &amp; TP'!$E$3:$E$10005&amp;'DMR 001C TIN &amp; TP'!$B$3:$B$10005&amp;'DMR 001C TIN &amp; TP'!$A$3:$A$10005),0),MATCH('Reg 85'!$O$11,'DMR 001C TIN &amp; TP'!$A$2:$M$2,0))),"")</f>
        <v/>
      </c>
      <c r="U225" s="6" t="str">
        <f t="array" ref="U225">_xlfn.IFNA((INDEX('DMR 001C TIN &amp; TP'!$A$3:$M$10005,MATCH(('Reg 85'!$I$6:$Q$6&amp;'Reg 85'!U$10&amp;'Reg 85'!$B225),('DMR 001C TIN &amp; TP'!$E$3:$E$10005&amp;'DMR 001C TIN &amp; TP'!$B$3:$B$10005&amp;'DMR 001C TIN &amp; TP'!$A$3:$A$10005),0),MATCH('Reg 85'!$O$11,'DMR 001C TIN &amp; TP'!$A$2:$M$2,0))),"")</f>
        <v/>
      </c>
      <c r="V225" s="6" t="str">
        <f t="array" ref="V225">_xlfn.IFNA((INDEX('DMR 001C TIN &amp; TP'!$A$3:$M$10005,MATCH(('Reg 85'!$I$6:$Q$6&amp;'Reg 85'!V$10&amp;'Reg 85'!$B225),('DMR 001C TIN &amp; TP'!$E$3:$E$10005&amp;'DMR 001C TIN &amp; TP'!$B$3:$B$10005&amp;'DMR 001C TIN &amp; TP'!$A$3:$A$10005),0),MATCH('Reg 85'!$O$11,'DMR 001C TIN &amp; TP'!$A$2:$M$2,0))),"")</f>
        <v/>
      </c>
      <c r="W225" s="6" t="str">
        <f t="array" ref="W225">_xlfn.IFNA((INDEX('DMR 001C TIN &amp; TP'!$A$3:$M$10005,MATCH(('Reg 85'!$I$6:$Q$6&amp;'Reg 85'!W$10&amp;'Reg 85'!$B225),('DMR 001C TIN &amp; TP'!$E$3:$E$10005&amp;'DMR 001C TIN &amp; TP'!$B$3:$B$10005&amp;'DMR 001C TIN &amp; TP'!$A$3:$A$10005),0),MATCH('Reg 85'!$O$11,'DMR 001C TIN &amp; TP'!$A$2:$M$2,0))),"")</f>
        <v/>
      </c>
      <c r="X225" s="5" t="str">
        <f t="shared" si="92"/>
        <v/>
      </c>
      <c r="Y225" s="6" t="str">
        <f t="array" ref="Y225">_xlfn.IFNA((INDEX('DMR 001C TIN &amp; TP'!$A$3:$M$10005,MATCH(('Reg 85'!$X$6&amp;'Reg 85'!$X$10&amp;'Reg 85'!$B225),('DMR 001C TIN &amp; TP'!$E$3:$E$10005&amp;'DMR 001C TIN &amp; TP'!$B$3:$B$10005&amp;'DMR 001C TIN &amp; TP'!$A$3:$A$10005),0),MATCH('Reg 85'!$Y$11,'DMR 001C TIN &amp; TP'!$A$2:$M$2,0))),"")</f>
        <v>0.06</v>
      </c>
      <c r="Z225" s="6">
        <f t="array" ref="Z225">_xlfn.IFNA((INDEX('DMR 001C TIN &amp; TP'!$A$3:$M$10005,MATCH(('Reg 85'!$X$6&amp;'Reg 85'!$X$10&amp;'Reg 85'!$B225),('DMR 001C TIN &amp; TP'!$E$3:$E$10005&amp;'DMR 001C TIN &amp; TP'!$B$3:$B$10005&amp;'DMR 001C TIN &amp; TP'!$A$3:$A$10005),0),MATCH('Reg 85'!$Z$11,'DMR 001C TIN &amp; TP'!$A$2:$M$2,0))),"")</f>
        <v>4.93</v>
      </c>
      <c r="AA225" s="53">
        <f t="shared" si="93"/>
        <v>4.93</v>
      </c>
      <c r="AB225" s="5" t="str">
        <f t="shared" si="94"/>
        <v/>
      </c>
      <c r="AC225" s="6" t="str">
        <f t="array" ref="AC225">_xlfn.IFNA((INDEX('DMR 001C TIN &amp; TP'!$A$3:$M$10005,MATCH(('Reg 85'!$X$6&amp;'Reg 85'!$AB$10&amp;'Reg 85'!$B225),('DMR 001C TIN &amp; TP'!$E$3:$E$10005&amp;'DMR 001C TIN &amp; TP'!$B$3:$B$10005&amp;'DMR 001C TIN &amp; TP'!$A$3:$A$10005),0),MATCH('Reg 85'!$AC$11,'DMR 001C TIN &amp; TP'!$A$2:$M$2,0))),"")</f>
        <v>0.06</v>
      </c>
      <c r="AD225" s="6">
        <f t="array" ref="AD225">_xlfn.IFNA((INDEX('DMR 001C TIN &amp; TP'!$A$3:$M$10005,MATCH(('Reg 85'!$X$6&amp;'Reg 85'!$AB$10&amp;'Reg 85'!$B225),('DMR 001C TIN &amp; TP'!$E$3:$E$10005&amp;'DMR 001C TIN &amp; TP'!$B$3:$B$10005&amp;'DMR 001C TIN &amp; TP'!$A$3:$A$10005),0),MATCH('Reg 85'!$AD$11,'DMR 001C TIN &amp; TP'!$A$2:$M$2,0))),"")</f>
        <v>2.8</v>
      </c>
      <c r="AE225" s="53">
        <f t="shared" si="95"/>
        <v>2.8</v>
      </c>
      <c r="AF225" s="7">
        <f t="shared" si="96"/>
        <v>3.9773442946679394</v>
      </c>
      <c r="AG225" s="6" t="str">
        <f t="array" ref="AG225">_xlfn.IFNA((INDEX('DMR 001C TIN &amp; TP'!$A$3:$M$10005,MATCH(('Reg 85'!$X$6&amp;'Reg 85'!AG$10&amp;'Reg 85'!$B225),('DMR 001C TIN &amp; TP'!$E$3:$E$10005&amp;'DMR 001C TIN &amp; TP'!$B$3:$B$10005&amp;'DMR 001C TIN &amp; TP'!$A$3:$A$10005),0),MATCH('Reg 85'!$AG$11,'DMR 001C TIN &amp; TP'!$A$2:$M$2,0))),"")</f>
        <v/>
      </c>
      <c r="AH225" s="6" t="str">
        <f t="array" ref="AH225">_xlfn.IFNA((INDEX('DMR 001C TIN &amp; TP'!$A$3:$M$10005,MATCH(('Reg 85'!$X$6&amp;'Reg 85'!AH$10&amp;'Reg 85'!$B225),('DMR 001C TIN &amp; TP'!$E$3:$E$10005&amp;'DMR 001C TIN &amp; TP'!$B$3:$B$10005&amp;'DMR 001C TIN &amp; TP'!$A$3:$A$10005),0),MATCH('Reg 85'!$AG$11,'DMR 001C TIN &amp; TP'!$A$2:$M$2,0))),"")</f>
        <v/>
      </c>
      <c r="AI225" s="6" t="str">
        <f t="array" ref="AI225">_xlfn.IFNA((INDEX('DMR 001C TIN &amp; TP'!$A$3:$M$10005,MATCH(('Reg 85'!$X$6&amp;'Reg 85'!AI$10&amp;'Reg 85'!$B225),('DMR 001C TIN &amp; TP'!$E$3:$E$10005&amp;'DMR 001C TIN &amp; TP'!$B$3:$B$10005&amp;'DMR 001C TIN &amp; TP'!$A$3:$A$10005),0),MATCH('Reg 85'!$AG$11,'DMR 001C TIN &amp; TP'!$A$2:$M$2,0))),"")</f>
        <v/>
      </c>
      <c r="AJ225" s="6" t="str">
        <f t="array" ref="AJ225">_xlfn.IFNA((INDEX('DMR 001C TIN &amp; TP'!$A$3:$M$10005,MATCH(('Reg 85'!$X$6&amp;'Reg 85'!AJ$10&amp;'Reg 85'!$B225),('DMR 001C TIN &amp; TP'!$E$3:$E$10005&amp;'DMR 001C TIN &amp; TP'!$B$3:$B$10005&amp;'DMR 001C TIN &amp; TP'!$A$3:$A$10005),0),MATCH('Reg 85'!$AG$11,'DMR 001C TIN &amp; TP'!$A$2:$M$2,0))),"")</f>
        <v/>
      </c>
      <c r="AK225" s="6" t="str">
        <f t="array" ref="AK225">_xlfn.IFNA((INDEX('DMR 001C TIN &amp; TP'!$A$3:$M$10005,MATCH(('Reg 85'!$X$6&amp;'Reg 85'!AK$10&amp;'Reg 85'!$B225),('DMR 001C TIN &amp; TP'!$E$3:$E$10005&amp;'DMR 001C TIN &amp; TP'!$B$3:$B$10005&amp;'DMR 001C TIN &amp; TP'!$A$3:$A$10005),0),MATCH('Reg 85'!$AG$11,'DMR 001C TIN &amp; TP'!$A$2:$M$2,0))),"")</f>
        <v/>
      </c>
      <c r="AL225" s="6" t="str">
        <f t="array" ref="AL225">_xlfn.IFNA((INDEX('DMR 001C TIN &amp; TP'!$A$3:$M$10005,MATCH(('Reg 85'!$X$6&amp;'Reg 85'!AL$10&amp;'Reg 85'!$B225),('DMR 001C TIN &amp; TP'!$E$3:$E$10005&amp;'DMR 001C TIN &amp; TP'!$B$3:$B$10005&amp;'DMR 001C TIN &amp; TP'!$A$3:$A$10005),0),MATCH('Reg 85'!$AG$11,'DMR 001C TIN &amp; TP'!$A$2:$M$2,0))),"")</f>
        <v/>
      </c>
      <c r="AM225" s="76"/>
      <c r="AN225" s="6"/>
      <c r="AO225" s="54">
        <f t="shared" si="83"/>
        <v>5.6188199983794398</v>
      </c>
      <c r="AP225" s="77" t="str">
        <f t="shared" si="81"/>
        <v/>
      </c>
      <c r="AQ225" s="47"/>
      <c r="AR225" s="6" t="str">
        <f t="array" ref="AR225">_xlfn.IFNA((INDEX('DMR 001C TIN &amp; TP'!$A$3:$M$10005,MATCH(('Reg 85'!$AQ$6&amp;'Reg 85'!$AQ$10&amp;'Reg 85'!$B225),('DMR 001C TIN &amp; TP'!$E$3:$E$10005&amp;'DMR 001C TIN &amp; TP'!$B$3:$B$10005&amp;'DMR 001C TIN &amp; TP'!$A$3:$A$10005),0),MATCH('Reg 85'!$AR$11,'DMR 001C TIN &amp; TP'!$A$2:$M$2,0))),"")</f>
        <v/>
      </c>
      <c r="AS225" s="6" t="str">
        <f t="array" ref="AS225">_xlfn.IFNA((INDEX('DMR 001C TIN &amp; TP'!$A$3:$M$10005,MATCH(('Reg 85'!$AQ$6&amp;'Reg 85'!$AQ$10&amp;'Reg 85'!$B225),('DMR 001C TIN &amp; TP'!$E$3:$E$10005&amp;'DMR 001C TIN &amp; TP'!$B$3:$B$10005&amp;'DMR 001C TIN &amp; TP'!$A$3:$A$10005),0),MATCH('Reg 85'!$AS$11,'DMR 001C TIN &amp; TP'!$A$2:$M$2,0))),"")</f>
        <v/>
      </c>
      <c r="AT225" s="53" t="str">
        <f t="shared" si="97"/>
        <v/>
      </c>
      <c r="AV225" s="6" t="str">
        <f t="array" ref="AV225">_xlfn.IFNA((INDEX('DMR 001C TIN &amp; TP'!$A$3:$M$10005,MATCH(('Reg 85'!$AQ$6&amp;'Reg 85'!$AU$10&amp;'Reg 85'!$B225),('DMR 001C TIN &amp; TP'!$E$3:$E$10005&amp;'DMR 001C TIN &amp; TP'!$B$3:$B$10005&amp;'DMR 001C TIN &amp; TP'!$A$3:$A$10005),0),MATCH('Reg 85'!$AV$11,'DMR 001C TIN &amp; TP'!$A$2:$M$2,0))),"")</f>
        <v/>
      </c>
      <c r="AW225" s="6" t="str">
        <f t="array" ref="AW225">_xlfn.IFNA((INDEX('DMR 001C TIN &amp; TP'!$A$3:$M$10005,MATCH(('Reg 85'!$AQ$6&amp;'Reg 85'!$AU$10&amp;'Reg 85'!$B225),('DMR 001C TIN &amp; TP'!$E$3:$E$10005&amp;'DMR 001C TIN &amp; TP'!$B$3:$B$10005&amp;'DMR 001C TIN &amp; TP'!$A$3:$A$10005),0),MATCH('Reg 85'!$AW$11,'DMR 001C TIN &amp; TP'!$A$2:$M$2,0))),"")</f>
        <v/>
      </c>
      <c r="AX225" s="53" t="str">
        <f t="shared" si="98"/>
        <v/>
      </c>
      <c r="AY225" s="55" t="str">
        <f t="shared" si="99"/>
        <v/>
      </c>
      <c r="AZ225" s="77" t="str">
        <f t="shared" si="82"/>
        <v/>
      </c>
      <c r="BA225" s="6" t="str">
        <f t="array" ref="BA225">_xlfn.IFNA((INDEX('DMR 001C TIN &amp; TP'!$A$3:$M$10005,MATCH(('Reg 85'!$AQ$6&amp;'Reg 85'!BA$10&amp;'Reg 85'!$B225),('DMR 001C TIN &amp; TP'!$E$3:$E$10005&amp;'DMR 001C TIN &amp; TP'!$B$3:$B$10005&amp;'DMR 001C TIN &amp; TP'!$A$3:$A$10005),0),MATCH('Reg 85'!$AG$11,'DMR 001C TIN &amp; TP'!$A$2:$M$2,0))),"")</f>
        <v/>
      </c>
      <c r="BB225" s="6" t="str">
        <f t="array" ref="BB225">_xlfn.IFNA((INDEX('DMR 001C TIN &amp; TP'!$A$3:$M$10005,MATCH(('Reg 85'!$AQ$6&amp;'Reg 85'!BB$10&amp;'Reg 85'!$B225),('DMR 001C TIN &amp; TP'!$E$3:$E$10005&amp;'DMR 001C TIN &amp; TP'!$B$3:$B$10005&amp;'DMR 001C TIN &amp; TP'!$A$3:$A$10005),0),MATCH('Reg 85'!$AG$11,'DMR 001C TIN &amp; TP'!$A$2:$M$2,0))),"")</f>
        <v/>
      </c>
      <c r="BC225" s="6" t="str">
        <f t="array" ref="BC225">_xlfn.IFNA((INDEX('DMR 001C TIN &amp; TP'!$A$3:$M$10005,MATCH(('Reg 85'!$AQ$6&amp;'Reg 85'!BC$10&amp;'Reg 85'!$B225),('DMR 001C TIN &amp; TP'!$E$3:$E$10005&amp;'DMR 001C TIN &amp; TP'!$B$3:$B$10005&amp;'DMR 001C TIN &amp; TP'!$A$3:$A$10005),0),MATCH('Reg 85'!$AG$11,'DMR 001C TIN &amp; TP'!$A$2:$M$2,0))),"")</f>
        <v/>
      </c>
      <c r="BD225" s="6" t="str">
        <f t="array" ref="BD225">_xlfn.IFNA((INDEX('DMR 001C TIN &amp; TP'!$A$3:$M$10005,MATCH(('Reg 85'!$AQ$6&amp;'Reg 85'!BD$10&amp;'Reg 85'!$B225),('DMR 001C TIN &amp; TP'!$E$3:$E$10005&amp;'DMR 001C TIN &amp; TP'!$B$3:$B$10005&amp;'DMR 001C TIN &amp; TP'!$A$3:$A$10005),0),MATCH('Reg 85'!$AG$11,'DMR 001C TIN &amp; TP'!$A$2:$M$2,0))),"")</f>
        <v/>
      </c>
      <c r="BE225" s="6" t="str">
        <f t="array" ref="BE225">_xlfn.IFNA((INDEX('DMR 001C TIN &amp; TP'!$A$3:$M$10005,MATCH(('Reg 85'!$AQ$6&amp;'Reg 85'!BE$10&amp;'Reg 85'!$B225),('DMR 001C TIN &amp; TP'!$E$3:$E$10005&amp;'DMR 001C TIN &amp; TP'!$B$3:$B$10005&amp;'DMR 001C TIN &amp; TP'!$A$3:$A$10005),0),MATCH('Reg 85'!$AG$11,'DMR 001C TIN &amp; TP'!$A$2:$M$2,0))),"")</f>
        <v/>
      </c>
      <c r="BF225" s="6" t="str">
        <f t="array" ref="BF225">_xlfn.IFNA((INDEX('DMR 001C TIN &amp; TP'!$A$3:$M$10005,MATCH(('Reg 85'!$AQ$6&amp;'Reg 85'!BF$10&amp;'Reg 85'!$B225),('DMR 001C TIN &amp; TP'!$E$3:$E$10005&amp;'DMR 001C TIN &amp; TP'!$B$3:$B$10005&amp;'DMR 001C TIN &amp; TP'!$A$3:$A$10005),0),MATCH('Reg 85'!$AG$11,'DMR 001C TIN &amp; TP'!$A$2:$M$2,0))),"")</f>
        <v/>
      </c>
    </row>
    <row r="226" spans="1:58">
      <c r="A226" s="3" t="str">
        <f t="shared" si="84"/>
        <v>Wed</v>
      </c>
      <c r="B226" s="96">
        <f t="shared" si="100"/>
        <v>43558</v>
      </c>
      <c r="C226" s="96">
        <f t="shared" si="85"/>
        <v>43585</v>
      </c>
      <c r="D226" s="96">
        <f t="shared" si="86"/>
        <v>43556</v>
      </c>
      <c r="E226" s="95">
        <f t="shared" si="87"/>
        <v>30</v>
      </c>
      <c r="F226" s="7">
        <f t="array" ref="F226">_xlfn.IFNA(INDEX('DMR Flows-Effluent'!$A$3:$F$9999,MATCH(($F$10&amp;$B226),('DMR Flows-Effluent'!$B$3:$B$9999&amp;'DMR Flows-Effluent'!$A$3:$A$9999),0),MATCH($F$8,'DMR Flows-Effluent'!$A$2:$F$2,0)),"")</f>
        <v>64.887100000000004</v>
      </c>
      <c r="G226" s="7">
        <f t="array" ref="G226">_xlfn.IFNA(INDEX('DMR Flows-Effluent'!$A$3:$F$9999,MATCH(($G$10&amp;$B226),('DMR Flows-Effluent'!$B$3:$B$9999&amp;'DMR Flows-Effluent'!$A$3:$A$9999),0),MATCH($F$8,'DMR Flows-Effluent'!$A$2:$F$2,0)),"")</f>
        <v>57.392200000000003</v>
      </c>
      <c r="H226" s="7">
        <f t="shared" si="88"/>
        <v>122.27930000000001</v>
      </c>
      <c r="I226" s="45" t="str">
        <f t="shared" si="89"/>
        <v/>
      </c>
      <c r="J226" s="6" t="str">
        <f t="array" ref="J226">_xlfn.IFNA((INDEX('DMR 001C TIN &amp; TP'!$A$3:$M$10005,MATCH(('Reg 85'!$I$6:$Q$6&amp;'Reg 85'!$I$10:$K$10&amp;'Reg 85'!$B226),('DMR 001C TIN &amp; TP'!$E$3:$E$10005&amp;'DMR 001C TIN &amp; TP'!$B$3:$B$10005&amp;'DMR 001C TIN &amp; TP'!$A$3:$A$10005),0),MATCH('Reg 85'!$J$11,'DMR 001C TIN &amp; TP'!$A$2:$M$2,0))),"")</f>
        <v/>
      </c>
      <c r="K226" s="6" t="str">
        <f t="array" ref="K226">_xlfn.IFNA((INDEX('DMR 001C TIN &amp; TP'!$A$3:$M$10005,MATCH(('Reg 85'!$I$6:$Q$6&amp;'Reg 85'!$I$10:$K$10&amp;'Reg 85'!$B226),('DMR 001C TIN &amp; TP'!$E$3:$E$10005&amp;'DMR 001C TIN &amp; TP'!$B$3:$B$10005&amp;'DMR 001C TIN &amp; TP'!$A$3:$A$10005),0),MATCH('Reg 85'!$K$11,'DMR 001C TIN &amp; TP'!$A$2:$M$2,0))),"")</f>
        <v/>
      </c>
      <c r="L226" s="53" t="str">
        <f t="shared" si="101"/>
        <v/>
      </c>
      <c r="M226" s="5" t="str">
        <f t="shared" si="90"/>
        <v/>
      </c>
      <c r="N226" s="6" t="str">
        <f t="array" ref="N226">_xlfn.IFNA((INDEX('DMR 001C TIN &amp; TP'!$A$3:$M$10005,MATCH(('Reg 85'!$I$6:$Q$6&amp;'Reg 85'!$M$10&amp;'Reg 85'!$B226),('DMR 001C TIN &amp; TP'!$E$3:$E$10005&amp;'DMR 001C TIN &amp; TP'!$B$3:$B$10005&amp;'DMR 001C TIN &amp; TP'!$A$3:$A$10005),0),MATCH('Reg 85'!$N$11,'DMR 001C TIN &amp; TP'!$A$2:$M$2,0))),"")</f>
        <v/>
      </c>
      <c r="O226" s="6" t="str">
        <f t="array" ref="O226">_xlfn.IFNA((INDEX('DMR 001C TIN &amp; TP'!$A$3:$M$10005,MATCH(('Reg 85'!$I$6:$Q$6&amp;'Reg 85'!$M$10&amp;'Reg 85'!$B226),('DMR 001C TIN &amp; TP'!$E$3:$E$10005&amp;'DMR 001C TIN &amp; TP'!$B$3:$B$10005&amp;'DMR 001C TIN &amp; TP'!$A$3:$A$10005),0),MATCH('Reg 85'!$O$11,'DMR 001C TIN &amp; TP'!$A$2:$M$2,0))),"")</f>
        <v/>
      </c>
      <c r="P226" s="53" t="str">
        <f t="shared" si="91"/>
        <v/>
      </c>
      <c r="Q226" s="73" t="str">
        <f t="array" ref="Q226">IFERROR(((L226*$F226)+(P226*$G226))/($H226),"")</f>
        <v/>
      </c>
      <c r="R226" s="6" t="str">
        <f t="array" ref="R226">_xlfn.IFNA((INDEX('DMR 001C TIN &amp; TP'!$A$3:$M$10005,MATCH(('Reg 85'!$I$6:$Q$6&amp;'Reg 85'!R$10&amp;'Reg 85'!$B226),('DMR 001C TIN &amp; TP'!$E$3:$E$10005&amp;'DMR 001C TIN &amp; TP'!$B$3:$B$10005&amp;'DMR 001C TIN &amp; TP'!$A$3:$A$10005),0),MATCH('Reg 85'!$O$11,'DMR 001C TIN &amp; TP'!$A$2:$M$2,0))),"")</f>
        <v/>
      </c>
      <c r="S226" s="6" t="str">
        <f t="array" ref="S226">_xlfn.IFNA((INDEX('DMR 001C TIN &amp; TP'!$A$3:$M$10005,MATCH(('Reg 85'!$I$6:$Q$6&amp;'Reg 85'!S$10&amp;'Reg 85'!$B226),('DMR 001C TIN &amp; TP'!$E$3:$E$10005&amp;'DMR 001C TIN &amp; TP'!$B$3:$B$10005&amp;'DMR 001C TIN &amp; TP'!$A$3:$A$10005),0),MATCH('Reg 85'!$O$11,'DMR 001C TIN &amp; TP'!$A$2:$M$2,0))),"")</f>
        <v/>
      </c>
      <c r="T226" s="6" t="str">
        <f t="array" ref="T226">_xlfn.IFNA((INDEX('DMR 001C TIN &amp; TP'!$A$3:$M$10005,MATCH(('Reg 85'!$I$6:$Q$6&amp;'Reg 85'!T$10&amp;'Reg 85'!$B226),('DMR 001C TIN &amp; TP'!$E$3:$E$10005&amp;'DMR 001C TIN &amp; TP'!$B$3:$B$10005&amp;'DMR 001C TIN &amp; TP'!$A$3:$A$10005),0),MATCH('Reg 85'!$O$11,'DMR 001C TIN &amp; TP'!$A$2:$M$2,0))),"")</f>
        <v/>
      </c>
      <c r="U226" s="6" t="str">
        <f t="array" ref="U226">_xlfn.IFNA((INDEX('DMR 001C TIN &amp; TP'!$A$3:$M$10005,MATCH(('Reg 85'!$I$6:$Q$6&amp;'Reg 85'!U$10&amp;'Reg 85'!$B226),('DMR 001C TIN &amp; TP'!$E$3:$E$10005&amp;'DMR 001C TIN &amp; TP'!$B$3:$B$10005&amp;'DMR 001C TIN &amp; TP'!$A$3:$A$10005),0),MATCH('Reg 85'!$O$11,'DMR 001C TIN &amp; TP'!$A$2:$M$2,0))),"")</f>
        <v/>
      </c>
      <c r="V226" s="6" t="str">
        <f t="array" ref="V226">_xlfn.IFNA((INDEX('DMR 001C TIN &amp; TP'!$A$3:$M$10005,MATCH(('Reg 85'!$I$6:$Q$6&amp;'Reg 85'!V$10&amp;'Reg 85'!$B226),('DMR 001C TIN &amp; TP'!$E$3:$E$10005&amp;'DMR 001C TIN &amp; TP'!$B$3:$B$10005&amp;'DMR 001C TIN &amp; TP'!$A$3:$A$10005),0),MATCH('Reg 85'!$O$11,'DMR 001C TIN &amp; TP'!$A$2:$M$2,0))),"")</f>
        <v/>
      </c>
      <c r="W226" s="6" t="str">
        <f t="array" ref="W226">_xlfn.IFNA((INDEX('DMR 001C TIN &amp; TP'!$A$3:$M$10005,MATCH(('Reg 85'!$I$6:$Q$6&amp;'Reg 85'!W$10&amp;'Reg 85'!$B226),('DMR 001C TIN &amp; TP'!$E$3:$E$10005&amp;'DMR 001C TIN &amp; TP'!$B$3:$B$10005&amp;'DMR 001C TIN &amp; TP'!$A$3:$A$10005),0),MATCH('Reg 85'!$O$11,'DMR 001C TIN &amp; TP'!$A$2:$M$2,0))),"")</f>
        <v/>
      </c>
      <c r="X226" s="5" t="str">
        <f t="shared" si="92"/>
        <v/>
      </c>
      <c r="Y226" s="6" t="str">
        <f t="array" ref="Y226">_xlfn.IFNA((INDEX('DMR 001C TIN &amp; TP'!$A$3:$M$10005,MATCH(('Reg 85'!$X$6&amp;'Reg 85'!$X$10&amp;'Reg 85'!$B226),('DMR 001C TIN &amp; TP'!$E$3:$E$10005&amp;'DMR 001C TIN &amp; TP'!$B$3:$B$10005&amp;'DMR 001C TIN &amp; TP'!$A$3:$A$10005),0),MATCH('Reg 85'!$Y$11,'DMR 001C TIN &amp; TP'!$A$2:$M$2,0))),"")</f>
        <v/>
      </c>
      <c r="Z226" s="6" t="str">
        <f t="array" ref="Z226">_xlfn.IFNA((INDEX('DMR 001C TIN &amp; TP'!$A$3:$M$10005,MATCH(('Reg 85'!$X$6&amp;'Reg 85'!$X$10&amp;'Reg 85'!$B226),('DMR 001C TIN &amp; TP'!$E$3:$E$10005&amp;'DMR 001C TIN &amp; TP'!$B$3:$B$10005&amp;'DMR 001C TIN &amp; TP'!$A$3:$A$10005),0),MATCH('Reg 85'!$Z$11,'DMR 001C TIN &amp; TP'!$A$2:$M$2,0))),"")</f>
        <v/>
      </c>
      <c r="AA226" s="53" t="str">
        <f t="shared" si="93"/>
        <v/>
      </c>
      <c r="AB226" s="5" t="str">
        <f t="shared" si="94"/>
        <v/>
      </c>
      <c r="AC226" s="6" t="str">
        <f t="array" ref="AC226">_xlfn.IFNA((INDEX('DMR 001C TIN &amp; TP'!$A$3:$M$10005,MATCH(('Reg 85'!$X$6&amp;'Reg 85'!$AB$10&amp;'Reg 85'!$B226),('DMR 001C TIN &amp; TP'!$E$3:$E$10005&amp;'DMR 001C TIN &amp; TP'!$B$3:$B$10005&amp;'DMR 001C TIN &amp; TP'!$A$3:$A$10005),0),MATCH('Reg 85'!$AC$11,'DMR 001C TIN &amp; TP'!$A$2:$M$2,0))),"")</f>
        <v/>
      </c>
      <c r="AD226" s="6" t="str">
        <f t="array" ref="AD226">_xlfn.IFNA((INDEX('DMR 001C TIN &amp; TP'!$A$3:$M$10005,MATCH(('Reg 85'!$X$6&amp;'Reg 85'!$AB$10&amp;'Reg 85'!$B226),('DMR 001C TIN &amp; TP'!$E$3:$E$10005&amp;'DMR 001C TIN &amp; TP'!$B$3:$B$10005&amp;'DMR 001C TIN &amp; TP'!$A$3:$A$10005),0),MATCH('Reg 85'!$AD$11,'DMR 001C TIN &amp; TP'!$A$2:$M$2,0))),"")</f>
        <v/>
      </c>
      <c r="AE226" s="53" t="str">
        <f t="shared" si="95"/>
        <v/>
      </c>
      <c r="AF226" s="7" t="str">
        <f t="shared" si="96"/>
        <v/>
      </c>
      <c r="AG226" s="6" t="str">
        <f t="array" ref="AG226">_xlfn.IFNA((INDEX('DMR 001C TIN &amp; TP'!$A$3:$M$10005,MATCH(('Reg 85'!$X$6&amp;'Reg 85'!AG$10&amp;'Reg 85'!$B226),('DMR 001C TIN &amp; TP'!$E$3:$E$10005&amp;'DMR 001C TIN &amp; TP'!$B$3:$B$10005&amp;'DMR 001C TIN &amp; TP'!$A$3:$A$10005),0),MATCH('Reg 85'!$AG$11,'DMR 001C TIN &amp; TP'!$A$2:$M$2,0))),"")</f>
        <v/>
      </c>
      <c r="AH226" s="6" t="str">
        <f t="array" ref="AH226">_xlfn.IFNA((INDEX('DMR 001C TIN &amp; TP'!$A$3:$M$10005,MATCH(('Reg 85'!$X$6&amp;'Reg 85'!AH$10&amp;'Reg 85'!$B226),('DMR 001C TIN &amp; TP'!$E$3:$E$10005&amp;'DMR 001C TIN &amp; TP'!$B$3:$B$10005&amp;'DMR 001C TIN &amp; TP'!$A$3:$A$10005),0),MATCH('Reg 85'!$AG$11,'DMR 001C TIN &amp; TP'!$A$2:$M$2,0))),"")</f>
        <v/>
      </c>
      <c r="AI226" s="6" t="str">
        <f t="array" ref="AI226">_xlfn.IFNA((INDEX('DMR 001C TIN &amp; TP'!$A$3:$M$10005,MATCH(('Reg 85'!$X$6&amp;'Reg 85'!AI$10&amp;'Reg 85'!$B226),('DMR 001C TIN &amp; TP'!$E$3:$E$10005&amp;'DMR 001C TIN &amp; TP'!$B$3:$B$10005&amp;'DMR 001C TIN &amp; TP'!$A$3:$A$10005),0),MATCH('Reg 85'!$AG$11,'DMR 001C TIN &amp; TP'!$A$2:$M$2,0))),"")</f>
        <v/>
      </c>
      <c r="AJ226" s="6" t="str">
        <f t="array" ref="AJ226">_xlfn.IFNA((INDEX('DMR 001C TIN &amp; TP'!$A$3:$M$10005,MATCH(('Reg 85'!$X$6&amp;'Reg 85'!AJ$10&amp;'Reg 85'!$B226),('DMR 001C TIN &amp; TP'!$E$3:$E$10005&amp;'DMR 001C TIN &amp; TP'!$B$3:$B$10005&amp;'DMR 001C TIN &amp; TP'!$A$3:$A$10005),0),MATCH('Reg 85'!$AG$11,'DMR 001C TIN &amp; TP'!$A$2:$M$2,0))),"")</f>
        <v/>
      </c>
      <c r="AK226" s="6" t="str">
        <f t="array" ref="AK226">_xlfn.IFNA((INDEX('DMR 001C TIN &amp; TP'!$A$3:$M$10005,MATCH(('Reg 85'!$X$6&amp;'Reg 85'!AK$10&amp;'Reg 85'!$B226),('DMR 001C TIN &amp; TP'!$E$3:$E$10005&amp;'DMR 001C TIN &amp; TP'!$B$3:$B$10005&amp;'DMR 001C TIN &amp; TP'!$A$3:$A$10005),0),MATCH('Reg 85'!$AG$11,'DMR 001C TIN &amp; TP'!$A$2:$M$2,0))),"")</f>
        <v/>
      </c>
      <c r="AL226" s="6" t="str">
        <f t="array" ref="AL226">_xlfn.IFNA((INDEX('DMR 001C TIN &amp; TP'!$A$3:$M$10005,MATCH(('Reg 85'!$X$6&amp;'Reg 85'!AL$10&amp;'Reg 85'!$B226),('DMR 001C TIN &amp; TP'!$E$3:$E$10005&amp;'DMR 001C TIN &amp; TP'!$B$3:$B$10005&amp;'DMR 001C TIN &amp; TP'!$A$3:$A$10005),0),MATCH('Reg 85'!$AG$11,'DMR 001C TIN &amp; TP'!$A$2:$M$2,0))),"")</f>
        <v/>
      </c>
      <c r="AM226" s="76"/>
      <c r="AN226" s="6"/>
      <c r="AO226" s="54" t="str">
        <f t="shared" si="83"/>
        <v/>
      </c>
      <c r="AP226" s="77" t="str">
        <f t="shared" si="81"/>
        <v/>
      </c>
      <c r="AQ226" s="47"/>
      <c r="AR226" s="6" t="str">
        <f t="array" ref="AR226">_xlfn.IFNA((INDEX('DMR 001C TIN &amp; TP'!$A$3:$M$10005,MATCH(('Reg 85'!$AQ$6&amp;'Reg 85'!$AQ$10&amp;'Reg 85'!$B226),('DMR 001C TIN &amp; TP'!$E$3:$E$10005&amp;'DMR 001C TIN &amp; TP'!$B$3:$B$10005&amp;'DMR 001C TIN &amp; TP'!$A$3:$A$10005),0),MATCH('Reg 85'!$AR$11,'DMR 001C TIN &amp; TP'!$A$2:$M$2,0))),"")</f>
        <v>0.03</v>
      </c>
      <c r="AS226" s="6">
        <f t="array" ref="AS226">_xlfn.IFNA((INDEX('DMR 001C TIN &amp; TP'!$A$3:$M$10005,MATCH(('Reg 85'!$AQ$6&amp;'Reg 85'!$AQ$10&amp;'Reg 85'!$B226),('DMR 001C TIN &amp; TP'!$E$3:$E$10005&amp;'DMR 001C TIN &amp; TP'!$B$3:$B$10005&amp;'DMR 001C TIN &amp; TP'!$A$3:$A$10005),0),MATCH('Reg 85'!$AS$11,'DMR 001C TIN &amp; TP'!$A$2:$M$2,0))),"")</f>
        <v>0.4</v>
      </c>
      <c r="AT226" s="53">
        <f t="shared" si="97"/>
        <v>0.4</v>
      </c>
      <c r="AV226" s="6" t="str">
        <f t="array" ref="AV226">_xlfn.IFNA((INDEX('DMR 001C TIN &amp; TP'!$A$3:$M$10005,MATCH(('Reg 85'!$AQ$6&amp;'Reg 85'!$AU$10&amp;'Reg 85'!$B226),('DMR 001C TIN &amp; TP'!$E$3:$E$10005&amp;'DMR 001C TIN &amp; TP'!$B$3:$B$10005&amp;'DMR 001C TIN &amp; TP'!$A$3:$A$10005),0),MATCH('Reg 85'!$AV$11,'DMR 001C TIN &amp; TP'!$A$2:$M$2,0))),"")</f>
        <v>0.03</v>
      </c>
      <c r="AW226" s="6">
        <f t="array" ref="AW226">_xlfn.IFNA((INDEX('DMR 001C TIN &amp; TP'!$A$3:$M$10005,MATCH(('Reg 85'!$AQ$6&amp;'Reg 85'!$AU$10&amp;'Reg 85'!$B226),('DMR 001C TIN &amp; TP'!$E$3:$E$10005&amp;'DMR 001C TIN &amp; TP'!$B$3:$B$10005&amp;'DMR 001C TIN &amp; TP'!$A$3:$A$10005),0),MATCH('Reg 85'!$AW$11,'DMR 001C TIN &amp; TP'!$A$2:$M$2,0))),"")</f>
        <v>0.77</v>
      </c>
      <c r="AX226" s="53">
        <f t="shared" si="98"/>
        <v>0.77</v>
      </c>
      <c r="AY226" s="55">
        <f t="shared" si="99"/>
        <v>0.57366074225155039</v>
      </c>
      <c r="AZ226" s="77" t="str">
        <f t="shared" si="82"/>
        <v/>
      </c>
      <c r="BA226" s="6" t="str">
        <f t="array" ref="BA226">_xlfn.IFNA((INDEX('DMR 001C TIN &amp; TP'!$A$3:$M$10005,MATCH(('Reg 85'!$AQ$6&amp;'Reg 85'!BA$10&amp;'Reg 85'!$B226),('DMR 001C TIN &amp; TP'!$E$3:$E$10005&amp;'DMR 001C TIN &amp; TP'!$B$3:$B$10005&amp;'DMR 001C TIN &amp; TP'!$A$3:$A$10005),0),MATCH('Reg 85'!$AG$11,'DMR 001C TIN &amp; TP'!$A$2:$M$2,0))),"")</f>
        <v/>
      </c>
      <c r="BB226" s="6" t="str">
        <f t="array" ref="BB226">_xlfn.IFNA((INDEX('DMR 001C TIN &amp; TP'!$A$3:$M$10005,MATCH(('Reg 85'!$AQ$6&amp;'Reg 85'!BB$10&amp;'Reg 85'!$B226),('DMR 001C TIN &amp; TP'!$E$3:$E$10005&amp;'DMR 001C TIN &amp; TP'!$B$3:$B$10005&amp;'DMR 001C TIN &amp; TP'!$A$3:$A$10005),0),MATCH('Reg 85'!$AG$11,'DMR 001C TIN &amp; TP'!$A$2:$M$2,0))),"")</f>
        <v/>
      </c>
      <c r="BC226" s="6" t="str">
        <f t="array" ref="BC226">_xlfn.IFNA((INDEX('DMR 001C TIN &amp; TP'!$A$3:$M$10005,MATCH(('Reg 85'!$AQ$6&amp;'Reg 85'!BC$10&amp;'Reg 85'!$B226),('DMR 001C TIN &amp; TP'!$E$3:$E$10005&amp;'DMR 001C TIN &amp; TP'!$B$3:$B$10005&amp;'DMR 001C TIN &amp; TP'!$A$3:$A$10005),0),MATCH('Reg 85'!$AG$11,'DMR 001C TIN &amp; TP'!$A$2:$M$2,0))),"")</f>
        <v/>
      </c>
      <c r="BD226" s="6" t="str">
        <f t="array" ref="BD226">_xlfn.IFNA((INDEX('DMR 001C TIN &amp; TP'!$A$3:$M$10005,MATCH(('Reg 85'!$AQ$6&amp;'Reg 85'!BD$10&amp;'Reg 85'!$B226),('DMR 001C TIN &amp; TP'!$E$3:$E$10005&amp;'DMR 001C TIN &amp; TP'!$B$3:$B$10005&amp;'DMR 001C TIN &amp; TP'!$A$3:$A$10005),0),MATCH('Reg 85'!$AG$11,'DMR 001C TIN &amp; TP'!$A$2:$M$2,0))),"")</f>
        <v/>
      </c>
      <c r="BE226" s="6" t="str">
        <f t="array" ref="BE226">_xlfn.IFNA((INDEX('DMR 001C TIN &amp; TP'!$A$3:$M$10005,MATCH(('Reg 85'!$AQ$6&amp;'Reg 85'!BE$10&amp;'Reg 85'!$B226),('DMR 001C TIN &amp; TP'!$E$3:$E$10005&amp;'DMR 001C TIN &amp; TP'!$B$3:$B$10005&amp;'DMR 001C TIN &amp; TP'!$A$3:$A$10005),0),MATCH('Reg 85'!$AG$11,'DMR 001C TIN &amp; TP'!$A$2:$M$2,0))),"")</f>
        <v/>
      </c>
      <c r="BF226" s="6" t="str">
        <f t="array" ref="BF226">_xlfn.IFNA((INDEX('DMR 001C TIN &amp; TP'!$A$3:$M$10005,MATCH(('Reg 85'!$AQ$6&amp;'Reg 85'!BF$10&amp;'Reg 85'!$B226),('DMR 001C TIN &amp; TP'!$E$3:$E$10005&amp;'DMR 001C TIN &amp; TP'!$B$3:$B$10005&amp;'DMR 001C TIN &amp; TP'!$A$3:$A$10005),0),MATCH('Reg 85'!$AG$11,'DMR 001C TIN &amp; TP'!$A$2:$M$2,0))),"")</f>
        <v/>
      </c>
    </row>
    <row r="227" spans="1:58">
      <c r="A227" s="3" t="str">
        <f t="shared" si="84"/>
        <v>Thu</v>
      </c>
      <c r="B227" s="96">
        <f t="shared" si="100"/>
        <v>43559</v>
      </c>
      <c r="C227" s="96">
        <f t="shared" si="85"/>
        <v>43585</v>
      </c>
      <c r="D227" s="96">
        <f t="shared" si="86"/>
        <v>43556</v>
      </c>
      <c r="E227" s="95">
        <f t="shared" si="87"/>
        <v>30</v>
      </c>
      <c r="F227" s="7">
        <f t="array" ref="F227">_xlfn.IFNA(INDEX('DMR Flows-Effluent'!$A$3:$F$9999,MATCH(($F$10&amp;$B227),('DMR Flows-Effluent'!$B$3:$B$9999&amp;'DMR Flows-Effluent'!$A$3:$A$9999),0),MATCH($F$8,'DMR Flows-Effluent'!$A$2:$F$2,0)),"")</f>
        <v>63.3934</v>
      </c>
      <c r="G227" s="7">
        <f t="array" ref="G227">_xlfn.IFNA(INDEX('DMR Flows-Effluent'!$A$3:$F$9999,MATCH(($G$10&amp;$B227),('DMR Flows-Effluent'!$B$3:$B$9999&amp;'DMR Flows-Effluent'!$A$3:$A$9999),0),MATCH($F$8,'DMR Flows-Effluent'!$A$2:$F$2,0)),"")</f>
        <v>59.392899999999997</v>
      </c>
      <c r="H227" s="7">
        <f t="shared" si="88"/>
        <v>122.7863</v>
      </c>
      <c r="I227" s="45" t="str">
        <f t="shared" si="89"/>
        <v/>
      </c>
      <c r="J227" s="6" t="str">
        <f t="array" ref="J227">_xlfn.IFNA((INDEX('DMR 001C TIN &amp; TP'!$A$3:$M$10005,MATCH(('Reg 85'!$I$6:$Q$6&amp;'Reg 85'!$I$10:$K$10&amp;'Reg 85'!$B227),('DMR 001C TIN &amp; TP'!$E$3:$E$10005&amp;'DMR 001C TIN &amp; TP'!$B$3:$B$10005&amp;'DMR 001C TIN &amp; TP'!$A$3:$A$10005),0),MATCH('Reg 85'!$J$11,'DMR 001C TIN &amp; TP'!$A$2:$M$2,0))),"")</f>
        <v/>
      </c>
      <c r="K227" s="6" t="str">
        <f t="array" ref="K227">_xlfn.IFNA((INDEX('DMR 001C TIN &amp; TP'!$A$3:$M$10005,MATCH(('Reg 85'!$I$6:$Q$6&amp;'Reg 85'!$I$10:$K$10&amp;'Reg 85'!$B227),('DMR 001C TIN &amp; TP'!$E$3:$E$10005&amp;'DMR 001C TIN &amp; TP'!$B$3:$B$10005&amp;'DMR 001C TIN &amp; TP'!$A$3:$A$10005),0),MATCH('Reg 85'!$K$11,'DMR 001C TIN &amp; TP'!$A$2:$M$2,0))),"")</f>
        <v/>
      </c>
      <c r="L227" s="53" t="str">
        <f t="shared" si="101"/>
        <v/>
      </c>
      <c r="M227" s="5" t="str">
        <f t="shared" si="90"/>
        <v/>
      </c>
      <c r="N227" s="6" t="str">
        <f t="array" ref="N227">_xlfn.IFNA((INDEX('DMR 001C TIN &amp; TP'!$A$3:$M$10005,MATCH(('Reg 85'!$I$6:$Q$6&amp;'Reg 85'!$M$10&amp;'Reg 85'!$B227),('DMR 001C TIN &amp; TP'!$E$3:$E$10005&amp;'DMR 001C TIN &amp; TP'!$B$3:$B$10005&amp;'DMR 001C TIN &amp; TP'!$A$3:$A$10005),0),MATCH('Reg 85'!$N$11,'DMR 001C TIN &amp; TP'!$A$2:$M$2,0))),"")</f>
        <v/>
      </c>
      <c r="O227" s="6" t="str">
        <f t="array" ref="O227">_xlfn.IFNA((INDEX('DMR 001C TIN &amp; TP'!$A$3:$M$10005,MATCH(('Reg 85'!$I$6:$Q$6&amp;'Reg 85'!$M$10&amp;'Reg 85'!$B227),('DMR 001C TIN &amp; TP'!$E$3:$E$10005&amp;'DMR 001C TIN &amp; TP'!$B$3:$B$10005&amp;'DMR 001C TIN &amp; TP'!$A$3:$A$10005),0),MATCH('Reg 85'!$O$11,'DMR 001C TIN &amp; TP'!$A$2:$M$2,0))),"")</f>
        <v/>
      </c>
      <c r="P227" s="53" t="str">
        <f t="shared" si="91"/>
        <v/>
      </c>
      <c r="Q227" s="73" t="str">
        <f t="array" ref="Q227">IFERROR(((L227*$F227)+(P227*$G227))/($H227),"")</f>
        <v/>
      </c>
      <c r="R227" s="6" t="str">
        <f t="array" ref="R227">_xlfn.IFNA((INDEX('DMR 001C TIN &amp; TP'!$A$3:$M$10005,MATCH(('Reg 85'!$I$6:$Q$6&amp;'Reg 85'!R$10&amp;'Reg 85'!$B227),('DMR 001C TIN &amp; TP'!$E$3:$E$10005&amp;'DMR 001C TIN &amp; TP'!$B$3:$B$10005&amp;'DMR 001C TIN &amp; TP'!$A$3:$A$10005),0),MATCH('Reg 85'!$O$11,'DMR 001C TIN &amp; TP'!$A$2:$M$2,0))),"")</f>
        <v/>
      </c>
      <c r="S227" s="6" t="str">
        <f t="array" ref="S227">_xlfn.IFNA((INDEX('DMR 001C TIN &amp; TP'!$A$3:$M$10005,MATCH(('Reg 85'!$I$6:$Q$6&amp;'Reg 85'!S$10&amp;'Reg 85'!$B227),('DMR 001C TIN &amp; TP'!$E$3:$E$10005&amp;'DMR 001C TIN &amp; TP'!$B$3:$B$10005&amp;'DMR 001C TIN &amp; TP'!$A$3:$A$10005),0),MATCH('Reg 85'!$O$11,'DMR 001C TIN &amp; TP'!$A$2:$M$2,0))),"")</f>
        <v/>
      </c>
      <c r="T227" s="6" t="str">
        <f t="array" ref="T227">_xlfn.IFNA((INDEX('DMR 001C TIN &amp; TP'!$A$3:$M$10005,MATCH(('Reg 85'!$I$6:$Q$6&amp;'Reg 85'!T$10&amp;'Reg 85'!$B227),('DMR 001C TIN &amp; TP'!$E$3:$E$10005&amp;'DMR 001C TIN &amp; TP'!$B$3:$B$10005&amp;'DMR 001C TIN &amp; TP'!$A$3:$A$10005),0),MATCH('Reg 85'!$O$11,'DMR 001C TIN &amp; TP'!$A$2:$M$2,0))),"")</f>
        <v/>
      </c>
      <c r="U227" s="6" t="str">
        <f t="array" ref="U227">_xlfn.IFNA((INDEX('DMR 001C TIN &amp; TP'!$A$3:$M$10005,MATCH(('Reg 85'!$I$6:$Q$6&amp;'Reg 85'!U$10&amp;'Reg 85'!$B227),('DMR 001C TIN &amp; TP'!$E$3:$E$10005&amp;'DMR 001C TIN &amp; TP'!$B$3:$B$10005&amp;'DMR 001C TIN &amp; TP'!$A$3:$A$10005),0),MATCH('Reg 85'!$O$11,'DMR 001C TIN &amp; TP'!$A$2:$M$2,0))),"")</f>
        <v/>
      </c>
      <c r="V227" s="6" t="str">
        <f t="array" ref="V227">_xlfn.IFNA((INDEX('DMR 001C TIN &amp; TP'!$A$3:$M$10005,MATCH(('Reg 85'!$I$6:$Q$6&amp;'Reg 85'!V$10&amp;'Reg 85'!$B227),('DMR 001C TIN &amp; TP'!$E$3:$E$10005&amp;'DMR 001C TIN &amp; TP'!$B$3:$B$10005&amp;'DMR 001C TIN &amp; TP'!$A$3:$A$10005),0),MATCH('Reg 85'!$O$11,'DMR 001C TIN &amp; TP'!$A$2:$M$2,0))),"")</f>
        <v/>
      </c>
      <c r="W227" s="6" t="str">
        <f t="array" ref="W227">_xlfn.IFNA((INDEX('DMR 001C TIN &amp; TP'!$A$3:$M$10005,MATCH(('Reg 85'!$I$6:$Q$6&amp;'Reg 85'!W$10&amp;'Reg 85'!$B227),('DMR 001C TIN &amp; TP'!$E$3:$E$10005&amp;'DMR 001C TIN &amp; TP'!$B$3:$B$10005&amp;'DMR 001C TIN &amp; TP'!$A$3:$A$10005),0),MATCH('Reg 85'!$O$11,'DMR 001C TIN &amp; TP'!$A$2:$M$2,0))),"")</f>
        <v/>
      </c>
      <c r="X227" s="5" t="str">
        <f t="shared" si="92"/>
        <v/>
      </c>
      <c r="Y227" s="6" t="str">
        <f t="array" ref="Y227">_xlfn.IFNA((INDEX('DMR 001C TIN &amp; TP'!$A$3:$M$10005,MATCH(('Reg 85'!$X$6&amp;'Reg 85'!$X$10&amp;'Reg 85'!$B227),('DMR 001C TIN &amp; TP'!$E$3:$E$10005&amp;'DMR 001C TIN &amp; TP'!$B$3:$B$10005&amp;'DMR 001C TIN &amp; TP'!$A$3:$A$10005),0),MATCH('Reg 85'!$Y$11,'DMR 001C TIN &amp; TP'!$A$2:$M$2,0))),"")</f>
        <v/>
      </c>
      <c r="Z227" s="6" t="str">
        <f t="array" ref="Z227">_xlfn.IFNA((INDEX('DMR 001C TIN &amp; TP'!$A$3:$M$10005,MATCH(('Reg 85'!$X$6&amp;'Reg 85'!$X$10&amp;'Reg 85'!$B227),('DMR 001C TIN &amp; TP'!$E$3:$E$10005&amp;'DMR 001C TIN &amp; TP'!$B$3:$B$10005&amp;'DMR 001C TIN &amp; TP'!$A$3:$A$10005),0),MATCH('Reg 85'!$Z$11,'DMR 001C TIN &amp; TP'!$A$2:$M$2,0))),"")</f>
        <v/>
      </c>
      <c r="AA227" s="53" t="str">
        <f t="shared" si="93"/>
        <v/>
      </c>
      <c r="AB227" s="5" t="str">
        <f t="shared" si="94"/>
        <v/>
      </c>
      <c r="AC227" s="6" t="str">
        <f t="array" ref="AC227">_xlfn.IFNA((INDEX('DMR 001C TIN &amp; TP'!$A$3:$M$10005,MATCH(('Reg 85'!$X$6&amp;'Reg 85'!$AB$10&amp;'Reg 85'!$B227),('DMR 001C TIN &amp; TP'!$E$3:$E$10005&amp;'DMR 001C TIN &amp; TP'!$B$3:$B$10005&amp;'DMR 001C TIN &amp; TP'!$A$3:$A$10005),0),MATCH('Reg 85'!$AC$11,'DMR 001C TIN &amp; TP'!$A$2:$M$2,0))),"")</f>
        <v/>
      </c>
      <c r="AD227" s="6" t="str">
        <f t="array" ref="AD227">_xlfn.IFNA((INDEX('DMR 001C TIN &amp; TP'!$A$3:$M$10005,MATCH(('Reg 85'!$X$6&amp;'Reg 85'!$AB$10&amp;'Reg 85'!$B227),('DMR 001C TIN &amp; TP'!$E$3:$E$10005&amp;'DMR 001C TIN &amp; TP'!$B$3:$B$10005&amp;'DMR 001C TIN &amp; TP'!$A$3:$A$10005),0),MATCH('Reg 85'!$AD$11,'DMR 001C TIN &amp; TP'!$A$2:$M$2,0))),"")</f>
        <v/>
      </c>
      <c r="AE227" s="53" t="str">
        <f t="shared" si="95"/>
        <v/>
      </c>
      <c r="AF227" s="7" t="str">
        <f t="shared" si="96"/>
        <v/>
      </c>
      <c r="AG227" s="6" t="str">
        <f t="array" ref="AG227">_xlfn.IFNA((INDEX('DMR 001C TIN &amp; TP'!$A$3:$M$10005,MATCH(('Reg 85'!$X$6&amp;'Reg 85'!AG$10&amp;'Reg 85'!$B227),('DMR 001C TIN &amp; TP'!$E$3:$E$10005&amp;'DMR 001C TIN &amp; TP'!$B$3:$B$10005&amp;'DMR 001C TIN &amp; TP'!$A$3:$A$10005),0),MATCH('Reg 85'!$AG$11,'DMR 001C TIN &amp; TP'!$A$2:$M$2,0))),"")</f>
        <v/>
      </c>
      <c r="AH227" s="6" t="str">
        <f t="array" ref="AH227">_xlfn.IFNA((INDEX('DMR 001C TIN &amp; TP'!$A$3:$M$10005,MATCH(('Reg 85'!$X$6&amp;'Reg 85'!AH$10&amp;'Reg 85'!$B227),('DMR 001C TIN &amp; TP'!$E$3:$E$10005&amp;'DMR 001C TIN &amp; TP'!$B$3:$B$10005&amp;'DMR 001C TIN &amp; TP'!$A$3:$A$10005),0),MATCH('Reg 85'!$AG$11,'DMR 001C TIN &amp; TP'!$A$2:$M$2,0))),"")</f>
        <v/>
      </c>
      <c r="AI227" s="6" t="str">
        <f t="array" ref="AI227">_xlfn.IFNA((INDEX('DMR 001C TIN &amp; TP'!$A$3:$M$10005,MATCH(('Reg 85'!$X$6&amp;'Reg 85'!AI$10&amp;'Reg 85'!$B227),('DMR 001C TIN &amp; TP'!$E$3:$E$10005&amp;'DMR 001C TIN &amp; TP'!$B$3:$B$10005&amp;'DMR 001C TIN &amp; TP'!$A$3:$A$10005),0),MATCH('Reg 85'!$AG$11,'DMR 001C TIN &amp; TP'!$A$2:$M$2,0))),"")</f>
        <v/>
      </c>
      <c r="AJ227" s="6" t="str">
        <f t="array" ref="AJ227">_xlfn.IFNA((INDEX('DMR 001C TIN &amp; TP'!$A$3:$M$10005,MATCH(('Reg 85'!$X$6&amp;'Reg 85'!AJ$10&amp;'Reg 85'!$B227),('DMR 001C TIN &amp; TP'!$E$3:$E$10005&amp;'DMR 001C TIN &amp; TP'!$B$3:$B$10005&amp;'DMR 001C TIN &amp; TP'!$A$3:$A$10005),0),MATCH('Reg 85'!$AG$11,'DMR 001C TIN &amp; TP'!$A$2:$M$2,0))),"")</f>
        <v/>
      </c>
      <c r="AK227" s="6" t="str">
        <f t="array" ref="AK227">_xlfn.IFNA((INDEX('DMR 001C TIN &amp; TP'!$A$3:$M$10005,MATCH(('Reg 85'!$X$6&amp;'Reg 85'!AK$10&amp;'Reg 85'!$B227),('DMR 001C TIN &amp; TP'!$E$3:$E$10005&amp;'DMR 001C TIN &amp; TP'!$B$3:$B$10005&amp;'DMR 001C TIN &amp; TP'!$A$3:$A$10005),0),MATCH('Reg 85'!$AG$11,'DMR 001C TIN &amp; TP'!$A$2:$M$2,0))),"")</f>
        <v/>
      </c>
      <c r="AL227" s="6" t="str">
        <f t="array" ref="AL227">_xlfn.IFNA((INDEX('DMR 001C TIN &amp; TP'!$A$3:$M$10005,MATCH(('Reg 85'!$X$6&amp;'Reg 85'!AL$10&amp;'Reg 85'!$B227),('DMR 001C TIN &amp; TP'!$E$3:$E$10005&amp;'DMR 001C TIN &amp; TP'!$B$3:$B$10005&amp;'DMR 001C TIN &amp; TP'!$A$3:$A$10005),0),MATCH('Reg 85'!$AG$11,'DMR 001C TIN &amp; TP'!$A$2:$M$2,0))),"")</f>
        <v/>
      </c>
      <c r="AM227" s="76"/>
      <c r="AN227" s="6"/>
      <c r="AO227" s="54" t="str">
        <f t="shared" si="83"/>
        <v/>
      </c>
      <c r="AP227" s="77" t="str">
        <f t="shared" si="81"/>
        <v/>
      </c>
      <c r="AQ227" s="47"/>
      <c r="AR227" s="6" t="str">
        <f t="array" ref="AR227">_xlfn.IFNA((INDEX('DMR 001C TIN &amp; TP'!$A$3:$M$10005,MATCH(('Reg 85'!$AQ$6&amp;'Reg 85'!$AQ$10&amp;'Reg 85'!$B227),('DMR 001C TIN &amp; TP'!$E$3:$E$10005&amp;'DMR 001C TIN &amp; TP'!$B$3:$B$10005&amp;'DMR 001C TIN &amp; TP'!$A$3:$A$10005),0),MATCH('Reg 85'!$AR$11,'DMR 001C TIN &amp; TP'!$A$2:$M$2,0))),"")</f>
        <v>0.03</v>
      </c>
      <c r="AS227" s="6">
        <f t="array" ref="AS227">_xlfn.IFNA((INDEX('DMR 001C TIN &amp; TP'!$A$3:$M$10005,MATCH(('Reg 85'!$AQ$6&amp;'Reg 85'!$AQ$10&amp;'Reg 85'!$B227),('DMR 001C TIN &amp; TP'!$E$3:$E$10005&amp;'DMR 001C TIN &amp; TP'!$B$3:$B$10005&amp;'DMR 001C TIN &amp; TP'!$A$3:$A$10005),0),MATCH('Reg 85'!$AS$11,'DMR 001C TIN &amp; TP'!$A$2:$M$2,0))),"")</f>
        <v>0.25</v>
      </c>
      <c r="AT227" s="53">
        <f t="shared" si="97"/>
        <v>0.25</v>
      </c>
      <c r="AV227" s="6" t="str">
        <f t="array" ref="AV227">_xlfn.IFNA((INDEX('DMR 001C TIN &amp; TP'!$A$3:$M$10005,MATCH(('Reg 85'!$AQ$6&amp;'Reg 85'!$AU$10&amp;'Reg 85'!$B227),('DMR 001C TIN &amp; TP'!$E$3:$E$10005&amp;'DMR 001C TIN &amp; TP'!$B$3:$B$10005&amp;'DMR 001C TIN &amp; TP'!$A$3:$A$10005),0),MATCH('Reg 85'!$AV$11,'DMR 001C TIN &amp; TP'!$A$2:$M$2,0))),"")</f>
        <v>0.03</v>
      </c>
      <c r="AW227" s="6">
        <f t="array" ref="AW227">_xlfn.IFNA((INDEX('DMR 001C TIN &amp; TP'!$A$3:$M$10005,MATCH(('Reg 85'!$AQ$6&amp;'Reg 85'!$AU$10&amp;'Reg 85'!$B227),('DMR 001C TIN &amp; TP'!$E$3:$E$10005&amp;'DMR 001C TIN &amp; TP'!$B$3:$B$10005&amp;'DMR 001C TIN &amp; TP'!$A$3:$A$10005),0),MATCH('Reg 85'!$AW$11,'DMR 001C TIN &amp; TP'!$A$2:$M$2,0))),"")</f>
        <v>0.37</v>
      </c>
      <c r="AX227" s="53">
        <f t="shared" si="98"/>
        <v>0.37</v>
      </c>
      <c r="AY227" s="55">
        <f t="shared" si="99"/>
        <v>0.30804514021515433</v>
      </c>
      <c r="AZ227" s="77" t="str">
        <f t="shared" si="82"/>
        <v/>
      </c>
      <c r="BA227" s="6" t="str">
        <f t="array" ref="BA227">_xlfn.IFNA((INDEX('DMR 001C TIN &amp; TP'!$A$3:$M$10005,MATCH(('Reg 85'!$AQ$6&amp;'Reg 85'!BA$10&amp;'Reg 85'!$B227),('DMR 001C TIN &amp; TP'!$E$3:$E$10005&amp;'DMR 001C TIN &amp; TP'!$B$3:$B$10005&amp;'DMR 001C TIN &amp; TP'!$A$3:$A$10005),0),MATCH('Reg 85'!$AG$11,'DMR 001C TIN &amp; TP'!$A$2:$M$2,0))),"")</f>
        <v/>
      </c>
      <c r="BB227" s="6" t="str">
        <f t="array" ref="BB227">_xlfn.IFNA((INDEX('DMR 001C TIN &amp; TP'!$A$3:$M$10005,MATCH(('Reg 85'!$AQ$6&amp;'Reg 85'!BB$10&amp;'Reg 85'!$B227),('DMR 001C TIN &amp; TP'!$E$3:$E$10005&amp;'DMR 001C TIN &amp; TP'!$B$3:$B$10005&amp;'DMR 001C TIN &amp; TP'!$A$3:$A$10005),0),MATCH('Reg 85'!$AG$11,'DMR 001C TIN &amp; TP'!$A$2:$M$2,0))),"")</f>
        <v/>
      </c>
      <c r="BC227" s="6" t="str">
        <f t="array" ref="BC227">_xlfn.IFNA((INDEX('DMR 001C TIN &amp; TP'!$A$3:$M$10005,MATCH(('Reg 85'!$AQ$6&amp;'Reg 85'!BC$10&amp;'Reg 85'!$B227),('DMR 001C TIN &amp; TP'!$E$3:$E$10005&amp;'DMR 001C TIN &amp; TP'!$B$3:$B$10005&amp;'DMR 001C TIN &amp; TP'!$A$3:$A$10005),0),MATCH('Reg 85'!$AG$11,'DMR 001C TIN &amp; TP'!$A$2:$M$2,0))),"")</f>
        <v/>
      </c>
      <c r="BD227" s="6" t="str">
        <f t="array" ref="BD227">_xlfn.IFNA((INDEX('DMR 001C TIN &amp; TP'!$A$3:$M$10005,MATCH(('Reg 85'!$AQ$6&amp;'Reg 85'!BD$10&amp;'Reg 85'!$B227),('DMR 001C TIN &amp; TP'!$E$3:$E$10005&amp;'DMR 001C TIN &amp; TP'!$B$3:$B$10005&amp;'DMR 001C TIN &amp; TP'!$A$3:$A$10005),0),MATCH('Reg 85'!$AG$11,'DMR 001C TIN &amp; TP'!$A$2:$M$2,0))),"")</f>
        <v/>
      </c>
      <c r="BE227" s="6" t="str">
        <f t="array" ref="BE227">_xlfn.IFNA((INDEX('DMR 001C TIN &amp; TP'!$A$3:$M$10005,MATCH(('Reg 85'!$AQ$6&amp;'Reg 85'!BE$10&amp;'Reg 85'!$B227),('DMR 001C TIN &amp; TP'!$E$3:$E$10005&amp;'DMR 001C TIN &amp; TP'!$B$3:$B$10005&amp;'DMR 001C TIN &amp; TP'!$A$3:$A$10005),0),MATCH('Reg 85'!$AG$11,'DMR 001C TIN &amp; TP'!$A$2:$M$2,0))),"")</f>
        <v/>
      </c>
      <c r="BF227" s="6" t="str">
        <f t="array" ref="BF227">_xlfn.IFNA((INDEX('DMR 001C TIN &amp; TP'!$A$3:$M$10005,MATCH(('Reg 85'!$AQ$6&amp;'Reg 85'!BF$10&amp;'Reg 85'!$B227),('DMR 001C TIN &amp; TP'!$E$3:$E$10005&amp;'DMR 001C TIN &amp; TP'!$B$3:$B$10005&amp;'DMR 001C TIN &amp; TP'!$A$3:$A$10005),0),MATCH('Reg 85'!$AG$11,'DMR 001C TIN &amp; TP'!$A$2:$M$2,0))),"")</f>
        <v/>
      </c>
    </row>
    <row r="228" spans="1:58">
      <c r="A228" s="3" t="str">
        <f t="shared" si="84"/>
        <v>Fri</v>
      </c>
      <c r="B228" s="96">
        <f t="shared" si="100"/>
        <v>43560</v>
      </c>
      <c r="C228" s="96">
        <f t="shared" si="85"/>
        <v>43585</v>
      </c>
      <c r="D228" s="96">
        <f t="shared" si="86"/>
        <v>43556</v>
      </c>
      <c r="E228" s="95">
        <f t="shared" si="87"/>
        <v>30</v>
      </c>
      <c r="F228" s="7">
        <f t="array" ref="F228">_xlfn.IFNA(INDEX('DMR Flows-Effluent'!$A$3:$F$9999,MATCH(($F$10&amp;$B228),('DMR Flows-Effluent'!$B$3:$B$9999&amp;'DMR Flows-Effluent'!$A$3:$A$9999),0),MATCH($F$8,'DMR Flows-Effluent'!$A$2:$F$2,0)),"")</f>
        <v>65.274000000000001</v>
      </c>
      <c r="G228" s="7">
        <f t="array" ref="G228">_xlfn.IFNA(INDEX('DMR Flows-Effluent'!$A$3:$F$9999,MATCH(($G$10&amp;$B228),('DMR Flows-Effluent'!$B$3:$B$9999&amp;'DMR Flows-Effluent'!$A$3:$A$9999),0),MATCH($F$8,'DMR Flows-Effluent'!$A$2:$F$2,0)),"")</f>
        <v>57.0199</v>
      </c>
      <c r="H228" s="7">
        <f t="shared" si="88"/>
        <v>122.29390000000001</v>
      </c>
      <c r="I228" s="45" t="str">
        <f t="shared" si="89"/>
        <v/>
      </c>
      <c r="J228" s="6" t="str">
        <f t="array" ref="J228">_xlfn.IFNA((INDEX('DMR 001C TIN &amp; TP'!$A$3:$M$10005,MATCH(('Reg 85'!$I$6:$Q$6&amp;'Reg 85'!$I$10:$K$10&amp;'Reg 85'!$B228),('DMR 001C TIN &amp; TP'!$E$3:$E$10005&amp;'DMR 001C TIN &amp; TP'!$B$3:$B$10005&amp;'DMR 001C TIN &amp; TP'!$A$3:$A$10005),0),MATCH('Reg 85'!$J$11,'DMR 001C TIN &amp; TP'!$A$2:$M$2,0))),"")</f>
        <v/>
      </c>
      <c r="K228" s="6" t="str">
        <f t="array" ref="K228">_xlfn.IFNA((INDEX('DMR 001C TIN &amp; TP'!$A$3:$M$10005,MATCH(('Reg 85'!$I$6:$Q$6&amp;'Reg 85'!$I$10:$K$10&amp;'Reg 85'!$B228),('DMR 001C TIN &amp; TP'!$E$3:$E$10005&amp;'DMR 001C TIN &amp; TP'!$B$3:$B$10005&amp;'DMR 001C TIN &amp; TP'!$A$3:$A$10005),0),MATCH('Reg 85'!$K$11,'DMR 001C TIN &amp; TP'!$A$2:$M$2,0))),"")</f>
        <v/>
      </c>
      <c r="L228" s="53" t="str">
        <f t="shared" si="101"/>
        <v/>
      </c>
      <c r="M228" s="5" t="str">
        <f t="shared" si="90"/>
        <v/>
      </c>
      <c r="N228" s="6" t="str">
        <f t="array" ref="N228">_xlfn.IFNA((INDEX('DMR 001C TIN &amp; TP'!$A$3:$M$10005,MATCH(('Reg 85'!$I$6:$Q$6&amp;'Reg 85'!$M$10&amp;'Reg 85'!$B228),('DMR 001C TIN &amp; TP'!$E$3:$E$10005&amp;'DMR 001C TIN &amp; TP'!$B$3:$B$10005&amp;'DMR 001C TIN &amp; TP'!$A$3:$A$10005),0),MATCH('Reg 85'!$N$11,'DMR 001C TIN &amp; TP'!$A$2:$M$2,0))),"")</f>
        <v/>
      </c>
      <c r="O228" s="6" t="str">
        <f t="array" ref="O228">_xlfn.IFNA((INDEX('DMR 001C TIN &amp; TP'!$A$3:$M$10005,MATCH(('Reg 85'!$I$6:$Q$6&amp;'Reg 85'!$M$10&amp;'Reg 85'!$B228),('DMR 001C TIN &amp; TP'!$E$3:$E$10005&amp;'DMR 001C TIN &amp; TP'!$B$3:$B$10005&amp;'DMR 001C TIN &amp; TP'!$A$3:$A$10005),0),MATCH('Reg 85'!$O$11,'DMR 001C TIN &amp; TP'!$A$2:$M$2,0))),"")</f>
        <v/>
      </c>
      <c r="P228" s="53" t="str">
        <f t="shared" si="91"/>
        <v/>
      </c>
      <c r="Q228" s="73" t="str">
        <f t="array" ref="Q228">IFERROR(((L228*$F228)+(P228*$G228))/($H228),"")</f>
        <v/>
      </c>
      <c r="R228" s="6" t="str">
        <f t="array" ref="R228">_xlfn.IFNA((INDEX('DMR 001C TIN &amp; TP'!$A$3:$M$10005,MATCH(('Reg 85'!$I$6:$Q$6&amp;'Reg 85'!R$10&amp;'Reg 85'!$B228),('DMR 001C TIN &amp; TP'!$E$3:$E$10005&amp;'DMR 001C TIN &amp; TP'!$B$3:$B$10005&amp;'DMR 001C TIN &amp; TP'!$A$3:$A$10005),0),MATCH('Reg 85'!$O$11,'DMR 001C TIN &amp; TP'!$A$2:$M$2,0))),"")</f>
        <v/>
      </c>
      <c r="S228" s="6" t="str">
        <f t="array" ref="S228">_xlfn.IFNA((INDEX('DMR 001C TIN &amp; TP'!$A$3:$M$10005,MATCH(('Reg 85'!$I$6:$Q$6&amp;'Reg 85'!S$10&amp;'Reg 85'!$B228),('DMR 001C TIN &amp; TP'!$E$3:$E$10005&amp;'DMR 001C TIN &amp; TP'!$B$3:$B$10005&amp;'DMR 001C TIN &amp; TP'!$A$3:$A$10005),0),MATCH('Reg 85'!$O$11,'DMR 001C TIN &amp; TP'!$A$2:$M$2,0))),"")</f>
        <v/>
      </c>
      <c r="T228" s="6" t="str">
        <f t="array" ref="T228">_xlfn.IFNA((INDEX('DMR 001C TIN &amp; TP'!$A$3:$M$10005,MATCH(('Reg 85'!$I$6:$Q$6&amp;'Reg 85'!T$10&amp;'Reg 85'!$B228),('DMR 001C TIN &amp; TP'!$E$3:$E$10005&amp;'DMR 001C TIN &amp; TP'!$B$3:$B$10005&amp;'DMR 001C TIN &amp; TP'!$A$3:$A$10005),0),MATCH('Reg 85'!$O$11,'DMR 001C TIN &amp; TP'!$A$2:$M$2,0))),"")</f>
        <v/>
      </c>
      <c r="U228" s="6" t="str">
        <f t="array" ref="U228">_xlfn.IFNA((INDEX('DMR 001C TIN &amp; TP'!$A$3:$M$10005,MATCH(('Reg 85'!$I$6:$Q$6&amp;'Reg 85'!U$10&amp;'Reg 85'!$B228),('DMR 001C TIN &amp; TP'!$E$3:$E$10005&amp;'DMR 001C TIN &amp; TP'!$B$3:$B$10005&amp;'DMR 001C TIN &amp; TP'!$A$3:$A$10005),0),MATCH('Reg 85'!$O$11,'DMR 001C TIN &amp; TP'!$A$2:$M$2,0))),"")</f>
        <v/>
      </c>
      <c r="V228" s="6" t="str">
        <f t="array" ref="V228">_xlfn.IFNA((INDEX('DMR 001C TIN &amp; TP'!$A$3:$M$10005,MATCH(('Reg 85'!$I$6:$Q$6&amp;'Reg 85'!V$10&amp;'Reg 85'!$B228),('DMR 001C TIN &amp; TP'!$E$3:$E$10005&amp;'DMR 001C TIN &amp; TP'!$B$3:$B$10005&amp;'DMR 001C TIN &amp; TP'!$A$3:$A$10005),0),MATCH('Reg 85'!$O$11,'DMR 001C TIN &amp; TP'!$A$2:$M$2,0))),"")</f>
        <v/>
      </c>
      <c r="W228" s="6" t="str">
        <f t="array" ref="W228">_xlfn.IFNA((INDEX('DMR 001C TIN &amp; TP'!$A$3:$M$10005,MATCH(('Reg 85'!$I$6:$Q$6&amp;'Reg 85'!W$10&amp;'Reg 85'!$B228),('DMR 001C TIN &amp; TP'!$E$3:$E$10005&amp;'DMR 001C TIN &amp; TP'!$B$3:$B$10005&amp;'DMR 001C TIN &amp; TP'!$A$3:$A$10005),0),MATCH('Reg 85'!$O$11,'DMR 001C TIN &amp; TP'!$A$2:$M$2,0))),"")</f>
        <v/>
      </c>
      <c r="X228" s="5" t="str">
        <f t="shared" si="92"/>
        <v/>
      </c>
      <c r="Y228" s="6" t="str">
        <f t="array" ref="Y228">_xlfn.IFNA((INDEX('DMR 001C TIN &amp; TP'!$A$3:$M$10005,MATCH(('Reg 85'!$X$6&amp;'Reg 85'!$X$10&amp;'Reg 85'!$B228),('DMR 001C TIN &amp; TP'!$E$3:$E$10005&amp;'DMR 001C TIN &amp; TP'!$B$3:$B$10005&amp;'DMR 001C TIN &amp; TP'!$A$3:$A$10005),0),MATCH('Reg 85'!$Y$11,'DMR 001C TIN &amp; TP'!$A$2:$M$2,0))),"")</f>
        <v/>
      </c>
      <c r="Z228" s="6" t="str">
        <f t="array" ref="Z228">_xlfn.IFNA((INDEX('DMR 001C TIN &amp; TP'!$A$3:$M$10005,MATCH(('Reg 85'!$X$6&amp;'Reg 85'!$X$10&amp;'Reg 85'!$B228),('DMR 001C TIN &amp; TP'!$E$3:$E$10005&amp;'DMR 001C TIN &amp; TP'!$B$3:$B$10005&amp;'DMR 001C TIN &amp; TP'!$A$3:$A$10005),0),MATCH('Reg 85'!$Z$11,'DMR 001C TIN &amp; TP'!$A$2:$M$2,0))),"")</f>
        <v/>
      </c>
      <c r="AA228" s="53" t="str">
        <f t="shared" si="93"/>
        <v/>
      </c>
      <c r="AB228" s="5" t="str">
        <f t="shared" si="94"/>
        <v/>
      </c>
      <c r="AC228" s="6" t="str">
        <f t="array" ref="AC228">_xlfn.IFNA((INDEX('DMR 001C TIN &amp; TP'!$A$3:$M$10005,MATCH(('Reg 85'!$X$6&amp;'Reg 85'!$AB$10&amp;'Reg 85'!$B228),('DMR 001C TIN &amp; TP'!$E$3:$E$10005&amp;'DMR 001C TIN &amp; TP'!$B$3:$B$10005&amp;'DMR 001C TIN &amp; TP'!$A$3:$A$10005),0),MATCH('Reg 85'!$AC$11,'DMR 001C TIN &amp; TP'!$A$2:$M$2,0))),"")</f>
        <v/>
      </c>
      <c r="AD228" s="6" t="str">
        <f t="array" ref="AD228">_xlfn.IFNA((INDEX('DMR 001C TIN &amp; TP'!$A$3:$M$10005,MATCH(('Reg 85'!$X$6&amp;'Reg 85'!$AB$10&amp;'Reg 85'!$B228),('DMR 001C TIN &amp; TP'!$E$3:$E$10005&amp;'DMR 001C TIN &amp; TP'!$B$3:$B$10005&amp;'DMR 001C TIN &amp; TP'!$A$3:$A$10005),0),MATCH('Reg 85'!$AD$11,'DMR 001C TIN &amp; TP'!$A$2:$M$2,0))),"")</f>
        <v/>
      </c>
      <c r="AE228" s="53" t="str">
        <f t="shared" si="95"/>
        <v/>
      </c>
      <c r="AF228" s="7" t="str">
        <f t="shared" si="96"/>
        <v/>
      </c>
      <c r="AG228" s="6" t="str">
        <f t="array" ref="AG228">_xlfn.IFNA((INDEX('DMR 001C TIN &amp; TP'!$A$3:$M$10005,MATCH(('Reg 85'!$X$6&amp;'Reg 85'!AG$10&amp;'Reg 85'!$B228),('DMR 001C TIN &amp; TP'!$E$3:$E$10005&amp;'DMR 001C TIN &amp; TP'!$B$3:$B$10005&amp;'DMR 001C TIN &amp; TP'!$A$3:$A$10005),0),MATCH('Reg 85'!$AG$11,'DMR 001C TIN &amp; TP'!$A$2:$M$2,0))),"")</f>
        <v/>
      </c>
      <c r="AH228" s="6" t="str">
        <f t="array" ref="AH228">_xlfn.IFNA((INDEX('DMR 001C TIN &amp; TP'!$A$3:$M$10005,MATCH(('Reg 85'!$X$6&amp;'Reg 85'!AH$10&amp;'Reg 85'!$B228),('DMR 001C TIN &amp; TP'!$E$3:$E$10005&amp;'DMR 001C TIN &amp; TP'!$B$3:$B$10005&amp;'DMR 001C TIN &amp; TP'!$A$3:$A$10005),0),MATCH('Reg 85'!$AG$11,'DMR 001C TIN &amp; TP'!$A$2:$M$2,0))),"")</f>
        <v/>
      </c>
      <c r="AI228" s="6" t="str">
        <f t="array" ref="AI228">_xlfn.IFNA((INDEX('DMR 001C TIN &amp; TP'!$A$3:$M$10005,MATCH(('Reg 85'!$X$6&amp;'Reg 85'!AI$10&amp;'Reg 85'!$B228),('DMR 001C TIN &amp; TP'!$E$3:$E$10005&amp;'DMR 001C TIN &amp; TP'!$B$3:$B$10005&amp;'DMR 001C TIN &amp; TP'!$A$3:$A$10005),0),MATCH('Reg 85'!$AG$11,'DMR 001C TIN &amp; TP'!$A$2:$M$2,0))),"")</f>
        <v/>
      </c>
      <c r="AJ228" s="6" t="str">
        <f t="array" ref="AJ228">_xlfn.IFNA((INDEX('DMR 001C TIN &amp; TP'!$A$3:$M$10005,MATCH(('Reg 85'!$X$6&amp;'Reg 85'!AJ$10&amp;'Reg 85'!$B228),('DMR 001C TIN &amp; TP'!$E$3:$E$10005&amp;'DMR 001C TIN &amp; TP'!$B$3:$B$10005&amp;'DMR 001C TIN &amp; TP'!$A$3:$A$10005),0),MATCH('Reg 85'!$AG$11,'DMR 001C TIN &amp; TP'!$A$2:$M$2,0))),"")</f>
        <v/>
      </c>
      <c r="AK228" s="6" t="str">
        <f t="array" ref="AK228">_xlfn.IFNA((INDEX('DMR 001C TIN &amp; TP'!$A$3:$M$10005,MATCH(('Reg 85'!$X$6&amp;'Reg 85'!AK$10&amp;'Reg 85'!$B228),('DMR 001C TIN &amp; TP'!$E$3:$E$10005&amp;'DMR 001C TIN &amp; TP'!$B$3:$B$10005&amp;'DMR 001C TIN &amp; TP'!$A$3:$A$10005),0),MATCH('Reg 85'!$AG$11,'DMR 001C TIN &amp; TP'!$A$2:$M$2,0))),"")</f>
        <v/>
      </c>
      <c r="AL228" s="6" t="str">
        <f t="array" ref="AL228">_xlfn.IFNA((INDEX('DMR 001C TIN &amp; TP'!$A$3:$M$10005,MATCH(('Reg 85'!$X$6&amp;'Reg 85'!AL$10&amp;'Reg 85'!$B228),('DMR 001C TIN &amp; TP'!$E$3:$E$10005&amp;'DMR 001C TIN &amp; TP'!$B$3:$B$10005&amp;'DMR 001C TIN &amp; TP'!$A$3:$A$10005),0),MATCH('Reg 85'!$AG$11,'DMR 001C TIN &amp; TP'!$A$2:$M$2,0))),"")</f>
        <v/>
      </c>
      <c r="AM228" s="76"/>
      <c r="AN228" s="6"/>
      <c r="AO228" s="54" t="str">
        <f t="shared" si="83"/>
        <v/>
      </c>
      <c r="AP228" s="77" t="str">
        <f t="shared" si="81"/>
        <v/>
      </c>
      <c r="AQ228" s="47"/>
      <c r="AR228" s="6" t="str">
        <f t="array" ref="AR228">_xlfn.IFNA((INDEX('DMR 001C TIN &amp; TP'!$A$3:$M$10005,MATCH(('Reg 85'!$AQ$6&amp;'Reg 85'!$AQ$10&amp;'Reg 85'!$B228),('DMR 001C TIN &amp; TP'!$E$3:$E$10005&amp;'DMR 001C TIN &amp; TP'!$B$3:$B$10005&amp;'DMR 001C TIN &amp; TP'!$A$3:$A$10005),0),MATCH('Reg 85'!$AR$11,'DMR 001C TIN &amp; TP'!$A$2:$M$2,0))),"")</f>
        <v>0.03</v>
      </c>
      <c r="AS228" s="6">
        <f t="array" ref="AS228">_xlfn.IFNA((INDEX('DMR 001C TIN &amp; TP'!$A$3:$M$10005,MATCH(('Reg 85'!$AQ$6&amp;'Reg 85'!$AQ$10&amp;'Reg 85'!$B228),('DMR 001C TIN &amp; TP'!$E$3:$E$10005&amp;'DMR 001C TIN &amp; TP'!$B$3:$B$10005&amp;'DMR 001C TIN &amp; TP'!$A$3:$A$10005),0),MATCH('Reg 85'!$AS$11,'DMR 001C TIN &amp; TP'!$A$2:$M$2,0))),"")</f>
        <v>0.25</v>
      </c>
      <c r="AT228" s="53">
        <f t="shared" si="97"/>
        <v>0.25</v>
      </c>
      <c r="AV228" s="6" t="str">
        <f t="array" ref="AV228">_xlfn.IFNA((INDEX('DMR 001C TIN &amp; TP'!$A$3:$M$10005,MATCH(('Reg 85'!$AQ$6&amp;'Reg 85'!$AU$10&amp;'Reg 85'!$B228),('DMR 001C TIN &amp; TP'!$E$3:$E$10005&amp;'DMR 001C TIN &amp; TP'!$B$3:$B$10005&amp;'DMR 001C TIN &amp; TP'!$A$3:$A$10005),0),MATCH('Reg 85'!$AV$11,'DMR 001C TIN &amp; TP'!$A$2:$M$2,0))),"")</f>
        <v>0.03</v>
      </c>
      <c r="AW228" s="6">
        <f t="array" ref="AW228">_xlfn.IFNA((INDEX('DMR 001C TIN &amp; TP'!$A$3:$M$10005,MATCH(('Reg 85'!$AQ$6&amp;'Reg 85'!$AU$10&amp;'Reg 85'!$B228),('DMR 001C TIN &amp; TP'!$E$3:$E$10005&amp;'DMR 001C TIN &amp; TP'!$B$3:$B$10005&amp;'DMR 001C TIN &amp; TP'!$A$3:$A$10005),0),MATCH('Reg 85'!$AW$11,'DMR 001C TIN &amp; TP'!$A$2:$M$2,0))),"")</f>
        <v>0.3</v>
      </c>
      <c r="AX228" s="53">
        <f t="shared" si="98"/>
        <v>0.3</v>
      </c>
      <c r="AY228" s="55">
        <f t="shared" si="99"/>
        <v>0.27331265091717571</v>
      </c>
      <c r="AZ228" s="77" t="str">
        <f t="shared" si="82"/>
        <v/>
      </c>
      <c r="BA228" s="6" t="str">
        <f t="array" ref="BA228">_xlfn.IFNA((INDEX('DMR 001C TIN &amp; TP'!$A$3:$M$10005,MATCH(('Reg 85'!$AQ$6&amp;'Reg 85'!BA$10&amp;'Reg 85'!$B228),('DMR 001C TIN &amp; TP'!$E$3:$E$10005&amp;'DMR 001C TIN &amp; TP'!$B$3:$B$10005&amp;'DMR 001C TIN &amp; TP'!$A$3:$A$10005),0),MATCH('Reg 85'!$AG$11,'DMR 001C TIN &amp; TP'!$A$2:$M$2,0))),"")</f>
        <v/>
      </c>
      <c r="BB228" s="6" t="str">
        <f t="array" ref="BB228">_xlfn.IFNA((INDEX('DMR 001C TIN &amp; TP'!$A$3:$M$10005,MATCH(('Reg 85'!$AQ$6&amp;'Reg 85'!BB$10&amp;'Reg 85'!$B228),('DMR 001C TIN &amp; TP'!$E$3:$E$10005&amp;'DMR 001C TIN &amp; TP'!$B$3:$B$10005&amp;'DMR 001C TIN &amp; TP'!$A$3:$A$10005),0),MATCH('Reg 85'!$AG$11,'DMR 001C TIN &amp; TP'!$A$2:$M$2,0))),"")</f>
        <v/>
      </c>
      <c r="BC228" s="6" t="str">
        <f t="array" ref="BC228">_xlfn.IFNA((INDEX('DMR 001C TIN &amp; TP'!$A$3:$M$10005,MATCH(('Reg 85'!$AQ$6&amp;'Reg 85'!BC$10&amp;'Reg 85'!$B228),('DMR 001C TIN &amp; TP'!$E$3:$E$10005&amp;'DMR 001C TIN &amp; TP'!$B$3:$B$10005&amp;'DMR 001C TIN &amp; TP'!$A$3:$A$10005),0),MATCH('Reg 85'!$AG$11,'DMR 001C TIN &amp; TP'!$A$2:$M$2,0))),"")</f>
        <v/>
      </c>
      <c r="BD228" s="6" t="str">
        <f t="array" ref="BD228">_xlfn.IFNA((INDEX('DMR 001C TIN &amp; TP'!$A$3:$M$10005,MATCH(('Reg 85'!$AQ$6&amp;'Reg 85'!BD$10&amp;'Reg 85'!$B228),('DMR 001C TIN &amp; TP'!$E$3:$E$10005&amp;'DMR 001C TIN &amp; TP'!$B$3:$B$10005&amp;'DMR 001C TIN &amp; TP'!$A$3:$A$10005),0),MATCH('Reg 85'!$AG$11,'DMR 001C TIN &amp; TP'!$A$2:$M$2,0))),"")</f>
        <v/>
      </c>
      <c r="BE228" s="6" t="str">
        <f t="array" ref="BE228">_xlfn.IFNA((INDEX('DMR 001C TIN &amp; TP'!$A$3:$M$10005,MATCH(('Reg 85'!$AQ$6&amp;'Reg 85'!BE$10&amp;'Reg 85'!$B228),('DMR 001C TIN &amp; TP'!$E$3:$E$10005&amp;'DMR 001C TIN &amp; TP'!$B$3:$B$10005&amp;'DMR 001C TIN &amp; TP'!$A$3:$A$10005),0),MATCH('Reg 85'!$AG$11,'DMR 001C TIN &amp; TP'!$A$2:$M$2,0))),"")</f>
        <v/>
      </c>
      <c r="BF228" s="6" t="str">
        <f t="array" ref="BF228">_xlfn.IFNA((INDEX('DMR 001C TIN &amp; TP'!$A$3:$M$10005,MATCH(('Reg 85'!$AQ$6&amp;'Reg 85'!BF$10&amp;'Reg 85'!$B228),('DMR 001C TIN &amp; TP'!$E$3:$E$10005&amp;'DMR 001C TIN &amp; TP'!$B$3:$B$10005&amp;'DMR 001C TIN &amp; TP'!$A$3:$A$10005),0),MATCH('Reg 85'!$AG$11,'DMR 001C TIN &amp; TP'!$A$2:$M$2,0))),"")</f>
        <v/>
      </c>
    </row>
    <row r="229" spans="1:58">
      <c r="A229" s="3" t="str">
        <f t="shared" si="84"/>
        <v>Sat</v>
      </c>
      <c r="B229" s="96">
        <f t="shared" si="100"/>
        <v>43561</v>
      </c>
      <c r="C229" s="96">
        <f t="shared" si="85"/>
        <v>43585</v>
      </c>
      <c r="D229" s="96">
        <f t="shared" si="86"/>
        <v>43556</v>
      </c>
      <c r="E229" s="95">
        <f t="shared" si="87"/>
        <v>30</v>
      </c>
      <c r="F229" s="7">
        <f t="array" ref="F229">_xlfn.IFNA(INDEX('DMR Flows-Effluent'!$A$3:$F$9999,MATCH(($F$10&amp;$B229),('DMR Flows-Effluent'!$B$3:$B$9999&amp;'DMR Flows-Effluent'!$A$3:$A$9999),0),MATCH($F$8,'DMR Flows-Effluent'!$A$2:$F$2,0)),"")</f>
        <v>59.810200000000002</v>
      </c>
      <c r="G229" s="7">
        <f t="array" ref="G229">_xlfn.IFNA(INDEX('DMR Flows-Effluent'!$A$3:$F$9999,MATCH(($G$10&amp;$B229),('DMR Flows-Effluent'!$B$3:$B$9999&amp;'DMR Flows-Effluent'!$A$3:$A$9999),0),MATCH($F$8,'DMR Flows-Effluent'!$A$2:$F$2,0)),"")</f>
        <v>62.718200000000003</v>
      </c>
      <c r="H229" s="7">
        <f t="shared" si="88"/>
        <v>122.5284</v>
      </c>
      <c r="I229" s="45" t="str">
        <f t="shared" si="89"/>
        <v/>
      </c>
      <c r="J229" s="6" t="str">
        <f t="array" ref="J229">_xlfn.IFNA((INDEX('DMR 001C TIN &amp; TP'!$A$3:$M$10005,MATCH(('Reg 85'!$I$6:$Q$6&amp;'Reg 85'!$I$10:$K$10&amp;'Reg 85'!$B229),('DMR 001C TIN &amp; TP'!$E$3:$E$10005&amp;'DMR 001C TIN &amp; TP'!$B$3:$B$10005&amp;'DMR 001C TIN &amp; TP'!$A$3:$A$10005),0),MATCH('Reg 85'!$J$11,'DMR 001C TIN &amp; TP'!$A$2:$M$2,0))),"")</f>
        <v/>
      </c>
      <c r="K229" s="6" t="str">
        <f t="array" ref="K229">_xlfn.IFNA((INDEX('DMR 001C TIN &amp; TP'!$A$3:$M$10005,MATCH(('Reg 85'!$I$6:$Q$6&amp;'Reg 85'!$I$10:$K$10&amp;'Reg 85'!$B229),('DMR 001C TIN &amp; TP'!$E$3:$E$10005&amp;'DMR 001C TIN &amp; TP'!$B$3:$B$10005&amp;'DMR 001C TIN &amp; TP'!$A$3:$A$10005),0),MATCH('Reg 85'!$K$11,'DMR 001C TIN &amp; TP'!$A$2:$M$2,0))),"")</f>
        <v/>
      </c>
      <c r="L229" s="53" t="str">
        <f t="shared" si="101"/>
        <v/>
      </c>
      <c r="M229" s="5" t="str">
        <f t="shared" si="90"/>
        <v/>
      </c>
      <c r="N229" s="6" t="str">
        <f t="array" ref="N229">_xlfn.IFNA((INDEX('DMR 001C TIN &amp; TP'!$A$3:$M$10005,MATCH(('Reg 85'!$I$6:$Q$6&amp;'Reg 85'!$M$10&amp;'Reg 85'!$B229),('DMR 001C TIN &amp; TP'!$E$3:$E$10005&amp;'DMR 001C TIN &amp; TP'!$B$3:$B$10005&amp;'DMR 001C TIN &amp; TP'!$A$3:$A$10005),0),MATCH('Reg 85'!$N$11,'DMR 001C TIN &amp; TP'!$A$2:$M$2,0))),"")</f>
        <v/>
      </c>
      <c r="O229" s="6" t="str">
        <f t="array" ref="O229">_xlfn.IFNA((INDEX('DMR 001C TIN &amp; TP'!$A$3:$M$10005,MATCH(('Reg 85'!$I$6:$Q$6&amp;'Reg 85'!$M$10&amp;'Reg 85'!$B229),('DMR 001C TIN &amp; TP'!$E$3:$E$10005&amp;'DMR 001C TIN &amp; TP'!$B$3:$B$10005&amp;'DMR 001C TIN &amp; TP'!$A$3:$A$10005),0),MATCH('Reg 85'!$O$11,'DMR 001C TIN &amp; TP'!$A$2:$M$2,0))),"")</f>
        <v/>
      </c>
      <c r="P229" s="53" t="str">
        <f t="shared" si="91"/>
        <v/>
      </c>
      <c r="Q229" s="73" t="str">
        <f t="array" ref="Q229">IFERROR(((L229*$F229)+(P229*$G229))/($H229),"")</f>
        <v/>
      </c>
      <c r="R229" s="6" t="str">
        <f t="array" ref="R229">_xlfn.IFNA((INDEX('DMR 001C TIN &amp; TP'!$A$3:$M$10005,MATCH(('Reg 85'!$I$6:$Q$6&amp;'Reg 85'!R$10&amp;'Reg 85'!$B229),('DMR 001C TIN &amp; TP'!$E$3:$E$10005&amp;'DMR 001C TIN &amp; TP'!$B$3:$B$10005&amp;'DMR 001C TIN &amp; TP'!$A$3:$A$10005),0),MATCH('Reg 85'!$O$11,'DMR 001C TIN &amp; TP'!$A$2:$M$2,0))),"")</f>
        <v/>
      </c>
      <c r="S229" s="6" t="str">
        <f t="array" ref="S229">_xlfn.IFNA((INDEX('DMR 001C TIN &amp; TP'!$A$3:$M$10005,MATCH(('Reg 85'!$I$6:$Q$6&amp;'Reg 85'!S$10&amp;'Reg 85'!$B229),('DMR 001C TIN &amp; TP'!$E$3:$E$10005&amp;'DMR 001C TIN &amp; TP'!$B$3:$B$10005&amp;'DMR 001C TIN &amp; TP'!$A$3:$A$10005),0),MATCH('Reg 85'!$O$11,'DMR 001C TIN &amp; TP'!$A$2:$M$2,0))),"")</f>
        <v/>
      </c>
      <c r="T229" s="6" t="str">
        <f t="array" ref="T229">_xlfn.IFNA((INDEX('DMR 001C TIN &amp; TP'!$A$3:$M$10005,MATCH(('Reg 85'!$I$6:$Q$6&amp;'Reg 85'!T$10&amp;'Reg 85'!$B229),('DMR 001C TIN &amp; TP'!$E$3:$E$10005&amp;'DMR 001C TIN &amp; TP'!$B$3:$B$10005&amp;'DMR 001C TIN &amp; TP'!$A$3:$A$10005),0),MATCH('Reg 85'!$O$11,'DMR 001C TIN &amp; TP'!$A$2:$M$2,0))),"")</f>
        <v/>
      </c>
      <c r="U229" s="6" t="str">
        <f t="array" ref="U229">_xlfn.IFNA((INDEX('DMR 001C TIN &amp; TP'!$A$3:$M$10005,MATCH(('Reg 85'!$I$6:$Q$6&amp;'Reg 85'!U$10&amp;'Reg 85'!$B229),('DMR 001C TIN &amp; TP'!$E$3:$E$10005&amp;'DMR 001C TIN &amp; TP'!$B$3:$B$10005&amp;'DMR 001C TIN &amp; TP'!$A$3:$A$10005),0),MATCH('Reg 85'!$O$11,'DMR 001C TIN &amp; TP'!$A$2:$M$2,0))),"")</f>
        <v/>
      </c>
      <c r="V229" s="6" t="str">
        <f t="array" ref="V229">_xlfn.IFNA((INDEX('DMR 001C TIN &amp; TP'!$A$3:$M$10005,MATCH(('Reg 85'!$I$6:$Q$6&amp;'Reg 85'!V$10&amp;'Reg 85'!$B229),('DMR 001C TIN &amp; TP'!$E$3:$E$10005&amp;'DMR 001C TIN &amp; TP'!$B$3:$B$10005&amp;'DMR 001C TIN &amp; TP'!$A$3:$A$10005),0),MATCH('Reg 85'!$O$11,'DMR 001C TIN &amp; TP'!$A$2:$M$2,0))),"")</f>
        <v/>
      </c>
      <c r="W229" s="6" t="str">
        <f t="array" ref="W229">_xlfn.IFNA((INDEX('DMR 001C TIN &amp; TP'!$A$3:$M$10005,MATCH(('Reg 85'!$I$6:$Q$6&amp;'Reg 85'!W$10&amp;'Reg 85'!$B229),('DMR 001C TIN &amp; TP'!$E$3:$E$10005&amp;'DMR 001C TIN &amp; TP'!$B$3:$B$10005&amp;'DMR 001C TIN &amp; TP'!$A$3:$A$10005),0),MATCH('Reg 85'!$O$11,'DMR 001C TIN &amp; TP'!$A$2:$M$2,0))),"")</f>
        <v/>
      </c>
      <c r="X229" s="5" t="str">
        <f t="shared" si="92"/>
        <v/>
      </c>
      <c r="Y229" s="6" t="str">
        <f t="array" ref="Y229">_xlfn.IFNA((INDEX('DMR 001C TIN &amp; TP'!$A$3:$M$10005,MATCH(('Reg 85'!$X$6&amp;'Reg 85'!$X$10&amp;'Reg 85'!$B229),('DMR 001C TIN &amp; TP'!$E$3:$E$10005&amp;'DMR 001C TIN &amp; TP'!$B$3:$B$10005&amp;'DMR 001C TIN &amp; TP'!$A$3:$A$10005),0),MATCH('Reg 85'!$Y$11,'DMR 001C TIN &amp; TP'!$A$2:$M$2,0))),"")</f>
        <v/>
      </c>
      <c r="Z229" s="6" t="str">
        <f t="array" ref="Z229">_xlfn.IFNA((INDEX('DMR 001C TIN &amp; TP'!$A$3:$M$10005,MATCH(('Reg 85'!$X$6&amp;'Reg 85'!$X$10&amp;'Reg 85'!$B229),('DMR 001C TIN &amp; TP'!$E$3:$E$10005&amp;'DMR 001C TIN &amp; TP'!$B$3:$B$10005&amp;'DMR 001C TIN &amp; TP'!$A$3:$A$10005),0),MATCH('Reg 85'!$Z$11,'DMR 001C TIN &amp; TP'!$A$2:$M$2,0))),"")</f>
        <v/>
      </c>
      <c r="AA229" s="53" t="str">
        <f t="shared" si="93"/>
        <v/>
      </c>
      <c r="AB229" s="5" t="str">
        <f t="shared" si="94"/>
        <v/>
      </c>
      <c r="AC229" s="6" t="str">
        <f t="array" ref="AC229">_xlfn.IFNA((INDEX('DMR 001C TIN &amp; TP'!$A$3:$M$10005,MATCH(('Reg 85'!$X$6&amp;'Reg 85'!$AB$10&amp;'Reg 85'!$B229),('DMR 001C TIN &amp; TP'!$E$3:$E$10005&amp;'DMR 001C TIN &amp; TP'!$B$3:$B$10005&amp;'DMR 001C TIN &amp; TP'!$A$3:$A$10005),0),MATCH('Reg 85'!$AC$11,'DMR 001C TIN &amp; TP'!$A$2:$M$2,0))),"")</f>
        <v/>
      </c>
      <c r="AD229" s="6" t="str">
        <f t="array" ref="AD229">_xlfn.IFNA((INDEX('DMR 001C TIN &amp; TP'!$A$3:$M$10005,MATCH(('Reg 85'!$X$6&amp;'Reg 85'!$AB$10&amp;'Reg 85'!$B229),('DMR 001C TIN &amp; TP'!$E$3:$E$10005&amp;'DMR 001C TIN &amp; TP'!$B$3:$B$10005&amp;'DMR 001C TIN &amp; TP'!$A$3:$A$10005),0),MATCH('Reg 85'!$AD$11,'DMR 001C TIN &amp; TP'!$A$2:$M$2,0))),"")</f>
        <v/>
      </c>
      <c r="AE229" s="53" t="str">
        <f t="shared" si="95"/>
        <v/>
      </c>
      <c r="AF229" s="7" t="str">
        <f t="shared" si="96"/>
        <v/>
      </c>
      <c r="AG229" s="6" t="str">
        <f t="array" ref="AG229">_xlfn.IFNA((INDEX('DMR 001C TIN &amp; TP'!$A$3:$M$10005,MATCH(('Reg 85'!$X$6&amp;'Reg 85'!AG$10&amp;'Reg 85'!$B229),('DMR 001C TIN &amp; TP'!$E$3:$E$10005&amp;'DMR 001C TIN &amp; TP'!$B$3:$B$10005&amp;'DMR 001C TIN &amp; TP'!$A$3:$A$10005),0),MATCH('Reg 85'!$AG$11,'DMR 001C TIN &amp; TP'!$A$2:$M$2,0))),"")</f>
        <v/>
      </c>
      <c r="AH229" s="6" t="str">
        <f t="array" ref="AH229">_xlfn.IFNA((INDEX('DMR 001C TIN &amp; TP'!$A$3:$M$10005,MATCH(('Reg 85'!$X$6&amp;'Reg 85'!AH$10&amp;'Reg 85'!$B229),('DMR 001C TIN &amp; TP'!$E$3:$E$10005&amp;'DMR 001C TIN &amp; TP'!$B$3:$B$10005&amp;'DMR 001C TIN &amp; TP'!$A$3:$A$10005),0),MATCH('Reg 85'!$AG$11,'DMR 001C TIN &amp; TP'!$A$2:$M$2,0))),"")</f>
        <v/>
      </c>
      <c r="AI229" s="6" t="str">
        <f t="array" ref="AI229">_xlfn.IFNA((INDEX('DMR 001C TIN &amp; TP'!$A$3:$M$10005,MATCH(('Reg 85'!$X$6&amp;'Reg 85'!AI$10&amp;'Reg 85'!$B229),('DMR 001C TIN &amp; TP'!$E$3:$E$10005&amp;'DMR 001C TIN &amp; TP'!$B$3:$B$10005&amp;'DMR 001C TIN &amp; TP'!$A$3:$A$10005),0),MATCH('Reg 85'!$AG$11,'DMR 001C TIN &amp; TP'!$A$2:$M$2,0))),"")</f>
        <v/>
      </c>
      <c r="AJ229" s="6" t="str">
        <f t="array" ref="AJ229">_xlfn.IFNA((INDEX('DMR 001C TIN &amp; TP'!$A$3:$M$10005,MATCH(('Reg 85'!$X$6&amp;'Reg 85'!AJ$10&amp;'Reg 85'!$B229),('DMR 001C TIN &amp; TP'!$E$3:$E$10005&amp;'DMR 001C TIN &amp; TP'!$B$3:$B$10005&amp;'DMR 001C TIN &amp; TP'!$A$3:$A$10005),0),MATCH('Reg 85'!$AG$11,'DMR 001C TIN &amp; TP'!$A$2:$M$2,0))),"")</f>
        <v/>
      </c>
      <c r="AK229" s="6" t="str">
        <f t="array" ref="AK229">_xlfn.IFNA((INDEX('DMR 001C TIN &amp; TP'!$A$3:$M$10005,MATCH(('Reg 85'!$X$6&amp;'Reg 85'!AK$10&amp;'Reg 85'!$B229),('DMR 001C TIN &amp; TP'!$E$3:$E$10005&amp;'DMR 001C TIN &amp; TP'!$B$3:$B$10005&amp;'DMR 001C TIN &amp; TP'!$A$3:$A$10005),0),MATCH('Reg 85'!$AG$11,'DMR 001C TIN &amp; TP'!$A$2:$M$2,0))),"")</f>
        <v/>
      </c>
      <c r="AL229" s="6" t="str">
        <f t="array" ref="AL229">_xlfn.IFNA((INDEX('DMR 001C TIN &amp; TP'!$A$3:$M$10005,MATCH(('Reg 85'!$X$6&amp;'Reg 85'!AL$10&amp;'Reg 85'!$B229),('DMR 001C TIN &amp; TP'!$E$3:$E$10005&amp;'DMR 001C TIN &amp; TP'!$B$3:$B$10005&amp;'DMR 001C TIN &amp; TP'!$A$3:$A$10005),0),MATCH('Reg 85'!$AG$11,'DMR 001C TIN &amp; TP'!$A$2:$M$2,0))),"")</f>
        <v/>
      </c>
      <c r="AM229" s="76"/>
      <c r="AN229" s="6"/>
      <c r="AO229" s="54" t="str">
        <f t="shared" si="83"/>
        <v/>
      </c>
      <c r="AP229" s="77" t="str">
        <f t="shared" si="81"/>
        <v/>
      </c>
      <c r="AQ229" s="47"/>
      <c r="AR229" s="6" t="str">
        <f t="array" ref="AR229">_xlfn.IFNA((INDEX('DMR 001C TIN &amp; TP'!$A$3:$M$10005,MATCH(('Reg 85'!$AQ$6&amp;'Reg 85'!$AQ$10&amp;'Reg 85'!$B229),('DMR 001C TIN &amp; TP'!$E$3:$E$10005&amp;'DMR 001C TIN &amp; TP'!$B$3:$B$10005&amp;'DMR 001C TIN &amp; TP'!$A$3:$A$10005),0),MATCH('Reg 85'!$AR$11,'DMR 001C TIN &amp; TP'!$A$2:$M$2,0))),"")</f>
        <v>0.03</v>
      </c>
      <c r="AS229" s="6">
        <f t="array" ref="AS229">_xlfn.IFNA((INDEX('DMR 001C TIN &amp; TP'!$A$3:$M$10005,MATCH(('Reg 85'!$AQ$6&amp;'Reg 85'!$AQ$10&amp;'Reg 85'!$B229),('DMR 001C TIN &amp; TP'!$E$3:$E$10005&amp;'DMR 001C TIN &amp; TP'!$B$3:$B$10005&amp;'DMR 001C TIN &amp; TP'!$A$3:$A$10005),0),MATCH('Reg 85'!$AS$11,'DMR 001C TIN &amp; TP'!$A$2:$M$2,0))),"")</f>
        <v>0.24</v>
      </c>
      <c r="AT229" s="53">
        <f t="shared" si="97"/>
        <v>0.24</v>
      </c>
      <c r="AV229" s="6" t="str">
        <f t="array" ref="AV229">_xlfn.IFNA((INDEX('DMR 001C TIN &amp; TP'!$A$3:$M$10005,MATCH(('Reg 85'!$AQ$6&amp;'Reg 85'!$AU$10&amp;'Reg 85'!$B229),('DMR 001C TIN &amp; TP'!$E$3:$E$10005&amp;'DMR 001C TIN &amp; TP'!$B$3:$B$10005&amp;'DMR 001C TIN &amp; TP'!$A$3:$A$10005),0),MATCH('Reg 85'!$AV$11,'DMR 001C TIN &amp; TP'!$A$2:$M$2,0))),"")</f>
        <v>0.03</v>
      </c>
      <c r="AW229" s="6">
        <f t="array" ref="AW229">_xlfn.IFNA((INDEX('DMR 001C TIN &amp; TP'!$A$3:$M$10005,MATCH(('Reg 85'!$AQ$6&amp;'Reg 85'!$AU$10&amp;'Reg 85'!$B229),('DMR 001C TIN &amp; TP'!$E$3:$E$10005&amp;'DMR 001C TIN &amp; TP'!$B$3:$B$10005&amp;'DMR 001C TIN &amp; TP'!$A$3:$A$10005),0),MATCH('Reg 85'!$AW$11,'DMR 001C TIN &amp; TP'!$A$2:$M$2,0))),"")</f>
        <v>0.59</v>
      </c>
      <c r="AX229" s="53">
        <f t="shared" si="98"/>
        <v>0.59</v>
      </c>
      <c r="AY229" s="55">
        <f t="shared" si="99"/>
        <v>0.4191533228214846</v>
      </c>
      <c r="AZ229" s="77" t="str">
        <f t="shared" si="82"/>
        <v/>
      </c>
      <c r="BA229" s="6" t="str">
        <f t="array" ref="BA229">_xlfn.IFNA((INDEX('DMR 001C TIN &amp; TP'!$A$3:$M$10005,MATCH(('Reg 85'!$AQ$6&amp;'Reg 85'!BA$10&amp;'Reg 85'!$B229),('DMR 001C TIN &amp; TP'!$E$3:$E$10005&amp;'DMR 001C TIN &amp; TP'!$B$3:$B$10005&amp;'DMR 001C TIN &amp; TP'!$A$3:$A$10005),0),MATCH('Reg 85'!$AG$11,'DMR 001C TIN &amp; TP'!$A$2:$M$2,0))),"")</f>
        <v/>
      </c>
      <c r="BB229" s="6" t="str">
        <f t="array" ref="BB229">_xlfn.IFNA((INDEX('DMR 001C TIN &amp; TP'!$A$3:$M$10005,MATCH(('Reg 85'!$AQ$6&amp;'Reg 85'!BB$10&amp;'Reg 85'!$B229),('DMR 001C TIN &amp; TP'!$E$3:$E$10005&amp;'DMR 001C TIN &amp; TP'!$B$3:$B$10005&amp;'DMR 001C TIN &amp; TP'!$A$3:$A$10005),0),MATCH('Reg 85'!$AG$11,'DMR 001C TIN &amp; TP'!$A$2:$M$2,0))),"")</f>
        <v/>
      </c>
      <c r="BC229" s="6" t="str">
        <f t="array" ref="BC229">_xlfn.IFNA((INDEX('DMR 001C TIN &amp; TP'!$A$3:$M$10005,MATCH(('Reg 85'!$AQ$6&amp;'Reg 85'!BC$10&amp;'Reg 85'!$B229),('DMR 001C TIN &amp; TP'!$E$3:$E$10005&amp;'DMR 001C TIN &amp; TP'!$B$3:$B$10005&amp;'DMR 001C TIN &amp; TP'!$A$3:$A$10005),0),MATCH('Reg 85'!$AG$11,'DMR 001C TIN &amp; TP'!$A$2:$M$2,0))),"")</f>
        <v/>
      </c>
      <c r="BD229" s="6" t="str">
        <f t="array" ref="BD229">_xlfn.IFNA((INDEX('DMR 001C TIN &amp; TP'!$A$3:$M$10005,MATCH(('Reg 85'!$AQ$6&amp;'Reg 85'!BD$10&amp;'Reg 85'!$B229),('DMR 001C TIN &amp; TP'!$E$3:$E$10005&amp;'DMR 001C TIN &amp; TP'!$B$3:$B$10005&amp;'DMR 001C TIN &amp; TP'!$A$3:$A$10005),0),MATCH('Reg 85'!$AG$11,'DMR 001C TIN &amp; TP'!$A$2:$M$2,0))),"")</f>
        <v/>
      </c>
      <c r="BE229" s="6" t="str">
        <f t="array" ref="BE229">_xlfn.IFNA((INDEX('DMR 001C TIN &amp; TP'!$A$3:$M$10005,MATCH(('Reg 85'!$AQ$6&amp;'Reg 85'!BE$10&amp;'Reg 85'!$B229),('DMR 001C TIN &amp; TP'!$E$3:$E$10005&amp;'DMR 001C TIN &amp; TP'!$B$3:$B$10005&amp;'DMR 001C TIN &amp; TP'!$A$3:$A$10005),0),MATCH('Reg 85'!$AG$11,'DMR 001C TIN &amp; TP'!$A$2:$M$2,0))),"")</f>
        <v/>
      </c>
      <c r="BF229" s="6" t="str">
        <f t="array" ref="BF229">_xlfn.IFNA((INDEX('DMR 001C TIN &amp; TP'!$A$3:$M$10005,MATCH(('Reg 85'!$AQ$6&amp;'Reg 85'!BF$10&amp;'Reg 85'!$B229),('DMR 001C TIN &amp; TP'!$E$3:$E$10005&amp;'DMR 001C TIN &amp; TP'!$B$3:$B$10005&amp;'DMR 001C TIN &amp; TP'!$A$3:$A$10005),0),MATCH('Reg 85'!$AG$11,'DMR 001C TIN &amp; TP'!$A$2:$M$2,0))),"")</f>
        <v/>
      </c>
    </row>
    <row r="230" spans="1:58">
      <c r="A230" s="3" t="str">
        <f t="shared" si="84"/>
        <v>Sun</v>
      </c>
      <c r="B230" s="96">
        <f t="shared" si="100"/>
        <v>43562</v>
      </c>
      <c r="C230" s="96">
        <f t="shared" si="85"/>
        <v>43585</v>
      </c>
      <c r="D230" s="96">
        <f t="shared" si="86"/>
        <v>43556</v>
      </c>
      <c r="E230" s="95">
        <f t="shared" si="87"/>
        <v>30</v>
      </c>
      <c r="F230" s="7">
        <f t="array" ref="F230">_xlfn.IFNA(INDEX('DMR Flows-Effluent'!$A$3:$F$9999,MATCH(($F$10&amp;$B230),('DMR Flows-Effluent'!$B$3:$B$9999&amp;'DMR Flows-Effluent'!$A$3:$A$9999),0),MATCH($F$8,'DMR Flows-Effluent'!$A$2:$F$2,0)),"")</f>
        <v>63.238399999999999</v>
      </c>
      <c r="G230" s="7">
        <f t="array" ref="G230">_xlfn.IFNA(INDEX('DMR Flows-Effluent'!$A$3:$F$9999,MATCH(($G$10&amp;$B230),('DMR Flows-Effluent'!$B$3:$B$9999&amp;'DMR Flows-Effluent'!$A$3:$A$9999),0),MATCH($F$8,'DMR Flows-Effluent'!$A$2:$F$2,0)),"")</f>
        <v>69.327699999999993</v>
      </c>
      <c r="H230" s="7">
        <f t="shared" si="88"/>
        <v>132.56610000000001</v>
      </c>
      <c r="I230" s="45" t="str">
        <f t="shared" si="89"/>
        <v/>
      </c>
      <c r="J230" s="6" t="str">
        <f t="array" ref="J230">_xlfn.IFNA((INDEX('DMR 001C TIN &amp; TP'!$A$3:$M$10005,MATCH(('Reg 85'!$I$6:$Q$6&amp;'Reg 85'!$I$10:$K$10&amp;'Reg 85'!$B230),('DMR 001C TIN &amp; TP'!$E$3:$E$10005&amp;'DMR 001C TIN &amp; TP'!$B$3:$B$10005&amp;'DMR 001C TIN &amp; TP'!$A$3:$A$10005),0),MATCH('Reg 85'!$J$11,'DMR 001C TIN &amp; TP'!$A$2:$M$2,0))),"")</f>
        <v/>
      </c>
      <c r="K230" s="6" t="str">
        <f t="array" ref="K230">_xlfn.IFNA((INDEX('DMR 001C TIN &amp; TP'!$A$3:$M$10005,MATCH(('Reg 85'!$I$6:$Q$6&amp;'Reg 85'!$I$10:$K$10&amp;'Reg 85'!$B230),('DMR 001C TIN &amp; TP'!$E$3:$E$10005&amp;'DMR 001C TIN &amp; TP'!$B$3:$B$10005&amp;'DMR 001C TIN &amp; TP'!$A$3:$A$10005),0),MATCH('Reg 85'!$K$11,'DMR 001C TIN &amp; TP'!$A$2:$M$2,0))),"")</f>
        <v/>
      </c>
      <c r="L230" s="53" t="str">
        <f t="shared" si="101"/>
        <v/>
      </c>
      <c r="M230" s="5" t="str">
        <f t="shared" si="90"/>
        <v/>
      </c>
      <c r="N230" s="6" t="str">
        <f t="array" ref="N230">_xlfn.IFNA((INDEX('DMR 001C TIN &amp; TP'!$A$3:$M$10005,MATCH(('Reg 85'!$I$6:$Q$6&amp;'Reg 85'!$M$10&amp;'Reg 85'!$B230),('DMR 001C TIN &amp; TP'!$E$3:$E$10005&amp;'DMR 001C TIN &amp; TP'!$B$3:$B$10005&amp;'DMR 001C TIN &amp; TP'!$A$3:$A$10005),0),MATCH('Reg 85'!$N$11,'DMR 001C TIN &amp; TP'!$A$2:$M$2,0))),"")</f>
        <v/>
      </c>
      <c r="O230" s="6" t="str">
        <f t="array" ref="O230">_xlfn.IFNA((INDEX('DMR 001C TIN &amp; TP'!$A$3:$M$10005,MATCH(('Reg 85'!$I$6:$Q$6&amp;'Reg 85'!$M$10&amp;'Reg 85'!$B230),('DMR 001C TIN &amp; TP'!$E$3:$E$10005&amp;'DMR 001C TIN &amp; TP'!$B$3:$B$10005&amp;'DMR 001C TIN &amp; TP'!$A$3:$A$10005),0),MATCH('Reg 85'!$O$11,'DMR 001C TIN &amp; TP'!$A$2:$M$2,0))),"")</f>
        <v/>
      </c>
      <c r="P230" s="53" t="str">
        <f t="shared" si="91"/>
        <v/>
      </c>
      <c r="Q230" s="73" t="str">
        <f t="array" ref="Q230">IFERROR(((L230*$F230)+(P230*$G230))/($H230),"")</f>
        <v/>
      </c>
      <c r="R230" s="6" t="str">
        <f t="array" ref="R230">_xlfn.IFNA((INDEX('DMR 001C TIN &amp; TP'!$A$3:$M$10005,MATCH(('Reg 85'!$I$6:$Q$6&amp;'Reg 85'!R$10&amp;'Reg 85'!$B230),('DMR 001C TIN &amp; TP'!$E$3:$E$10005&amp;'DMR 001C TIN &amp; TP'!$B$3:$B$10005&amp;'DMR 001C TIN &amp; TP'!$A$3:$A$10005),0),MATCH('Reg 85'!$O$11,'DMR 001C TIN &amp; TP'!$A$2:$M$2,0))),"")</f>
        <v/>
      </c>
      <c r="S230" s="6" t="str">
        <f t="array" ref="S230">_xlfn.IFNA((INDEX('DMR 001C TIN &amp; TP'!$A$3:$M$10005,MATCH(('Reg 85'!$I$6:$Q$6&amp;'Reg 85'!S$10&amp;'Reg 85'!$B230),('DMR 001C TIN &amp; TP'!$E$3:$E$10005&amp;'DMR 001C TIN &amp; TP'!$B$3:$B$10005&amp;'DMR 001C TIN &amp; TP'!$A$3:$A$10005),0),MATCH('Reg 85'!$O$11,'DMR 001C TIN &amp; TP'!$A$2:$M$2,0))),"")</f>
        <v/>
      </c>
      <c r="T230" s="6" t="str">
        <f t="array" ref="T230">_xlfn.IFNA((INDEX('DMR 001C TIN &amp; TP'!$A$3:$M$10005,MATCH(('Reg 85'!$I$6:$Q$6&amp;'Reg 85'!T$10&amp;'Reg 85'!$B230),('DMR 001C TIN &amp; TP'!$E$3:$E$10005&amp;'DMR 001C TIN &amp; TP'!$B$3:$B$10005&amp;'DMR 001C TIN &amp; TP'!$A$3:$A$10005),0),MATCH('Reg 85'!$O$11,'DMR 001C TIN &amp; TP'!$A$2:$M$2,0))),"")</f>
        <v/>
      </c>
      <c r="U230" s="6" t="str">
        <f t="array" ref="U230">_xlfn.IFNA((INDEX('DMR 001C TIN &amp; TP'!$A$3:$M$10005,MATCH(('Reg 85'!$I$6:$Q$6&amp;'Reg 85'!U$10&amp;'Reg 85'!$B230),('DMR 001C TIN &amp; TP'!$E$3:$E$10005&amp;'DMR 001C TIN &amp; TP'!$B$3:$B$10005&amp;'DMR 001C TIN &amp; TP'!$A$3:$A$10005),0),MATCH('Reg 85'!$O$11,'DMR 001C TIN &amp; TP'!$A$2:$M$2,0))),"")</f>
        <v/>
      </c>
      <c r="V230" s="6" t="str">
        <f t="array" ref="V230">_xlfn.IFNA((INDEX('DMR 001C TIN &amp; TP'!$A$3:$M$10005,MATCH(('Reg 85'!$I$6:$Q$6&amp;'Reg 85'!V$10&amp;'Reg 85'!$B230),('DMR 001C TIN &amp; TP'!$E$3:$E$10005&amp;'DMR 001C TIN &amp; TP'!$B$3:$B$10005&amp;'DMR 001C TIN &amp; TP'!$A$3:$A$10005),0),MATCH('Reg 85'!$O$11,'DMR 001C TIN &amp; TP'!$A$2:$M$2,0))),"")</f>
        <v/>
      </c>
      <c r="W230" s="6" t="str">
        <f t="array" ref="W230">_xlfn.IFNA((INDEX('DMR 001C TIN &amp; TP'!$A$3:$M$10005,MATCH(('Reg 85'!$I$6:$Q$6&amp;'Reg 85'!W$10&amp;'Reg 85'!$B230),('DMR 001C TIN &amp; TP'!$E$3:$E$10005&amp;'DMR 001C TIN &amp; TP'!$B$3:$B$10005&amp;'DMR 001C TIN &amp; TP'!$A$3:$A$10005),0),MATCH('Reg 85'!$O$11,'DMR 001C TIN &amp; TP'!$A$2:$M$2,0))),"")</f>
        <v/>
      </c>
      <c r="X230" s="5" t="str">
        <f t="shared" si="92"/>
        <v/>
      </c>
      <c r="Y230" s="6" t="str">
        <f t="array" ref="Y230">_xlfn.IFNA((INDEX('DMR 001C TIN &amp; TP'!$A$3:$M$10005,MATCH(('Reg 85'!$X$6&amp;'Reg 85'!$X$10&amp;'Reg 85'!$B230),('DMR 001C TIN &amp; TP'!$E$3:$E$10005&amp;'DMR 001C TIN &amp; TP'!$B$3:$B$10005&amp;'DMR 001C TIN &amp; TP'!$A$3:$A$10005),0),MATCH('Reg 85'!$Y$11,'DMR 001C TIN &amp; TP'!$A$2:$M$2,0))),"")</f>
        <v/>
      </c>
      <c r="Z230" s="6" t="str">
        <f t="array" ref="Z230">_xlfn.IFNA((INDEX('DMR 001C TIN &amp; TP'!$A$3:$M$10005,MATCH(('Reg 85'!$X$6&amp;'Reg 85'!$X$10&amp;'Reg 85'!$B230),('DMR 001C TIN &amp; TP'!$E$3:$E$10005&amp;'DMR 001C TIN &amp; TP'!$B$3:$B$10005&amp;'DMR 001C TIN &amp; TP'!$A$3:$A$10005),0),MATCH('Reg 85'!$Z$11,'DMR 001C TIN &amp; TP'!$A$2:$M$2,0))),"")</f>
        <v/>
      </c>
      <c r="AA230" s="53" t="str">
        <f t="shared" si="93"/>
        <v/>
      </c>
      <c r="AB230" s="5" t="str">
        <f t="shared" si="94"/>
        <v/>
      </c>
      <c r="AC230" s="6" t="str">
        <f t="array" ref="AC230">_xlfn.IFNA((INDEX('DMR 001C TIN &amp; TP'!$A$3:$M$10005,MATCH(('Reg 85'!$X$6&amp;'Reg 85'!$AB$10&amp;'Reg 85'!$B230),('DMR 001C TIN &amp; TP'!$E$3:$E$10005&amp;'DMR 001C TIN &amp; TP'!$B$3:$B$10005&amp;'DMR 001C TIN &amp; TP'!$A$3:$A$10005),0),MATCH('Reg 85'!$AC$11,'DMR 001C TIN &amp; TP'!$A$2:$M$2,0))),"")</f>
        <v/>
      </c>
      <c r="AD230" s="6" t="str">
        <f t="array" ref="AD230">_xlfn.IFNA((INDEX('DMR 001C TIN &amp; TP'!$A$3:$M$10005,MATCH(('Reg 85'!$X$6&amp;'Reg 85'!$AB$10&amp;'Reg 85'!$B230),('DMR 001C TIN &amp; TP'!$E$3:$E$10005&amp;'DMR 001C TIN &amp; TP'!$B$3:$B$10005&amp;'DMR 001C TIN &amp; TP'!$A$3:$A$10005),0),MATCH('Reg 85'!$AD$11,'DMR 001C TIN &amp; TP'!$A$2:$M$2,0))),"")</f>
        <v/>
      </c>
      <c r="AE230" s="53" t="str">
        <f t="shared" si="95"/>
        <v/>
      </c>
      <c r="AF230" s="7" t="str">
        <f t="shared" si="96"/>
        <v/>
      </c>
      <c r="AG230" s="6" t="str">
        <f t="array" ref="AG230">_xlfn.IFNA((INDEX('DMR 001C TIN &amp; TP'!$A$3:$M$10005,MATCH(('Reg 85'!$X$6&amp;'Reg 85'!AG$10&amp;'Reg 85'!$B230),('DMR 001C TIN &amp; TP'!$E$3:$E$10005&amp;'DMR 001C TIN &amp; TP'!$B$3:$B$10005&amp;'DMR 001C TIN &amp; TP'!$A$3:$A$10005),0),MATCH('Reg 85'!$AG$11,'DMR 001C TIN &amp; TP'!$A$2:$M$2,0))),"")</f>
        <v/>
      </c>
      <c r="AH230" s="6" t="str">
        <f t="array" ref="AH230">_xlfn.IFNA((INDEX('DMR 001C TIN &amp; TP'!$A$3:$M$10005,MATCH(('Reg 85'!$X$6&amp;'Reg 85'!AH$10&amp;'Reg 85'!$B230),('DMR 001C TIN &amp; TP'!$E$3:$E$10005&amp;'DMR 001C TIN &amp; TP'!$B$3:$B$10005&amp;'DMR 001C TIN &amp; TP'!$A$3:$A$10005),0),MATCH('Reg 85'!$AG$11,'DMR 001C TIN &amp; TP'!$A$2:$M$2,0))),"")</f>
        <v/>
      </c>
      <c r="AI230" s="6" t="str">
        <f t="array" ref="AI230">_xlfn.IFNA((INDEX('DMR 001C TIN &amp; TP'!$A$3:$M$10005,MATCH(('Reg 85'!$X$6&amp;'Reg 85'!AI$10&amp;'Reg 85'!$B230),('DMR 001C TIN &amp; TP'!$E$3:$E$10005&amp;'DMR 001C TIN &amp; TP'!$B$3:$B$10005&amp;'DMR 001C TIN &amp; TP'!$A$3:$A$10005),0),MATCH('Reg 85'!$AG$11,'DMR 001C TIN &amp; TP'!$A$2:$M$2,0))),"")</f>
        <v/>
      </c>
      <c r="AJ230" s="6" t="str">
        <f t="array" ref="AJ230">_xlfn.IFNA((INDEX('DMR 001C TIN &amp; TP'!$A$3:$M$10005,MATCH(('Reg 85'!$X$6&amp;'Reg 85'!AJ$10&amp;'Reg 85'!$B230),('DMR 001C TIN &amp; TP'!$E$3:$E$10005&amp;'DMR 001C TIN &amp; TP'!$B$3:$B$10005&amp;'DMR 001C TIN &amp; TP'!$A$3:$A$10005),0),MATCH('Reg 85'!$AG$11,'DMR 001C TIN &amp; TP'!$A$2:$M$2,0))),"")</f>
        <v/>
      </c>
      <c r="AK230" s="6" t="str">
        <f t="array" ref="AK230">_xlfn.IFNA((INDEX('DMR 001C TIN &amp; TP'!$A$3:$M$10005,MATCH(('Reg 85'!$X$6&amp;'Reg 85'!AK$10&amp;'Reg 85'!$B230),('DMR 001C TIN &amp; TP'!$E$3:$E$10005&amp;'DMR 001C TIN &amp; TP'!$B$3:$B$10005&amp;'DMR 001C TIN &amp; TP'!$A$3:$A$10005),0),MATCH('Reg 85'!$AG$11,'DMR 001C TIN &amp; TP'!$A$2:$M$2,0))),"")</f>
        <v/>
      </c>
      <c r="AL230" s="6" t="str">
        <f t="array" ref="AL230">_xlfn.IFNA((INDEX('DMR 001C TIN &amp; TP'!$A$3:$M$10005,MATCH(('Reg 85'!$X$6&amp;'Reg 85'!AL$10&amp;'Reg 85'!$B230),('DMR 001C TIN &amp; TP'!$E$3:$E$10005&amp;'DMR 001C TIN &amp; TP'!$B$3:$B$10005&amp;'DMR 001C TIN &amp; TP'!$A$3:$A$10005),0),MATCH('Reg 85'!$AG$11,'DMR 001C TIN &amp; TP'!$A$2:$M$2,0))),"")</f>
        <v/>
      </c>
      <c r="AM230" s="76"/>
      <c r="AN230" s="6"/>
      <c r="AO230" s="54" t="str">
        <f t="shared" si="83"/>
        <v/>
      </c>
      <c r="AP230" s="77" t="str">
        <f t="shared" si="81"/>
        <v/>
      </c>
      <c r="AQ230" s="47"/>
      <c r="AR230" s="6" t="str">
        <f t="array" ref="AR230">_xlfn.IFNA((INDEX('DMR 001C TIN &amp; TP'!$A$3:$M$10005,MATCH(('Reg 85'!$AQ$6&amp;'Reg 85'!$AQ$10&amp;'Reg 85'!$B230),('DMR 001C TIN &amp; TP'!$E$3:$E$10005&amp;'DMR 001C TIN &amp; TP'!$B$3:$B$10005&amp;'DMR 001C TIN &amp; TP'!$A$3:$A$10005),0),MATCH('Reg 85'!$AR$11,'DMR 001C TIN &amp; TP'!$A$2:$M$2,0))),"")</f>
        <v>0.03</v>
      </c>
      <c r="AS230" s="6">
        <f t="array" ref="AS230">_xlfn.IFNA((INDEX('DMR 001C TIN &amp; TP'!$A$3:$M$10005,MATCH(('Reg 85'!$AQ$6&amp;'Reg 85'!$AQ$10&amp;'Reg 85'!$B230),('DMR 001C TIN &amp; TP'!$E$3:$E$10005&amp;'DMR 001C TIN &amp; TP'!$B$3:$B$10005&amp;'DMR 001C TIN &amp; TP'!$A$3:$A$10005),0),MATCH('Reg 85'!$AS$11,'DMR 001C TIN &amp; TP'!$A$2:$M$2,0))),"")</f>
        <v>0.23</v>
      </c>
      <c r="AT230" s="53">
        <f t="shared" si="97"/>
        <v>0.23</v>
      </c>
      <c r="AV230" s="6" t="str">
        <f t="array" ref="AV230">_xlfn.IFNA((INDEX('DMR 001C TIN &amp; TP'!$A$3:$M$10005,MATCH(('Reg 85'!$AQ$6&amp;'Reg 85'!$AU$10&amp;'Reg 85'!$B230),('DMR 001C TIN &amp; TP'!$E$3:$E$10005&amp;'DMR 001C TIN &amp; TP'!$B$3:$B$10005&amp;'DMR 001C TIN &amp; TP'!$A$3:$A$10005),0),MATCH('Reg 85'!$AV$11,'DMR 001C TIN &amp; TP'!$A$2:$M$2,0))),"")</f>
        <v>0.03</v>
      </c>
      <c r="AW230" s="6">
        <f t="array" ref="AW230">_xlfn.IFNA((INDEX('DMR 001C TIN &amp; TP'!$A$3:$M$10005,MATCH(('Reg 85'!$AQ$6&amp;'Reg 85'!$AU$10&amp;'Reg 85'!$B230),('DMR 001C TIN &amp; TP'!$E$3:$E$10005&amp;'DMR 001C TIN &amp; TP'!$B$3:$B$10005&amp;'DMR 001C TIN &amp; TP'!$A$3:$A$10005),0),MATCH('Reg 85'!$AW$11,'DMR 001C TIN &amp; TP'!$A$2:$M$2,0))),"")</f>
        <v>1.9</v>
      </c>
      <c r="AX230" s="53">
        <f t="shared" si="98"/>
        <v>1.9</v>
      </c>
      <c r="AY230" s="55">
        <f t="shared" si="99"/>
        <v>1.1033549451933786</v>
      </c>
      <c r="AZ230" s="77" t="str">
        <f t="shared" si="82"/>
        <v/>
      </c>
      <c r="BA230" s="6" t="str">
        <f t="array" ref="BA230">_xlfn.IFNA((INDEX('DMR 001C TIN &amp; TP'!$A$3:$M$10005,MATCH(('Reg 85'!$AQ$6&amp;'Reg 85'!BA$10&amp;'Reg 85'!$B230),('DMR 001C TIN &amp; TP'!$E$3:$E$10005&amp;'DMR 001C TIN &amp; TP'!$B$3:$B$10005&amp;'DMR 001C TIN &amp; TP'!$A$3:$A$10005),0),MATCH('Reg 85'!$AG$11,'DMR 001C TIN &amp; TP'!$A$2:$M$2,0))),"")</f>
        <v/>
      </c>
      <c r="BB230" s="6" t="str">
        <f t="array" ref="BB230">_xlfn.IFNA((INDEX('DMR 001C TIN &amp; TP'!$A$3:$M$10005,MATCH(('Reg 85'!$AQ$6&amp;'Reg 85'!BB$10&amp;'Reg 85'!$B230),('DMR 001C TIN &amp; TP'!$E$3:$E$10005&amp;'DMR 001C TIN &amp; TP'!$B$3:$B$10005&amp;'DMR 001C TIN &amp; TP'!$A$3:$A$10005),0),MATCH('Reg 85'!$AG$11,'DMR 001C TIN &amp; TP'!$A$2:$M$2,0))),"")</f>
        <v/>
      </c>
      <c r="BC230" s="6" t="str">
        <f t="array" ref="BC230">_xlfn.IFNA((INDEX('DMR 001C TIN &amp; TP'!$A$3:$M$10005,MATCH(('Reg 85'!$AQ$6&amp;'Reg 85'!BC$10&amp;'Reg 85'!$B230),('DMR 001C TIN &amp; TP'!$E$3:$E$10005&amp;'DMR 001C TIN &amp; TP'!$B$3:$B$10005&amp;'DMR 001C TIN &amp; TP'!$A$3:$A$10005),0),MATCH('Reg 85'!$AG$11,'DMR 001C TIN &amp; TP'!$A$2:$M$2,0))),"")</f>
        <v/>
      </c>
      <c r="BD230" s="6" t="str">
        <f t="array" ref="BD230">_xlfn.IFNA((INDEX('DMR 001C TIN &amp; TP'!$A$3:$M$10005,MATCH(('Reg 85'!$AQ$6&amp;'Reg 85'!BD$10&amp;'Reg 85'!$B230),('DMR 001C TIN &amp; TP'!$E$3:$E$10005&amp;'DMR 001C TIN &amp; TP'!$B$3:$B$10005&amp;'DMR 001C TIN &amp; TP'!$A$3:$A$10005),0),MATCH('Reg 85'!$AG$11,'DMR 001C TIN &amp; TP'!$A$2:$M$2,0))),"")</f>
        <v/>
      </c>
      <c r="BE230" s="6" t="str">
        <f t="array" ref="BE230">_xlfn.IFNA((INDEX('DMR 001C TIN &amp; TP'!$A$3:$M$10005,MATCH(('Reg 85'!$AQ$6&amp;'Reg 85'!BE$10&amp;'Reg 85'!$B230),('DMR 001C TIN &amp; TP'!$E$3:$E$10005&amp;'DMR 001C TIN &amp; TP'!$B$3:$B$10005&amp;'DMR 001C TIN &amp; TP'!$A$3:$A$10005),0),MATCH('Reg 85'!$AG$11,'DMR 001C TIN &amp; TP'!$A$2:$M$2,0))),"")</f>
        <v/>
      </c>
      <c r="BF230" s="6" t="str">
        <f t="array" ref="BF230">_xlfn.IFNA((INDEX('DMR 001C TIN &amp; TP'!$A$3:$M$10005,MATCH(('Reg 85'!$AQ$6&amp;'Reg 85'!BF$10&amp;'Reg 85'!$B230),('DMR 001C TIN &amp; TP'!$E$3:$E$10005&amp;'DMR 001C TIN &amp; TP'!$B$3:$B$10005&amp;'DMR 001C TIN &amp; TP'!$A$3:$A$10005),0),MATCH('Reg 85'!$AG$11,'DMR 001C TIN &amp; TP'!$A$2:$M$2,0))),"")</f>
        <v/>
      </c>
    </row>
    <row r="231" spans="1:58">
      <c r="A231" s="3" t="str">
        <f t="shared" si="84"/>
        <v>Mon</v>
      </c>
      <c r="B231" s="96">
        <f t="shared" si="100"/>
        <v>43563</v>
      </c>
      <c r="C231" s="96">
        <f t="shared" si="85"/>
        <v>43585</v>
      </c>
      <c r="D231" s="96">
        <f t="shared" si="86"/>
        <v>43556</v>
      </c>
      <c r="E231" s="95">
        <f t="shared" si="87"/>
        <v>30</v>
      </c>
      <c r="F231" s="7">
        <f t="array" ref="F231">_xlfn.IFNA(INDEX('DMR Flows-Effluent'!$A$3:$F$9999,MATCH(($F$10&amp;$B231),('DMR Flows-Effluent'!$B$3:$B$9999&amp;'DMR Flows-Effluent'!$A$3:$A$9999),0),MATCH($F$8,'DMR Flows-Effluent'!$A$2:$F$2,0)),"")</f>
        <v>67.660899999999998</v>
      </c>
      <c r="G231" s="7">
        <f t="array" ref="G231">_xlfn.IFNA(INDEX('DMR Flows-Effluent'!$A$3:$F$9999,MATCH(($G$10&amp;$B231),('DMR Flows-Effluent'!$B$3:$B$9999&amp;'DMR Flows-Effluent'!$A$3:$A$9999),0),MATCH($F$8,'DMR Flows-Effluent'!$A$2:$F$2,0)),"")</f>
        <v>56.648899999999998</v>
      </c>
      <c r="H231" s="7">
        <f t="shared" si="88"/>
        <v>124.3098</v>
      </c>
      <c r="I231" s="45" t="str">
        <f t="shared" si="89"/>
        <v/>
      </c>
      <c r="J231" s="6" t="str">
        <f t="array" ref="J231">_xlfn.IFNA((INDEX('DMR 001C TIN &amp; TP'!$A$3:$M$10005,MATCH(('Reg 85'!$I$6:$Q$6&amp;'Reg 85'!$I$10:$K$10&amp;'Reg 85'!$B231),('DMR 001C TIN &amp; TP'!$E$3:$E$10005&amp;'DMR 001C TIN &amp; TP'!$B$3:$B$10005&amp;'DMR 001C TIN &amp; TP'!$A$3:$A$10005),0),MATCH('Reg 85'!$J$11,'DMR 001C TIN &amp; TP'!$A$2:$M$2,0))),"")</f>
        <v/>
      </c>
      <c r="K231" s="6" t="str">
        <f t="array" ref="K231">_xlfn.IFNA((INDEX('DMR 001C TIN &amp; TP'!$A$3:$M$10005,MATCH(('Reg 85'!$I$6:$Q$6&amp;'Reg 85'!$I$10:$K$10&amp;'Reg 85'!$B231),('DMR 001C TIN &amp; TP'!$E$3:$E$10005&amp;'DMR 001C TIN &amp; TP'!$B$3:$B$10005&amp;'DMR 001C TIN &amp; TP'!$A$3:$A$10005),0),MATCH('Reg 85'!$K$11,'DMR 001C TIN &amp; TP'!$A$2:$M$2,0))),"")</f>
        <v/>
      </c>
      <c r="L231" s="53" t="str">
        <f t="shared" si="101"/>
        <v/>
      </c>
      <c r="M231" s="5" t="str">
        <f t="shared" si="90"/>
        <v/>
      </c>
      <c r="N231" s="6" t="str">
        <f t="array" ref="N231">_xlfn.IFNA((INDEX('DMR 001C TIN &amp; TP'!$A$3:$M$10005,MATCH(('Reg 85'!$I$6:$Q$6&amp;'Reg 85'!$M$10&amp;'Reg 85'!$B231),('DMR 001C TIN &amp; TP'!$E$3:$E$10005&amp;'DMR 001C TIN &amp; TP'!$B$3:$B$10005&amp;'DMR 001C TIN &amp; TP'!$A$3:$A$10005),0),MATCH('Reg 85'!$N$11,'DMR 001C TIN &amp; TP'!$A$2:$M$2,0))),"")</f>
        <v/>
      </c>
      <c r="O231" s="6" t="str">
        <f t="array" ref="O231">_xlfn.IFNA((INDEX('DMR 001C TIN &amp; TP'!$A$3:$M$10005,MATCH(('Reg 85'!$I$6:$Q$6&amp;'Reg 85'!$M$10&amp;'Reg 85'!$B231),('DMR 001C TIN &amp; TP'!$E$3:$E$10005&amp;'DMR 001C TIN &amp; TP'!$B$3:$B$10005&amp;'DMR 001C TIN &amp; TP'!$A$3:$A$10005),0),MATCH('Reg 85'!$O$11,'DMR 001C TIN &amp; TP'!$A$2:$M$2,0))),"")</f>
        <v/>
      </c>
      <c r="P231" s="53" t="str">
        <f t="shared" si="91"/>
        <v/>
      </c>
      <c r="Q231" s="73" t="str">
        <f t="array" ref="Q231">IFERROR(((L231*$F231)+(P231*$G231))/($H231),"")</f>
        <v/>
      </c>
      <c r="R231" s="6" t="str">
        <f t="array" ref="R231">_xlfn.IFNA((INDEX('DMR 001C TIN &amp; TP'!$A$3:$M$10005,MATCH(('Reg 85'!$I$6:$Q$6&amp;'Reg 85'!R$10&amp;'Reg 85'!$B231),('DMR 001C TIN &amp; TP'!$E$3:$E$10005&amp;'DMR 001C TIN &amp; TP'!$B$3:$B$10005&amp;'DMR 001C TIN &amp; TP'!$A$3:$A$10005),0),MATCH('Reg 85'!$O$11,'DMR 001C TIN &amp; TP'!$A$2:$M$2,0))),"")</f>
        <v/>
      </c>
      <c r="S231" s="6" t="str">
        <f t="array" ref="S231">_xlfn.IFNA((INDEX('DMR 001C TIN &amp; TP'!$A$3:$M$10005,MATCH(('Reg 85'!$I$6:$Q$6&amp;'Reg 85'!S$10&amp;'Reg 85'!$B231),('DMR 001C TIN &amp; TP'!$E$3:$E$10005&amp;'DMR 001C TIN &amp; TP'!$B$3:$B$10005&amp;'DMR 001C TIN &amp; TP'!$A$3:$A$10005),0),MATCH('Reg 85'!$O$11,'DMR 001C TIN &amp; TP'!$A$2:$M$2,0))),"")</f>
        <v/>
      </c>
      <c r="T231" s="6" t="str">
        <f t="array" ref="T231">_xlfn.IFNA((INDEX('DMR 001C TIN &amp; TP'!$A$3:$M$10005,MATCH(('Reg 85'!$I$6:$Q$6&amp;'Reg 85'!T$10&amp;'Reg 85'!$B231),('DMR 001C TIN &amp; TP'!$E$3:$E$10005&amp;'DMR 001C TIN &amp; TP'!$B$3:$B$10005&amp;'DMR 001C TIN &amp; TP'!$A$3:$A$10005),0),MATCH('Reg 85'!$O$11,'DMR 001C TIN &amp; TP'!$A$2:$M$2,0))),"")</f>
        <v/>
      </c>
      <c r="U231" s="6" t="str">
        <f t="array" ref="U231">_xlfn.IFNA((INDEX('DMR 001C TIN &amp; TP'!$A$3:$M$10005,MATCH(('Reg 85'!$I$6:$Q$6&amp;'Reg 85'!U$10&amp;'Reg 85'!$B231),('DMR 001C TIN &amp; TP'!$E$3:$E$10005&amp;'DMR 001C TIN &amp; TP'!$B$3:$B$10005&amp;'DMR 001C TIN &amp; TP'!$A$3:$A$10005),0),MATCH('Reg 85'!$O$11,'DMR 001C TIN &amp; TP'!$A$2:$M$2,0))),"")</f>
        <v/>
      </c>
      <c r="V231" s="6" t="str">
        <f t="array" ref="V231">_xlfn.IFNA((INDEX('DMR 001C TIN &amp; TP'!$A$3:$M$10005,MATCH(('Reg 85'!$I$6:$Q$6&amp;'Reg 85'!V$10&amp;'Reg 85'!$B231),('DMR 001C TIN &amp; TP'!$E$3:$E$10005&amp;'DMR 001C TIN &amp; TP'!$B$3:$B$10005&amp;'DMR 001C TIN &amp; TP'!$A$3:$A$10005),0),MATCH('Reg 85'!$O$11,'DMR 001C TIN &amp; TP'!$A$2:$M$2,0))),"")</f>
        <v/>
      </c>
      <c r="W231" s="6" t="str">
        <f t="array" ref="W231">_xlfn.IFNA((INDEX('DMR 001C TIN &amp; TP'!$A$3:$M$10005,MATCH(('Reg 85'!$I$6:$Q$6&amp;'Reg 85'!W$10&amp;'Reg 85'!$B231),('DMR 001C TIN &amp; TP'!$E$3:$E$10005&amp;'DMR 001C TIN &amp; TP'!$B$3:$B$10005&amp;'DMR 001C TIN &amp; TP'!$A$3:$A$10005),0),MATCH('Reg 85'!$O$11,'DMR 001C TIN &amp; TP'!$A$2:$M$2,0))),"")</f>
        <v/>
      </c>
      <c r="X231" s="5" t="str">
        <f t="shared" si="92"/>
        <v/>
      </c>
      <c r="Y231" s="6" t="str">
        <f t="array" ref="Y231">_xlfn.IFNA((INDEX('DMR 001C TIN &amp; TP'!$A$3:$M$10005,MATCH(('Reg 85'!$X$6&amp;'Reg 85'!$X$10&amp;'Reg 85'!$B231),('DMR 001C TIN &amp; TP'!$E$3:$E$10005&amp;'DMR 001C TIN &amp; TP'!$B$3:$B$10005&amp;'DMR 001C TIN &amp; TP'!$A$3:$A$10005),0),MATCH('Reg 85'!$Y$11,'DMR 001C TIN &amp; TP'!$A$2:$M$2,0))),"")</f>
        <v/>
      </c>
      <c r="Z231" s="6" t="str">
        <f t="array" ref="Z231">_xlfn.IFNA((INDEX('DMR 001C TIN &amp; TP'!$A$3:$M$10005,MATCH(('Reg 85'!$X$6&amp;'Reg 85'!$X$10&amp;'Reg 85'!$B231),('DMR 001C TIN &amp; TP'!$E$3:$E$10005&amp;'DMR 001C TIN &amp; TP'!$B$3:$B$10005&amp;'DMR 001C TIN &amp; TP'!$A$3:$A$10005),0),MATCH('Reg 85'!$Z$11,'DMR 001C TIN &amp; TP'!$A$2:$M$2,0))),"")</f>
        <v/>
      </c>
      <c r="AA231" s="53" t="str">
        <f t="shared" si="93"/>
        <v/>
      </c>
      <c r="AB231" s="5" t="str">
        <f t="shared" si="94"/>
        <v/>
      </c>
      <c r="AC231" s="6" t="str">
        <f t="array" ref="AC231">_xlfn.IFNA((INDEX('DMR 001C TIN &amp; TP'!$A$3:$M$10005,MATCH(('Reg 85'!$X$6&amp;'Reg 85'!$AB$10&amp;'Reg 85'!$B231),('DMR 001C TIN &amp; TP'!$E$3:$E$10005&amp;'DMR 001C TIN &amp; TP'!$B$3:$B$10005&amp;'DMR 001C TIN &amp; TP'!$A$3:$A$10005),0),MATCH('Reg 85'!$AC$11,'DMR 001C TIN &amp; TP'!$A$2:$M$2,0))),"")</f>
        <v/>
      </c>
      <c r="AD231" s="6" t="str">
        <f t="array" ref="AD231">_xlfn.IFNA((INDEX('DMR 001C TIN &amp; TP'!$A$3:$M$10005,MATCH(('Reg 85'!$X$6&amp;'Reg 85'!$AB$10&amp;'Reg 85'!$B231),('DMR 001C TIN &amp; TP'!$E$3:$E$10005&amp;'DMR 001C TIN &amp; TP'!$B$3:$B$10005&amp;'DMR 001C TIN &amp; TP'!$A$3:$A$10005),0),MATCH('Reg 85'!$AD$11,'DMR 001C TIN &amp; TP'!$A$2:$M$2,0))),"")</f>
        <v/>
      </c>
      <c r="AE231" s="53" t="str">
        <f t="shared" si="95"/>
        <v/>
      </c>
      <c r="AF231" s="7" t="str">
        <f t="shared" si="96"/>
        <v/>
      </c>
      <c r="AG231" s="6" t="str">
        <f t="array" ref="AG231">_xlfn.IFNA((INDEX('DMR 001C TIN &amp; TP'!$A$3:$M$10005,MATCH(('Reg 85'!$X$6&amp;'Reg 85'!AG$10&amp;'Reg 85'!$B231),('DMR 001C TIN &amp; TP'!$E$3:$E$10005&amp;'DMR 001C TIN &amp; TP'!$B$3:$B$10005&amp;'DMR 001C TIN &amp; TP'!$A$3:$A$10005),0),MATCH('Reg 85'!$AG$11,'DMR 001C TIN &amp; TP'!$A$2:$M$2,0))),"")</f>
        <v/>
      </c>
      <c r="AH231" s="6" t="str">
        <f t="array" ref="AH231">_xlfn.IFNA((INDEX('DMR 001C TIN &amp; TP'!$A$3:$M$10005,MATCH(('Reg 85'!$X$6&amp;'Reg 85'!AH$10&amp;'Reg 85'!$B231),('DMR 001C TIN &amp; TP'!$E$3:$E$10005&amp;'DMR 001C TIN &amp; TP'!$B$3:$B$10005&amp;'DMR 001C TIN &amp; TP'!$A$3:$A$10005),0),MATCH('Reg 85'!$AG$11,'DMR 001C TIN &amp; TP'!$A$2:$M$2,0))),"")</f>
        <v/>
      </c>
      <c r="AI231" s="6" t="str">
        <f t="array" ref="AI231">_xlfn.IFNA((INDEX('DMR 001C TIN &amp; TP'!$A$3:$M$10005,MATCH(('Reg 85'!$X$6&amp;'Reg 85'!AI$10&amp;'Reg 85'!$B231),('DMR 001C TIN &amp; TP'!$E$3:$E$10005&amp;'DMR 001C TIN &amp; TP'!$B$3:$B$10005&amp;'DMR 001C TIN &amp; TP'!$A$3:$A$10005),0),MATCH('Reg 85'!$AG$11,'DMR 001C TIN &amp; TP'!$A$2:$M$2,0))),"")</f>
        <v/>
      </c>
      <c r="AJ231" s="6" t="str">
        <f t="array" ref="AJ231">_xlfn.IFNA((INDEX('DMR 001C TIN &amp; TP'!$A$3:$M$10005,MATCH(('Reg 85'!$X$6&amp;'Reg 85'!AJ$10&amp;'Reg 85'!$B231),('DMR 001C TIN &amp; TP'!$E$3:$E$10005&amp;'DMR 001C TIN &amp; TP'!$B$3:$B$10005&amp;'DMR 001C TIN &amp; TP'!$A$3:$A$10005),0),MATCH('Reg 85'!$AG$11,'DMR 001C TIN &amp; TP'!$A$2:$M$2,0))),"")</f>
        <v/>
      </c>
      <c r="AK231" s="6" t="str">
        <f t="array" ref="AK231">_xlfn.IFNA((INDEX('DMR 001C TIN &amp; TP'!$A$3:$M$10005,MATCH(('Reg 85'!$X$6&amp;'Reg 85'!AK$10&amp;'Reg 85'!$B231),('DMR 001C TIN &amp; TP'!$E$3:$E$10005&amp;'DMR 001C TIN &amp; TP'!$B$3:$B$10005&amp;'DMR 001C TIN &amp; TP'!$A$3:$A$10005),0),MATCH('Reg 85'!$AG$11,'DMR 001C TIN &amp; TP'!$A$2:$M$2,0))),"")</f>
        <v/>
      </c>
      <c r="AL231" s="6" t="str">
        <f t="array" ref="AL231">_xlfn.IFNA((INDEX('DMR 001C TIN &amp; TP'!$A$3:$M$10005,MATCH(('Reg 85'!$X$6&amp;'Reg 85'!AL$10&amp;'Reg 85'!$B231),('DMR 001C TIN &amp; TP'!$E$3:$E$10005&amp;'DMR 001C TIN &amp; TP'!$B$3:$B$10005&amp;'DMR 001C TIN &amp; TP'!$A$3:$A$10005),0),MATCH('Reg 85'!$AG$11,'DMR 001C TIN &amp; TP'!$A$2:$M$2,0))),"")</f>
        <v/>
      </c>
      <c r="AM231" s="76"/>
      <c r="AN231" s="6"/>
      <c r="AO231" s="54" t="str">
        <f t="shared" si="83"/>
        <v/>
      </c>
      <c r="AP231" s="77" t="str">
        <f t="shared" si="81"/>
        <v/>
      </c>
      <c r="AQ231" s="47"/>
      <c r="AR231" s="6" t="str">
        <f t="array" ref="AR231">_xlfn.IFNA((INDEX('DMR 001C TIN &amp; TP'!$A$3:$M$10005,MATCH(('Reg 85'!$AQ$6&amp;'Reg 85'!$AQ$10&amp;'Reg 85'!$B231),('DMR 001C TIN &amp; TP'!$E$3:$E$10005&amp;'DMR 001C TIN &amp; TP'!$B$3:$B$10005&amp;'DMR 001C TIN &amp; TP'!$A$3:$A$10005),0),MATCH('Reg 85'!$AR$11,'DMR 001C TIN &amp; TP'!$A$2:$M$2,0))),"")</f>
        <v>0.03</v>
      </c>
      <c r="AS231" s="6">
        <f t="array" ref="AS231">_xlfn.IFNA((INDEX('DMR 001C TIN &amp; TP'!$A$3:$M$10005,MATCH(('Reg 85'!$AQ$6&amp;'Reg 85'!$AQ$10&amp;'Reg 85'!$B231),('DMR 001C TIN &amp; TP'!$E$3:$E$10005&amp;'DMR 001C TIN &amp; TP'!$B$3:$B$10005&amp;'DMR 001C TIN &amp; TP'!$A$3:$A$10005),0),MATCH('Reg 85'!$AS$11,'DMR 001C TIN &amp; TP'!$A$2:$M$2,0))),"")</f>
        <v>0.24</v>
      </c>
      <c r="AT231" s="53">
        <f t="shared" si="97"/>
        <v>0.24</v>
      </c>
      <c r="AV231" s="6" t="str">
        <f t="array" ref="AV231">_xlfn.IFNA((INDEX('DMR 001C TIN &amp; TP'!$A$3:$M$10005,MATCH(('Reg 85'!$AQ$6&amp;'Reg 85'!$AU$10&amp;'Reg 85'!$B231),('DMR 001C TIN &amp; TP'!$E$3:$E$10005&amp;'DMR 001C TIN &amp; TP'!$B$3:$B$10005&amp;'DMR 001C TIN &amp; TP'!$A$3:$A$10005),0),MATCH('Reg 85'!$AV$11,'DMR 001C TIN &amp; TP'!$A$2:$M$2,0))),"")</f>
        <v>0.03</v>
      </c>
      <c r="AW231" s="6">
        <f t="array" ref="AW231">_xlfn.IFNA((INDEX('DMR 001C TIN &amp; TP'!$A$3:$M$10005,MATCH(('Reg 85'!$AQ$6&amp;'Reg 85'!$AU$10&amp;'Reg 85'!$B231),('DMR 001C TIN &amp; TP'!$E$3:$E$10005&amp;'DMR 001C TIN &amp; TP'!$B$3:$B$10005&amp;'DMR 001C TIN &amp; TP'!$A$3:$A$10005),0),MATCH('Reg 85'!$AW$11,'DMR 001C TIN &amp; TP'!$A$2:$M$2,0))),"")</f>
        <v>2.63</v>
      </c>
      <c r="AX231" s="53">
        <f t="shared" si="98"/>
        <v>2.63</v>
      </c>
      <c r="AY231" s="55">
        <f t="shared" si="99"/>
        <v>1.3291407676627265</v>
      </c>
      <c r="AZ231" s="77" t="str">
        <f t="shared" si="82"/>
        <v/>
      </c>
      <c r="BA231" s="6" t="str">
        <f t="array" ref="BA231">_xlfn.IFNA((INDEX('DMR 001C TIN &amp; TP'!$A$3:$M$10005,MATCH(('Reg 85'!$AQ$6&amp;'Reg 85'!BA$10&amp;'Reg 85'!$B231),('DMR 001C TIN &amp; TP'!$E$3:$E$10005&amp;'DMR 001C TIN &amp; TP'!$B$3:$B$10005&amp;'DMR 001C TIN &amp; TP'!$A$3:$A$10005),0),MATCH('Reg 85'!$AG$11,'DMR 001C TIN &amp; TP'!$A$2:$M$2,0))),"")</f>
        <v/>
      </c>
      <c r="BB231" s="6" t="str">
        <f t="array" ref="BB231">_xlfn.IFNA((INDEX('DMR 001C TIN &amp; TP'!$A$3:$M$10005,MATCH(('Reg 85'!$AQ$6&amp;'Reg 85'!BB$10&amp;'Reg 85'!$B231),('DMR 001C TIN &amp; TP'!$E$3:$E$10005&amp;'DMR 001C TIN &amp; TP'!$B$3:$B$10005&amp;'DMR 001C TIN &amp; TP'!$A$3:$A$10005),0),MATCH('Reg 85'!$AG$11,'DMR 001C TIN &amp; TP'!$A$2:$M$2,0))),"")</f>
        <v/>
      </c>
      <c r="BC231" s="6" t="str">
        <f t="array" ref="BC231">_xlfn.IFNA((INDEX('DMR 001C TIN &amp; TP'!$A$3:$M$10005,MATCH(('Reg 85'!$AQ$6&amp;'Reg 85'!BC$10&amp;'Reg 85'!$B231),('DMR 001C TIN &amp; TP'!$E$3:$E$10005&amp;'DMR 001C TIN &amp; TP'!$B$3:$B$10005&amp;'DMR 001C TIN &amp; TP'!$A$3:$A$10005),0),MATCH('Reg 85'!$AG$11,'DMR 001C TIN &amp; TP'!$A$2:$M$2,0))),"")</f>
        <v/>
      </c>
      <c r="BD231" s="6" t="str">
        <f t="array" ref="BD231">_xlfn.IFNA((INDEX('DMR 001C TIN &amp; TP'!$A$3:$M$10005,MATCH(('Reg 85'!$AQ$6&amp;'Reg 85'!BD$10&amp;'Reg 85'!$B231),('DMR 001C TIN &amp; TP'!$E$3:$E$10005&amp;'DMR 001C TIN &amp; TP'!$B$3:$B$10005&amp;'DMR 001C TIN &amp; TP'!$A$3:$A$10005),0),MATCH('Reg 85'!$AG$11,'DMR 001C TIN &amp; TP'!$A$2:$M$2,0))),"")</f>
        <v/>
      </c>
      <c r="BE231" s="6" t="str">
        <f t="array" ref="BE231">_xlfn.IFNA((INDEX('DMR 001C TIN &amp; TP'!$A$3:$M$10005,MATCH(('Reg 85'!$AQ$6&amp;'Reg 85'!BE$10&amp;'Reg 85'!$B231),('DMR 001C TIN &amp; TP'!$E$3:$E$10005&amp;'DMR 001C TIN &amp; TP'!$B$3:$B$10005&amp;'DMR 001C TIN &amp; TP'!$A$3:$A$10005),0),MATCH('Reg 85'!$AG$11,'DMR 001C TIN &amp; TP'!$A$2:$M$2,0))),"")</f>
        <v/>
      </c>
      <c r="BF231" s="6" t="str">
        <f t="array" ref="BF231">_xlfn.IFNA((INDEX('DMR 001C TIN &amp; TP'!$A$3:$M$10005,MATCH(('Reg 85'!$AQ$6&amp;'Reg 85'!BF$10&amp;'Reg 85'!$B231),('DMR 001C TIN &amp; TP'!$E$3:$E$10005&amp;'DMR 001C TIN &amp; TP'!$B$3:$B$10005&amp;'DMR 001C TIN &amp; TP'!$A$3:$A$10005),0),MATCH('Reg 85'!$AG$11,'DMR 001C TIN &amp; TP'!$A$2:$M$2,0))),"")</f>
        <v/>
      </c>
    </row>
    <row r="232" spans="1:58">
      <c r="A232" s="3" t="str">
        <f t="shared" si="84"/>
        <v>Tue</v>
      </c>
      <c r="B232" s="96">
        <f t="shared" si="100"/>
        <v>43564</v>
      </c>
      <c r="C232" s="96">
        <f t="shared" si="85"/>
        <v>43585</v>
      </c>
      <c r="D232" s="96">
        <f t="shared" si="86"/>
        <v>43556</v>
      </c>
      <c r="E232" s="95">
        <f t="shared" si="87"/>
        <v>30</v>
      </c>
      <c r="F232" s="7">
        <f t="array" ref="F232">_xlfn.IFNA(INDEX('DMR Flows-Effluent'!$A$3:$F$9999,MATCH(($F$10&amp;$B232),('DMR Flows-Effluent'!$B$3:$B$9999&amp;'DMR Flows-Effluent'!$A$3:$A$9999),0),MATCH($F$8,'DMR Flows-Effluent'!$A$2:$F$2,0)),"")</f>
        <v>63.2714</v>
      </c>
      <c r="G232" s="7">
        <f t="array" ref="G232">_xlfn.IFNA(INDEX('DMR Flows-Effluent'!$A$3:$F$9999,MATCH(($G$10&amp;$B232),('DMR Flows-Effluent'!$B$3:$B$9999&amp;'DMR Flows-Effluent'!$A$3:$A$9999),0),MATCH($F$8,'DMR Flows-Effluent'!$A$2:$F$2,0)),"")</f>
        <v>55.920499999999997</v>
      </c>
      <c r="H232" s="7">
        <f t="shared" si="88"/>
        <v>119.1919</v>
      </c>
      <c r="I232" s="45" t="str">
        <f t="shared" si="89"/>
        <v/>
      </c>
      <c r="J232" s="6" t="str">
        <f t="array" ref="J232">_xlfn.IFNA((INDEX('DMR 001C TIN &amp; TP'!$A$3:$M$10005,MATCH(('Reg 85'!$I$6:$Q$6&amp;'Reg 85'!$I$10:$K$10&amp;'Reg 85'!$B232),('DMR 001C TIN &amp; TP'!$E$3:$E$10005&amp;'DMR 001C TIN &amp; TP'!$B$3:$B$10005&amp;'DMR 001C TIN &amp; TP'!$A$3:$A$10005),0),MATCH('Reg 85'!$J$11,'DMR 001C TIN &amp; TP'!$A$2:$M$2,0))),"")</f>
        <v/>
      </c>
      <c r="K232" s="6" t="str">
        <f t="array" ref="K232">_xlfn.IFNA((INDEX('DMR 001C TIN &amp; TP'!$A$3:$M$10005,MATCH(('Reg 85'!$I$6:$Q$6&amp;'Reg 85'!$I$10:$K$10&amp;'Reg 85'!$B232),('DMR 001C TIN &amp; TP'!$E$3:$E$10005&amp;'DMR 001C TIN &amp; TP'!$B$3:$B$10005&amp;'DMR 001C TIN &amp; TP'!$A$3:$A$10005),0),MATCH('Reg 85'!$K$11,'DMR 001C TIN &amp; TP'!$A$2:$M$2,0))),"")</f>
        <v/>
      </c>
      <c r="L232" s="53" t="str">
        <f t="shared" si="101"/>
        <v/>
      </c>
      <c r="M232" s="5" t="str">
        <f t="shared" si="90"/>
        <v/>
      </c>
      <c r="N232" s="6" t="str">
        <f t="array" ref="N232">_xlfn.IFNA((INDEX('DMR 001C TIN &amp; TP'!$A$3:$M$10005,MATCH(('Reg 85'!$I$6:$Q$6&amp;'Reg 85'!$M$10&amp;'Reg 85'!$B232),('DMR 001C TIN &amp; TP'!$E$3:$E$10005&amp;'DMR 001C TIN &amp; TP'!$B$3:$B$10005&amp;'DMR 001C TIN &amp; TP'!$A$3:$A$10005),0),MATCH('Reg 85'!$N$11,'DMR 001C TIN &amp; TP'!$A$2:$M$2,0))),"")</f>
        <v/>
      </c>
      <c r="O232" s="6" t="str">
        <f t="array" ref="O232">_xlfn.IFNA((INDEX('DMR 001C TIN &amp; TP'!$A$3:$M$10005,MATCH(('Reg 85'!$I$6:$Q$6&amp;'Reg 85'!$M$10&amp;'Reg 85'!$B232),('DMR 001C TIN &amp; TP'!$E$3:$E$10005&amp;'DMR 001C TIN &amp; TP'!$B$3:$B$10005&amp;'DMR 001C TIN &amp; TP'!$A$3:$A$10005),0),MATCH('Reg 85'!$O$11,'DMR 001C TIN &amp; TP'!$A$2:$M$2,0))),"")</f>
        <v/>
      </c>
      <c r="P232" s="53" t="str">
        <f t="shared" si="91"/>
        <v/>
      </c>
      <c r="Q232" s="73" t="str">
        <f t="array" ref="Q232">IFERROR(((L232*$F232)+(P232*$G232))/($H232),"")</f>
        <v/>
      </c>
      <c r="R232" s="6" t="str">
        <f t="array" ref="R232">_xlfn.IFNA((INDEX('DMR 001C TIN &amp; TP'!$A$3:$M$10005,MATCH(('Reg 85'!$I$6:$Q$6&amp;'Reg 85'!R$10&amp;'Reg 85'!$B232),('DMR 001C TIN &amp; TP'!$E$3:$E$10005&amp;'DMR 001C TIN &amp; TP'!$B$3:$B$10005&amp;'DMR 001C TIN &amp; TP'!$A$3:$A$10005),0),MATCH('Reg 85'!$O$11,'DMR 001C TIN &amp; TP'!$A$2:$M$2,0))),"")</f>
        <v/>
      </c>
      <c r="S232" s="6" t="str">
        <f t="array" ref="S232">_xlfn.IFNA((INDEX('DMR 001C TIN &amp; TP'!$A$3:$M$10005,MATCH(('Reg 85'!$I$6:$Q$6&amp;'Reg 85'!S$10&amp;'Reg 85'!$B232),('DMR 001C TIN &amp; TP'!$E$3:$E$10005&amp;'DMR 001C TIN &amp; TP'!$B$3:$B$10005&amp;'DMR 001C TIN &amp; TP'!$A$3:$A$10005),0),MATCH('Reg 85'!$O$11,'DMR 001C TIN &amp; TP'!$A$2:$M$2,0))),"")</f>
        <v/>
      </c>
      <c r="T232" s="6" t="str">
        <f t="array" ref="T232">_xlfn.IFNA((INDEX('DMR 001C TIN &amp; TP'!$A$3:$M$10005,MATCH(('Reg 85'!$I$6:$Q$6&amp;'Reg 85'!T$10&amp;'Reg 85'!$B232),('DMR 001C TIN &amp; TP'!$E$3:$E$10005&amp;'DMR 001C TIN &amp; TP'!$B$3:$B$10005&amp;'DMR 001C TIN &amp; TP'!$A$3:$A$10005),0),MATCH('Reg 85'!$O$11,'DMR 001C TIN &amp; TP'!$A$2:$M$2,0))),"")</f>
        <v/>
      </c>
      <c r="U232" s="6" t="str">
        <f t="array" ref="U232">_xlfn.IFNA((INDEX('DMR 001C TIN &amp; TP'!$A$3:$M$10005,MATCH(('Reg 85'!$I$6:$Q$6&amp;'Reg 85'!U$10&amp;'Reg 85'!$B232),('DMR 001C TIN &amp; TP'!$E$3:$E$10005&amp;'DMR 001C TIN &amp; TP'!$B$3:$B$10005&amp;'DMR 001C TIN &amp; TP'!$A$3:$A$10005),0),MATCH('Reg 85'!$O$11,'DMR 001C TIN &amp; TP'!$A$2:$M$2,0))),"")</f>
        <v/>
      </c>
      <c r="V232" s="6" t="str">
        <f t="array" ref="V232">_xlfn.IFNA((INDEX('DMR 001C TIN &amp; TP'!$A$3:$M$10005,MATCH(('Reg 85'!$I$6:$Q$6&amp;'Reg 85'!V$10&amp;'Reg 85'!$B232),('DMR 001C TIN &amp; TP'!$E$3:$E$10005&amp;'DMR 001C TIN &amp; TP'!$B$3:$B$10005&amp;'DMR 001C TIN &amp; TP'!$A$3:$A$10005),0),MATCH('Reg 85'!$O$11,'DMR 001C TIN &amp; TP'!$A$2:$M$2,0))),"")</f>
        <v/>
      </c>
      <c r="W232" s="6" t="str">
        <f t="array" ref="W232">_xlfn.IFNA((INDEX('DMR 001C TIN &amp; TP'!$A$3:$M$10005,MATCH(('Reg 85'!$I$6:$Q$6&amp;'Reg 85'!W$10&amp;'Reg 85'!$B232),('DMR 001C TIN &amp; TP'!$E$3:$E$10005&amp;'DMR 001C TIN &amp; TP'!$B$3:$B$10005&amp;'DMR 001C TIN &amp; TP'!$A$3:$A$10005),0),MATCH('Reg 85'!$O$11,'DMR 001C TIN &amp; TP'!$A$2:$M$2,0))),"")</f>
        <v/>
      </c>
      <c r="X232" s="5" t="str">
        <f t="shared" si="92"/>
        <v/>
      </c>
      <c r="Y232" s="6" t="str">
        <f t="array" ref="Y232">_xlfn.IFNA((INDEX('DMR 001C TIN &amp; TP'!$A$3:$M$10005,MATCH(('Reg 85'!$X$6&amp;'Reg 85'!$X$10&amp;'Reg 85'!$B232),('DMR 001C TIN &amp; TP'!$E$3:$E$10005&amp;'DMR 001C TIN &amp; TP'!$B$3:$B$10005&amp;'DMR 001C TIN &amp; TP'!$A$3:$A$10005),0),MATCH('Reg 85'!$Y$11,'DMR 001C TIN &amp; TP'!$A$2:$M$2,0))),"")</f>
        <v/>
      </c>
      <c r="Z232" s="6" t="str">
        <f t="array" ref="Z232">_xlfn.IFNA((INDEX('DMR 001C TIN &amp; TP'!$A$3:$M$10005,MATCH(('Reg 85'!$X$6&amp;'Reg 85'!$X$10&amp;'Reg 85'!$B232),('DMR 001C TIN &amp; TP'!$E$3:$E$10005&amp;'DMR 001C TIN &amp; TP'!$B$3:$B$10005&amp;'DMR 001C TIN &amp; TP'!$A$3:$A$10005),0),MATCH('Reg 85'!$Z$11,'DMR 001C TIN &amp; TP'!$A$2:$M$2,0))),"")</f>
        <v/>
      </c>
      <c r="AA232" s="53" t="str">
        <f t="shared" si="93"/>
        <v/>
      </c>
      <c r="AB232" s="5" t="str">
        <f t="shared" si="94"/>
        <v/>
      </c>
      <c r="AC232" s="6" t="str">
        <f t="array" ref="AC232">_xlfn.IFNA((INDEX('DMR 001C TIN &amp; TP'!$A$3:$M$10005,MATCH(('Reg 85'!$X$6&amp;'Reg 85'!$AB$10&amp;'Reg 85'!$B232),('DMR 001C TIN &amp; TP'!$E$3:$E$10005&amp;'DMR 001C TIN &amp; TP'!$B$3:$B$10005&amp;'DMR 001C TIN &amp; TP'!$A$3:$A$10005),0),MATCH('Reg 85'!$AC$11,'DMR 001C TIN &amp; TP'!$A$2:$M$2,0))),"")</f>
        <v/>
      </c>
      <c r="AD232" s="6" t="str">
        <f t="array" ref="AD232">_xlfn.IFNA((INDEX('DMR 001C TIN &amp; TP'!$A$3:$M$10005,MATCH(('Reg 85'!$X$6&amp;'Reg 85'!$AB$10&amp;'Reg 85'!$B232),('DMR 001C TIN &amp; TP'!$E$3:$E$10005&amp;'DMR 001C TIN &amp; TP'!$B$3:$B$10005&amp;'DMR 001C TIN &amp; TP'!$A$3:$A$10005),0),MATCH('Reg 85'!$AD$11,'DMR 001C TIN &amp; TP'!$A$2:$M$2,0))),"")</f>
        <v/>
      </c>
      <c r="AE232" s="53" t="str">
        <f t="shared" si="95"/>
        <v/>
      </c>
      <c r="AF232" s="7" t="str">
        <f t="shared" si="96"/>
        <v/>
      </c>
      <c r="AG232" s="6" t="str">
        <f t="array" ref="AG232">_xlfn.IFNA((INDEX('DMR 001C TIN &amp; TP'!$A$3:$M$10005,MATCH(('Reg 85'!$X$6&amp;'Reg 85'!AG$10&amp;'Reg 85'!$B232),('DMR 001C TIN &amp; TP'!$E$3:$E$10005&amp;'DMR 001C TIN &amp; TP'!$B$3:$B$10005&amp;'DMR 001C TIN &amp; TP'!$A$3:$A$10005),0),MATCH('Reg 85'!$AG$11,'DMR 001C TIN &amp; TP'!$A$2:$M$2,0))),"")</f>
        <v/>
      </c>
      <c r="AH232" s="6" t="str">
        <f t="array" ref="AH232">_xlfn.IFNA((INDEX('DMR 001C TIN &amp; TP'!$A$3:$M$10005,MATCH(('Reg 85'!$X$6&amp;'Reg 85'!AH$10&amp;'Reg 85'!$B232),('DMR 001C TIN &amp; TP'!$E$3:$E$10005&amp;'DMR 001C TIN &amp; TP'!$B$3:$B$10005&amp;'DMR 001C TIN &amp; TP'!$A$3:$A$10005),0),MATCH('Reg 85'!$AG$11,'DMR 001C TIN &amp; TP'!$A$2:$M$2,0))),"")</f>
        <v/>
      </c>
      <c r="AI232" s="6" t="str">
        <f t="array" ref="AI232">_xlfn.IFNA((INDEX('DMR 001C TIN &amp; TP'!$A$3:$M$10005,MATCH(('Reg 85'!$X$6&amp;'Reg 85'!AI$10&amp;'Reg 85'!$B232),('DMR 001C TIN &amp; TP'!$E$3:$E$10005&amp;'DMR 001C TIN &amp; TP'!$B$3:$B$10005&amp;'DMR 001C TIN &amp; TP'!$A$3:$A$10005),0),MATCH('Reg 85'!$AG$11,'DMR 001C TIN &amp; TP'!$A$2:$M$2,0))),"")</f>
        <v/>
      </c>
      <c r="AJ232" s="6" t="str">
        <f t="array" ref="AJ232">_xlfn.IFNA((INDEX('DMR 001C TIN &amp; TP'!$A$3:$M$10005,MATCH(('Reg 85'!$X$6&amp;'Reg 85'!AJ$10&amp;'Reg 85'!$B232),('DMR 001C TIN &amp; TP'!$E$3:$E$10005&amp;'DMR 001C TIN &amp; TP'!$B$3:$B$10005&amp;'DMR 001C TIN &amp; TP'!$A$3:$A$10005),0),MATCH('Reg 85'!$AG$11,'DMR 001C TIN &amp; TP'!$A$2:$M$2,0))),"")</f>
        <v/>
      </c>
      <c r="AK232" s="6" t="str">
        <f t="array" ref="AK232">_xlfn.IFNA((INDEX('DMR 001C TIN &amp; TP'!$A$3:$M$10005,MATCH(('Reg 85'!$X$6&amp;'Reg 85'!AK$10&amp;'Reg 85'!$B232),('DMR 001C TIN &amp; TP'!$E$3:$E$10005&amp;'DMR 001C TIN &amp; TP'!$B$3:$B$10005&amp;'DMR 001C TIN &amp; TP'!$A$3:$A$10005),0),MATCH('Reg 85'!$AG$11,'DMR 001C TIN &amp; TP'!$A$2:$M$2,0))),"")</f>
        <v/>
      </c>
      <c r="AL232" s="6" t="str">
        <f t="array" ref="AL232">_xlfn.IFNA((INDEX('DMR 001C TIN &amp; TP'!$A$3:$M$10005,MATCH(('Reg 85'!$X$6&amp;'Reg 85'!AL$10&amp;'Reg 85'!$B232),('DMR 001C TIN &amp; TP'!$E$3:$E$10005&amp;'DMR 001C TIN &amp; TP'!$B$3:$B$10005&amp;'DMR 001C TIN &amp; TP'!$A$3:$A$10005),0),MATCH('Reg 85'!$AG$11,'DMR 001C TIN &amp; TP'!$A$2:$M$2,0))),"")</f>
        <v/>
      </c>
      <c r="AM232" s="76"/>
      <c r="AN232" s="6"/>
      <c r="AO232" s="54" t="str">
        <f t="shared" si="83"/>
        <v/>
      </c>
      <c r="AP232" s="77" t="str">
        <f t="shared" si="81"/>
        <v/>
      </c>
      <c r="AQ232" s="47"/>
      <c r="AR232" s="6" t="str">
        <f t="array" ref="AR232">_xlfn.IFNA((INDEX('DMR 001C TIN &amp; TP'!$A$3:$M$10005,MATCH(('Reg 85'!$AQ$6&amp;'Reg 85'!$AQ$10&amp;'Reg 85'!$B232),('DMR 001C TIN &amp; TP'!$E$3:$E$10005&amp;'DMR 001C TIN &amp; TP'!$B$3:$B$10005&amp;'DMR 001C TIN &amp; TP'!$A$3:$A$10005),0),MATCH('Reg 85'!$AR$11,'DMR 001C TIN &amp; TP'!$A$2:$M$2,0))),"")</f>
        <v>0.03</v>
      </c>
      <c r="AS232" s="6">
        <f t="array" ref="AS232">_xlfn.IFNA((INDEX('DMR 001C TIN &amp; TP'!$A$3:$M$10005,MATCH(('Reg 85'!$AQ$6&amp;'Reg 85'!$AQ$10&amp;'Reg 85'!$B232),('DMR 001C TIN &amp; TP'!$E$3:$E$10005&amp;'DMR 001C TIN &amp; TP'!$B$3:$B$10005&amp;'DMR 001C TIN &amp; TP'!$A$3:$A$10005),0),MATCH('Reg 85'!$AS$11,'DMR 001C TIN &amp; TP'!$A$2:$M$2,0))),"")</f>
        <v>0.25</v>
      </c>
      <c r="AT232" s="53">
        <f t="shared" si="97"/>
        <v>0.25</v>
      </c>
      <c r="AV232" s="6" t="str">
        <f t="array" ref="AV232">_xlfn.IFNA((INDEX('DMR 001C TIN &amp; TP'!$A$3:$M$10005,MATCH(('Reg 85'!$AQ$6&amp;'Reg 85'!$AU$10&amp;'Reg 85'!$B232),('DMR 001C TIN &amp; TP'!$E$3:$E$10005&amp;'DMR 001C TIN &amp; TP'!$B$3:$B$10005&amp;'DMR 001C TIN &amp; TP'!$A$3:$A$10005),0),MATCH('Reg 85'!$AV$11,'DMR 001C TIN &amp; TP'!$A$2:$M$2,0))),"")</f>
        <v>0.06</v>
      </c>
      <c r="AW232" s="6">
        <f t="array" ref="AW232">_xlfn.IFNA((INDEX('DMR 001C TIN &amp; TP'!$A$3:$M$10005,MATCH(('Reg 85'!$AQ$6&amp;'Reg 85'!$AU$10&amp;'Reg 85'!$B232),('DMR 001C TIN &amp; TP'!$E$3:$E$10005&amp;'DMR 001C TIN &amp; TP'!$B$3:$B$10005&amp;'DMR 001C TIN &amp; TP'!$A$3:$A$10005),0),MATCH('Reg 85'!$AW$11,'DMR 001C TIN &amp; TP'!$A$2:$M$2,0))),"")</f>
        <v>4.07</v>
      </c>
      <c r="AX232" s="53">
        <f t="shared" si="98"/>
        <v>4.07</v>
      </c>
      <c r="AY232" s="55">
        <f t="shared" si="99"/>
        <v>2.0422049233211319</v>
      </c>
      <c r="AZ232" s="77" t="str">
        <f t="shared" si="82"/>
        <v/>
      </c>
      <c r="BA232" s="6" t="str">
        <f t="array" ref="BA232">_xlfn.IFNA((INDEX('DMR 001C TIN &amp; TP'!$A$3:$M$10005,MATCH(('Reg 85'!$AQ$6&amp;'Reg 85'!BA$10&amp;'Reg 85'!$B232),('DMR 001C TIN &amp; TP'!$E$3:$E$10005&amp;'DMR 001C TIN &amp; TP'!$B$3:$B$10005&amp;'DMR 001C TIN &amp; TP'!$A$3:$A$10005),0),MATCH('Reg 85'!$AG$11,'DMR 001C TIN &amp; TP'!$A$2:$M$2,0))),"")</f>
        <v/>
      </c>
      <c r="BB232" s="6" t="str">
        <f t="array" ref="BB232">_xlfn.IFNA((INDEX('DMR 001C TIN &amp; TP'!$A$3:$M$10005,MATCH(('Reg 85'!$AQ$6&amp;'Reg 85'!BB$10&amp;'Reg 85'!$B232),('DMR 001C TIN &amp; TP'!$E$3:$E$10005&amp;'DMR 001C TIN &amp; TP'!$B$3:$B$10005&amp;'DMR 001C TIN &amp; TP'!$A$3:$A$10005),0),MATCH('Reg 85'!$AG$11,'DMR 001C TIN &amp; TP'!$A$2:$M$2,0))),"")</f>
        <v/>
      </c>
      <c r="BC232" s="6" t="str">
        <f t="array" ref="BC232">_xlfn.IFNA((INDEX('DMR 001C TIN &amp; TP'!$A$3:$M$10005,MATCH(('Reg 85'!$AQ$6&amp;'Reg 85'!BC$10&amp;'Reg 85'!$B232),('DMR 001C TIN &amp; TP'!$E$3:$E$10005&amp;'DMR 001C TIN &amp; TP'!$B$3:$B$10005&amp;'DMR 001C TIN &amp; TP'!$A$3:$A$10005),0),MATCH('Reg 85'!$AG$11,'DMR 001C TIN &amp; TP'!$A$2:$M$2,0))),"")</f>
        <v/>
      </c>
      <c r="BD232" s="6" t="str">
        <f t="array" ref="BD232">_xlfn.IFNA((INDEX('DMR 001C TIN &amp; TP'!$A$3:$M$10005,MATCH(('Reg 85'!$AQ$6&amp;'Reg 85'!BD$10&amp;'Reg 85'!$B232),('DMR 001C TIN &amp; TP'!$E$3:$E$10005&amp;'DMR 001C TIN &amp; TP'!$B$3:$B$10005&amp;'DMR 001C TIN &amp; TP'!$A$3:$A$10005),0),MATCH('Reg 85'!$AG$11,'DMR 001C TIN &amp; TP'!$A$2:$M$2,0))),"")</f>
        <v/>
      </c>
      <c r="BE232" s="6" t="str">
        <f t="array" ref="BE232">_xlfn.IFNA((INDEX('DMR 001C TIN &amp; TP'!$A$3:$M$10005,MATCH(('Reg 85'!$AQ$6&amp;'Reg 85'!BE$10&amp;'Reg 85'!$B232),('DMR 001C TIN &amp; TP'!$E$3:$E$10005&amp;'DMR 001C TIN &amp; TP'!$B$3:$B$10005&amp;'DMR 001C TIN &amp; TP'!$A$3:$A$10005),0),MATCH('Reg 85'!$AG$11,'DMR 001C TIN &amp; TP'!$A$2:$M$2,0))),"")</f>
        <v/>
      </c>
      <c r="BF232" s="6" t="str">
        <f t="array" ref="BF232">_xlfn.IFNA((INDEX('DMR 001C TIN &amp; TP'!$A$3:$M$10005,MATCH(('Reg 85'!$AQ$6&amp;'Reg 85'!BF$10&amp;'Reg 85'!$B232),('DMR 001C TIN &amp; TP'!$E$3:$E$10005&amp;'DMR 001C TIN &amp; TP'!$B$3:$B$10005&amp;'DMR 001C TIN &amp; TP'!$A$3:$A$10005),0),MATCH('Reg 85'!$AG$11,'DMR 001C TIN &amp; TP'!$A$2:$M$2,0))),"")</f>
        <v/>
      </c>
    </row>
    <row r="233" spans="1:58">
      <c r="A233" s="3" t="str">
        <f t="shared" si="84"/>
        <v>Wed</v>
      </c>
      <c r="B233" s="96">
        <f t="shared" si="100"/>
        <v>43565</v>
      </c>
      <c r="C233" s="96">
        <f t="shared" si="85"/>
        <v>43585</v>
      </c>
      <c r="D233" s="96">
        <f t="shared" si="86"/>
        <v>43556</v>
      </c>
      <c r="E233" s="95">
        <f t="shared" si="87"/>
        <v>30</v>
      </c>
      <c r="F233" s="7">
        <f t="array" ref="F233">_xlfn.IFNA(INDEX('DMR Flows-Effluent'!$A$3:$F$9999,MATCH(($F$10&amp;$B233),('DMR Flows-Effluent'!$B$3:$B$9999&amp;'DMR Flows-Effluent'!$A$3:$A$9999),0),MATCH($F$8,'DMR Flows-Effluent'!$A$2:$F$2,0)),"")</f>
        <v>68.933999999999997</v>
      </c>
      <c r="G233" s="7">
        <f t="array" ref="G233">_xlfn.IFNA(INDEX('DMR Flows-Effluent'!$A$3:$F$9999,MATCH(($G$10&amp;$B233),('DMR Flows-Effluent'!$B$3:$B$9999&amp;'DMR Flows-Effluent'!$A$3:$A$9999),0),MATCH($F$8,'DMR Flows-Effluent'!$A$2:$F$2,0)),"")</f>
        <v>60.215800000000002</v>
      </c>
      <c r="H233" s="7">
        <f t="shared" si="88"/>
        <v>129.1498</v>
      </c>
      <c r="I233" s="45" t="str">
        <f t="shared" si="89"/>
        <v/>
      </c>
      <c r="J233" s="6" t="str">
        <f t="array" ref="J233">_xlfn.IFNA((INDEX('DMR 001C TIN &amp; TP'!$A$3:$M$10005,MATCH(('Reg 85'!$I$6:$Q$6&amp;'Reg 85'!$I$10:$K$10&amp;'Reg 85'!$B233),('DMR 001C TIN &amp; TP'!$E$3:$E$10005&amp;'DMR 001C TIN &amp; TP'!$B$3:$B$10005&amp;'DMR 001C TIN &amp; TP'!$A$3:$A$10005),0),MATCH('Reg 85'!$J$11,'DMR 001C TIN &amp; TP'!$A$2:$M$2,0))),"")</f>
        <v>0.15</v>
      </c>
      <c r="K233" s="6">
        <f t="array" ref="K233">_xlfn.IFNA((INDEX('DMR 001C TIN &amp; TP'!$A$3:$M$10005,MATCH(('Reg 85'!$I$6:$Q$6&amp;'Reg 85'!$I$10:$K$10&amp;'Reg 85'!$B233),('DMR 001C TIN &amp; TP'!$E$3:$E$10005&amp;'DMR 001C TIN &amp; TP'!$B$3:$B$10005&amp;'DMR 001C TIN &amp; TP'!$A$3:$A$10005),0),MATCH('Reg 85'!$K$11,'DMR 001C TIN &amp; TP'!$A$2:$M$2,0))),"")</f>
        <v>2.0099999999999998</v>
      </c>
      <c r="L233" s="53">
        <f t="shared" si="101"/>
        <v>2.0099999999999998</v>
      </c>
      <c r="M233" s="5" t="str">
        <f t="shared" si="90"/>
        <v>&lt;</v>
      </c>
      <c r="N233" s="6" t="str">
        <f t="array" ref="N233">_xlfn.IFNA((INDEX('DMR 001C TIN &amp; TP'!$A$3:$M$10005,MATCH(('Reg 85'!$I$6:$Q$6&amp;'Reg 85'!$M$10&amp;'Reg 85'!$B233),('DMR 001C TIN &amp; TP'!$E$3:$E$10005&amp;'DMR 001C TIN &amp; TP'!$B$3:$B$10005&amp;'DMR 001C TIN &amp; TP'!$A$3:$A$10005),0),MATCH('Reg 85'!$N$11,'DMR 001C TIN &amp; TP'!$A$2:$M$2,0))),"")</f>
        <v>0.15</v>
      </c>
      <c r="O233" s="6">
        <f t="array" ref="O233">_xlfn.IFNA((INDEX('DMR 001C TIN &amp; TP'!$A$3:$M$10005,MATCH(('Reg 85'!$I$6:$Q$6&amp;'Reg 85'!$M$10&amp;'Reg 85'!$B233),('DMR 001C TIN &amp; TP'!$E$3:$E$10005&amp;'DMR 001C TIN &amp; TP'!$B$3:$B$10005&amp;'DMR 001C TIN &amp; TP'!$A$3:$A$10005),0),MATCH('Reg 85'!$O$11,'DMR 001C TIN &amp; TP'!$A$2:$M$2,0))),"")</f>
        <v>0.09</v>
      </c>
      <c r="P233" s="53">
        <f t="shared" si="91"/>
        <v>0</v>
      </c>
      <c r="Q233" s="73">
        <f t="array" ref="Q233">IFERROR(((L233*$F233)+(P233*$G233))/($H233),"")</f>
        <v>1.0728420795076723</v>
      </c>
      <c r="R233" s="6" t="str">
        <f t="array" ref="R233">_xlfn.IFNA((INDEX('DMR 001C TIN &amp; TP'!$A$3:$M$10005,MATCH(('Reg 85'!$I$6:$Q$6&amp;'Reg 85'!R$10&amp;'Reg 85'!$B233),('DMR 001C TIN &amp; TP'!$E$3:$E$10005&amp;'DMR 001C TIN &amp; TP'!$B$3:$B$10005&amp;'DMR 001C TIN &amp; TP'!$A$3:$A$10005),0),MATCH('Reg 85'!$O$11,'DMR 001C TIN &amp; TP'!$A$2:$M$2,0))),"")</f>
        <v/>
      </c>
      <c r="S233" s="6" t="str">
        <f t="array" ref="S233">_xlfn.IFNA((INDEX('DMR 001C TIN &amp; TP'!$A$3:$M$10005,MATCH(('Reg 85'!$I$6:$Q$6&amp;'Reg 85'!S$10&amp;'Reg 85'!$B233),('DMR 001C TIN &amp; TP'!$E$3:$E$10005&amp;'DMR 001C TIN &amp; TP'!$B$3:$B$10005&amp;'DMR 001C TIN &amp; TP'!$A$3:$A$10005),0),MATCH('Reg 85'!$O$11,'DMR 001C TIN &amp; TP'!$A$2:$M$2,0))),"")</f>
        <v/>
      </c>
      <c r="T233" s="6" t="str">
        <f t="array" ref="T233">_xlfn.IFNA((INDEX('DMR 001C TIN &amp; TP'!$A$3:$M$10005,MATCH(('Reg 85'!$I$6:$Q$6&amp;'Reg 85'!T$10&amp;'Reg 85'!$B233),('DMR 001C TIN &amp; TP'!$E$3:$E$10005&amp;'DMR 001C TIN &amp; TP'!$B$3:$B$10005&amp;'DMR 001C TIN &amp; TP'!$A$3:$A$10005),0),MATCH('Reg 85'!$O$11,'DMR 001C TIN &amp; TP'!$A$2:$M$2,0))),"")</f>
        <v/>
      </c>
      <c r="U233" s="6" t="str">
        <f t="array" ref="U233">_xlfn.IFNA((INDEX('DMR 001C TIN &amp; TP'!$A$3:$M$10005,MATCH(('Reg 85'!$I$6:$Q$6&amp;'Reg 85'!U$10&amp;'Reg 85'!$B233),('DMR 001C TIN &amp; TP'!$E$3:$E$10005&amp;'DMR 001C TIN &amp; TP'!$B$3:$B$10005&amp;'DMR 001C TIN &amp; TP'!$A$3:$A$10005),0),MATCH('Reg 85'!$O$11,'DMR 001C TIN &amp; TP'!$A$2:$M$2,0))),"")</f>
        <v/>
      </c>
      <c r="V233" s="6" t="str">
        <f t="array" ref="V233">_xlfn.IFNA((INDEX('DMR 001C TIN &amp; TP'!$A$3:$M$10005,MATCH(('Reg 85'!$I$6:$Q$6&amp;'Reg 85'!V$10&amp;'Reg 85'!$B233),('DMR 001C TIN &amp; TP'!$E$3:$E$10005&amp;'DMR 001C TIN &amp; TP'!$B$3:$B$10005&amp;'DMR 001C TIN &amp; TP'!$A$3:$A$10005),0),MATCH('Reg 85'!$O$11,'DMR 001C TIN &amp; TP'!$A$2:$M$2,0))),"")</f>
        <v/>
      </c>
      <c r="W233" s="6" t="str">
        <f t="array" ref="W233">_xlfn.IFNA((INDEX('DMR 001C TIN &amp; TP'!$A$3:$M$10005,MATCH(('Reg 85'!$I$6:$Q$6&amp;'Reg 85'!W$10&amp;'Reg 85'!$B233),('DMR 001C TIN &amp; TP'!$E$3:$E$10005&amp;'DMR 001C TIN &amp; TP'!$B$3:$B$10005&amp;'DMR 001C TIN &amp; TP'!$A$3:$A$10005),0),MATCH('Reg 85'!$O$11,'DMR 001C TIN &amp; TP'!$A$2:$M$2,0))),"")</f>
        <v/>
      </c>
      <c r="X233" s="5" t="str">
        <f t="shared" si="92"/>
        <v/>
      </c>
      <c r="Y233" s="6" t="str">
        <f t="array" ref="Y233">_xlfn.IFNA((INDEX('DMR 001C TIN &amp; TP'!$A$3:$M$10005,MATCH(('Reg 85'!$X$6&amp;'Reg 85'!$X$10&amp;'Reg 85'!$B233),('DMR 001C TIN &amp; TP'!$E$3:$E$10005&amp;'DMR 001C TIN &amp; TP'!$B$3:$B$10005&amp;'DMR 001C TIN &amp; TP'!$A$3:$A$10005),0),MATCH('Reg 85'!$Y$11,'DMR 001C TIN &amp; TP'!$A$2:$M$2,0))),"")</f>
        <v>0.06</v>
      </c>
      <c r="Z233" s="6">
        <f t="array" ref="Z233">_xlfn.IFNA((INDEX('DMR 001C TIN &amp; TP'!$A$3:$M$10005,MATCH(('Reg 85'!$X$6&amp;'Reg 85'!$X$10&amp;'Reg 85'!$B233),('DMR 001C TIN &amp; TP'!$E$3:$E$10005&amp;'DMR 001C TIN &amp; TP'!$B$3:$B$10005&amp;'DMR 001C TIN &amp; TP'!$A$3:$A$10005),0),MATCH('Reg 85'!$Z$11,'DMR 001C TIN &amp; TP'!$A$2:$M$2,0))),"")</f>
        <v>4.7300000000000004</v>
      </c>
      <c r="AA233" s="53">
        <f t="shared" si="93"/>
        <v>4.7300000000000004</v>
      </c>
      <c r="AB233" s="5" t="str">
        <f t="shared" si="94"/>
        <v/>
      </c>
      <c r="AC233" s="6" t="str">
        <f t="array" ref="AC233">_xlfn.IFNA((INDEX('DMR 001C TIN &amp; TP'!$A$3:$M$10005,MATCH(('Reg 85'!$X$6&amp;'Reg 85'!$AB$10&amp;'Reg 85'!$B233),('DMR 001C TIN &amp; TP'!$E$3:$E$10005&amp;'DMR 001C TIN &amp; TP'!$B$3:$B$10005&amp;'DMR 001C TIN &amp; TP'!$A$3:$A$10005),0),MATCH('Reg 85'!$AC$11,'DMR 001C TIN &amp; TP'!$A$2:$M$2,0))),"")</f>
        <v>0.18</v>
      </c>
      <c r="AD233" s="6">
        <f t="array" ref="AD233">_xlfn.IFNA((INDEX('DMR 001C TIN &amp; TP'!$A$3:$M$10005,MATCH(('Reg 85'!$X$6&amp;'Reg 85'!$AB$10&amp;'Reg 85'!$B233),('DMR 001C TIN &amp; TP'!$E$3:$E$10005&amp;'DMR 001C TIN &amp; TP'!$B$3:$B$10005&amp;'DMR 001C TIN &amp; TP'!$A$3:$A$10005),0),MATCH('Reg 85'!$AD$11,'DMR 001C TIN &amp; TP'!$A$2:$M$2,0))),"")</f>
        <v>5.68</v>
      </c>
      <c r="AE233" s="53">
        <f t="shared" si="95"/>
        <v>5.68</v>
      </c>
      <c r="AF233" s="7">
        <f t="shared" si="96"/>
        <v>5.1729353355560752</v>
      </c>
      <c r="AG233" s="6" t="str">
        <f t="array" ref="AG233">_xlfn.IFNA((INDEX('DMR 001C TIN &amp; TP'!$A$3:$M$10005,MATCH(('Reg 85'!$X$6&amp;'Reg 85'!AG$10&amp;'Reg 85'!$B233),('DMR 001C TIN &amp; TP'!$E$3:$E$10005&amp;'DMR 001C TIN &amp; TP'!$B$3:$B$10005&amp;'DMR 001C TIN &amp; TP'!$A$3:$A$10005),0),MATCH('Reg 85'!$AG$11,'DMR 001C TIN &amp; TP'!$A$2:$M$2,0))),"")</f>
        <v/>
      </c>
      <c r="AH233" s="6" t="str">
        <f t="array" ref="AH233">_xlfn.IFNA((INDEX('DMR 001C TIN &amp; TP'!$A$3:$M$10005,MATCH(('Reg 85'!$X$6&amp;'Reg 85'!AH$10&amp;'Reg 85'!$B233),('DMR 001C TIN &amp; TP'!$E$3:$E$10005&amp;'DMR 001C TIN &amp; TP'!$B$3:$B$10005&amp;'DMR 001C TIN &amp; TP'!$A$3:$A$10005),0),MATCH('Reg 85'!$AG$11,'DMR 001C TIN &amp; TP'!$A$2:$M$2,0))),"")</f>
        <v/>
      </c>
      <c r="AI233" s="6" t="str">
        <f t="array" ref="AI233">_xlfn.IFNA((INDEX('DMR 001C TIN &amp; TP'!$A$3:$M$10005,MATCH(('Reg 85'!$X$6&amp;'Reg 85'!AI$10&amp;'Reg 85'!$B233),('DMR 001C TIN &amp; TP'!$E$3:$E$10005&amp;'DMR 001C TIN &amp; TP'!$B$3:$B$10005&amp;'DMR 001C TIN &amp; TP'!$A$3:$A$10005),0),MATCH('Reg 85'!$AG$11,'DMR 001C TIN &amp; TP'!$A$2:$M$2,0))),"")</f>
        <v/>
      </c>
      <c r="AJ233" s="6" t="str">
        <f t="array" ref="AJ233">_xlfn.IFNA((INDEX('DMR 001C TIN &amp; TP'!$A$3:$M$10005,MATCH(('Reg 85'!$X$6&amp;'Reg 85'!AJ$10&amp;'Reg 85'!$B233),('DMR 001C TIN &amp; TP'!$E$3:$E$10005&amp;'DMR 001C TIN &amp; TP'!$B$3:$B$10005&amp;'DMR 001C TIN &amp; TP'!$A$3:$A$10005),0),MATCH('Reg 85'!$AG$11,'DMR 001C TIN &amp; TP'!$A$2:$M$2,0))),"")</f>
        <v/>
      </c>
      <c r="AK233" s="6" t="str">
        <f t="array" ref="AK233">_xlfn.IFNA((INDEX('DMR 001C TIN &amp; TP'!$A$3:$M$10005,MATCH(('Reg 85'!$X$6&amp;'Reg 85'!AK$10&amp;'Reg 85'!$B233),('DMR 001C TIN &amp; TP'!$E$3:$E$10005&amp;'DMR 001C TIN &amp; TP'!$B$3:$B$10005&amp;'DMR 001C TIN &amp; TP'!$A$3:$A$10005),0),MATCH('Reg 85'!$AG$11,'DMR 001C TIN &amp; TP'!$A$2:$M$2,0))),"")</f>
        <v/>
      </c>
      <c r="AL233" s="6" t="str">
        <f t="array" ref="AL233">_xlfn.IFNA((INDEX('DMR 001C TIN &amp; TP'!$A$3:$M$10005,MATCH(('Reg 85'!$X$6&amp;'Reg 85'!AL$10&amp;'Reg 85'!$B233),('DMR 001C TIN &amp; TP'!$E$3:$E$10005&amp;'DMR 001C TIN &amp; TP'!$B$3:$B$10005&amp;'DMR 001C TIN &amp; TP'!$A$3:$A$10005),0),MATCH('Reg 85'!$AG$11,'DMR 001C TIN &amp; TP'!$A$2:$M$2,0))),"")</f>
        <v/>
      </c>
      <c r="AM233" s="76"/>
      <c r="AN233" s="6"/>
      <c r="AO233" s="54">
        <f t="shared" si="83"/>
        <v>6.2457774150637473</v>
      </c>
      <c r="AP233" s="77" t="str">
        <f t="shared" si="81"/>
        <v/>
      </c>
      <c r="AQ233" s="47"/>
      <c r="AR233" s="6" t="str">
        <f t="array" ref="AR233">_xlfn.IFNA((INDEX('DMR 001C TIN &amp; TP'!$A$3:$M$10005,MATCH(('Reg 85'!$AQ$6&amp;'Reg 85'!$AQ$10&amp;'Reg 85'!$B233),('DMR 001C TIN &amp; TP'!$E$3:$E$10005&amp;'DMR 001C TIN &amp; TP'!$B$3:$B$10005&amp;'DMR 001C TIN &amp; TP'!$A$3:$A$10005),0),MATCH('Reg 85'!$AR$11,'DMR 001C TIN &amp; TP'!$A$2:$M$2,0))),"")</f>
        <v/>
      </c>
      <c r="AS233" s="6" t="str">
        <f t="array" ref="AS233">_xlfn.IFNA((INDEX('DMR 001C TIN &amp; TP'!$A$3:$M$10005,MATCH(('Reg 85'!$AQ$6&amp;'Reg 85'!$AQ$10&amp;'Reg 85'!$B233),('DMR 001C TIN &amp; TP'!$E$3:$E$10005&amp;'DMR 001C TIN &amp; TP'!$B$3:$B$10005&amp;'DMR 001C TIN &amp; TP'!$A$3:$A$10005),0),MATCH('Reg 85'!$AS$11,'DMR 001C TIN &amp; TP'!$A$2:$M$2,0))),"")</f>
        <v/>
      </c>
      <c r="AT233" s="53" t="str">
        <f t="shared" si="97"/>
        <v/>
      </c>
      <c r="AV233" s="6" t="str">
        <f t="array" ref="AV233">_xlfn.IFNA((INDEX('DMR 001C TIN &amp; TP'!$A$3:$M$10005,MATCH(('Reg 85'!$AQ$6&amp;'Reg 85'!$AU$10&amp;'Reg 85'!$B233),('DMR 001C TIN &amp; TP'!$E$3:$E$10005&amp;'DMR 001C TIN &amp; TP'!$B$3:$B$10005&amp;'DMR 001C TIN &amp; TP'!$A$3:$A$10005),0),MATCH('Reg 85'!$AV$11,'DMR 001C TIN &amp; TP'!$A$2:$M$2,0))),"")</f>
        <v/>
      </c>
      <c r="AW233" s="6" t="str">
        <f t="array" ref="AW233">_xlfn.IFNA((INDEX('DMR 001C TIN &amp; TP'!$A$3:$M$10005,MATCH(('Reg 85'!$AQ$6&amp;'Reg 85'!$AU$10&amp;'Reg 85'!$B233),('DMR 001C TIN &amp; TP'!$E$3:$E$10005&amp;'DMR 001C TIN &amp; TP'!$B$3:$B$10005&amp;'DMR 001C TIN &amp; TP'!$A$3:$A$10005),0),MATCH('Reg 85'!$AW$11,'DMR 001C TIN &amp; TP'!$A$2:$M$2,0))),"")</f>
        <v/>
      </c>
      <c r="AX233" s="53" t="str">
        <f t="shared" si="98"/>
        <v/>
      </c>
      <c r="AY233" s="55" t="str">
        <f t="shared" si="99"/>
        <v/>
      </c>
      <c r="AZ233" s="77" t="str">
        <f t="shared" si="82"/>
        <v/>
      </c>
      <c r="BA233" s="6" t="str">
        <f t="array" ref="BA233">_xlfn.IFNA((INDEX('DMR 001C TIN &amp; TP'!$A$3:$M$10005,MATCH(('Reg 85'!$AQ$6&amp;'Reg 85'!BA$10&amp;'Reg 85'!$B233),('DMR 001C TIN &amp; TP'!$E$3:$E$10005&amp;'DMR 001C TIN &amp; TP'!$B$3:$B$10005&amp;'DMR 001C TIN &amp; TP'!$A$3:$A$10005),0),MATCH('Reg 85'!$AG$11,'DMR 001C TIN &amp; TP'!$A$2:$M$2,0))),"")</f>
        <v/>
      </c>
      <c r="BB233" s="6" t="str">
        <f t="array" ref="BB233">_xlfn.IFNA((INDEX('DMR 001C TIN &amp; TP'!$A$3:$M$10005,MATCH(('Reg 85'!$AQ$6&amp;'Reg 85'!BB$10&amp;'Reg 85'!$B233),('DMR 001C TIN &amp; TP'!$E$3:$E$10005&amp;'DMR 001C TIN &amp; TP'!$B$3:$B$10005&amp;'DMR 001C TIN &amp; TP'!$A$3:$A$10005),0),MATCH('Reg 85'!$AG$11,'DMR 001C TIN &amp; TP'!$A$2:$M$2,0))),"")</f>
        <v/>
      </c>
      <c r="BC233" s="6" t="str">
        <f t="array" ref="BC233">_xlfn.IFNA((INDEX('DMR 001C TIN &amp; TP'!$A$3:$M$10005,MATCH(('Reg 85'!$AQ$6&amp;'Reg 85'!BC$10&amp;'Reg 85'!$B233),('DMR 001C TIN &amp; TP'!$E$3:$E$10005&amp;'DMR 001C TIN &amp; TP'!$B$3:$B$10005&amp;'DMR 001C TIN &amp; TP'!$A$3:$A$10005),0),MATCH('Reg 85'!$AG$11,'DMR 001C TIN &amp; TP'!$A$2:$M$2,0))),"")</f>
        <v/>
      </c>
      <c r="BD233" s="6" t="str">
        <f t="array" ref="BD233">_xlfn.IFNA((INDEX('DMR 001C TIN &amp; TP'!$A$3:$M$10005,MATCH(('Reg 85'!$AQ$6&amp;'Reg 85'!BD$10&amp;'Reg 85'!$B233),('DMR 001C TIN &amp; TP'!$E$3:$E$10005&amp;'DMR 001C TIN &amp; TP'!$B$3:$B$10005&amp;'DMR 001C TIN &amp; TP'!$A$3:$A$10005),0),MATCH('Reg 85'!$AG$11,'DMR 001C TIN &amp; TP'!$A$2:$M$2,0))),"")</f>
        <v/>
      </c>
      <c r="BE233" s="6" t="str">
        <f t="array" ref="BE233">_xlfn.IFNA((INDEX('DMR 001C TIN &amp; TP'!$A$3:$M$10005,MATCH(('Reg 85'!$AQ$6&amp;'Reg 85'!BE$10&amp;'Reg 85'!$B233),('DMR 001C TIN &amp; TP'!$E$3:$E$10005&amp;'DMR 001C TIN &amp; TP'!$B$3:$B$10005&amp;'DMR 001C TIN &amp; TP'!$A$3:$A$10005),0),MATCH('Reg 85'!$AG$11,'DMR 001C TIN &amp; TP'!$A$2:$M$2,0))),"")</f>
        <v/>
      </c>
      <c r="BF233" s="6" t="str">
        <f t="array" ref="BF233">_xlfn.IFNA((INDEX('DMR 001C TIN &amp; TP'!$A$3:$M$10005,MATCH(('Reg 85'!$AQ$6&amp;'Reg 85'!BF$10&amp;'Reg 85'!$B233),('DMR 001C TIN &amp; TP'!$E$3:$E$10005&amp;'DMR 001C TIN &amp; TP'!$B$3:$B$10005&amp;'DMR 001C TIN &amp; TP'!$A$3:$A$10005),0),MATCH('Reg 85'!$AG$11,'DMR 001C TIN &amp; TP'!$A$2:$M$2,0))),"")</f>
        <v/>
      </c>
    </row>
    <row r="234" spans="1:58">
      <c r="A234" s="3" t="str">
        <f t="shared" si="84"/>
        <v>Thu</v>
      </c>
      <c r="B234" s="96">
        <f t="shared" si="100"/>
        <v>43566</v>
      </c>
      <c r="C234" s="96">
        <f t="shared" si="85"/>
        <v>43585</v>
      </c>
      <c r="D234" s="96">
        <f t="shared" si="86"/>
        <v>43556</v>
      </c>
      <c r="E234" s="95">
        <f t="shared" si="87"/>
        <v>30</v>
      </c>
      <c r="F234" s="7">
        <f t="array" ref="F234">_xlfn.IFNA(INDEX('DMR Flows-Effluent'!$A$3:$F$9999,MATCH(($F$10&amp;$B234),('DMR Flows-Effluent'!$B$3:$B$9999&amp;'DMR Flows-Effluent'!$A$3:$A$9999),0),MATCH($F$8,'DMR Flows-Effluent'!$A$2:$F$2,0)),"")</f>
        <v>76.718100000000007</v>
      </c>
      <c r="G234" s="7">
        <f t="array" ref="G234">_xlfn.IFNA(INDEX('DMR Flows-Effluent'!$A$3:$F$9999,MATCH(($G$10&amp;$B234),('DMR Flows-Effluent'!$B$3:$B$9999&amp;'DMR Flows-Effluent'!$A$3:$A$9999),0),MATCH($F$8,'DMR Flows-Effluent'!$A$2:$F$2,0)),"")</f>
        <v>60.923999999999999</v>
      </c>
      <c r="H234" s="7">
        <f t="shared" si="88"/>
        <v>137.6421</v>
      </c>
      <c r="I234" s="45" t="str">
        <f t="shared" si="89"/>
        <v/>
      </c>
      <c r="J234" s="6" t="str">
        <f t="array" ref="J234">_xlfn.IFNA((INDEX('DMR 001C TIN &amp; TP'!$A$3:$M$10005,MATCH(('Reg 85'!$I$6:$Q$6&amp;'Reg 85'!$I$10:$K$10&amp;'Reg 85'!$B234),('DMR 001C TIN &amp; TP'!$E$3:$E$10005&amp;'DMR 001C TIN &amp; TP'!$B$3:$B$10005&amp;'DMR 001C TIN &amp; TP'!$A$3:$A$10005),0),MATCH('Reg 85'!$J$11,'DMR 001C TIN &amp; TP'!$A$2:$M$2,0))),"")</f>
        <v>0.15</v>
      </c>
      <c r="K234" s="6">
        <f t="array" ref="K234">_xlfn.IFNA((INDEX('DMR 001C TIN &amp; TP'!$A$3:$M$10005,MATCH(('Reg 85'!$I$6:$Q$6&amp;'Reg 85'!$I$10:$K$10&amp;'Reg 85'!$B234),('DMR 001C TIN &amp; TP'!$E$3:$E$10005&amp;'DMR 001C TIN &amp; TP'!$B$3:$B$10005&amp;'DMR 001C TIN &amp; TP'!$A$3:$A$10005),0),MATCH('Reg 85'!$K$11,'DMR 001C TIN &amp; TP'!$A$2:$M$2,0))),"")</f>
        <v>2.0699999999999998</v>
      </c>
      <c r="L234" s="53">
        <f t="shared" si="101"/>
        <v>2.0699999999999998</v>
      </c>
      <c r="M234" s="5" t="str">
        <f t="shared" si="90"/>
        <v>&lt;</v>
      </c>
      <c r="N234" s="6" t="str">
        <f t="array" ref="N234">_xlfn.IFNA((INDEX('DMR 001C TIN &amp; TP'!$A$3:$M$10005,MATCH(('Reg 85'!$I$6:$Q$6&amp;'Reg 85'!$M$10&amp;'Reg 85'!$B234),('DMR 001C TIN &amp; TP'!$E$3:$E$10005&amp;'DMR 001C TIN &amp; TP'!$B$3:$B$10005&amp;'DMR 001C TIN &amp; TP'!$A$3:$A$10005),0),MATCH('Reg 85'!$N$11,'DMR 001C TIN &amp; TP'!$A$2:$M$2,0))),"")</f>
        <v>0.15</v>
      </c>
      <c r="O234" s="6">
        <f t="array" ref="O234">_xlfn.IFNA((INDEX('DMR 001C TIN &amp; TP'!$A$3:$M$10005,MATCH(('Reg 85'!$I$6:$Q$6&amp;'Reg 85'!$M$10&amp;'Reg 85'!$B234),('DMR 001C TIN &amp; TP'!$E$3:$E$10005&amp;'DMR 001C TIN &amp; TP'!$B$3:$B$10005&amp;'DMR 001C TIN &amp; TP'!$A$3:$A$10005),0),MATCH('Reg 85'!$O$11,'DMR 001C TIN &amp; TP'!$A$2:$M$2,0))),"")</f>
        <v>0.08</v>
      </c>
      <c r="P234" s="53">
        <f t="shared" si="91"/>
        <v>0</v>
      </c>
      <c r="Q234" s="73">
        <f t="array" ref="Q234">IFERROR(((L234*$F234)+(P234*$G234))/($H234),"")</f>
        <v>1.1537637612329368</v>
      </c>
      <c r="R234" s="6" t="str">
        <f t="array" ref="R234">_xlfn.IFNA((INDEX('DMR 001C TIN &amp; TP'!$A$3:$M$10005,MATCH(('Reg 85'!$I$6:$Q$6&amp;'Reg 85'!R$10&amp;'Reg 85'!$B234),('DMR 001C TIN &amp; TP'!$E$3:$E$10005&amp;'DMR 001C TIN &amp; TP'!$B$3:$B$10005&amp;'DMR 001C TIN &amp; TP'!$A$3:$A$10005),0),MATCH('Reg 85'!$O$11,'DMR 001C TIN &amp; TP'!$A$2:$M$2,0))),"")</f>
        <v/>
      </c>
      <c r="S234" s="6" t="str">
        <f t="array" ref="S234">_xlfn.IFNA((INDEX('DMR 001C TIN &amp; TP'!$A$3:$M$10005,MATCH(('Reg 85'!$I$6:$Q$6&amp;'Reg 85'!S$10&amp;'Reg 85'!$B234),('DMR 001C TIN &amp; TP'!$E$3:$E$10005&amp;'DMR 001C TIN &amp; TP'!$B$3:$B$10005&amp;'DMR 001C TIN &amp; TP'!$A$3:$A$10005),0),MATCH('Reg 85'!$O$11,'DMR 001C TIN &amp; TP'!$A$2:$M$2,0))),"")</f>
        <v/>
      </c>
      <c r="T234" s="6" t="str">
        <f t="array" ref="T234">_xlfn.IFNA((INDEX('DMR 001C TIN &amp; TP'!$A$3:$M$10005,MATCH(('Reg 85'!$I$6:$Q$6&amp;'Reg 85'!T$10&amp;'Reg 85'!$B234),('DMR 001C TIN &amp; TP'!$E$3:$E$10005&amp;'DMR 001C TIN &amp; TP'!$B$3:$B$10005&amp;'DMR 001C TIN &amp; TP'!$A$3:$A$10005),0),MATCH('Reg 85'!$O$11,'DMR 001C TIN &amp; TP'!$A$2:$M$2,0))),"")</f>
        <v/>
      </c>
      <c r="U234" s="6" t="str">
        <f t="array" ref="U234">_xlfn.IFNA((INDEX('DMR 001C TIN &amp; TP'!$A$3:$M$10005,MATCH(('Reg 85'!$I$6:$Q$6&amp;'Reg 85'!U$10&amp;'Reg 85'!$B234),('DMR 001C TIN &amp; TP'!$E$3:$E$10005&amp;'DMR 001C TIN &amp; TP'!$B$3:$B$10005&amp;'DMR 001C TIN &amp; TP'!$A$3:$A$10005),0),MATCH('Reg 85'!$O$11,'DMR 001C TIN &amp; TP'!$A$2:$M$2,0))),"")</f>
        <v/>
      </c>
      <c r="V234" s="6" t="str">
        <f t="array" ref="V234">_xlfn.IFNA((INDEX('DMR 001C TIN &amp; TP'!$A$3:$M$10005,MATCH(('Reg 85'!$I$6:$Q$6&amp;'Reg 85'!V$10&amp;'Reg 85'!$B234),('DMR 001C TIN &amp; TP'!$E$3:$E$10005&amp;'DMR 001C TIN &amp; TP'!$B$3:$B$10005&amp;'DMR 001C TIN &amp; TP'!$A$3:$A$10005),0),MATCH('Reg 85'!$O$11,'DMR 001C TIN &amp; TP'!$A$2:$M$2,0))),"")</f>
        <v/>
      </c>
      <c r="W234" s="6" t="str">
        <f t="array" ref="W234">_xlfn.IFNA((INDEX('DMR 001C TIN &amp; TP'!$A$3:$M$10005,MATCH(('Reg 85'!$I$6:$Q$6&amp;'Reg 85'!W$10&amp;'Reg 85'!$B234),('DMR 001C TIN &amp; TP'!$E$3:$E$10005&amp;'DMR 001C TIN &amp; TP'!$B$3:$B$10005&amp;'DMR 001C TIN &amp; TP'!$A$3:$A$10005),0),MATCH('Reg 85'!$O$11,'DMR 001C TIN &amp; TP'!$A$2:$M$2,0))),"")</f>
        <v/>
      </c>
      <c r="X234" s="5" t="str">
        <f t="shared" si="92"/>
        <v/>
      </c>
      <c r="Y234" s="6" t="str">
        <f t="array" ref="Y234">_xlfn.IFNA((INDEX('DMR 001C TIN &amp; TP'!$A$3:$M$10005,MATCH(('Reg 85'!$X$6&amp;'Reg 85'!$X$10&amp;'Reg 85'!$B234),('DMR 001C TIN &amp; TP'!$E$3:$E$10005&amp;'DMR 001C TIN &amp; TP'!$B$3:$B$10005&amp;'DMR 001C TIN &amp; TP'!$A$3:$A$10005),0),MATCH('Reg 85'!$Y$11,'DMR 001C TIN &amp; TP'!$A$2:$M$2,0))),"")</f>
        <v>0.06</v>
      </c>
      <c r="Z234" s="6">
        <f t="array" ref="Z234">_xlfn.IFNA((INDEX('DMR 001C TIN &amp; TP'!$A$3:$M$10005,MATCH(('Reg 85'!$X$6&amp;'Reg 85'!$X$10&amp;'Reg 85'!$B234),('DMR 001C TIN &amp; TP'!$E$3:$E$10005&amp;'DMR 001C TIN &amp; TP'!$B$3:$B$10005&amp;'DMR 001C TIN &amp; TP'!$A$3:$A$10005),0),MATCH('Reg 85'!$Z$11,'DMR 001C TIN &amp; TP'!$A$2:$M$2,0))),"")</f>
        <v>4.55</v>
      </c>
      <c r="AA234" s="53">
        <f t="shared" si="93"/>
        <v>4.55</v>
      </c>
      <c r="AB234" s="5" t="str">
        <f t="shared" si="94"/>
        <v/>
      </c>
      <c r="AC234" s="6" t="str">
        <f t="array" ref="AC234">_xlfn.IFNA((INDEX('DMR 001C TIN &amp; TP'!$A$3:$M$10005,MATCH(('Reg 85'!$X$6&amp;'Reg 85'!$AB$10&amp;'Reg 85'!$B234),('DMR 001C TIN &amp; TP'!$E$3:$E$10005&amp;'DMR 001C TIN &amp; TP'!$B$3:$B$10005&amp;'DMR 001C TIN &amp; TP'!$A$3:$A$10005),0),MATCH('Reg 85'!$AC$11,'DMR 001C TIN &amp; TP'!$A$2:$M$2,0))),"")</f>
        <v>0.06</v>
      </c>
      <c r="AD234" s="6">
        <f t="array" ref="AD234">_xlfn.IFNA((INDEX('DMR 001C TIN &amp; TP'!$A$3:$M$10005,MATCH(('Reg 85'!$X$6&amp;'Reg 85'!$AB$10&amp;'Reg 85'!$B234),('DMR 001C TIN &amp; TP'!$E$3:$E$10005&amp;'DMR 001C TIN &amp; TP'!$B$3:$B$10005&amp;'DMR 001C TIN &amp; TP'!$A$3:$A$10005),0),MATCH('Reg 85'!$AD$11,'DMR 001C TIN &amp; TP'!$A$2:$M$2,0))),"")</f>
        <v>6.22</v>
      </c>
      <c r="AE234" s="53">
        <f t="shared" si="95"/>
        <v>6.22</v>
      </c>
      <c r="AF234" s="7">
        <f t="shared" si="96"/>
        <v>5.2891857578458916</v>
      </c>
      <c r="AG234" s="6" t="str">
        <f t="array" ref="AG234">_xlfn.IFNA((INDEX('DMR 001C TIN &amp; TP'!$A$3:$M$10005,MATCH(('Reg 85'!$X$6&amp;'Reg 85'!AG$10&amp;'Reg 85'!$B234),('DMR 001C TIN &amp; TP'!$E$3:$E$10005&amp;'DMR 001C TIN &amp; TP'!$B$3:$B$10005&amp;'DMR 001C TIN &amp; TP'!$A$3:$A$10005),0),MATCH('Reg 85'!$AG$11,'DMR 001C TIN &amp; TP'!$A$2:$M$2,0))),"")</f>
        <v/>
      </c>
      <c r="AH234" s="6" t="str">
        <f t="array" ref="AH234">_xlfn.IFNA((INDEX('DMR 001C TIN &amp; TP'!$A$3:$M$10005,MATCH(('Reg 85'!$X$6&amp;'Reg 85'!AH$10&amp;'Reg 85'!$B234),('DMR 001C TIN &amp; TP'!$E$3:$E$10005&amp;'DMR 001C TIN &amp; TP'!$B$3:$B$10005&amp;'DMR 001C TIN &amp; TP'!$A$3:$A$10005),0),MATCH('Reg 85'!$AG$11,'DMR 001C TIN &amp; TP'!$A$2:$M$2,0))),"")</f>
        <v/>
      </c>
      <c r="AI234" s="6" t="str">
        <f t="array" ref="AI234">_xlfn.IFNA((INDEX('DMR 001C TIN &amp; TP'!$A$3:$M$10005,MATCH(('Reg 85'!$X$6&amp;'Reg 85'!AI$10&amp;'Reg 85'!$B234),('DMR 001C TIN &amp; TP'!$E$3:$E$10005&amp;'DMR 001C TIN &amp; TP'!$B$3:$B$10005&amp;'DMR 001C TIN &amp; TP'!$A$3:$A$10005),0),MATCH('Reg 85'!$AG$11,'DMR 001C TIN &amp; TP'!$A$2:$M$2,0))),"")</f>
        <v/>
      </c>
      <c r="AJ234" s="6" t="str">
        <f t="array" ref="AJ234">_xlfn.IFNA((INDEX('DMR 001C TIN &amp; TP'!$A$3:$M$10005,MATCH(('Reg 85'!$X$6&amp;'Reg 85'!AJ$10&amp;'Reg 85'!$B234),('DMR 001C TIN &amp; TP'!$E$3:$E$10005&amp;'DMR 001C TIN &amp; TP'!$B$3:$B$10005&amp;'DMR 001C TIN &amp; TP'!$A$3:$A$10005),0),MATCH('Reg 85'!$AG$11,'DMR 001C TIN &amp; TP'!$A$2:$M$2,0))),"")</f>
        <v/>
      </c>
      <c r="AK234" s="6" t="str">
        <f t="array" ref="AK234">_xlfn.IFNA((INDEX('DMR 001C TIN &amp; TP'!$A$3:$M$10005,MATCH(('Reg 85'!$X$6&amp;'Reg 85'!AK$10&amp;'Reg 85'!$B234),('DMR 001C TIN &amp; TP'!$E$3:$E$10005&amp;'DMR 001C TIN &amp; TP'!$B$3:$B$10005&amp;'DMR 001C TIN &amp; TP'!$A$3:$A$10005),0),MATCH('Reg 85'!$AG$11,'DMR 001C TIN &amp; TP'!$A$2:$M$2,0))),"")</f>
        <v/>
      </c>
      <c r="AL234" s="6" t="str">
        <f t="array" ref="AL234">_xlfn.IFNA((INDEX('DMR 001C TIN &amp; TP'!$A$3:$M$10005,MATCH(('Reg 85'!$X$6&amp;'Reg 85'!AL$10&amp;'Reg 85'!$B234),('DMR 001C TIN &amp; TP'!$E$3:$E$10005&amp;'DMR 001C TIN &amp; TP'!$B$3:$B$10005&amp;'DMR 001C TIN &amp; TP'!$A$3:$A$10005),0),MATCH('Reg 85'!$AG$11,'DMR 001C TIN &amp; TP'!$A$2:$M$2,0))),"")</f>
        <v/>
      </c>
      <c r="AM234" s="76"/>
      <c r="AN234" s="6"/>
      <c r="AO234" s="54">
        <f t="shared" si="83"/>
        <v>6.4429495190788284</v>
      </c>
      <c r="AP234" s="77" t="str">
        <f t="shared" ref="AP234:AP297" si="102">IF(COUNT(IF((B205:B234&lt;=C234)*(B205:B234&gt;=D234)*(B234=EOMONTH(B234,0)),AO205:AO234,""))=0,"",COUNT(IF((B205:B234&lt;=C234)*(B205:B234&gt;=D234)*(B234=EOMONTH(B234,0)),AO205:AO234,"")))</f>
        <v/>
      </c>
      <c r="AQ234" s="47"/>
      <c r="AR234" s="6" t="str">
        <f t="array" ref="AR234">_xlfn.IFNA((INDEX('DMR 001C TIN &amp; TP'!$A$3:$M$10005,MATCH(('Reg 85'!$AQ$6&amp;'Reg 85'!$AQ$10&amp;'Reg 85'!$B234),('DMR 001C TIN &amp; TP'!$E$3:$E$10005&amp;'DMR 001C TIN &amp; TP'!$B$3:$B$10005&amp;'DMR 001C TIN &amp; TP'!$A$3:$A$10005),0),MATCH('Reg 85'!$AR$11,'DMR 001C TIN &amp; TP'!$A$2:$M$2,0))),"")</f>
        <v/>
      </c>
      <c r="AS234" s="6" t="str">
        <f t="array" ref="AS234">_xlfn.IFNA((INDEX('DMR 001C TIN &amp; TP'!$A$3:$M$10005,MATCH(('Reg 85'!$AQ$6&amp;'Reg 85'!$AQ$10&amp;'Reg 85'!$B234),('DMR 001C TIN &amp; TP'!$E$3:$E$10005&amp;'DMR 001C TIN &amp; TP'!$B$3:$B$10005&amp;'DMR 001C TIN &amp; TP'!$A$3:$A$10005),0),MATCH('Reg 85'!$AS$11,'DMR 001C TIN &amp; TP'!$A$2:$M$2,0))),"")</f>
        <v/>
      </c>
      <c r="AT234" s="53" t="str">
        <f t="shared" si="97"/>
        <v/>
      </c>
      <c r="AV234" s="6" t="str">
        <f t="array" ref="AV234">_xlfn.IFNA((INDEX('DMR 001C TIN &amp; TP'!$A$3:$M$10005,MATCH(('Reg 85'!$AQ$6&amp;'Reg 85'!$AU$10&amp;'Reg 85'!$B234),('DMR 001C TIN &amp; TP'!$E$3:$E$10005&amp;'DMR 001C TIN &amp; TP'!$B$3:$B$10005&amp;'DMR 001C TIN &amp; TP'!$A$3:$A$10005),0),MATCH('Reg 85'!$AV$11,'DMR 001C TIN &amp; TP'!$A$2:$M$2,0))),"")</f>
        <v/>
      </c>
      <c r="AW234" s="6" t="str">
        <f t="array" ref="AW234">_xlfn.IFNA((INDEX('DMR 001C TIN &amp; TP'!$A$3:$M$10005,MATCH(('Reg 85'!$AQ$6&amp;'Reg 85'!$AU$10&amp;'Reg 85'!$B234),('DMR 001C TIN &amp; TP'!$E$3:$E$10005&amp;'DMR 001C TIN &amp; TP'!$B$3:$B$10005&amp;'DMR 001C TIN &amp; TP'!$A$3:$A$10005),0),MATCH('Reg 85'!$AW$11,'DMR 001C TIN &amp; TP'!$A$2:$M$2,0))),"")</f>
        <v/>
      </c>
      <c r="AX234" s="53" t="str">
        <f t="shared" si="98"/>
        <v/>
      </c>
      <c r="AY234" s="55" t="str">
        <f t="shared" si="99"/>
        <v/>
      </c>
      <c r="AZ234" s="77" t="str">
        <f t="shared" si="82"/>
        <v/>
      </c>
      <c r="BA234" s="6" t="str">
        <f t="array" ref="BA234">_xlfn.IFNA((INDEX('DMR 001C TIN &amp; TP'!$A$3:$M$10005,MATCH(('Reg 85'!$AQ$6&amp;'Reg 85'!BA$10&amp;'Reg 85'!$B234),('DMR 001C TIN &amp; TP'!$E$3:$E$10005&amp;'DMR 001C TIN &amp; TP'!$B$3:$B$10005&amp;'DMR 001C TIN &amp; TP'!$A$3:$A$10005),0),MATCH('Reg 85'!$AG$11,'DMR 001C TIN &amp; TP'!$A$2:$M$2,0))),"")</f>
        <v/>
      </c>
      <c r="BB234" s="6" t="str">
        <f t="array" ref="BB234">_xlfn.IFNA((INDEX('DMR 001C TIN &amp; TP'!$A$3:$M$10005,MATCH(('Reg 85'!$AQ$6&amp;'Reg 85'!BB$10&amp;'Reg 85'!$B234),('DMR 001C TIN &amp; TP'!$E$3:$E$10005&amp;'DMR 001C TIN &amp; TP'!$B$3:$B$10005&amp;'DMR 001C TIN &amp; TP'!$A$3:$A$10005),0),MATCH('Reg 85'!$AG$11,'DMR 001C TIN &amp; TP'!$A$2:$M$2,0))),"")</f>
        <v/>
      </c>
      <c r="BC234" s="6" t="str">
        <f t="array" ref="BC234">_xlfn.IFNA((INDEX('DMR 001C TIN &amp; TP'!$A$3:$M$10005,MATCH(('Reg 85'!$AQ$6&amp;'Reg 85'!BC$10&amp;'Reg 85'!$B234),('DMR 001C TIN &amp; TP'!$E$3:$E$10005&amp;'DMR 001C TIN &amp; TP'!$B$3:$B$10005&amp;'DMR 001C TIN &amp; TP'!$A$3:$A$10005),0),MATCH('Reg 85'!$AG$11,'DMR 001C TIN &amp; TP'!$A$2:$M$2,0))),"")</f>
        <v/>
      </c>
      <c r="BD234" s="6" t="str">
        <f t="array" ref="BD234">_xlfn.IFNA((INDEX('DMR 001C TIN &amp; TP'!$A$3:$M$10005,MATCH(('Reg 85'!$AQ$6&amp;'Reg 85'!BD$10&amp;'Reg 85'!$B234),('DMR 001C TIN &amp; TP'!$E$3:$E$10005&amp;'DMR 001C TIN &amp; TP'!$B$3:$B$10005&amp;'DMR 001C TIN &amp; TP'!$A$3:$A$10005),0),MATCH('Reg 85'!$AG$11,'DMR 001C TIN &amp; TP'!$A$2:$M$2,0))),"")</f>
        <v/>
      </c>
      <c r="BE234" s="6" t="str">
        <f t="array" ref="BE234">_xlfn.IFNA((INDEX('DMR 001C TIN &amp; TP'!$A$3:$M$10005,MATCH(('Reg 85'!$AQ$6&amp;'Reg 85'!BE$10&amp;'Reg 85'!$B234),('DMR 001C TIN &amp; TP'!$E$3:$E$10005&amp;'DMR 001C TIN &amp; TP'!$B$3:$B$10005&amp;'DMR 001C TIN &amp; TP'!$A$3:$A$10005),0),MATCH('Reg 85'!$AG$11,'DMR 001C TIN &amp; TP'!$A$2:$M$2,0))),"")</f>
        <v/>
      </c>
      <c r="BF234" s="6" t="str">
        <f t="array" ref="BF234">_xlfn.IFNA((INDEX('DMR 001C TIN &amp; TP'!$A$3:$M$10005,MATCH(('Reg 85'!$AQ$6&amp;'Reg 85'!BF$10&amp;'Reg 85'!$B234),('DMR 001C TIN &amp; TP'!$E$3:$E$10005&amp;'DMR 001C TIN &amp; TP'!$B$3:$B$10005&amp;'DMR 001C TIN &amp; TP'!$A$3:$A$10005),0),MATCH('Reg 85'!$AG$11,'DMR 001C TIN &amp; TP'!$A$2:$M$2,0))),"")</f>
        <v/>
      </c>
    </row>
    <row r="235" spans="1:58">
      <c r="A235" s="3" t="str">
        <f t="shared" si="84"/>
        <v>Fri</v>
      </c>
      <c r="B235" s="96">
        <f t="shared" si="100"/>
        <v>43567</v>
      </c>
      <c r="C235" s="96">
        <f t="shared" si="85"/>
        <v>43585</v>
      </c>
      <c r="D235" s="96">
        <f t="shared" si="86"/>
        <v>43556</v>
      </c>
      <c r="E235" s="95">
        <f t="shared" si="87"/>
        <v>30</v>
      </c>
      <c r="F235" s="7">
        <f t="array" ref="F235">_xlfn.IFNA(INDEX('DMR Flows-Effluent'!$A$3:$F$9999,MATCH(($F$10&amp;$B235),('DMR Flows-Effluent'!$B$3:$B$9999&amp;'DMR Flows-Effluent'!$A$3:$A$9999),0),MATCH($F$8,'DMR Flows-Effluent'!$A$2:$F$2,0)),"")</f>
        <v>67.236000000000004</v>
      </c>
      <c r="G235" s="7">
        <f t="array" ref="G235">_xlfn.IFNA(INDEX('DMR Flows-Effluent'!$A$3:$F$9999,MATCH(($G$10&amp;$B235),('DMR Flows-Effluent'!$B$3:$B$9999&amp;'DMR Flows-Effluent'!$A$3:$A$9999),0),MATCH($F$8,'DMR Flows-Effluent'!$A$2:$F$2,0)),"")</f>
        <v>55.514800000000001</v>
      </c>
      <c r="H235" s="7">
        <f t="shared" si="88"/>
        <v>122.7508</v>
      </c>
      <c r="I235" s="45" t="str">
        <f t="shared" si="89"/>
        <v/>
      </c>
      <c r="J235" s="6" t="str">
        <f t="array" ref="J235">_xlfn.IFNA((INDEX('DMR 001C TIN &amp; TP'!$A$3:$M$10005,MATCH(('Reg 85'!$I$6:$Q$6&amp;'Reg 85'!$I$10:$K$10&amp;'Reg 85'!$B235),('DMR 001C TIN &amp; TP'!$E$3:$E$10005&amp;'DMR 001C TIN &amp; TP'!$B$3:$B$10005&amp;'DMR 001C TIN &amp; TP'!$A$3:$A$10005),0),MATCH('Reg 85'!$J$11,'DMR 001C TIN &amp; TP'!$A$2:$M$2,0))),"")</f>
        <v>0.15</v>
      </c>
      <c r="K235" s="6">
        <f t="array" ref="K235">_xlfn.IFNA((INDEX('DMR 001C TIN &amp; TP'!$A$3:$M$10005,MATCH(('Reg 85'!$I$6:$Q$6&amp;'Reg 85'!$I$10:$K$10&amp;'Reg 85'!$B235),('DMR 001C TIN &amp; TP'!$E$3:$E$10005&amp;'DMR 001C TIN &amp; TP'!$B$3:$B$10005&amp;'DMR 001C TIN &amp; TP'!$A$3:$A$10005),0),MATCH('Reg 85'!$K$11,'DMR 001C TIN &amp; TP'!$A$2:$M$2,0))),"")</f>
        <v>0.88</v>
      </c>
      <c r="L235" s="53">
        <f t="shared" si="101"/>
        <v>0.88</v>
      </c>
      <c r="M235" s="5" t="str">
        <f t="shared" si="90"/>
        <v>&lt;</v>
      </c>
      <c r="N235" s="6" t="str">
        <f t="array" ref="N235">_xlfn.IFNA((INDEX('DMR 001C TIN &amp; TP'!$A$3:$M$10005,MATCH(('Reg 85'!$I$6:$Q$6&amp;'Reg 85'!$M$10&amp;'Reg 85'!$B235),('DMR 001C TIN &amp; TP'!$E$3:$E$10005&amp;'DMR 001C TIN &amp; TP'!$B$3:$B$10005&amp;'DMR 001C TIN &amp; TP'!$A$3:$A$10005),0),MATCH('Reg 85'!$N$11,'DMR 001C TIN &amp; TP'!$A$2:$M$2,0))),"")</f>
        <v>0.15</v>
      </c>
      <c r="O235" s="6">
        <f t="array" ref="O235">_xlfn.IFNA((INDEX('DMR 001C TIN &amp; TP'!$A$3:$M$10005,MATCH(('Reg 85'!$I$6:$Q$6&amp;'Reg 85'!$M$10&amp;'Reg 85'!$B235),('DMR 001C TIN &amp; TP'!$E$3:$E$10005&amp;'DMR 001C TIN &amp; TP'!$B$3:$B$10005&amp;'DMR 001C TIN &amp; TP'!$A$3:$A$10005),0),MATCH('Reg 85'!$O$11,'DMR 001C TIN &amp; TP'!$A$2:$M$2,0))),"")</f>
        <v>0.06</v>
      </c>
      <c r="P235" s="53">
        <f t="shared" si="91"/>
        <v>0</v>
      </c>
      <c r="Q235" s="73">
        <f t="array" ref="Q235">IFERROR(((L235*$F235)+(P235*$G235))/($H235),"")</f>
        <v>0.48201461823466735</v>
      </c>
      <c r="R235" s="6" t="str">
        <f t="array" ref="R235">_xlfn.IFNA((INDEX('DMR 001C TIN &amp; TP'!$A$3:$M$10005,MATCH(('Reg 85'!$I$6:$Q$6&amp;'Reg 85'!R$10&amp;'Reg 85'!$B235),('DMR 001C TIN &amp; TP'!$E$3:$E$10005&amp;'DMR 001C TIN &amp; TP'!$B$3:$B$10005&amp;'DMR 001C TIN &amp; TP'!$A$3:$A$10005),0),MATCH('Reg 85'!$O$11,'DMR 001C TIN &amp; TP'!$A$2:$M$2,0))),"")</f>
        <v/>
      </c>
      <c r="S235" s="6" t="str">
        <f t="array" ref="S235">_xlfn.IFNA((INDEX('DMR 001C TIN &amp; TP'!$A$3:$M$10005,MATCH(('Reg 85'!$I$6:$Q$6&amp;'Reg 85'!S$10&amp;'Reg 85'!$B235),('DMR 001C TIN &amp; TP'!$E$3:$E$10005&amp;'DMR 001C TIN &amp; TP'!$B$3:$B$10005&amp;'DMR 001C TIN &amp; TP'!$A$3:$A$10005),0),MATCH('Reg 85'!$O$11,'DMR 001C TIN &amp; TP'!$A$2:$M$2,0))),"")</f>
        <v/>
      </c>
      <c r="T235" s="6" t="str">
        <f t="array" ref="T235">_xlfn.IFNA((INDEX('DMR 001C TIN &amp; TP'!$A$3:$M$10005,MATCH(('Reg 85'!$I$6:$Q$6&amp;'Reg 85'!T$10&amp;'Reg 85'!$B235),('DMR 001C TIN &amp; TP'!$E$3:$E$10005&amp;'DMR 001C TIN &amp; TP'!$B$3:$B$10005&amp;'DMR 001C TIN &amp; TP'!$A$3:$A$10005),0),MATCH('Reg 85'!$O$11,'DMR 001C TIN &amp; TP'!$A$2:$M$2,0))),"")</f>
        <v/>
      </c>
      <c r="U235" s="6" t="str">
        <f t="array" ref="U235">_xlfn.IFNA((INDEX('DMR 001C TIN &amp; TP'!$A$3:$M$10005,MATCH(('Reg 85'!$I$6:$Q$6&amp;'Reg 85'!U$10&amp;'Reg 85'!$B235),('DMR 001C TIN &amp; TP'!$E$3:$E$10005&amp;'DMR 001C TIN &amp; TP'!$B$3:$B$10005&amp;'DMR 001C TIN &amp; TP'!$A$3:$A$10005),0),MATCH('Reg 85'!$O$11,'DMR 001C TIN &amp; TP'!$A$2:$M$2,0))),"")</f>
        <v/>
      </c>
      <c r="V235" s="6" t="str">
        <f t="array" ref="V235">_xlfn.IFNA((INDEX('DMR 001C TIN &amp; TP'!$A$3:$M$10005,MATCH(('Reg 85'!$I$6:$Q$6&amp;'Reg 85'!V$10&amp;'Reg 85'!$B235),('DMR 001C TIN &amp; TP'!$E$3:$E$10005&amp;'DMR 001C TIN &amp; TP'!$B$3:$B$10005&amp;'DMR 001C TIN &amp; TP'!$A$3:$A$10005),0),MATCH('Reg 85'!$O$11,'DMR 001C TIN &amp; TP'!$A$2:$M$2,0))),"")</f>
        <v/>
      </c>
      <c r="W235" s="6" t="str">
        <f t="array" ref="W235">_xlfn.IFNA((INDEX('DMR 001C TIN &amp; TP'!$A$3:$M$10005,MATCH(('Reg 85'!$I$6:$Q$6&amp;'Reg 85'!W$10&amp;'Reg 85'!$B235),('DMR 001C TIN &amp; TP'!$E$3:$E$10005&amp;'DMR 001C TIN &amp; TP'!$B$3:$B$10005&amp;'DMR 001C TIN &amp; TP'!$A$3:$A$10005),0),MATCH('Reg 85'!$O$11,'DMR 001C TIN &amp; TP'!$A$2:$M$2,0))),"")</f>
        <v/>
      </c>
      <c r="X235" s="5" t="str">
        <f t="shared" si="92"/>
        <v/>
      </c>
      <c r="Y235" s="6" t="str">
        <f t="array" ref="Y235">_xlfn.IFNA((INDEX('DMR 001C TIN &amp; TP'!$A$3:$M$10005,MATCH(('Reg 85'!$X$6&amp;'Reg 85'!$X$10&amp;'Reg 85'!$B235),('DMR 001C TIN &amp; TP'!$E$3:$E$10005&amp;'DMR 001C TIN &amp; TP'!$B$3:$B$10005&amp;'DMR 001C TIN &amp; TP'!$A$3:$A$10005),0),MATCH('Reg 85'!$Y$11,'DMR 001C TIN &amp; TP'!$A$2:$M$2,0))),"")</f>
        <v>0.06</v>
      </c>
      <c r="Z235" s="6">
        <f t="array" ref="Z235">_xlfn.IFNA((INDEX('DMR 001C TIN &amp; TP'!$A$3:$M$10005,MATCH(('Reg 85'!$X$6&amp;'Reg 85'!$X$10&amp;'Reg 85'!$B235),('DMR 001C TIN &amp; TP'!$E$3:$E$10005&amp;'DMR 001C TIN &amp; TP'!$B$3:$B$10005&amp;'DMR 001C TIN &amp; TP'!$A$3:$A$10005),0),MATCH('Reg 85'!$Z$11,'DMR 001C TIN &amp; TP'!$A$2:$M$2,0))),"")</f>
        <v>4.93</v>
      </c>
      <c r="AA235" s="53">
        <f t="shared" si="93"/>
        <v>4.93</v>
      </c>
      <c r="AB235" s="5" t="str">
        <f t="shared" si="94"/>
        <v/>
      </c>
      <c r="AC235" s="6" t="str">
        <f t="array" ref="AC235">_xlfn.IFNA((INDEX('DMR 001C TIN &amp; TP'!$A$3:$M$10005,MATCH(('Reg 85'!$X$6&amp;'Reg 85'!$AB$10&amp;'Reg 85'!$B235),('DMR 001C TIN &amp; TP'!$E$3:$E$10005&amp;'DMR 001C TIN &amp; TP'!$B$3:$B$10005&amp;'DMR 001C TIN &amp; TP'!$A$3:$A$10005),0),MATCH('Reg 85'!$AC$11,'DMR 001C TIN &amp; TP'!$A$2:$M$2,0))),"")</f>
        <v>0.06</v>
      </c>
      <c r="AD235" s="6">
        <f t="array" ref="AD235">_xlfn.IFNA((INDEX('DMR 001C TIN &amp; TP'!$A$3:$M$10005,MATCH(('Reg 85'!$X$6&amp;'Reg 85'!$AB$10&amp;'Reg 85'!$B235),('DMR 001C TIN &amp; TP'!$E$3:$E$10005&amp;'DMR 001C TIN &amp; TP'!$B$3:$B$10005&amp;'DMR 001C TIN &amp; TP'!$A$3:$A$10005),0),MATCH('Reg 85'!$AD$11,'DMR 001C TIN &amp; TP'!$A$2:$M$2,0))),"")</f>
        <v>5.89</v>
      </c>
      <c r="AE235" s="53">
        <f t="shared" si="95"/>
        <v>5.89</v>
      </c>
      <c r="AF235" s="7">
        <f t="shared" si="96"/>
        <v>5.3641658710167262</v>
      </c>
      <c r="AG235" s="6" t="str">
        <f t="array" ref="AG235">_xlfn.IFNA((INDEX('DMR 001C TIN &amp; TP'!$A$3:$M$10005,MATCH(('Reg 85'!$X$6&amp;'Reg 85'!AG$10&amp;'Reg 85'!$B235),('DMR 001C TIN &amp; TP'!$E$3:$E$10005&amp;'DMR 001C TIN &amp; TP'!$B$3:$B$10005&amp;'DMR 001C TIN &amp; TP'!$A$3:$A$10005),0),MATCH('Reg 85'!$AG$11,'DMR 001C TIN &amp; TP'!$A$2:$M$2,0))),"")</f>
        <v/>
      </c>
      <c r="AH235" s="6" t="str">
        <f t="array" ref="AH235">_xlfn.IFNA((INDEX('DMR 001C TIN &amp; TP'!$A$3:$M$10005,MATCH(('Reg 85'!$X$6&amp;'Reg 85'!AH$10&amp;'Reg 85'!$B235),('DMR 001C TIN &amp; TP'!$E$3:$E$10005&amp;'DMR 001C TIN &amp; TP'!$B$3:$B$10005&amp;'DMR 001C TIN &amp; TP'!$A$3:$A$10005),0),MATCH('Reg 85'!$AG$11,'DMR 001C TIN &amp; TP'!$A$2:$M$2,0))),"")</f>
        <v/>
      </c>
      <c r="AI235" s="6" t="str">
        <f t="array" ref="AI235">_xlfn.IFNA((INDEX('DMR 001C TIN &amp; TP'!$A$3:$M$10005,MATCH(('Reg 85'!$X$6&amp;'Reg 85'!AI$10&amp;'Reg 85'!$B235),('DMR 001C TIN &amp; TP'!$E$3:$E$10005&amp;'DMR 001C TIN &amp; TP'!$B$3:$B$10005&amp;'DMR 001C TIN &amp; TP'!$A$3:$A$10005),0),MATCH('Reg 85'!$AG$11,'DMR 001C TIN &amp; TP'!$A$2:$M$2,0))),"")</f>
        <v/>
      </c>
      <c r="AJ235" s="6" t="str">
        <f t="array" ref="AJ235">_xlfn.IFNA((INDEX('DMR 001C TIN &amp; TP'!$A$3:$M$10005,MATCH(('Reg 85'!$X$6&amp;'Reg 85'!AJ$10&amp;'Reg 85'!$B235),('DMR 001C TIN &amp; TP'!$E$3:$E$10005&amp;'DMR 001C TIN &amp; TP'!$B$3:$B$10005&amp;'DMR 001C TIN &amp; TP'!$A$3:$A$10005),0),MATCH('Reg 85'!$AG$11,'DMR 001C TIN &amp; TP'!$A$2:$M$2,0))),"")</f>
        <v/>
      </c>
      <c r="AK235" s="6" t="str">
        <f t="array" ref="AK235">_xlfn.IFNA((INDEX('DMR 001C TIN &amp; TP'!$A$3:$M$10005,MATCH(('Reg 85'!$X$6&amp;'Reg 85'!AK$10&amp;'Reg 85'!$B235),('DMR 001C TIN &amp; TP'!$E$3:$E$10005&amp;'DMR 001C TIN &amp; TP'!$B$3:$B$10005&amp;'DMR 001C TIN &amp; TP'!$A$3:$A$10005),0),MATCH('Reg 85'!$AG$11,'DMR 001C TIN &amp; TP'!$A$2:$M$2,0))),"")</f>
        <v/>
      </c>
      <c r="AL235" s="6" t="str">
        <f t="array" ref="AL235">_xlfn.IFNA((INDEX('DMR 001C TIN &amp; TP'!$A$3:$M$10005,MATCH(('Reg 85'!$X$6&amp;'Reg 85'!AL$10&amp;'Reg 85'!$B235),('DMR 001C TIN &amp; TP'!$E$3:$E$10005&amp;'DMR 001C TIN &amp; TP'!$B$3:$B$10005&amp;'DMR 001C TIN &amp; TP'!$A$3:$A$10005),0),MATCH('Reg 85'!$AG$11,'DMR 001C TIN &amp; TP'!$A$2:$M$2,0))),"")</f>
        <v/>
      </c>
      <c r="AM235" s="76"/>
      <c r="AN235" s="6"/>
      <c r="AO235" s="54">
        <f t="shared" si="83"/>
        <v>5.8461804892513936</v>
      </c>
      <c r="AP235" s="77" t="str">
        <f t="shared" si="102"/>
        <v/>
      </c>
      <c r="AQ235" s="47"/>
      <c r="AR235" s="6" t="str">
        <f t="array" ref="AR235">_xlfn.IFNA((INDEX('DMR 001C TIN &amp; TP'!$A$3:$M$10005,MATCH(('Reg 85'!$AQ$6&amp;'Reg 85'!$AQ$10&amp;'Reg 85'!$B235),('DMR 001C TIN &amp; TP'!$E$3:$E$10005&amp;'DMR 001C TIN &amp; TP'!$B$3:$B$10005&amp;'DMR 001C TIN &amp; TP'!$A$3:$A$10005),0),MATCH('Reg 85'!$AR$11,'DMR 001C TIN &amp; TP'!$A$2:$M$2,0))),"")</f>
        <v/>
      </c>
      <c r="AS235" s="6" t="str">
        <f t="array" ref="AS235">_xlfn.IFNA((INDEX('DMR 001C TIN &amp; TP'!$A$3:$M$10005,MATCH(('Reg 85'!$AQ$6&amp;'Reg 85'!$AQ$10&amp;'Reg 85'!$B235),('DMR 001C TIN &amp; TP'!$E$3:$E$10005&amp;'DMR 001C TIN &amp; TP'!$B$3:$B$10005&amp;'DMR 001C TIN &amp; TP'!$A$3:$A$10005),0),MATCH('Reg 85'!$AS$11,'DMR 001C TIN &amp; TP'!$A$2:$M$2,0))),"")</f>
        <v/>
      </c>
      <c r="AT235" s="53" t="str">
        <f t="shared" si="97"/>
        <v/>
      </c>
      <c r="AV235" s="6" t="str">
        <f t="array" ref="AV235">_xlfn.IFNA((INDEX('DMR 001C TIN &amp; TP'!$A$3:$M$10005,MATCH(('Reg 85'!$AQ$6&amp;'Reg 85'!$AU$10&amp;'Reg 85'!$B235),('DMR 001C TIN &amp; TP'!$E$3:$E$10005&amp;'DMR 001C TIN &amp; TP'!$B$3:$B$10005&amp;'DMR 001C TIN &amp; TP'!$A$3:$A$10005),0),MATCH('Reg 85'!$AV$11,'DMR 001C TIN &amp; TP'!$A$2:$M$2,0))),"")</f>
        <v/>
      </c>
      <c r="AW235" s="6" t="str">
        <f t="array" ref="AW235">_xlfn.IFNA((INDEX('DMR 001C TIN &amp; TP'!$A$3:$M$10005,MATCH(('Reg 85'!$AQ$6&amp;'Reg 85'!$AU$10&amp;'Reg 85'!$B235),('DMR 001C TIN &amp; TP'!$E$3:$E$10005&amp;'DMR 001C TIN &amp; TP'!$B$3:$B$10005&amp;'DMR 001C TIN &amp; TP'!$A$3:$A$10005),0),MATCH('Reg 85'!$AW$11,'DMR 001C TIN &amp; TP'!$A$2:$M$2,0))),"")</f>
        <v/>
      </c>
      <c r="AX235" s="53" t="str">
        <f t="shared" si="98"/>
        <v/>
      </c>
      <c r="AY235" s="55" t="str">
        <f t="shared" si="99"/>
        <v/>
      </c>
      <c r="AZ235" s="77" t="str">
        <f t="shared" ref="AZ235:AZ298" si="103">IF(COUNT(IF((B205:B235&lt;=C235)*(B205:B235&gt;=D235)*(B235=EOMONTH(B235,0)),AY205:AY235,""))=0,"",COUNT(IF((B205:B235&lt;=C235)*(B205:B235&gt;=D235)*(B235=EOMONTH(B235,0)),AY205:AY235,"")))</f>
        <v/>
      </c>
      <c r="BA235" s="6" t="str">
        <f t="array" ref="BA235">_xlfn.IFNA((INDEX('DMR 001C TIN &amp; TP'!$A$3:$M$10005,MATCH(('Reg 85'!$AQ$6&amp;'Reg 85'!BA$10&amp;'Reg 85'!$B235),('DMR 001C TIN &amp; TP'!$E$3:$E$10005&amp;'DMR 001C TIN &amp; TP'!$B$3:$B$10005&amp;'DMR 001C TIN &amp; TP'!$A$3:$A$10005),0),MATCH('Reg 85'!$AG$11,'DMR 001C TIN &amp; TP'!$A$2:$M$2,0))),"")</f>
        <v/>
      </c>
      <c r="BB235" s="6" t="str">
        <f t="array" ref="BB235">_xlfn.IFNA((INDEX('DMR 001C TIN &amp; TP'!$A$3:$M$10005,MATCH(('Reg 85'!$AQ$6&amp;'Reg 85'!BB$10&amp;'Reg 85'!$B235),('DMR 001C TIN &amp; TP'!$E$3:$E$10005&amp;'DMR 001C TIN &amp; TP'!$B$3:$B$10005&amp;'DMR 001C TIN &amp; TP'!$A$3:$A$10005),0),MATCH('Reg 85'!$AG$11,'DMR 001C TIN &amp; TP'!$A$2:$M$2,0))),"")</f>
        <v/>
      </c>
      <c r="BC235" s="6" t="str">
        <f t="array" ref="BC235">_xlfn.IFNA((INDEX('DMR 001C TIN &amp; TP'!$A$3:$M$10005,MATCH(('Reg 85'!$AQ$6&amp;'Reg 85'!BC$10&amp;'Reg 85'!$B235),('DMR 001C TIN &amp; TP'!$E$3:$E$10005&amp;'DMR 001C TIN &amp; TP'!$B$3:$B$10005&amp;'DMR 001C TIN &amp; TP'!$A$3:$A$10005),0),MATCH('Reg 85'!$AG$11,'DMR 001C TIN &amp; TP'!$A$2:$M$2,0))),"")</f>
        <v/>
      </c>
      <c r="BD235" s="6" t="str">
        <f t="array" ref="BD235">_xlfn.IFNA((INDEX('DMR 001C TIN &amp; TP'!$A$3:$M$10005,MATCH(('Reg 85'!$AQ$6&amp;'Reg 85'!BD$10&amp;'Reg 85'!$B235),('DMR 001C TIN &amp; TP'!$E$3:$E$10005&amp;'DMR 001C TIN &amp; TP'!$B$3:$B$10005&amp;'DMR 001C TIN &amp; TP'!$A$3:$A$10005),0),MATCH('Reg 85'!$AG$11,'DMR 001C TIN &amp; TP'!$A$2:$M$2,0))),"")</f>
        <v/>
      </c>
      <c r="BE235" s="6" t="str">
        <f t="array" ref="BE235">_xlfn.IFNA((INDEX('DMR 001C TIN &amp; TP'!$A$3:$M$10005,MATCH(('Reg 85'!$AQ$6&amp;'Reg 85'!BE$10&amp;'Reg 85'!$B235),('DMR 001C TIN &amp; TP'!$E$3:$E$10005&amp;'DMR 001C TIN &amp; TP'!$B$3:$B$10005&amp;'DMR 001C TIN &amp; TP'!$A$3:$A$10005),0),MATCH('Reg 85'!$AG$11,'DMR 001C TIN &amp; TP'!$A$2:$M$2,0))),"")</f>
        <v/>
      </c>
      <c r="BF235" s="6" t="str">
        <f t="array" ref="BF235">_xlfn.IFNA((INDEX('DMR 001C TIN &amp; TP'!$A$3:$M$10005,MATCH(('Reg 85'!$AQ$6&amp;'Reg 85'!BF$10&amp;'Reg 85'!$B235),('DMR 001C TIN &amp; TP'!$E$3:$E$10005&amp;'DMR 001C TIN &amp; TP'!$B$3:$B$10005&amp;'DMR 001C TIN &amp; TP'!$A$3:$A$10005),0),MATCH('Reg 85'!$AG$11,'DMR 001C TIN &amp; TP'!$A$2:$M$2,0))),"")</f>
        <v/>
      </c>
    </row>
    <row r="236" spans="1:58">
      <c r="A236" s="3" t="str">
        <f t="shared" si="84"/>
        <v>Sat</v>
      </c>
      <c r="B236" s="96">
        <f t="shared" si="100"/>
        <v>43568</v>
      </c>
      <c r="C236" s="96">
        <f t="shared" si="85"/>
        <v>43585</v>
      </c>
      <c r="D236" s="96">
        <f t="shared" si="86"/>
        <v>43556</v>
      </c>
      <c r="E236" s="95">
        <f t="shared" si="87"/>
        <v>30</v>
      </c>
      <c r="F236" s="7">
        <f t="array" ref="F236">_xlfn.IFNA(INDEX('DMR Flows-Effluent'!$A$3:$F$9999,MATCH(($F$10&amp;$B236),('DMR Flows-Effluent'!$B$3:$B$9999&amp;'DMR Flows-Effluent'!$A$3:$A$9999),0),MATCH($F$8,'DMR Flows-Effluent'!$A$2:$F$2,0)),"")</f>
        <v>61.371499999999997</v>
      </c>
      <c r="G236" s="7">
        <f t="array" ref="G236">_xlfn.IFNA(INDEX('DMR Flows-Effluent'!$A$3:$F$9999,MATCH(($G$10&amp;$B236),('DMR Flows-Effluent'!$B$3:$B$9999&amp;'DMR Flows-Effluent'!$A$3:$A$9999),0),MATCH($F$8,'DMR Flows-Effluent'!$A$2:$F$2,0)),"")</f>
        <v>63.837899999999998</v>
      </c>
      <c r="H236" s="7">
        <f t="shared" si="88"/>
        <v>125.20939999999999</v>
      </c>
      <c r="I236" s="45" t="str">
        <f t="shared" si="89"/>
        <v/>
      </c>
      <c r="J236" s="6" t="str">
        <f t="array" ref="J236">_xlfn.IFNA((INDEX('DMR 001C TIN &amp; TP'!$A$3:$M$10005,MATCH(('Reg 85'!$I$6:$Q$6&amp;'Reg 85'!$I$10:$K$10&amp;'Reg 85'!$B236),('DMR 001C TIN &amp; TP'!$E$3:$E$10005&amp;'DMR 001C TIN &amp; TP'!$B$3:$B$10005&amp;'DMR 001C TIN &amp; TP'!$A$3:$A$10005),0),MATCH('Reg 85'!$J$11,'DMR 001C TIN &amp; TP'!$A$2:$M$2,0))),"")</f>
        <v/>
      </c>
      <c r="K236" s="6" t="str">
        <f t="array" ref="K236">_xlfn.IFNA((INDEX('DMR 001C TIN &amp; TP'!$A$3:$M$10005,MATCH(('Reg 85'!$I$6:$Q$6&amp;'Reg 85'!$I$10:$K$10&amp;'Reg 85'!$B236),('DMR 001C TIN &amp; TP'!$E$3:$E$10005&amp;'DMR 001C TIN &amp; TP'!$B$3:$B$10005&amp;'DMR 001C TIN &amp; TP'!$A$3:$A$10005),0),MATCH('Reg 85'!$K$11,'DMR 001C TIN &amp; TP'!$A$2:$M$2,0))),"")</f>
        <v/>
      </c>
      <c r="L236" s="53" t="str">
        <f t="shared" si="101"/>
        <v/>
      </c>
      <c r="M236" s="5" t="str">
        <f t="shared" si="90"/>
        <v/>
      </c>
      <c r="N236" s="6" t="str">
        <f t="array" ref="N236">_xlfn.IFNA((INDEX('DMR 001C TIN &amp; TP'!$A$3:$M$10005,MATCH(('Reg 85'!$I$6:$Q$6&amp;'Reg 85'!$M$10&amp;'Reg 85'!$B236),('DMR 001C TIN &amp; TP'!$E$3:$E$10005&amp;'DMR 001C TIN &amp; TP'!$B$3:$B$10005&amp;'DMR 001C TIN &amp; TP'!$A$3:$A$10005),0),MATCH('Reg 85'!$N$11,'DMR 001C TIN &amp; TP'!$A$2:$M$2,0))),"")</f>
        <v/>
      </c>
      <c r="O236" s="6" t="str">
        <f t="array" ref="O236">_xlfn.IFNA((INDEX('DMR 001C TIN &amp; TP'!$A$3:$M$10005,MATCH(('Reg 85'!$I$6:$Q$6&amp;'Reg 85'!$M$10&amp;'Reg 85'!$B236),('DMR 001C TIN &amp; TP'!$E$3:$E$10005&amp;'DMR 001C TIN &amp; TP'!$B$3:$B$10005&amp;'DMR 001C TIN &amp; TP'!$A$3:$A$10005),0),MATCH('Reg 85'!$O$11,'DMR 001C TIN &amp; TP'!$A$2:$M$2,0))),"")</f>
        <v/>
      </c>
      <c r="P236" s="53" t="str">
        <f t="shared" si="91"/>
        <v/>
      </c>
      <c r="Q236" s="73" t="str">
        <f t="array" ref="Q236">IFERROR(((L236*$F236)+(P236*$G236))/($H236),"")</f>
        <v/>
      </c>
      <c r="R236" s="6" t="str">
        <f t="array" ref="R236">_xlfn.IFNA((INDEX('DMR 001C TIN &amp; TP'!$A$3:$M$10005,MATCH(('Reg 85'!$I$6:$Q$6&amp;'Reg 85'!R$10&amp;'Reg 85'!$B236),('DMR 001C TIN &amp; TP'!$E$3:$E$10005&amp;'DMR 001C TIN &amp; TP'!$B$3:$B$10005&amp;'DMR 001C TIN &amp; TP'!$A$3:$A$10005),0),MATCH('Reg 85'!$O$11,'DMR 001C TIN &amp; TP'!$A$2:$M$2,0))),"")</f>
        <v/>
      </c>
      <c r="S236" s="6" t="str">
        <f t="array" ref="S236">_xlfn.IFNA((INDEX('DMR 001C TIN &amp; TP'!$A$3:$M$10005,MATCH(('Reg 85'!$I$6:$Q$6&amp;'Reg 85'!S$10&amp;'Reg 85'!$B236),('DMR 001C TIN &amp; TP'!$E$3:$E$10005&amp;'DMR 001C TIN &amp; TP'!$B$3:$B$10005&amp;'DMR 001C TIN &amp; TP'!$A$3:$A$10005),0),MATCH('Reg 85'!$O$11,'DMR 001C TIN &amp; TP'!$A$2:$M$2,0))),"")</f>
        <v/>
      </c>
      <c r="T236" s="6" t="str">
        <f t="array" ref="T236">_xlfn.IFNA((INDEX('DMR 001C TIN &amp; TP'!$A$3:$M$10005,MATCH(('Reg 85'!$I$6:$Q$6&amp;'Reg 85'!T$10&amp;'Reg 85'!$B236),('DMR 001C TIN &amp; TP'!$E$3:$E$10005&amp;'DMR 001C TIN &amp; TP'!$B$3:$B$10005&amp;'DMR 001C TIN &amp; TP'!$A$3:$A$10005),0),MATCH('Reg 85'!$O$11,'DMR 001C TIN &amp; TP'!$A$2:$M$2,0))),"")</f>
        <v/>
      </c>
      <c r="U236" s="6" t="str">
        <f t="array" ref="U236">_xlfn.IFNA((INDEX('DMR 001C TIN &amp; TP'!$A$3:$M$10005,MATCH(('Reg 85'!$I$6:$Q$6&amp;'Reg 85'!U$10&amp;'Reg 85'!$B236),('DMR 001C TIN &amp; TP'!$E$3:$E$10005&amp;'DMR 001C TIN &amp; TP'!$B$3:$B$10005&amp;'DMR 001C TIN &amp; TP'!$A$3:$A$10005),0),MATCH('Reg 85'!$O$11,'DMR 001C TIN &amp; TP'!$A$2:$M$2,0))),"")</f>
        <v/>
      </c>
      <c r="V236" s="6" t="str">
        <f t="array" ref="V236">_xlfn.IFNA((INDEX('DMR 001C TIN &amp; TP'!$A$3:$M$10005,MATCH(('Reg 85'!$I$6:$Q$6&amp;'Reg 85'!V$10&amp;'Reg 85'!$B236),('DMR 001C TIN &amp; TP'!$E$3:$E$10005&amp;'DMR 001C TIN &amp; TP'!$B$3:$B$10005&amp;'DMR 001C TIN &amp; TP'!$A$3:$A$10005),0),MATCH('Reg 85'!$O$11,'DMR 001C TIN &amp; TP'!$A$2:$M$2,0))),"")</f>
        <v/>
      </c>
      <c r="W236" s="6" t="str">
        <f t="array" ref="W236">_xlfn.IFNA((INDEX('DMR 001C TIN &amp; TP'!$A$3:$M$10005,MATCH(('Reg 85'!$I$6:$Q$6&amp;'Reg 85'!W$10&amp;'Reg 85'!$B236),('DMR 001C TIN &amp; TP'!$E$3:$E$10005&amp;'DMR 001C TIN &amp; TP'!$B$3:$B$10005&amp;'DMR 001C TIN &amp; TP'!$A$3:$A$10005),0),MATCH('Reg 85'!$O$11,'DMR 001C TIN &amp; TP'!$A$2:$M$2,0))),"")</f>
        <v/>
      </c>
      <c r="X236" s="5" t="str">
        <f t="shared" si="92"/>
        <v/>
      </c>
      <c r="Y236" s="6" t="str">
        <f t="array" ref="Y236">_xlfn.IFNA((INDEX('DMR 001C TIN &amp; TP'!$A$3:$M$10005,MATCH(('Reg 85'!$X$6&amp;'Reg 85'!$X$10&amp;'Reg 85'!$B236),('DMR 001C TIN &amp; TP'!$E$3:$E$10005&amp;'DMR 001C TIN &amp; TP'!$B$3:$B$10005&amp;'DMR 001C TIN &amp; TP'!$A$3:$A$10005),0),MATCH('Reg 85'!$Y$11,'DMR 001C TIN &amp; TP'!$A$2:$M$2,0))),"")</f>
        <v/>
      </c>
      <c r="Z236" s="6" t="str">
        <f t="array" ref="Z236">_xlfn.IFNA((INDEX('DMR 001C TIN &amp; TP'!$A$3:$M$10005,MATCH(('Reg 85'!$X$6&amp;'Reg 85'!$X$10&amp;'Reg 85'!$B236),('DMR 001C TIN &amp; TP'!$E$3:$E$10005&amp;'DMR 001C TIN &amp; TP'!$B$3:$B$10005&amp;'DMR 001C TIN &amp; TP'!$A$3:$A$10005),0),MATCH('Reg 85'!$Z$11,'DMR 001C TIN &amp; TP'!$A$2:$M$2,0))),"")</f>
        <v/>
      </c>
      <c r="AA236" s="53" t="str">
        <f t="shared" si="93"/>
        <v/>
      </c>
      <c r="AB236" s="5" t="str">
        <f t="shared" si="94"/>
        <v/>
      </c>
      <c r="AC236" s="6" t="str">
        <f t="array" ref="AC236">_xlfn.IFNA((INDEX('DMR 001C TIN &amp; TP'!$A$3:$M$10005,MATCH(('Reg 85'!$X$6&amp;'Reg 85'!$AB$10&amp;'Reg 85'!$B236),('DMR 001C TIN &amp; TP'!$E$3:$E$10005&amp;'DMR 001C TIN &amp; TP'!$B$3:$B$10005&amp;'DMR 001C TIN &amp; TP'!$A$3:$A$10005),0),MATCH('Reg 85'!$AC$11,'DMR 001C TIN &amp; TP'!$A$2:$M$2,0))),"")</f>
        <v/>
      </c>
      <c r="AD236" s="6" t="str">
        <f t="array" ref="AD236">_xlfn.IFNA((INDEX('DMR 001C TIN &amp; TP'!$A$3:$M$10005,MATCH(('Reg 85'!$X$6&amp;'Reg 85'!$AB$10&amp;'Reg 85'!$B236),('DMR 001C TIN &amp; TP'!$E$3:$E$10005&amp;'DMR 001C TIN &amp; TP'!$B$3:$B$10005&amp;'DMR 001C TIN &amp; TP'!$A$3:$A$10005),0),MATCH('Reg 85'!$AD$11,'DMR 001C TIN &amp; TP'!$A$2:$M$2,0))),"")</f>
        <v/>
      </c>
      <c r="AE236" s="53" t="str">
        <f t="shared" si="95"/>
        <v/>
      </c>
      <c r="AF236" s="7" t="str">
        <f t="shared" si="96"/>
        <v/>
      </c>
      <c r="AG236" s="6" t="str">
        <f t="array" ref="AG236">_xlfn.IFNA((INDEX('DMR 001C TIN &amp; TP'!$A$3:$M$10005,MATCH(('Reg 85'!$X$6&amp;'Reg 85'!AG$10&amp;'Reg 85'!$B236),('DMR 001C TIN &amp; TP'!$E$3:$E$10005&amp;'DMR 001C TIN &amp; TP'!$B$3:$B$10005&amp;'DMR 001C TIN &amp; TP'!$A$3:$A$10005),0),MATCH('Reg 85'!$AG$11,'DMR 001C TIN &amp; TP'!$A$2:$M$2,0))),"")</f>
        <v/>
      </c>
      <c r="AH236" s="6" t="str">
        <f t="array" ref="AH236">_xlfn.IFNA((INDEX('DMR 001C TIN &amp; TP'!$A$3:$M$10005,MATCH(('Reg 85'!$X$6&amp;'Reg 85'!AH$10&amp;'Reg 85'!$B236),('DMR 001C TIN &amp; TP'!$E$3:$E$10005&amp;'DMR 001C TIN &amp; TP'!$B$3:$B$10005&amp;'DMR 001C TIN &amp; TP'!$A$3:$A$10005),0),MATCH('Reg 85'!$AG$11,'DMR 001C TIN &amp; TP'!$A$2:$M$2,0))),"")</f>
        <v/>
      </c>
      <c r="AI236" s="6" t="str">
        <f t="array" ref="AI236">_xlfn.IFNA((INDEX('DMR 001C TIN &amp; TP'!$A$3:$M$10005,MATCH(('Reg 85'!$X$6&amp;'Reg 85'!AI$10&amp;'Reg 85'!$B236),('DMR 001C TIN &amp; TP'!$E$3:$E$10005&amp;'DMR 001C TIN &amp; TP'!$B$3:$B$10005&amp;'DMR 001C TIN &amp; TP'!$A$3:$A$10005),0),MATCH('Reg 85'!$AG$11,'DMR 001C TIN &amp; TP'!$A$2:$M$2,0))),"")</f>
        <v/>
      </c>
      <c r="AJ236" s="6" t="str">
        <f t="array" ref="AJ236">_xlfn.IFNA((INDEX('DMR 001C TIN &amp; TP'!$A$3:$M$10005,MATCH(('Reg 85'!$X$6&amp;'Reg 85'!AJ$10&amp;'Reg 85'!$B236),('DMR 001C TIN &amp; TP'!$E$3:$E$10005&amp;'DMR 001C TIN &amp; TP'!$B$3:$B$10005&amp;'DMR 001C TIN &amp; TP'!$A$3:$A$10005),0),MATCH('Reg 85'!$AG$11,'DMR 001C TIN &amp; TP'!$A$2:$M$2,0))),"")</f>
        <v/>
      </c>
      <c r="AK236" s="6" t="str">
        <f t="array" ref="AK236">_xlfn.IFNA((INDEX('DMR 001C TIN &amp; TP'!$A$3:$M$10005,MATCH(('Reg 85'!$X$6&amp;'Reg 85'!AK$10&amp;'Reg 85'!$B236),('DMR 001C TIN &amp; TP'!$E$3:$E$10005&amp;'DMR 001C TIN &amp; TP'!$B$3:$B$10005&amp;'DMR 001C TIN &amp; TP'!$A$3:$A$10005),0),MATCH('Reg 85'!$AG$11,'DMR 001C TIN &amp; TP'!$A$2:$M$2,0))),"")</f>
        <v/>
      </c>
      <c r="AL236" s="6" t="str">
        <f t="array" ref="AL236">_xlfn.IFNA((INDEX('DMR 001C TIN &amp; TP'!$A$3:$M$10005,MATCH(('Reg 85'!$X$6&amp;'Reg 85'!AL$10&amp;'Reg 85'!$B236),('DMR 001C TIN &amp; TP'!$E$3:$E$10005&amp;'DMR 001C TIN &amp; TP'!$B$3:$B$10005&amp;'DMR 001C TIN &amp; TP'!$A$3:$A$10005),0),MATCH('Reg 85'!$AG$11,'DMR 001C TIN &amp; TP'!$A$2:$M$2,0))),"")</f>
        <v/>
      </c>
      <c r="AM236" s="76"/>
      <c r="AN236" s="6"/>
      <c r="AO236" s="54" t="str">
        <f t="shared" si="83"/>
        <v/>
      </c>
      <c r="AP236" s="77" t="str">
        <f t="shared" si="102"/>
        <v/>
      </c>
      <c r="AQ236" s="47"/>
      <c r="AR236" s="6" t="str">
        <f t="array" ref="AR236">_xlfn.IFNA((INDEX('DMR 001C TIN &amp; TP'!$A$3:$M$10005,MATCH(('Reg 85'!$AQ$6&amp;'Reg 85'!$AQ$10&amp;'Reg 85'!$B236),('DMR 001C TIN &amp; TP'!$E$3:$E$10005&amp;'DMR 001C TIN &amp; TP'!$B$3:$B$10005&amp;'DMR 001C TIN &amp; TP'!$A$3:$A$10005),0),MATCH('Reg 85'!$AR$11,'DMR 001C TIN &amp; TP'!$A$2:$M$2,0))),"")</f>
        <v>0.03</v>
      </c>
      <c r="AS236" s="6">
        <f t="array" ref="AS236">_xlfn.IFNA((INDEX('DMR 001C TIN &amp; TP'!$A$3:$M$10005,MATCH(('Reg 85'!$AQ$6&amp;'Reg 85'!$AQ$10&amp;'Reg 85'!$B236),('DMR 001C TIN &amp; TP'!$E$3:$E$10005&amp;'DMR 001C TIN &amp; TP'!$B$3:$B$10005&amp;'DMR 001C TIN &amp; TP'!$A$3:$A$10005),0),MATCH('Reg 85'!$AS$11,'DMR 001C TIN &amp; TP'!$A$2:$M$2,0))),"")</f>
        <v>0.23</v>
      </c>
      <c r="AT236" s="53">
        <f t="shared" si="97"/>
        <v>0.23</v>
      </c>
      <c r="AV236" s="6" t="str">
        <f t="array" ref="AV236">_xlfn.IFNA((INDEX('DMR 001C TIN &amp; TP'!$A$3:$M$10005,MATCH(('Reg 85'!$AQ$6&amp;'Reg 85'!$AU$10&amp;'Reg 85'!$B236),('DMR 001C TIN &amp; TP'!$E$3:$E$10005&amp;'DMR 001C TIN &amp; TP'!$B$3:$B$10005&amp;'DMR 001C TIN &amp; TP'!$A$3:$A$10005),0),MATCH('Reg 85'!$AV$11,'DMR 001C TIN &amp; TP'!$A$2:$M$2,0))),"")</f>
        <v>0.03</v>
      </c>
      <c r="AW236" s="6">
        <f t="array" ref="AW236">_xlfn.IFNA((INDEX('DMR 001C TIN &amp; TP'!$A$3:$M$10005,MATCH(('Reg 85'!$AQ$6&amp;'Reg 85'!$AU$10&amp;'Reg 85'!$B236),('DMR 001C TIN &amp; TP'!$E$3:$E$10005&amp;'DMR 001C TIN &amp; TP'!$B$3:$B$10005&amp;'DMR 001C TIN &amp; TP'!$A$3:$A$10005),0),MATCH('Reg 85'!$AW$11,'DMR 001C TIN &amp; TP'!$A$2:$M$2,0))),"")</f>
        <v>4.09</v>
      </c>
      <c r="AX236" s="53">
        <f t="shared" si="98"/>
        <v>4.09</v>
      </c>
      <c r="AY236" s="55">
        <f t="shared" si="99"/>
        <v>2.1980175290353605</v>
      </c>
      <c r="AZ236" s="77" t="str">
        <f t="shared" si="103"/>
        <v/>
      </c>
      <c r="BA236" s="6" t="str">
        <f t="array" ref="BA236">_xlfn.IFNA((INDEX('DMR 001C TIN &amp; TP'!$A$3:$M$10005,MATCH(('Reg 85'!$AQ$6&amp;'Reg 85'!BA$10&amp;'Reg 85'!$B236),('DMR 001C TIN &amp; TP'!$E$3:$E$10005&amp;'DMR 001C TIN &amp; TP'!$B$3:$B$10005&amp;'DMR 001C TIN &amp; TP'!$A$3:$A$10005),0),MATCH('Reg 85'!$AG$11,'DMR 001C TIN &amp; TP'!$A$2:$M$2,0))),"")</f>
        <v/>
      </c>
      <c r="BB236" s="6" t="str">
        <f t="array" ref="BB236">_xlfn.IFNA((INDEX('DMR 001C TIN &amp; TP'!$A$3:$M$10005,MATCH(('Reg 85'!$AQ$6&amp;'Reg 85'!BB$10&amp;'Reg 85'!$B236),('DMR 001C TIN &amp; TP'!$E$3:$E$10005&amp;'DMR 001C TIN &amp; TP'!$B$3:$B$10005&amp;'DMR 001C TIN &amp; TP'!$A$3:$A$10005),0),MATCH('Reg 85'!$AG$11,'DMR 001C TIN &amp; TP'!$A$2:$M$2,0))),"")</f>
        <v/>
      </c>
      <c r="BC236" s="6" t="str">
        <f t="array" ref="BC236">_xlfn.IFNA((INDEX('DMR 001C TIN &amp; TP'!$A$3:$M$10005,MATCH(('Reg 85'!$AQ$6&amp;'Reg 85'!BC$10&amp;'Reg 85'!$B236),('DMR 001C TIN &amp; TP'!$E$3:$E$10005&amp;'DMR 001C TIN &amp; TP'!$B$3:$B$10005&amp;'DMR 001C TIN &amp; TP'!$A$3:$A$10005),0),MATCH('Reg 85'!$AG$11,'DMR 001C TIN &amp; TP'!$A$2:$M$2,0))),"")</f>
        <v/>
      </c>
      <c r="BD236" s="6" t="str">
        <f t="array" ref="BD236">_xlfn.IFNA((INDEX('DMR 001C TIN &amp; TP'!$A$3:$M$10005,MATCH(('Reg 85'!$AQ$6&amp;'Reg 85'!BD$10&amp;'Reg 85'!$B236),('DMR 001C TIN &amp; TP'!$E$3:$E$10005&amp;'DMR 001C TIN &amp; TP'!$B$3:$B$10005&amp;'DMR 001C TIN &amp; TP'!$A$3:$A$10005),0),MATCH('Reg 85'!$AG$11,'DMR 001C TIN &amp; TP'!$A$2:$M$2,0))),"")</f>
        <v/>
      </c>
      <c r="BE236" s="6" t="str">
        <f t="array" ref="BE236">_xlfn.IFNA((INDEX('DMR 001C TIN &amp; TP'!$A$3:$M$10005,MATCH(('Reg 85'!$AQ$6&amp;'Reg 85'!BE$10&amp;'Reg 85'!$B236),('DMR 001C TIN &amp; TP'!$E$3:$E$10005&amp;'DMR 001C TIN &amp; TP'!$B$3:$B$10005&amp;'DMR 001C TIN &amp; TP'!$A$3:$A$10005),0),MATCH('Reg 85'!$AG$11,'DMR 001C TIN &amp; TP'!$A$2:$M$2,0))),"")</f>
        <v/>
      </c>
      <c r="BF236" s="6" t="str">
        <f t="array" ref="BF236">_xlfn.IFNA((INDEX('DMR 001C TIN &amp; TP'!$A$3:$M$10005,MATCH(('Reg 85'!$AQ$6&amp;'Reg 85'!BF$10&amp;'Reg 85'!$B236),('DMR 001C TIN &amp; TP'!$E$3:$E$10005&amp;'DMR 001C TIN &amp; TP'!$B$3:$B$10005&amp;'DMR 001C TIN &amp; TP'!$A$3:$A$10005),0),MATCH('Reg 85'!$AG$11,'DMR 001C TIN &amp; TP'!$A$2:$M$2,0))),"")</f>
        <v/>
      </c>
    </row>
    <row r="237" spans="1:58">
      <c r="A237" s="3" t="str">
        <f t="shared" si="84"/>
        <v>Sun</v>
      </c>
      <c r="B237" s="96">
        <f t="shared" si="100"/>
        <v>43569</v>
      </c>
      <c r="C237" s="96">
        <f t="shared" si="85"/>
        <v>43585</v>
      </c>
      <c r="D237" s="96">
        <f t="shared" si="86"/>
        <v>43556</v>
      </c>
      <c r="E237" s="95">
        <f t="shared" si="87"/>
        <v>30</v>
      </c>
      <c r="F237" s="7">
        <f t="array" ref="F237">_xlfn.IFNA(INDEX('DMR Flows-Effluent'!$A$3:$F$9999,MATCH(($F$10&amp;$B237),('DMR Flows-Effluent'!$B$3:$B$9999&amp;'DMR Flows-Effluent'!$A$3:$A$9999),0),MATCH($F$8,'DMR Flows-Effluent'!$A$2:$F$2,0)),"")</f>
        <v>63.7271</v>
      </c>
      <c r="G237" s="7">
        <f t="array" ref="G237">_xlfn.IFNA(INDEX('DMR Flows-Effluent'!$A$3:$F$9999,MATCH(($G$10&amp;$B237),('DMR Flows-Effluent'!$B$3:$B$9999&amp;'DMR Flows-Effluent'!$A$3:$A$9999),0),MATCH($F$8,'DMR Flows-Effluent'!$A$2:$F$2,0)),"")</f>
        <v>63.4056</v>
      </c>
      <c r="H237" s="7">
        <f t="shared" si="88"/>
        <v>127.1327</v>
      </c>
      <c r="I237" s="45" t="str">
        <f t="shared" si="89"/>
        <v/>
      </c>
      <c r="J237" s="6" t="str">
        <f t="array" ref="J237">_xlfn.IFNA((INDEX('DMR 001C TIN &amp; TP'!$A$3:$M$10005,MATCH(('Reg 85'!$I$6:$Q$6&amp;'Reg 85'!$I$10:$K$10&amp;'Reg 85'!$B237),('DMR 001C TIN &amp; TP'!$E$3:$E$10005&amp;'DMR 001C TIN &amp; TP'!$B$3:$B$10005&amp;'DMR 001C TIN &amp; TP'!$A$3:$A$10005),0),MATCH('Reg 85'!$J$11,'DMR 001C TIN &amp; TP'!$A$2:$M$2,0))),"")</f>
        <v/>
      </c>
      <c r="K237" s="6" t="str">
        <f t="array" ref="K237">_xlfn.IFNA((INDEX('DMR 001C TIN &amp; TP'!$A$3:$M$10005,MATCH(('Reg 85'!$I$6:$Q$6&amp;'Reg 85'!$I$10:$K$10&amp;'Reg 85'!$B237),('DMR 001C TIN &amp; TP'!$E$3:$E$10005&amp;'DMR 001C TIN &amp; TP'!$B$3:$B$10005&amp;'DMR 001C TIN &amp; TP'!$A$3:$A$10005),0),MATCH('Reg 85'!$K$11,'DMR 001C TIN &amp; TP'!$A$2:$M$2,0))),"")</f>
        <v/>
      </c>
      <c r="L237" s="53" t="str">
        <f t="shared" si="101"/>
        <v/>
      </c>
      <c r="M237" s="5" t="str">
        <f t="shared" si="90"/>
        <v/>
      </c>
      <c r="N237" s="6" t="str">
        <f t="array" ref="N237">_xlfn.IFNA((INDEX('DMR 001C TIN &amp; TP'!$A$3:$M$10005,MATCH(('Reg 85'!$I$6:$Q$6&amp;'Reg 85'!$M$10&amp;'Reg 85'!$B237),('DMR 001C TIN &amp; TP'!$E$3:$E$10005&amp;'DMR 001C TIN &amp; TP'!$B$3:$B$10005&amp;'DMR 001C TIN &amp; TP'!$A$3:$A$10005),0),MATCH('Reg 85'!$N$11,'DMR 001C TIN &amp; TP'!$A$2:$M$2,0))),"")</f>
        <v/>
      </c>
      <c r="O237" s="6" t="str">
        <f t="array" ref="O237">_xlfn.IFNA((INDEX('DMR 001C TIN &amp; TP'!$A$3:$M$10005,MATCH(('Reg 85'!$I$6:$Q$6&amp;'Reg 85'!$M$10&amp;'Reg 85'!$B237),('DMR 001C TIN &amp; TP'!$E$3:$E$10005&amp;'DMR 001C TIN &amp; TP'!$B$3:$B$10005&amp;'DMR 001C TIN &amp; TP'!$A$3:$A$10005),0),MATCH('Reg 85'!$O$11,'DMR 001C TIN &amp; TP'!$A$2:$M$2,0))),"")</f>
        <v/>
      </c>
      <c r="P237" s="53" t="str">
        <f t="shared" si="91"/>
        <v/>
      </c>
      <c r="Q237" s="73" t="str">
        <f t="array" ref="Q237">IFERROR(((L237*$F237)+(P237*$G237))/($H237),"")</f>
        <v/>
      </c>
      <c r="R237" s="6" t="str">
        <f t="array" ref="R237">_xlfn.IFNA((INDEX('DMR 001C TIN &amp; TP'!$A$3:$M$10005,MATCH(('Reg 85'!$I$6:$Q$6&amp;'Reg 85'!R$10&amp;'Reg 85'!$B237),('DMR 001C TIN &amp; TP'!$E$3:$E$10005&amp;'DMR 001C TIN &amp; TP'!$B$3:$B$10005&amp;'DMR 001C TIN &amp; TP'!$A$3:$A$10005),0),MATCH('Reg 85'!$O$11,'DMR 001C TIN &amp; TP'!$A$2:$M$2,0))),"")</f>
        <v/>
      </c>
      <c r="S237" s="6" t="str">
        <f t="array" ref="S237">_xlfn.IFNA((INDEX('DMR 001C TIN &amp; TP'!$A$3:$M$10005,MATCH(('Reg 85'!$I$6:$Q$6&amp;'Reg 85'!S$10&amp;'Reg 85'!$B237),('DMR 001C TIN &amp; TP'!$E$3:$E$10005&amp;'DMR 001C TIN &amp; TP'!$B$3:$B$10005&amp;'DMR 001C TIN &amp; TP'!$A$3:$A$10005),0),MATCH('Reg 85'!$O$11,'DMR 001C TIN &amp; TP'!$A$2:$M$2,0))),"")</f>
        <v/>
      </c>
      <c r="T237" s="6" t="str">
        <f t="array" ref="T237">_xlfn.IFNA((INDEX('DMR 001C TIN &amp; TP'!$A$3:$M$10005,MATCH(('Reg 85'!$I$6:$Q$6&amp;'Reg 85'!T$10&amp;'Reg 85'!$B237),('DMR 001C TIN &amp; TP'!$E$3:$E$10005&amp;'DMR 001C TIN &amp; TP'!$B$3:$B$10005&amp;'DMR 001C TIN &amp; TP'!$A$3:$A$10005),0),MATCH('Reg 85'!$O$11,'DMR 001C TIN &amp; TP'!$A$2:$M$2,0))),"")</f>
        <v/>
      </c>
      <c r="U237" s="6" t="str">
        <f t="array" ref="U237">_xlfn.IFNA((INDEX('DMR 001C TIN &amp; TP'!$A$3:$M$10005,MATCH(('Reg 85'!$I$6:$Q$6&amp;'Reg 85'!U$10&amp;'Reg 85'!$B237),('DMR 001C TIN &amp; TP'!$E$3:$E$10005&amp;'DMR 001C TIN &amp; TP'!$B$3:$B$10005&amp;'DMR 001C TIN &amp; TP'!$A$3:$A$10005),0),MATCH('Reg 85'!$O$11,'DMR 001C TIN &amp; TP'!$A$2:$M$2,0))),"")</f>
        <v/>
      </c>
      <c r="V237" s="6" t="str">
        <f t="array" ref="V237">_xlfn.IFNA((INDEX('DMR 001C TIN &amp; TP'!$A$3:$M$10005,MATCH(('Reg 85'!$I$6:$Q$6&amp;'Reg 85'!V$10&amp;'Reg 85'!$B237),('DMR 001C TIN &amp; TP'!$E$3:$E$10005&amp;'DMR 001C TIN &amp; TP'!$B$3:$B$10005&amp;'DMR 001C TIN &amp; TP'!$A$3:$A$10005),0),MATCH('Reg 85'!$O$11,'DMR 001C TIN &amp; TP'!$A$2:$M$2,0))),"")</f>
        <v/>
      </c>
      <c r="W237" s="6" t="str">
        <f t="array" ref="W237">_xlfn.IFNA((INDEX('DMR 001C TIN &amp; TP'!$A$3:$M$10005,MATCH(('Reg 85'!$I$6:$Q$6&amp;'Reg 85'!W$10&amp;'Reg 85'!$B237),('DMR 001C TIN &amp; TP'!$E$3:$E$10005&amp;'DMR 001C TIN &amp; TP'!$B$3:$B$10005&amp;'DMR 001C TIN &amp; TP'!$A$3:$A$10005),0),MATCH('Reg 85'!$O$11,'DMR 001C TIN &amp; TP'!$A$2:$M$2,0))),"")</f>
        <v/>
      </c>
      <c r="X237" s="5" t="str">
        <f t="shared" si="92"/>
        <v/>
      </c>
      <c r="Y237" s="6" t="str">
        <f t="array" ref="Y237">_xlfn.IFNA((INDEX('DMR 001C TIN &amp; TP'!$A$3:$M$10005,MATCH(('Reg 85'!$X$6&amp;'Reg 85'!$X$10&amp;'Reg 85'!$B237),('DMR 001C TIN &amp; TP'!$E$3:$E$10005&amp;'DMR 001C TIN &amp; TP'!$B$3:$B$10005&amp;'DMR 001C TIN &amp; TP'!$A$3:$A$10005),0),MATCH('Reg 85'!$Y$11,'DMR 001C TIN &amp; TP'!$A$2:$M$2,0))),"")</f>
        <v/>
      </c>
      <c r="Z237" s="6" t="str">
        <f t="array" ref="Z237">_xlfn.IFNA((INDEX('DMR 001C TIN &amp; TP'!$A$3:$M$10005,MATCH(('Reg 85'!$X$6&amp;'Reg 85'!$X$10&amp;'Reg 85'!$B237),('DMR 001C TIN &amp; TP'!$E$3:$E$10005&amp;'DMR 001C TIN &amp; TP'!$B$3:$B$10005&amp;'DMR 001C TIN &amp; TP'!$A$3:$A$10005),0),MATCH('Reg 85'!$Z$11,'DMR 001C TIN &amp; TP'!$A$2:$M$2,0))),"")</f>
        <v/>
      </c>
      <c r="AA237" s="53" t="str">
        <f t="shared" si="93"/>
        <v/>
      </c>
      <c r="AB237" s="5" t="str">
        <f t="shared" si="94"/>
        <v/>
      </c>
      <c r="AC237" s="6" t="str">
        <f t="array" ref="AC237">_xlfn.IFNA((INDEX('DMR 001C TIN &amp; TP'!$A$3:$M$10005,MATCH(('Reg 85'!$X$6&amp;'Reg 85'!$AB$10&amp;'Reg 85'!$B237),('DMR 001C TIN &amp; TP'!$E$3:$E$10005&amp;'DMR 001C TIN &amp; TP'!$B$3:$B$10005&amp;'DMR 001C TIN &amp; TP'!$A$3:$A$10005),0),MATCH('Reg 85'!$AC$11,'DMR 001C TIN &amp; TP'!$A$2:$M$2,0))),"")</f>
        <v/>
      </c>
      <c r="AD237" s="6" t="str">
        <f t="array" ref="AD237">_xlfn.IFNA((INDEX('DMR 001C TIN &amp; TP'!$A$3:$M$10005,MATCH(('Reg 85'!$X$6&amp;'Reg 85'!$AB$10&amp;'Reg 85'!$B237),('DMR 001C TIN &amp; TP'!$E$3:$E$10005&amp;'DMR 001C TIN &amp; TP'!$B$3:$B$10005&amp;'DMR 001C TIN &amp; TP'!$A$3:$A$10005),0),MATCH('Reg 85'!$AD$11,'DMR 001C TIN &amp; TP'!$A$2:$M$2,0))),"")</f>
        <v/>
      </c>
      <c r="AE237" s="53" t="str">
        <f t="shared" si="95"/>
        <v/>
      </c>
      <c r="AF237" s="7" t="str">
        <f t="shared" si="96"/>
        <v/>
      </c>
      <c r="AG237" s="6" t="str">
        <f t="array" ref="AG237">_xlfn.IFNA((INDEX('DMR 001C TIN &amp; TP'!$A$3:$M$10005,MATCH(('Reg 85'!$X$6&amp;'Reg 85'!AG$10&amp;'Reg 85'!$B237),('DMR 001C TIN &amp; TP'!$E$3:$E$10005&amp;'DMR 001C TIN &amp; TP'!$B$3:$B$10005&amp;'DMR 001C TIN &amp; TP'!$A$3:$A$10005),0),MATCH('Reg 85'!$AG$11,'DMR 001C TIN &amp; TP'!$A$2:$M$2,0))),"")</f>
        <v/>
      </c>
      <c r="AH237" s="6" t="str">
        <f t="array" ref="AH237">_xlfn.IFNA((INDEX('DMR 001C TIN &amp; TP'!$A$3:$M$10005,MATCH(('Reg 85'!$X$6&amp;'Reg 85'!AH$10&amp;'Reg 85'!$B237),('DMR 001C TIN &amp; TP'!$E$3:$E$10005&amp;'DMR 001C TIN &amp; TP'!$B$3:$B$10005&amp;'DMR 001C TIN &amp; TP'!$A$3:$A$10005),0),MATCH('Reg 85'!$AG$11,'DMR 001C TIN &amp; TP'!$A$2:$M$2,0))),"")</f>
        <v/>
      </c>
      <c r="AI237" s="6" t="str">
        <f t="array" ref="AI237">_xlfn.IFNA((INDEX('DMR 001C TIN &amp; TP'!$A$3:$M$10005,MATCH(('Reg 85'!$X$6&amp;'Reg 85'!AI$10&amp;'Reg 85'!$B237),('DMR 001C TIN &amp; TP'!$E$3:$E$10005&amp;'DMR 001C TIN &amp; TP'!$B$3:$B$10005&amp;'DMR 001C TIN &amp; TP'!$A$3:$A$10005),0),MATCH('Reg 85'!$AG$11,'DMR 001C TIN &amp; TP'!$A$2:$M$2,0))),"")</f>
        <v/>
      </c>
      <c r="AJ237" s="6" t="str">
        <f t="array" ref="AJ237">_xlfn.IFNA((INDEX('DMR 001C TIN &amp; TP'!$A$3:$M$10005,MATCH(('Reg 85'!$X$6&amp;'Reg 85'!AJ$10&amp;'Reg 85'!$B237),('DMR 001C TIN &amp; TP'!$E$3:$E$10005&amp;'DMR 001C TIN &amp; TP'!$B$3:$B$10005&amp;'DMR 001C TIN &amp; TP'!$A$3:$A$10005),0),MATCH('Reg 85'!$AG$11,'DMR 001C TIN &amp; TP'!$A$2:$M$2,0))),"")</f>
        <v/>
      </c>
      <c r="AK237" s="6" t="str">
        <f t="array" ref="AK237">_xlfn.IFNA((INDEX('DMR 001C TIN &amp; TP'!$A$3:$M$10005,MATCH(('Reg 85'!$X$6&amp;'Reg 85'!AK$10&amp;'Reg 85'!$B237),('DMR 001C TIN &amp; TP'!$E$3:$E$10005&amp;'DMR 001C TIN &amp; TP'!$B$3:$B$10005&amp;'DMR 001C TIN &amp; TP'!$A$3:$A$10005),0),MATCH('Reg 85'!$AG$11,'DMR 001C TIN &amp; TP'!$A$2:$M$2,0))),"")</f>
        <v/>
      </c>
      <c r="AL237" s="6" t="str">
        <f t="array" ref="AL237">_xlfn.IFNA((INDEX('DMR 001C TIN &amp; TP'!$A$3:$M$10005,MATCH(('Reg 85'!$X$6&amp;'Reg 85'!AL$10&amp;'Reg 85'!$B237),('DMR 001C TIN &amp; TP'!$E$3:$E$10005&amp;'DMR 001C TIN &amp; TP'!$B$3:$B$10005&amp;'DMR 001C TIN &amp; TP'!$A$3:$A$10005),0),MATCH('Reg 85'!$AG$11,'DMR 001C TIN &amp; TP'!$A$2:$M$2,0))),"")</f>
        <v/>
      </c>
      <c r="AM237" s="76"/>
      <c r="AN237" s="6"/>
      <c r="AO237" s="54" t="str">
        <f t="shared" si="83"/>
        <v/>
      </c>
      <c r="AP237" s="77" t="str">
        <f t="shared" si="102"/>
        <v/>
      </c>
      <c r="AQ237" s="47"/>
      <c r="AR237" s="6" t="str">
        <f t="array" ref="AR237">_xlfn.IFNA((INDEX('DMR 001C TIN &amp; TP'!$A$3:$M$10005,MATCH(('Reg 85'!$AQ$6&amp;'Reg 85'!$AQ$10&amp;'Reg 85'!$B237),('DMR 001C TIN &amp; TP'!$E$3:$E$10005&amp;'DMR 001C TIN &amp; TP'!$B$3:$B$10005&amp;'DMR 001C TIN &amp; TP'!$A$3:$A$10005),0),MATCH('Reg 85'!$AR$11,'DMR 001C TIN &amp; TP'!$A$2:$M$2,0))),"")</f>
        <v>0.03</v>
      </c>
      <c r="AS237" s="6">
        <f t="array" ref="AS237">_xlfn.IFNA((INDEX('DMR 001C TIN &amp; TP'!$A$3:$M$10005,MATCH(('Reg 85'!$AQ$6&amp;'Reg 85'!$AQ$10&amp;'Reg 85'!$B237),('DMR 001C TIN &amp; TP'!$E$3:$E$10005&amp;'DMR 001C TIN &amp; TP'!$B$3:$B$10005&amp;'DMR 001C TIN &amp; TP'!$A$3:$A$10005),0),MATCH('Reg 85'!$AS$11,'DMR 001C TIN &amp; TP'!$A$2:$M$2,0))),"")</f>
        <v>0.24</v>
      </c>
      <c r="AT237" s="53">
        <f t="shared" si="97"/>
        <v>0.24</v>
      </c>
      <c r="AV237" s="6" t="str">
        <f t="array" ref="AV237">_xlfn.IFNA((INDEX('DMR 001C TIN &amp; TP'!$A$3:$M$10005,MATCH(('Reg 85'!$AQ$6&amp;'Reg 85'!$AU$10&amp;'Reg 85'!$B237),('DMR 001C TIN &amp; TP'!$E$3:$E$10005&amp;'DMR 001C TIN &amp; TP'!$B$3:$B$10005&amp;'DMR 001C TIN &amp; TP'!$A$3:$A$10005),0),MATCH('Reg 85'!$AV$11,'DMR 001C TIN &amp; TP'!$A$2:$M$2,0))),"")</f>
        <v>0.03</v>
      </c>
      <c r="AW237" s="6">
        <f t="array" ref="AW237">_xlfn.IFNA((INDEX('DMR 001C TIN &amp; TP'!$A$3:$M$10005,MATCH(('Reg 85'!$AQ$6&amp;'Reg 85'!$AU$10&amp;'Reg 85'!$B237),('DMR 001C TIN &amp; TP'!$E$3:$E$10005&amp;'DMR 001C TIN &amp; TP'!$B$3:$B$10005&amp;'DMR 001C TIN &amp; TP'!$A$3:$A$10005),0),MATCH('Reg 85'!$AW$11,'DMR 001C TIN &amp; TP'!$A$2:$M$2,0))),"")</f>
        <v>4.5199999999999996</v>
      </c>
      <c r="AX237" s="53">
        <f t="shared" si="98"/>
        <v>4.5199999999999996</v>
      </c>
      <c r="AY237" s="55">
        <f t="shared" si="99"/>
        <v>2.3745882530615647</v>
      </c>
      <c r="AZ237" s="77" t="str">
        <f t="shared" si="103"/>
        <v/>
      </c>
      <c r="BA237" s="6" t="str">
        <f t="array" ref="BA237">_xlfn.IFNA((INDEX('DMR 001C TIN &amp; TP'!$A$3:$M$10005,MATCH(('Reg 85'!$AQ$6&amp;'Reg 85'!BA$10&amp;'Reg 85'!$B237),('DMR 001C TIN &amp; TP'!$E$3:$E$10005&amp;'DMR 001C TIN &amp; TP'!$B$3:$B$10005&amp;'DMR 001C TIN &amp; TP'!$A$3:$A$10005),0),MATCH('Reg 85'!$AG$11,'DMR 001C TIN &amp; TP'!$A$2:$M$2,0))),"")</f>
        <v/>
      </c>
      <c r="BB237" s="6" t="str">
        <f t="array" ref="BB237">_xlfn.IFNA((INDEX('DMR 001C TIN &amp; TP'!$A$3:$M$10005,MATCH(('Reg 85'!$AQ$6&amp;'Reg 85'!BB$10&amp;'Reg 85'!$B237),('DMR 001C TIN &amp; TP'!$E$3:$E$10005&amp;'DMR 001C TIN &amp; TP'!$B$3:$B$10005&amp;'DMR 001C TIN &amp; TP'!$A$3:$A$10005),0),MATCH('Reg 85'!$AG$11,'DMR 001C TIN &amp; TP'!$A$2:$M$2,0))),"")</f>
        <v/>
      </c>
      <c r="BC237" s="6" t="str">
        <f t="array" ref="BC237">_xlfn.IFNA((INDEX('DMR 001C TIN &amp; TP'!$A$3:$M$10005,MATCH(('Reg 85'!$AQ$6&amp;'Reg 85'!BC$10&amp;'Reg 85'!$B237),('DMR 001C TIN &amp; TP'!$E$3:$E$10005&amp;'DMR 001C TIN &amp; TP'!$B$3:$B$10005&amp;'DMR 001C TIN &amp; TP'!$A$3:$A$10005),0),MATCH('Reg 85'!$AG$11,'DMR 001C TIN &amp; TP'!$A$2:$M$2,0))),"")</f>
        <v/>
      </c>
      <c r="BD237" s="6" t="str">
        <f t="array" ref="BD237">_xlfn.IFNA((INDEX('DMR 001C TIN &amp; TP'!$A$3:$M$10005,MATCH(('Reg 85'!$AQ$6&amp;'Reg 85'!BD$10&amp;'Reg 85'!$B237),('DMR 001C TIN &amp; TP'!$E$3:$E$10005&amp;'DMR 001C TIN &amp; TP'!$B$3:$B$10005&amp;'DMR 001C TIN &amp; TP'!$A$3:$A$10005),0),MATCH('Reg 85'!$AG$11,'DMR 001C TIN &amp; TP'!$A$2:$M$2,0))),"")</f>
        <v/>
      </c>
      <c r="BE237" s="6" t="str">
        <f t="array" ref="BE237">_xlfn.IFNA((INDEX('DMR 001C TIN &amp; TP'!$A$3:$M$10005,MATCH(('Reg 85'!$AQ$6&amp;'Reg 85'!BE$10&amp;'Reg 85'!$B237),('DMR 001C TIN &amp; TP'!$E$3:$E$10005&amp;'DMR 001C TIN &amp; TP'!$B$3:$B$10005&amp;'DMR 001C TIN &amp; TP'!$A$3:$A$10005),0),MATCH('Reg 85'!$AG$11,'DMR 001C TIN &amp; TP'!$A$2:$M$2,0))),"")</f>
        <v/>
      </c>
      <c r="BF237" s="6" t="str">
        <f t="array" ref="BF237">_xlfn.IFNA((INDEX('DMR 001C TIN &amp; TP'!$A$3:$M$10005,MATCH(('Reg 85'!$AQ$6&amp;'Reg 85'!BF$10&amp;'Reg 85'!$B237),('DMR 001C TIN &amp; TP'!$E$3:$E$10005&amp;'DMR 001C TIN &amp; TP'!$B$3:$B$10005&amp;'DMR 001C TIN &amp; TP'!$A$3:$A$10005),0),MATCH('Reg 85'!$AG$11,'DMR 001C TIN &amp; TP'!$A$2:$M$2,0))),"")</f>
        <v/>
      </c>
    </row>
    <row r="238" spans="1:58">
      <c r="A238" s="3" t="str">
        <f t="shared" si="84"/>
        <v>Mon</v>
      </c>
      <c r="B238" s="96">
        <f t="shared" si="100"/>
        <v>43570</v>
      </c>
      <c r="C238" s="96">
        <f t="shared" si="85"/>
        <v>43585</v>
      </c>
      <c r="D238" s="96">
        <f t="shared" si="86"/>
        <v>43556</v>
      </c>
      <c r="E238" s="95">
        <f t="shared" si="87"/>
        <v>30</v>
      </c>
      <c r="F238" s="7">
        <f t="array" ref="F238">_xlfn.IFNA(INDEX('DMR Flows-Effluent'!$A$3:$F$9999,MATCH(($F$10&amp;$B238),('DMR Flows-Effluent'!$B$3:$B$9999&amp;'DMR Flows-Effluent'!$A$3:$A$9999),0),MATCH($F$8,'DMR Flows-Effluent'!$A$2:$F$2,0)),"")</f>
        <v>68.392399999999995</v>
      </c>
      <c r="G238" s="7">
        <f t="array" ref="G238">_xlfn.IFNA(INDEX('DMR Flows-Effluent'!$A$3:$F$9999,MATCH(($G$10&amp;$B238),('DMR Flows-Effluent'!$B$3:$B$9999&amp;'DMR Flows-Effluent'!$A$3:$A$9999),0),MATCH($F$8,'DMR Flows-Effluent'!$A$2:$F$2,0)),"")</f>
        <v>57.920900000000003</v>
      </c>
      <c r="H238" s="7">
        <f t="shared" si="88"/>
        <v>126.3133</v>
      </c>
      <c r="I238" s="45" t="str">
        <f t="shared" si="89"/>
        <v/>
      </c>
      <c r="J238" s="6" t="str">
        <f t="array" ref="J238">_xlfn.IFNA((INDEX('DMR 001C TIN &amp; TP'!$A$3:$M$10005,MATCH(('Reg 85'!$I$6:$Q$6&amp;'Reg 85'!$I$10:$K$10&amp;'Reg 85'!$B238),('DMR 001C TIN &amp; TP'!$E$3:$E$10005&amp;'DMR 001C TIN &amp; TP'!$B$3:$B$10005&amp;'DMR 001C TIN &amp; TP'!$A$3:$A$10005),0),MATCH('Reg 85'!$J$11,'DMR 001C TIN &amp; TP'!$A$2:$M$2,0))),"")</f>
        <v/>
      </c>
      <c r="K238" s="6" t="str">
        <f t="array" ref="K238">_xlfn.IFNA((INDEX('DMR 001C TIN &amp; TP'!$A$3:$M$10005,MATCH(('Reg 85'!$I$6:$Q$6&amp;'Reg 85'!$I$10:$K$10&amp;'Reg 85'!$B238),('DMR 001C TIN &amp; TP'!$E$3:$E$10005&amp;'DMR 001C TIN &amp; TP'!$B$3:$B$10005&amp;'DMR 001C TIN &amp; TP'!$A$3:$A$10005),0),MATCH('Reg 85'!$K$11,'DMR 001C TIN &amp; TP'!$A$2:$M$2,0))),"")</f>
        <v/>
      </c>
      <c r="L238" s="53" t="str">
        <f t="shared" si="101"/>
        <v/>
      </c>
      <c r="M238" s="5" t="str">
        <f t="shared" si="90"/>
        <v/>
      </c>
      <c r="N238" s="6" t="str">
        <f t="array" ref="N238">_xlfn.IFNA((INDEX('DMR 001C TIN &amp; TP'!$A$3:$M$10005,MATCH(('Reg 85'!$I$6:$Q$6&amp;'Reg 85'!$M$10&amp;'Reg 85'!$B238),('DMR 001C TIN &amp; TP'!$E$3:$E$10005&amp;'DMR 001C TIN &amp; TP'!$B$3:$B$10005&amp;'DMR 001C TIN &amp; TP'!$A$3:$A$10005),0),MATCH('Reg 85'!$N$11,'DMR 001C TIN &amp; TP'!$A$2:$M$2,0))),"")</f>
        <v/>
      </c>
      <c r="O238" s="6" t="str">
        <f t="array" ref="O238">_xlfn.IFNA((INDEX('DMR 001C TIN &amp; TP'!$A$3:$M$10005,MATCH(('Reg 85'!$I$6:$Q$6&amp;'Reg 85'!$M$10&amp;'Reg 85'!$B238),('DMR 001C TIN &amp; TP'!$E$3:$E$10005&amp;'DMR 001C TIN &amp; TP'!$B$3:$B$10005&amp;'DMR 001C TIN &amp; TP'!$A$3:$A$10005),0),MATCH('Reg 85'!$O$11,'DMR 001C TIN &amp; TP'!$A$2:$M$2,0))),"")</f>
        <v/>
      </c>
      <c r="P238" s="53" t="str">
        <f t="shared" si="91"/>
        <v/>
      </c>
      <c r="Q238" s="73" t="str">
        <f t="array" ref="Q238">IFERROR(((L238*$F238)+(P238*$G238))/($H238),"")</f>
        <v/>
      </c>
      <c r="R238" s="6" t="str">
        <f t="array" ref="R238">_xlfn.IFNA((INDEX('DMR 001C TIN &amp; TP'!$A$3:$M$10005,MATCH(('Reg 85'!$I$6:$Q$6&amp;'Reg 85'!R$10&amp;'Reg 85'!$B238),('DMR 001C TIN &amp; TP'!$E$3:$E$10005&amp;'DMR 001C TIN &amp; TP'!$B$3:$B$10005&amp;'DMR 001C TIN &amp; TP'!$A$3:$A$10005),0),MATCH('Reg 85'!$O$11,'DMR 001C TIN &amp; TP'!$A$2:$M$2,0))),"")</f>
        <v/>
      </c>
      <c r="S238" s="6" t="str">
        <f t="array" ref="S238">_xlfn.IFNA((INDEX('DMR 001C TIN &amp; TP'!$A$3:$M$10005,MATCH(('Reg 85'!$I$6:$Q$6&amp;'Reg 85'!S$10&amp;'Reg 85'!$B238),('DMR 001C TIN &amp; TP'!$E$3:$E$10005&amp;'DMR 001C TIN &amp; TP'!$B$3:$B$10005&amp;'DMR 001C TIN &amp; TP'!$A$3:$A$10005),0),MATCH('Reg 85'!$O$11,'DMR 001C TIN &amp; TP'!$A$2:$M$2,0))),"")</f>
        <v/>
      </c>
      <c r="T238" s="6" t="str">
        <f t="array" ref="T238">_xlfn.IFNA((INDEX('DMR 001C TIN &amp; TP'!$A$3:$M$10005,MATCH(('Reg 85'!$I$6:$Q$6&amp;'Reg 85'!T$10&amp;'Reg 85'!$B238),('DMR 001C TIN &amp; TP'!$E$3:$E$10005&amp;'DMR 001C TIN &amp; TP'!$B$3:$B$10005&amp;'DMR 001C TIN &amp; TP'!$A$3:$A$10005),0),MATCH('Reg 85'!$O$11,'DMR 001C TIN &amp; TP'!$A$2:$M$2,0))),"")</f>
        <v/>
      </c>
      <c r="U238" s="6" t="str">
        <f t="array" ref="U238">_xlfn.IFNA((INDEX('DMR 001C TIN &amp; TP'!$A$3:$M$10005,MATCH(('Reg 85'!$I$6:$Q$6&amp;'Reg 85'!U$10&amp;'Reg 85'!$B238),('DMR 001C TIN &amp; TP'!$E$3:$E$10005&amp;'DMR 001C TIN &amp; TP'!$B$3:$B$10005&amp;'DMR 001C TIN &amp; TP'!$A$3:$A$10005),0),MATCH('Reg 85'!$O$11,'DMR 001C TIN &amp; TP'!$A$2:$M$2,0))),"")</f>
        <v/>
      </c>
      <c r="V238" s="6" t="str">
        <f t="array" ref="V238">_xlfn.IFNA((INDEX('DMR 001C TIN &amp; TP'!$A$3:$M$10005,MATCH(('Reg 85'!$I$6:$Q$6&amp;'Reg 85'!V$10&amp;'Reg 85'!$B238),('DMR 001C TIN &amp; TP'!$E$3:$E$10005&amp;'DMR 001C TIN &amp; TP'!$B$3:$B$10005&amp;'DMR 001C TIN &amp; TP'!$A$3:$A$10005),0),MATCH('Reg 85'!$O$11,'DMR 001C TIN &amp; TP'!$A$2:$M$2,0))),"")</f>
        <v/>
      </c>
      <c r="W238" s="6" t="str">
        <f t="array" ref="W238">_xlfn.IFNA((INDEX('DMR 001C TIN &amp; TP'!$A$3:$M$10005,MATCH(('Reg 85'!$I$6:$Q$6&amp;'Reg 85'!W$10&amp;'Reg 85'!$B238),('DMR 001C TIN &amp; TP'!$E$3:$E$10005&amp;'DMR 001C TIN &amp; TP'!$B$3:$B$10005&amp;'DMR 001C TIN &amp; TP'!$A$3:$A$10005),0),MATCH('Reg 85'!$O$11,'DMR 001C TIN &amp; TP'!$A$2:$M$2,0))),"")</f>
        <v/>
      </c>
      <c r="X238" s="5" t="str">
        <f t="shared" si="92"/>
        <v/>
      </c>
      <c r="Y238" s="6" t="str">
        <f t="array" ref="Y238">_xlfn.IFNA((INDEX('DMR 001C TIN &amp; TP'!$A$3:$M$10005,MATCH(('Reg 85'!$X$6&amp;'Reg 85'!$X$10&amp;'Reg 85'!$B238),('DMR 001C TIN &amp; TP'!$E$3:$E$10005&amp;'DMR 001C TIN &amp; TP'!$B$3:$B$10005&amp;'DMR 001C TIN &amp; TP'!$A$3:$A$10005),0),MATCH('Reg 85'!$Y$11,'DMR 001C TIN &amp; TP'!$A$2:$M$2,0))),"")</f>
        <v/>
      </c>
      <c r="Z238" s="6" t="str">
        <f t="array" ref="Z238">_xlfn.IFNA((INDEX('DMR 001C TIN &amp; TP'!$A$3:$M$10005,MATCH(('Reg 85'!$X$6&amp;'Reg 85'!$X$10&amp;'Reg 85'!$B238),('DMR 001C TIN &amp; TP'!$E$3:$E$10005&amp;'DMR 001C TIN &amp; TP'!$B$3:$B$10005&amp;'DMR 001C TIN &amp; TP'!$A$3:$A$10005),0),MATCH('Reg 85'!$Z$11,'DMR 001C TIN &amp; TP'!$A$2:$M$2,0))),"")</f>
        <v/>
      </c>
      <c r="AA238" s="53" t="str">
        <f t="shared" si="93"/>
        <v/>
      </c>
      <c r="AB238" s="5" t="str">
        <f t="shared" si="94"/>
        <v/>
      </c>
      <c r="AC238" s="6" t="str">
        <f t="array" ref="AC238">_xlfn.IFNA((INDEX('DMR 001C TIN &amp; TP'!$A$3:$M$10005,MATCH(('Reg 85'!$X$6&amp;'Reg 85'!$AB$10&amp;'Reg 85'!$B238),('DMR 001C TIN &amp; TP'!$E$3:$E$10005&amp;'DMR 001C TIN &amp; TP'!$B$3:$B$10005&amp;'DMR 001C TIN &amp; TP'!$A$3:$A$10005),0),MATCH('Reg 85'!$AC$11,'DMR 001C TIN &amp; TP'!$A$2:$M$2,0))),"")</f>
        <v/>
      </c>
      <c r="AD238" s="6" t="str">
        <f t="array" ref="AD238">_xlfn.IFNA((INDEX('DMR 001C TIN &amp; TP'!$A$3:$M$10005,MATCH(('Reg 85'!$X$6&amp;'Reg 85'!$AB$10&amp;'Reg 85'!$B238),('DMR 001C TIN &amp; TP'!$E$3:$E$10005&amp;'DMR 001C TIN &amp; TP'!$B$3:$B$10005&amp;'DMR 001C TIN &amp; TP'!$A$3:$A$10005),0),MATCH('Reg 85'!$AD$11,'DMR 001C TIN &amp; TP'!$A$2:$M$2,0))),"")</f>
        <v/>
      </c>
      <c r="AE238" s="53" t="str">
        <f t="shared" si="95"/>
        <v/>
      </c>
      <c r="AF238" s="7" t="str">
        <f t="shared" si="96"/>
        <v/>
      </c>
      <c r="AG238" s="6" t="str">
        <f t="array" ref="AG238">_xlfn.IFNA((INDEX('DMR 001C TIN &amp; TP'!$A$3:$M$10005,MATCH(('Reg 85'!$X$6&amp;'Reg 85'!AG$10&amp;'Reg 85'!$B238),('DMR 001C TIN &amp; TP'!$E$3:$E$10005&amp;'DMR 001C TIN &amp; TP'!$B$3:$B$10005&amp;'DMR 001C TIN &amp; TP'!$A$3:$A$10005),0),MATCH('Reg 85'!$AG$11,'DMR 001C TIN &amp; TP'!$A$2:$M$2,0))),"")</f>
        <v/>
      </c>
      <c r="AH238" s="6" t="str">
        <f t="array" ref="AH238">_xlfn.IFNA((INDEX('DMR 001C TIN &amp; TP'!$A$3:$M$10005,MATCH(('Reg 85'!$X$6&amp;'Reg 85'!AH$10&amp;'Reg 85'!$B238),('DMR 001C TIN &amp; TP'!$E$3:$E$10005&amp;'DMR 001C TIN &amp; TP'!$B$3:$B$10005&amp;'DMR 001C TIN &amp; TP'!$A$3:$A$10005),0),MATCH('Reg 85'!$AG$11,'DMR 001C TIN &amp; TP'!$A$2:$M$2,0))),"")</f>
        <v/>
      </c>
      <c r="AI238" s="6" t="str">
        <f t="array" ref="AI238">_xlfn.IFNA((INDEX('DMR 001C TIN &amp; TP'!$A$3:$M$10005,MATCH(('Reg 85'!$X$6&amp;'Reg 85'!AI$10&amp;'Reg 85'!$B238),('DMR 001C TIN &amp; TP'!$E$3:$E$10005&amp;'DMR 001C TIN &amp; TP'!$B$3:$B$10005&amp;'DMR 001C TIN &amp; TP'!$A$3:$A$10005),0),MATCH('Reg 85'!$AG$11,'DMR 001C TIN &amp; TP'!$A$2:$M$2,0))),"")</f>
        <v/>
      </c>
      <c r="AJ238" s="6" t="str">
        <f t="array" ref="AJ238">_xlfn.IFNA((INDEX('DMR 001C TIN &amp; TP'!$A$3:$M$10005,MATCH(('Reg 85'!$X$6&amp;'Reg 85'!AJ$10&amp;'Reg 85'!$B238),('DMR 001C TIN &amp; TP'!$E$3:$E$10005&amp;'DMR 001C TIN &amp; TP'!$B$3:$B$10005&amp;'DMR 001C TIN &amp; TP'!$A$3:$A$10005),0),MATCH('Reg 85'!$AG$11,'DMR 001C TIN &amp; TP'!$A$2:$M$2,0))),"")</f>
        <v/>
      </c>
      <c r="AK238" s="6" t="str">
        <f t="array" ref="AK238">_xlfn.IFNA((INDEX('DMR 001C TIN &amp; TP'!$A$3:$M$10005,MATCH(('Reg 85'!$X$6&amp;'Reg 85'!AK$10&amp;'Reg 85'!$B238),('DMR 001C TIN &amp; TP'!$E$3:$E$10005&amp;'DMR 001C TIN &amp; TP'!$B$3:$B$10005&amp;'DMR 001C TIN &amp; TP'!$A$3:$A$10005),0),MATCH('Reg 85'!$AG$11,'DMR 001C TIN &amp; TP'!$A$2:$M$2,0))),"")</f>
        <v/>
      </c>
      <c r="AL238" s="6" t="str">
        <f t="array" ref="AL238">_xlfn.IFNA((INDEX('DMR 001C TIN &amp; TP'!$A$3:$M$10005,MATCH(('Reg 85'!$X$6&amp;'Reg 85'!AL$10&amp;'Reg 85'!$B238),('DMR 001C TIN &amp; TP'!$E$3:$E$10005&amp;'DMR 001C TIN &amp; TP'!$B$3:$B$10005&amp;'DMR 001C TIN &amp; TP'!$A$3:$A$10005),0),MATCH('Reg 85'!$AG$11,'DMR 001C TIN &amp; TP'!$A$2:$M$2,0))),"")</f>
        <v/>
      </c>
      <c r="AM238" s="76"/>
      <c r="AN238" s="6"/>
      <c r="AO238" s="54" t="str">
        <f t="shared" si="83"/>
        <v/>
      </c>
      <c r="AP238" s="77" t="str">
        <f t="shared" si="102"/>
        <v/>
      </c>
      <c r="AQ238" s="47"/>
      <c r="AR238" s="6" t="str">
        <f t="array" ref="AR238">_xlfn.IFNA((INDEX('DMR 001C TIN &amp; TP'!$A$3:$M$10005,MATCH(('Reg 85'!$AQ$6&amp;'Reg 85'!$AQ$10&amp;'Reg 85'!$B238),('DMR 001C TIN &amp; TP'!$E$3:$E$10005&amp;'DMR 001C TIN &amp; TP'!$B$3:$B$10005&amp;'DMR 001C TIN &amp; TP'!$A$3:$A$10005),0),MATCH('Reg 85'!$AR$11,'DMR 001C TIN &amp; TP'!$A$2:$M$2,0))),"")</f>
        <v>0.03</v>
      </c>
      <c r="AS238" s="6">
        <f t="array" ref="AS238">_xlfn.IFNA((INDEX('DMR 001C TIN &amp; TP'!$A$3:$M$10005,MATCH(('Reg 85'!$AQ$6&amp;'Reg 85'!$AQ$10&amp;'Reg 85'!$B238),('DMR 001C TIN &amp; TP'!$E$3:$E$10005&amp;'DMR 001C TIN &amp; TP'!$B$3:$B$10005&amp;'DMR 001C TIN &amp; TP'!$A$3:$A$10005),0),MATCH('Reg 85'!$AS$11,'DMR 001C TIN &amp; TP'!$A$2:$M$2,0))),"")</f>
        <v>0.27</v>
      </c>
      <c r="AT238" s="53">
        <f t="shared" si="97"/>
        <v>0.27</v>
      </c>
      <c r="AV238" s="6" t="str">
        <f t="array" ref="AV238">_xlfn.IFNA((INDEX('DMR 001C TIN &amp; TP'!$A$3:$M$10005,MATCH(('Reg 85'!$AQ$6&amp;'Reg 85'!$AU$10&amp;'Reg 85'!$B238),('DMR 001C TIN &amp; TP'!$E$3:$E$10005&amp;'DMR 001C TIN &amp; TP'!$B$3:$B$10005&amp;'DMR 001C TIN &amp; TP'!$A$3:$A$10005),0),MATCH('Reg 85'!$AV$11,'DMR 001C TIN &amp; TP'!$A$2:$M$2,0))),"")</f>
        <v>0.03</v>
      </c>
      <c r="AW238" s="6">
        <f t="array" ref="AW238">_xlfn.IFNA((INDEX('DMR 001C TIN &amp; TP'!$A$3:$M$10005,MATCH(('Reg 85'!$AQ$6&amp;'Reg 85'!$AU$10&amp;'Reg 85'!$B238),('DMR 001C TIN &amp; TP'!$E$3:$E$10005&amp;'DMR 001C TIN &amp; TP'!$B$3:$B$10005&amp;'DMR 001C TIN &amp; TP'!$A$3:$A$10005),0),MATCH('Reg 85'!$AW$11,'DMR 001C TIN &amp; TP'!$A$2:$M$2,0))),"")</f>
        <v>3.73</v>
      </c>
      <c r="AX238" s="53">
        <f t="shared" si="98"/>
        <v>3.73</v>
      </c>
      <c r="AY238" s="55">
        <f t="shared" si="99"/>
        <v>1.8565812547055616</v>
      </c>
      <c r="AZ238" s="77" t="str">
        <f t="shared" si="103"/>
        <v/>
      </c>
      <c r="BA238" s="6" t="str">
        <f t="array" ref="BA238">_xlfn.IFNA((INDEX('DMR 001C TIN &amp; TP'!$A$3:$M$10005,MATCH(('Reg 85'!$AQ$6&amp;'Reg 85'!BA$10&amp;'Reg 85'!$B238),('DMR 001C TIN &amp; TP'!$E$3:$E$10005&amp;'DMR 001C TIN &amp; TP'!$B$3:$B$10005&amp;'DMR 001C TIN &amp; TP'!$A$3:$A$10005),0),MATCH('Reg 85'!$AG$11,'DMR 001C TIN &amp; TP'!$A$2:$M$2,0))),"")</f>
        <v/>
      </c>
      <c r="BB238" s="6" t="str">
        <f t="array" ref="BB238">_xlfn.IFNA((INDEX('DMR 001C TIN &amp; TP'!$A$3:$M$10005,MATCH(('Reg 85'!$AQ$6&amp;'Reg 85'!BB$10&amp;'Reg 85'!$B238),('DMR 001C TIN &amp; TP'!$E$3:$E$10005&amp;'DMR 001C TIN &amp; TP'!$B$3:$B$10005&amp;'DMR 001C TIN &amp; TP'!$A$3:$A$10005),0),MATCH('Reg 85'!$AG$11,'DMR 001C TIN &amp; TP'!$A$2:$M$2,0))),"")</f>
        <v/>
      </c>
      <c r="BC238" s="6" t="str">
        <f t="array" ref="BC238">_xlfn.IFNA((INDEX('DMR 001C TIN &amp; TP'!$A$3:$M$10005,MATCH(('Reg 85'!$AQ$6&amp;'Reg 85'!BC$10&amp;'Reg 85'!$B238),('DMR 001C TIN &amp; TP'!$E$3:$E$10005&amp;'DMR 001C TIN &amp; TP'!$B$3:$B$10005&amp;'DMR 001C TIN &amp; TP'!$A$3:$A$10005),0),MATCH('Reg 85'!$AG$11,'DMR 001C TIN &amp; TP'!$A$2:$M$2,0))),"")</f>
        <v/>
      </c>
      <c r="BD238" s="6" t="str">
        <f t="array" ref="BD238">_xlfn.IFNA((INDEX('DMR 001C TIN &amp; TP'!$A$3:$M$10005,MATCH(('Reg 85'!$AQ$6&amp;'Reg 85'!BD$10&amp;'Reg 85'!$B238),('DMR 001C TIN &amp; TP'!$E$3:$E$10005&amp;'DMR 001C TIN &amp; TP'!$B$3:$B$10005&amp;'DMR 001C TIN &amp; TP'!$A$3:$A$10005),0),MATCH('Reg 85'!$AG$11,'DMR 001C TIN &amp; TP'!$A$2:$M$2,0))),"")</f>
        <v/>
      </c>
      <c r="BE238" s="6" t="str">
        <f t="array" ref="BE238">_xlfn.IFNA((INDEX('DMR 001C TIN &amp; TP'!$A$3:$M$10005,MATCH(('Reg 85'!$AQ$6&amp;'Reg 85'!BE$10&amp;'Reg 85'!$B238),('DMR 001C TIN &amp; TP'!$E$3:$E$10005&amp;'DMR 001C TIN &amp; TP'!$B$3:$B$10005&amp;'DMR 001C TIN &amp; TP'!$A$3:$A$10005),0),MATCH('Reg 85'!$AG$11,'DMR 001C TIN &amp; TP'!$A$2:$M$2,0))),"")</f>
        <v/>
      </c>
      <c r="BF238" s="6" t="str">
        <f t="array" ref="BF238">_xlfn.IFNA((INDEX('DMR 001C TIN &amp; TP'!$A$3:$M$10005,MATCH(('Reg 85'!$AQ$6&amp;'Reg 85'!BF$10&amp;'Reg 85'!$B238),('DMR 001C TIN &amp; TP'!$E$3:$E$10005&amp;'DMR 001C TIN &amp; TP'!$B$3:$B$10005&amp;'DMR 001C TIN &amp; TP'!$A$3:$A$10005),0),MATCH('Reg 85'!$AG$11,'DMR 001C TIN &amp; TP'!$A$2:$M$2,0))),"")</f>
        <v/>
      </c>
    </row>
    <row r="239" spans="1:58">
      <c r="A239" s="3" t="str">
        <f t="shared" si="84"/>
        <v>Tue</v>
      </c>
      <c r="B239" s="96">
        <f t="shared" si="100"/>
        <v>43571</v>
      </c>
      <c r="C239" s="96">
        <f t="shared" si="85"/>
        <v>43585</v>
      </c>
      <c r="D239" s="96">
        <f t="shared" si="86"/>
        <v>43556</v>
      </c>
      <c r="E239" s="95">
        <f t="shared" si="87"/>
        <v>30</v>
      </c>
      <c r="F239" s="7">
        <f t="array" ref="F239">_xlfn.IFNA(INDEX('DMR Flows-Effluent'!$A$3:$F$9999,MATCH(($F$10&amp;$B239),('DMR Flows-Effluent'!$B$3:$B$9999&amp;'DMR Flows-Effluent'!$A$3:$A$9999),0),MATCH($F$8,'DMR Flows-Effluent'!$A$2:$F$2,0)),"")</f>
        <v>69.115799999999993</v>
      </c>
      <c r="G239" s="7">
        <f t="array" ref="G239">_xlfn.IFNA(INDEX('DMR Flows-Effluent'!$A$3:$F$9999,MATCH(($G$10&amp;$B239),('DMR Flows-Effluent'!$B$3:$B$9999&amp;'DMR Flows-Effluent'!$A$3:$A$9999),0),MATCH($F$8,'DMR Flows-Effluent'!$A$2:$F$2,0)),"")</f>
        <v>55.858899999999998</v>
      </c>
      <c r="H239" s="7">
        <f t="shared" si="88"/>
        <v>124.97469999999998</v>
      </c>
      <c r="I239" s="45" t="str">
        <f t="shared" si="89"/>
        <v/>
      </c>
      <c r="J239" s="6" t="str">
        <f t="array" ref="J239">_xlfn.IFNA((INDEX('DMR 001C TIN &amp; TP'!$A$3:$M$10005,MATCH(('Reg 85'!$I$6:$Q$6&amp;'Reg 85'!$I$10:$K$10&amp;'Reg 85'!$B239),('DMR 001C TIN &amp; TP'!$E$3:$E$10005&amp;'DMR 001C TIN &amp; TP'!$B$3:$B$10005&amp;'DMR 001C TIN &amp; TP'!$A$3:$A$10005),0),MATCH('Reg 85'!$J$11,'DMR 001C TIN &amp; TP'!$A$2:$M$2,0))),"")</f>
        <v/>
      </c>
      <c r="K239" s="6" t="str">
        <f t="array" ref="K239">_xlfn.IFNA((INDEX('DMR 001C TIN &amp; TP'!$A$3:$M$10005,MATCH(('Reg 85'!$I$6:$Q$6&amp;'Reg 85'!$I$10:$K$10&amp;'Reg 85'!$B239),('DMR 001C TIN &amp; TP'!$E$3:$E$10005&amp;'DMR 001C TIN &amp; TP'!$B$3:$B$10005&amp;'DMR 001C TIN &amp; TP'!$A$3:$A$10005),0),MATCH('Reg 85'!$K$11,'DMR 001C TIN &amp; TP'!$A$2:$M$2,0))),"")</f>
        <v/>
      </c>
      <c r="L239" s="53" t="str">
        <f t="shared" si="101"/>
        <v/>
      </c>
      <c r="M239" s="5" t="str">
        <f t="shared" si="90"/>
        <v/>
      </c>
      <c r="N239" s="6" t="str">
        <f t="array" ref="N239">_xlfn.IFNA((INDEX('DMR 001C TIN &amp; TP'!$A$3:$M$10005,MATCH(('Reg 85'!$I$6:$Q$6&amp;'Reg 85'!$M$10&amp;'Reg 85'!$B239),('DMR 001C TIN &amp; TP'!$E$3:$E$10005&amp;'DMR 001C TIN &amp; TP'!$B$3:$B$10005&amp;'DMR 001C TIN &amp; TP'!$A$3:$A$10005),0),MATCH('Reg 85'!$N$11,'DMR 001C TIN &amp; TP'!$A$2:$M$2,0))),"")</f>
        <v/>
      </c>
      <c r="O239" s="6" t="str">
        <f t="array" ref="O239">_xlfn.IFNA((INDEX('DMR 001C TIN &amp; TP'!$A$3:$M$10005,MATCH(('Reg 85'!$I$6:$Q$6&amp;'Reg 85'!$M$10&amp;'Reg 85'!$B239),('DMR 001C TIN &amp; TP'!$E$3:$E$10005&amp;'DMR 001C TIN &amp; TP'!$B$3:$B$10005&amp;'DMR 001C TIN &amp; TP'!$A$3:$A$10005),0),MATCH('Reg 85'!$O$11,'DMR 001C TIN &amp; TP'!$A$2:$M$2,0))),"")</f>
        <v/>
      </c>
      <c r="P239" s="53" t="str">
        <f t="shared" si="91"/>
        <v/>
      </c>
      <c r="Q239" s="73" t="str">
        <f t="array" ref="Q239">IFERROR(((L239*$F239)+(P239*$G239))/($H239),"")</f>
        <v/>
      </c>
      <c r="R239" s="6" t="str">
        <f t="array" ref="R239">_xlfn.IFNA((INDEX('DMR 001C TIN &amp; TP'!$A$3:$M$10005,MATCH(('Reg 85'!$I$6:$Q$6&amp;'Reg 85'!R$10&amp;'Reg 85'!$B239),('DMR 001C TIN &amp; TP'!$E$3:$E$10005&amp;'DMR 001C TIN &amp; TP'!$B$3:$B$10005&amp;'DMR 001C TIN &amp; TP'!$A$3:$A$10005),0),MATCH('Reg 85'!$O$11,'DMR 001C TIN &amp; TP'!$A$2:$M$2,0))),"")</f>
        <v/>
      </c>
      <c r="S239" s="6" t="str">
        <f t="array" ref="S239">_xlfn.IFNA((INDEX('DMR 001C TIN &amp; TP'!$A$3:$M$10005,MATCH(('Reg 85'!$I$6:$Q$6&amp;'Reg 85'!S$10&amp;'Reg 85'!$B239),('DMR 001C TIN &amp; TP'!$E$3:$E$10005&amp;'DMR 001C TIN &amp; TP'!$B$3:$B$10005&amp;'DMR 001C TIN &amp; TP'!$A$3:$A$10005),0),MATCH('Reg 85'!$O$11,'DMR 001C TIN &amp; TP'!$A$2:$M$2,0))),"")</f>
        <v/>
      </c>
      <c r="T239" s="6" t="str">
        <f t="array" ref="T239">_xlfn.IFNA((INDEX('DMR 001C TIN &amp; TP'!$A$3:$M$10005,MATCH(('Reg 85'!$I$6:$Q$6&amp;'Reg 85'!T$10&amp;'Reg 85'!$B239),('DMR 001C TIN &amp; TP'!$E$3:$E$10005&amp;'DMR 001C TIN &amp; TP'!$B$3:$B$10005&amp;'DMR 001C TIN &amp; TP'!$A$3:$A$10005),0),MATCH('Reg 85'!$O$11,'DMR 001C TIN &amp; TP'!$A$2:$M$2,0))),"")</f>
        <v/>
      </c>
      <c r="U239" s="6" t="str">
        <f t="array" ref="U239">_xlfn.IFNA((INDEX('DMR 001C TIN &amp; TP'!$A$3:$M$10005,MATCH(('Reg 85'!$I$6:$Q$6&amp;'Reg 85'!U$10&amp;'Reg 85'!$B239),('DMR 001C TIN &amp; TP'!$E$3:$E$10005&amp;'DMR 001C TIN &amp; TP'!$B$3:$B$10005&amp;'DMR 001C TIN &amp; TP'!$A$3:$A$10005),0),MATCH('Reg 85'!$O$11,'DMR 001C TIN &amp; TP'!$A$2:$M$2,0))),"")</f>
        <v/>
      </c>
      <c r="V239" s="6" t="str">
        <f t="array" ref="V239">_xlfn.IFNA((INDEX('DMR 001C TIN &amp; TP'!$A$3:$M$10005,MATCH(('Reg 85'!$I$6:$Q$6&amp;'Reg 85'!V$10&amp;'Reg 85'!$B239),('DMR 001C TIN &amp; TP'!$E$3:$E$10005&amp;'DMR 001C TIN &amp; TP'!$B$3:$B$10005&amp;'DMR 001C TIN &amp; TP'!$A$3:$A$10005),0),MATCH('Reg 85'!$O$11,'DMR 001C TIN &amp; TP'!$A$2:$M$2,0))),"")</f>
        <v/>
      </c>
      <c r="W239" s="6" t="str">
        <f t="array" ref="W239">_xlfn.IFNA((INDEX('DMR 001C TIN &amp; TP'!$A$3:$M$10005,MATCH(('Reg 85'!$I$6:$Q$6&amp;'Reg 85'!W$10&amp;'Reg 85'!$B239),('DMR 001C TIN &amp; TP'!$E$3:$E$10005&amp;'DMR 001C TIN &amp; TP'!$B$3:$B$10005&amp;'DMR 001C TIN &amp; TP'!$A$3:$A$10005),0),MATCH('Reg 85'!$O$11,'DMR 001C TIN &amp; TP'!$A$2:$M$2,0))),"")</f>
        <v/>
      </c>
      <c r="X239" s="5" t="str">
        <f t="shared" si="92"/>
        <v/>
      </c>
      <c r="Y239" s="6" t="str">
        <f t="array" ref="Y239">_xlfn.IFNA((INDEX('DMR 001C TIN &amp; TP'!$A$3:$M$10005,MATCH(('Reg 85'!$X$6&amp;'Reg 85'!$X$10&amp;'Reg 85'!$B239),('DMR 001C TIN &amp; TP'!$E$3:$E$10005&amp;'DMR 001C TIN &amp; TP'!$B$3:$B$10005&amp;'DMR 001C TIN &amp; TP'!$A$3:$A$10005),0),MATCH('Reg 85'!$Y$11,'DMR 001C TIN &amp; TP'!$A$2:$M$2,0))),"")</f>
        <v/>
      </c>
      <c r="Z239" s="6" t="str">
        <f t="array" ref="Z239">_xlfn.IFNA((INDEX('DMR 001C TIN &amp; TP'!$A$3:$M$10005,MATCH(('Reg 85'!$X$6&amp;'Reg 85'!$X$10&amp;'Reg 85'!$B239),('DMR 001C TIN &amp; TP'!$E$3:$E$10005&amp;'DMR 001C TIN &amp; TP'!$B$3:$B$10005&amp;'DMR 001C TIN &amp; TP'!$A$3:$A$10005),0),MATCH('Reg 85'!$Z$11,'DMR 001C TIN &amp; TP'!$A$2:$M$2,0))),"")</f>
        <v/>
      </c>
      <c r="AA239" s="53" t="str">
        <f t="shared" si="93"/>
        <v/>
      </c>
      <c r="AB239" s="5" t="str">
        <f t="shared" si="94"/>
        <v/>
      </c>
      <c r="AC239" s="6" t="str">
        <f t="array" ref="AC239">_xlfn.IFNA((INDEX('DMR 001C TIN &amp; TP'!$A$3:$M$10005,MATCH(('Reg 85'!$X$6&amp;'Reg 85'!$AB$10&amp;'Reg 85'!$B239),('DMR 001C TIN &amp; TP'!$E$3:$E$10005&amp;'DMR 001C TIN &amp; TP'!$B$3:$B$10005&amp;'DMR 001C TIN &amp; TP'!$A$3:$A$10005),0),MATCH('Reg 85'!$AC$11,'DMR 001C TIN &amp; TP'!$A$2:$M$2,0))),"")</f>
        <v/>
      </c>
      <c r="AD239" s="6" t="str">
        <f t="array" ref="AD239">_xlfn.IFNA((INDEX('DMR 001C TIN &amp; TP'!$A$3:$M$10005,MATCH(('Reg 85'!$X$6&amp;'Reg 85'!$AB$10&amp;'Reg 85'!$B239),('DMR 001C TIN &amp; TP'!$E$3:$E$10005&amp;'DMR 001C TIN &amp; TP'!$B$3:$B$10005&amp;'DMR 001C TIN &amp; TP'!$A$3:$A$10005),0),MATCH('Reg 85'!$AD$11,'DMR 001C TIN &amp; TP'!$A$2:$M$2,0))),"")</f>
        <v/>
      </c>
      <c r="AE239" s="53" t="str">
        <f t="shared" si="95"/>
        <v/>
      </c>
      <c r="AF239" s="7" t="str">
        <f t="shared" si="96"/>
        <v/>
      </c>
      <c r="AG239" s="6" t="str">
        <f t="array" ref="AG239">_xlfn.IFNA((INDEX('DMR 001C TIN &amp; TP'!$A$3:$M$10005,MATCH(('Reg 85'!$X$6&amp;'Reg 85'!AG$10&amp;'Reg 85'!$B239),('DMR 001C TIN &amp; TP'!$E$3:$E$10005&amp;'DMR 001C TIN &amp; TP'!$B$3:$B$10005&amp;'DMR 001C TIN &amp; TP'!$A$3:$A$10005),0),MATCH('Reg 85'!$AG$11,'DMR 001C TIN &amp; TP'!$A$2:$M$2,0))),"")</f>
        <v/>
      </c>
      <c r="AH239" s="6" t="str">
        <f t="array" ref="AH239">_xlfn.IFNA((INDEX('DMR 001C TIN &amp; TP'!$A$3:$M$10005,MATCH(('Reg 85'!$X$6&amp;'Reg 85'!AH$10&amp;'Reg 85'!$B239),('DMR 001C TIN &amp; TP'!$E$3:$E$10005&amp;'DMR 001C TIN &amp; TP'!$B$3:$B$10005&amp;'DMR 001C TIN &amp; TP'!$A$3:$A$10005),0),MATCH('Reg 85'!$AG$11,'DMR 001C TIN &amp; TP'!$A$2:$M$2,0))),"")</f>
        <v/>
      </c>
      <c r="AI239" s="6" t="str">
        <f t="array" ref="AI239">_xlfn.IFNA((INDEX('DMR 001C TIN &amp; TP'!$A$3:$M$10005,MATCH(('Reg 85'!$X$6&amp;'Reg 85'!AI$10&amp;'Reg 85'!$B239),('DMR 001C TIN &amp; TP'!$E$3:$E$10005&amp;'DMR 001C TIN &amp; TP'!$B$3:$B$10005&amp;'DMR 001C TIN &amp; TP'!$A$3:$A$10005),0),MATCH('Reg 85'!$AG$11,'DMR 001C TIN &amp; TP'!$A$2:$M$2,0))),"")</f>
        <v/>
      </c>
      <c r="AJ239" s="6" t="str">
        <f t="array" ref="AJ239">_xlfn.IFNA((INDEX('DMR 001C TIN &amp; TP'!$A$3:$M$10005,MATCH(('Reg 85'!$X$6&amp;'Reg 85'!AJ$10&amp;'Reg 85'!$B239),('DMR 001C TIN &amp; TP'!$E$3:$E$10005&amp;'DMR 001C TIN &amp; TP'!$B$3:$B$10005&amp;'DMR 001C TIN &amp; TP'!$A$3:$A$10005),0),MATCH('Reg 85'!$AG$11,'DMR 001C TIN &amp; TP'!$A$2:$M$2,0))),"")</f>
        <v/>
      </c>
      <c r="AK239" s="6" t="str">
        <f t="array" ref="AK239">_xlfn.IFNA((INDEX('DMR 001C TIN &amp; TP'!$A$3:$M$10005,MATCH(('Reg 85'!$X$6&amp;'Reg 85'!AK$10&amp;'Reg 85'!$B239),('DMR 001C TIN &amp; TP'!$E$3:$E$10005&amp;'DMR 001C TIN &amp; TP'!$B$3:$B$10005&amp;'DMR 001C TIN &amp; TP'!$A$3:$A$10005),0),MATCH('Reg 85'!$AG$11,'DMR 001C TIN &amp; TP'!$A$2:$M$2,0))),"")</f>
        <v/>
      </c>
      <c r="AL239" s="6" t="str">
        <f t="array" ref="AL239">_xlfn.IFNA((INDEX('DMR 001C TIN &amp; TP'!$A$3:$M$10005,MATCH(('Reg 85'!$X$6&amp;'Reg 85'!AL$10&amp;'Reg 85'!$B239),('DMR 001C TIN &amp; TP'!$E$3:$E$10005&amp;'DMR 001C TIN &amp; TP'!$B$3:$B$10005&amp;'DMR 001C TIN &amp; TP'!$A$3:$A$10005),0),MATCH('Reg 85'!$AG$11,'DMR 001C TIN &amp; TP'!$A$2:$M$2,0))),"")</f>
        <v/>
      </c>
      <c r="AM239" s="76"/>
      <c r="AN239" s="6"/>
      <c r="AO239" s="54" t="str">
        <f t="shared" si="83"/>
        <v/>
      </c>
      <c r="AP239" s="77" t="str">
        <f t="shared" si="102"/>
        <v/>
      </c>
      <c r="AQ239" s="47"/>
      <c r="AR239" s="6" t="str">
        <f t="array" ref="AR239">_xlfn.IFNA((INDEX('DMR 001C TIN &amp; TP'!$A$3:$M$10005,MATCH(('Reg 85'!$AQ$6&amp;'Reg 85'!$AQ$10&amp;'Reg 85'!$B239),('DMR 001C TIN &amp; TP'!$E$3:$E$10005&amp;'DMR 001C TIN &amp; TP'!$B$3:$B$10005&amp;'DMR 001C TIN &amp; TP'!$A$3:$A$10005),0),MATCH('Reg 85'!$AR$11,'DMR 001C TIN &amp; TP'!$A$2:$M$2,0))),"")</f>
        <v>0.03</v>
      </c>
      <c r="AS239" s="6">
        <f t="array" ref="AS239">_xlfn.IFNA((INDEX('DMR 001C TIN &amp; TP'!$A$3:$M$10005,MATCH(('Reg 85'!$AQ$6&amp;'Reg 85'!$AQ$10&amp;'Reg 85'!$B239),('DMR 001C TIN &amp; TP'!$E$3:$E$10005&amp;'DMR 001C TIN &amp; TP'!$B$3:$B$10005&amp;'DMR 001C TIN &amp; TP'!$A$3:$A$10005),0),MATCH('Reg 85'!$AS$11,'DMR 001C TIN &amp; TP'!$A$2:$M$2,0))),"")</f>
        <v>0.36</v>
      </c>
      <c r="AT239" s="53">
        <f t="shared" si="97"/>
        <v>0.36</v>
      </c>
      <c r="AV239" s="6" t="str">
        <f t="array" ref="AV239">_xlfn.IFNA((INDEX('DMR 001C TIN &amp; TP'!$A$3:$M$10005,MATCH(('Reg 85'!$AQ$6&amp;'Reg 85'!$AU$10&amp;'Reg 85'!$B239),('DMR 001C TIN &amp; TP'!$E$3:$E$10005&amp;'DMR 001C TIN &amp; TP'!$B$3:$B$10005&amp;'DMR 001C TIN &amp; TP'!$A$3:$A$10005),0),MATCH('Reg 85'!$AV$11,'DMR 001C TIN &amp; TP'!$A$2:$M$2,0))),"")</f>
        <v>0.03</v>
      </c>
      <c r="AW239" s="6">
        <f t="array" ref="AW239">_xlfn.IFNA((INDEX('DMR 001C TIN &amp; TP'!$A$3:$M$10005,MATCH(('Reg 85'!$AQ$6&amp;'Reg 85'!$AU$10&amp;'Reg 85'!$B239),('DMR 001C TIN &amp; TP'!$E$3:$E$10005&amp;'DMR 001C TIN &amp; TP'!$B$3:$B$10005&amp;'DMR 001C TIN &amp; TP'!$A$3:$A$10005),0),MATCH('Reg 85'!$AW$11,'DMR 001C TIN &amp; TP'!$A$2:$M$2,0))),"")</f>
        <v>3.21</v>
      </c>
      <c r="AX239" s="53">
        <f t="shared" si="98"/>
        <v>3.21</v>
      </c>
      <c r="AY239" s="55">
        <f t="shared" si="99"/>
        <v>1.6338407453668624</v>
      </c>
      <c r="AZ239" s="77" t="str">
        <f t="shared" si="103"/>
        <v/>
      </c>
      <c r="BA239" s="6" t="str">
        <f t="array" ref="BA239">_xlfn.IFNA((INDEX('DMR 001C TIN &amp; TP'!$A$3:$M$10005,MATCH(('Reg 85'!$AQ$6&amp;'Reg 85'!BA$10&amp;'Reg 85'!$B239),('DMR 001C TIN &amp; TP'!$E$3:$E$10005&amp;'DMR 001C TIN &amp; TP'!$B$3:$B$10005&amp;'DMR 001C TIN &amp; TP'!$A$3:$A$10005),0),MATCH('Reg 85'!$AG$11,'DMR 001C TIN &amp; TP'!$A$2:$M$2,0))),"")</f>
        <v/>
      </c>
      <c r="BB239" s="6" t="str">
        <f t="array" ref="BB239">_xlfn.IFNA((INDEX('DMR 001C TIN &amp; TP'!$A$3:$M$10005,MATCH(('Reg 85'!$AQ$6&amp;'Reg 85'!BB$10&amp;'Reg 85'!$B239),('DMR 001C TIN &amp; TP'!$E$3:$E$10005&amp;'DMR 001C TIN &amp; TP'!$B$3:$B$10005&amp;'DMR 001C TIN &amp; TP'!$A$3:$A$10005),0),MATCH('Reg 85'!$AG$11,'DMR 001C TIN &amp; TP'!$A$2:$M$2,0))),"")</f>
        <v/>
      </c>
      <c r="BC239" s="6" t="str">
        <f t="array" ref="BC239">_xlfn.IFNA((INDEX('DMR 001C TIN &amp; TP'!$A$3:$M$10005,MATCH(('Reg 85'!$AQ$6&amp;'Reg 85'!BC$10&amp;'Reg 85'!$B239),('DMR 001C TIN &amp; TP'!$E$3:$E$10005&amp;'DMR 001C TIN &amp; TP'!$B$3:$B$10005&amp;'DMR 001C TIN &amp; TP'!$A$3:$A$10005),0),MATCH('Reg 85'!$AG$11,'DMR 001C TIN &amp; TP'!$A$2:$M$2,0))),"")</f>
        <v/>
      </c>
      <c r="BD239" s="6" t="str">
        <f t="array" ref="BD239">_xlfn.IFNA((INDEX('DMR 001C TIN &amp; TP'!$A$3:$M$10005,MATCH(('Reg 85'!$AQ$6&amp;'Reg 85'!BD$10&amp;'Reg 85'!$B239),('DMR 001C TIN &amp; TP'!$E$3:$E$10005&amp;'DMR 001C TIN &amp; TP'!$B$3:$B$10005&amp;'DMR 001C TIN &amp; TP'!$A$3:$A$10005),0),MATCH('Reg 85'!$AG$11,'DMR 001C TIN &amp; TP'!$A$2:$M$2,0))),"")</f>
        <v/>
      </c>
      <c r="BE239" s="6" t="str">
        <f t="array" ref="BE239">_xlfn.IFNA((INDEX('DMR 001C TIN &amp; TP'!$A$3:$M$10005,MATCH(('Reg 85'!$AQ$6&amp;'Reg 85'!BE$10&amp;'Reg 85'!$B239),('DMR 001C TIN &amp; TP'!$E$3:$E$10005&amp;'DMR 001C TIN &amp; TP'!$B$3:$B$10005&amp;'DMR 001C TIN &amp; TP'!$A$3:$A$10005),0),MATCH('Reg 85'!$AG$11,'DMR 001C TIN &amp; TP'!$A$2:$M$2,0))),"")</f>
        <v/>
      </c>
      <c r="BF239" s="6" t="str">
        <f t="array" ref="BF239">_xlfn.IFNA((INDEX('DMR 001C TIN &amp; TP'!$A$3:$M$10005,MATCH(('Reg 85'!$AQ$6&amp;'Reg 85'!BF$10&amp;'Reg 85'!$B239),('DMR 001C TIN &amp; TP'!$E$3:$E$10005&amp;'DMR 001C TIN &amp; TP'!$B$3:$B$10005&amp;'DMR 001C TIN &amp; TP'!$A$3:$A$10005),0),MATCH('Reg 85'!$AG$11,'DMR 001C TIN &amp; TP'!$A$2:$M$2,0))),"")</f>
        <v/>
      </c>
    </row>
    <row r="240" spans="1:58">
      <c r="A240" s="3" t="str">
        <f t="shared" si="84"/>
        <v>Wed</v>
      </c>
      <c r="B240" s="96">
        <f t="shared" si="100"/>
        <v>43572</v>
      </c>
      <c r="C240" s="96">
        <f t="shared" si="85"/>
        <v>43585</v>
      </c>
      <c r="D240" s="96">
        <f t="shared" si="86"/>
        <v>43556</v>
      </c>
      <c r="E240" s="95">
        <f t="shared" si="87"/>
        <v>30</v>
      </c>
      <c r="F240" s="7">
        <f t="array" ref="F240">_xlfn.IFNA(INDEX('DMR Flows-Effluent'!$A$3:$F$9999,MATCH(($F$10&amp;$B240),('DMR Flows-Effluent'!$B$3:$B$9999&amp;'DMR Flows-Effluent'!$A$3:$A$9999),0),MATCH($F$8,'DMR Flows-Effluent'!$A$2:$F$2,0)),"")</f>
        <v>68.640600000000006</v>
      </c>
      <c r="G240" s="7">
        <f t="array" ref="G240">_xlfn.IFNA(INDEX('DMR Flows-Effluent'!$A$3:$F$9999,MATCH(($G$10&amp;$B240),('DMR Flows-Effluent'!$B$3:$B$9999&amp;'DMR Flows-Effluent'!$A$3:$A$9999),0),MATCH($F$8,'DMR Flows-Effluent'!$A$2:$F$2,0)),"")</f>
        <v>56.8889</v>
      </c>
      <c r="H240" s="7">
        <f t="shared" si="88"/>
        <v>125.52950000000001</v>
      </c>
      <c r="I240" s="45" t="str">
        <f t="shared" si="89"/>
        <v/>
      </c>
      <c r="J240" s="6" t="str">
        <f t="array" ref="J240">_xlfn.IFNA((INDEX('DMR 001C TIN &amp; TP'!$A$3:$M$10005,MATCH(('Reg 85'!$I$6:$Q$6&amp;'Reg 85'!$I$10:$K$10&amp;'Reg 85'!$B240),('DMR 001C TIN &amp; TP'!$E$3:$E$10005&amp;'DMR 001C TIN &amp; TP'!$B$3:$B$10005&amp;'DMR 001C TIN &amp; TP'!$A$3:$A$10005),0),MATCH('Reg 85'!$J$11,'DMR 001C TIN &amp; TP'!$A$2:$M$2,0))),"")</f>
        <v>0.15</v>
      </c>
      <c r="K240" s="6">
        <f t="array" ref="K240">_xlfn.IFNA((INDEX('DMR 001C TIN &amp; TP'!$A$3:$M$10005,MATCH(('Reg 85'!$I$6:$Q$6&amp;'Reg 85'!$I$10:$K$10&amp;'Reg 85'!$B240),('DMR 001C TIN &amp; TP'!$E$3:$E$10005&amp;'DMR 001C TIN &amp; TP'!$B$3:$B$10005&amp;'DMR 001C TIN &amp; TP'!$A$3:$A$10005),0),MATCH('Reg 85'!$K$11,'DMR 001C TIN &amp; TP'!$A$2:$M$2,0))),"")</f>
        <v>2.85</v>
      </c>
      <c r="L240" s="53">
        <f t="shared" si="101"/>
        <v>2.85</v>
      </c>
      <c r="M240" s="5" t="str">
        <f t="shared" si="90"/>
        <v>&lt;</v>
      </c>
      <c r="N240" s="6" t="str">
        <f t="array" ref="N240">_xlfn.IFNA((INDEX('DMR 001C TIN &amp; TP'!$A$3:$M$10005,MATCH(('Reg 85'!$I$6:$Q$6&amp;'Reg 85'!$M$10&amp;'Reg 85'!$B240),('DMR 001C TIN &amp; TP'!$E$3:$E$10005&amp;'DMR 001C TIN &amp; TP'!$B$3:$B$10005&amp;'DMR 001C TIN &amp; TP'!$A$3:$A$10005),0),MATCH('Reg 85'!$N$11,'DMR 001C TIN &amp; TP'!$A$2:$M$2,0))),"")</f>
        <v>0.15</v>
      </c>
      <c r="O240" s="6">
        <f t="array" ref="O240">_xlfn.IFNA((INDEX('DMR 001C TIN &amp; TP'!$A$3:$M$10005,MATCH(('Reg 85'!$I$6:$Q$6&amp;'Reg 85'!$M$10&amp;'Reg 85'!$B240),('DMR 001C TIN &amp; TP'!$E$3:$E$10005&amp;'DMR 001C TIN &amp; TP'!$B$3:$B$10005&amp;'DMR 001C TIN &amp; TP'!$A$3:$A$10005),0),MATCH('Reg 85'!$O$11,'DMR 001C TIN &amp; TP'!$A$2:$M$2,0))),"")</f>
        <v>0.13</v>
      </c>
      <c r="P240" s="53">
        <f t="shared" si="91"/>
        <v>0</v>
      </c>
      <c r="Q240" s="73">
        <f t="array" ref="Q240">IFERROR(((L240*$F240)+(P240*$G240))/($H240),"")</f>
        <v>1.558404279472156</v>
      </c>
      <c r="R240" s="6" t="str">
        <f t="array" ref="R240">_xlfn.IFNA((INDEX('DMR 001C TIN &amp; TP'!$A$3:$M$10005,MATCH(('Reg 85'!$I$6:$Q$6&amp;'Reg 85'!R$10&amp;'Reg 85'!$B240),('DMR 001C TIN &amp; TP'!$E$3:$E$10005&amp;'DMR 001C TIN &amp; TP'!$B$3:$B$10005&amp;'DMR 001C TIN &amp; TP'!$A$3:$A$10005),0),MATCH('Reg 85'!$O$11,'DMR 001C TIN &amp; TP'!$A$2:$M$2,0))),"")</f>
        <v/>
      </c>
      <c r="S240" s="6" t="str">
        <f t="array" ref="S240">_xlfn.IFNA((INDEX('DMR 001C TIN &amp; TP'!$A$3:$M$10005,MATCH(('Reg 85'!$I$6:$Q$6&amp;'Reg 85'!S$10&amp;'Reg 85'!$B240),('DMR 001C TIN &amp; TP'!$E$3:$E$10005&amp;'DMR 001C TIN &amp; TP'!$B$3:$B$10005&amp;'DMR 001C TIN &amp; TP'!$A$3:$A$10005),0),MATCH('Reg 85'!$O$11,'DMR 001C TIN &amp; TP'!$A$2:$M$2,0))),"")</f>
        <v/>
      </c>
      <c r="T240" s="6" t="str">
        <f t="array" ref="T240">_xlfn.IFNA((INDEX('DMR 001C TIN &amp; TP'!$A$3:$M$10005,MATCH(('Reg 85'!$I$6:$Q$6&amp;'Reg 85'!T$10&amp;'Reg 85'!$B240),('DMR 001C TIN &amp; TP'!$E$3:$E$10005&amp;'DMR 001C TIN &amp; TP'!$B$3:$B$10005&amp;'DMR 001C TIN &amp; TP'!$A$3:$A$10005),0),MATCH('Reg 85'!$O$11,'DMR 001C TIN &amp; TP'!$A$2:$M$2,0))),"")</f>
        <v/>
      </c>
      <c r="U240" s="6" t="str">
        <f t="array" ref="U240">_xlfn.IFNA((INDEX('DMR 001C TIN &amp; TP'!$A$3:$M$10005,MATCH(('Reg 85'!$I$6:$Q$6&amp;'Reg 85'!U$10&amp;'Reg 85'!$B240),('DMR 001C TIN &amp; TP'!$E$3:$E$10005&amp;'DMR 001C TIN &amp; TP'!$B$3:$B$10005&amp;'DMR 001C TIN &amp; TP'!$A$3:$A$10005),0),MATCH('Reg 85'!$O$11,'DMR 001C TIN &amp; TP'!$A$2:$M$2,0))),"")</f>
        <v/>
      </c>
      <c r="V240" s="6" t="str">
        <f t="array" ref="V240">_xlfn.IFNA((INDEX('DMR 001C TIN &amp; TP'!$A$3:$M$10005,MATCH(('Reg 85'!$I$6:$Q$6&amp;'Reg 85'!V$10&amp;'Reg 85'!$B240),('DMR 001C TIN &amp; TP'!$E$3:$E$10005&amp;'DMR 001C TIN &amp; TP'!$B$3:$B$10005&amp;'DMR 001C TIN &amp; TP'!$A$3:$A$10005),0),MATCH('Reg 85'!$O$11,'DMR 001C TIN &amp; TP'!$A$2:$M$2,0))),"")</f>
        <v/>
      </c>
      <c r="W240" s="6" t="str">
        <f t="array" ref="W240">_xlfn.IFNA((INDEX('DMR 001C TIN &amp; TP'!$A$3:$M$10005,MATCH(('Reg 85'!$I$6:$Q$6&amp;'Reg 85'!W$10&amp;'Reg 85'!$B240),('DMR 001C TIN &amp; TP'!$E$3:$E$10005&amp;'DMR 001C TIN &amp; TP'!$B$3:$B$10005&amp;'DMR 001C TIN &amp; TP'!$A$3:$A$10005),0),MATCH('Reg 85'!$O$11,'DMR 001C TIN &amp; TP'!$A$2:$M$2,0))),"")</f>
        <v/>
      </c>
      <c r="X240" s="5" t="str">
        <f t="shared" si="92"/>
        <v/>
      </c>
      <c r="Y240" s="6" t="str">
        <f t="array" ref="Y240">_xlfn.IFNA((INDEX('DMR 001C TIN &amp; TP'!$A$3:$M$10005,MATCH(('Reg 85'!$X$6&amp;'Reg 85'!$X$10&amp;'Reg 85'!$B240),('DMR 001C TIN &amp; TP'!$E$3:$E$10005&amp;'DMR 001C TIN &amp; TP'!$B$3:$B$10005&amp;'DMR 001C TIN &amp; TP'!$A$3:$A$10005),0),MATCH('Reg 85'!$Y$11,'DMR 001C TIN &amp; TP'!$A$2:$M$2,0))),"")</f>
        <v>0.06</v>
      </c>
      <c r="Z240" s="6">
        <f t="array" ref="Z240">_xlfn.IFNA((INDEX('DMR 001C TIN &amp; TP'!$A$3:$M$10005,MATCH(('Reg 85'!$X$6&amp;'Reg 85'!$X$10&amp;'Reg 85'!$B240),('DMR 001C TIN &amp; TP'!$E$3:$E$10005&amp;'DMR 001C TIN &amp; TP'!$B$3:$B$10005&amp;'DMR 001C TIN &amp; TP'!$A$3:$A$10005),0),MATCH('Reg 85'!$Z$11,'DMR 001C TIN &amp; TP'!$A$2:$M$2,0))),"")</f>
        <v>4.33</v>
      </c>
      <c r="AA240" s="53">
        <f t="shared" si="93"/>
        <v>4.33</v>
      </c>
      <c r="AB240" s="5" t="str">
        <f t="shared" si="94"/>
        <v/>
      </c>
      <c r="AC240" s="6" t="str">
        <f t="array" ref="AC240">_xlfn.IFNA((INDEX('DMR 001C TIN &amp; TP'!$A$3:$M$10005,MATCH(('Reg 85'!$X$6&amp;'Reg 85'!$AB$10&amp;'Reg 85'!$B240),('DMR 001C TIN &amp; TP'!$E$3:$E$10005&amp;'DMR 001C TIN &amp; TP'!$B$3:$B$10005&amp;'DMR 001C TIN &amp; TP'!$A$3:$A$10005),0),MATCH('Reg 85'!$AC$11,'DMR 001C TIN &amp; TP'!$A$2:$M$2,0))),"")</f>
        <v>0.06</v>
      </c>
      <c r="AD240" s="6">
        <f t="array" ref="AD240">_xlfn.IFNA((INDEX('DMR 001C TIN &amp; TP'!$A$3:$M$10005,MATCH(('Reg 85'!$X$6&amp;'Reg 85'!$AB$10&amp;'Reg 85'!$B240),('DMR 001C TIN &amp; TP'!$E$3:$E$10005&amp;'DMR 001C TIN &amp; TP'!$B$3:$B$10005&amp;'DMR 001C TIN &amp; TP'!$A$3:$A$10005),0),MATCH('Reg 85'!$AD$11,'DMR 001C TIN &amp; TP'!$A$2:$M$2,0))),"")</f>
        <v>4.3099999999999996</v>
      </c>
      <c r="AE240" s="53">
        <f t="shared" si="95"/>
        <v>4.3099999999999996</v>
      </c>
      <c r="AF240" s="7">
        <f t="shared" si="96"/>
        <v>4.32093617038226</v>
      </c>
      <c r="AG240" s="6" t="str">
        <f t="array" ref="AG240">_xlfn.IFNA((INDEX('DMR 001C TIN &amp; TP'!$A$3:$M$10005,MATCH(('Reg 85'!$X$6&amp;'Reg 85'!AG$10&amp;'Reg 85'!$B240),('DMR 001C TIN &amp; TP'!$E$3:$E$10005&amp;'DMR 001C TIN &amp; TP'!$B$3:$B$10005&amp;'DMR 001C TIN &amp; TP'!$A$3:$A$10005),0),MATCH('Reg 85'!$AG$11,'DMR 001C TIN &amp; TP'!$A$2:$M$2,0))),"")</f>
        <v/>
      </c>
      <c r="AH240" s="6" t="str">
        <f t="array" ref="AH240">_xlfn.IFNA((INDEX('DMR 001C TIN &amp; TP'!$A$3:$M$10005,MATCH(('Reg 85'!$X$6&amp;'Reg 85'!AH$10&amp;'Reg 85'!$B240),('DMR 001C TIN &amp; TP'!$E$3:$E$10005&amp;'DMR 001C TIN &amp; TP'!$B$3:$B$10005&amp;'DMR 001C TIN &amp; TP'!$A$3:$A$10005),0),MATCH('Reg 85'!$AG$11,'DMR 001C TIN &amp; TP'!$A$2:$M$2,0))),"")</f>
        <v/>
      </c>
      <c r="AI240" s="6" t="str">
        <f t="array" ref="AI240">_xlfn.IFNA((INDEX('DMR 001C TIN &amp; TP'!$A$3:$M$10005,MATCH(('Reg 85'!$X$6&amp;'Reg 85'!AI$10&amp;'Reg 85'!$B240),('DMR 001C TIN &amp; TP'!$E$3:$E$10005&amp;'DMR 001C TIN &amp; TP'!$B$3:$B$10005&amp;'DMR 001C TIN &amp; TP'!$A$3:$A$10005),0),MATCH('Reg 85'!$AG$11,'DMR 001C TIN &amp; TP'!$A$2:$M$2,0))),"")</f>
        <v/>
      </c>
      <c r="AJ240" s="6" t="str">
        <f t="array" ref="AJ240">_xlfn.IFNA((INDEX('DMR 001C TIN &amp; TP'!$A$3:$M$10005,MATCH(('Reg 85'!$X$6&amp;'Reg 85'!AJ$10&amp;'Reg 85'!$B240),('DMR 001C TIN &amp; TP'!$E$3:$E$10005&amp;'DMR 001C TIN &amp; TP'!$B$3:$B$10005&amp;'DMR 001C TIN &amp; TP'!$A$3:$A$10005),0),MATCH('Reg 85'!$AG$11,'DMR 001C TIN &amp; TP'!$A$2:$M$2,0))),"")</f>
        <v/>
      </c>
      <c r="AK240" s="6" t="str">
        <f t="array" ref="AK240">_xlfn.IFNA((INDEX('DMR 001C TIN &amp; TP'!$A$3:$M$10005,MATCH(('Reg 85'!$X$6&amp;'Reg 85'!AK$10&amp;'Reg 85'!$B240),('DMR 001C TIN &amp; TP'!$E$3:$E$10005&amp;'DMR 001C TIN &amp; TP'!$B$3:$B$10005&amp;'DMR 001C TIN &amp; TP'!$A$3:$A$10005),0),MATCH('Reg 85'!$AG$11,'DMR 001C TIN &amp; TP'!$A$2:$M$2,0))),"")</f>
        <v/>
      </c>
      <c r="AL240" s="6" t="str">
        <f t="array" ref="AL240">_xlfn.IFNA((INDEX('DMR 001C TIN &amp; TP'!$A$3:$M$10005,MATCH(('Reg 85'!$X$6&amp;'Reg 85'!AL$10&amp;'Reg 85'!$B240),('DMR 001C TIN &amp; TP'!$E$3:$E$10005&amp;'DMR 001C TIN &amp; TP'!$B$3:$B$10005&amp;'DMR 001C TIN &amp; TP'!$A$3:$A$10005),0),MATCH('Reg 85'!$AG$11,'DMR 001C TIN &amp; TP'!$A$2:$M$2,0))),"")</f>
        <v/>
      </c>
      <c r="AM240" s="76"/>
      <c r="AN240" s="6"/>
      <c r="AO240" s="54">
        <f t="shared" si="83"/>
        <v>5.879340449854416</v>
      </c>
      <c r="AP240" s="77" t="str">
        <f t="shared" si="102"/>
        <v/>
      </c>
      <c r="AQ240" s="47"/>
      <c r="AR240" s="6" t="str">
        <f t="array" ref="AR240">_xlfn.IFNA((INDEX('DMR 001C TIN &amp; TP'!$A$3:$M$10005,MATCH(('Reg 85'!$AQ$6&amp;'Reg 85'!$AQ$10&amp;'Reg 85'!$B240),('DMR 001C TIN &amp; TP'!$E$3:$E$10005&amp;'DMR 001C TIN &amp; TP'!$B$3:$B$10005&amp;'DMR 001C TIN &amp; TP'!$A$3:$A$10005),0),MATCH('Reg 85'!$AR$11,'DMR 001C TIN &amp; TP'!$A$2:$M$2,0))),"")</f>
        <v/>
      </c>
      <c r="AS240" s="6" t="str">
        <f t="array" ref="AS240">_xlfn.IFNA((INDEX('DMR 001C TIN &amp; TP'!$A$3:$M$10005,MATCH(('Reg 85'!$AQ$6&amp;'Reg 85'!$AQ$10&amp;'Reg 85'!$B240),('DMR 001C TIN &amp; TP'!$E$3:$E$10005&amp;'DMR 001C TIN &amp; TP'!$B$3:$B$10005&amp;'DMR 001C TIN &amp; TP'!$A$3:$A$10005),0),MATCH('Reg 85'!$AS$11,'DMR 001C TIN &amp; TP'!$A$2:$M$2,0))),"")</f>
        <v/>
      </c>
      <c r="AT240" s="53" t="str">
        <f t="shared" si="97"/>
        <v/>
      </c>
      <c r="AV240" s="6" t="str">
        <f t="array" ref="AV240">_xlfn.IFNA((INDEX('DMR 001C TIN &amp; TP'!$A$3:$M$10005,MATCH(('Reg 85'!$AQ$6&amp;'Reg 85'!$AU$10&amp;'Reg 85'!$B240),('DMR 001C TIN &amp; TP'!$E$3:$E$10005&amp;'DMR 001C TIN &amp; TP'!$B$3:$B$10005&amp;'DMR 001C TIN &amp; TP'!$A$3:$A$10005),0),MATCH('Reg 85'!$AV$11,'DMR 001C TIN &amp; TP'!$A$2:$M$2,0))),"")</f>
        <v/>
      </c>
      <c r="AW240" s="6" t="str">
        <f t="array" ref="AW240">_xlfn.IFNA((INDEX('DMR 001C TIN &amp; TP'!$A$3:$M$10005,MATCH(('Reg 85'!$AQ$6&amp;'Reg 85'!$AU$10&amp;'Reg 85'!$B240),('DMR 001C TIN &amp; TP'!$E$3:$E$10005&amp;'DMR 001C TIN &amp; TP'!$B$3:$B$10005&amp;'DMR 001C TIN &amp; TP'!$A$3:$A$10005),0),MATCH('Reg 85'!$AW$11,'DMR 001C TIN &amp; TP'!$A$2:$M$2,0))),"")</f>
        <v/>
      </c>
      <c r="AX240" s="53" t="str">
        <f t="shared" si="98"/>
        <v/>
      </c>
      <c r="AY240" s="55" t="str">
        <f t="shared" si="99"/>
        <v/>
      </c>
      <c r="AZ240" s="77" t="str">
        <f t="shared" si="103"/>
        <v/>
      </c>
      <c r="BA240" s="6" t="str">
        <f t="array" ref="BA240">_xlfn.IFNA((INDEX('DMR 001C TIN &amp; TP'!$A$3:$M$10005,MATCH(('Reg 85'!$AQ$6&amp;'Reg 85'!BA$10&amp;'Reg 85'!$B240),('DMR 001C TIN &amp; TP'!$E$3:$E$10005&amp;'DMR 001C TIN &amp; TP'!$B$3:$B$10005&amp;'DMR 001C TIN &amp; TP'!$A$3:$A$10005),0),MATCH('Reg 85'!$AG$11,'DMR 001C TIN &amp; TP'!$A$2:$M$2,0))),"")</f>
        <v/>
      </c>
      <c r="BB240" s="6" t="str">
        <f t="array" ref="BB240">_xlfn.IFNA((INDEX('DMR 001C TIN &amp; TP'!$A$3:$M$10005,MATCH(('Reg 85'!$AQ$6&amp;'Reg 85'!BB$10&amp;'Reg 85'!$B240),('DMR 001C TIN &amp; TP'!$E$3:$E$10005&amp;'DMR 001C TIN &amp; TP'!$B$3:$B$10005&amp;'DMR 001C TIN &amp; TP'!$A$3:$A$10005),0),MATCH('Reg 85'!$AG$11,'DMR 001C TIN &amp; TP'!$A$2:$M$2,0))),"")</f>
        <v/>
      </c>
      <c r="BC240" s="6" t="str">
        <f t="array" ref="BC240">_xlfn.IFNA((INDEX('DMR 001C TIN &amp; TP'!$A$3:$M$10005,MATCH(('Reg 85'!$AQ$6&amp;'Reg 85'!BC$10&amp;'Reg 85'!$B240),('DMR 001C TIN &amp; TP'!$E$3:$E$10005&amp;'DMR 001C TIN &amp; TP'!$B$3:$B$10005&amp;'DMR 001C TIN &amp; TP'!$A$3:$A$10005),0),MATCH('Reg 85'!$AG$11,'DMR 001C TIN &amp; TP'!$A$2:$M$2,0))),"")</f>
        <v/>
      </c>
      <c r="BD240" s="6" t="str">
        <f t="array" ref="BD240">_xlfn.IFNA((INDEX('DMR 001C TIN &amp; TP'!$A$3:$M$10005,MATCH(('Reg 85'!$AQ$6&amp;'Reg 85'!BD$10&amp;'Reg 85'!$B240),('DMR 001C TIN &amp; TP'!$E$3:$E$10005&amp;'DMR 001C TIN &amp; TP'!$B$3:$B$10005&amp;'DMR 001C TIN &amp; TP'!$A$3:$A$10005),0),MATCH('Reg 85'!$AG$11,'DMR 001C TIN &amp; TP'!$A$2:$M$2,0))),"")</f>
        <v/>
      </c>
      <c r="BE240" s="6" t="str">
        <f t="array" ref="BE240">_xlfn.IFNA((INDEX('DMR 001C TIN &amp; TP'!$A$3:$M$10005,MATCH(('Reg 85'!$AQ$6&amp;'Reg 85'!BE$10&amp;'Reg 85'!$B240),('DMR 001C TIN &amp; TP'!$E$3:$E$10005&amp;'DMR 001C TIN &amp; TP'!$B$3:$B$10005&amp;'DMR 001C TIN &amp; TP'!$A$3:$A$10005),0),MATCH('Reg 85'!$AG$11,'DMR 001C TIN &amp; TP'!$A$2:$M$2,0))),"")</f>
        <v/>
      </c>
      <c r="BF240" s="6" t="str">
        <f t="array" ref="BF240">_xlfn.IFNA((INDEX('DMR 001C TIN &amp; TP'!$A$3:$M$10005,MATCH(('Reg 85'!$AQ$6&amp;'Reg 85'!BF$10&amp;'Reg 85'!$B240),('DMR 001C TIN &amp; TP'!$E$3:$E$10005&amp;'DMR 001C TIN &amp; TP'!$B$3:$B$10005&amp;'DMR 001C TIN &amp; TP'!$A$3:$A$10005),0),MATCH('Reg 85'!$AG$11,'DMR 001C TIN &amp; TP'!$A$2:$M$2,0))),"")</f>
        <v/>
      </c>
    </row>
    <row r="241" spans="1:58">
      <c r="A241" s="3" t="str">
        <f t="shared" si="84"/>
        <v>Thu</v>
      </c>
      <c r="B241" s="96">
        <f t="shared" si="100"/>
        <v>43573</v>
      </c>
      <c r="C241" s="96">
        <f t="shared" si="85"/>
        <v>43585</v>
      </c>
      <c r="D241" s="96">
        <f t="shared" si="86"/>
        <v>43556</v>
      </c>
      <c r="E241" s="95">
        <f t="shared" si="87"/>
        <v>30</v>
      </c>
      <c r="F241" s="7">
        <f t="array" ref="F241">_xlfn.IFNA(INDEX('DMR Flows-Effluent'!$A$3:$F$9999,MATCH(($F$10&amp;$B241),('DMR Flows-Effluent'!$B$3:$B$9999&amp;'DMR Flows-Effluent'!$A$3:$A$9999),0),MATCH($F$8,'DMR Flows-Effluent'!$A$2:$F$2,0)),"")</f>
        <v>72.002099999999999</v>
      </c>
      <c r="G241" s="7">
        <f t="array" ref="G241">_xlfn.IFNA(INDEX('DMR Flows-Effluent'!$A$3:$F$9999,MATCH(($G$10&amp;$B241),('DMR Flows-Effluent'!$B$3:$B$9999&amp;'DMR Flows-Effluent'!$A$3:$A$9999),0),MATCH($F$8,'DMR Flows-Effluent'!$A$2:$F$2,0)),"")</f>
        <v>53.924900000000001</v>
      </c>
      <c r="H241" s="7">
        <f t="shared" si="88"/>
        <v>125.92699999999999</v>
      </c>
      <c r="I241" s="45" t="str">
        <f t="shared" si="89"/>
        <v/>
      </c>
      <c r="J241" s="6" t="str">
        <f t="array" ref="J241">_xlfn.IFNA((INDEX('DMR 001C TIN &amp; TP'!$A$3:$M$10005,MATCH(('Reg 85'!$I$6:$Q$6&amp;'Reg 85'!$I$10:$K$10&amp;'Reg 85'!$B241),('DMR 001C TIN &amp; TP'!$E$3:$E$10005&amp;'DMR 001C TIN &amp; TP'!$B$3:$B$10005&amp;'DMR 001C TIN &amp; TP'!$A$3:$A$10005),0),MATCH('Reg 85'!$J$11,'DMR 001C TIN &amp; TP'!$A$2:$M$2,0))),"")</f>
        <v>0.15</v>
      </c>
      <c r="K241" s="6">
        <f t="array" ref="K241">_xlfn.IFNA((INDEX('DMR 001C TIN &amp; TP'!$A$3:$M$10005,MATCH(('Reg 85'!$I$6:$Q$6&amp;'Reg 85'!$I$10:$K$10&amp;'Reg 85'!$B241),('DMR 001C TIN &amp; TP'!$E$3:$E$10005&amp;'DMR 001C TIN &amp; TP'!$B$3:$B$10005&amp;'DMR 001C TIN &amp; TP'!$A$3:$A$10005),0),MATCH('Reg 85'!$K$11,'DMR 001C TIN &amp; TP'!$A$2:$M$2,0))),"")</f>
        <v>1.1000000000000001</v>
      </c>
      <c r="L241" s="53">
        <f t="shared" si="101"/>
        <v>1.1000000000000001</v>
      </c>
      <c r="M241" s="5" t="str">
        <f t="shared" si="90"/>
        <v>&lt;</v>
      </c>
      <c r="N241" s="6" t="str">
        <f t="array" ref="N241">_xlfn.IFNA((INDEX('DMR 001C TIN &amp; TP'!$A$3:$M$10005,MATCH(('Reg 85'!$I$6:$Q$6&amp;'Reg 85'!$M$10&amp;'Reg 85'!$B241),('DMR 001C TIN &amp; TP'!$E$3:$E$10005&amp;'DMR 001C TIN &amp; TP'!$B$3:$B$10005&amp;'DMR 001C TIN &amp; TP'!$A$3:$A$10005),0),MATCH('Reg 85'!$N$11,'DMR 001C TIN &amp; TP'!$A$2:$M$2,0))),"")</f>
        <v>0.15</v>
      </c>
      <c r="O241" s="6">
        <f t="array" ref="O241">_xlfn.IFNA((INDEX('DMR 001C TIN &amp; TP'!$A$3:$M$10005,MATCH(('Reg 85'!$I$6:$Q$6&amp;'Reg 85'!$M$10&amp;'Reg 85'!$B241),('DMR 001C TIN &amp; TP'!$E$3:$E$10005&amp;'DMR 001C TIN &amp; TP'!$B$3:$B$10005&amp;'DMR 001C TIN &amp; TP'!$A$3:$A$10005),0),MATCH('Reg 85'!$O$11,'DMR 001C TIN &amp; TP'!$A$2:$M$2,0))),"")</f>
        <v>0.05</v>
      </c>
      <c r="P241" s="53">
        <f t="shared" si="91"/>
        <v>0</v>
      </c>
      <c r="Q241" s="73">
        <f t="array" ref="Q241">IFERROR(((L241*$F241)+(P241*$G241))/($H241),"")</f>
        <v>0.62895415597925797</v>
      </c>
      <c r="R241" s="6" t="str">
        <f t="array" ref="R241">_xlfn.IFNA((INDEX('DMR 001C TIN &amp; TP'!$A$3:$M$10005,MATCH(('Reg 85'!$I$6:$Q$6&amp;'Reg 85'!R$10&amp;'Reg 85'!$B241),('DMR 001C TIN &amp; TP'!$E$3:$E$10005&amp;'DMR 001C TIN &amp; TP'!$B$3:$B$10005&amp;'DMR 001C TIN &amp; TP'!$A$3:$A$10005),0),MATCH('Reg 85'!$O$11,'DMR 001C TIN &amp; TP'!$A$2:$M$2,0))),"")</f>
        <v/>
      </c>
      <c r="S241" s="6" t="str">
        <f t="array" ref="S241">_xlfn.IFNA((INDEX('DMR 001C TIN &amp; TP'!$A$3:$M$10005,MATCH(('Reg 85'!$I$6:$Q$6&amp;'Reg 85'!S$10&amp;'Reg 85'!$B241),('DMR 001C TIN &amp; TP'!$E$3:$E$10005&amp;'DMR 001C TIN &amp; TP'!$B$3:$B$10005&amp;'DMR 001C TIN &amp; TP'!$A$3:$A$10005),0),MATCH('Reg 85'!$O$11,'DMR 001C TIN &amp; TP'!$A$2:$M$2,0))),"")</f>
        <v/>
      </c>
      <c r="T241" s="6" t="str">
        <f t="array" ref="T241">_xlfn.IFNA((INDEX('DMR 001C TIN &amp; TP'!$A$3:$M$10005,MATCH(('Reg 85'!$I$6:$Q$6&amp;'Reg 85'!T$10&amp;'Reg 85'!$B241),('DMR 001C TIN &amp; TP'!$E$3:$E$10005&amp;'DMR 001C TIN &amp; TP'!$B$3:$B$10005&amp;'DMR 001C TIN &amp; TP'!$A$3:$A$10005),0),MATCH('Reg 85'!$O$11,'DMR 001C TIN &amp; TP'!$A$2:$M$2,0))),"")</f>
        <v/>
      </c>
      <c r="U241" s="6" t="str">
        <f t="array" ref="U241">_xlfn.IFNA((INDEX('DMR 001C TIN &amp; TP'!$A$3:$M$10005,MATCH(('Reg 85'!$I$6:$Q$6&amp;'Reg 85'!U$10&amp;'Reg 85'!$B241),('DMR 001C TIN &amp; TP'!$E$3:$E$10005&amp;'DMR 001C TIN &amp; TP'!$B$3:$B$10005&amp;'DMR 001C TIN &amp; TP'!$A$3:$A$10005),0),MATCH('Reg 85'!$O$11,'DMR 001C TIN &amp; TP'!$A$2:$M$2,0))),"")</f>
        <v/>
      </c>
      <c r="V241" s="6" t="str">
        <f t="array" ref="V241">_xlfn.IFNA((INDEX('DMR 001C TIN &amp; TP'!$A$3:$M$10005,MATCH(('Reg 85'!$I$6:$Q$6&amp;'Reg 85'!V$10&amp;'Reg 85'!$B241),('DMR 001C TIN &amp; TP'!$E$3:$E$10005&amp;'DMR 001C TIN &amp; TP'!$B$3:$B$10005&amp;'DMR 001C TIN &amp; TP'!$A$3:$A$10005),0),MATCH('Reg 85'!$O$11,'DMR 001C TIN &amp; TP'!$A$2:$M$2,0))),"")</f>
        <v/>
      </c>
      <c r="W241" s="6" t="str">
        <f t="array" ref="W241">_xlfn.IFNA((INDEX('DMR 001C TIN &amp; TP'!$A$3:$M$10005,MATCH(('Reg 85'!$I$6:$Q$6&amp;'Reg 85'!W$10&amp;'Reg 85'!$B241),('DMR 001C TIN &amp; TP'!$E$3:$E$10005&amp;'DMR 001C TIN &amp; TP'!$B$3:$B$10005&amp;'DMR 001C TIN &amp; TP'!$A$3:$A$10005),0),MATCH('Reg 85'!$O$11,'DMR 001C TIN &amp; TP'!$A$2:$M$2,0))),"")</f>
        <v/>
      </c>
      <c r="X241" s="5" t="str">
        <f t="shared" si="92"/>
        <v/>
      </c>
      <c r="Y241" s="6" t="str">
        <f t="array" ref="Y241">_xlfn.IFNA((INDEX('DMR 001C TIN &amp; TP'!$A$3:$M$10005,MATCH(('Reg 85'!$X$6&amp;'Reg 85'!$X$10&amp;'Reg 85'!$B241),('DMR 001C TIN &amp; TP'!$E$3:$E$10005&amp;'DMR 001C TIN &amp; TP'!$B$3:$B$10005&amp;'DMR 001C TIN &amp; TP'!$A$3:$A$10005),0),MATCH('Reg 85'!$Y$11,'DMR 001C TIN &amp; TP'!$A$2:$M$2,0))),"")</f>
        <v>0.06</v>
      </c>
      <c r="Z241" s="6">
        <f t="array" ref="Z241">_xlfn.IFNA((INDEX('DMR 001C TIN &amp; TP'!$A$3:$M$10005,MATCH(('Reg 85'!$X$6&amp;'Reg 85'!$X$10&amp;'Reg 85'!$B241),('DMR 001C TIN &amp; TP'!$E$3:$E$10005&amp;'DMR 001C TIN &amp; TP'!$B$3:$B$10005&amp;'DMR 001C TIN &amp; TP'!$A$3:$A$10005),0),MATCH('Reg 85'!$Z$11,'DMR 001C TIN &amp; TP'!$A$2:$M$2,0))),"")</f>
        <v>4.92</v>
      </c>
      <c r="AA241" s="53">
        <f t="shared" si="93"/>
        <v>4.92</v>
      </c>
      <c r="AB241" s="5" t="str">
        <f t="shared" si="94"/>
        <v/>
      </c>
      <c r="AC241" s="6" t="str">
        <f t="array" ref="AC241">_xlfn.IFNA((INDEX('DMR 001C TIN &amp; TP'!$A$3:$M$10005,MATCH(('Reg 85'!$X$6&amp;'Reg 85'!$AB$10&amp;'Reg 85'!$B241),('DMR 001C TIN &amp; TP'!$E$3:$E$10005&amp;'DMR 001C TIN &amp; TP'!$B$3:$B$10005&amp;'DMR 001C TIN &amp; TP'!$A$3:$A$10005),0),MATCH('Reg 85'!$AC$11,'DMR 001C TIN &amp; TP'!$A$2:$M$2,0))),"")</f>
        <v>0.06</v>
      </c>
      <c r="AD241" s="6">
        <f t="array" ref="AD241">_xlfn.IFNA((INDEX('DMR 001C TIN &amp; TP'!$A$3:$M$10005,MATCH(('Reg 85'!$X$6&amp;'Reg 85'!$AB$10&amp;'Reg 85'!$B241),('DMR 001C TIN &amp; TP'!$E$3:$E$10005&amp;'DMR 001C TIN &amp; TP'!$B$3:$B$10005&amp;'DMR 001C TIN &amp; TP'!$A$3:$A$10005),0),MATCH('Reg 85'!$AD$11,'DMR 001C TIN &amp; TP'!$A$2:$M$2,0))),"")</f>
        <v>3.72</v>
      </c>
      <c r="AE241" s="53">
        <f t="shared" si="95"/>
        <v>3.72</v>
      </c>
      <c r="AF241" s="7">
        <f t="shared" si="96"/>
        <v>4.4061318065228265</v>
      </c>
      <c r="AG241" s="6" t="str">
        <f t="array" ref="AG241">_xlfn.IFNA((INDEX('DMR 001C TIN &amp; TP'!$A$3:$M$10005,MATCH(('Reg 85'!$X$6&amp;'Reg 85'!AG$10&amp;'Reg 85'!$B241),('DMR 001C TIN &amp; TP'!$E$3:$E$10005&amp;'DMR 001C TIN &amp; TP'!$B$3:$B$10005&amp;'DMR 001C TIN &amp; TP'!$A$3:$A$10005),0),MATCH('Reg 85'!$AG$11,'DMR 001C TIN &amp; TP'!$A$2:$M$2,0))),"")</f>
        <v/>
      </c>
      <c r="AH241" s="6" t="str">
        <f t="array" ref="AH241">_xlfn.IFNA((INDEX('DMR 001C TIN &amp; TP'!$A$3:$M$10005,MATCH(('Reg 85'!$X$6&amp;'Reg 85'!AH$10&amp;'Reg 85'!$B241),('DMR 001C TIN &amp; TP'!$E$3:$E$10005&amp;'DMR 001C TIN &amp; TP'!$B$3:$B$10005&amp;'DMR 001C TIN &amp; TP'!$A$3:$A$10005),0),MATCH('Reg 85'!$AG$11,'DMR 001C TIN &amp; TP'!$A$2:$M$2,0))),"")</f>
        <v/>
      </c>
      <c r="AI241" s="6" t="str">
        <f t="array" ref="AI241">_xlfn.IFNA((INDEX('DMR 001C TIN &amp; TP'!$A$3:$M$10005,MATCH(('Reg 85'!$X$6&amp;'Reg 85'!AI$10&amp;'Reg 85'!$B241),('DMR 001C TIN &amp; TP'!$E$3:$E$10005&amp;'DMR 001C TIN &amp; TP'!$B$3:$B$10005&amp;'DMR 001C TIN &amp; TP'!$A$3:$A$10005),0),MATCH('Reg 85'!$AG$11,'DMR 001C TIN &amp; TP'!$A$2:$M$2,0))),"")</f>
        <v/>
      </c>
      <c r="AJ241" s="6" t="str">
        <f t="array" ref="AJ241">_xlfn.IFNA((INDEX('DMR 001C TIN &amp; TP'!$A$3:$M$10005,MATCH(('Reg 85'!$X$6&amp;'Reg 85'!AJ$10&amp;'Reg 85'!$B241),('DMR 001C TIN &amp; TP'!$E$3:$E$10005&amp;'DMR 001C TIN &amp; TP'!$B$3:$B$10005&amp;'DMR 001C TIN &amp; TP'!$A$3:$A$10005),0),MATCH('Reg 85'!$AG$11,'DMR 001C TIN &amp; TP'!$A$2:$M$2,0))),"")</f>
        <v/>
      </c>
      <c r="AK241" s="6" t="str">
        <f t="array" ref="AK241">_xlfn.IFNA((INDEX('DMR 001C TIN &amp; TP'!$A$3:$M$10005,MATCH(('Reg 85'!$X$6&amp;'Reg 85'!AK$10&amp;'Reg 85'!$B241),('DMR 001C TIN &amp; TP'!$E$3:$E$10005&amp;'DMR 001C TIN &amp; TP'!$B$3:$B$10005&amp;'DMR 001C TIN &amp; TP'!$A$3:$A$10005),0),MATCH('Reg 85'!$AG$11,'DMR 001C TIN &amp; TP'!$A$2:$M$2,0))),"")</f>
        <v/>
      </c>
      <c r="AL241" s="6" t="str">
        <f t="array" ref="AL241">_xlfn.IFNA((INDEX('DMR 001C TIN &amp; TP'!$A$3:$M$10005,MATCH(('Reg 85'!$X$6&amp;'Reg 85'!AL$10&amp;'Reg 85'!$B241),('DMR 001C TIN &amp; TP'!$E$3:$E$10005&amp;'DMR 001C TIN &amp; TP'!$B$3:$B$10005&amp;'DMR 001C TIN &amp; TP'!$A$3:$A$10005),0),MATCH('Reg 85'!$AG$11,'DMR 001C TIN &amp; TP'!$A$2:$M$2,0))),"")</f>
        <v/>
      </c>
      <c r="AM241" s="76"/>
      <c r="AN241" s="6"/>
      <c r="AO241" s="54">
        <f t="shared" si="83"/>
        <v>5.0350859625020847</v>
      </c>
      <c r="AP241" s="77" t="str">
        <f t="shared" si="102"/>
        <v/>
      </c>
      <c r="AQ241" s="47"/>
      <c r="AR241" s="6" t="str">
        <f t="array" ref="AR241">_xlfn.IFNA((INDEX('DMR 001C TIN &amp; TP'!$A$3:$M$10005,MATCH(('Reg 85'!$AQ$6&amp;'Reg 85'!$AQ$10&amp;'Reg 85'!$B241),('DMR 001C TIN &amp; TP'!$E$3:$E$10005&amp;'DMR 001C TIN &amp; TP'!$B$3:$B$10005&amp;'DMR 001C TIN &amp; TP'!$A$3:$A$10005),0),MATCH('Reg 85'!$AR$11,'DMR 001C TIN &amp; TP'!$A$2:$M$2,0))),"")</f>
        <v/>
      </c>
      <c r="AS241" s="6" t="str">
        <f t="array" ref="AS241">_xlfn.IFNA((INDEX('DMR 001C TIN &amp; TP'!$A$3:$M$10005,MATCH(('Reg 85'!$AQ$6&amp;'Reg 85'!$AQ$10&amp;'Reg 85'!$B241),('DMR 001C TIN &amp; TP'!$E$3:$E$10005&amp;'DMR 001C TIN &amp; TP'!$B$3:$B$10005&amp;'DMR 001C TIN &amp; TP'!$A$3:$A$10005),0),MATCH('Reg 85'!$AS$11,'DMR 001C TIN &amp; TP'!$A$2:$M$2,0))),"")</f>
        <v/>
      </c>
      <c r="AT241" s="53" t="str">
        <f t="shared" si="97"/>
        <v/>
      </c>
      <c r="AV241" s="6" t="str">
        <f t="array" ref="AV241">_xlfn.IFNA((INDEX('DMR 001C TIN &amp; TP'!$A$3:$M$10005,MATCH(('Reg 85'!$AQ$6&amp;'Reg 85'!$AU$10&amp;'Reg 85'!$B241),('DMR 001C TIN &amp; TP'!$E$3:$E$10005&amp;'DMR 001C TIN &amp; TP'!$B$3:$B$10005&amp;'DMR 001C TIN &amp; TP'!$A$3:$A$10005),0),MATCH('Reg 85'!$AV$11,'DMR 001C TIN &amp; TP'!$A$2:$M$2,0))),"")</f>
        <v/>
      </c>
      <c r="AW241" s="6" t="str">
        <f t="array" ref="AW241">_xlfn.IFNA((INDEX('DMR 001C TIN &amp; TP'!$A$3:$M$10005,MATCH(('Reg 85'!$AQ$6&amp;'Reg 85'!$AU$10&amp;'Reg 85'!$B241),('DMR 001C TIN &amp; TP'!$E$3:$E$10005&amp;'DMR 001C TIN &amp; TP'!$B$3:$B$10005&amp;'DMR 001C TIN &amp; TP'!$A$3:$A$10005),0),MATCH('Reg 85'!$AW$11,'DMR 001C TIN &amp; TP'!$A$2:$M$2,0))),"")</f>
        <v/>
      </c>
      <c r="AX241" s="53" t="str">
        <f t="shared" si="98"/>
        <v/>
      </c>
      <c r="AY241" s="55" t="str">
        <f t="shared" si="99"/>
        <v/>
      </c>
      <c r="AZ241" s="77" t="str">
        <f t="shared" si="103"/>
        <v/>
      </c>
      <c r="BA241" s="6" t="str">
        <f t="array" ref="BA241">_xlfn.IFNA((INDEX('DMR 001C TIN &amp; TP'!$A$3:$M$10005,MATCH(('Reg 85'!$AQ$6&amp;'Reg 85'!BA$10&amp;'Reg 85'!$B241),('DMR 001C TIN &amp; TP'!$E$3:$E$10005&amp;'DMR 001C TIN &amp; TP'!$B$3:$B$10005&amp;'DMR 001C TIN &amp; TP'!$A$3:$A$10005),0),MATCH('Reg 85'!$AG$11,'DMR 001C TIN &amp; TP'!$A$2:$M$2,0))),"")</f>
        <v/>
      </c>
      <c r="BB241" s="6" t="str">
        <f t="array" ref="BB241">_xlfn.IFNA((INDEX('DMR 001C TIN &amp; TP'!$A$3:$M$10005,MATCH(('Reg 85'!$AQ$6&amp;'Reg 85'!BB$10&amp;'Reg 85'!$B241),('DMR 001C TIN &amp; TP'!$E$3:$E$10005&amp;'DMR 001C TIN &amp; TP'!$B$3:$B$10005&amp;'DMR 001C TIN &amp; TP'!$A$3:$A$10005),0),MATCH('Reg 85'!$AG$11,'DMR 001C TIN &amp; TP'!$A$2:$M$2,0))),"")</f>
        <v/>
      </c>
      <c r="BC241" s="6" t="str">
        <f t="array" ref="BC241">_xlfn.IFNA((INDEX('DMR 001C TIN &amp; TP'!$A$3:$M$10005,MATCH(('Reg 85'!$AQ$6&amp;'Reg 85'!BC$10&amp;'Reg 85'!$B241),('DMR 001C TIN &amp; TP'!$E$3:$E$10005&amp;'DMR 001C TIN &amp; TP'!$B$3:$B$10005&amp;'DMR 001C TIN &amp; TP'!$A$3:$A$10005),0),MATCH('Reg 85'!$AG$11,'DMR 001C TIN &amp; TP'!$A$2:$M$2,0))),"")</f>
        <v/>
      </c>
      <c r="BD241" s="6" t="str">
        <f t="array" ref="BD241">_xlfn.IFNA((INDEX('DMR 001C TIN &amp; TP'!$A$3:$M$10005,MATCH(('Reg 85'!$AQ$6&amp;'Reg 85'!BD$10&amp;'Reg 85'!$B241),('DMR 001C TIN &amp; TP'!$E$3:$E$10005&amp;'DMR 001C TIN &amp; TP'!$B$3:$B$10005&amp;'DMR 001C TIN &amp; TP'!$A$3:$A$10005),0),MATCH('Reg 85'!$AG$11,'DMR 001C TIN &amp; TP'!$A$2:$M$2,0))),"")</f>
        <v/>
      </c>
      <c r="BE241" s="6" t="str">
        <f t="array" ref="BE241">_xlfn.IFNA((INDEX('DMR 001C TIN &amp; TP'!$A$3:$M$10005,MATCH(('Reg 85'!$AQ$6&amp;'Reg 85'!BE$10&amp;'Reg 85'!$B241),('DMR 001C TIN &amp; TP'!$E$3:$E$10005&amp;'DMR 001C TIN &amp; TP'!$B$3:$B$10005&amp;'DMR 001C TIN &amp; TP'!$A$3:$A$10005),0),MATCH('Reg 85'!$AG$11,'DMR 001C TIN &amp; TP'!$A$2:$M$2,0))),"")</f>
        <v/>
      </c>
      <c r="BF241" s="6" t="str">
        <f t="array" ref="BF241">_xlfn.IFNA((INDEX('DMR 001C TIN &amp; TP'!$A$3:$M$10005,MATCH(('Reg 85'!$AQ$6&amp;'Reg 85'!BF$10&amp;'Reg 85'!$B241),('DMR 001C TIN &amp; TP'!$E$3:$E$10005&amp;'DMR 001C TIN &amp; TP'!$B$3:$B$10005&amp;'DMR 001C TIN &amp; TP'!$A$3:$A$10005),0),MATCH('Reg 85'!$AG$11,'DMR 001C TIN &amp; TP'!$A$2:$M$2,0))),"")</f>
        <v/>
      </c>
    </row>
    <row r="242" spans="1:58">
      <c r="A242" s="3" t="str">
        <f t="shared" si="84"/>
        <v>Fri</v>
      </c>
      <c r="B242" s="96">
        <f t="shared" si="100"/>
        <v>43574</v>
      </c>
      <c r="C242" s="96">
        <f t="shared" si="85"/>
        <v>43585</v>
      </c>
      <c r="D242" s="96">
        <f t="shared" si="86"/>
        <v>43556</v>
      </c>
      <c r="E242" s="95">
        <f t="shared" si="87"/>
        <v>30</v>
      </c>
      <c r="F242" s="7">
        <f t="array" ref="F242">_xlfn.IFNA(INDEX('DMR Flows-Effluent'!$A$3:$F$9999,MATCH(($F$10&amp;$B242),('DMR Flows-Effluent'!$B$3:$B$9999&amp;'DMR Flows-Effluent'!$A$3:$A$9999),0),MATCH($F$8,'DMR Flows-Effluent'!$A$2:$F$2,0)),"")</f>
        <v>69.477099999999993</v>
      </c>
      <c r="G242" s="7">
        <f t="array" ref="G242">_xlfn.IFNA(INDEX('DMR Flows-Effluent'!$A$3:$F$9999,MATCH(($G$10&amp;$B242),('DMR Flows-Effluent'!$B$3:$B$9999&amp;'DMR Flows-Effluent'!$A$3:$A$9999),0),MATCH($F$8,'DMR Flows-Effluent'!$A$2:$F$2,0)),"")</f>
        <v>55.164999999999999</v>
      </c>
      <c r="H242" s="7">
        <f t="shared" si="88"/>
        <v>124.6421</v>
      </c>
      <c r="I242" s="45" t="str">
        <f t="shared" si="89"/>
        <v/>
      </c>
      <c r="J242" s="6" t="str">
        <f t="array" ref="J242">_xlfn.IFNA((INDEX('DMR 001C TIN &amp; TP'!$A$3:$M$10005,MATCH(('Reg 85'!$I$6:$Q$6&amp;'Reg 85'!$I$10:$K$10&amp;'Reg 85'!$B242),('DMR 001C TIN &amp; TP'!$E$3:$E$10005&amp;'DMR 001C TIN &amp; TP'!$B$3:$B$10005&amp;'DMR 001C TIN &amp; TP'!$A$3:$A$10005),0),MATCH('Reg 85'!$J$11,'DMR 001C TIN &amp; TP'!$A$2:$M$2,0))),"")</f>
        <v>0.15</v>
      </c>
      <c r="K242" s="6">
        <f t="array" ref="K242">_xlfn.IFNA((INDEX('DMR 001C TIN &amp; TP'!$A$3:$M$10005,MATCH(('Reg 85'!$I$6:$Q$6&amp;'Reg 85'!$I$10:$K$10&amp;'Reg 85'!$B242),('DMR 001C TIN &amp; TP'!$E$3:$E$10005&amp;'DMR 001C TIN &amp; TP'!$B$3:$B$10005&amp;'DMR 001C TIN &amp; TP'!$A$3:$A$10005),0),MATCH('Reg 85'!$K$11,'DMR 001C TIN &amp; TP'!$A$2:$M$2,0))),"")</f>
        <v>1.37</v>
      </c>
      <c r="L242" s="53">
        <f t="shared" si="101"/>
        <v>1.37</v>
      </c>
      <c r="M242" s="5" t="str">
        <f t="shared" si="90"/>
        <v>&lt;</v>
      </c>
      <c r="N242" s="6" t="str">
        <f t="array" ref="N242">_xlfn.IFNA((INDEX('DMR 001C TIN &amp; TP'!$A$3:$M$10005,MATCH(('Reg 85'!$I$6:$Q$6&amp;'Reg 85'!$M$10&amp;'Reg 85'!$B242),('DMR 001C TIN &amp; TP'!$E$3:$E$10005&amp;'DMR 001C TIN &amp; TP'!$B$3:$B$10005&amp;'DMR 001C TIN &amp; TP'!$A$3:$A$10005),0),MATCH('Reg 85'!$N$11,'DMR 001C TIN &amp; TP'!$A$2:$M$2,0))),"")</f>
        <v>0.15</v>
      </c>
      <c r="O242" s="6">
        <f t="array" ref="O242">_xlfn.IFNA((INDEX('DMR 001C TIN &amp; TP'!$A$3:$M$10005,MATCH(('Reg 85'!$I$6:$Q$6&amp;'Reg 85'!$M$10&amp;'Reg 85'!$B242),('DMR 001C TIN &amp; TP'!$E$3:$E$10005&amp;'DMR 001C TIN &amp; TP'!$B$3:$B$10005&amp;'DMR 001C TIN &amp; TP'!$A$3:$A$10005),0),MATCH('Reg 85'!$O$11,'DMR 001C TIN &amp; TP'!$A$2:$M$2,0))),"")</f>
        <v>0.11</v>
      </c>
      <c r="P242" s="53">
        <f t="shared" si="91"/>
        <v>0</v>
      </c>
      <c r="Q242" s="73">
        <f t="array" ref="Q242">IFERROR(((L242*$F242)+(P242*$G242))/($H242),"")</f>
        <v>0.76365551446902769</v>
      </c>
      <c r="R242" s="6" t="str">
        <f t="array" ref="R242">_xlfn.IFNA((INDEX('DMR 001C TIN &amp; TP'!$A$3:$M$10005,MATCH(('Reg 85'!$I$6:$Q$6&amp;'Reg 85'!R$10&amp;'Reg 85'!$B242),('DMR 001C TIN &amp; TP'!$E$3:$E$10005&amp;'DMR 001C TIN &amp; TP'!$B$3:$B$10005&amp;'DMR 001C TIN &amp; TP'!$A$3:$A$10005),0),MATCH('Reg 85'!$O$11,'DMR 001C TIN &amp; TP'!$A$2:$M$2,0))),"")</f>
        <v/>
      </c>
      <c r="S242" s="6" t="str">
        <f t="array" ref="S242">_xlfn.IFNA((INDEX('DMR 001C TIN &amp; TP'!$A$3:$M$10005,MATCH(('Reg 85'!$I$6:$Q$6&amp;'Reg 85'!S$10&amp;'Reg 85'!$B242),('DMR 001C TIN &amp; TP'!$E$3:$E$10005&amp;'DMR 001C TIN &amp; TP'!$B$3:$B$10005&amp;'DMR 001C TIN &amp; TP'!$A$3:$A$10005),0),MATCH('Reg 85'!$O$11,'DMR 001C TIN &amp; TP'!$A$2:$M$2,0))),"")</f>
        <v/>
      </c>
      <c r="T242" s="6" t="str">
        <f t="array" ref="T242">_xlfn.IFNA((INDEX('DMR 001C TIN &amp; TP'!$A$3:$M$10005,MATCH(('Reg 85'!$I$6:$Q$6&amp;'Reg 85'!T$10&amp;'Reg 85'!$B242),('DMR 001C TIN &amp; TP'!$E$3:$E$10005&amp;'DMR 001C TIN &amp; TP'!$B$3:$B$10005&amp;'DMR 001C TIN &amp; TP'!$A$3:$A$10005),0),MATCH('Reg 85'!$O$11,'DMR 001C TIN &amp; TP'!$A$2:$M$2,0))),"")</f>
        <v/>
      </c>
      <c r="U242" s="6" t="str">
        <f t="array" ref="U242">_xlfn.IFNA((INDEX('DMR 001C TIN &amp; TP'!$A$3:$M$10005,MATCH(('Reg 85'!$I$6:$Q$6&amp;'Reg 85'!U$10&amp;'Reg 85'!$B242),('DMR 001C TIN &amp; TP'!$E$3:$E$10005&amp;'DMR 001C TIN &amp; TP'!$B$3:$B$10005&amp;'DMR 001C TIN &amp; TP'!$A$3:$A$10005),0),MATCH('Reg 85'!$O$11,'DMR 001C TIN &amp; TP'!$A$2:$M$2,0))),"")</f>
        <v/>
      </c>
      <c r="V242" s="6" t="str">
        <f t="array" ref="V242">_xlfn.IFNA((INDEX('DMR 001C TIN &amp; TP'!$A$3:$M$10005,MATCH(('Reg 85'!$I$6:$Q$6&amp;'Reg 85'!V$10&amp;'Reg 85'!$B242),('DMR 001C TIN &amp; TP'!$E$3:$E$10005&amp;'DMR 001C TIN &amp; TP'!$B$3:$B$10005&amp;'DMR 001C TIN &amp; TP'!$A$3:$A$10005),0),MATCH('Reg 85'!$O$11,'DMR 001C TIN &amp; TP'!$A$2:$M$2,0))),"")</f>
        <v/>
      </c>
      <c r="W242" s="6" t="str">
        <f t="array" ref="W242">_xlfn.IFNA((INDEX('DMR 001C TIN &amp; TP'!$A$3:$M$10005,MATCH(('Reg 85'!$I$6:$Q$6&amp;'Reg 85'!W$10&amp;'Reg 85'!$B242),('DMR 001C TIN &amp; TP'!$E$3:$E$10005&amp;'DMR 001C TIN &amp; TP'!$B$3:$B$10005&amp;'DMR 001C TIN &amp; TP'!$A$3:$A$10005),0),MATCH('Reg 85'!$O$11,'DMR 001C TIN &amp; TP'!$A$2:$M$2,0))),"")</f>
        <v/>
      </c>
      <c r="X242" s="5" t="str">
        <f t="shared" si="92"/>
        <v/>
      </c>
      <c r="Y242" s="6" t="str">
        <f t="array" ref="Y242">_xlfn.IFNA((INDEX('DMR 001C TIN &amp; TP'!$A$3:$M$10005,MATCH(('Reg 85'!$X$6&amp;'Reg 85'!$X$10&amp;'Reg 85'!$B242),('DMR 001C TIN &amp; TP'!$E$3:$E$10005&amp;'DMR 001C TIN &amp; TP'!$B$3:$B$10005&amp;'DMR 001C TIN &amp; TP'!$A$3:$A$10005),0),MATCH('Reg 85'!$Y$11,'DMR 001C TIN &amp; TP'!$A$2:$M$2,0))),"")</f>
        <v>0.06</v>
      </c>
      <c r="Z242" s="6">
        <f t="array" ref="Z242">_xlfn.IFNA((INDEX('DMR 001C TIN &amp; TP'!$A$3:$M$10005,MATCH(('Reg 85'!$X$6&amp;'Reg 85'!$X$10&amp;'Reg 85'!$B242),('DMR 001C TIN &amp; TP'!$E$3:$E$10005&amp;'DMR 001C TIN &amp; TP'!$B$3:$B$10005&amp;'DMR 001C TIN &amp; TP'!$A$3:$A$10005),0),MATCH('Reg 85'!$Z$11,'DMR 001C TIN &amp; TP'!$A$2:$M$2,0))),"")</f>
        <v>4.62</v>
      </c>
      <c r="AA242" s="53">
        <f t="shared" si="93"/>
        <v>4.62</v>
      </c>
      <c r="AB242" s="5" t="str">
        <f t="shared" si="94"/>
        <v/>
      </c>
      <c r="AC242" s="6" t="str">
        <f t="array" ref="AC242">_xlfn.IFNA((INDEX('DMR 001C TIN &amp; TP'!$A$3:$M$10005,MATCH(('Reg 85'!$X$6&amp;'Reg 85'!$AB$10&amp;'Reg 85'!$B242),('DMR 001C TIN &amp; TP'!$E$3:$E$10005&amp;'DMR 001C TIN &amp; TP'!$B$3:$B$10005&amp;'DMR 001C TIN &amp; TP'!$A$3:$A$10005),0),MATCH('Reg 85'!$AC$11,'DMR 001C TIN &amp; TP'!$A$2:$M$2,0))),"")</f>
        <v>0.06</v>
      </c>
      <c r="AD242" s="6">
        <f t="array" ref="AD242">_xlfn.IFNA((INDEX('DMR 001C TIN &amp; TP'!$A$3:$M$10005,MATCH(('Reg 85'!$X$6&amp;'Reg 85'!$AB$10&amp;'Reg 85'!$B242),('DMR 001C TIN &amp; TP'!$E$3:$E$10005&amp;'DMR 001C TIN &amp; TP'!$B$3:$B$10005&amp;'DMR 001C TIN &amp; TP'!$A$3:$A$10005),0),MATCH('Reg 85'!$AD$11,'DMR 001C TIN &amp; TP'!$A$2:$M$2,0))),"")</f>
        <v>2.0299999999999998</v>
      </c>
      <c r="AE242" s="53">
        <f t="shared" si="95"/>
        <v>2.0299999999999998</v>
      </c>
      <c r="AF242" s="7">
        <f t="shared" si="96"/>
        <v>3.4736991112954607</v>
      </c>
      <c r="AG242" s="6" t="str">
        <f t="array" ref="AG242">_xlfn.IFNA((INDEX('DMR 001C TIN &amp; TP'!$A$3:$M$10005,MATCH(('Reg 85'!$X$6&amp;'Reg 85'!AG$10&amp;'Reg 85'!$B242),('DMR 001C TIN &amp; TP'!$E$3:$E$10005&amp;'DMR 001C TIN &amp; TP'!$B$3:$B$10005&amp;'DMR 001C TIN &amp; TP'!$A$3:$A$10005),0),MATCH('Reg 85'!$AG$11,'DMR 001C TIN &amp; TP'!$A$2:$M$2,0))),"")</f>
        <v/>
      </c>
      <c r="AH242" s="6" t="str">
        <f t="array" ref="AH242">_xlfn.IFNA((INDEX('DMR 001C TIN &amp; TP'!$A$3:$M$10005,MATCH(('Reg 85'!$X$6&amp;'Reg 85'!AH$10&amp;'Reg 85'!$B242),('DMR 001C TIN &amp; TP'!$E$3:$E$10005&amp;'DMR 001C TIN &amp; TP'!$B$3:$B$10005&amp;'DMR 001C TIN &amp; TP'!$A$3:$A$10005),0),MATCH('Reg 85'!$AG$11,'DMR 001C TIN &amp; TP'!$A$2:$M$2,0))),"")</f>
        <v/>
      </c>
      <c r="AI242" s="6" t="str">
        <f t="array" ref="AI242">_xlfn.IFNA((INDEX('DMR 001C TIN &amp; TP'!$A$3:$M$10005,MATCH(('Reg 85'!$X$6&amp;'Reg 85'!AI$10&amp;'Reg 85'!$B242),('DMR 001C TIN &amp; TP'!$E$3:$E$10005&amp;'DMR 001C TIN &amp; TP'!$B$3:$B$10005&amp;'DMR 001C TIN &amp; TP'!$A$3:$A$10005),0),MATCH('Reg 85'!$AG$11,'DMR 001C TIN &amp; TP'!$A$2:$M$2,0))),"")</f>
        <v/>
      </c>
      <c r="AJ242" s="6" t="str">
        <f t="array" ref="AJ242">_xlfn.IFNA((INDEX('DMR 001C TIN &amp; TP'!$A$3:$M$10005,MATCH(('Reg 85'!$X$6&amp;'Reg 85'!AJ$10&amp;'Reg 85'!$B242),('DMR 001C TIN &amp; TP'!$E$3:$E$10005&amp;'DMR 001C TIN &amp; TP'!$B$3:$B$10005&amp;'DMR 001C TIN &amp; TP'!$A$3:$A$10005),0),MATCH('Reg 85'!$AG$11,'DMR 001C TIN &amp; TP'!$A$2:$M$2,0))),"")</f>
        <v/>
      </c>
      <c r="AK242" s="6" t="str">
        <f t="array" ref="AK242">_xlfn.IFNA((INDEX('DMR 001C TIN &amp; TP'!$A$3:$M$10005,MATCH(('Reg 85'!$X$6&amp;'Reg 85'!AK$10&amp;'Reg 85'!$B242),('DMR 001C TIN &amp; TP'!$E$3:$E$10005&amp;'DMR 001C TIN &amp; TP'!$B$3:$B$10005&amp;'DMR 001C TIN &amp; TP'!$A$3:$A$10005),0),MATCH('Reg 85'!$AG$11,'DMR 001C TIN &amp; TP'!$A$2:$M$2,0))),"")</f>
        <v/>
      </c>
      <c r="AL242" s="6" t="str">
        <f t="array" ref="AL242">_xlfn.IFNA((INDEX('DMR 001C TIN &amp; TP'!$A$3:$M$10005,MATCH(('Reg 85'!$X$6&amp;'Reg 85'!AL$10&amp;'Reg 85'!$B242),('DMR 001C TIN &amp; TP'!$E$3:$E$10005&amp;'DMR 001C TIN &amp; TP'!$B$3:$B$10005&amp;'DMR 001C TIN &amp; TP'!$A$3:$A$10005),0),MATCH('Reg 85'!$AG$11,'DMR 001C TIN &amp; TP'!$A$2:$M$2,0))),"")</f>
        <v/>
      </c>
      <c r="AM242" s="76"/>
      <c r="AN242" s="6"/>
      <c r="AO242" s="54">
        <f t="shared" si="83"/>
        <v>4.2373546257644881</v>
      </c>
      <c r="AP242" s="77" t="str">
        <f t="shared" si="102"/>
        <v/>
      </c>
      <c r="AQ242" s="47"/>
      <c r="AR242" s="6" t="str">
        <f t="array" ref="AR242">_xlfn.IFNA((INDEX('DMR 001C TIN &amp; TP'!$A$3:$M$10005,MATCH(('Reg 85'!$AQ$6&amp;'Reg 85'!$AQ$10&amp;'Reg 85'!$B242),('DMR 001C TIN &amp; TP'!$E$3:$E$10005&amp;'DMR 001C TIN &amp; TP'!$B$3:$B$10005&amp;'DMR 001C TIN &amp; TP'!$A$3:$A$10005),0),MATCH('Reg 85'!$AR$11,'DMR 001C TIN &amp; TP'!$A$2:$M$2,0))),"")</f>
        <v/>
      </c>
      <c r="AS242" s="6" t="str">
        <f t="array" ref="AS242">_xlfn.IFNA((INDEX('DMR 001C TIN &amp; TP'!$A$3:$M$10005,MATCH(('Reg 85'!$AQ$6&amp;'Reg 85'!$AQ$10&amp;'Reg 85'!$B242),('DMR 001C TIN &amp; TP'!$E$3:$E$10005&amp;'DMR 001C TIN &amp; TP'!$B$3:$B$10005&amp;'DMR 001C TIN &amp; TP'!$A$3:$A$10005),0),MATCH('Reg 85'!$AS$11,'DMR 001C TIN &amp; TP'!$A$2:$M$2,0))),"")</f>
        <v/>
      </c>
      <c r="AT242" s="53" t="str">
        <f t="shared" si="97"/>
        <v/>
      </c>
      <c r="AV242" s="6" t="str">
        <f t="array" ref="AV242">_xlfn.IFNA((INDEX('DMR 001C TIN &amp; TP'!$A$3:$M$10005,MATCH(('Reg 85'!$AQ$6&amp;'Reg 85'!$AU$10&amp;'Reg 85'!$B242),('DMR 001C TIN &amp; TP'!$E$3:$E$10005&amp;'DMR 001C TIN &amp; TP'!$B$3:$B$10005&amp;'DMR 001C TIN &amp; TP'!$A$3:$A$10005),0),MATCH('Reg 85'!$AV$11,'DMR 001C TIN &amp; TP'!$A$2:$M$2,0))),"")</f>
        <v/>
      </c>
      <c r="AW242" s="6" t="str">
        <f t="array" ref="AW242">_xlfn.IFNA((INDEX('DMR 001C TIN &amp; TP'!$A$3:$M$10005,MATCH(('Reg 85'!$AQ$6&amp;'Reg 85'!$AU$10&amp;'Reg 85'!$B242),('DMR 001C TIN &amp; TP'!$E$3:$E$10005&amp;'DMR 001C TIN &amp; TP'!$B$3:$B$10005&amp;'DMR 001C TIN &amp; TP'!$A$3:$A$10005),0),MATCH('Reg 85'!$AW$11,'DMR 001C TIN &amp; TP'!$A$2:$M$2,0))),"")</f>
        <v/>
      </c>
      <c r="AX242" s="53" t="str">
        <f t="shared" si="98"/>
        <v/>
      </c>
      <c r="AY242" s="55" t="str">
        <f t="shared" si="99"/>
        <v/>
      </c>
      <c r="AZ242" s="77" t="str">
        <f t="shared" si="103"/>
        <v/>
      </c>
      <c r="BA242" s="6" t="str">
        <f t="array" ref="BA242">_xlfn.IFNA((INDEX('DMR 001C TIN &amp; TP'!$A$3:$M$10005,MATCH(('Reg 85'!$AQ$6&amp;'Reg 85'!BA$10&amp;'Reg 85'!$B242),('DMR 001C TIN &amp; TP'!$E$3:$E$10005&amp;'DMR 001C TIN &amp; TP'!$B$3:$B$10005&amp;'DMR 001C TIN &amp; TP'!$A$3:$A$10005),0),MATCH('Reg 85'!$AG$11,'DMR 001C TIN &amp; TP'!$A$2:$M$2,0))),"")</f>
        <v/>
      </c>
      <c r="BB242" s="6" t="str">
        <f t="array" ref="BB242">_xlfn.IFNA((INDEX('DMR 001C TIN &amp; TP'!$A$3:$M$10005,MATCH(('Reg 85'!$AQ$6&amp;'Reg 85'!BB$10&amp;'Reg 85'!$B242),('DMR 001C TIN &amp; TP'!$E$3:$E$10005&amp;'DMR 001C TIN &amp; TP'!$B$3:$B$10005&amp;'DMR 001C TIN &amp; TP'!$A$3:$A$10005),0),MATCH('Reg 85'!$AG$11,'DMR 001C TIN &amp; TP'!$A$2:$M$2,0))),"")</f>
        <v/>
      </c>
      <c r="BC242" s="6" t="str">
        <f t="array" ref="BC242">_xlfn.IFNA((INDEX('DMR 001C TIN &amp; TP'!$A$3:$M$10005,MATCH(('Reg 85'!$AQ$6&amp;'Reg 85'!BC$10&amp;'Reg 85'!$B242),('DMR 001C TIN &amp; TP'!$E$3:$E$10005&amp;'DMR 001C TIN &amp; TP'!$B$3:$B$10005&amp;'DMR 001C TIN &amp; TP'!$A$3:$A$10005),0),MATCH('Reg 85'!$AG$11,'DMR 001C TIN &amp; TP'!$A$2:$M$2,0))),"")</f>
        <v/>
      </c>
      <c r="BD242" s="6" t="str">
        <f t="array" ref="BD242">_xlfn.IFNA((INDEX('DMR 001C TIN &amp; TP'!$A$3:$M$10005,MATCH(('Reg 85'!$AQ$6&amp;'Reg 85'!BD$10&amp;'Reg 85'!$B242),('DMR 001C TIN &amp; TP'!$E$3:$E$10005&amp;'DMR 001C TIN &amp; TP'!$B$3:$B$10005&amp;'DMR 001C TIN &amp; TP'!$A$3:$A$10005),0),MATCH('Reg 85'!$AG$11,'DMR 001C TIN &amp; TP'!$A$2:$M$2,0))),"")</f>
        <v/>
      </c>
      <c r="BE242" s="6" t="str">
        <f t="array" ref="BE242">_xlfn.IFNA((INDEX('DMR 001C TIN &amp; TP'!$A$3:$M$10005,MATCH(('Reg 85'!$AQ$6&amp;'Reg 85'!BE$10&amp;'Reg 85'!$B242),('DMR 001C TIN &amp; TP'!$E$3:$E$10005&amp;'DMR 001C TIN &amp; TP'!$B$3:$B$10005&amp;'DMR 001C TIN &amp; TP'!$A$3:$A$10005),0),MATCH('Reg 85'!$AG$11,'DMR 001C TIN &amp; TP'!$A$2:$M$2,0))),"")</f>
        <v/>
      </c>
      <c r="BF242" s="6" t="str">
        <f t="array" ref="BF242">_xlfn.IFNA((INDEX('DMR 001C TIN &amp; TP'!$A$3:$M$10005,MATCH(('Reg 85'!$AQ$6&amp;'Reg 85'!BF$10&amp;'Reg 85'!$B242),('DMR 001C TIN &amp; TP'!$E$3:$E$10005&amp;'DMR 001C TIN &amp; TP'!$B$3:$B$10005&amp;'DMR 001C TIN &amp; TP'!$A$3:$A$10005),0),MATCH('Reg 85'!$AG$11,'DMR 001C TIN &amp; TP'!$A$2:$M$2,0))),"")</f>
        <v/>
      </c>
    </row>
    <row r="243" spans="1:58">
      <c r="A243" s="3" t="str">
        <f t="shared" si="84"/>
        <v>Sat</v>
      </c>
      <c r="B243" s="96">
        <f t="shared" si="100"/>
        <v>43575</v>
      </c>
      <c r="C243" s="96">
        <f t="shared" si="85"/>
        <v>43585</v>
      </c>
      <c r="D243" s="96">
        <f t="shared" si="86"/>
        <v>43556</v>
      </c>
      <c r="E243" s="95">
        <f t="shared" si="87"/>
        <v>30</v>
      </c>
      <c r="F243" s="7">
        <f t="array" ref="F243">_xlfn.IFNA(INDEX('DMR Flows-Effluent'!$A$3:$F$9999,MATCH(($F$10&amp;$B243),('DMR Flows-Effluent'!$B$3:$B$9999&amp;'DMR Flows-Effluent'!$A$3:$A$9999),0),MATCH($F$8,'DMR Flows-Effluent'!$A$2:$F$2,0)),"")</f>
        <v>63.400399999999998</v>
      </c>
      <c r="G243" s="7">
        <f t="array" ref="G243">_xlfn.IFNA(INDEX('DMR Flows-Effluent'!$A$3:$F$9999,MATCH(($G$10&amp;$B243),('DMR Flows-Effluent'!$B$3:$B$9999&amp;'DMR Flows-Effluent'!$A$3:$A$9999),0),MATCH($F$8,'DMR Flows-Effluent'!$A$2:$F$2,0)),"")</f>
        <v>62.570700000000002</v>
      </c>
      <c r="H243" s="7">
        <f t="shared" si="88"/>
        <v>125.97110000000001</v>
      </c>
      <c r="I243" s="45" t="str">
        <f t="shared" si="89"/>
        <v/>
      </c>
      <c r="J243" s="6" t="str">
        <f t="array" ref="J243">_xlfn.IFNA((INDEX('DMR 001C TIN &amp; TP'!$A$3:$M$10005,MATCH(('Reg 85'!$I$6:$Q$6&amp;'Reg 85'!$I$10:$K$10&amp;'Reg 85'!$B243),('DMR 001C TIN &amp; TP'!$E$3:$E$10005&amp;'DMR 001C TIN &amp; TP'!$B$3:$B$10005&amp;'DMR 001C TIN &amp; TP'!$A$3:$A$10005),0),MATCH('Reg 85'!$J$11,'DMR 001C TIN &amp; TP'!$A$2:$M$2,0))),"")</f>
        <v/>
      </c>
      <c r="K243" s="6" t="str">
        <f t="array" ref="K243">_xlfn.IFNA((INDEX('DMR 001C TIN &amp; TP'!$A$3:$M$10005,MATCH(('Reg 85'!$I$6:$Q$6&amp;'Reg 85'!$I$10:$K$10&amp;'Reg 85'!$B243),('DMR 001C TIN &amp; TP'!$E$3:$E$10005&amp;'DMR 001C TIN &amp; TP'!$B$3:$B$10005&amp;'DMR 001C TIN &amp; TP'!$A$3:$A$10005),0),MATCH('Reg 85'!$K$11,'DMR 001C TIN &amp; TP'!$A$2:$M$2,0))),"")</f>
        <v/>
      </c>
      <c r="L243" s="53" t="str">
        <f t="shared" si="101"/>
        <v/>
      </c>
      <c r="M243" s="5" t="str">
        <f t="shared" si="90"/>
        <v/>
      </c>
      <c r="N243" s="6" t="str">
        <f t="array" ref="N243">_xlfn.IFNA((INDEX('DMR 001C TIN &amp; TP'!$A$3:$M$10005,MATCH(('Reg 85'!$I$6:$Q$6&amp;'Reg 85'!$M$10&amp;'Reg 85'!$B243),('DMR 001C TIN &amp; TP'!$E$3:$E$10005&amp;'DMR 001C TIN &amp; TP'!$B$3:$B$10005&amp;'DMR 001C TIN &amp; TP'!$A$3:$A$10005),0),MATCH('Reg 85'!$N$11,'DMR 001C TIN &amp; TP'!$A$2:$M$2,0))),"")</f>
        <v/>
      </c>
      <c r="O243" s="6" t="str">
        <f t="array" ref="O243">_xlfn.IFNA((INDEX('DMR 001C TIN &amp; TP'!$A$3:$M$10005,MATCH(('Reg 85'!$I$6:$Q$6&amp;'Reg 85'!$M$10&amp;'Reg 85'!$B243),('DMR 001C TIN &amp; TP'!$E$3:$E$10005&amp;'DMR 001C TIN &amp; TP'!$B$3:$B$10005&amp;'DMR 001C TIN &amp; TP'!$A$3:$A$10005),0),MATCH('Reg 85'!$O$11,'DMR 001C TIN &amp; TP'!$A$2:$M$2,0))),"")</f>
        <v/>
      </c>
      <c r="P243" s="53" t="str">
        <f t="shared" si="91"/>
        <v/>
      </c>
      <c r="Q243" s="73" t="str">
        <f t="array" ref="Q243">IFERROR(((L243*$F243)+(P243*$G243))/($H243),"")</f>
        <v/>
      </c>
      <c r="R243" s="6" t="str">
        <f t="array" ref="R243">_xlfn.IFNA((INDEX('DMR 001C TIN &amp; TP'!$A$3:$M$10005,MATCH(('Reg 85'!$I$6:$Q$6&amp;'Reg 85'!R$10&amp;'Reg 85'!$B243),('DMR 001C TIN &amp; TP'!$E$3:$E$10005&amp;'DMR 001C TIN &amp; TP'!$B$3:$B$10005&amp;'DMR 001C TIN &amp; TP'!$A$3:$A$10005),0),MATCH('Reg 85'!$O$11,'DMR 001C TIN &amp; TP'!$A$2:$M$2,0))),"")</f>
        <v/>
      </c>
      <c r="S243" s="6" t="str">
        <f t="array" ref="S243">_xlfn.IFNA((INDEX('DMR 001C TIN &amp; TP'!$A$3:$M$10005,MATCH(('Reg 85'!$I$6:$Q$6&amp;'Reg 85'!S$10&amp;'Reg 85'!$B243),('DMR 001C TIN &amp; TP'!$E$3:$E$10005&amp;'DMR 001C TIN &amp; TP'!$B$3:$B$10005&amp;'DMR 001C TIN &amp; TP'!$A$3:$A$10005),0),MATCH('Reg 85'!$O$11,'DMR 001C TIN &amp; TP'!$A$2:$M$2,0))),"")</f>
        <v/>
      </c>
      <c r="T243" s="6" t="str">
        <f t="array" ref="T243">_xlfn.IFNA((INDEX('DMR 001C TIN &amp; TP'!$A$3:$M$10005,MATCH(('Reg 85'!$I$6:$Q$6&amp;'Reg 85'!T$10&amp;'Reg 85'!$B243),('DMR 001C TIN &amp; TP'!$E$3:$E$10005&amp;'DMR 001C TIN &amp; TP'!$B$3:$B$10005&amp;'DMR 001C TIN &amp; TP'!$A$3:$A$10005),0),MATCH('Reg 85'!$O$11,'DMR 001C TIN &amp; TP'!$A$2:$M$2,0))),"")</f>
        <v/>
      </c>
      <c r="U243" s="6" t="str">
        <f t="array" ref="U243">_xlfn.IFNA((INDEX('DMR 001C TIN &amp; TP'!$A$3:$M$10005,MATCH(('Reg 85'!$I$6:$Q$6&amp;'Reg 85'!U$10&amp;'Reg 85'!$B243),('DMR 001C TIN &amp; TP'!$E$3:$E$10005&amp;'DMR 001C TIN &amp; TP'!$B$3:$B$10005&amp;'DMR 001C TIN &amp; TP'!$A$3:$A$10005),0),MATCH('Reg 85'!$O$11,'DMR 001C TIN &amp; TP'!$A$2:$M$2,0))),"")</f>
        <v/>
      </c>
      <c r="V243" s="6" t="str">
        <f t="array" ref="V243">_xlfn.IFNA((INDEX('DMR 001C TIN &amp; TP'!$A$3:$M$10005,MATCH(('Reg 85'!$I$6:$Q$6&amp;'Reg 85'!V$10&amp;'Reg 85'!$B243),('DMR 001C TIN &amp; TP'!$E$3:$E$10005&amp;'DMR 001C TIN &amp; TP'!$B$3:$B$10005&amp;'DMR 001C TIN &amp; TP'!$A$3:$A$10005),0),MATCH('Reg 85'!$O$11,'DMR 001C TIN &amp; TP'!$A$2:$M$2,0))),"")</f>
        <v/>
      </c>
      <c r="W243" s="6" t="str">
        <f t="array" ref="W243">_xlfn.IFNA((INDEX('DMR 001C TIN &amp; TP'!$A$3:$M$10005,MATCH(('Reg 85'!$I$6:$Q$6&amp;'Reg 85'!W$10&amp;'Reg 85'!$B243),('DMR 001C TIN &amp; TP'!$E$3:$E$10005&amp;'DMR 001C TIN &amp; TP'!$B$3:$B$10005&amp;'DMR 001C TIN &amp; TP'!$A$3:$A$10005),0),MATCH('Reg 85'!$O$11,'DMR 001C TIN &amp; TP'!$A$2:$M$2,0))),"")</f>
        <v/>
      </c>
      <c r="X243" s="5" t="str">
        <f t="shared" si="92"/>
        <v/>
      </c>
      <c r="Y243" s="6" t="str">
        <f t="array" ref="Y243">_xlfn.IFNA((INDEX('DMR 001C TIN &amp; TP'!$A$3:$M$10005,MATCH(('Reg 85'!$X$6&amp;'Reg 85'!$X$10&amp;'Reg 85'!$B243),('DMR 001C TIN &amp; TP'!$E$3:$E$10005&amp;'DMR 001C TIN &amp; TP'!$B$3:$B$10005&amp;'DMR 001C TIN &amp; TP'!$A$3:$A$10005),0),MATCH('Reg 85'!$Y$11,'DMR 001C TIN &amp; TP'!$A$2:$M$2,0))),"")</f>
        <v/>
      </c>
      <c r="Z243" s="6" t="str">
        <f t="array" ref="Z243">_xlfn.IFNA((INDEX('DMR 001C TIN &amp; TP'!$A$3:$M$10005,MATCH(('Reg 85'!$X$6&amp;'Reg 85'!$X$10&amp;'Reg 85'!$B243),('DMR 001C TIN &amp; TP'!$E$3:$E$10005&amp;'DMR 001C TIN &amp; TP'!$B$3:$B$10005&amp;'DMR 001C TIN &amp; TP'!$A$3:$A$10005),0),MATCH('Reg 85'!$Z$11,'DMR 001C TIN &amp; TP'!$A$2:$M$2,0))),"")</f>
        <v/>
      </c>
      <c r="AA243" s="53" t="str">
        <f t="shared" si="93"/>
        <v/>
      </c>
      <c r="AB243" s="5" t="str">
        <f t="shared" si="94"/>
        <v/>
      </c>
      <c r="AC243" s="6" t="str">
        <f t="array" ref="AC243">_xlfn.IFNA((INDEX('DMR 001C TIN &amp; TP'!$A$3:$M$10005,MATCH(('Reg 85'!$X$6&amp;'Reg 85'!$AB$10&amp;'Reg 85'!$B243),('DMR 001C TIN &amp; TP'!$E$3:$E$10005&amp;'DMR 001C TIN &amp; TP'!$B$3:$B$10005&amp;'DMR 001C TIN &amp; TP'!$A$3:$A$10005),0),MATCH('Reg 85'!$AC$11,'DMR 001C TIN &amp; TP'!$A$2:$M$2,0))),"")</f>
        <v/>
      </c>
      <c r="AD243" s="6" t="str">
        <f t="array" ref="AD243">_xlfn.IFNA((INDEX('DMR 001C TIN &amp; TP'!$A$3:$M$10005,MATCH(('Reg 85'!$X$6&amp;'Reg 85'!$AB$10&amp;'Reg 85'!$B243),('DMR 001C TIN &amp; TP'!$E$3:$E$10005&amp;'DMR 001C TIN &amp; TP'!$B$3:$B$10005&amp;'DMR 001C TIN &amp; TP'!$A$3:$A$10005),0),MATCH('Reg 85'!$AD$11,'DMR 001C TIN &amp; TP'!$A$2:$M$2,0))),"")</f>
        <v/>
      </c>
      <c r="AE243" s="53" t="str">
        <f t="shared" si="95"/>
        <v/>
      </c>
      <c r="AF243" s="7" t="str">
        <f t="shared" si="96"/>
        <v/>
      </c>
      <c r="AG243" s="6" t="str">
        <f t="array" ref="AG243">_xlfn.IFNA((INDEX('DMR 001C TIN &amp; TP'!$A$3:$M$10005,MATCH(('Reg 85'!$X$6&amp;'Reg 85'!AG$10&amp;'Reg 85'!$B243),('DMR 001C TIN &amp; TP'!$E$3:$E$10005&amp;'DMR 001C TIN &amp; TP'!$B$3:$B$10005&amp;'DMR 001C TIN &amp; TP'!$A$3:$A$10005),0),MATCH('Reg 85'!$AG$11,'DMR 001C TIN &amp; TP'!$A$2:$M$2,0))),"")</f>
        <v/>
      </c>
      <c r="AH243" s="6" t="str">
        <f t="array" ref="AH243">_xlfn.IFNA((INDEX('DMR 001C TIN &amp; TP'!$A$3:$M$10005,MATCH(('Reg 85'!$X$6&amp;'Reg 85'!AH$10&amp;'Reg 85'!$B243),('DMR 001C TIN &amp; TP'!$E$3:$E$10005&amp;'DMR 001C TIN &amp; TP'!$B$3:$B$10005&amp;'DMR 001C TIN &amp; TP'!$A$3:$A$10005),0),MATCH('Reg 85'!$AG$11,'DMR 001C TIN &amp; TP'!$A$2:$M$2,0))),"")</f>
        <v/>
      </c>
      <c r="AI243" s="6" t="str">
        <f t="array" ref="AI243">_xlfn.IFNA((INDEX('DMR 001C TIN &amp; TP'!$A$3:$M$10005,MATCH(('Reg 85'!$X$6&amp;'Reg 85'!AI$10&amp;'Reg 85'!$B243),('DMR 001C TIN &amp; TP'!$E$3:$E$10005&amp;'DMR 001C TIN &amp; TP'!$B$3:$B$10005&amp;'DMR 001C TIN &amp; TP'!$A$3:$A$10005),0),MATCH('Reg 85'!$AG$11,'DMR 001C TIN &amp; TP'!$A$2:$M$2,0))),"")</f>
        <v/>
      </c>
      <c r="AJ243" s="6" t="str">
        <f t="array" ref="AJ243">_xlfn.IFNA((INDEX('DMR 001C TIN &amp; TP'!$A$3:$M$10005,MATCH(('Reg 85'!$X$6&amp;'Reg 85'!AJ$10&amp;'Reg 85'!$B243),('DMR 001C TIN &amp; TP'!$E$3:$E$10005&amp;'DMR 001C TIN &amp; TP'!$B$3:$B$10005&amp;'DMR 001C TIN &amp; TP'!$A$3:$A$10005),0),MATCH('Reg 85'!$AG$11,'DMR 001C TIN &amp; TP'!$A$2:$M$2,0))),"")</f>
        <v/>
      </c>
      <c r="AK243" s="6" t="str">
        <f t="array" ref="AK243">_xlfn.IFNA((INDEX('DMR 001C TIN &amp; TP'!$A$3:$M$10005,MATCH(('Reg 85'!$X$6&amp;'Reg 85'!AK$10&amp;'Reg 85'!$B243),('DMR 001C TIN &amp; TP'!$E$3:$E$10005&amp;'DMR 001C TIN &amp; TP'!$B$3:$B$10005&amp;'DMR 001C TIN &amp; TP'!$A$3:$A$10005),0),MATCH('Reg 85'!$AG$11,'DMR 001C TIN &amp; TP'!$A$2:$M$2,0))),"")</f>
        <v/>
      </c>
      <c r="AL243" s="6" t="str">
        <f t="array" ref="AL243">_xlfn.IFNA((INDEX('DMR 001C TIN &amp; TP'!$A$3:$M$10005,MATCH(('Reg 85'!$X$6&amp;'Reg 85'!AL$10&amp;'Reg 85'!$B243),('DMR 001C TIN &amp; TP'!$E$3:$E$10005&amp;'DMR 001C TIN &amp; TP'!$B$3:$B$10005&amp;'DMR 001C TIN &amp; TP'!$A$3:$A$10005),0),MATCH('Reg 85'!$AG$11,'DMR 001C TIN &amp; TP'!$A$2:$M$2,0))),"")</f>
        <v/>
      </c>
      <c r="AM243" s="76"/>
      <c r="AN243" s="6"/>
      <c r="AO243" s="54" t="str">
        <f t="shared" si="83"/>
        <v/>
      </c>
      <c r="AP243" s="77" t="str">
        <f t="shared" si="102"/>
        <v/>
      </c>
      <c r="AQ243" s="47"/>
      <c r="AR243" s="6" t="str">
        <f t="array" ref="AR243">_xlfn.IFNA((INDEX('DMR 001C TIN &amp; TP'!$A$3:$M$10005,MATCH(('Reg 85'!$AQ$6&amp;'Reg 85'!$AQ$10&amp;'Reg 85'!$B243),('DMR 001C TIN &amp; TP'!$E$3:$E$10005&amp;'DMR 001C TIN &amp; TP'!$B$3:$B$10005&amp;'DMR 001C TIN &amp; TP'!$A$3:$A$10005),0),MATCH('Reg 85'!$AR$11,'DMR 001C TIN &amp; TP'!$A$2:$M$2,0))),"")</f>
        <v>0.03</v>
      </c>
      <c r="AS243" s="6">
        <f t="array" ref="AS243">_xlfn.IFNA((INDEX('DMR 001C TIN &amp; TP'!$A$3:$M$10005,MATCH(('Reg 85'!$AQ$6&amp;'Reg 85'!$AQ$10&amp;'Reg 85'!$B243),('DMR 001C TIN &amp; TP'!$E$3:$E$10005&amp;'DMR 001C TIN &amp; TP'!$B$3:$B$10005&amp;'DMR 001C TIN &amp; TP'!$A$3:$A$10005),0),MATCH('Reg 85'!$AS$11,'DMR 001C TIN &amp; TP'!$A$2:$M$2,0))),"")</f>
        <v>0.25</v>
      </c>
      <c r="AT243" s="53">
        <f t="shared" si="97"/>
        <v>0.25</v>
      </c>
      <c r="AV243" s="6" t="str">
        <f t="array" ref="AV243">_xlfn.IFNA((INDEX('DMR 001C TIN &amp; TP'!$A$3:$M$10005,MATCH(('Reg 85'!$AQ$6&amp;'Reg 85'!$AU$10&amp;'Reg 85'!$B243),('DMR 001C TIN &amp; TP'!$E$3:$E$10005&amp;'DMR 001C TIN &amp; TP'!$B$3:$B$10005&amp;'DMR 001C TIN &amp; TP'!$A$3:$A$10005),0),MATCH('Reg 85'!$AV$11,'DMR 001C TIN &amp; TP'!$A$2:$M$2,0))),"")</f>
        <v>0.03</v>
      </c>
      <c r="AW243" s="6">
        <f t="array" ref="AW243">_xlfn.IFNA((INDEX('DMR 001C TIN &amp; TP'!$A$3:$M$10005,MATCH(('Reg 85'!$AQ$6&amp;'Reg 85'!$AU$10&amp;'Reg 85'!$B243),('DMR 001C TIN &amp; TP'!$E$3:$E$10005&amp;'DMR 001C TIN &amp; TP'!$B$3:$B$10005&amp;'DMR 001C TIN &amp; TP'!$A$3:$A$10005),0),MATCH('Reg 85'!$AW$11,'DMR 001C TIN &amp; TP'!$A$2:$M$2,0))),"")</f>
        <v>0.44</v>
      </c>
      <c r="AX243" s="53">
        <f t="shared" si="98"/>
        <v>0.44</v>
      </c>
      <c r="AY243" s="55">
        <f t="shared" si="99"/>
        <v>0.34437428902343475</v>
      </c>
      <c r="AZ243" s="77" t="str">
        <f t="shared" si="103"/>
        <v/>
      </c>
      <c r="BA243" s="6" t="str">
        <f t="array" ref="BA243">_xlfn.IFNA((INDEX('DMR 001C TIN &amp; TP'!$A$3:$M$10005,MATCH(('Reg 85'!$AQ$6&amp;'Reg 85'!BA$10&amp;'Reg 85'!$B243),('DMR 001C TIN &amp; TP'!$E$3:$E$10005&amp;'DMR 001C TIN &amp; TP'!$B$3:$B$10005&amp;'DMR 001C TIN &amp; TP'!$A$3:$A$10005),0),MATCH('Reg 85'!$AG$11,'DMR 001C TIN &amp; TP'!$A$2:$M$2,0))),"")</f>
        <v/>
      </c>
      <c r="BB243" s="6" t="str">
        <f t="array" ref="BB243">_xlfn.IFNA((INDEX('DMR 001C TIN &amp; TP'!$A$3:$M$10005,MATCH(('Reg 85'!$AQ$6&amp;'Reg 85'!BB$10&amp;'Reg 85'!$B243),('DMR 001C TIN &amp; TP'!$E$3:$E$10005&amp;'DMR 001C TIN &amp; TP'!$B$3:$B$10005&amp;'DMR 001C TIN &amp; TP'!$A$3:$A$10005),0),MATCH('Reg 85'!$AG$11,'DMR 001C TIN &amp; TP'!$A$2:$M$2,0))),"")</f>
        <v/>
      </c>
      <c r="BC243" s="6" t="str">
        <f t="array" ref="BC243">_xlfn.IFNA((INDEX('DMR 001C TIN &amp; TP'!$A$3:$M$10005,MATCH(('Reg 85'!$AQ$6&amp;'Reg 85'!BC$10&amp;'Reg 85'!$B243),('DMR 001C TIN &amp; TP'!$E$3:$E$10005&amp;'DMR 001C TIN &amp; TP'!$B$3:$B$10005&amp;'DMR 001C TIN &amp; TP'!$A$3:$A$10005),0),MATCH('Reg 85'!$AG$11,'DMR 001C TIN &amp; TP'!$A$2:$M$2,0))),"")</f>
        <v/>
      </c>
      <c r="BD243" s="6" t="str">
        <f t="array" ref="BD243">_xlfn.IFNA((INDEX('DMR 001C TIN &amp; TP'!$A$3:$M$10005,MATCH(('Reg 85'!$AQ$6&amp;'Reg 85'!BD$10&amp;'Reg 85'!$B243),('DMR 001C TIN &amp; TP'!$E$3:$E$10005&amp;'DMR 001C TIN &amp; TP'!$B$3:$B$10005&amp;'DMR 001C TIN &amp; TP'!$A$3:$A$10005),0),MATCH('Reg 85'!$AG$11,'DMR 001C TIN &amp; TP'!$A$2:$M$2,0))),"")</f>
        <v/>
      </c>
      <c r="BE243" s="6" t="str">
        <f t="array" ref="BE243">_xlfn.IFNA((INDEX('DMR 001C TIN &amp; TP'!$A$3:$M$10005,MATCH(('Reg 85'!$AQ$6&amp;'Reg 85'!BE$10&amp;'Reg 85'!$B243),('DMR 001C TIN &amp; TP'!$E$3:$E$10005&amp;'DMR 001C TIN &amp; TP'!$B$3:$B$10005&amp;'DMR 001C TIN &amp; TP'!$A$3:$A$10005),0),MATCH('Reg 85'!$AG$11,'DMR 001C TIN &amp; TP'!$A$2:$M$2,0))),"")</f>
        <v/>
      </c>
      <c r="BF243" s="6" t="str">
        <f t="array" ref="BF243">_xlfn.IFNA((INDEX('DMR 001C TIN &amp; TP'!$A$3:$M$10005,MATCH(('Reg 85'!$AQ$6&amp;'Reg 85'!BF$10&amp;'Reg 85'!$B243),('DMR 001C TIN &amp; TP'!$E$3:$E$10005&amp;'DMR 001C TIN &amp; TP'!$B$3:$B$10005&amp;'DMR 001C TIN &amp; TP'!$A$3:$A$10005),0),MATCH('Reg 85'!$AG$11,'DMR 001C TIN &amp; TP'!$A$2:$M$2,0))),"")</f>
        <v/>
      </c>
    </row>
    <row r="244" spans="1:58">
      <c r="A244" s="3" t="str">
        <f t="shared" si="84"/>
        <v>Sun</v>
      </c>
      <c r="B244" s="96">
        <f t="shared" si="100"/>
        <v>43576</v>
      </c>
      <c r="C244" s="96">
        <f t="shared" si="85"/>
        <v>43585</v>
      </c>
      <c r="D244" s="96">
        <f t="shared" si="86"/>
        <v>43556</v>
      </c>
      <c r="E244" s="95">
        <f t="shared" si="87"/>
        <v>30</v>
      </c>
      <c r="F244" s="7">
        <f t="array" ref="F244">_xlfn.IFNA(INDEX('DMR Flows-Effluent'!$A$3:$F$9999,MATCH(($F$10&amp;$B244),('DMR Flows-Effluent'!$B$3:$B$9999&amp;'DMR Flows-Effluent'!$A$3:$A$9999),0),MATCH($F$8,'DMR Flows-Effluent'!$A$2:$F$2,0)),"")</f>
        <v>61.355600000000003</v>
      </c>
      <c r="G244" s="7">
        <f t="array" ref="G244">_xlfn.IFNA(INDEX('DMR Flows-Effluent'!$A$3:$F$9999,MATCH(($G$10&amp;$B244),('DMR Flows-Effluent'!$B$3:$B$9999&amp;'DMR Flows-Effluent'!$A$3:$A$9999),0),MATCH($F$8,'DMR Flows-Effluent'!$A$2:$F$2,0)),"")</f>
        <v>62.891800000000003</v>
      </c>
      <c r="H244" s="7">
        <f t="shared" si="88"/>
        <v>124.2474</v>
      </c>
      <c r="I244" s="45" t="str">
        <f t="shared" si="89"/>
        <v/>
      </c>
      <c r="J244" s="6" t="str">
        <f t="array" ref="J244">_xlfn.IFNA((INDEX('DMR 001C TIN &amp; TP'!$A$3:$M$10005,MATCH(('Reg 85'!$I$6:$Q$6&amp;'Reg 85'!$I$10:$K$10&amp;'Reg 85'!$B244),('DMR 001C TIN &amp; TP'!$E$3:$E$10005&amp;'DMR 001C TIN &amp; TP'!$B$3:$B$10005&amp;'DMR 001C TIN &amp; TP'!$A$3:$A$10005),0),MATCH('Reg 85'!$J$11,'DMR 001C TIN &amp; TP'!$A$2:$M$2,0))),"")</f>
        <v/>
      </c>
      <c r="K244" s="6" t="str">
        <f t="array" ref="K244">_xlfn.IFNA((INDEX('DMR 001C TIN &amp; TP'!$A$3:$M$10005,MATCH(('Reg 85'!$I$6:$Q$6&amp;'Reg 85'!$I$10:$K$10&amp;'Reg 85'!$B244),('DMR 001C TIN &amp; TP'!$E$3:$E$10005&amp;'DMR 001C TIN &amp; TP'!$B$3:$B$10005&amp;'DMR 001C TIN &amp; TP'!$A$3:$A$10005),0),MATCH('Reg 85'!$K$11,'DMR 001C TIN &amp; TP'!$A$2:$M$2,0))),"")</f>
        <v/>
      </c>
      <c r="L244" s="53" t="str">
        <f t="shared" si="101"/>
        <v/>
      </c>
      <c r="M244" s="5" t="str">
        <f t="shared" si="90"/>
        <v/>
      </c>
      <c r="N244" s="6" t="str">
        <f t="array" ref="N244">_xlfn.IFNA((INDEX('DMR 001C TIN &amp; TP'!$A$3:$M$10005,MATCH(('Reg 85'!$I$6:$Q$6&amp;'Reg 85'!$M$10&amp;'Reg 85'!$B244),('DMR 001C TIN &amp; TP'!$E$3:$E$10005&amp;'DMR 001C TIN &amp; TP'!$B$3:$B$10005&amp;'DMR 001C TIN &amp; TP'!$A$3:$A$10005),0),MATCH('Reg 85'!$N$11,'DMR 001C TIN &amp; TP'!$A$2:$M$2,0))),"")</f>
        <v/>
      </c>
      <c r="O244" s="6" t="str">
        <f t="array" ref="O244">_xlfn.IFNA((INDEX('DMR 001C TIN &amp; TP'!$A$3:$M$10005,MATCH(('Reg 85'!$I$6:$Q$6&amp;'Reg 85'!$M$10&amp;'Reg 85'!$B244),('DMR 001C TIN &amp; TP'!$E$3:$E$10005&amp;'DMR 001C TIN &amp; TP'!$B$3:$B$10005&amp;'DMR 001C TIN &amp; TP'!$A$3:$A$10005),0),MATCH('Reg 85'!$O$11,'DMR 001C TIN &amp; TP'!$A$2:$M$2,0))),"")</f>
        <v/>
      </c>
      <c r="P244" s="53" t="str">
        <f t="shared" si="91"/>
        <v/>
      </c>
      <c r="Q244" s="73" t="str">
        <f t="array" ref="Q244">IFERROR(((L244*$F244)+(P244*$G244))/($H244),"")</f>
        <v/>
      </c>
      <c r="R244" s="6" t="str">
        <f t="array" ref="R244">_xlfn.IFNA((INDEX('DMR 001C TIN &amp; TP'!$A$3:$M$10005,MATCH(('Reg 85'!$I$6:$Q$6&amp;'Reg 85'!R$10&amp;'Reg 85'!$B244),('DMR 001C TIN &amp; TP'!$E$3:$E$10005&amp;'DMR 001C TIN &amp; TP'!$B$3:$B$10005&amp;'DMR 001C TIN &amp; TP'!$A$3:$A$10005),0),MATCH('Reg 85'!$O$11,'DMR 001C TIN &amp; TP'!$A$2:$M$2,0))),"")</f>
        <v/>
      </c>
      <c r="S244" s="6" t="str">
        <f t="array" ref="S244">_xlfn.IFNA((INDEX('DMR 001C TIN &amp; TP'!$A$3:$M$10005,MATCH(('Reg 85'!$I$6:$Q$6&amp;'Reg 85'!S$10&amp;'Reg 85'!$B244),('DMR 001C TIN &amp; TP'!$E$3:$E$10005&amp;'DMR 001C TIN &amp; TP'!$B$3:$B$10005&amp;'DMR 001C TIN &amp; TP'!$A$3:$A$10005),0),MATCH('Reg 85'!$O$11,'DMR 001C TIN &amp; TP'!$A$2:$M$2,0))),"")</f>
        <v/>
      </c>
      <c r="T244" s="6" t="str">
        <f t="array" ref="T244">_xlfn.IFNA((INDEX('DMR 001C TIN &amp; TP'!$A$3:$M$10005,MATCH(('Reg 85'!$I$6:$Q$6&amp;'Reg 85'!T$10&amp;'Reg 85'!$B244),('DMR 001C TIN &amp; TP'!$E$3:$E$10005&amp;'DMR 001C TIN &amp; TP'!$B$3:$B$10005&amp;'DMR 001C TIN &amp; TP'!$A$3:$A$10005),0),MATCH('Reg 85'!$O$11,'DMR 001C TIN &amp; TP'!$A$2:$M$2,0))),"")</f>
        <v/>
      </c>
      <c r="U244" s="6" t="str">
        <f t="array" ref="U244">_xlfn.IFNA((INDEX('DMR 001C TIN &amp; TP'!$A$3:$M$10005,MATCH(('Reg 85'!$I$6:$Q$6&amp;'Reg 85'!U$10&amp;'Reg 85'!$B244),('DMR 001C TIN &amp; TP'!$E$3:$E$10005&amp;'DMR 001C TIN &amp; TP'!$B$3:$B$10005&amp;'DMR 001C TIN &amp; TP'!$A$3:$A$10005),0),MATCH('Reg 85'!$O$11,'DMR 001C TIN &amp; TP'!$A$2:$M$2,0))),"")</f>
        <v/>
      </c>
      <c r="V244" s="6" t="str">
        <f t="array" ref="V244">_xlfn.IFNA((INDEX('DMR 001C TIN &amp; TP'!$A$3:$M$10005,MATCH(('Reg 85'!$I$6:$Q$6&amp;'Reg 85'!V$10&amp;'Reg 85'!$B244),('DMR 001C TIN &amp; TP'!$E$3:$E$10005&amp;'DMR 001C TIN &amp; TP'!$B$3:$B$10005&amp;'DMR 001C TIN &amp; TP'!$A$3:$A$10005),0),MATCH('Reg 85'!$O$11,'DMR 001C TIN &amp; TP'!$A$2:$M$2,0))),"")</f>
        <v/>
      </c>
      <c r="W244" s="6" t="str">
        <f t="array" ref="W244">_xlfn.IFNA((INDEX('DMR 001C TIN &amp; TP'!$A$3:$M$10005,MATCH(('Reg 85'!$I$6:$Q$6&amp;'Reg 85'!W$10&amp;'Reg 85'!$B244),('DMR 001C TIN &amp; TP'!$E$3:$E$10005&amp;'DMR 001C TIN &amp; TP'!$B$3:$B$10005&amp;'DMR 001C TIN &amp; TP'!$A$3:$A$10005),0),MATCH('Reg 85'!$O$11,'DMR 001C TIN &amp; TP'!$A$2:$M$2,0))),"")</f>
        <v/>
      </c>
      <c r="X244" s="5" t="str">
        <f t="shared" si="92"/>
        <v/>
      </c>
      <c r="Y244" s="6" t="str">
        <f t="array" ref="Y244">_xlfn.IFNA((INDEX('DMR 001C TIN &amp; TP'!$A$3:$M$10005,MATCH(('Reg 85'!$X$6&amp;'Reg 85'!$X$10&amp;'Reg 85'!$B244),('DMR 001C TIN &amp; TP'!$E$3:$E$10005&amp;'DMR 001C TIN &amp; TP'!$B$3:$B$10005&amp;'DMR 001C TIN &amp; TP'!$A$3:$A$10005),0),MATCH('Reg 85'!$Y$11,'DMR 001C TIN &amp; TP'!$A$2:$M$2,0))),"")</f>
        <v/>
      </c>
      <c r="Z244" s="6" t="str">
        <f t="array" ref="Z244">_xlfn.IFNA((INDEX('DMR 001C TIN &amp; TP'!$A$3:$M$10005,MATCH(('Reg 85'!$X$6&amp;'Reg 85'!$X$10&amp;'Reg 85'!$B244),('DMR 001C TIN &amp; TP'!$E$3:$E$10005&amp;'DMR 001C TIN &amp; TP'!$B$3:$B$10005&amp;'DMR 001C TIN &amp; TP'!$A$3:$A$10005),0),MATCH('Reg 85'!$Z$11,'DMR 001C TIN &amp; TP'!$A$2:$M$2,0))),"")</f>
        <v/>
      </c>
      <c r="AA244" s="53" t="str">
        <f t="shared" si="93"/>
        <v/>
      </c>
      <c r="AB244" s="5" t="str">
        <f t="shared" si="94"/>
        <v/>
      </c>
      <c r="AC244" s="6" t="str">
        <f t="array" ref="AC244">_xlfn.IFNA((INDEX('DMR 001C TIN &amp; TP'!$A$3:$M$10005,MATCH(('Reg 85'!$X$6&amp;'Reg 85'!$AB$10&amp;'Reg 85'!$B244),('DMR 001C TIN &amp; TP'!$E$3:$E$10005&amp;'DMR 001C TIN &amp; TP'!$B$3:$B$10005&amp;'DMR 001C TIN &amp; TP'!$A$3:$A$10005),0),MATCH('Reg 85'!$AC$11,'DMR 001C TIN &amp; TP'!$A$2:$M$2,0))),"")</f>
        <v/>
      </c>
      <c r="AD244" s="6" t="str">
        <f t="array" ref="AD244">_xlfn.IFNA((INDEX('DMR 001C TIN &amp; TP'!$A$3:$M$10005,MATCH(('Reg 85'!$X$6&amp;'Reg 85'!$AB$10&amp;'Reg 85'!$B244),('DMR 001C TIN &amp; TP'!$E$3:$E$10005&amp;'DMR 001C TIN &amp; TP'!$B$3:$B$10005&amp;'DMR 001C TIN &amp; TP'!$A$3:$A$10005),0),MATCH('Reg 85'!$AD$11,'DMR 001C TIN &amp; TP'!$A$2:$M$2,0))),"")</f>
        <v/>
      </c>
      <c r="AE244" s="53" t="str">
        <f t="shared" si="95"/>
        <v/>
      </c>
      <c r="AF244" s="7" t="str">
        <f t="shared" si="96"/>
        <v/>
      </c>
      <c r="AG244" s="6" t="str">
        <f t="array" ref="AG244">_xlfn.IFNA((INDEX('DMR 001C TIN &amp; TP'!$A$3:$M$10005,MATCH(('Reg 85'!$X$6&amp;'Reg 85'!AG$10&amp;'Reg 85'!$B244),('DMR 001C TIN &amp; TP'!$E$3:$E$10005&amp;'DMR 001C TIN &amp; TP'!$B$3:$B$10005&amp;'DMR 001C TIN &amp; TP'!$A$3:$A$10005),0),MATCH('Reg 85'!$AG$11,'DMR 001C TIN &amp; TP'!$A$2:$M$2,0))),"")</f>
        <v/>
      </c>
      <c r="AH244" s="6" t="str">
        <f t="array" ref="AH244">_xlfn.IFNA((INDEX('DMR 001C TIN &amp; TP'!$A$3:$M$10005,MATCH(('Reg 85'!$X$6&amp;'Reg 85'!AH$10&amp;'Reg 85'!$B244),('DMR 001C TIN &amp; TP'!$E$3:$E$10005&amp;'DMR 001C TIN &amp; TP'!$B$3:$B$10005&amp;'DMR 001C TIN &amp; TP'!$A$3:$A$10005),0),MATCH('Reg 85'!$AG$11,'DMR 001C TIN &amp; TP'!$A$2:$M$2,0))),"")</f>
        <v/>
      </c>
      <c r="AI244" s="6" t="str">
        <f t="array" ref="AI244">_xlfn.IFNA((INDEX('DMR 001C TIN &amp; TP'!$A$3:$M$10005,MATCH(('Reg 85'!$X$6&amp;'Reg 85'!AI$10&amp;'Reg 85'!$B244),('DMR 001C TIN &amp; TP'!$E$3:$E$10005&amp;'DMR 001C TIN &amp; TP'!$B$3:$B$10005&amp;'DMR 001C TIN &amp; TP'!$A$3:$A$10005),0),MATCH('Reg 85'!$AG$11,'DMR 001C TIN &amp; TP'!$A$2:$M$2,0))),"")</f>
        <v/>
      </c>
      <c r="AJ244" s="6" t="str">
        <f t="array" ref="AJ244">_xlfn.IFNA((INDEX('DMR 001C TIN &amp; TP'!$A$3:$M$10005,MATCH(('Reg 85'!$X$6&amp;'Reg 85'!AJ$10&amp;'Reg 85'!$B244),('DMR 001C TIN &amp; TP'!$E$3:$E$10005&amp;'DMR 001C TIN &amp; TP'!$B$3:$B$10005&amp;'DMR 001C TIN &amp; TP'!$A$3:$A$10005),0),MATCH('Reg 85'!$AG$11,'DMR 001C TIN &amp; TP'!$A$2:$M$2,0))),"")</f>
        <v/>
      </c>
      <c r="AK244" s="6" t="str">
        <f t="array" ref="AK244">_xlfn.IFNA((INDEX('DMR 001C TIN &amp; TP'!$A$3:$M$10005,MATCH(('Reg 85'!$X$6&amp;'Reg 85'!AK$10&amp;'Reg 85'!$B244),('DMR 001C TIN &amp; TP'!$E$3:$E$10005&amp;'DMR 001C TIN &amp; TP'!$B$3:$B$10005&amp;'DMR 001C TIN &amp; TP'!$A$3:$A$10005),0),MATCH('Reg 85'!$AG$11,'DMR 001C TIN &amp; TP'!$A$2:$M$2,0))),"")</f>
        <v/>
      </c>
      <c r="AL244" s="6" t="str">
        <f t="array" ref="AL244">_xlfn.IFNA((INDEX('DMR 001C TIN &amp; TP'!$A$3:$M$10005,MATCH(('Reg 85'!$X$6&amp;'Reg 85'!AL$10&amp;'Reg 85'!$B244),('DMR 001C TIN &amp; TP'!$E$3:$E$10005&amp;'DMR 001C TIN &amp; TP'!$B$3:$B$10005&amp;'DMR 001C TIN &amp; TP'!$A$3:$A$10005),0),MATCH('Reg 85'!$AG$11,'DMR 001C TIN &amp; TP'!$A$2:$M$2,0))),"")</f>
        <v/>
      </c>
      <c r="AM244" s="76"/>
      <c r="AN244" s="6"/>
      <c r="AO244" s="54" t="str">
        <f t="shared" si="83"/>
        <v/>
      </c>
      <c r="AP244" s="77" t="str">
        <f t="shared" si="102"/>
        <v/>
      </c>
      <c r="AQ244" s="47"/>
      <c r="AR244" s="6" t="str">
        <f t="array" ref="AR244">_xlfn.IFNA((INDEX('DMR 001C TIN &amp; TP'!$A$3:$M$10005,MATCH(('Reg 85'!$AQ$6&amp;'Reg 85'!$AQ$10&amp;'Reg 85'!$B244),('DMR 001C TIN &amp; TP'!$E$3:$E$10005&amp;'DMR 001C TIN &amp; TP'!$B$3:$B$10005&amp;'DMR 001C TIN &amp; TP'!$A$3:$A$10005),0),MATCH('Reg 85'!$AR$11,'DMR 001C TIN &amp; TP'!$A$2:$M$2,0))),"")</f>
        <v>0.03</v>
      </c>
      <c r="AS244" s="6">
        <f t="array" ref="AS244">_xlfn.IFNA((INDEX('DMR 001C TIN &amp; TP'!$A$3:$M$10005,MATCH(('Reg 85'!$AQ$6&amp;'Reg 85'!$AQ$10&amp;'Reg 85'!$B244),('DMR 001C TIN &amp; TP'!$E$3:$E$10005&amp;'DMR 001C TIN &amp; TP'!$B$3:$B$10005&amp;'DMR 001C TIN &amp; TP'!$A$3:$A$10005),0),MATCH('Reg 85'!$AS$11,'DMR 001C TIN &amp; TP'!$A$2:$M$2,0))),"")</f>
        <v>0.24</v>
      </c>
      <c r="AT244" s="53">
        <f t="shared" si="97"/>
        <v>0.24</v>
      </c>
      <c r="AV244" s="6" t="str">
        <f t="array" ref="AV244">_xlfn.IFNA((INDEX('DMR 001C TIN &amp; TP'!$A$3:$M$10005,MATCH(('Reg 85'!$AQ$6&amp;'Reg 85'!$AU$10&amp;'Reg 85'!$B244),('DMR 001C TIN &amp; TP'!$E$3:$E$10005&amp;'DMR 001C TIN &amp; TP'!$B$3:$B$10005&amp;'DMR 001C TIN &amp; TP'!$A$3:$A$10005),0),MATCH('Reg 85'!$AV$11,'DMR 001C TIN &amp; TP'!$A$2:$M$2,0))),"")</f>
        <v>0.03</v>
      </c>
      <c r="AW244" s="6">
        <f t="array" ref="AW244">_xlfn.IFNA((INDEX('DMR 001C TIN &amp; TP'!$A$3:$M$10005,MATCH(('Reg 85'!$AQ$6&amp;'Reg 85'!$AU$10&amp;'Reg 85'!$B244),('DMR 001C TIN &amp; TP'!$E$3:$E$10005&amp;'DMR 001C TIN &amp; TP'!$B$3:$B$10005&amp;'DMR 001C TIN &amp; TP'!$A$3:$A$10005),0),MATCH('Reg 85'!$AW$11,'DMR 001C TIN &amp; TP'!$A$2:$M$2,0))),"")</f>
        <v>0.51</v>
      </c>
      <c r="AX244" s="53">
        <f t="shared" si="98"/>
        <v>0.51</v>
      </c>
      <c r="AY244" s="55">
        <f t="shared" si="99"/>
        <v>0.376669145591779</v>
      </c>
      <c r="AZ244" s="77" t="str">
        <f t="shared" si="103"/>
        <v/>
      </c>
      <c r="BA244" s="6" t="str">
        <f t="array" ref="BA244">_xlfn.IFNA((INDEX('DMR 001C TIN &amp; TP'!$A$3:$M$10005,MATCH(('Reg 85'!$AQ$6&amp;'Reg 85'!BA$10&amp;'Reg 85'!$B244),('DMR 001C TIN &amp; TP'!$E$3:$E$10005&amp;'DMR 001C TIN &amp; TP'!$B$3:$B$10005&amp;'DMR 001C TIN &amp; TP'!$A$3:$A$10005),0),MATCH('Reg 85'!$AG$11,'DMR 001C TIN &amp; TP'!$A$2:$M$2,0))),"")</f>
        <v/>
      </c>
      <c r="BB244" s="6" t="str">
        <f t="array" ref="BB244">_xlfn.IFNA((INDEX('DMR 001C TIN &amp; TP'!$A$3:$M$10005,MATCH(('Reg 85'!$AQ$6&amp;'Reg 85'!BB$10&amp;'Reg 85'!$B244),('DMR 001C TIN &amp; TP'!$E$3:$E$10005&amp;'DMR 001C TIN &amp; TP'!$B$3:$B$10005&amp;'DMR 001C TIN &amp; TP'!$A$3:$A$10005),0),MATCH('Reg 85'!$AG$11,'DMR 001C TIN &amp; TP'!$A$2:$M$2,0))),"")</f>
        <v/>
      </c>
      <c r="BC244" s="6" t="str">
        <f t="array" ref="BC244">_xlfn.IFNA((INDEX('DMR 001C TIN &amp; TP'!$A$3:$M$10005,MATCH(('Reg 85'!$AQ$6&amp;'Reg 85'!BC$10&amp;'Reg 85'!$B244),('DMR 001C TIN &amp; TP'!$E$3:$E$10005&amp;'DMR 001C TIN &amp; TP'!$B$3:$B$10005&amp;'DMR 001C TIN &amp; TP'!$A$3:$A$10005),0),MATCH('Reg 85'!$AG$11,'DMR 001C TIN &amp; TP'!$A$2:$M$2,0))),"")</f>
        <v/>
      </c>
      <c r="BD244" s="6" t="str">
        <f t="array" ref="BD244">_xlfn.IFNA((INDEX('DMR 001C TIN &amp; TP'!$A$3:$M$10005,MATCH(('Reg 85'!$AQ$6&amp;'Reg 85'!BD$10&amp;'Reg 85'!$B244),('DMR 001C TIN &amp; TP'!$E$3:$E$10005&amp;'DMR 001C TIN &amp; TP'!$B$3:$B$10005&amp;'DMR 001C TIN &amp; TP'!$A$3:$A$10005),0),MATCH('Reg 85'!$AG$11,'DMR 001C TIN &amp; TP'!$A$2:$M$2,0))),"")</f>
        <v/>
      </c>
      <c r="BE244" s="6" t="str">
        <f t="array" ref="BE244">_xlfn.IFNA((INDEX('DMR 001C TIN &amp; TP'!$A$3:$M$10005,MATCH(('Reg 85'!$AQ$6&amp;'Reg 85'!BE$10&amp;'Reg 85'!$B244),('DMR 001C TIN &amp; TP'!$E$3:$E$10005&amp;'DMR 001C TIN &amp; TP'!$B$3:$B$10005&amp;'DMR 001C TIN &amp; TP'!$A$3:$A$10005),0),MATCH('Reg 85'!$AG$11,'DMR 001C TIN &amp; TP'!$A$2:$M$2,0))),"")</f>
        <v/>
      </c>
      <c r="BF244" s="6" t="str">
        <f t="array" ref="BF244">_xlfn.IFNA((INDEX('DMR 001C TIN &amp; TP'!$A$3:$M$10005,MATCH(('Reg 85'!$AQ$6&amp;'Reg 85'!BF$10&amp;'Reg 85'!$B244),('DMR 001C TIN &amp; TP'!$E$3:$E$10005&amp;'DMR 001C TIN &amp; TP'!$B$3:$B$10005&amp;'DMR 001C TIN &amp; TP'!$A$3:$A$10005),0),MATCH('Reg 85'!$AG$11,'DMR 001C TIN &amp; TP'!$A$2:$M$2,0))),"")</f>
        <v/>
      </c>
    </row>
    <row r="245" spans="1:58">
      <c r="A245" s="3" t="str">
        <f t="shared" si="84"/>
        <v>Mon</v>
      </c>
      <c r="B245" s="96">
        <f t="shared" si="100"/>
        <v>43577</v>
      </c>
      <c r="C245" s="96">
        <f t="shared" si="85"/>
        <v>43585</v>
      </c>
      <c r="D245" s="96">
        <f t="shared" si="86"/>
        <v>43556</v>
      </c>
      <c r="E245" s="95">
        <f t="shared" si="87"/>
        <v>30</v>
      </c>
      <c r="F245" s="7">
        <f t="array" ref="F245">_xlfn.IFNA(INDEX('DMR Flows-Effluent'!$A$3:$F$9999,MATCH(($F$10&amp;$B245),('DMR Flows-Effluent'!$B$3:$B$9999&amp;'DMR Flows-Effluent'!$A$3:$A$9999),0),MATCH($F$8,'DMR Flows-Effluent'!$A$2:$F$2,0)),"")</f>
        <v>65.952699999999993</v>
      </c>
      <c r="G245" s="7">
        <f t="array" ref="G245">_xlfn.IFNA(INDEX('DMR Flows-Effluent'!$A$3:$F$9999,MATCH(($G$10&amp;$B245),('DMR Flows-Effluent'!$B$3:$B$9999&amp;'DMR Flows-Effluent'!$A$3:$A$9999),0),MATCH($F$8,'DMR Flows-Effluent'!$A$2:$F$2,0)),"")</f>
        <v>57.7624</v>
      </c>
      <c r="H245" s="7">
        <f t="shared" si="88"/>
        <v>123.71509999999999</v>
      </c>
      <c r="I245" s="45" t="str">
        <f t="shared" si="89"/>
        <v/>
      </c>
      <c r="J245" s="6" t="str">
        <f t="array" ref="J245">_xlfn.IFNA((INDEX('DMR 001C TIN &amp; TP'!$A$3:$M$10005,MATCH(('Reg 85'!$I$6:$Q$6&amp;'Reg 85'!$I$10:$K$10&amp;'Reg 85'!$B245),('DMR 001C TIN &amp; TP'!$E$3:$E$10005&amp;'DMR 001C TIN &amp; TP'!$B$3:$B$10005&amp;'DMR 001C TIN &amp; TP'!$A$3:$A$10005),0),MATCH('Reg 85'!$J$11,'DMR 001C TIN &amp; TP'!$A$2:$M$2,0))),"")</f>
        <v/>
      </c>
      <c r="K245" s="6" t="str">
        <f t="array" ref="K245">_xlfn.IFNA((INDEX('DMR 001C TIN &amp; TP'!$A$3:$M$10005,MATCH(('Reg 85'!$I$6:$Q$6&amp;'Reg 85'!$I$10:$K$10&amp;'Reg 85'!$B245),('DMR 001C TIN &amp; TP'!$E$3:$E$10005&amp;'DMR 001C TIN &amp; TP'!$B$3:$B$10005&amp;'DMR 001C TIN &amp; TP'!$A$3:$A$10005),0),MATCH('Reg 85'!$K$11,'DMR 001C TIN &amp; TP'!$A$2:$M$2,0))),"")</f>
        <v/>
      </c>
      <c r="L245" s="53" t="str">
        <f t="shared" si="101"/>
        <v/>
      </c>
      <c r="M245" s="5" t="str">
        <f t="shared" si="90"/>
        <v/>
      </c>
      <c r="N245" s="6" t="str">
        <f t="array" ref="N245">_xlfn.IFNA((INDEX('DMR 001C TIN &amp; TP'!$A$3:$M$10005,MATCH(('Reg 85'!$I$6:$Q$6&amp;'Reg 85'!$M$10&amp;'Reg 85'!$B245),('DMR 001C TIN &amp; TP'!$E$3:$E$10005&amp;'DMR 001C TIN &amp; TP'!$B$3:$B$10005&amp;'DMR 001C TIN &amp; TP'!$A$3:$A$10005),0),MATCH('Reg 85'!$N$11,'DMR 001C TIN &amp; TP'!$A$2:$M$2,0))),"")</f>
        <v/>
      </c>
      <c r="O245" s="6" t="str">
        <f t="array" ref="O245">_xlfn.IFNA((INDEX('DMR 001C TIN &amp; TP'!$A$3:$M$10005,MATCH(('Reg 85'!$I$6:$Q$6&amp;'Reg 85'!$M$10&amp;'Reg 85'!$B245),('DMR 001C TIN &amp; TP'!$E$3:$E$10005&amp;'DMR 001C TIN &amp; TP'!$B$3:$B$10005&amp;'DMR 001C TIN &amp; TP'!$A$3:$A$10005),0),MATCH('Reg 85'!$O$11,'DMR 001C TIN &amp; TP'!$A$2:$M$2,0))),"")</f>
        <v/>
      </c>
      <c r="P245" s="53" t="str">
        <f t="shared" si="91"/>
        <v/>
      </c>
      <c r="Q245" s="73" t="str">
        <f t="array" ref="Q245">IFERROR(((L245*$F245)+(P245*$G245))/($H245),"")</f>
        <v/>
      </c>
      <c r="R245" s="6" t="str">
        <f t="array" ref="R245">_xlfn.IFNA((INDEX('DMR 001C TIN &amp; TP'!$A$3:$M$10005,MATCH(('Reg 85'!$I$6:$Q$6&amp;'Reg 85'!R$10&amp;'Reg 85'!$B245),('DMR 001C TIN &amp; TP'!$E$3:$E$10005&amp;'DMR 001C TIN &amp; TP'!$B$3:$B$10005&amp;'DMR 001C TIN &amp; TP'!$A$3:$A$10005),0),MATCH('Reg 85'!$O$11,'DMR 001C TIN &amp; TP'!$A$2:$M$2,0))),"")</f>
        <v/>
      </c>
      <c r="S245" s="6" t="str">
        <f t="array" ref="S245">_xlfn.IFNA((INDEX('DMR 001C TIN &amp; TP'!$A$3:$M$10005,MATCH(('Reg 85'!$I$6:$Q$6&amp;'Reg 85'!S$10&amp;'Reg 85'!$B245),('DMR 001C TIN &amp; TP'!$E$3:$E$10005&amp;'DMR 001C TIN &amp; TP'!$B$3:$B$10005&amp;'DMR 001C TIN &amp; TP'!$A$3:$A$10005),0),MATCH('Reg 85'!$O$11,'DMR 001C TIN &amp; TP'!$A$2:$M$2,0))),"")</f>
        <v/>
      </c>
      <c r="T245" s="6" t="str">
        <f t="array" ref="T245">_xlfn.IFNA((INDEX('DMR 001C TIN &amp; TP'!$A$3:$M$10005,MATCH(('Reg 85'!$I$6:$Q$6&amp;'Reg 85'!T$10&amp;'Reg 85'!$B245),('DMR 001C TIN &amp; TP'!$E$3:$E$10005&amp;'DMR 001C TIN &amp; TP'!$B$3:$B$10005&amp;'DMR 001C TIN &amp; TP'!$A$3:$A$10005),0),MATCH('Reg 85'!$O$11,'DMR 001C TIN &amp; TP'!$A$2:$M$2,0))),"")</f>
        <v/>
      </c>
      <c r="U245" s="6" t="str">
        <f t="array" ref="U245">_xlfn.IFNA((INDEX('DMR 001C TIN &amp; TP'!$A$3:$M$10005,MATCH(('Reg 85'!$I$6:$Q$6&amp;'Reg 85'!U$10&amp;'Reg 85'!$B245),('DMR 001C TIN &amp; TP'!$E$3:$E$10005&amp;'DMR 001C TIN &amp; TP'!$B$3:$B$10005&amp;'DMR 001C TIN &amp; TP'!$A$3:$A$10005),0),MATCH('Reg 85'!$O$11,'DMR 001C TIN &amp; TP'!$A$2:$M$2,0))),"")</f>
        <v/>
      </c>
      <c r="V245" s="6" t="str">
        <f t="array" ref="V245">_xlfn.IFNA((INDEX('DMR 001C TIN &amp; TP'!$A$3:$M$10005,MATCH(('Reg 85'!$I$6:$Q$6&amp;'Reg 85'!V$10&amp;'Reg 85'!$B245),('DMR 001C TIN &amp; TP'!$E$3:$E$10005&amp;'DMR 001C TIN &amp; TP'!$B$3:$B$10005&amp;'DMR 001C TIN &amp; TP'!$A$3:$A$10005),0),MATCH('Reg 85'!$O$11,'DMR 001C TIN &amp; TP'!$A$2:$M$2,0))),"")</f>
        <v/>
      </c>
      <c r="W245" s="6" t="str">
        <f t="array" ref="W245">_xlfn.IFNA((INDEX('DMR 001C TIN &amp; TP'!$A$3:$M$10005,MATCH(('Reg 85'!$I$6:$Q$6&amp;'Reg 85'!W$10&amp;'Reg 85'!$B245),('DMR 001C TIN &amp; TP'!$E$3:$E$10005&amp;'DMR 001C TIN &amp; TP'!$B$3:$B$10005&amp;'DMR 001C TIN &amp; TP'!$A$3:$A$10005),0),MATCH('Reg 85'!$O$11,'DMR 001C TIN &amp; TP'!$A$2:$M$2,0))),"")</f>
        <v/>
      </c>
      <c r="X245" s="5" t="str">
        <f t="shared" si="92"/>
        <v/>
      </c>
      <c r="Y245" s="6" t="str">
        <f t="array" ref="Y245">_xlfn.IFNA((INDEX('DMR 001C TIN &amp; TP'!$A$3:$M$10005,MATCH(('Reg 85'!$X$6&amp;'Reg 85'!$X$10&amp;'Reg 85'!$B245),('DMR 001C TIN &amp; TP'!$E$3:$E$10005&amp;'DMR 001C TIN &amp; TP'!$B$3:$B$10005&amp;'DMR 001C TIN &amp; TP'!$A$3:$A$10005),0),MATCH('Reg 85'!$Y$11,'DMR 001C TIN &amp; TP'!$A$2:$M$2,0))),"")</f>
        <v/>
      </c>
      <c r="Z245" s="6" t="str">
        <f t="array" ref="Z245">_xlfn.IFNA((INDEX('DMR 001C TIN &amp; TP'!$A$3:$M$10005,MATCH(('Reg 85'!$X$6&amp;'Reg 85'!$X$10&amp;'Reg 85'!$B245),('DMR 001C TIN &amp; TP'!$E$3:$E$10005&amp;'DMR 001C TIN &amp; TP'!$B$3:$B$10005&amp;'DMR 001C TIN &amp; TP'!$A$3:$A$10005),0),MATCH('Reg 85'!$Z$11,'DMR 001C TIN &amp; TP'!$A$2:$M$2,0))),"")</f>
        <v/>
      </c>
      <c r="AA245" s="53" t="str">
        <f t="shared" si="93"/>
        <v/>
      </c>
      <c r="AB245" s="5" t="str">
        <f t="shared" si="94"/>
        <v/>
      </c>
      <c r="AC245" s="6" t="str">
        <f t="array" ref="AC245">_xlfn.IFNA((INDEX('DMR 001C TIN &amp; TP'!$A$3:$M$10005,MATCH(('Reg 85'!$X$6&amp;'Reg 85'!$AB$10&amp;'Reg 85'!$B245),('DMR 001C TIN &amp; TP'!$E$3:$E$10005&amp;'DMR 001C TIN &amp; TP'!$B$3:$B$10005&amp;'DMR 001C TIN &amp; TP'!$A$3:$A$10005),0),MATCH('Reg 85'!$AC$11,'DMR 001C TIN &amp; TP'!$A$2:$M$2,0))),"")</f>
        <v/>
      </c>
      <c r="AD245" s="6" t="str">
        <f t="array" ref="AD245">_xlfn.IFNA((INDEX('DMR 001C TIN &amp; TP'!$A$3:$M$10005,MATCH(('Reg 85'!$X$6&amp;'Reg 85'!$AB$10&amp;'Reg 85'!$B245),('DMR 001C TIN &amp; TP'!$E$3:$E$10005&amp;'DMR 001C TIN &amp; TP'!$B$3:$B$10005&amp;'DMR 001C TIN &amp; TP'!$A$3:$A$10005),0),MATCH('Reg 85'!$AD$11,'DMR 001C TIN &amp; TP'!$A$2:$M$2,0))),"")</f>
        <v/>
      </c>
      <c r="AE245" s="53" t="str">
        <f t="shared" si="95"/>
        <v/>
      </c>
      <c r="AF245" s="7" t="str">
        <f t="shared" si="96"/>
        <v/>
      </c>
      <c r="AG245" s="6" t="str">
        <f t="array" ref="AG245">_xlfn.IFNA((INDEX('DMR 001C TIN &amp; TP'!$A$3:$M$10005,MATCH(('Reg 85'!$X$6&amp;'Reg 85'!AG$10&amp;'Reg 85'!$B245),('DMR 001C TIN &amp; TP'!$E$3:$E$10005&amp;'DMR 001C TIN &amp; TP'!$B$3:$B$10005&amp;'DMR 001C TIN &amp; TP'!$A$3:$A$10005),0),MATCH('Reg 85'!$AG$11,'DMR 001C TIN &amp; TP'!$A$2:$M$2,0))),"")</f>
        <v/>
      </c>
      <c r="AH245" s="6" t="str">
        <f t="array" ref="AH245">_xlfn.IFNA((INDEX('DMR 001C TIN &amp; TP'!$A$3:$M$10005,MATCH(('Reg 85'!$X$6&amp;'Reg 85'!AH$10&amp;'Reg 85'!$B245),('DMR 001C TIN &amp; TP'!$E$3:$E$10005&amp;'DMR 001C TIN &amp; TP'!$B$3:$B$10005&amp;'DMR 001C TIN &amp; TP'!$A$3:$A$10005),0),MATCH('Reg 85'!$AG$11,'DMR 001C TIN &amp; TP'!$A$2:$M$2,0))),"")</f>
        <v/>
      </c>
      <c r="AI245" s="6" t="str">
        <f t="array" ref="AI245">_xlfn.IFNA((INDEX('DMR 001C TIN &amp; TP'!$A$3:$M$10005,MATCH(('Reg 85'!$X$6&amp;'Reg 85'!AI$10&amp;'Reg 85'!$B245),('DMR 001C TIN &amp; TP'!$E$3:$E$10005&amp;'DMR 001C TIN &amp; TP'!$B$3:$B$10005&amp;'DMR 001C TIN &amp; TP'!$A$3:$A$10005),0),MATCH('Reg 85'!$AG$11,'DMR 001C TIN &amp; TP'!$A$2:$M$2,0))),"")</f>
        <v/>
      </c>
      <c r="AJ245" s="6" t="str">
        <f t="array" ref="AJ245">_xlfn.IFNA((INDEX('DMR 001C TIN &amp; TP'!$A$3:$M$10005,MATCH(('Reg 85'!$X$6&amp;'Reg 85'!AJ$10&amp;'Reg 85'!$B245),('DMR 001C TIN &amp; TP'!$E$3:$E$10005&amp;'DMR 001C TIN &amp; TP'!$B$3:$B$10005&amp;'DMR 001C TIN &amp; TP'!$A$3:$A$10005),0),MATCH('Reg 85'!$AG$11,'DMR 001C TIN &amp; TP'!$A$2:$M$2,0))),"")</f>
        <v/>
      </c>
      <c r="AK245" s="6" t="str">
        <f t="array" ref="AK245">_xlfn.IFNA((INDEX('DMR 001C TIN &amp; TP'!$A$3:$M$10005,MATCH(('Reg 85'!$X$6&amp;'Reg 85'!AK$10&amp;'Reg 85'!$B245),('DMR 001C TIN &amp; TP'!$E$3:$E$10005&amp;'DMR 001C TIN &amp; TP'!$B$3:$B$10005&amp;'DMR 001C TIN &amp; TP'!$A$3:$A$10005),0),MATCH('Reg 85'!$AG$11,'DMR 001C TIN &amp; TP'!$A$2:$M$2,0))),"")</f>
        <v/>
      </c>
      <c r="AL245" s="6" t="str">
        <f t="array" ref="AL245">_xlfn.IFNA((INDEX('DMR 001C TIN &amp; TP'!$A$3:$M$10005,MATCH(('Reg 85'!$X$6&amp;'Reg 85'!AL$10&amp;'Reg 85'!$B245),('DMR 001C TIN &amp; TP'!$E$3:$E$10005&amp;'DMR 001C TIN &amp; TP'!$B$3:$B$10005&amp;'DMR 001C TIN &amp; TP'!$A$3:$A$10005),0),MATCH('Reg 85'!$AG$11,'DMR 001C TIN &amp; TP'!$A$2:$M$2,0))),"")</f>
        <v/>
      </c>
      <c r="AM245" s="76"/>
      <c r="AN245" s="6"/>
      <c r="AO245" s="54" t="str">
        <f t="shared" si="83"/>
        <v/>
      </c>
      <c r="AP245" s="77" t="str">
        <f t="shared" si="102"/>
        <v/>
      </c>
      <c r="AQ245" s="47"/>
      <c r="AR245" s="6" t="str">
        <f t="array" ref="AR245">_xlfn.IFNA((INDEX('DMR 001C TIN &amp; TP'!$A$3:$M$10005,MATCH(('Reg 85'!$AQ$6&amp;'Reg 85'!$AQ$10&amp;'Reg 85'!$B245),('DMR 001C TIN &amp; TP'!$E$3:$E$10005&amp;'DMR 001C TIN &amp; TP'!$B$3:$B$10005&amp;'DMR 001C TIN &amp; TP'!$A$3:$A$10005),0),MATCH('Reg 85'!$AR$11,'DMR 001C TIN &amp; TP'!$A$2:$M$2,0))),"")</f>
        <v>0.03</v>
      </c>
      <c r="AS245" s="6">
        <f t="array" ref="AS245">_xlfn.IFNA((INDEX('DMR 001C TIN &amp; TP'!$A$3:$M$10005,MATCH(('Reg 85'!$AQ$6&amp;'Reg 85'!$AQ$10&amp;'Reg 85'!$B245),('DMR 001C TIN &amp; TP'!$E$3:$E$10005&amp;'DMR 001C TIN &amp; TP'!$B$3:$B$10005&amp;'DMR 001C TIN &amp; TP'!$A$3:$A$10005),0),MATCH('Reg 85'!$AS$11,'DMR 001C TIN &amp; TP'!$A$2:$M$2,0))),"")</f>
        <v>0.25</v>
      </c>
      <c r="AT245" s="53">
        <f t="shared" si="97"/>
        <v>0.25</v>
      </c>
      <c r="AV245" s="6" t="str">
        <f t="array" ref="AV245">_xlfn.IFNA((INDEX('DMR 001C TIN &amp; TP'!$A$3:$M$10005,MATCH(('Reg 85'!$AQ$6&amp;'Reg 85'!$AU$10&amp;'Reg 85'!$B245),('DMR 001C TIN &amp; TP'!$E$3:$E$10005&amp;'DMR 001C TIN &amp; TP'!$B$3:$B$10005&amp;'DMR 001C TIN &amp; TP'!$A$3:$A$10005),0),MATCH('Reg 85'!$AV$11,'DMR 001C TIN &amp; TP'!$A$2:$M$2,0))),"")</f>
        <v>0.03</v>
      </c>
      <c r="AW245" s="6">
        <f t="array" ref="AW245">_xlfn.IFNA((INDEX('DMR 001C TIN &amp; TP'!$A$3:$M$10005,MATCH(('Reg 85'!$AQ$6&amp;'Reg 85'!$AU$10&amp;'Reg 85'!$B245),('DMR 001C TIN &amp; TP'!$E$3:$E$10005&amp;'DMR 001C TIN &amp; TP'!$B$3:$B$10005&amp;'DMR 001C TIN &amp; TP'!$A$3:$A$10005),0),MATCH('Reg 85'!$AW$11,'DMR 001C TIN &amp; TP'!$A$2:$M$2,0))),"")</f>
        <v>2.1</v>
      </c>
      <c r="AX245" s="53">
        <f t="shared" si="98"/>
        <v>2.1</v>
      </c>
      <c r="AY245" s="55">
        <f t="shared" si="99"/>
        <v>1.1137623054905992</v>
      </c>
      <c r="AZ245" s="77" t="str">
        <f t="shared" si="103"/>
        <v/>
      </c>
      <c r="BA245" s="6" t="str">
        <f t="array" ref="BA245">_xlfn.IFNA((INDEX('DMR 001C TIN &amp; TP'!$A$3:$M$10005,MATCH(('Reg 85'!$AQ$6&amp;'Reg 85'!BA$10&amp;'Reg 85'!$B245),('DMR 001C TIN &amp; TP'!$E$3:$E$10005&amp;'DMR 001C TIN &amp; TP'!$B$3:$B$10005&amp;'DMR 001C TIN &amp; TP'!$A$3:$A$10005),0),MATCH('Reg 85'!$AG$11,'DMR 001C TIN &amp; TP'!$A$2:$M$2,0))),"")</f>
        <v/>
      </c>
      <c r="BB245" s="6" t="str">
        <f t="array" ref="BB245">_xlfn.IFNA((INDEX('DMR 001C TIN &amp; TP'!$A$3:$M$10005,MATCH(('Reg 85'!$AQ$6&amp;'Reg 85'!BB$10&amp;'Reg 85'!$B245),('DMR 001C TIN &amp; TP'!$E$3:$E$10005&amp;'DMR 001C TIN &amp; TP'!$B$3:$B$10005&amp;'DMR 001C TIN &amp; TP'!$A$3:$A$10005),0),MATCH('Reg 85'!$AG$11,'DMR 001C TIN &amp; TP'!$A$2:$M$2,0))),"")</f>
        <v/>
      </c>
      <c r="BC245" s="6" t="str">
        <f t="array" ref="BC245">_xlfn.IFNA((INDEX('DMR 001C TIN &amp; TP'!$A$3:$M$10005,MATCH(('Reg 85'!$AQ$6&amp;'Reg 85'!BC$10&amp;'Reg 85'!$B245),('DMR 001C TIN &amp; TP'!$E$3:$E$10005&amp;'DMR 001C TIN &amp; TP'!$B$3:$B$10005&amp;'DMR 001C TIN &amp; TP'!$A$3:$A$10005),0),MATCH('Reg 85'!$AG$11,'DMR 001C TIN &amp; TP'!$A$2:$M$2,0))),"")</f>
        <v/>
      </c>
      <c r="BD245" s="6" t="str">
        <f t="array" ref="BD245">_xlfn.IFNA((INDEX('DMR 001C TIN &amp; TP'!$A$3:$M$10005,MATCH(('Reg 85'!$AQ$6&amp;'Reg 85'!BD$10&amp;'Reg 85'!$B245),('DMR 001C TIN &amp; TP'!$E$3:$E$10005&amp;'DMR 001C TIN &amp; TP'!$B$3:$B$10005&amp;'DMR 001C TIN &amp; TP'!$A$3:$A$10005),0),MATCH('Reg 85'!$AG$11,'DMR 001C TIN &amp; TP'!$A$2:$M$2,0))),"")</f>
        <v/>
      </c>
      <c r="BE245" s="6" t="str">
        <f t="array" ref="BE245">_xlfn.IFNA((INDEX('DMR 001C TIN &amp; TP'!$A$3:$M$10005,MATCH(('Reg 85'!$AQ$6&amp;'Reg 85'!BE$10&amp;'Reg 85'!$B245),('DMR 001C TIN &amp; TP'!$E$3:$E$10005&amp;'DMR 001C TIN &amp; TP'!$B$3:$B$10005&amp;'DMR 001C TIN &amp; TP'!$A$3:$A$10005),0),MATCH('Reg 85'!$AG$11,'DMR 001C TIN &amp; TP'!$A$2:$M$2,0))),"")</f>
        <v/>
      </c>
      <c r="BF245" s="6" t="str">
        <f t="array" ref="BF245">_xlfn.IFNA((INDEX('DMR 001C TIN &amp; TP'!$A$3:$M$10005,MATCH(('Reg 85'!$AQ$6&amp;'Reg 85'!BF$10&amp;'Reg 85'!$B245),('DMR 001C TIN &amp; TP'!$E$3:$E$10005&amp;'DMR 001C TIN &amp; TP'!$B$3:$B$10005&amp;'DMR 001C TIN &amp; TP'!$A$3:$A$10005),0),MATCH('Reg 85'!$AG$11,'DMR 001C TIN &amp; TP'!$A$2:$M$2,0))),"")</f>
        <v/>
      </c>
    </row>
    <row r="246" spans="1:58">
      <c r="A246" s="3" t="str">
        <f t="shared" si="84"/>
        <v>Tue</v>
      </c>
      <c r="B246" s="96">
        <f t="shared" si="100"/>
        <v>43578</v>
      </c>
      <c r="C246" s="96">
        <f t="shared" si="85"/>
        <v>43585</v>
      </c>
      <c r="D246" s="96">
        <f t="shared" si="86"/>
        <v>43556</v>
      </c>
      <c r="E246" s="95">
        <f t="shared" si="87"/>
        <v>30</v>
      </c>
      <c r="F246" s="7">
        <f t="array" ref="F246">_xlfn.IFNA(INDEX('DMR Flows-Effluent'!$A$3:$F$9999,MATCH(($F$10&amp;$B246),('DMR Flows-Effluent'!$B$3:$B$9999&amp;'DMR Flows-Effluent'!$A$3:$A$9999),0),MATCH($F$8,'DMR Flows-Effluent'!$A$2:$F$2,0)),"")</f>
        <v>66.626199999999997</v>
      </c>
      <c r="G246" s="7">
        <f t="array" ref="G246">_xlfn.IFNA(INDEX('DMR Flows-Effluent'!$A$3:$F$9999,MATCH(($G$10&amp;$B246),('DMR Flows-Effluent'!$B$3:$B$9999&amp;'DMR Flows-Effluent'!$A$3:$A$9999),0),MATCH($F$8,'DMR Flows-Effluent'!$A$2:$F$2,0)),"")</f>
        <v>57.4953</v>
      </c>
      <c r="H246" s="7">
        <f t="shared" si="88"/>
        <v>124.1215</v>
      </c>
      <c r="I246" s="45" t="str">
        <f t="shared" si="89"/>
        <v/>
      </c>
      <c r="J246" s="6" t="str">
        <f t="array" ref="J246">_xlfn.IFNA((INDEX('DMR 001C TIN &amp; TP'!$A$3:$M$10005,MATCH(('Reg 85'!$I$6:$Q$6&amp;'Reg 85'!$I$10:$K$10&amp;'Reg 85'!$B246),('DMR 001C TIN &amp; TP'!$E$3:$E$10005&amp;'DMR 001C TIN &amp; TP'!$B$3:$B$10005&amp;'DMR 001C TIN &amp; TP'!$A$3:$A$10005),0),MATCH('Reg 85'!$J$11,'DMR 001C TIN &amp; TP'!$A$2:$M$2,0))),"")</f>
        <v/>
      </c>
      <c r="K246" s="6" t="str">
        <f t="array" ref="K246">_xlfn.IFNA((INDEX('DMR 001C TIN &amp; TP'!$A$3:$M$10005,MATCH(('Reg 85'!$I$6:$Q$6&amp;'Reg 85'!$I$10:$K$10&amp;'Reg 85'!$B246),('DMR 001C TIN &amp; TP'!$E$3:$E$10005&amp;'DMR 001C TIN &amp; TP'!$B$3:$B$10005&amp;'DMR 001C TIN &amp; TP'!$A$3:$A$10005),0),MATCH('Reg 85'!$K$11,'DMR 001C TIN &amp; TP'!$A$2:$M$2,0))),"")</f>
        <v/>
      </c>
      <c r="L246" s="53" t="str">
        <f t="shared" si="101"/>
        <v/>
      </c>
      <c r="M246" s="5" t="str">
        <f t="shared" si="90"/>
        <v/>
      </c>
      <c r="N246" s="6" t="str">
        <f t="array" ref="N246">_xlfn.IFNA((INDEX('DMR 001C TIN &amp; TP'!$A$3:$M$10005,MATCH(('Reg 85'!$I$6:$Q$6&amp;'Reg 85'!$M$10&amp;'Reg 85'!$B246),('DMR 001C TIN &amp; TP'!$E$3:$E$10005&amp;'DMR 001C TIN &amp; TP'!$B$3:$B$10005&amp;'DMR 001C TIN &amp; TP'!$A$3:$A$10005),0),MATCH('Reg 85'!$N$11,'DMR 001C TIN &amp; TP'!$A$2:$M$2,0))),"")</f>
        <v/>
      </c>
      <c r="O246" s="6" t="str">
        <f t="array" ref="O246">_xlfn.IFNA((INDEX('DMR 001C TIN &amp; TP'!$A$3:$M$10005,MATCH(('Reg 85'!$I$6:$Q$6&amp;'Reg 85'!$M$10&amp;'Reg 85'!$B246),('DMR 001C TIN &amp; TP'!$E$3:$E$10005&amp;'DMR 001C TIN &amp; TP'!$B$3:$B$10005&amp;'DMR 001C TIN &amp; TP'!$A$3:$A$10005),0),MATCH('Reg 85'!$O$11,'DMR 001C TIN &amp; TP'!$A$2:$M$2,0))),"")</f>
        <v/>
      </c>
      <c r="P246" s="53" t="str">
        <f t="shared" si="91"/>
        <v/>
      </c>
      <c r="Q246" s="73" t="str">
        <f t="array" ref="Q246">IFERROR(((L246*$F246)+(P246*$G246))/($H246),"")</f>
        <v/>
      </c>
      <c r="R246" s="6" t="str">
        <f t="array" ref="R246">_xlfn.IFNA((INDEX('DMR 001C TIN &amp; TP'!$A$3:$M$10005,MATCH(('Reg 85'!$I$6:$Q$6&amp;'Reg 85'!R$10&amp;'Reg 85'!$B246),('DMR 001C TIN &amp; TP'!$E$3:$E$10005&amp;'DMR 001C TIN &amp; TP'!$B$3:$B$10005&amp;'DMR 001C TIN &amp; TP'!$A$3:$A$10005),0),MATCH('Reg 85'!$O$11,'DMR 001C TIN &amp; TP'!$A$2:$M$2,0))),"")</f>
        <v/>
      </c>
      <c r="S246" s="6" t="str">
        <f t="array" ref="S246">_xlfn.IFNA((INDEX('DMR 001C TIN &amp; TP'!$A$3:$M$10005,MATCH(('Reg 85'!$I$6:$Q$6&amp;'Reg 85'!S$10&amp;'Reg 85'!$B246),('DMR 001C TIN &amp; TP'!$E$3:$E$10005&amp;'DMR 001C TIN &amp; TP'!$B$3:$B$10005&amp;'DMR 001C TIN &amp; TP'!$A$3:$A$10005),0),MATCH('Reg 85'!$O$11,'DMR 001C TIN &amp; TP'!$A$2:$M$2,0))),"")</f>
        <v/>
      </c>
      <c r="T246" s="6" t="str">
        <f t="array" ref="T246">_xlfn.IFNA((INDEX('DMR 001C TIN &amp; TP'!$A$3:$M$10005,MATCH(('Reg 85'!$I$6:$Q$6&amp;'Reg 85'!T$10&amp;'Reg 85'!$B246),('DMR 001C TIN &amp; TP'!$E$3:$E$10005&amp;'DMR 001C TIN &amp; TP'!$B$3:$B$10005&amp;'DMR 001C TIN &amp; TP'!$A$3:$A$10005),0),MATCH('Reg 85'!$O$11,'DMR 001C TIN &amp; TP'!$A$2:$M$2,0))),"")</f>
        <v/>
      </c>
      <c r="U246" s="6" t="str">
        <f t="array" ref="U246">_xlfn.IFNA((INDEX('DMR 001C TIN &amp; TP'!$A$3:$M$10005,MATCH(('Reg 85'!$I$6:$Q$6&amp;'Reg 85'!U$10&amp;'Reg 85'!$B246),('DMR 001C TIN &amp; TP'!$E$3:$E$10005&amp;'DMR 001C TIN &amp; TP'!$B$3:$B$10005&amp;'DMR 001C TIN &amp; TP'!$A$3:$A$10005),0),MATCH('Reg 85'!$O$11,'DMR 001C TIN &amp; TP'!$A$2:$M$2,0))),"")</f>
        <v/>
      </c>
      <c r="V246" s="6" t="str">
        <f t="array" ref="V246">_xlfn.IFNA((INDEX('DMR 001C TIN &amp; TP'!$A$3:$M$10005,MATCH(('Reg 85'!$I$6:$Q$6&amp;'Reg 85'!V$10&amp;'Reg 85'!$B246),('DMR 001C TIN &amp; TP'!$E$3:$E$10005&amp;'DMR 001C TIN &amp; TP'!$B$3:$B$10005&amp;'DMR 001C TIN &amp; TP'!$A$3:$A$10005),0),MATCH('Reg 85'!$O$11,'DMR 001C TIN &amp; TP'!$A$2:$M$2,0))),"")</f>
        <v/>
      </c>
      <c r="W246" s="6" t="str">
        <f t="array" ref="W246">_xlfn.IFNA((INDEX('DMR 001C TIN &amp; TP'!$A$3:$M$10005,MATCH(('Reg 85'!$I$6:$Q$6&amp;'Reg 85'!W$10&amp;'Reg 85'!$B246),('DMR 001C TIN &amp; TP'!$E$3:$E$10005&amp;'DMR 001C TIN &amp; TP'!$B$3:$B$10005&amp;'DMR 001C TIN &amp; TP'!$A$3:$A$10005),0),MATCH('Reg 85'!$O$11,'DMR 001C TIN &amp; TP'!$A$2:$M$2,0))),"")</f>
        <v/>
      </c>
      <c r="X246" s="5" t="str">
        <f t="shared" si="92"/>
        <v/>
      </c>
      <c r="Y246" s="6" t="str">
        <f t="array" ref="Y246">_xlfn.IFNA((INDEX('DMR 001C TIN &amp; TP'!$A$3:$M$10005,MATCH(('Reg 85'!$X$6&amp;'Reg 85'!$X$10&amp;'Reg 85'!$B246),('DMR 001C TIN &amp; TP'!$E$3:$E$10005&amp;'DMR 001C TIN &amp; TP'!$B$3:$B$10005&amp;'DMR 001C TIN &amp; TP'!$A$3:$A$10005),0),MATCH('Reg 85'!$Y$11,'DMR 001C TIN &amp; TP'!$A$2:$M$2,0))),"")</f>
        <v/>
      </c>
      <c r="Z246" s="6" t="str">
        <f t="array" ref="Z246">_xlfn.IFNA((INDEX('DMR 001C TIN &amp; TP'!$A$3:$M$10005,MATCH(('Reg 85'!$X$6&amp;'Reg 85'!$X$10&amp;'Reg 85'!$B246),('DMR 001C TIN &amp; TP'!$E$3:$E$10005&amp;'DMR 001C TIN &amp; TP'!$B$3:$B$10005&amp;'DMR 001C TIN &amp; TP'!$A$3:$A$10005),0),MATCH('Reg 85'!$Z$11,'DMR 001C TIN &amp; TP'!$A$2:$M$2,0))),"")</f>
        <v/>
      </c>
      <c r="AA246" s="53" t="str">
        <f t="shared" si="93"/>
        <v/>
      </c>
      <c r="AB246" s="5" t="str">
        <f t="shared" si="94"/>
        <v/>
      </c>
      <c r="AC246" s="6" t="str">
        <f t="array" ref="AC246">_xlfn.IFNA((INDEX('DMR 001C TIN &amp; TP'!$A$3:$M$10005,MATCH(('Reg 85'!$X$6&amp;'Reg 85'!$AB$10&amp;'Reg 85'!$B246),('DMR 001C TIN &amp; TP'!$E$3:$E$10005&amp;'DMR 001C TIN &amp; TP'!$B$3:$B$10005&amp;'DMR 001C TIN &amp; TP'!$A$3:$A$10005),0),MATCH('Reg 85'!$AC$11,'DMR 001C TIN &amp; TP'!$A$2:$M$2,0))),"")</f>
        <v/>
      </c>
      <c r="AD246" s="6" t="str">
        <f t="array" ref="AD246">_xlfn.IFNA((INDEX('DMR 001C TIN &amp; TP'!$A$3:$M$10005,MATCH(('Reg 85'!$X$6&amp;'Reg 85'!$AB$10&amp;'Reg 85'!$B246),('DMR 001C TIN &amp; TP'!$E$3:$E$10005&amp;'DMR 001C TIN &amp; TP'!$B$3:$B$10005&amp;'DMR 001C TIN &amp; TP'!$A$3:$A$10005),0),MATCH('Reg 85'!$AD$11,'DMR 001C TIN &amp; TP'!$A$2:$M$2,0))),"")</f>
        <v/>
      </c>
      <c r="AE246" s="53" t="str">
        <f t="shared" si="95"/>
        <v/>
      </c>
      <c r="AF246" s="7" t="str">
        <f t="shared" si="96"/>
        <v/>
      </c>
      <c r="AG246" s="6" t="str">
        <f t="array" ref="AG246">_xlfn.IFNA((INDEX('DMR 001C TIN &amp; TP'!$A$3:$M$10005,MATCH(('Reg 85'!$X$6&amp;'Reg 85'!AG$10&amp;'Reg 85'!$B246),('DMR 001C TIN &amp; TP'!$E$3:$E$10005&amp;'DMR 001C TIN &amp; TP'!$B$3:$B$10005&amp;'DMR 001C TIN &amp; TP'!$A$3:$A$10005),0),MATCH('Reg 85'!$AG$11,'DMR 001C TIN &amp; TP'!$A$2:$M$2,0))),"")</f>
        <v/>
      </c>
      <c r="AH246" s="6" t="str">
        <f t="array" ref="AH246">_xlfn.IFNA((INDEX('DMR 001C TIN &amp; TP'!$A$3:$M$10005,MATCH(('Reg 85'!$X$6&amp;'Reg 85'!AH$10&amp;'Reg 85'!$B246),('DMR 001C TIN &amp; TP'!$E$3:$E$10005&amp;'DMR 001C TIN &amp; TP'!$B$3:$B$10005&amp;'DMR 001C TIN &amp; TP'!$A$3:$A$10005),0),MATCH('Reg 85'!$AG$11,'DMR 001C TIN &amp; TP'!$A$2:$M$2,0))),"")</f>
        <v/>
      </c>
      <c r="AI246" s="6" t="str">
        <f t="array" ref="AI246">_xlfn.IFNA((INDEX('DMR 001C TIN &amp; TP'!$A$3:$M$10005,MATCH(('Reg 85'!$X$6&amp;'Reg 85'!AI$10&amp;'Reg 85'!$B246),('DMR 001C TIN &amp; TP'!$E$3:$E$10005&amp;'DMR 001C TIN &amp; TP'!$B$3:$B$10005&amp;'DMR 001C TIN &amp; TP'!$A$3:$A$10005),0),MATCH('Reg 85'!$AG$11,'DMR 001C TIN &amp; TP'!$A$2:$M$2,0))),"")</f>
        <v/>
      </c>
      <c r="AJ246" s="6" t="str">
        <f t="array" ref="AJ246">_xlfn.IFNA((INDEX('DMR 001C TIN &amp; TP'!$A$3:$M$10005,MATCH(('Reg 85'!$X$6&amp;'Reg 85'!AJ$10&amp;'Reg 85'!$B246),('DMR 001C TIN &amp; TP'!$E$3:$E$10005&amp;'DMR 001C TIN &amp; TP'!$B$3:$B$10005&amp;'DMR 001C TIN &amp; TP'!$A$3:$A$10005),0),MATCH('Reg 85'!$AG$11,'DMR 001C TIN &amp; TP'!$A$2:$M$2,0))),"")</f>
        <v/>
      </c>
      <c r="AK246" s="6" t="str">
        <f t="array" ref="AK246">_xlfn.IFNA((INDEX('DMR 001C TIN &amp; TP'!$A$3:$M$10005,MATCH(('Reg 85'!$X$6&amp;'Reg 85'!AK$10&amp;'Reg 85'!$B246),('DMR 001C TIN &amp; TP'!$E$3:$E$10005&amp;'DMR 001C TIN &amp; TP'!$B$3:$B$10005&amp;'DMR 001C TIN &amp; TP'!$A$3:$A$10005),0),MATCH('Reg 85'!$AG$11,'DMR 001C TIN &amp; TP'!$A$2:$M$2,0))),"")</f>
        <v/>
      </c>
      <c r="AL246" s="6" t="str">
        <f t="array" ref="AL246">_xlfn.IFNA((INDEX('DMR 001C TIN &amp; TP'!$A$3:$M$10005,MATCH(('Reg 85'!$X$6&amp;'Reg 85'!AL$10&amp;'Reg 85'!$B246),('DMR 001C TIN &amp; TP'!$E$3:$E$10005&amp;'DMR 001C TIN &amp; TP'!$B$3:$B$10005&amp;'DMR 001C TIN &amp; TP'!$A$3:$A$10005),0),MATCH('Reg 85'!$AG$11,'DMR 001C TIN &amp; TP'!$A$2:$M$2,0))),"")</f>
        <v/>
      </c>
      <c r="AM246" s="76"/>
      <c r="AN246" s="6"/>
      <c r="AO246" s="54" t="str">
        <f t="shared" si="83"/>
        <v/>
      </c>
      <c r="AP246" s="77" t="str">
        <f t="shared" si="102"/>
        <v/>
      </c>
      <c r="AQ246" s="47"/>
      <c r="AR246" s="6" t="str">
        <f t="array" ref="AR246">_xlfn.IFNA((INDEX('DMR 001C TIN &amp; TP'!$A$3:$M$10005,MATCH(('Reg 85'!$AQ$6&amp;'Reg 85'!$AQ$10&amp;'Reg 85'!$B246),('DMR 001C TIN &amp; TP'!$E$3:$E$10005&amp;'DMR 001C TIN &amp; TP'!$B$3:$B$10005&amp;'DMR 001C TIN &amp; TP'!$A$3:$A$10005),0),MATCH('Reg 85'!$AR$11,'DMR 001C TIN &amp; TP'!$A$2:$M$2,0))),"")</f>
        <v>0.03</v>
      </c>
      <c r="AS246" s="6">
        <f t="array" ref="AS246">_xlfn.IFNA((INDEX('DMR 001C TIN &amp; TP'!$A$3:$M$10005,MATCH(('Reg 85'!$AQ$6&amp;'Reg 85'!$AQ$10&amp;'Reg 85'!$B246),('DMR 001C TIN &amp; TP'!$E$3:$E$10005&amp;'DMR 001C TIN &amp; TP'!$B$3:$B$10005&amp;'DMR 001C TIN &amp; TP'!$A$3:$A$10005),0),MATCH('Reg 85'!$AS$11,'DMR 001C TIN &amp; TP'!$A$2:$M$2,0))),"")</f>
        <v>0.25</v>
      </c>
      <c r="AT246" s="53">
        <f t="shared" si="97"/>
        <v>0.25</v>
      </c>
      <c r="AV246" s="6" t="str">
        <f t="array" ref="AV246">_xlfn.IFNA((INDEX('DMR 001C TIN &amp; TP'!$A$3:$M$10005,MATCH(('Reg 85'!$AQ$6&amp;'Reg 85'!$AU$10&amp;'Reg 85'!$B246),('DMR 001C TIN &amp; TP'!$E$3:$E$10005&amp;'DMR 001C TIN &amp; TP'!$B$3:$B$10005&amp;'DMR 001C TIN &amp; TP'!$A$3:$A$10005),0),MATCH('Reg 85'!$AV$11,'DMR 001C TIN &amp; TP'!$A$2:$M$2,0))),"")</f>
        <v>0.03</v>
      </c>
      <c r="AW246" s="6">
        <f t="array" ref="AW246">_xlfn.IFNA((INDEX('DMR 001C TIN &amp; TP'!$A$3:$M$10005,MATCH(('Reg 85'!$AQ$6&amp;'Reg 85'!$AU$10&amp;'Reg 85'!$B246),('DMR 001C TIN &amp; TP'!$E$3:$E$10005&amp;'DMR 001C TIN &amp; TP'!$B$3:$B$10005&amp;'DMR 001C TIN &amp; TP'!$A$3:$A$10005),0),MATCH('Reg 85'!$AW$11,'DMR 001C TIN &amp; TP'!$A$2:$M$2,0))),"")</f>
        <v>3.91</v>
      </c>
      <c r="AX246" s="53">
        <f t="shared" si="98"/>
        <v>3.91</v>
      </c>
      <c r="AY246" s="55">
        <f t="shared" si="99"/>
        <v>1.9453774970492623</v>
      </c>
      <c r="AZ246" s="77" t="str">
        <f t="shared" si="103"/>
        <v/>
      </c>
      <c r="BA246" s="6" t="str">
        <f t="array" ref="BA246">_xlfn.IFNA((INDEX('DMR 001C TIN &amp; TP'!$A$3:$M$10005,MATCH(('Reg 85'!$AQ$6&amp;'Reg 85'!BA$10&amp;'Reg 85'!$B246),('DMR 001C TIN &amp; TP'!$E$3:$E$10005&amp;'DMR 001C TIN &amp; TP'!$B$3:$B$10005&amp;'DMR 001C TIN &amp; TP'!$A$3:$A$10005),0),MATCH('Reg 85'!$AG$11,'DMR 001C TIN &amp; TP'!$A$2:$M$2,0))),"")</f>
        <v/>
      </c>
      <c r="BB246" s="6" t="str">
        <f t="array" ref="BB246">_xlfn.IFNA((INDEX('DMR 001C TIN &amp; TP'!$A$3:$M$10005,MATCH(('Reg 85'!$AQ$6&amp;'Reg 85'!BB$10&amp;'Reg 85'!$B246),('DMR 001C TIN &amp; TP'!$E$3:$E$10005&amp;'DMR 001C TIN &amp; TP'!$B$3:$B$10005&amp;'DMR 001C TIN &amp; TP'!$A$3:$A$10005),0),MATCH('Reg 85'!$AG$11,'DMR 001C TIN &amp; TP'!$A$2:$M$2,0))),"")</f>
        <v/>
      </c>
      <c r="BC246" s="6" t="str">
        <f t="array" ref="BC246">_xlfn.IFNA((INDEX('DMR 001C TIN &amp; TP'!$A$3:$M$10005,MATCH(('Reg 85'!$AQ$6&amp;'Reg 85'!BC$10&amp;'Reg 85'!$B246),('DMR 001C TIN &amp; TP'!$E$3:$E$10005&amp;'DMR 001C TIN &amp; TP'!$B$3:$B$10005&amp;'DMR 001C TIN &amp; TP'!$A$3:$A$10005),0),MATCH('Reg 85'!$AG$11,'DMR 001C TIN &amp; TP'!$A$2:$M$2,0))),"")</f>
        <v/>
      </c>
      <c r="BD246" s="6" t="str">
        <f t="array" ref="BD246">_xlfn.IFNA((INDEX('DMR 001C TIN &amp; TP'!$A$3:$M$10005,MATCH(('Reg 85'!$AQ$6&amp;'Reg 85'!BD$10&amp;'Reg 85'!$B246),('DMR 001C TIN &amp; TP'!$E$3:$E$10005&amp;'DMR 001C TIN &amp; TP'!$B$3:$B$10005&amp;'DMR 001C TIN &amp; TP'!$A$3:$A$10005),0),MATCH('Reg 85'!$AG$11,'DMR 001C TIN &amp; TP'!$A$2:$M$2,0))),"")</f>
        <v/>
      </c>
      <c r="BE246" s="6" t="str">
        <f t="array" ref="BE246">_xlfn.IFNA((INDEX('DMR 001C TIN &amp; TP'!$A$3:$M$10005,MATCH(('Reg 85'!$AQ$6&amp;'Reg 85'!BE$10&amp;'Reg 85'!$B246),('DMR 001C TIN &amp; TP'!$E$3:$E$10005&amp;'DMR 001C TIN &amp; TP'!$B$3:$B$10005&amp;'DMR 001C TIN &amp; TP'!$A$3:$A$10005),0),MATCH('Reg 85'!$AG$11,'DMR 001C TIN &amp; TP'!$A$2:$M$2,0))),"")</f>
        <v/>
      </c>
      <c r="BF246" s="6" t="str">
        <f t="array" ref="BF246">_xlfn.IFNA((INDEX('DMR 001C TIN &amp; TP'!$A$3:$M$10005,MATCH(('Reg 85'!$AQ$6&amp;'Reg 85'!BF$10&amp;'Reg 85'!$B246),('DMR 001C TIN &amp; TP'!$E$3:$E$10005&amp;'DMR 001C TIN &amp; TP'!$B$3:$B$10005&amp;'DMR 001C TIN &amp; TP'!$A$3:$A$10005),0),MATCH('Reg 85'!$AG$11,'DMR 001C TIN &amp; TP'!$A$2:$M$2,0))),"")</f>
        <v/>
      </c>
    </row>
    <row r="247" spans="1:58">
      <c r="A247" s="3" t="str">
        <f t="shared" si="84"/>
        <v>Wed</v>
      </c>
      <c r="B247" s="96">
        <f t="shared" si="100"/>
        <v>43579</v>
      </c>
      <c r="C247" s="96">
        <f t="shared" si="85"/>
        <v>43585</v>
      </c>
      <c r="D247" s="96">
        <f t="shared" si="86"/>
        <v>43556</v>
      </c>
      <c r="E247" s="95">
        <f t="shared" si="87"/>
        <v>30</v>
      </c>
      <c r="F247" s="7">
        <f t="array" ref="F247">_xlfn.IFNA(INDEX('DMR Flows-Effluent'!$A$3:$F$9999,MATCH(($F$10&amp;$B247),('DMR Flows-Effluent'!$B$3:$B$9999&amp;'DMR Flows-Effluent'!$A$3:$A$9999),0),MATCH($F$8,'DMR Flows-Effluent'!$A$2:$F$2,0)),"")</f>
        <v>67.564599999999999</v>
      </c>
      <c r="G247" s="7">
        <f t="array" ref="G247">_xlfn.IFNA(INDEX('DMR Flows-Effluent'!$A$3:$F$9999,MATCH(($G$10&amp;$B247),('DMR Flows-Effluent'!$B$3:$B$9999&amp;'DMR Flows-Effluent'!$A$3:$A$9999),0),MATCH($F$8,'DMR Flows-Effluent'!$A$2:$F$2,0)),"")</f>
        <v>55.962600000000002</v>
      </c>
      <c r="H247" s="7">
        <f t="shared" si="88"/>
        <v>123.52719999999999</v>
      </c>
      <c r="I247" s="45" t="str">
        <f t="shared" si="89"/>
        <v/>
      </c>
      <c r="J247" s="6" t="str">
        <f t="array" ref="J247">_xlfn.IFNA((INDEX('DMR 001C TIN &amp; TP'!$A$3:$M$10005,MATCH(('Reg 85'!$I$6:$Q$6&amp;'Reg 85'!$I$10:$K$10&amp;'Reg 85'!$B247),('DMR 001C TIN &amp; TP'!$E$3:$E$10005&amp;'DMR 001C TIN &amp; TP'!$B$3:$B$10005&amp;'DMR 001C TIN &amp; TP'!$A$3:$A$10005),0),MATCH('Reg 85'!$J$11,'DMR 001C TIN &amp; TP'!$A$2:$M$2,0))),"")</f>
        <v>0.15</v>
      </c>
      <c r="K247" s="6">
        <f t="array" ref="K247">_xlfn.IFNA((INDEX('DMR 001C TIN &amp; TP'!$A$3:$M$10005,MATCH(('Reg 85'!$I$6:$Q$6&amp;'Reg 85'!$I$10:$K$10&amp;'Reg 85'!$B247),('DMR 001C TIN &amp; TP'!$E$3:$E$10005&amp;'DMR 001C TIN &amp; TP'!$B$3:$B$10005&amp;'DMR 001C TIN &amp; TP'!$A$3:$A$10005),0),MATCH('Reg 85'!$K$11,'DMR 001C TIN &amp; TP'!$A$2:$M$2,0))),"")</f>
        <v>0.55000000000000004</v>
      </c>
      <c r="L247" s="53">
        <f t="shared" si="101"/>
        <v>0.55000000000000004</v>
      </c>
      <c r="M247" s="5" t="str">
        <f t="shared" si="90"/>
        <v/>
      </c>
      <c r="N247" s="6" t="str">
        <f t="array" ref="N247">_xlfn.IFNA((INDEX('DMR 001C TIN &amp; TP'!$A$3:$M$10005,MATCH(('Reg 85'!$I$6:$Q$6&amp;'Reg 85'!$M$10&amp;'Reg 85'!$B247),('DMR 001C TIN &amp; TP'!$E$3:$E$10005&amp;'DMR 001C TIN &amp; TP'!$B$3:$B$10005&amp;'DMR 001C TIN &amp; TP'!$A$3:$A$10005),0),MATCH('Reg 85'!$N$11,'DMR 001C TIN &amp; TP'!$A$2:$M$2,0))),"")</f>
        <v>0.15</v>
      </c>
      <c r="O247" s="6">
        <f t="array" ref="O247">_xlfn.IFNA((INDEX('DMR 001C TIN &amp; TP'!$A$3:$M$10005,MATCH(('Reg 85'!$I$6:$Q$6&amp;'Reg 85'!$M$10&amp;'Reg 85'!$B247),('DMR 001C TIN &amp; TP'!$E$3:$E$10005&amp;'DMR 001C TIN &amp; TP'!$B$3:$B$10005&amp;'DMR 001C TIN &amp; TP'!$A$3:$A$10005),0),MATCH('Reg 85'!$O$11,'DMR 001C TIN &amp; TP'!$A$2:$M$2,0))),"")</f>
        <v>3.46</v>
      </c>
      <c r="P247" s="53">
        <f t="shared" si="91"/>
        <v>3.46</v>
      </c>
      <c r="Q247" s="73">
        <f t="array" ref="Q247">IFERROR(((L247*$F247)+(P247*$G247))/($H247),"")</f>
        <v>1.8683425674669223</v>
      </c>
      <c r="R247" s="6" t="str">
        <f t="array" ref="R247">_xlfn.IFNA((INDEX('DMR 001C TIN &amp; TP'!$A$3:$M$10005,MATCH(('Reg 85'!$I$6:$Q$6&amp;'Reg 85'!R$10&amp;'Reg 85'!$B247),('DMR 001C TIN &amp; TP'!$E$3:$E$10005&amp;'DMR 001C TIN &amp; TP'!$B$3:$B$10005&amp;'DMR 001C TIN &amp; TP'!$A$3:$A$10005),0),MATCH('Reg 85'!$O$11,'DMR 001C TIN &amp; TP'!$A$2:$M$2,0))),"")</f>
        <v/>
      </c>
      <c r="S247" s="6" t="str">
        <f t="array" ref="S247">_xlfn.IFNA((INDEX('DMR 001C TIN &amp; TP'!$A$3:$M$10005,MATCH(('Reg 85'!$I$6:$Q$6&amp;'Reg 85'!S$10&amp;'Reg 85'!$B247),('DMR 001C TIN &amp; TP'!$E$3:$E$10005&amp;'DMR 001C TIN &amp; TP'!$B$3:$B$10005&amp;'DMR 001C TIN &amp; TP'!$A$3:$A$10005),0),MATCH('Reg 85'!$O$11,'DMR 001C TIN &amp; TP'!$A$2:$M$2,0))),"")</f>
        <v/>
      </c>
      <c r="T247" s="6" t="str">
        <f t="array" ref="T247">_xlfn.IFNA((INDEX('DMR 001C TIN &amp; TP'!$A$3:$M$10005,MATCH(('Reg 85'!$I$6:$Q$6&amp;'Reg 85'!T$10&amp;'Reg 85'!$B247),('DMR 001C TIN &amp; TP'!$E$3:$E$10005&amp;'DMR 001C TIN &amp; TP'!$B$3:$B$10005&amp;'DMR 001C TIN &amp; TP'!$A$3:$A$10005),0),MATCH('Reg 85'!$O$11,'DMR 001C TIN &amp; TP'!$A$2:$M$2,0))),"")</f>
        <v/>
      </c>
      <c r="U247" s="6">
        <f t="array" ref="U247">_xlfn.IFNA((INDEX('DMR 001C TIN &amp; TP'!$A$3:$M$10005,MATCH(('Reg 85'!$I$6:$Q$6&amp;'Reg 85'!U$10&amp;'Reg 85'!$B247),('DMR 001C TIN &amp; TP'!$E$3:$E$10005&amp;'DMR 001C TIN &amp; TP'!$B$3:$B$10005&amp;'DMR 001C TIN &amp; TP'!$A$3:$A$10005),0),MATCH('Reg 85'!$O$11,'DMR 001C TIN &amp; TP'!$A$2:$M$2,0))),"")</f>
        <v>1.47</v>
      </c>
      <c r="V247" s="6" t="str">
        <f t="array" ref="V247">_xlfn.IFNA((INDEX('DMR 001C TIN &amp; TP'!$A$3:$M$10005,MATCH(('Reg 85'!$I$6:$Q$6&amp;'Reg 85'!V$10&amp;'Reg 85'!$B247),('DMR 001C TIN &amp; TP'!$E$3:$E$10005&amp;'DMR 001C TIN &amp; TP'!$B$3:$B$10005&amp;'DMR 001C TIN &amp; TP'!$A$3:$A$10005),0),MATCH('Reg 85'!$O$11,'DMR 001C TIN &amp; TP'!$A$2:$M$2,0))),"")</f>
        <v/>
      </c>
      <c r="W247" s="6" t="str">
        <f t="array" ref="W247">_xlfn.IFNA((INDEX('DMR 001C TIN &amp; TP'!$A$3:$M$10005,MATCH(('Reg 85'!$I$6:$Q$6&amp;'Reg 85'!W$10&amp;'Reg 85'!$B247),('DMR 001C TIN &amp; TP'!$E$3:$E$10005&amp;'DMR 001C TIN &amp; TP'!$B$3:$B$10005&amp;'DMR 001C TIN &amp; TP'!$A$3:$A$10005),0),MATCH('Reg 85'!$O$11,'DMR 001C TIN &amp; TP'!$A$2:$M$2,0))),"")</f>
        <v/>
      </c>
      <c r="X247" s="5" t="str">
        <f t="shared" si="92"/>
        <v/>
      </c>
      <c r="Y247" s="6" t="str">
        <f t="array" ref="Y247">_xlfn.IFNA((INDEX('DMR 001C TIN &amp; TP'!$A$3:$M$10005,MATCH(('Reg 85'!$X$6&amp;'Reg 85'!$X$10&amp;'Reg 85'!$B247),('DMR 001C TIN &amp; TP'!$E$3:$E$10005&amp;'DMR 001C TIN &amp; TP'!$B$3:$B$10005&amp;'DMR 001C TIN &amp; TP'!$A$3:$A$10005),0),MATCH('Reg 85'!$Y$11,'DMR 001C TIN &amp; TP'!$A$2:$M$2,0))),"")</f>
        <v>0.06</v>
      </c>
      <c r="Z247" s="6">
        <f t="array" ref="Z247">_xlfn.IFNA((INDEX('DMR 001C TIN &amp; TP'!$A$3:$M$10005,MATCH(('Reg 85'!$X$6&amp;'Reg 85'!$X$10&amp;'Reg 85'!$B247),('DMR 001C TIN &amp; TP'!$E$3:$E$10005&amp;'DMR 001C TIN &amp; TP'!$B$3:$B$10005&amp;'DMR 001C TIN &amp; TP'!$A$3:$A$10005),0),MATCH('Reg 85'!$Z$11,'DMR 001C TIN &amp; TP'!$A$2:$M$2,0))),"")</f>
        <v>5.24</v>
      </c>
      <c r="AA247" s="53">
        <f t="shared" si="93"/>
        <v>5.24</v>
      </c>
      <c r="AB247" s="5" t="str">
        <f t="shared" si="94"/>
        <v/>
      </c>
      <c r="AC247" s="6" t="str">
        <f t="array" ref="AC247">_xlfn.IFNA((INDEX('DMR 001C TIN &amp; TP'!$A$3:$M$10005,MATCH(('Reg 85'!$X$6&amp;'Reg 85'!$AB$10&amp;'Reg 85'!$B247),('DMR 001C TIN &amp; TP'!$E$3:$E$10005&amp;'DMR 001C TIN &amp; TP'!$B$3:$B$10005&amp;'DMR 001C TIN &amp; TP'!$A$3:$A$10005),0),MATCH('Reg 85'!$AC$11,'DMR 001C TIN &amp; TP'!$A$2:$M$2,0))),"")</f>
        <v>0.18</v>
      </c>
      <c r="AD247" s="6">
        <f t="array" ref="AD247">_xlfn.IFNA((INDEX('DMR 001C TIN &amp; TP'!$A$3:$M$10005,MATCH(('Reg 85'!$X$6&amp;'Reg 85'!$AB$10&amp;'Reg 85'!$B247),('DMR 001C TIN &amp; TP'!$E$3:$E$10005&amp;'DMR 001C TIN &amp; TP'!$B$3:$B$10005&amp;'DMR 001C TIN &amp; TP'!$A$3:$A$10005),0),MATCH('Reg 85'!$AD$11,'DMR 001C TIN &amp; TP'!$A$2:$M$2,0))),"")</f>
        <v>6.59</v>
      </c>
      <c r="AE247" s="53">
        <f t="shared" si="95"/>
        <v>6.59</v>
      </c>
      <c r="AF247" s="7">
        <f t="shared" si="96"/>
        <v>5.8516022220207375</v>
      </c>
      <c r="AG247" s="6" t="str">
        <f t="array" ref="AG247">_xlfn.IFNA((INDEX('DMR 001C TIN &amp; TP'!$A$3:$M$10005,MATCH(('Reg 85'!$X$6&amp;'Reg 85'!AG$10&amp;'Reg 85'!$B247),('DMR 001C TIN &amp; TP'!$E$3:$E$10005&amp;'DMR 001C TIN &amp; TP'!$B$3:$B$10005&amp;'DMR 001C TIN &amp; TP'!$A$3:$A$10005),0),MATCH('Reg 85'!$AG$11,'DMR 001C TIN &amp; TP'!$A$2:$M$2,0))),"")</f>
        <v/>
      </c>
      <c r="AH247" s="6" t="str">
        <f t="array" ref="AH247">_xlfn.IFNA((INDEX('DMR 001C TIN &amp; TP'!$A$3:$M$10005,MATCH(('Reg 85'!$X$6&amp;'Reg 85'!AH$10&amp;'Reg 85'!$B247),('DMR 001C TIN &amp; TP'!$E$3:$E$10005&amp;'DMR 001C TIN &amp; TP'!$B$3:$B$10005&amp;'DMR 001C TIN &amp; TP'!$A$3:$A$10005),0),MATCH('Reg 85'!$AG$11,'DMR 001C TIN &amp; TP'!$A$2:$M$2,0))),"")</f>
        <v/>
      </c>
      <c r="AI247" s="6" t="str">
        <f t="array" ref="AI247">_xlfn.IFNA((INDEX('DMR 001C TIN &amp; TP'!$A$3:$M$10005,MATCH(('Reg 85'!$X$6&amp;'Reg 85'!AI$10&amp;'Reg 85'!$B247),('DMR 001C TIN &amp; TP'!$E$3:$E$10005&amp;'DMR 001C TIN &amp; TP'!$B$3:$B$10005&amp;'DMR 001C TIN &amp; TP'!$A$3:$A$10005),0),MATCH('Reg 85'!$AG$11,'DMR 001C TIN &amp; TP'!$A$2:$M$2,0))),"")</f>
        <v/>
      </c>
      <c r="AJ247" s="6" t="str">
        <f t="array" ref="AJ247">_xlfn.IFNA((INDEX('DMR 001C TIN &amp; TP'!$A$3:$M$10005,MATCH(('Reg 85'!$X$6&amp;'Reg 85'!AJ$10&amp;'Reg 85'!$B247),('DMR 001C TIN &amp; TP'!$E$3:$E$10005&amp;'DMR 001C TIN &amp; TP'!$B$3:$B$10005&amp;'DMR 001C TIN &amp; TP'!$A$3:$A$10005),0),MATCH('Reg 85'!$AG$11,'DMR 001C TIN &amp; TP'!$A$2:$M$2,0))),"")</f>
        <v/>
      </c>
      <c r="AK247" s="6" t="str">
        <f t="array" ref="AK247">_xlfn.IFNA((INDEX('DMR 001C TIN &amp; TP'!$A$3:$M$10005,MATCH(('Reg 85'!$X$6&amp;'Reg 85'!AK$10&amp;'Reg 85'!$B247),('DMR 001C TIN &amp; TP'!$E$3:$E$10005&amp;'DMR 001C TIN &amp; TP'!$B$3:$B$10005&amp;'DMR 001C TIN &amp; TP'!$A$3:$A$10005),0),MATCH('Reg 85'!$AG$11,'DMR 001C TIN &amp; TP'!$A$2:$M$2,0))),"")</f>
        <v/>
      </c>
      <c r="AL247" s="6" t="str">
        <f t="array" ref="AL247">_xlfn.IFNA((INDEX('DMR 001C TIN &amp; TP'!$A$3:$M$10005,MATCH(('Reg 85'!$X$6&amp;'Reg 85'!AL$10&amp;'Reg 85'!$B247),('DMR 001C TIN &amp; TP'!$E$3:$E$10005&amp;'DMR 001C TIN &amp; TP'!$B$3:$B$10005&amp;'DMR 001C TIN &amp; TP'!$A$3:$A$10005),0),MATCH('Reg 85'!$AG$11,'DMR 001C TIN &amp; TP'!$A$2:$M$2,0))),"")</f>
        <v/>
      </c>
      <c r="AM247" s="76"/>
      <c r="AN247" s="6"/>
      <c r="AO247" s="54">
        <f t="shared" si="83"/>
        <v>7.7199447894876601</v>
      </c>
      <c r="AP247" s="77" t="str">
        <f t="shared" si="102"/>
        <v/>
      </c>
      <c r="AQ247" s="47"/>
      <c r="AR247" s="6" t="str">
        <f t="array" ref="AR247">_xlfn.IFNA((INDEX('DMR 001C TIN &amp; TP'!$A$3:$M$10005,MATCH(('Reg 85'!$AQ$6&amp;'Reg 85'!$AQ$10&amp;'Reg 85'!$B247),('DMR 001C TIN &amp; TP'!$E$3:$E$10005&amp;'DMR 001C TIN &amp; TP'!$B$3:$B$10005&amp;'DMR 001C TIN &amp; TP'!$A$3:$A$10005),0),MATCH('Reg 85'!$AR$11,'DMR 001C TIN &amp; TP'!$A$2:$M$2,0))),"")</f>
        <v/>
      </c>
      <c r="AS247" s="6" t="str">
        <f t="array" ref="AS247">_xlfn.IFNA((INDEX('DMR 001C TIN &amp; TP'!$A$3:$M$10005,MATCH(('Reg 85'!$AQ$6&amp;'Reg 85'!$AQ$10&amp;'Reg 85'!$B247),('DMR 001C TIN &amp; TP'!$E$3:$E$10005&amp;'DMR 001C TIN &amp; TP'!$B$3:$B$10005&amp;'DMR 001C TIN &amp; TP'!$A$3:$A$10005),0),MATCH('Reg 85'!$AS$11,'DMR 001C TIN &amp; TP'!$A$2:$M$2,0))),"")</f>
        <v/>
      </c>
      <c r="AT247" s="53" t="str">
        <f t="shared" si="97"/>
        <v/>
      </c>
      <c r="AV247" s="6" t="str">
        <f t="array" ref="AV247">_xlfn.IFNA((INDEX('DMR 001C TIN &amp; TP'!$A$3:$M$10005,MATCH(('Reg 85'!$AQ$6&amp;'Reg 85'!$AU$10&amp;'Reg 85'!$B247),('DMR 001C TIN &amp; TP'!$E$3:$E$10005&amp;'DMR 001C TIN &amp; TP'!$B$3:$B$10005&amp;'DMR 001C TIN &amp; TP'!$A$3:$A$10005),0),MATCH('Reg 85'!$AV$11,'DMR 001C TIN &amp; TP'!$A$2:$M$2,0))),"")</f>
        <v/>
      </c>
      <c r="AW247" s="6" t="str">
        <f t="array" ref="AW247">_xlfn.IFNA((INDEX('DMR 001C TIN &amp; TP'!$A$3:$M$10005,MATCH(('Reg 85'!$AQ$6&amp;'Reg 85'!$AU$10&amp;'Reg 85'!$B247),('DMR 001C TIN &amp; TP'!$E$3:$E$10005&amp;'DMR 001C TIN &amp; TP'!$B$3:$B$10005&amp;'DMR 001C TIN &amp; TP'!$A$3:$A$10005),0),MATCH('Reg 85'!$AW$11,'DMR 001C TIN &amp; TP'!$A$2:$M$2,0))),"")</f>
        <v/>
      </c>
      <c r="AX247" s="53" t="str">
        <f t="shared" si="98"/>
        <v/>
      </c>
      <c r="AY247" s="55" t="str">
        <f t="shared" si="99"/>
        <v/>
      </c>
      <c r="AZ247" s="77" t="str">
        <f t="shared" si="103"/>
        <v/>
      </c>
      <c r="BA247" s="6" t="str">
        <f t="array" ref="BA247">_xlfn.IFNA((INDEX('DMR 001C TIN &amp; TP'!$A$3:$M$10005,MATCH(('Reg 85'!$AQ$6&amp;'Reg 85'!BA$10&amp;'Reg 85'!$B247),('DMR 001C TIN &amp; TP'!$E$3:$E$10005&amp;'DMR 001C TIN &amp; TP'!$B$3:$B$10005&amp;'DMR 001C TIN &amp; TP'!$A$3:$A$10005),0),MATCH('Reg 85'!$AG$11,'DMR 001C TIN &amp; TP'!$A$2:$M$2,0))),"")</f>
        <v/>
      </c>
      <c r="BB247" s="6" t="str">
        <f t="array" ref="BB247">_xlfn.IFNA((INDEX('DMR 001C TIN &amp; TP'!$A$3:$M$10005,MATCH(('Reg 85'!$AQ$6&amp;'Reg 85'!BB$10&amp;'Reg 85'!$B247),('DMR 001C TIN &amp; TP'!$E$3:$E$10005&amp;'DMR 001C TIN &amp; TP'!$B$3:$B$10005&amp;'DMR 001C TIN &amp; TP'!$A$3:$A$10005),0),MATCH('Reg 85'!$AG$11,'DMR 001C TIN &amp; TP'!$A$2:$M$2,0))),"")</f>
        <v/>
      </c>
      <c r="BC247" s="6" t="str">
        <f t="array" ref="BC247">_xlfn.IFNA((INDEX('DMR 001C TIN &amp; TP'!$A$3:$M$10005,MATCH(('Reg 85'!$AQ$6&amp;'Reg 85'!BC$10&amp;'Reg 85'!$B247),('DMR 001C TIN &amp; TP'!$E$3:$E$10005&amp;'DMR 001C TIN &amp; TP'!$B$3:$B$10005&amp;'DMR 001C TIN &amp; TP'!$A$3:$A$10005),0),MATCH('Reg 85'!$AG$11,'DMR 001C TIN &amp; TP'!$A$2:$M$2,0))),"")</f>
        <v/>
      </c>
      <c r="BD247" s="6" t="str">
        <f t="array" ref="BD247">_xlfn.IFNA((INDEX('DMR 001C TIN &amp; TP'!$A$3:$M$10005,MATCH(('Reg 85'!$AQ$6&amp;'Reg 85'!BD$10&amp;'Reg 85'!$B247),('DMR 001C TIN &amp; TP'!$E$3:$E$10005&amp;'DMR 001C TIN &amp; TP'!$B$3:$B$10005&amp;'DMR 001C TIN &amp; TP'!$A$3:$A$10005),0),MATCH('Reg 85'!$AG$11,'DMR 001C TIN &amp; TP'!$A$2:$M$2,0))),"")</f>
        <v/>
      </c>
      <c r="BE247" s="6" t="str">
        <f t="array" ref="BE247">_xlfn.IFNA((INDEX('DMR 001C TIN &amp; TP'!$A$3:$M$10005,MATCH(('Reg 85'!$AQ$6&amp;'Reg 85'!BE$10&amp;'Reg 85'!$B247),('DMR 001C TIN &amp; TP'!$E$3:$E$10005&amp;'DMR 001C TIN &amp; TP'!$B$3:$B$10005&amp;'DMR 001C TIN &amp; TP'!$A$3:$A$10005),0),MATCH('Reg 85'!$AG$11,'DMR 001C TIN &amp; TP'!$A$2:$M$2,0))),"")</f>
        <v/>
      </c>
      <c r="BF247" s="6" t="str">
        <f t="array" ref="BF247">_xlfn.IFNA((INDEX('DMR 001C TIN &amp; TP'!$A$3:$M$10005,MATCH(('Reg 85'!$AQ$6&amp;'Reg 85'!BF$10&amp;'Reg 85'!$B247),('DMR 001C TIN &amp; TP'!$E$3:$E$10005&amp;'DMR 001C TIN &amp; TP'!$B$3:$B$10005&amp;'DMR 001C TIN &amp; TP'!$A$3:$A$10005),0),MATCH('Reg 85'!$AG$11,'DMR 001C TIN &amp; TP'!$A$2:$M$2,0))),"")</f>
        <v/>
      </c>
    </row>
    <row r="248" spans="1:58">
      <c r="A248" s="3" t="str">
        <f t="shared" si="84"/>
        <v>Thu</v>
      </c>
      <c r="B248" s="96">
        <f t="shared" si="100"/>
        <v>43580</v>
      </c>
      <c r="C248" s="96">
        <f t="shared" si="85"/>
        <v>43585</v>
      </c>
      <c r="D248" s="96">
        <f t="shared" si="86"/>
        <v>43556</v>
      </c>
      <c r="E248" s="95">
        <f t="shared" si="87"/>
        <v>30</v>
      </c>
      <c r="F248" s="7">
        <f t="array" ref="F248">_xlfn.IFNA(INDEX('DMR Flows-Effluent'!$A$3:$F$9999,MATCH(($F$10&amp;$B248),('DMR Flows-Effluent'!$B$3:$B$9999&amp;'DMR Flows-Effluent'!$A$3:$A$9999),0),MATCH($F$8,'DMR Flows-Effluent'!$A$2:$F$2,0)),"")</f>
        <v>64.622699999999995</v>
      </c>
      <c r="G248" s="7">
        <f t="array" ref="G248">_xlfn.IFNA(INDEX('DMR Flows-Effluent'!$A$3:$F$9999,MATCH(($G$10&amp;$B248),('DMR Flows-Effluent'!$B$3:$B$9999&amp;'DMR Flows-Effluent'!$A$3:$A$9999),0),MATCH($F$8,'DMR Flows-Effluent'!$A$2:$F$2,0)),"")</f>
        <v>55.792000000000002</v>
      </c>
      <c r="H248" s="7">
        <f t="shared" si="88"/>
        <v>120.4147</v>
      </c>
      <c r="I248" s="45" t="str">
        <f t="shared" si="89"/>
        <v/>
      </c>
      <c r="J248" s="6" t="str">
        <f t="array" ref="J248">_xlfn.IFNA((INDEX('DMR 001C TIN &amp; TP'!$A$3:$M$10005,MATCH(('Reg 85'!$I$6:$Q$6&amp;'Reg 85'!$I$10:$K$10&amp;'Reg 85'!$B248),('DMR 001C TIN &amp; TP'!$E$3:$E$10005&amp;'DMR 001C TIN &amp; TP'!$B$3:$B$10005&amp;'DMR 001C TIN &amp; TP'!$A$3:$A$10005),0),MATCH('Reg 85'!$J$11,'DMR 001C TIN &amp; TP'!$A$2:$M$2,0))),"")</f>
        <v>0.15</v>
      </c>
      <c r="K248" s="6">
        <f t="array" ref="K248">_xlfn.IFNA((INDEX('DMR 001C TIN &amp; TP'!$A$3:$M$10005,MATCH(('Reg 85'!$I$6:$Q$6&amp;'Reg 85'!$I$10:$K$10&amp;'Reg 85'!$B248),('DMR 001C TIN &amp; TP'!$E$3:$E$10005&amp;'DMR 001C TIN &amp; TP'!$B$3:$B$10005&amp;'DMR 001C TIN &amp; TP'!$A$3:$A$10005),0),MATCH('Reg 85'!$K$11,'DMR 001C TIN &amp; TP'!$A$2:$M$2,0))),"")</f>
        <v>0.43</v>
      </c>
      <c r="L248" s="53">
        <f t="shared" si="101"/>
        <v>0.43</v>
      </c>
      <c r="M248" s="5" t="str">
        <f t="shared" si="90"/>
        <v/>
      </c>
      <c r="N248" s="6" t="str">
        <f t="array" ref="N248">_xlfn.IFNA((INDEX('DMR 001C TIN &amp; TP'!$A$3:$M$10005,MATCH(('Reg 85'!$I$6:$Q$6&amp;'Reg 85'!$M$10&amp;'Reg 85'!$B248),('DMR 001C TIN &amp; TP'!$E$3:$E$10005&amp;'DMR 001C TIN &amp; TP'!$B$3:$B$10005&amp;'DMR 001C TIN &amp; TP'!$A$3:$A$10005),0),MATCH('Reg 85'!$N$11,'DMR 001C TIN &amp; TP'!$A$2:$M$2,0))),"")</f>
        <v>0.15</v>
      </c>
      <c r="O248" s="6">
        <f t="array" ref="O248">_xlfn.IFNA((INDEX('DMR 001C TIN &amp; TP'!$A$3:$M$10005,MATCH(('Reg 85'!$I$6:$Q$6&amp;'Reg 85'!$M$10&amp;'Reg 85'!$B248),('DMR 001C TIN &amp; TP'!$E$3:$E$10005&amp;'DMR 001C TIN &amp; TP'!$B$3:$B$10005&amp;'DMR 001C TIN &amp; TP'!$A$3:$A$10005),0),MATCH('Reg 85'!$O$11,'DMR 001C TIN &amp; TP'!$A$2:$M$2,0))),"")</f>
        <v>1.54</v>
      </c>
      <c r="P248" s="53">
        <f t="shared" si="91"/>
        <v>1.54</v>
      </c>
      <c r="Q248" s="73">
        <f t="array" ref="Q248">IFERROR(((L248*$F248)+(P248*$G248))/($H248),"")</f>
        <v>0.9442986695146024</v>
      </c>
      <c r="R248" s="6" t="str">
        <f t="array" ref="R248">_xlfn.IFNA((INDEX('DMR 001C TIN &amp; TP'!$A$3:$M$10005,MATCH(('Reg 85'!$I$6:$Q$6&amp;'Reg 85'!R$10&amp;'Reg 85'!$B248),('DMR 001C TIN &amp; TP'!$E$3:$E$10005&amp;'DMR 001C TIN &amp; TP'!$B$3:$B$10005&amp;'DMR 001C TIN &amp; TP'!$A$3:$A$10005),0),MATCH('Reg 85'!$O$11,'DMR 001C TIN &amp; TP'!$A$2:$M$2,0))),"")</f>
        <v/>
      </c>
      <c r="S248" s="6" t="str">
        <f t="array" ref="S248">_xlfn.IFNA((INDEX('DMR 001C TIN &amp; TP'!$A$3:$M$10005,MATCH(('Reg 85'!$I$6:$Q$6&amp;'Reg 85'!S$10&amp;'Reg 85'!$B248),('DMR 001C TIN &amp; TP'!$E$3:$E$10005&amp;'DMR 001C TIN &amp; TP'!$B$3:$B$10005&amp;'DMR 001C TIN &amp; TP'!$A$3:$A$10005),0),MATCH('Reg 85'!$O$11,'DMR 001C TIN &amp; TP'!$A$2:$M$2,0))),"")</f>
        <v/>
      </c>
      <c r="T248" s="6" t="str">
        <f t="array" ref="T248">_xlfn.IFNA((INDEX('DMR 001C TIN &amp; TP'!$A$3:$M$10005,MATCH(('Reg 85'!$I$6:$Q$6&amp;'Reg 85'!T$10&amp;'Reg 85'!$B248),('DMR 001C TIN &amp; TP'!$E$3:$E$10005&amp;'DMR 001C TIN &amp; TP'!$B$3:$B$10005&amp;'DMR 001C TIN &amp; TP'!$A$3:$A$10005),0),MATCH('Reg 85'!$O$11,'DMR 001C TIN &amp; TP'!$A$2:$M$2,0))),"")</f>
        <v/>
      </c>
      <c r="U248" s="6" t="str">
        <f t="array" ref="U248">_xlfn.IFNA((INDEX('DMR 001C TIN &amp; TP'!$A$3:$M$10005,MATCH(('Reg 85'!$I$6:$Q$6&amp;'Reg 85'!U$10&amp;'Reg 85'!$B248),('DMR 001C TIN &amp; TP'!$E$3:$E$10005&amp;'DMR 001C TIN &amp; TP'!$B$3:$B$10005&amp;'DMR 001C TIN &amp; TP'!$A$3:$A$10005),0),MATCH('Reg 85'!$O$11,'DMR 001C TIN &amp; TP'!$A$2:$M$2,0))),"")</f>
        <v/>
      </c>
      <c r="V248" s="6" t="str">
        <f t="array" ref="V248">_xlfn.IFNA((INDEX('DMR 001C TIN &amp; TP'!$A$3:$M$10005,MATCH(('Reg 85'!$I$6:$Q$6&amp;'Reg 85'!V$10&amp;'Reg 85'!$B248),('DMR 001C TIN &amp; TP'!$E$3:$E$10005&amp;'DMR 001C TIN &amp; TP'!$B$3:$B$10005&amp;'DMR 001C TIN &amp; TP'!$A$3:$A$10005),0),MATCH('Reg 85'!$O$11,'DMR 001C TIN &amp; TP'!$A$2:$M$2,0))),"")</f>
        <v/>
      </c>
      <c r="W248" s="6" t="str">
        <f t="array" ref="W248">_xlfn.IFNA((INDEX('DMR 001C TIN &amp; TP'!$A$3:$M$10005,MATCH(('Reg 85'!$I$6:$Q$6&amp;'Reg 85'!W$10&amp;'Reg 85'!$B248),('DMR 001C TIN &amp; TP'!$E$3:$E$10005&amp;'DMR 001C TIN &amp; TP'!$B$3:$B$10005&amp;'DMR 001C TIN &amp; TP'!$A$3:$A$10005),0),MATCH('Reg 85'!$O$11,'DMR 001C TIN &amp; TP'!$A$2:$M$2,0))),"")</f>
        <v/>
      </c>
      <c r="X248" s="5" t="str">
        <f t="shared" si="92"/>
        <v/>
      </c>
      <c r="Y248" s="6" t="str">
        <f t="array" ref="Y248">_xlfn.IFNA((INDEX('DMR 001C TIN &amp; TP'!$A$3:$M$10005,MATCH(('Reg 85'!$X$6&amp;'Reg 85'!$X$10&amp;'Reg 85'!$B248),('DMR 001C TIN &amp; TP'!$E$3:$E$10005&amp;'DMR 001C TIN &amp; TP'!$B$3:$B$10005&amp;'DMR 001C TIN &amp; TP'!$A$3:$A$10005),0),MATCH('Reg 85'!$Y$11,'DMR 001C TIN &amp; TP'!$A$2:$M$2,0))),"")</f>
        <v>0.06</v>
      </c>
      <c r="Z248" s="6">
        <f t="array" ref="Z248">_xlfn.IFNA((INDEX('DMR 001C TIN &amp; TP'!$A$3:$M$10005,MATCH(('Reg 85'!$X$6&amp;'Reg 85'!$X$10&amp;'Reg 85'!$B248),('DMR 001C TIN &amp; TP'!$E$3:$E$10005&amp;'DMR 001C TIN &amp; TP'!$B$3:$B$10005&amp;'DMR 001C TIN &amp; TP'!$A$3:$A$10005),0),MATCH('Reg 85'!$Z$11,'DMR 001C TIN &amp; TP'!$A$2:$M$2,0))),"")</f>
        <v>5.54</v>
      </c>
      <c r="AA248" s="53">
        <f t="shared" si="93"/>
        <v>5.54</v>
      </c>
      <c r="AB248" s="5" t="str">
        <f t="shared" si="94"/>
        <v/>
      </c>
      <c r="AC248" s="6" t="str">
        <f t="array" ref="AC248">_xlfn.IFNA((INDEX('DMR 001C TIN &amp; TP'!$A$3:$M$10005,MATCH(('Reg 85'!$X$6&amp;'Reg 85'!$AB$10&amp;'Reg 85'!$B248),('DMR 001C TIN &amp; TP'!$E$3:$E$10005&amp;'DMR 001C TIN &amp; TP'!$B$3:$B$10005&amp;'DMR 001C TIN &amp; TP'!$A$3:$A$10005),0),MATCH('Reg 85'!$AC$11,'DMR 001C TIN &amp; TP'!$A$2:$M$2,0))),"")</f>
        <v>0.06</v>
      </c>
      <c r="AD248" s="6">
        <f t="array" ref="AD248">_xlfn.IFNA((INDEX('DMR 001C TIN &amp; TP'!$A$3:$M$10005,MATCH(('Reg 85'!$X$6&amp;'Reg 85'!$AB$10&amp;'Reg 85'!$B248),('DMR 001C TIN &amp; TP'!$E$3:$E$10005&amp;'DMR 001C TIN &amp; TP'!$B$3:$B$10005&amp;'DMR 001C TIN &amp; TP'!$A$3:$A$10005),0),MATCH('Reg 85'!$AD$11,'DMR 001C TIN &amp; TP'!$A$2:$M$2,0))),"")</f>
        <v>5.0999999999999996</v>
      </c>
      <c r="AE248" s="53">
        <f t="shared" si="95"/>
        <v>5.0999999999999996</v>
      </c>
      <c r="AF248" s="7">
        <f t="shared" si="96"/>
        <v>5.33613386073295</v>
      </c>
      <c r="AG248" s="6" t="str">
        <f t="array" ref="AG248">_xlfn.IFNA((INDEX('DMR 001C TIN &amp; TP'!$A$3:$M$10005,MATCH(('Reg 85'!$X$6&amp;'Reg 85'!AG$10&amp;'Reg 85'!$B248),('DMR 001C TIN &amp; TP'!$E$3:$E$10005&amp;'DMR 001C TIN &amp; TP'!$B$3:$B$10005&amp;'DMR 001C TIN &amp; TP'!$A$3:$A$10005),0),MATCH('Reg 85'!$AG$11,'DMR 001C TIN &amp; TP'!$A$2:$M$2,0))),"")</f>
        <v/>
      </c>
      <c r="AH248" s="6" t="str">
        <f t="array" ref="AH248">_xlfn.IFNA((INDEX('DMR 001C TIN &amp; TP'!$A$3:$M$10005,MATCH(('Reg 85'!$X$6&amp;'Reg 85'!AH$10&amp;'Reg 85'!$B248),('DMR 001C TIN &amp; TP'!$E$3:$E$10005&amp;'DMR 001C TIN &amp; TP'!$B$3:$B$10005&amp;'DMR 001C TIN &amp; TP'!$A$3:$A$10005),0),MATCH('Reg 85'!$AG$11,'DMR 001C TIN &amp; TP'!$A$2:$M$2,0))),"")</f>
        <v/>
      </c>
      <c r="AI248" s="6" t="str">
        <f t="array" ref="AI248">_xlfn.IFNA((INDEX('DMR 001C TIN &amp; TP'!$A$3:$M$10005,MATCH(('Reg 85'!$X$6&amp;'Reg 85'!AI$10&amp;'Reg 85'!$B248),('DMR 001C TIN &amp; TP'!$E$3:$E$10005&amp;'DMR 001C TIN &amp; TP'!$B$3:$B$10005&amp;'DMR 001C TIN &amp; TP'!$A$3:$A$10005),0),MATCH('Reg 85'!$AG$11,'DMR 001C TIN &amp; TP'!$A$2:$M$2,0))),"")</f>
        <v/>
      </c>
      <c r="AJ248" s="6" t="str">
        <f t="array" ref="AJ248">_xlfn.IFNA((INDEX('DMR 001C TIN &amp; TP'!$A$3:$M$10005,MATCH(('Reg 85'!$X$6&amp;'Reg 85'!AJ$10&amp;'Reg 85'!$B248),('DMR 001C TIN &amp; TP'!$E$3:$E$10005&amp;'DMR 001C TIN &amp; TP'!$B$3:$B$10005&amp;'DMR 001C TIN &amp; TP'!$A$3:$A$10005),0),MATCH('Reg 85'!$AG$11,'DMR 001C TIN &amp; TP'!$A$2:$M$2,0))),"")</f>
        <v/>
      </c>
      <c r="AK248" s="6" t="str">
        <f t="array" ref="AK248">_xlfn.IFNA((INDEX('DMR 001C TIN &amp; TP'!$A$3:$M$10005,MATCH(('Reg 85'!$X$6&amp;'Reg 85'!AK$10&amp;'Reg 85'!$B248),('DMR 001C TIN &amp; TP'!$E$3:$E$10005&amp;'DMR 001C TIN &amp; TP'!$B$3:$B$10005&amp;'DMR 001C TIN &amp; TP'!$A$3:$A$10005),0),MATCH('Reg 85'!$AG$11,'DMR 001C TIN &amp; TP'!$A$2:$M$2,0))),"")</f>
        <v/>
      </c>
      <c r="AL248" s="6" t="str">
        <f t="array" ref="AL248">_xlfn.IFNA((INDEX('DMR 001C TIN &amp; TP'!$A$3:$M$10005,MATCH(('Reg 85'!$X$6&amp;'Reg 85'!AL$10&amp;'Reg 85'!$B248),('DMR 001C TIN &amp; TP'!$E$3:$E$10005&amp;'DMR 001C TIN &amp; TP'!$B$3:$B$10005&amp;'DMR 001C TIN &amp; TP'!$A$3:$A$10005),0),MATCH('Reg 85'!$AG$11,'DMR 001C TIN &amp; TP'!$A$2:$M$2,0))),"")</f>
        <v/>
      </c>
      <c r="AM248" s="76"/>
      <c r="AN248" s="6"/>
      <c r="AO248" s="54">
        <f t="shared" si="83"/>
        <v>6.2804325302475528</v>
      </c>
      <c r="AP248" s="77" t="str">
        <f t="shared" si="102"/>
        <v/>
      </c>
      <c r="AQ248" s="47"/>
      <c r="AR248" s="6" t="str">
        <f t="array" ref="AR248">_xlfn.IFNA((INDEX('DMR 001C TIN &amp; TP'!$A$3:$M$10005,MATCH(('Reg 85'!$AQ$6&amp;'Reg 85'!$AQ$10&amp;'Reg 85'!$B248),('DMR 001C TIN &amp; TP'!$E$3:$E$10005&amp;'DMR 001C TIN &amp; TP'!$B$3:$B$10005&amp;'DMR 001C TIN &amp; TP'!$A$3:$A$10005),0),MATCH('Reg 85'!$AR$11,'DMR 001C TIN &amp; TP'!$A$2:$M$2,0))),"")</f>
        <v/>
      </c>
      <c r="AS248" s="6" t="str">
        <f t="array" ref="AS248">_xlfn.IFNA((INDEX('DMR 001C TIN &amp; TP'!$A$3:$M$10005,MATCH(('Reg 85'!$AQ$6&amp;'Reg 85'!$AQ$10&amp;'Reg 85'!$B248),('DMR 001C TIN &amp; TP'!$E$3:$E$10005&amp;'DMR 001C TIN &amp; TP'!$B$3:$B$10005&amp;'DMR 001C TIN &amp; TP'!$A$3:$A$10005),0),MATCH('Reg 85'!$AS$11,'DMR 001C TIN &amp; TP'!$A$2:$M$2,0))),"")</f>
        <v/>
      </c>
      <c r="AT248" s="53" t="str">
        <f t="shared" si="97"/>
        <v/>
      </c>
      <c r="AV248" s="6" t="str">
        <f t="array" ref="AV248">_xlfn.IFNA((INDEX('DMR 001C TIN &amp; TP'!$A$3:$M$10005,MATCH(('Reg 85'!$AQ$6&amp;'Reg 85'!$AU$10&amp;'Reg 85'!$B248),('DMR 001C TIN &amp; TP'!$E$3:$E$10005&amp;'DMR 001C TIN &amp; TP'!$B$3:$B$10005&amp;'DMR 001C TIN &amp; TP'!$A$3:$A$10005),0),MATCH('Reg 85'!$AV$11,'DMR 001C TIN &amp; TP'!$A$2:$M$2,0))),"")</f>
        <v/>
      </c>
      <c r="AW248" s="6" t="str">
        <f t="array" ref="AW248">_xlfn.IFNA((INDEX('DMR 001C TIN &amp; TP'!$A$3:$M$10005,MATCH(('Reg 85'!$AQ$6&amp;'Reg 85'!$AU$10&amp;'Reg 85'!$B248),('DMR 001C TIN &amp; TP'!$E$3:$E$10005&amp;'DMR 001C TIN &amp; TP'!$B$3:$B$10005&amp;'DMR 001C TIN &amp; TP'!$A$3:$A$10005),0),MATCH('Reg 85'!$AW$11,'DMR 001C TIN &amp; TP'!$A$2:$M$2,0))),"")</f>
        <v/>
      </c>
      <c r="AX248" s="53" t="str">
        <f t="shared" si="98"/>
        <v/>
      </c>
      <c r="AY248" s="55" t="str">
        <f t="shared" si="99"/>
        <v/>
      </c>
      <c r="AZ248" s="77" t="str">
        <f t="shared" si="103"/>
        <v/>
      </c>
      <c r="BA248" s="6" t="str">
        <f t="array" ref="BA248">_xlfn.IFNA((INDEX('DMR 001C TIN &amp; TP'!$A$3:$M$10005,MATCH(('Reg 85'!$AQ$6&amp;'Reg 85'!BA$10&amp;'Reg 85'!$B248),('DMR 001C TIN &amp; TP'!$E$3:$E$10005&amp;'DMR 001C TIN &amp; TP'!$B$3:$B$10005&amp;'DMR 001C TIN &amp; TP'!$A$3:$A$10005),0),MATCH('Reg 85'!$AG$11,'DMR 001C TIN &amp; TP'!$A$2:$M$2,0))),"")</f>
        <v/>
      </c>
      <c r="BB248" s="6" t="str">
        <f t="array" ref="BB248">_xlfn.IFNA((INDEX('DMR 001C TIN &amp; TP'!$A$3:$M$10005,MATCH(('Reg 85'!$AQ$6&amp;'Reg 85'!BB$10&amp;'Reg 85'!$B248),('DMR 001C TIN &amp; TP'!$E$3:$E$10005&amp;'DMR 001C TIN &amp; TP'!$B$3:$B$10005&amp;'DMR 001C TIN &amp; TP'!$A$3:$A$10005),0),MATCH('Reg 85'!$AG$11,'DMR 001C TIN &amp; TP'!$A$2:$M$2,0))),"")</f>
        <v/>
      </c>
      <c r="BC248" s="6" t="str">
        <f t="array" ref="BC248">_xlfn.IFNA((INDEX('DMR 001C TIN &amp; TP'!$A$3:$M$10005,MATCH(('Reg 85'!$AQ$6&amp;'Reg 85'!BC$10&amp;'Reg 85'!$B248),('DMR 001C TIN &amp; TP'!$E$3:$E$10005&amp;'DMR 001C TIN &amp; TP'!$B$3:$B$10005&amp;'DMR 001C TIN &amp; TP'!$A$3:$A$10005),0),MATCH('Reg 85'!$AG$11,'DMR 001C TIN &amp; TP'!$A$2:$M$2,0))),"")</f>
        <v/>
      </c>
      <c r="BD248" s="6" t="str">
        <f t="array" ref="BD248">_xlfn.IFNA((INDEX('DMR 001C TIN &amp; TP'!$A$3:$M$10005,MATCH(('Reg 85'!$AQ$6&amp;'Reg 85'!BD$10&amp;'Reg 85'!$B248),('DMR 001C TIN &amp; TP'!$E$3:$E$10005&amp;'DMR 001C TIN &amp; TP'!$B$3:$B$10005&amp;'DMR 001C TIN &amp; TP'!$A$3:$A$10005),0),MATCH('Reg 85'!$AG$11,'DMR 001C TIN &amp; TP'!$A$2:$M$2,0))),"")</f>
        <v/>
      </c>
      <c r="BE248" s="6" t="str">
        <f t="array" ref="BE248">_xlfn.IFNA((INDEX('DMR 001C TIN &amp; TP'!$A$3:$M$10005,MATCH(('Reg 85'!$AQ$6&amp;'Reg 85'!BE$10&amp;'Reg 85'!$B248),('DMR 001C TIN &amp; TP'!$E$3:$E$10005&amp;'DMR 001C TIN &amp; TP'!$B$3:$B$10005&amp;'DMR 001C TIN &amp; TP'!$A$3:$A$10005),0),MATCH('Reg 85'!$AG$11,'DMR 001C TIN &amp; TP'!$A$2:$M$2,0))),"")</f>
        <v/>
      </c>
      <c r="BF248" s="6" t="str">
        <f t="array" ref="BF248">_xlfn.IFNA((INDEX('DMR 001C TIN &amp; TP'!$A$3:$M$10005,MATCH(('Reg 85'!$AQ$6&amp;'Reg 85'!BF$10&amp;'Reg 85'!$B248),('DMR 001C TIN &amp; TP'!$E$3:$E$10005&amp;'DMR 001C TIN &amp; TP'!$B$3:$B$10005&amp;'DMR 001C TIN &amp; TP'!$A$3:$A$10005),0),MATCH('Reg 85'!$AG$11,'DMR 001C TIN &amp; TP'!$A$2:$M$2,0))),"")</f>
        <v/>
      </c>
    </row>
    <row r="249" spans="1:58">
      <c r="A249" s="3" t="str">
        <f t="shared" si="84"/>
        <v>Fri</v>
      </c>
      <c r="B249" s="96">
        <f t="shared" si="100"/>
        <v>43581</v>
      </c>
      <c r="C249" s="96">
        <f t="shared" si="85"/>
        <v>43585</v>
      </c>
      <c r="D249" s="96">
        <f t="shared" si="86"/>
        <v>43556</v>
      </c>
      <c r="E249" s="95">
        <f t="shared" si="87"/>
        <v>30</v>
      </c>
      <c r="F249" s="7">
        <f t="array" ref="F249">_xlfn.IFNA(INDEX('DMR Flows-Effluent'!$A$3:$F$9999,MATCH(($F$10&amp;$B249),('DMR Flows-Effluent'!$B$3:$B$9999&amp;'DMR Flows-Effluent'!$A$3:$A$9999),0),MATCH($F$8,'DMR Flows-Effluent'!$A$2:$F$2,0)),"")</f>
        <v>68.027600000000007</v>
      </c>
      <c r="G249" s="7">
        <f t="array" ref="G249">_xlfn.IFNA(INDEX('DMR Flows-Effluent'!$A$3:$F$9999,MATCH(($G$10&amp;$B249),('DMR Flows-Effluent'!$B$3:$B$9999&amp;'DMR Flows-Effluent'!$A$3:$A$9999),0),MATCH($F$8,'DMR Flows-Effluent'!$A$2:$F$2,0)),"")</f>
        <v>52.110100000000003</v>
      </c>
      <c r="H249" s="7">
        <f t="shared" si="88"/>
        <v>120.13770000000001</v>
      </c>
      <c r="I249" s="45" t="str">
        <f t="shared" si="89"/>
        <v/>
      </c>
      <c r="J249" s="6" t="str">
        <f t="array" ref="J249">_xlfn.IFNA((INDEX('DMR 001C TIN &amp; TP'!$A$3:$M$10005,MATCH(('Reg 85'!$I$6:$Q$6&amp;'Reg 85'!$I$10:$K$10&amp;'Reg 85'!$B249),('DMR 001C TIN &amp; TP'!$E$3:$E$10005&amp;'DMR 001C TIN &amp; TP'!$B$3:$B$10005&amp;'DMR 001C TIN &amp; TP'!$A$3:$A$10005),0),MATCH('Reg 85'!$J$11,'DMR 001C TIN &amp; TP'!$A$2:$M$2,0))),"")</f>
        <v>0.15</v>
      </c>
      <c r="K249" s="6">
        <f t="array" ref="K249">_xlfn.IFNA((INDEX('DMR 001C TIN &amp; TP'!$A$3:$M$10005,MATCH(('Reg 85'!$I$6:$Q$6&amp;'Reg 85'!$I$10:$K$10&amp;'Reg 85'!$B249),('DMR 001C TIN &amp; TP'!$E$3:$E$10005&amp;'DMR 001C TIN &amp; TP'!$B$3:$B$10005&amp;'DMR 001C TIN &amp; TP'!$A$3:$A$10005),0),MATCH('Reg 85'!$K$11,'DMR 001C TIN &amp; TP'!$A$2:$M$2,0))),"")</f>
        <v>1.25</v>
      </c>
      <c r="L249" s="53">
        <f t="shared" si="101"/>
        <v>1.25</v>
      </c>
      <c r="M249" s="5" t="str">
        <f t="shared" si="90"/>
        <v/>
      </c>
      <c r="N249" s="6" t="str">
        <f t="array" ref="N249">_xlfn.IFNA((INDEX('DMR 001C TIN &amp; TP'!$A$3:$M$10005,MATCH(('Reg 85'!$I$6:$Q$6&amp;'Reg 85'!$M$10&amp;'Reg 85'!$B249),('DMR 001C TIN &amp; TP'!$E$3:$E$10005&amp;'DMR 001C TIN &amp; TP'!$B$3:$B$10005&amp;'DMR 001C TIN &amp; TP'!$A$3:$A$10005),0),MATCH('Reg 85'!$N$11,'DMR 001C TIN &amp; TP'!$A$2:$M$2,0))),"")</f>
        <v>0.15</v>
      </c>
      <c r="O249" s="6">
        <f t="array" ref="O249">_xlfn.IFNA((INDEX('DMR 001C TIN &amp; TP'!$A$3:$M$10005,MATCH(('Reg 85'!$I$6:$Q$6&amp;'Reg 85'!$M$10&amp;'Reg 85'!$B249),('DMR 001C TIN &amp; TP'!$E$3:$E$10005&amp;'DMR 001C TIN &amp; TP'!$B$3:$B$10005&amp;'DMR 001C TIN &amp; TP'!$A$3:$A$10005),0),MATCH('Reg 85'!$O$11,'DMR 001C TIN &amp; TP'!$A$2:$M$2,0))),"")</f>
        <v>0.97</v>
      </c>
      <c r="P249" s="53">
        <f t="shared" si="91"/>
        <v>0.97</v>
      </c>
      <c r="Q249" s="73">
        <f t="array" ref="Q249">IFERROR(((L249*$F249)+(P249*$G249))/($H249),"")</f>
        <v>1.1285491315382266</v>
      </c>
      <c r="R249" s="6" t="str">
        <f t="array" ref="R249">_xlfn.IFNA((INDEX('DMR 001C TIN &amp; TP'!$A$3:$M$10005,MATCH(('Reg 85'!$I$6:$Q$6&amp;'Reg 85'!R$10&amp;'Reg 85'!$B249),('DMR 001C TIN &amp; TP'!$E$3:$E$10005&amp;'DMR 001C TIN &amp; TP'!$B$3:$B$10005&amp;'DMR 001C TIN &amp; TP'!$A$3:$A$10005),0),MATCH('Reg 85'!$O$11,'DMR 001C TIN &amp; TP'!$A$2:$M$2,0))),"")</f>
        <v/>
      </c>
      <c r="S249" s="6" t="str">
        <f t="array" ref="S249">_xlfn.IFNA((INDEX('DMR 001C TIN &amp; TP'!$A$3:$M$10005,MATCH(('Reg 85'!$I$6:$Q$6&amp;'Reg 85'!S$10&amp;'Reg 85'!$B249),('DMR 001C TIN &amp; TP'!$E$3:$E$10005&amp;'DMR 001C TIN &amp; TP'!$B$3:$B$10005&amp;'DMR 001C TIN &amp; TP'!$A$3:$A$10005),0),MATCH('Reg 85'!$O$11,'DMR 001C TIN &amp; TP'!$A$2:$M$2,0))),"")</f>
        <v/>
      </c>
      <c r="T249" s="6" t="str">
        <f t="array" ref="T249">_xlfn.IFNA((INDEX('DMR 001C TIN &amp; TP'!$A$3:$M$10005,MATCH(('Reg 85'!$I$6:$Q$6&amp;'Reg 85'!T$10&amp;'Reg 85'!$B249),('DMR 001C TIN &amp; TP'!$E$3:$E$10005&amp;'DMR 001C TIN &amp; TP'!$B$3:$B$10005&amp;'DMR 001C TIN &amp; TP'!$A$3:$A$10005),0),MATCH('Reg 85'!$O$11,'DMR 001C TIN &amp; TP'!$A$2:$M$2,0))),"")</f>
        <v/>
      </c>
      <c r="U249" s="6">
        <f t="array" ref="U249">_xlfn.IFNA((INDEX('DMR 001C TIN &amp; TP'!$A$3:$M$10005,MATCH(('Reg 85'!$I$6:$Q$6&amp;'Reg 85'!U$10&amp;'Reg 85'!$B249),('DMR 001C TIN &amp; TP'!$E$3:$E$10005&amp;'DMR 001C TIN &amp; TP'!$B$3:$B$10005&amp;'DMR 001C TIN &amp; TP'!$A$3:$A$10005),0),MATCH('Reg 85'!$O$11,'DMR 001C TIN &amp; TP'!$A$2:$M$2,0))),"")</f>
        <v>0.86</v>
      </c>
      <c r="V249" s="6" t="str">
        <f t="array" ref="V249">_xlfn.IFNA((INDEX('DMR 001C TIN &amp; TP'!$A$3:$M$10005,MATCH(('Reg 85'!$I$6:$Q$6&amp;'Reg 85'!V$10&amp;'Reg 85'!$B249),('DMR 001C TIN &amp; TP'!$E$3:$E$10005&amp;'DMR 001C TIN &amp; TP'!$B$3:$B$10005&amp;'DMR 001C TIN &amp; TP'!$A$3:$A$10005),0),MATCH('Reg 85'!$O$11,'DMR 001C TIN &amp; TP'!$A$2:$M$2,0))),"")</f>
        <v/>
      </c>
      <c r="W249" s="6" t="str">
        <f t="array" ref="W249">_xlfn.IFNA((INDEX('DMR 001C TIN &amp; TP'!$A$3:$M$10005,MATCH(('Reg 85'!$I$6:$Q$6&amp;'Reg 85'!W$10&amp;'Reg 85'!$B249),('DMR 001C TIN &amp; TP'!$E$3:$E$10005&amp;'DMR 001C TIN &amp; TP'!$B$3:$B$10005&amp;'DMR 001C TIN &amp; TP'!$A$3:$A$10005),0),MATCH('Reg 85'!$O$11,'DMR 001C TIN &amp; TP'!$A$2:$M$2,0))),"")</f>
        <v/>
      </c>
      <c r="X249" s="5" t="str">
        <f t="shared" si="92"/>
        <v/>
      </c>
      <c r="Y249" s="6" t="str">
        <f t="array" ref="Y249">_xlfn.IFNA((INDEX('DMR 001C TIN &amp; TP'!$A$3:$M$10005,MATCH(('Reg 85'!$X$6&amp;'Reg 85'!$X$10&amp;'Reg 85'!$B249),('DMR 001C TIN &amp; TP'!$E$3:$E$10005&amp;'DMR 001C TIN &amp; TP'!$B$3:$B$10005&amp;'DMR 001C TIN &amp; TP'!$A$3:$A$10005),0),MATCH('Reg 85'!$Y$11,'DMR 001C TIN &amp; TP'!$A$2:$M$2,0))),"")</f>
        <v>0.06</v>
      </c>
      <c r="Z249" s="6">
        <f t="array" ref="Z249">_xlfn.IFNA((INDEX('DMR 001C TIN &amp; TP'!$A$3:$M$10005,MATCH(('Reg 85'!$X$6&amp;'Reg 85'!$X$10&amp;'Reg 85'!$B249),('DMR 001C TIN &amp; TP'!$E$3:$E$10005&amp;'DMR 001C TIN &amp; TP'!$B$3:$B$10005&amp;'DMR 001C TIN &amp; TP'!$A$3:$A$10005),0),MATCH('Reg 85'!$Z$11,'DMR 001C TIN &amp; TP'!$A$2:$M$2,0))),"")</f>
        <v>5.19</v>
      </c>
      <c r="AA249" s="53">
        <f t="shared" si="93"/>
        <v>5.19</v>
      </c>
      <c r="AB249" s="5" t="str">
        <f t="shared" si="94"/>
        <v/>
      </c>
      <c r="AC249" s="6" t="str">
        <f t="array" ref="AC249">_xlfn.IFNA((INDEX('DMR 001C TIN &amp; TP'!$A$3:$M$10005,MATCH(('Reg 85'!$X$6&amp;'Reg 85'!$AB$10&amp;'Reg 85'!$B249),('DMR 001C TIN &amp; TP'!$E$3:$E$10005&amp;'DMR 001C TIN &amp; TP'!$B$3:$B$10005&amp;'DMR 001C TIN &amp; TP'!$A$3:$A$10005),0),MATCH('Reg 85'!$AC$11,'DMR 001C TIN &amp; TP'!$A$2:$M$2,0))),"")</f>
        <v>0.18</v>
      </c>
      <c r="AD249" s="6">
        <f t="array" ref="AD249">_xlfn.IFNA((INDEX('DMR 001C TIN &amp; TP'!$A$3:$M$10005,MATCH(('Reg 85'!$X$6&amp;'Reg 85'!$AB$10&amp;'Reg 85'!$B249),('DMR 001C TIN &amp; TP'!$E$3:$E$10005&amp;'DMR 001C TIN &amp; TP'!$B$3:$B$10005&amp;'DMR 001C TIN &amp; TP'!$A$3:$A$10005),0),MATCH('Reg 85'!$AD$11,'DMR 001C TIN &amp; TP'!$A$2:$M$2,0))),"")</f>
        <v>3.61</v>
      </c>
      <c r="AE249" s="53">
        <f t="shared" si="95"/>
        <v>3.61</v>
      </c>
      <c r="AF249" s="7">
        <f t="shared" si="96"/>
        <v>4.5046700993942776</v>
      </c>
      <c r="AG249" s="6" t="str">
        <f t="array" ref="AG249">_xlfn.IFNA((INDEX('DMR 001C TIN &amp; TP'!$A$3:$M$10005,MATCH(('Reg 85'!$X$6&amp;'Reg 85'!AG$10&amp;'Reg 85'!$B249),('DMR 001C TIN &amp; TP'!$E$3:$E$10005&amp;'DMR 001C TIN &amp; TP'!$B$3:$B$10005&amp;'DMR 001C TIN &amp; TP'!$A$3:$A$10005),0),MATCH('Reg 85'!$AG$11,'DMR 001C TIN &amp; TP'!$A$2:$M$2,0))),"")</f>
        <v/>
      </c>
      <c r="AH249" s="6" t="str">
        <f t="array" ref="AH249">_xlfn.IFNA((INDEX('DMR 001C TIN &amp; TP'!$A$3:$M$10005,MATCH(('Reg 85'!$X$6&amp;'Reg 85'!AH$10&amp;'Reg 85'!$B249),('DMR 001C TIN &amp; TP'!$E$3:$E$10005&amp;'DMR 001C TIN &amp; TP'!$B$3:$B$10005&amp;'DMR 001C TIN &amp; TP'!$A$3:$A$10005),0),MATCH('Reg 85'!$AG$11,'DMR 001C TIN &amp; TP'!$A$2:$M$2,0))),"")</f>
        <v/>
      </c>
      <c r="AI249" s="6" t="str">
        <f t="array" ref="AI249">_xlfn.IFNA((INDEX('DMR 001C TIN &amp; TP'!$A$3:$M$10005,MATCH(('Reg 85'!$X$6&amp;'Reg 85'!AI$10&amp;'Reg 85'!$B249),('DMR 001C TIN &amp; TP'!$E$3:$E$10005&amp;'DMR 001C TIN &amp; TP'!$B$3:$B$10005&amp;'DMR 001C TIN &amp; TP'!$A$3:$A$10005),0),MATCH('Reg 85'!$AG$11,'DMR 001C TIN &amp; TP'!$A$2:$M$2,0))),"")</f>
        <v/>
      </c>
      <c r="AJ249" s="6" t="str">
        <f t="array" ref="AJ249">_xlfn.IFNA((INDEX('DMR 001C TIN &amp; TP'!$A$3:$M$10005,MATCH(('Reg 85'!$X$6&amp;'Reg 85'!AJ$10&amp;'Reg 85'!$B249),('DMR 001C TIN &amp; TP'!$E$3:$E$10005&amp;'DMR 001C TIN &amp; TP'!$B$3:$B$10005&amp;'DMR 001C TIN &amp; TP'!$A$3:$A$10005),0),MATCH('Reg 85'!$AG$11,'DMR 001C TIN &amp; TP'!$A$2:$M$2,0))),"")</f>
        <v/>
      </c>
      <c r="AK249" s="6" t="str">
        <f t="array" ref="AK249">_xlfn.IFNA((INDEX('DMR 001C TIN &amp; TP'!$A$3:$M$10005,MATCH(('Reg 85'!$X$6&amp;'Reg 85'!AK$10&amp;'Reg 85'!$B249),('DMR 001C TIN &amp; TP'!$E$3:$E$10005&amp;'DMR 001C TIN &amp; TP'!$B$3:$B$10005&amp;'DMR 001C TIN &amp; TP'!$A$3:$A$10005),0),MATCH('Reg 85'!$AG$11,'DMR 001C TIN &amp; TP'!$A$2:$M$2,0))),"")</f>
        <v/>
      </c>
      <c r="AL249" s="6" t="str">
        <f t="array" ref="AL249">_xlfn.IFNA((INDEX('DMR 001C TIN &amp; TP'!$A$3:$M$10005,MATCH(('Reg 85'!$X$6&amp;'Reg 85'!AL$10&amp;'Reg 85'!$B249),('DMR 001C TIN &amp; TP'!$E$3:$E$10005&amp;'DMR 001C TIN &amp; TP'!$B$3:$B$10005&amp;'DMR 001C TIN &amp; TP'!$A$3:$A$10005),0),MATCH('Reg 85'!$AG$11,'DMR 001C TIN &amp; TP'!$A$2:$M$2,0))),"")</f>
        <v/>
      </c>
      <c r="AM249" s="76"/>
      <c r="AN249" s="6"/>
      <c r="AO249" s="54">
        <f t="shared" si="83"/>
        <v>5.6332192309325038</v>
      </c>
      <c r="AP249" s="77" t="str">
        <f t="shared" si="102"/>
        <v/>
      </c>
      <c r="AQ249" s="47"/>
      <c r="AR249" s="6" t="str">
        <f t="array" ref="AR249">_xlfn.IFNA((INDEX('DMR 001C TIN &amp; TP'!$A$3:$M$10005,MATCH(('Reg 85'!$AQ$6&amp;'Reg 85'!$AQ$10&amp;'Reg 85'!$B249),('DMR 001C TIN &amp; TP'!$E$3:$E$10005&amp;'DMR 001C TIN &amp; TP'!$B$3:$B$10005&amp;'DMR 001C TIN &amp; TP'!$A$3:$A$10005),0),MATCH('Reg 85'!$AR$11,'DMR 001C TIN &amp; TP'!$A$2:$M$2,0))),"")</f>
        <v/>
      </c>
      <c r="AS249" s="6" t="str">
        <f t="array" ref="AS249">_xlfn.IFNA((INDEX('DMR 001C TIN &amp; TP'!$A$3:$M$10005,MATCH(('Reg 85'!$AQ$6&amp;'Reg 85'!$AQ$10&amp;'Reg 85'!$B249),('DMR 001C TIN &amp; TP'!$E$3:$E$10005&amp;'DMR 001C TIN &amp; TP'!$B$3:$B$10005&amp;'DMR 001C TIN &amp; TP'!$A$3:$A$10005),0),MATCH('Reg 85'!$AS$11,'DMR 001C TIN &amp; TP'!$A$2:$M$2,0))),"")</f>
        <v/>
      </c>
      <c r="AT249" s="53" t="str">
        <f t="shared" si="97"/>
        <v/>
      </c>
      <c r="AV249" s="6" t="str">
        <f t="array" ref="AV249">_xlfn.IFNA((INDEX('DMR 001C TIN &amp; TP'!$A$3:$M$10005,MATCH(('Reg 85'!$AQ$6&amp;'Reg 85'!$AU$10&amp;'Reg 85'!$B249),('DMR 001C TIN &amp; TP'!$E$3:$E$10005&amp;'DMR 001C TIN &amp; TP'!$B$3:$B$10005&amp;'DMR 001C TIN &amp; TP'!$A$3:$A$10005),0),MATCH('Reg 85'!$AV$11,'DMR 001C TIN &amp; TP'!$A$2:$M$2,0))),"")</f>
        <v/>
      </c>
      <c r="AW249" s="6" t="str">
        <f t="array" ref="AW249">_xlfn.IFNA((INDEX('DMR 001C TIN &amp; TP'!$A$3:$M$10005,MATCH(('Reg 85'!$AQ$6&amp;'Reg 85'!$AU$10&amp;'Reg 85'!$B249),('DMR 001C TIN &amp; TP'!$E$3:$E$10005&amp;'DMR 001C TIN &amp; TP'!$B$3:$B$10005&amp;'DMR 001C TIN &amp; TP'!$A$3:$A$10005),0),MATCH('Reg 85'!$AW$11,'DMR 001C TIN &amp; TP'!$A$2:$M$2,0))),"")</f>
        <v/>
      </c>
      <c r="AX249" s="53" t="str">
        <f t="shared" si="98"/>
        <v/>
      </c>
      <c r="AY249" s="55" t="str">
        <f t="shared" si="99"/>
        <v/>
      </c>
      <c r="AZ249" s="77" t="str">
        <f t="shared" si="103"/>
        <v/>
      </c>
      <c r="BA249" s="6" t="str">
        <f t="array" ref="BA249">_xlfn.IFNA((INDEX('DMR 001C TIN &amp; TP'!$A$3:$M$10005,MATCH(('Reg 85'!$AQ$6&amp;'Reg 85'!BA$10&amp;'Reg 85'!$B249),('DMR 001C TIN &amp; TP'!$E$3:$E$10005&amp;'DMR 001C TIN &amp; TP'!$B$3:$B$10005&amp;'DMR 001C TIN &amp; TP'!$A$3:$A$10005),0),MATCH('Reg 85'!$AG$11,'DMR 001C TIN &amp; TP'!$A$2:$M$2,0))),"")</f>
        <v/>
      </c>
      <c r="BB249" s="6" t="str">
        <f t="array" ref="BB249">_xlfn.IFNA((INDEX('DMR 001C TIN &amp; TP'!$A$3:$M$10005,MATCH(('Reg 85'!$AQ$6&amp;'Reg 85'!BB$10&amp;'Reg 85'!$B249),('DMR 001C TIN &amp; TP'!$E$3:$E$10005&amp;'DMR 001C TIN &amp; TP'!$B$3:$B$10005&amp;'DMR 001C TIN &amp; TP'!$A$3:$A$10005),0),MATCH('Reg 85'!$AG$11,'DMR 001C TIN &amp; TP'!$A$2:$M$2,0))),"")</f>
        <v/>
      </c>
      <c r="BC249" s="6" t="str">
        <f t="array" ref="BC249">_xlfn.IFNA((INDEX('DMR 001C TIN &amp; TP'!$A$3:$M$10005,MATCH(('Reg 85'!$AQ$6&amp;'Reg 85'!BC$10&amp;'Reg 85'!$B249),('DMR 001C TIN &amp; TP'!$E$3:$E$10005&amp;'DMR 001C TIN &amp; TP'!$B$3:$B$10005&amp;'DMR 001C TIN &amp; TP'!$A$3:$A$10005),0),MATCH('Reg 85'!$AG$11,'DMR 001C TIN &amp; TP'!$A$2:$M$2,0))),"")</f>
        <v/>
      </c>
      <c r="BD249" s="6" t="str">
        <f t="array" ref="BD249">_xlfn.IFNA((INDEX('DMR 001C TIN &amp; TP'!$A$3:$M$10005,MATCH(('Reg 85'!$AQ$6&amp;'Reg 85'!BD$10&amp;'Reg 85'!$B249),('DMR 001C TIN &amp; TP'!$E$3:$E$10005&amp;'DMR 001C TIN &amp; TP'!$B$3:$B$10005&amp;'DMR 001C TIN &amp; TP'!$A$3:$A$10005),0),MATCH('Reg 85'!$AG$11,'DMR 001C TIN &amp; TP'!$A$2:$M$2,0))),"")</f>
        <v/>
      </c>
      <c r="BE249" s="6" t="str">
        <f t="array" ref="BE249">_xlfn.IFNA((INDEX('DMR 001C TIN &amp; TP'!$A$3:$M$10005,MATCH(('Reg 85'!$AQ$6&amp;'Reg 85'!BE$10&amp;'Reg 85'!$B249),('DMR 001C TIN &amp; TP'!$E$3:$E$10005&amp;'DMR 001C TIN &amp; TP'!$B$3:$B$10005&amp;'DMR 001C TIN &amp; TP'!$A$3:$A$10005),0),MATCH('Reg 85'!$AG$11,'DMR 001C TIN &amp; TP'!$A$2:$M$2,0))),"")</f>
        <v/>
      </c>
      <c r="BF249" s="6" t="str">
        <f t="array" ref="BF249">_xlfn.IFNA((INDEX('DMR 001C TIN &amp; TP'!$A$3:$M$10005,MATCH(('Reg 85'!$AQ$6&amp;'Reg 85'!BF$10&amp;'Reg 85'!$B249),('DMR 001C TIN &amp; TP'!$E$3:$E$10005&amp;'DMR 001C TIN &amp; TP'!$B$3:$B$10005&amp;'DMR 001C TIN &amp; TP'!$A$3:$A$10005),0),MATCH('Reg 85'!$AG$11,'DMR 001C TIN &amp; TP'!$A$2:$M$2,0))),"")</f>
        <v/>
      </c>
    </row>
    <row r="250" spans="1:58">
      <c r="A250" s="3" t="str">
        <f t="shared" si="84"/>
        <v>Sat</v>
      </c>
      <c r="B250" s="96">
        <f t="shared" si="100"/>
        <v>43582</v>
      </c>
      <c r="C250" s="96">
        <f t="shared" si="85"/>
        <v>43585</v>
      </c>
      <c r="D250" s="96">
        <f t="shared" si="86"/>
        <v>43556</v>
      </c>
      <c r="E250" s="95">
        <f t="shared" si="87"/>
        <v>30</v>
      </c>
      <c r="F250" s="7">
        <f t="array" ref="F250">_xlfn.IFNA(INDEX('DMR Flows-Effluent'!$A$3:$F$9999,MATCH(($F$10&amp;$B250),('DMR Flows-Effluent'!$B$3:$B$9999&amp;'DMR Flows-Effluent'!$A$3:$A$9999),0),MATCH($F$8,'DMR Flows-Effluent'!$A$2:$F$2,0)),"")</f>
        <v>63.361699999999999</v>
      </c>
      <c r="G250" s="7">
        <f t="array" ref="G250">_xlfn.IFNA(INDEX('DMR Flows-Effluent'!$A$3:$F$9999,MATCH(($G$10&amp;$B250),('DMR Flows-Effluent'!$B$3:$B$9999&amp;'DMR Flows-Effluent'!$A$3:$A$9999),0),MATCH($F$8,'DMR Flows-Effluent'!$A$2:$F$2,0)),"")</f>
        <v>59.851999999999997</v>
      </c>
      <c r="H250" s="7">
        <f t="shared" si="88"/>
        <v>123.21369999999999</v>
      </c>
      <c r="I250" s="45" t="str">
        <f t="shared" si="89"/>
        <v/>
      </c>
      <c r="J250" s="6" t="str">
        <f t="array" ref="J250">_xlfn.IFNA((INDEX('DMR 001C TIN &amp; TP'!$A$3:$M$10005,MATCH(('Reg 85'!$I$6:$Q$6&amp;'Reg 85'!$I$10:$K$10&amp;'Reg 85'!$B250),('DMR 001C TIN &amp; TP'!$E$3:$E$10005&amp;'DMR 001C TIN &amp; TP'!$B$3:$B$10005&amp;'DMR 001C TIN &amp; TP'!$A$3:$A$10005),0),MATCH('Reg 85'!$J$11,'DMR 001C TIN &amp; TP'!$A$2:$M$2,0))),"")</f>
        <v/>
      </c>
      <c r="K250" s="6" t="str">
        <f t="array" ref="K250">_xlfn.IFNA((INDEX('DMR 001C TIN &amp; TP'!$A$3:$M$10005,MATCH(('Reg 85'!$I$6:$Q$6&amp;'Reg 85'!$I$10:$K$10&amp;'Reg 85'!$B250),('DMR 001C TIN &amp; TP'!$E$3:$E$10005&amp;'DMR 001C TIN &amp; TP'!$B$3:$B$10005&amp;'DMR 001C TIN &amp; TP'!$A$3:$A$10005),0),MATCH('Reg 85'!$K$11,'DMR 001C TIN &amp; TP'!$A$2:$M$2,0))),"")</f>
        <v/>
      </c>
      <c r="L250" s="53" t="str">
        <f t="shared" si="101"/>
        <v/>
      </c>
      <c r="M250" s="5" t="str">
        <f t="shared" si="90"/>
        <v/>
      </c>
      <c r="N250" s="6" t="str">
        <f t="array" ref="N250">_xlfn.IFNA((INDEX('DMR 001C TIN &amp; TP'!$A$3:$M$10005,MATCH(('Reg 85'!$I$6:$Q$6&amp;'Reg 85'!$M$10&amp;'Reg 85'!$B250),('DMR 001C TIN &amp; TP'!$E$3:$E$10005&amp;'DMR 001C TIN &amp; TP'!$B$3:$B$10005&amp;'DMR 001C TIN &amp; TP'!$A$3:$A$10005),0),MATCH('Reg 85'!$N$11,'DMR 001C TIN &amp; TP'!$A$2:$M$2,0))),"")</f>
        <v/>
      </c>
      <c r="O250" s="6" t="str">
        <f t="array" ref="O250">_xlfn.IFNA((INDEX('DMR 001C TIN &amp; TP'!$A$3:$M$10005,MATCH(('Reg 85'!$I$6:$Q$6&amp;'Reg 85'!$M$10&amp;'Reg 85'!$B250),('DMR 001C TIN &amp; TP'!$E$3:$E$10005&amp;'DMR 001C TIN &amp; TP'!$B$3:$B$10005&amp;'DMR 001C TIN &amp; TP'!$A$3:$A$10005),0),MATCH('Reg 85'!$O$11,'DMR 001C TIN &amp; TP'!$A$2:$M$2,0))),"")</f>
        <v/>
      </c>
      <c r="P250" s="53" t="str">
        <f t="shared" si="91"/>
        <v/>
      </c>
      <c r="Q250" s="73" t="str">
        <f t="array" ref="Q250">IFERROR(((L250*$F250)+(P250*$G250))/($H250),"")</f>
        <v/>
      </c>
      <c r="R250" s="6" t="str">
        <f t="array" ref="R250">_xlfn.IFNA((INDEX('DMR 001C TIN &amp; TP'!$A$3:$M$10005,MATCH(('Reg 85'!$I$6:$Q$6&amp;'Reg 85'!R$10&amp;'Reg 85'!$B250),('DMR 001C TIN &amp; TP'!$E$3:$E$10005&amp;'DMR 001C TIN &amp; TP'!$B$3:$B$10005&amp;'DMR 001C TIN &amp; TP'!$A$3:$A$10005),0),MATCH('Reg 85'!$O$11,'DMR 001C TIN &amp; TP'!$A$2:$M$2,0))),"")</f>
        <v/>
      </c>
      <c r="S250" s="6" t="str">
        <f t="array" ref="S250">_xlfn.IFNA((INDEX('DMR 001C TIN &amp; TP'!$A$3:$M$10005,MATCH(('Reg 85'!$I$6:$Q$6&amp;'Reg 85'!S$10&amp;'Reg 85'!$B250),('DMR 001C TIN &amp; TP'!$E$3:$E$10005&amp;'DMR 001C TIN &amp; TP'!$B$3:$B$10005&amp;'DMR 001C TIN &amp; TP'!$A$3:$A$10005),0),MATCH('Reg 85'!$O$11,'DMR 001C TIN &amp; TP'!$A$2:$M$2,0))),"")</f>
        <v/>
      </c>
      <c r="T250" s="6" t="str">
        <f t="array" ref="T250">_xlfn.IFNA((INDEX('DMR 001C TIN &amp; TP'!$A$3:$M$10005,MATCH(('Reg 85'!$I$6:$Q$6&amp;'Reg 85'!T$10&amp;'Reg 85'!$B250),('DMR 001C TIN &amp; TP'!$E$3:$E$10005&amp;'DMR 001C TIN &amp; TP'!$B$3:$B$10005&amp;'DMR 001C TIN &amp; TP'!$A$3:$A$10005),0),MATCH('Reg 85'!$O$11,'DMR 001C TIN &amp; TP'!$A$2:$M$2,0))),"")</f>
        <v/>
      </c>
      <c r="U250" s="6" t="str">
        <f t="array" ref="U250">_xlfn.IFNA((INDEX('DMR 001C TIN &amp; TP'!$A$3:$M$10005,MATCH(('Reg 85'!$I$6:$Q$6&amp;'Reg 85'!U$10&amp;'Reg 85'!$B250),('DMR 001C TIN &amp; TP'!$E$3:$E$10005&amp;'DMR 001C TIN &amp; TP'!$B$3:$B$10005&amp;'DMR 001C TIN &amp; TP'!$A$3:$A$10005),0),MATCH('Reg 85'!$O$11,'DMR 001C TIN &amp; TP'!$A$2:$M$2,0))),"")</f>
        <v/>
      </c>
      <c r="V250" s="6" t="str">
        <f t="array" ref="V250">_xlfn.IFNA((INDEX('DMR 001C TIN &amp; TP'!$A$3:$M$10005,MATCH(('Reg 85'!$I$6:$Q$6&amp;'Reg 85'!V$10&amp;'Reg 85'!$B250),('DMR 001C TIN &amp; TP'!$E$3:$E$10005&amp;'DMR 001C TIN &amp; TP'!$B$3:$B$10005&amp;'DMR 001C TIN &amp; TP'!$A$3:$A$10005),0),MATCH('Reg 85'!$O$11,'DMR 001C TIN &amp; TP'!$A$2:$M$2,0))),"")</f>
        <v/>
      </c>
      <c r="W250" s="6" t="str">
        <f t="array" ref="W250">_xlfn.IFNA((INDEX('DMR 001C TIN &amp; TP'!$A$3:$M$10005,MATCH(('Reg 85'!$I$6:$Q$6&amp;'Reg 85'!W$10&amp;'Reg 85'!$B250),('DMR 001C TIN &amp; TP'!$E$3:$E$10005&amp;'DMR 001C TIN &amp; TP'!$B$3:$B$10005&amp;'DMR 001C TIN &amp; TP'!$A$3:$A$10005),0),MATCH('Reg 85'!$O$11,'DMR 001C TIN &amp; TP'!$A$2:$M$2,0))),"")</f>
        <v/>
      </c>
      <c r="X250" s="5" t="str">
        <f t="shared" si="92"/>
        <v/>
      </c>
      <c r="Y250" s="6" t="str">
        <f t="array" ref="Y250">_xlfn.IFNA((INDEX('DMR 001C TIN &amp; TP'!$A$3:$M$10005,MATCH(('Reg 85'!$X$6&amp;'Reg 85'!$X$10&amp;'Reg 85'!$B250),('DMR 001C TIN &amp; TP'!$E$3:$E$10005&amp;'DMR 001C TIN &amp; TP'!$B$3:$B$10005&amp;'DMR 001C TIN &amp; TP'!$A$3:$A$10005),0),MATCH('Reg 85'!$Y$11,'DMR 001C TIN &amp; TP'!$A$2:$M$2,0))),"")</f>
        <v/>
      </c>
      <c r="Z250" s="6" t="str">
        <f t="array" ref="Z250">_xlfn.IFNA((INDEX('DMR 001C TIN &amp; TP'!$A$3:$M$10005,MATCH(('Reg 85'!$X$6&amp;'Reg 85'!$X$10&amp;'Reg 85'!$B250),('DMR 001C TIN &amp; TP'!$E$3:$E$10005&amp;'DMR 001C TIN &amp; TP'!$B$3:$B$10005&amp;'DMR 001C TIN &amp; TP'!$A$3:$A$10005),0),MATCH('Reg 85'!$Z$11,'DMR 001C TIN &amp; TP'!$A$2:$M$2,0))),"")</f>
        <v/>
      </c>
      <c r="AA250" s="53" t="str">
        <f t="shared" si="93"/>
        <v/>
      </c>
      <c r="AB250" s="5" t="str">
        <f t="shared" si="94"/>
        <v/>
      </c>
      <c r="AC250" s="6" t="str">
        <f t="array" ref="AC250">_xlfn.IFNA((INDEX('DMR 001C TIN &amp; TP'!$A$3:$M$10005,MATCH(('Reg 85'!$X$6&amp;'Reg 85'!$AB$10&amp;'Reg 85'!$B250),('DMR 001C TIN &amp; TP'!$E$3:$E$10005&amp;'DMR 001C TIN &amp; TP'!$B$3:$B$10005&amp;'DMR 001C TIN &amp; TP'!$A$3:$A$10005),0),MATCH('Reg 85'!$AC$11,'DMR 001C TIN &amp; TP'!$A$2:$M$2,0))),"")</f>
        <v/>
      </c>
      <c r="AD250" s="6" t="str">
        <f t="array" ref="AD250">_xlfn.IFNA((INDEX('DMR 001C TIN &amp; TP'!$A$3:$M$10005,MATCH(('Reg 85'!$X$6&amp;'Reg 85'!$AB$10&amp;'Reg 85'!$B250),('DMR 001C TIN &amp; TP'!$E$3:$E$10005&amp;'DMR 001C TIN &amp; TP'!$B$3:$B$10005&amp;'DMR 001C TIN &amp; TP'!$A$3:$A$10005),0),MATCH('Reg 85'!$AD$11,'DMR 001C TIN &amp; TP'!$A$2:$M$2,0))),"")</f>
        <v/>
      </c>
      <c r="AE250" s="53" t="str">
        <f t="shared" si="95"/>
        <v/>
      </c>
      <c r="AF250" s="7" t="str">
        <f t="shared" si="96"/>
        <v/>
      </c>
      <c r="AG250" s="6" t="str">
        <f t="array" ref="AG250">_xlfn.IFNA((INDEX('DMR 001C TIN &amp; TP'!$A$3:$M$10005,MATCH(('Reg 85'!$X$6&amp;'Reg 85'!AG$10&amp;'Reg 85'!$B250),('DMR 001C TIN &amp; TP'!$E$3:$E$10005&amp;'DMR 001C TIN &amp; TP'!$B$3:$B$10005&amp;'DMR 001C TIN &amp; TP'!$A$3:$A$10005),0),MATCH('Reg 85'!$AG$11,'DMR 001C TIN &amp; TP'!$A$2:$M$2,0))),"")</f>
        <v/>
      </c>
      <c r="AH250" s="6" t="str">
        <f t="array" ref="AH250">_xlfn.IFNA((INDEX('DMR 001C TIN &amp; TP'!$A$3:$M$10005,MATCH(('Reg 85'!$X$6&amp;'Reg 85'!AH$10&amp;'Reg 85'!$B250),('DMR 001C TIN &amp; TP'!$E$3:$E$10005&amp;'DMR 001C TIN &amp; TP'!$B$3:$B$10005&amp;'DMR 001C TIN &amp; TP'!$A$3:$A$10005),0),MATCH('Reg 85'!$AG$11,'DMR 001C TIN &amp; TP'!$A$2:$M$2,0))),"")</f>
        <v/>
      </c>
      <c r="AI250" s="6" t="str">
        <f t="array" ref="AI250">_xlfn.IFNA((INDEX('DMR 001C TIN &amp; TP'!$A$3:$M$10005,MATCH(('Reg 85'!$X$6&amp;'Reg 85'!AI$10&amp;'Reg 85'!$B250),('DMR 001C TIN &amp; TP'!$E$3:$E$10005&amp;'DMR 001C TIN &amp; TP'!$B$3:$B$10005&amp;'DMR 001C TIN &amp; TP'!$A$3:$A$10005),0),MATCH('Reg 85'!$AG$11,'DMR 001C TIN &amp; TP'!$A$2:$M$2,0))),"")</f>
        <v/>
      </c>
      <c r="AJ250" s="6" t="str">
        <f t="array" ref="AJ250">_xlfn.IFNA((INDEX('DMR 001C TIN &amp; TP'!$A$3:$M$10005,MATCH(('Reg 85'!$X$6&amp;'Reg 85'!AJ$10&amp;'Reg 85'!$B250),('DMR 001C TIN &amp; TP'!$E$3:$E$10005&amp;'DMR 001C TIN &amp; TP'!$B$3:$B$10005&amp;'DMR 001C TIN &amp; TP'!$A$3:$A$10005),0),MATCH('Reg 85'!$AG$11,'DMR 001C TIN &amp; TP'!$A$2:$M$2,0))),"")</f>
        <v/>
      </c>
      <c r="AK250" s="6" t="str">
        <f t="array" ref="AK250">_xlfn.IFNA((INDEX('DMR 001C TIN &amp; TP'!$A$3:$M$10005,MATCH(('Reg 85'!$X$6&amp;'Reg 85'!AK$10&amp;'Reg 85'!$B250),('DMR 001C TIN &amp; TP'!$E$3:$E$10005&amp;'DMR 001C TIN &amp; TP'!$B$3:$B$10005&amp;'DMR 001C TIN &amp; TP'!$A$3:$A$10005),0),MATCH('Reg 85'!$AG$11,'DMR 001C TIN &amp; TP'!$A$2:$M$2,0))),"")</f>
        <v/>
      </c>
      <c r="AL250" s="6" t="str">
        <f t="array" ref="AL250">_xlfn.IFNA((INDEX('DMR 001C TIN &amp; TP'!$A$3:$M$10005,MATCH(('Reg 85'!$X$6&amp;'Reg 85'!AL$10&amp;'Reg 85'!$B250),('DMR 001C TIN &amp; TP'!$E$3:$E$10005&amp;'DMR 001C TIN &amp; TP'!$B$3:$B$10005&amp;'DMR 001C TIN &amp; TP'!$A$3:$A$10005),0),MATCH('Reg 85'!$AG$11,'DMR 001C TIN &amp; TP'!$A$2:$M$2,0))),"")</f>
        <v/>
      </c>
      <c r="AM250" s="76"/>
      <c r="AN250" s="6"/>
      <c r="AO250" s="54" t="str">
        <f t="shared" si="83"/>
        <v/>
      </c>
      <c r="AP250" s="77" t="str">
        <f t="shared" si="102"/>
        <v/>
      </c>
      <c r="AQ250" s="47"/>
      <c r="AR250" s="6" t="str">
        <f t="array" ref="AR250">_xlfn.IFNA((INDEX('DMR 001C TIN &amp; TP'!$A$3:$M$10005,MATCH(('Reg 85'!$AQ$6&amp;'Reg 85'!$AQ$10&amp;'Reg 85'!$B250),('DMR 001C TIN &amp; TP'!$E$3:$E$10005&amp;'DMR 001C TIN &amp; TP'!$B$3:$B$10005&amp;'DMR 001C TIN &amp; TP'!$A$3:$A$10005),0),MATCH('Reg 85'!$AR$11,'DMR 001C TIN &amp; TP'!$A$2:$M$2,0))),"")</f>
        <v>0.03</v>
      </c>
      <c r="AS250" s="6">
        <f t="array" ref="AS250">_xlfn.IFNA((INDEX('DMR 001C TIN &amp; TP'!$A$3:$M$10005,MATCH(('Reg 85'!$AQ$6&amp;'Reg 85'!$AQ$10&amp;'Reg 85'!$B250),('DMR 001C TIN &amp; TP'!$E$3:$E$10005&amp;'DMR 001C TIN &amp; TP'!$B$3:$B$10005&amp;'DMR 001C TIN &amp; TP'!$A$3:$A$10005),0),MATCH('Reg 85'!$AS$11,'DMR 001C TIN &amp; TP'!$A$2:$M$2,0))),"")</f>
        <v>0.31</v>
      </c>
      <c r="AT250" s="53">
        <f t="shared" si="97"/>
        <v>0.31</v>
      </c>
      <c r="AV250" s="6" t="str">
        <f t="array" ref="AV250">_xlfn.IFNA((INDEX('DMR 001C TIN &amp; TP'!$A$3:$M$10005,MATCH(('Reg 85'!$AQ$6&amp;'Reg 85'!$AU$10&amp;'Reg 85'!$B250),('DMR 001C TIN &amp; TP'!$E$3:$E$10005&amp;'DMR 001C TIN &amp; TP'!$B$3:$B$10005&amp;'DMR 001C TIN &amp; TP'!$A$3:$A$10005),0),MATCH('Reg 85'!$AV$11,'DMR 001C TIN &amp; TP'!$A$2:$M$2,0))),"")</f>
        <v>0.03</v>
      </c>
      <c r="AW250" s="6">
        <f t="array" ref="AW250">_xlfn.IFNA((INDEX('DMR 001C TIN &amp; TP'!$A$3:$M$10005,MATCH(('Reg 85'!$AQ$6&amp;'Reg 85'!$AU$10&amp;'Reg 85'!$B250),('DMR 001C TIN &amp; TP'!$E$3:$E$10005&amp;'DMR 001C TIN &amp; TP'!$B$3:$B$10005&amp;'DMR 001C TIN &amp; TP'!$A$3:$A$10005),0),MATCH('Reg 85'!$AW$11,'DMR 001C TIN &amp; TP'!$A$2:$M$2,0))),"")</f>
        <v>1.03</v>
      </c>
      <c r="AX250" s="53">
        <f t="shared" si="98"/>
        <v>1.03</v>
      </c>
      <c r="AY250" s="55">
        <f t="shared" si="99"/>
        <v>0.65974552342799553</v>
      </c>
      <c r="AZ250" s="77" t="str">
        <f t="shared" si="103"/>
        <v/>
      </c>
      <c r="BA250" s="6" t="str">
        <f t="array" ref="BA250">_xlfn.IFNA((INDEX('DMR 001C TIN &amp; TP'!$A$3:$M$10005,MATCH(('Reg 85'!$AQ$6&amp;'Reg 85'!BA$10&amp;'Reg 85'!$B250),('DMR 001C TIN &amp; TP'!$E$3:$E$10005&amp;'DMR 001C TIN &amp; TP'!$B$3:$B$10005&amp;'DMR 001C TIN &amp; TP'!$A$3:$A$10005),0),MATCH('Reg 85'!$AG$11,'DMR 001C TIN &amp; TP'!$A$2:$M$2,0))),"")</f>
        <v/>
      </c>
      <c r="BB250" s="6" t="str">
        <f t="array" ref="BB250">_xlfn.IFNA((INDEX('DMR 001C TIN &amp; TP'!$A$3:$M$10005,MATCH(('Reg 85'!$AQ$6&amp;'Reg 85'!BB$10&amp;'Reg 85'!$B250),('DMR 001C TIN &amp; TP'!$E$3:$E$10005&amp;'DMR 001C TIN &amp; TP'!$B$3:$B$10005&amp;'DMR 001C TIN &amp; TP'!$A$3:$A$10005),0),MATCH('Reg 85'!$AG$11,'DMR 001C TIN &amp; TP'!$A$2:$M$2,0))),"")</f>
        <v/>
      </c>
      <c r="BC250" s="6" t="str">
        <f t="array" ref="BC250">_xlfn.IFNA((INDEX('DMR 001C TIN &amp; TP'!$A$3:$M$10005,MATCH(('Reg 85'!$AQ$6&amp;'Reg 85'!BC$10&amp;'Reg 85'!$B250),('DMR 001C TIN &amp; TP'!$E$3:$E$10005&amp;'DMR 001C TIN &amp; TP'!$B$3:$B$10005&amp;'DMR 001C TIN &amp; TP'!$A$3:$A$10005),0),MATCH('Reg 85'!$AG$11,'DMR 001C TIN &amp; TP'!$A$2:$M$2,0))),"")</f>
        <v/>
      </c>
      <c r="BD250" s="6" t="str">
        <f t="array" ref="BD250">_xlfn.IFNA((INDEX('DMR 001C TIN &amp; TP'!$A$3:$M$10005,MATCH(('Reg 85'!$AQ$6&amp;'Reg 85'!BD$10&amp;'Reg 85'!$B250),('DMR 001C TIN &amp; TP'!$E$3:$E$10005&amp;'DMR 001C TIN &amp; TP'!$B$3:$B$10005&amp;'DMR 001C TIN &amp; TP'!$A$3:$A$10005),0),MATCH('Reg 85'!$AG$11,'DMR 001C TIN &amp; TP'!$A$2:$M$2,0))),"")</f>
        <v/>
      </c>
      <c r="BE250" s="6" t="str">
        <f t="array" ref="BE250">_xlfn.IFNA((INDEX('DMR 001C TIN &amp; TP'!$A$3:$M$10005,MATCH(('Reg 85'!$AQ$6&amp;'Reg 85'!BE$10&amp;'Reg 85'!$B250),('DMR 001C TIN &amp; TP'!$E$3:$E$10005&amp;'DMR 001C TIN &amp; TP'!$B$3:$B$10005&amp;'DMR 001C TIN &amp; TP'!$A$3:$A$10005),0),MATCH('Reg 85'!$AG$11,'DMR 001C TIN &amp; TP'!$A$2:$M$2,0))),"")</f>
        <v/>
      </c>
      <c r="BF250" s="6" t="str">
        <f t="array" ref="BF250">_xlfn.IFNA((INDEX('DMR 001C TIN &amp; TP'!$A$3:$M$10005,MATCH(('Reg 85'!$AQ$6&amp;'Reg 85'!BF$10&amp;'Reg 85'!$B250),('DMR 001C TIN &amp; TP'!$E$3:$E$10005&amp;'DMR 001C TIN &amp; TP'!$B$3:$B$10005&amp;'DMR 001C TIN &amp; TP'!$A$3:$A$10005),0),MATCH('Reg 85'!$AG$11,'DMR 001C TIN &amp; TP'!$A$2:$M$2,0))),"")</f>
        <v/>
      </c>
    </row>
    <row r="251" spans="1:58">
      <c r="A251" s="3" t="str">
        <f t="shared" si="84"/>
        <v>Sun</v>
      </c>
      <c r="B251" s="96">
        <f t="shared" si="100"/>
        <v>43583</v>
      </c>
      <c r="C251" s="96">
        <f t="shared" si="85"/>
        <v>43585</v>
      </c>
      <c r="D251" s="96">
        <f t="shared" si="86"/>
        <v>43556</v>
      </c>
      <c r="E251" s="95">
        <f t="shared" si="87"/>
        <v>30</v>
      </c>
      <c r="F251" s="7">
        <f t="array" ref="F251">_xlfn.IFNA(INDEX('DMR Flows-Effluent'!$A$3:$F$9999,MATCH(($F$10&amp;$B251),('DMR Flows-Effluent'!$B$3:$B$9999&amp;'DMR Flows-Effluent'!$A$3:$A$9999),0),MATCH($F$8,'DMR Flows-Effluent'!$A$2:$F$2,0)),"")</f>
        <v>63.917000000000002</v>
      </c>
      <c r="G251" s="7">
        <f t="array" ref="G251">_xlfn.IFNA(INDEX('DMR Flows-Effluent'!$A$3:$F$9999,MATCH(($G$10&amp;$B251),('DMR Flows-Effluent'!$B$3:$B$9999&amp;'DMR Flows-Effluent'!$A$3:$A$9999),0),MATCH($F$8,'DMR Flows-Effluent'!$A$2:$F$2,0)),"")</f>
        <v>62.124000000000002</v>
      </c>
      <c r="H251" s="7">
        <f t="shared" si="88"/>
        <v>126.041</v>
      </c>
      <c r="I251" s="45" t="str">
        <f t="shared" si="89"/>
        <v/>
      </c>
      <c r="J251" s="6" t="str">
        <f t="array" ref="J251">_xlfn.IFNA((INDEX('DMR 001C TIN &amp; TP'!$A$3:$M$10005,MATCH(('Reg 85'!$I$6:$Q$6&amp;'Reg 85'!$I$10:$K$10&amp;'Reg 85'!$B251),('DMR 001C TIN &amp; TP'!$E$3:$E$10005&amp;'DMR 001C TIN &amp; TP'!$B$3:$B$10005&amp;'DMR 001C TIN &amp; TP'!$A$3:$A$10005),0),MATCH('Reg 85'!$J$11,'DMR 001C TIN &amp; TP'!$A$2:$M$2,0))),"")</f>
        <v>0.15</v>
      </c>
      <c r="K251" s="6">
        <f t="array" ref="K251">_xlfn.IFNA((INDEX('DMR 001C TIN &amp; TP'!$A$3:$M$10005,MATCH(('Reg 85'!$I$6:$Q$6&amp;'Reg 85'!$I$10:$K$10&amp;'Reg 85'!$B251),('DMR 001C TIN &amp; TP'!$E$3:$E$10005&amp;'DMR 001C TIN &amp; TP'!$B$3:$B$10005&amp;'DMR 001C TIN &amp; TP'!$A$3:$A$10005),0),MATCH('Reg 85'!$K$11,'DMR 001C TIN &amp; TP'!$A$2:$M$2,0))),"")</f>
        <v>1.08</v>
      </c>
      <c r="L251" s="53">
        <f t="shared" si="101"/>
        <v>1.08</v>
      </c>
      <c r="M251" s="5" t="str">
        <f t="shared" si="90"/>
        <v/>
      </c>
      <c r="N251" s="6" t="str">
        <f t="array" ref="N251">_xlfn.IFNA((INDEX('DMR 001C TIN &amp; TP'!$A$3:$M$10005,MATCH(('Reg 85'!$I$6:$Q$6&amp;'Reg 85'!$M$10&amp;'Reg 85'!$B251),('DMR 001C TIN &amp; TP'!$E$3:$E$10005&amp;'DMR 001C TIN &amp; TP'!$B$3:$B$10005&amp;'DMR 001C TIN &amp; TP'!$A$3:$A$10005),0),MATCH('Reg 85'!$N$11,'DMR 001C TIN &amp; TP'!$A$2:$M$2,0))),"")</f>
        <v>0.15</v>
      </c>
      <c r="O251" s="6">
        <f t="array" ref="O251">_xlfn.IFNA((INDEX('DMR 001C TIN &amp; TP'!$A$3:$M$10005,MATCH(('Reg 85'!$I$6:$Q$6&amp;'Reg 85'!$M$10&amp;'Reg 85'!$B251),('DMR 001C TIN &amp; TP'!$E$3:$E$10005&amp;'DMR 001C TIN &amp; TP'!$B$3:$B$10005&amp;'DMR 001C TIN &amp; TP'!$A$3:$A$10005),0),MATCH('Reg 85'!$O$11,'DMR 001C TIN &amp; TP'!$A$2:$M$2,0))),"")</f>
        <v>0.62</v>
      </c>
      <c r="P251" s="53">
        <f t="shared" si="91"/>
        <v>0.62</v>
      </c>
      <c r="Q251" s="73">
        <f t="array" ref="Q251">IFERROR(((L251*$F251)+(P251*$G251))/($H251),"")</f>
        <v>0.85327187185122311</v>
      </c>
      <c r="R251" s="6" t="str">
        <f t="array" ref="R251">_xlfn.IFNA((INDEX('DMR 001C TIN &amp; TP'!$A$3:$M$10005,MATCH(('Reg 85'!$I$6:$Q$6&amp;'Reg 85'!R$10&amp;'Reg 85'!$B251),('DMR 001C TIN &amp; TP'!$E$3:$E$10005&amp;'DMR 001C TIN &amp; TP'!$B$3:$B$10005&amp;'DMR 001C TIN &amp; TP'!$A$3:$A$10005),0),MATCH('Reg 85'!$O$11,'DMR 001C TIN &amp; TP'!$A$2:$M$2,0))),"")</f>
        <v/>
      </c>
      <c r="S251" s="6" t="str">
        <f t="array" ref="S251">_xlfn.IFNA((INDEX('DMR 001C TIN &amp; TP'!$A$3:$M$10005,MATCH(('Reg 85'!$I$6:$Q$6&amp;'Reg 85'!S$10&amp;'Reg 85'!$B251),('DMR 001C TIN &amp; TP'!$E$3:$E$10005&amp;'DMR 001C TIN &amp; TP'!$B$3:$B$10005&amp;'DMR 001C TIN &amp; TP'!$A$3:$A$10005),0),MATCH('Reg 85'!$O$11,'DMR 001C TIN &amp; TP'!$A$2:$M$2,0))),"")</f>
        <v/>
      </c>
      <c r="T251" s="6" t="str">
        <f t="array" ref="T251">_xlfn.IFNA((INDEX('DMR 001C TIN &amp; TP'!$A$3:$M$10005,MATCH(('Reg 85'!$I$6:$Q$6&amp;'Reg 85'!T$10&amp;'Reg 85'!$B251),('DMR 001C TIN &amp; TP'!$E$3:$E$10005&amp;'DMR 001C TIN &amp; TP'!$B$3:$B$10005&amp;'DMR 001C TIN &amp; TP'!$A$3:$A$10005),0),MATCH('Reg 85'!$O$11,'DMR 001C TIN &amp; TP'!$A$2:$M$2,0))),"")</f>
        <v/>
      </c>
      <c r="U251" s="6">
        <f t="array" ref="U251">_xlfn.IFNA((INDEX('DMR 001C TIN &amp; TP'!$A$3:$M$10005,MATCH(('Reg 85'!$I$6:$Q$6&amp;'Reg 85'!U$10&amp;'Reg 85'!$B251),('DMR 001C TIN &amp; TP'!$E$3:$E$10005&amp;'DMR 001C TIN &amp; TP'!$B$3:$B$10005&amp;'DMR 001C TIN &amp; TP'!$A$3:$A$10005),0),MATCH('Reg 85'!$O$11,'DMR 001C TIN &amp; TP'!$A$2:$M$2,0))),"")</f>
        <v>0.67</v>
      </c>
      <c r="V251" s="6" t="str">
        <f t="array" ref="V251">_xlfn.IFNA((INDEX('DMR 001C TIN &amp; TP'!$A$3:$M$10005,MATCH(('Reg 85'!$I$6:$Q$6&amp;'Reg 85'!V$10&amp;'Reg 85'!$B251),('DMR 001C TIN &amp; TP'!$E$3:$E$10005&amp;'DMR 001C TIN &amp; TP'!$B$3:$B$10005&amp;'DMR 001C TIN &amp; TP'!$A$3:$A$10005),0),MATCH('Reg 85'!$O$11,'DMR 001C TIN &amp; TP'!$A$2:$M$2,0))),"")</f>
        <v/>
      </c>
      <c r="W251" s="6" t="str">
        <f t="array" ref="W251">_xlfn.IFNA((INDEX('DMR 001C TIN &amp; TP'!$A$3:$M$10005,MATCH(('Reg 85'!$I$6:$Q$6&amp;'Reg 85'!W$10&amp;'Reg 85'!$B251),('DMR 001C TIN &amp; TP'!$E$3:$E$10005&amp;'DMR 001C TIN &amp; TP'!$B$3:$B$10005&amp;'DMR 001C TIN &amp; TP'!$A$3:$A$10005),0),MATCH('Reg 85'!$O$11,'DMR 001C TIN &amp; TP'!$A$2:$M$2,0))),"")</f>
        <v/>
      </c>
      <c r="X251" s="5" t="str">
        <f t="shared" si="92"/>
        <v/>
      </c>
      <c r="Y251" s="6" t="str">
        <f t="array" ref="Y251">_xlfn.IFNA((INDEX('DMR 001C TIN &amp; TP'!$A$3:$M$10005,MATCH(('Reg 85'!$X$6&amp;'Reg 85'!$X$10&amp;'Reg 85'!$B251),('DMR 001C TIN &amp; TP'!$E$3:$E$10005&amp;'DMR 001C TIN &amp; TP'!$B$3:$B$10005&amp;'DMR 001C TIN &amp; TP'!$A$3:$A$10005),0),MATCH('Reg 85'!$Y$11,'DMR 001C TIN &amp; TP'!$A$2:$M$2,0))),"")</f>
        <v>0.06</v>
      </c>
      <c r="Z251" s="6">
        <f t="array" ref="Z251">_xlfn.IFNA((INDEX('DMR 001C TIN &amp; TP'!$A$3:$M$10005,MATCH(('Reg 85'!$X$6&amp;'Reg 85'!$X$10&amp;'Reg 85'!$B251),('DMR 001C TIN &amp; TP'!$E$3:$E$10005&amp;'DMR 001C TIN &amp; TP'!$B$3:$B$10005&amp;'DMR 001C TIN &amp; TP'!$A$3:$A$10005),0),MATCH('Reg 85'!$Z$11,'DMR 001C TIN &amp; TP'!$A$2:$M$2,0))),"")</f>
        <v>5.07</v>
      </c>
      <c r="AA251" s="53">
        <f t="shared" si="93"/>
        <v>5.07</v>
      </c>
      <c r="AB251" s="5" t="str">
        <f t="shared" si="94"/>
        <v/>
      </c>
      <c r="AC251" s="6" t="str">
        <f t="array" ref="AC251">_xlfn.IFNA((INDEX('DMR 001C TIN &amp; TP'!$A$3:$M$10005,MATCH(('Reg 85'!$X$6&amp;'Reg 85'!$AB$10&amp;'Reg 85'!$B251),('DMR 001C TIN &amp; TP'!$E$3:$E$10005&amp;'DMR 001C TIN &amp; TP'!$B$3:$B$10005&amp;'DMR 001C TIN &amp; TP'!$A$3:$A$10005),0),MATCH('Reg 85'!$AC$11,'DMR 001C TIN &amp; TP'!$A$2:$M$2,0))),"")</f>
        <v>0.06</v>
      </c>
      <c r="AD251" s="6">
        <f t="array" ref="AD251">_xlfn.IFNA((INDEX('DMR 001C TIN &amp; TP'!$A$3:$M$10005,MATCH(('Reg 85'!$X$6&amp;'Reg 85'!$AB$10&amp;'Reg 85'!$B251),('DMR 001C TIN &amp; TP'!$E$3:$E$10005&amp;'DMR 001C TIN &amp; TP'!$B$3:$B$10005&amp;'DMR 001C TIN &amp; TP'!$A$3:$A$10005),0),MATCH('Reg 85'!$AD$11,'DMR 001C TIN &amp; TP'!$A$2:$M$2,0))),"")</f>
        <v>3.64</v>
      </c>
      <c r="AE251" s="53">
        <f t="shared" si="95"/>
        <v>3.64</v>
      </c>
      <c r="AF251" s="7">
        <f t="shared" si="96"/>
        <v>4.3651712537983673</v>
      </c>
      <c r="AG251" s="6" t="str">
        <f t="array" ref="AG251">_xlfn.IFNA((INDEX('DMR 001C TIN &amp; TP'!$A$3:$M$10005,MATCH(('Reg 85'!$X$6&amp;'Reg 85'!AG$10&amp;'Reg 85'!$B251),('DMR 001C TIN &amp; TP'!$E$3:$E$10005&amp;'DMR 001C TIN &amp; TP'!$B$3:$B$10005&amp;'DMR 001C TIN &amp; TP'!$A$3:$A$10005),0),MATCH('Reg 85'!$AG$11,'DMR 001C TIN &amp; TP'!$A$2:$M$2,0))),"")</f>
        <v/>
      </c>
      <c r="AH251" s="6" t="str">
        <f t="array" ref="AH251">_xlfn.IFNA((INDEX('DMR 001C TIN &amp; TP'!$A$3:$M$10005,MATCH(('Reg 85'!$X$6&amp;'Reg 85'!AH$10&amp;'Reg 85'!$B251),('DMR 001C TIN &amp; TP'!$E$3:$E$10005&amp;'DMR 001C TIN &amp; TP'!$B$3:$B$10005&amp;'DMR 001C TIN &amp; TP'!$A$3:$A$10005),0),MATCH('Reg 85'!$AG$11,'DMR 001C TIN &amp; TP'!$A$2:$M$2,0))),"")</f>
        <v/>
      </c>
      <c r="AI251" s="6" t="str">
        <f t="array" ref="AI251">_xlfn.IFNA((INDEX('DMR 001C TIN &amp; TP'!$A$3:$M$10005,MATCH(('Reg 85'!$X$6&amp;'Reg 85'!AI$10&amp;'Reg 85'!$B251),('DMR 001C TIN &amp; TP'!$E$3:$E$10005&amp;'DMR 001C TIN &amp; TP'!$B$3:$B$10005&amp;'DMR 001C TIN &amp; TP'!$A$3:$A$10005),0),MATCH('Reg 85'!$AG$11,'DMR 001C TIN &amp; TP'!$A$2:$M$2,0))),"")</f>
        <v/>
      </c>
      <c r="AJ251" s="6" t="str">
        <f t="array" ref="AJ251">_xlfn.IFNA((INDEX('DMR 001C TIN &amp; TP'!$A$3:$M$10005,MATCH(('Reg 85'!$X$6&amp;'Reg 85'!AJ$10&amp;'Reg 85'!$B251),('DMR 001C TIN &amp; TP'!$E$3:$E$10005&amp;'DMR 001C TIN &amp; TP'!$B$3:$B$10005&amp;'DMR 001C TIN &amp; TP'!$A$3:$A$10005),0),MATCH('Reg 85'!$AG$11,'DMR 001C TIN &amp; TP'!$A$2:$M$2,0))),"")</f>
        <v/>
      </c>
      <c r="AK251" s="6" t="str">
        <f t="array" ref="AK251">_xlfn.IFNA((INDEX('DMR 001C TIN &amp; TP'!$A$3:$M$10005,MATCH(('Reg 85'!$X$6&amp;'Reg 85'!AK$10&amp;'Reg 85'!$B251),('DMR 001C TIN &amp; TP'!$E$3:$E$10005&amp;'DMR 001C TIN &amp; TP'!$B$3:$B$10005&amp;'DMR 001C TIN &amp; TP'!$A$3:$A$10005),0),MATCH('Reg 85'!$AG$11,'DMR 001C TIN &amp; TP'!$A$2:$M$2,0))),"")</f>
        <v/>
      </c>
      <c r="AL251" s="6" t="str">
        <f t="array" ref="AL251">_xlfn.IFNA((INDEX('DMR 001C TIN &amp; TP'!$A$3:$M$10005,MATCH(('Reg 85'!$X$6&amp;'Reg 85'!AL$10&amp;'Reg 85'!$B251),('DMR 001C TIN &amp; TP'!$E$3:$E$10005&amp;'DMR 001C TIN &amp; TP'!$B$3:$B$10005&amp;'DMR 001C TIN &amp; TP'!$A$3:$A$10005),0),MATCH('Reg 85'!$AG$11,'DMR 001C TIN &amp; TP'!$A$2:$M$2,0))),"")</f>
        <v/>
      </c>
      <c r="AM251" s="76"/>
      <c r="AN251" s="6"/>
      <c r="AO251" s="54">
        <f t="shared" si="83"/>
        <v>5.2184431256495909</v>
      </c>
      <c r="AP251" s="77" t="str">
        <f t="shared" si="102"/>
        <v/>
      </c>
      <c r="AQ251" s="47"/>
      <c r="AR251" s="6" t="str">
        <f t="array" ref="AR251">_xlfn.IFNA((INDEX('DMR 001C TIN &amp; TP'!$A$3:$M$10005,MATCH(('Reg 85'!$AQ$6&amp;'Reg 85'!$AQ$10&amp;'Reg 85'!$B251),('DMR 001C TIN &amp; TP'!$E$3:$E$10005&amp;'DMR 001C TIN &amp; TP'!$B$3:$B$10005&amp;'DMR 001C TIN &amp; TP'!$A$3:$A$10005),0),MATCH('Reg 85'!$AR$11,'DMR 001C TIN &amp; TP'!$A$2:$M$2,0))),"")</f>
        <v/>
      </c>
      <c r="AS251" s="6" t="str">
        <f t="array" ref="AS251">_xlfn.IFNA((INDEX('DMR 001C TIN &amp; TP'!$A$3:$M$10005,MATCH(('Reg 85'!$AQ$6&amp;'Reg 85'!$AQ$10&amp;'Reg 85'!$B251),('DMR 001C TIN &amp; TP'!$E$3:$E$10005&amp;'DMR 001C TIN &amp; TP'!$B$3:$B$10005&amp;'DMR 001C TIN &amp; TP'!$A$3:$A$10005),0),MATCH('Reg 85'!$AS$11,'DMR 001C TIN &amp; TP'!$A$2:$M$2,0))),"")</f>
        <v/>
      </c>
      <c r="AT251" s="53" t="str">
        <f t="shared" si="97"/>
        <v/>
      </c>
      <c r="AV251" s="6" t="str">
        <f t="array" ref="AV251">_xlfn.IFNA((INDEX('DMR 001C TIN &amp; TP'!$A$3:$M$10005,MATCH(('Reg 85'!$AQ$6&amp;'Reg 85'!$AU$10&amp;'Reg 85'!$B251),('DMR 001C TIN &amp; TP'!$E$3:$E$10005&amp;'DMR 001C TIN &amp; TP'!$B$3:$B$10005&amp;'DMR 001C TIN &amp; TP'!$A$3:$A$10005),0),MATCH('Reg 85'!$AV$11,'DMR 001C TIN &amp; TP'!$A$2:$M$2,0))),"")</f>
        <v/>
      </c>
      <c r="AW251" s="6" t="str">
        <f t="array" ref="AW251">_xlfn.IFNA((INDEX('DMR 001C TIN &amp; TP'!$A$3:$M$10005,MATCH(('Reg 85'!$AQ$6&amp;'Reg 85'!$AU$10&amp;'Reg 85'!$B251),('DMR 001C TIN &amp; TP'!$E$3:$E$10005&amp;'DMR 001C TIN &amp; TP'!$B$3:$B$10005&amp;'DMR 001C TIN &amp; TP'!$A$3:$A$10005),0),MATCH('Reg 85'!$AW$11,'DMR 001C TIN &amp; TP'!$A$2:$M$2,0))),"")</f>
        <v/>
      </c>
      <c r="AX251" s="53" t="str">
        <f t="shared" si="98"/>
        <v/>
      </c>
      <c r="AY251" s="55" t="str">
        <f t="shared" si="99"/>
        <v/>
      </c>
      <c r="AZ251" s="77" t="str">
        <f t="shared" si="103"/>
        <v/>
      </c>
      <c r="BA251" s="6" t="str">
        <f t="array" ref="BA251">_xlfn.IFNA((INDEX('DMR 001C TIN &amp; TP'!$A$3:$M$10005,MATCH(('Reg 85'!$AQ$6&amp;'Reg 85'!BA$10&amp;'Reg 85'!$B251),('DMR 001C TIN &amp; TP'!$E$3:$E$10005&amp;'DMR 001C TIN &amp; TP'!$B$3:$B$10005&amp;'DMR 001C TIN &amp; TP'!$A$3:$A$10005),0),MATCH('Reg 85'!$AG$11,'DMR 001C TIN &amp; TP'!$A$2:$M$2,0))),"")</f>
        <v/>
      </c>
      <c r="BB251" s="6" t="str">
        <f t="array" ref="BB251">_xlfn.IFNA((INDEX('DMR 001C TIN &amp; TP'!$A$3:$M$10005,MATCH(('Reg 85'!$AQ$6&amp;'Reg 85'!BB$10&amp;'Reg 85'!$B251),('DMR 001C TIN &amp; TP'!$E$3:$E$10005&amp;'DMR 001C TIN &amp; TP'!$B$3:$B$10005&amp;'DMR 001C TIN &amp; TP'!$A$3:$A$10005),0),MATCH('Reg 85'!$AG$11,'DMR 001C TIN &amp; TP'!$A$2:$M$2,0))),"")</f>
        <v/>
      </c>
      <c r="BC251" s="6" t="str">
        <f t="array" ref="BC251">_xlfn.IFNA((INDEX('DMR 001C TIN &amp; TP'!$A$3:$M$10005,MATCH(('Reg 85'!$AQ$6&amp;'Reg 85'!BC$10&amp;'Reg 85'!$B251),('DMR 001C TIN &amp; TP'!$E$3:$E$10005&amp;'DMR 001C TIN &amp; TP'!$B$3:$B$10005&amp;'DMR 001C TIN &amp; TP'!$A$3:$A$10005),0),MATCH('Reg 85'!$AG$11,'DMR 001C TIN &amp; TP'!$A$2:$M$2,0))),"")</f>
        <v/>
      </c>
      <c r="BD251" s="6" t="str">
        <f t="array" ref="BD251">_xlfn.IFNA((INDEX('DMR 001C TIN &amp; TP'!$A$3:$M$10005,MATCH(('Reg 85'!$AQ$6&amp;'Reg 85'!BD$10&amp;'Reg 85'!$B251),('DMR 001C TIN &amp; TP'!$E$3:$E$10005&amp;'DMR 001C TIN &amp; TP'!$B$3:$B$10005&amp;'DMR 001C TIN &amp; TP'!$A$3:$A$10005),0),MATCH('Reg 85'!$AG$11,'DMR 001C TIN &amp; TP'!$A$2:$M$2,0))),"")</f>
        <v/>
      </c>
      <c r="BE251" s="6" t="str">
        <f t="array" ref="BE251">_xlfn.IFNA((INDEX('DMR 001C TIN &amp; TP'!$A$3:$M$10005,MATCH(('Reg 85'!$AQ$6&amp;'Reg 85'!BE$10&amp;'Reg 85'!$B251),('DMR 001C TIN &amp; TP'!$E$3:$E$10005&amp;'DMR 001C TIN &amp; TP'!$B$3:$B$10005&amp;'DMR 001C TIN &amp; TP'!$A$3:$A$10005),0),MATCH('Reg 85'!$AG$11,'DMR 001C TIN &amp; TP'!$A$2:$M$2,0))),"")</f>
        <v/>
      </c>
      <c r="BF251" s="6" t="str">
        <f t="array" ref="BF251">_xlfn.IFNA((INDEX('DMR 001C TIN &amp; TP'!$A$3:$M$10005,MATCH(('Reg 85'!$AQ$6&amp;'Reg 85'!BF$10&amp;'Reg 85'!$B251),('DMR 001C TIN &amp; TP'!$E$3:$E$10005&amp;'DMR 001C TIN &amp; TP'!$B$3:$B$10005&amp;'DMR 001C TIN &amp; TP'!$A$3:$A$10005),0),MATCH('Reg 85'!$AG$11,'DMR 001C TIN &amp; TP'!$A$2:$M$2,0))),"")</f>
        <v/>
      </c>
    </row>
    <row r="252" spans="1:58">
      <c r="A252" s="3" t="str">
        <f t="shared" si="84"/>
        <v>Mon</v>
      </c>
      <c r="B252" s="96">
        <f t="shared" si="100"/>
        <v>43584</v>
      </c>
      <c r="C252" s="96">
        <f t="shared" si="85"/>
        <v>43585</v>
      </c>
      <c r="D252" s="96">
        <f t="shared" si="86"/>
        <v>43556</v>
      </c>
      <c r="E252" s="95">
        <f t="shared" si="87"/>
        <v>30</v>
      </c>
      <c r="F252" s="7">
        <f t="array" ref="F252">_xlfn.IFNA(INDEX('DMR Flows-Effluent'!$A$3:$F$9999,MATCH(($F$10&amp;$B252),('DMR Flows-Effluent'!$B$3:$B$9999&amp;'DMR Flows-Effluent'!$A$3:$A$9999),0),MATCH($F$8,'DMR Flows-Effluent'!$A$2:$F$2,0)),"")</f>
        <v>70.278099999999995</v>
      </c>
      <c r="G252" s="7">
        <f t="array" ref="G252">_xlfn.IFNA(INDEX('DMR Flows-Effluent'!$A$3:$F$9999,MATCH(($G$10&amp;$B252),('DMR Flows-Effluent'!$B$3:$B$9999&amp;'DMR Flows-Effluent'!$A$3:$A$9999),0),MATCH($F$8,'DMR Flows-Effluent'!$A$2:$F$2,0)),"")</f>
        <v>56.205800000000004</v>
      </c>
      <c r="H252" s="7">
        <f t="shared" si="88"/>
        <v>126.48390000000001</v>
      </c>
      <c r="I252" s="45" t="str">
        <f t="shared" si="89"/>
        <v/>
      </c>
      <c r="J252" s="6" t="str">
        <f t="array" ref="J252">_xlfn.IFNA((INDEX('DMR 001C TIN &amp; TP'!$A$3:$M$10005,MATCH(('Reg 85'!$I$6:$Q$6&amp;'Reg 85'!$I$10:$K$10&amp;'Reg 85'!$B252),('DMR 001C TIN &amp; TP'!$E$3:$E$10005&amp;'DMR 001C TIN &amp; TP'!$B$3:$B$10005&amp;'DMR 001C TIN &amp; TP'!$A$3:$A$10005),0),MATCH('Reg 85'!$J$11,'DMR 001C TIN &amp; TP'!$A$2:$M$2,0))),"")</f>
        <v/>
      </c>
      <c r="K252" s="6" t="str">
        <f t="array" ref="K252">_xlfn.IFNA((INDEX('DMR 001C TIN &amp; TP'!$A$3:$M$10005,MATCH(('Reg 85'!$I$6:$Q$6&amp;'Reg 85'!$I$10:$K$10&amp;'Reg 85'!$B252),('DMR 001C TIN &amp; TP'!$E$3:$E$10005&amp;'DMR 001C TIN &amp; TP'!$B$3:$B$10005&amp;'DMR 001C TIN &amp; TP'!$A$3:$A$10005),0),MATCH('Reg 85'!$K$11,'DMR 001C TIN &amp; TP'!$A$2:$M$2,0))),"")</f>
        <v/>
      </c>
      <c r="L252" s="53" t="str">
        <f t="shared" si="101"/>
        <v/>
      </c>
      <c r="M252" s="5" t="str">
        <f t="shared" si="90"/>
        <v/>
      </c>
      <c r="N252" s="6" t="str">
        <f t="array" ref="N252">_xlfn.IFNA((INDEX('DMR 001C TIN &amp; TP'!$A$3:$M$10005,MATCH(('Reg 85'!$I$6:$Q$6&amp;'Reg 85'!$M$10&amp;'Reg 85'!$B252),('DMR 001C TIN &amp; TP'!$E$3:$E$10005&amp;'DMR 001C TIN &amp; TP'!$B$3:$B$10005&amp;'DMR 001C TIN &amp; TP'!$A$3:$A$10005),0),MATCH('Reg 85'!$N$11,'DMR 001C TIN &amp; TP'!$A$2:$M$2,0))),"")</f>
        <v/>
      </c>
      <c r="O252" s="6" t="str">
        <f t="array" ref="O252">_xlfn.IFNA((INDEX('DMR 001C TIN &amp; TP'!$A$3:$M$10005,MATCH(('Reg 85'!$I$6:$Q$6&amp;'Reg 85'!$M$10&amp;'Reg 85'!$B252),('DMR 001C TIN &amp; TP'!$E$3:$E$10005&amp;'DMR 001C TIN &amp; TP'!$B$3:$B$10005&amp;'DMR 001C TIN &amp; TP'!$A$3:$A$10005),0),MATCH('Reg 85'!$O$11,'DMR 001C TIN &amp; TP'!$A$2:$M$2,0))),"")</f>
        <v/>
      </c>
      <c r="P252" s="53" t="str">
        <f t="shared" si="91"/>
        <v/>
      </c>
      <c r="Q252" s="73" t="str">
        <f t="array" ref="Q252">IFERROR(((L252*$F252)+(P252*$G252))/($H252),"")</f>
        <v/>
      </c>
      <c r="R252" s="6" t="str">
        <f t="array" ref="R252">_xlfn.IFNA((INDEX('DMR 001C TIN &amp; TP'!$A$3:$M$10005,MATCH(('Reg 85'!$I$6:$Q$6&amp;'Reg 85'!R$10&amp;'Reg 85'!$B252),('DMR 001C TIN &amp; TP'!$E$3:$E$10005&amp;'DMR 001C TIN &amp; TP'!$B$3:$B$10005&amp;'DMR 001C TIN &amp; TP'!$A$3:$A$10005),0),MATCH('Reg 85'!$O$11,'DMR 001C TIN &amp; TP'!$A$2:$M$2,0))),"")</f>
        <v/>
      </c>
      <c r="S252" s="6" t="str">
        <f t="array" ref="S252">_xlfn.IFNA((INDEX('DMR 001C TIN &amp; TP'!$A$3:$M$10005,MATCH(('Reg 85'!$I$6:$Q$6&amp;'Reg 85'!S$10&amp;'Reg 85'!$B252),('DMR 001C TIN &amp; TP'!$E$3:$E$10005&amp;'DMR 001C TIN &amp; TP'!$B$3:$B$10005&amp;'DMR 001C TIN &amp; TP'!$A$3:$A$10005),0),MATCH('Reg 85'!$O$11,'DMR 001C TIN &amp; TP'!$A$2:$M$2,0))),"")</f>
        <v/>
      </c>
      <c r="T252" s="6" t="str">
        <f t="array" ref="T252">_xlfn.IFNA((INDEX('DMR 001C TIN &amp; TP'!$A$3:$M$10005,MATCH(('Reg 85'!$I$6:$Q$6&amp;'Reg 85'!T$10&amp;'Reg 85'!$B252),('DMR 001C TIN &amp; TP'!$E$3:$E$10005&amp;'DMR 001C TIN &amp; TP'!$B$3:$B$10005&amp;'DMR 001C TIN &amp; TP'!$A$3:$A$10005),0),MATCH('Reg 85'!$O$11,'DMR 001C TIN &amp; TP'!$A$2:$M$2,0))),"")</f>
        <v/>
      </c>
      <c r="U252" s="6" t="str">
        <f t="array" ref="U252">_xlfn.IFNA((INDEX('DMR 001C TIN &amp; TP'!$A$3:$M$10005,MATCH(('Reg 85'!$I$6:$Q$6&amp;'Reg 85'!U$10&amp;'Reg 85'!$B252),('DMR 001C TIN &amp; TP'!$E$3:$E$10005&amp;'DMR 001C TIN &amp; TP'!$B$3:$B$10005&amp;'DMR 001C TIN &amp; TP'!$A$3:$A$10005),0),MATCH('Reg 85'!$O$11,'DMR 001C TIN &amp; TP'!$A$2:$M$2,0))),"")</f>
        <v/>
      </c>
      <c r="V252" s="6" t="str">
        <f t="array" ref="V252">_xlfn.IFNA((INDEX('DMR 001C TIN &amp; TP'!$A$3:$M$10005,MATCH(('Reg 85'!$I$6:$Q$6&amp;'Reg 85'!V$10&amp;'Reg 85'!$B252),('DMR 001C TIN &amp; TP'!$E$3:$E$10005&amp;'DMR 001C TIN &amp; TP'!$B$3:$B$10005&amp;'DMR 001C TIN &amp; TP'!$A$3:$A$10005),0),MATCH('Reg 85'!$O$11,'DMR 001C TIN &amp; TP'!$A$2:$M$2,0))),"")</f>
        <v/>
      </c>
      <c r="W252" s="6" t="str">
        <f t="array" ref="W252">_xlfn.IFNA((INDEX('DMR 001C TIN &amp; TP'!$A$3:$M$10005,MATCH(('Reg 85'!$I$6:$Q$6&amp;'Reg 85'!W$10&amp;'Reg 85'!$B252),('DMR 001C TIN &amp; TP'!$E$3:$E$10005&amp;'DMR 001C TIN &amp; TP'!$B$3:$B$10005&amp;'DMR 001C TIN &amp; TP'!$A$3:$A$10005),0),MATCH('Reg 85'!$O$11,'DMR 001C TIN &amp; TP'!$A$2:$M$2,0))),"")</f>
        <v/>
      </c>
      <c r="X252" s="5" t="str">
        <f t="shared" si="92"/>
        <v/>
      </c>
      <c r="Y252" s="6" t="str">
        <f t="array" ref="Y252">_xlfn.IFNA((INDEX('DMR 001C TIN &amp; TP'!$A$3:$M$10005,MATCH(('Reg 85'!$X$6&amp;'Reg 85'!$X$10&amp;'Reg 85'!$B252),('DMR 001C TIN &amp; TP'!$E$3:$E$10005&amp;'DMR 001C TIN &amp; TP'!$B$3:$B$10005&amp;'DMR 001C TIN &amp; TP'!$A$3:$A$10005),0),MATCH('Reg 85'!$Y$11,'DMR 001C TIN &amp; TP'!$A$2:$M$2,0))),"")</f>
        <v/>
      </c>
      <c r="Z252" s="6" t="str">
        <f t="array" ref="Z252">_xlfn.IFNA((INDEX('DMR 001C TIN &amp; TP'!$A$3:$M$10005,MATCH(('Reg 85'!$X$6&amp;'Reg 85'!$X$10&amp;'Reg 85'!$B252),('DMR 001C TIN &amp; TP'!$E$3:$E$10005&amp;'DMR 001C TIN &amp; TP'!$B$3:$B$10005&amp;'DMR 001C TIN &amp; TP'!$A$3:$A$10005),0),MATCH('Reg 85'!$Z$11,'DMR 001C TIN &amp; TP'!$A$2:$M$2,0))),"")</f>
        <v/>
      </c>
      <c r="AA252" s="53" t="str">
        <f t="shared" si="93"/>
        <v/>
      </c>
      <c r="AB252" s="5" t="str">
        <f t="shared" si="94"/>
        <v/>
      </c>
      <c r="AC252" s="6" t="str">
        <f t="array" ref="AC252">_xlfn.IFNA((INDEX('DMR 001C TIN &amp; TP'!$A$3:$M$10005,MATCH(('Reg 85'!$X$6&amp;'Reg 85'!$AB$10&amp;'Reg 85'!$B252),('DMR 001C TIN &amp; TP'!$E$3:$E$10005&amp;'DMR 001C TIN &amp; TP'!$B$3:$B$10005&amp;'DMR 001C TIN &amp; TP'!$A$3:$A$10005),0),MATCH('Reg 85'!$AC$11,'DMR 001C TIN &amp; TP'!$A$2:$M$2,0))),"")</f>
        <v/>
      </c>
      <c r="AD252" s="6" t="str">
        <f t="array" ref="AD252">_xlfn.IFNA((INDEX('DMR 001C TIN &amp; TP'!$A$3:$M$10005,MATCH(('Reg 85'!$X$6&amp;'Reg 85'!$AB$10&amp;'Reg 85'!$B252),('DMR 001C TIN &amp; TP'!$E$3:$E$10005&amp;'DMR 001C TIN &amp; TP'!$B$3:$B$10005&amp;'DMR 001C TIN &amp; TP'!$A$3:$A$10005),0),MATCH('Reg 85'!$AD$11,'DMR 001C TIN &amp; TP'!$A$2:$M$2,0))),"")</f>
        <v/>
      </c>
      <c r="AE252" s="53" t="str">
        <f t="shared" si="95"/>
        <v/>
      </c>
      <c r="AF252" s="7" t="str">
        <f t="shared" si="96"/>
        <v/>
      </c>
      <c r="AG252" s="6" t="str">
        <f t="array" ref="AG252">_xlfn.IFNA((INDEX('DMR 001C TIN &amp; TP'!$A$3:$M$10005,MATCH(('Reg 85'!$X$6&amp;'Reg 85'!AG$10&amp;'Reg 85'!$B252),('DMR 001C TIN &amp; TP'!$E$3:$E$10005&amp;'DMR 001C TIN &amp; TP'!$B$3:$B$10005&amp;'DMR 001C TIN &amp; TP'!$A$3:$A$10005),0),MATCH('Reg 85'!$AG$11,'DMR 001C TIN &amp; TP'!$A$2:$M$2,0))),"")</f>
        <v/>
      </c>
      <c r="AH252" s="6" t="str">
        <f t="array" ref="AH252">_xlfn.IFNA((INDEX('DMR 001C TIN &amp; TP'!$A$3:$M$10005,MATCH(('Reg 85'!$X$6&amp;'Reg 85'!AH$10&amp;'Reg 85'!$B252),('DMR 001C TIN &amp; TP'!$E$3:$E$10005&amp;'DMR 001C TIN &amp; TP'!$B$3:$B$10005&amp;'DMR 001C TIN &amp; TP'!$A$3:$A$10005),0),MATCH('Reg 85'!$AG$11,'DMR 001C TIN &amp; TP'!$A$2:$M$2,0))),"")</f>
        <v/>
      </c>
      <c r="AI252" s="6" t="str">
        <f t="array" ref="AI252">_xlfn.IFNA((INDEX('DMR 001C TIN &amp; TP'!$A$3:$M$10005,MATCH(('Reg 85'!$X$6&amp;'Reg 85'!AI$10&amp;'Reg 85'!$B252),('DMR 001C TIN &amp; TP'!$E$3:$E$10005&amp;'DMR 001C TIN &amp; TP'!$B$3:$B$10005&amp;'DMR 001C TIN &amp; TP'!$A$3:$A$10005),0),MATCH('Reg 85'!$AG$11,'DMR 001C TIN &amp; TP'!$A$2:$M$2,0))),"")</f>
        <v/>
      </c>
      <c r="AJ252" s="6" t="str">
        <f t="array" ref="AJ252">_xlfn.IFNA((INDEX('DMR 001C TIN &amp; TP'!$A$3:$M$10005,MATCH(('Reg 85'!$X$6&amp;'Reg 85'!AJ$10&amp;'Reg 85'!$B252),('DMR 001C TIN &amp; TP'!$E$3:$E$10005&amp;'DMR 001C TIN &amp; TP'!$B$3:$B$10005&amp;'DMR 001C TIN &amp; TP'!$A$3:$A$10005),0),MATCH('Reg 85'!$AG$11,'DMR 001C TIN &amp; TP'!$A$2:$M$2,0))),"")</f>
        <v/>
      </c>
      <c r="AK252" s="6" t="str">
        <f t="array" ref="AK252">_xlfn.IFNA((INDEX('DMR 001C TIN &amp; TP'!$A$3:$M$10005,MATCH(('Reg 85'!$X$6&amp;'Reg 85'!AK$10&amp;'Reg 85'!$B252),('DMR 001C TIN &amp; TP'!$E$3:$E$10005&amp;'DMR 001C TIN &amp; TP'!$B$3:$B$10005&amp;'DMR 001C TIN &amp; TP'!$A$3:$A$10005),0),MATCH('Reg 85'!$AG$11,'DMR 001C TIN &amp; TP'!$A$2:$M$2,0))),"")</f>
        <v/>
      </c>
      <c r="AL252" s="6" t="str">
        <f t="array" ref="AL252">_xlfn.IFNA((INDEX('DMR 001C TIN &amp; TP'!$A$3:$M$10005,MATCH(('Reg 85'!$X$6&amp;'Reg 85'!AL$10&amp;'Reg 85'!$B252),('DMR 001C TIN &amp; TP'!$E$3:$E$10005&amp;'DMR 001C TIN &amp; TP'!$B$3:$B$10005&amp;'DMR 001C TIN &amp; TP'!$A$3:$A$10005),0),MATCH('Reg 85'!$AG$11,'DMR 001C TIN &amp; TP'!$A$2:$M$2,0))),"")</f>
        <v/>
      </c>
      <c r="AM252" s="76"/>
      <c r="AN252" s="6"/>
      <c r="AO252" s="54" t="str">
        <f t="shared" si="83"/>
        <v/>
      </c>
      <c r="AP252" s="77" t="str">
        <f t="shared" si="102"/>
        <v/>
      </c>
      <c r="AQ252" s="47"/>
      <c r="AR252" s="6" t="str">
        <f t="array" ref="AR252">_xlfn.IFNA((INDEX('DMR 001C TIN &amp; TP'!$A$3:$M$10005,MATCH(('Reg 85'!$AQ$6&amp;'Reg 85'!$AQ$10&amp;'Reg 85'!$B252),('DMR 001C TIN &amp; TP'!$E$3:$E$10005&amp;'DMR 001C TIN &amp; TP'!$B$3:$B$10005&amp;'DMR 001C TIN &amp; TP'!$A$3:$A$10005),0),MATCH('Reg 85'!$AR$11,'DMR 001C TIN &amp; TP'!$A$2:$M$2,0))),"")</f>
        <v>0.03</v>
      </c>
      <c r="AS252" s="6">
        <f t="array" ref="AS252">_xlfn.IFNA((INDEX('DMR 001C TIN &amp; TP'!$A$3:$M$10005,MATCH(('Reg 85'!$AQ$6&amp;'Reg 85'!$AQ$10&amp;'Reg 85'!$B252),('DMR 001C TIN &amp; TP'!$E$3:$E$10005&amp;'DMR 001C TIN &amp; TP'!$B$3:$B$10005&amp;'DMR 001C TIN &amp; TP'!$A$3:$A$10005),0),MATCH('Reg 85'!$AS$11,'DMR 001C TIN &amp; TP'!$A$2:$M$2,0))),"")</f>
        <v>0.3</v>
      </c>
      <c r="AT252" s="53">
        <f t="shared" si="97"/>
        <v>0.3</v>
      </c>
      <c r="AV252" s="6" t="str">
        <f t="array" ref="AV252">_xlfn.IFNA((INDEX('DMR 001C TIN &amp; TP'!$A$3:$M$10005,MATCH(('Reg 85'!$AQ$6&amp;'Reg 85'!$AU$10&amp;'Reg 85'!$B252),('DMR 001C TIN &amp; TP'!$E$3:$E$10005&amp;'DMR 001C TIN &amp; TP'!$B$3:$B$10005&amp;'DMR 001C TIN &amp; TP'!$A$3:$A$10005),0),MATCH('Reg 85'!$AV$11,'DMR 001C TIN &amp; TP'!$A$2:$M$2,0))),"")</f>
        <v>0.03</v>
      </c>
      <c r="AW252" s="6">
        <f t="array" ref="AW252">_xlfn.IFNA((INDEX('DMR 001C TIN &amp; TP'!$A$3:$M$10005,MATCH(('Reg 85'!$AQ$6&amp;'Reg 85'!$AU$10&amp;'Reg 85'!$B252),('DMR 001C TIN &amp; TP'!$E$3:$E$10005&amp;'DMR 001C TIN &amp; TP'!$B$3:$B$10005&amp;'DMR 001C TIN &amp; TP'!$A$3:$A$10005),0),MATCH('Reg 85'!$AW$11,'DMR 001C TIN &amp; TP'!$A$2:$M$2,0))),"")</f>
        <v>0.54</v>
      </c>
      <c r="AX252" s="53">
        <f t="shared" si="98"/>
        <v>0.54</v>
      </c>
      <c r="AY252" s="55">
        <f t="shared" si="99"/>
        <v>0.40664908340112849</v>
      </c>
      <c r="AZ252" s="77" t="str">
        <f t="shared" si="103"/>
        <v/>
      </c>
      <c r="BA252" s="6" t="str">
        <f t="array" ref="BA252">_xlfn.IFNA((INDEX('DMR 001C TIN &amp; TP'!$A$3:$M$10005,MATCH(('Reg 85'!$AQ$6&amp;'Reg 85'!BA$10&amp;'Reg 85'!$B252),('DMR 001C TIN &amp; TP'!$E$3:$E$10005&amp;'DMR 001C TIN &amp; TP'!$B$3:$B$10005&amp;'DMR 001C TIN &amp; TP'!$A$3:$A$10005),0),MATCH('Reg 85'!$AG$11,'DMR 001C TIN &amp; TP'!$A$2:$M$2,0))),"")</f>
        <v/>
      </c>
      <c r="BB252" s="6" t="str">
        <f t="array" ref="BB252">_xlfn.IFNA((INDEX('DMR 001C TIN &amp; TP'!$A$3:$M$10005,MATCH(('Reg 85'!$AQ$6&amp;'Reg 85'!BB$10&amp;'Reg 85'!$B252),('DMR 001C TIN &amp; TP'!$E$3:$E$10005&amp;'DMR 001C TIN &amp; TP'!$B$3:$B$10005&amp;'DMR 001C TIN &amp; TP'!$A$3:$A$10005),0),MATCH('Reg 85'!$AG$11,'DMR 001C TIN &amp; TP'!$A$2:$M$2,0))),"")</f>
        <v/>
      </c>
      <c r="BC252" s="6" t="str">
        <f t="array" ref="BC252">_xlfn.IFNA((INDEX('DMR 001C TIN &amp; TP'!$A$3:$M$10005,MATCH(('Reg 85'!$AQ$6&amp;'Reg 85'!BC$10&amp;'Reg 85'!$B252),('DMR 001C TIN &amp; TP'!$E$3:$E$10005&amp;'DMR 001C TIN &amp; TP'!$B$3:$B$10005&amp;'DMR 001C TIN &amp; TP'!$A$3:$A$10005),0),MATCH('Reg 85'!$AG$11,'DMR 001C TIN &amp; TP'!$A$2:$M$2,0))),"")</f>
        <v/>
      </c>
      <c r="BD252" s="6" t="str">
        <f t="array" ref="BD252">_xlfn.IFNA((INDEX('DMR 001C TIN &amp; TP'!$A$3:$M$10005,MATCH(('Reg 85'!$AQ$6&amp;'Reg 85'!BD$10&amp;'Reg 85'!$B252),('DMR 001C TIN &amp; TP'!$E$3:$E$10005&amp;'DMR 001C TIN &amp; TP'!$B$3:$B$10005&amp;'DMR 001C TIN &amp; TP'!$A$3:$A$10005),0),MATCH('Reg 85'!$AG$11,'DMR 001C TIN &amp; TP'!$A$2:$M$2,0))),"")</f>
        <v/>
      </c>
      <c r="BE252" s="6" t="str">
        <f t="array" ref="BE252">_xlfn.IFNA((INDEX('DMR 001C TIN &amp; TP'!$A$3:$M$10005,MATCH(('Reg 85'!$AQ$6&amp;'Reg 85'!BE$10&amp;'Reg 85'!$B252),('DMR 001C TIN &amp; TP'!$E$3:$E$10005&amp;'DMR 001C TIN &amp; TP'!$B$3:$B$10005&amp;'DMR 001C TIN &amp; TP'!$A$3:$A$10005),0),MATCH('Reg 85'!$AG$11,'DMR 001C TIN &amp; TP'!$A$2:$M$2,0))),"")</f>
        <v/>
      </c>
      <c r="BF252" s="6" t="str">
        <f t="array" ref="BF252">_xlfn.IFNA((INDEX('DMR 001C TIN &amp; TP'!$A$3:$M$10005,MATCH(('Reg 85'!$AQ$6&amp;'Reg 85'!BF$10&amp;'Reg 85'!$B252),('DMR 001C TIN &amp; TP'!$E$3:$E$10005&amp;'DMR 001C TIN &amp; TP'!$B$3:$B$10005&amp;'DMR 001C TIN &amp; TP'!$A$3:$A$10005),0),MATCH('Reg 85'!$AG$11,'DMR 001C TIN &amp; TP'!$A$2:$M$2,0))),"")</f>
        <v/>
      </c>
    </row>
    <row r="253" spans="1:58">
      <c r="A253" s="3" t="str">
        <f t="shared" si="84"/>
        <v>Tue</v>
      </c>
      <c r="B253" s="96">
        <f t="shared" si="100"/>
        <v>43585</v>
      </c>
      <c r="C253" s="96">
        <f t="shared" si="85"/>
        <v>43585</v>
      </c>
      <c r="D253" s="96">
        <f t="shared" si="86"/>
        <v>43556</v>
      </c>
      <c r="E253" s="95">
        <f t="shared" si="87"/>
        <v>30</v>
      </c>
      <c r="F253" s="7">
        <f t="array" ref="F253">_xlfn.IFNA(INDEX('DMR Flows-Effluent'!$A$3:$F$9999,MATCH(($F$10&amp;$B253),('DMR Flows-Effluent'!$B$3:$B$9999&amp;'DMR Flows-Effluent'!$A$3:$A$9999),0),MATCH($F$8,'DMR Flows-Effluent'!$A$2:$F$2,0)),"")</f>
        <v>69.877099999999999</v>
      </c>
      <c r="G253" s="7">
        <f t="array" ref="G253">_xlfn.IFNA(INDEX('DMR Flows-Effluent'!$A$3:$F$9999,MATCH(($G$10&amp;$B253),('DMR Flows-Effluent'!$B$3:$B$9999&amp;'DMR Flows-Effluent'!$A$3:$A$9999),0),MATCH($F$8,'DMR Flows-Effluent'!$A$2:$F$2,0)),"")</f>
        <v>56.087299999999999</v>
      </c>
      <c r="H253" s="7">
        <f t="shared" si="88"/>
        <v>125.9644</v>
      </c>
      <c r="I253" s="45" t="str">
        <f t="shared" si="89"/>
        <v/>
      </c>
      <c r="J253" s="6" t="str">
        <f t="array" ref="J253">_xlfn.IFNA((INDEX('DMR 001C TIN &amp; TP'!$A$3:$M$10005,MATCH(('Reg 85'!$I$6:$Q$6&amp;'Reg 85'!$I$10:$K$10&amp;'Reg 85'!$B253),('DMR 001C TIN &amp; TP'!$E$3:$E$10005&amp;'DMR 001C TIN &amp; TP'!$B$3:$B$10005&amp;'DMR 001C TIN &amp; TP'!$A$3:$A$10005),0),MATCH('Reg 85'!$J$11,'DMR 001C TIN &amp; TP'!$A$2:$M$2,0))),"")</f>
        <v/>
      </c>
      <c r="K253" s="6" t="str">
        <f t="array" ref="K253">_xlfn.IFNA((INDEX('DMR 001C TIN &amp; TP'!$A$3:$M$10005,MATCH(('Reg 85'!$I$6:$Q$6&amp;'Reg 85'!$I$10:$K$10&amp;'Reg 85'!$B253),('DMR 001C TIN &amp; TP'!$E$3:$E$10005&amp;'DMR 001C TIN &amp; TP'!$B$3:$B$10005&amp;'DMR 001C TIN &amp; TP'!$A$3:$A$10005),0),MATCH('Reg 85'!$K$11,'DMR 001C TIN &amp; TP'!$A$2:$M$2,0))),"")</f>
        <v/>
      </c>
      <c r="L253" s="53" t="str">
        <f t="shared" si="101"/>
        <v/>
      </c>
      <c r="M253" s="5" t="str">
        <f t="shared" si="90"/>
        <v/>
      </c>
      <c r="N253" s="6" t="str">
        <f t="array" ref="N253">_xlfn.IFNA((INDEX('DMR 001C TIN &amp; TP'!$A$3:$M$10005,MATCH(('Reg 85'!$I$6:$Q$6&amp;'Reg 85'!$M$10&amp;'Reg 85'!$B253),('DMR 001C TIN &amp; TP'!$E$3:$E$10005&amp;'DMR 001C TIN &amp; TP'!$B$3:$B$10005&amp;'DMR 001C TIN &amp; TP'!$A$3:$A$10005),0),MATCH('Reg 85'!$N$11,'DMR 001C TIN &amp; TP'!$A$2:$M$2,0))),"")</f>
        <v/>
      </c>
      <c r="O253" s="6" t="str">
        <f t="array" ref="O253">_xlfn.IFNA((INDEX('DMR 001C TIN &amp; TP'!$A$3:$M$10005,MATCH(('Reg 85'!$I$6:$Q$6&amp;'Reg 85'!$M$10&amp;'Reg 85'!$B253),('DMR 001C TIN &amp; TP'!$E$3:$E$10005&amp;'DMR 001C TIN &amp; TP'!$B$3:$B$10005&amp;'DMR 001C TIN &amp; TP'!$A$3:$A$10005),0),MATCH('Reg 85'!$O$11,'DMR 001C TIN &amp; TP'!$A$2:$M$2,0))),"")</f>
        <v/>
      </c>
      <c r="P253" s="53" t="str">
        <f t="shared" si="91"/>
        <v/>
      </c>
      <c r="Q253" s="73" t="str">
        <f t="array" ref="Q253">IFERROR(((L253*$F253)+(P253*$G253))/($H253),"")</f>
        <v/>
      </c>
      <c r="R253" s="6" t="str">
        <f t="array" ref="R253">_xlfn.IFNA((INDEX('DMR 001C TIN &amp; TP'!$A$3:$M$10005,MATCH(('Reg 85'!$I$6:$Q$6&amp;'Reg 85'!R$10&amp;'Reg 85'!$B253),('DMR 001C TIN &amp; TP'!$E$3:$E$10005&amp;'DMR 001C TIN &amp; TP'!$B$3:$B$10005&amp;'DMR 001C TIN &amp; TP'!$A$3:$A$10005),0),MATCH('Reg 85'!$O$11,'DMR 001C TIN &amp; TP'!$A$2:$M$2,0))),"")</f>
        <v/>
      </c>
      <c r="S253" s="6" t="str">
        <f t="array" ref="S253">_xlfn.IFNA((INDEX('DMR 001C TIN &amp; TP'!$A$3:$M$10005,MATCH(('Reg 85'!$I$6:$Q$6&amp;'Reg 85'!S$10&amp;'Reg 85'!$B253),('DMR 001C TIN &amp; TP'!$E$3:$E$10005&amp;'DMR 001C TIN &amp; TP'!$B$3:$B$10005&amp;'DMR 001C TIN &amp; TP'!$A$3:$A$10005),0),MATCH('Reg 85'!$O$11,'DMR 001C TIN &amp; TP'!$A$2:$M$2,0))),"")</f>
        <v/>
      </c>
      <c r="T253" s="6" t="str">
        <f t="array" ref="T253">_xlfn.IFNA((INDEX('DMR 001C TIN &amp; TP'!$A$3:$M$10005,MATCH(('Reg 85'!$I$6:$Q$6&amp;'Reg 85'!T$10&amp;'Reg 85'!$B253),('DMR 001C TIN &amp; TP'!$E$3:$E$10005&amp;'DMR 001C TIN &amp; TP'!$B$3:$B$10005&amp;'DMR 001C TIN &amp; TP'!$A$3:$A$10005),0),MATCH('Reg 85'!$O$11,'DMR 001C TIN &amp; TP'!$A$2:$M$2,0))),"")</f>
        <v/>
      </c>
      <c r="U253" s="6" t="str">
        <f t="array" ref="U253">_xlfn.IFNA((INDEX('DMR 001C TIN &amp; TP'!$A$3:$M$10005,MATCH(('Reg 85'!$I$6:$Q$6&amp;'Reg 85'!U$10&amp;'Reg 85'!$B253),('DMR 001C TIN &amp; TP'!$E$3:$E$10005&amp;'DMR 001C TIN &amp; TP'!$B$3:$B$10005&amp;'DMR 001C TIN &amp; TP'!$A$3:$A$10005),0),MATCH('Reg 85'!$O$11,'DMR 001C TIN &amp; TP'!$A$2:$M$2,0))),"")</f>
        <v/>
      </c>
      <c r="V253" s="6" t="str">
        <f t="array" ref="V253">_xlfn.IFNA((INDEX('DMR 001C TIN &amp; TP'!$A$3:$M$10005,MATCH(('Reg 85'!$I$6:$Q$6&amp;'Reg 85'!V$10&amp;'Reg 85'!$B253),('DMR 001C TIN &amp; TP'!$E$3:$E$10005&amp;'DMR 001C TIN &amp; TP'!$B$3:$B$10005&amp;'DMR 001C TIN &amp; TP'!$A$3:$A$10005),0),MATCH('Reg 85'!$O$11,'DMR 001C TIN &amp; TP'!$A$2:$M$2,0))),"")</f>
        <v/>
      </c>
      <c r="W253" s="6" t="str">
        <f t="array" ref="W253">_xlfn.IFNA((INDEX('DMR 001C TIN &amp; TP'!$A$3:$M$10005,MATCH(('Reg 85'!$I$6:$Q$6&amp;'Reg 85'!W$10&amp;'Reg 85'!$B253),('DMR 001C TIN &amp; TP'!$E$3:$E$10005&amp;'DMR 001C TIN &amp; TP'!$B$3:$B$10005&amp;'DMR 001C TIN &amp; TP'!$A$3:$A$10005),0),MATCH('Reg 85'!$O$11,'DMR 001C TIN &amp; TP'!$A$2:$M$2,0))),"")</f>
        <v/>
      </c>
      <c r="X253" s="5" t="str">
        <f t="shared" si="92"/>
        <v/>
      </c>
      <c r="Y253" s="6" t="str">
        <f t="array" ref="Y253">_xlfn.IFNA((INDEX('DMR 001C TIN &amp; TP'!$A$3:$M$10005,MATCH(('Reg 85'!$X$6&amp;'Reg 85'!$X$10&amp;'Reg 85'!$B253),('DMR 001C TIN &amp; TP'!$E$3:$E$10005&amp;'DMR 001C TIN &amp; TP'!$B$3:$B$10005&amp;'DMR 001C TIN &amp; TP'!$A$3:$A$10005),0),MATCH('Reg 85'!$Y$11,'DMR 001C TIN &amp; TP'!$A$2:$M$2,0))),"")</f>
        <v/>
      </c>
      <c r="Z253" s="6" t="str">
        <f t="array" ref="Z253">_xlfn.IFNA((INDEX('DMR 001C TIN &amp; TP'!$A$3:$M$10005,MATCH(('Reg 85'!$X$6&amp;'Reg 85'!$X$10&amp;'Reg 85'!$B253),('DMR 001C TIN &amp; TP'!$E$3:$E$10005&amp;'DMR 001C TIN &amp; TP'!$B$3:$B$10005&amp;'DMR 001C TIN &amp; TP'!$A$3:$A$10005),0),MATCH('Reg 85'!$Z$11,'DMR 001C TIN &amp; TP'!$A$2:$M$2,0))),"")</f>
        <v/>
      </c>
      <c r="AA253" s="53" t="str">
        <f t="shared" si="93"/>
        <v/>
      </c>
      <c r="AB253" s="5" t="str">
        <f t="shared" si="94"/>
        <v/>
      </c>
      <c r="AC253" s="6" t="str">
        <f t="array" ref="AC253">_xlfn.IFNA((INDEX('DMR 001C TIN &amp; TP'!$A$3:$M$10005,MATCH(('Reg 85'!$X$6&amp;'Reg 85'!$AB$10&amp;'Reg 85'!$B253),('DMR 001C TIN &amp; TP'!$E$3:$E$10005&amp;'DMR 001C TIN &amp; TP'!$B$3:$B$10005&amp;'DMR 001C TIN &amp; TP'!$A$3:$A$10005),0),MATCH('Reg 85'!$AC$11,'DMR 001C TIN &amp; TP'!$A$2:$M$2,0))),"")</f>
        <v/>
      </c>
      <c r="AD253" s="6" t="str">
        <f t="array" ref="AD253">_xlfn.IFNA((INDEX('DMR 001C TIN &amp; TP'!$A$3:$M$10005,MATCH(('Reg 85'!$X$6&amp;'Reg 85'!$AB$10&amp;'Reg 85'!$B253),('DMR 001C TIN &amp; TP'!$E$3:$E$10005&amp;'DMR 001C TIN &amp; TP'!$B$3:$B$10005&amp;'DMR 001C TIN &amp; TP'!$A$3:$A$10005),0),MATCH('Reg 85'!$AD$11,'DMR 001C TIN &amp; TP'!$A$2:$M$2,0))),"")</f>
        <v/>
      </c>
      <c r="AE253" s="53" t="str">
        <f t="shared" si="95"/>
        <v/>
      </c>
      <c r="AF253" s="7" t="str">
        <f t="shared" si="96"/>
        <v/>
      </c>
      <c r="AG253" s="6" t="str">
        <f t="array" ref="AG253">_xlfn.IFNA((INDEX('DMR 001C TIN &amp; TP'!$A$3:$M$10005,MATCH(('Reg 85'!$X$6&amp;'Reg 85'!AG$10&amp;'Reg 85'!$B253),('DMR 001C TIN &amp; TP'!$E$3:$E$10005&amp;'DMR 001C TIN &amp; TP'!$B$3:$B$10005&amp;'DMR 001C TIN &amp; TP'!$A$3:$A$10005),0),MATCH('Reg 85'!$AG$11,'DMR 001C TIN &amp; TP'!$A$2:$M$2,0))),"")</f>
        <v/>
      </c>
      <c r="AH253" s="6" t="str">
        <f t="array" ref="AH253">_xlfn.IFNA((INDEX('DMR 001C TIN &amp; TP'!$A$3:$M$10005,MATCH(('Reg 85'!$X$6&amp;'Reg 85'!AH$10&amp;'Reg 85'!$B253),('DMR 001C TIN &amp; TP'!$E$3:$E$10005&amp;'DMR 001C TIN &amp; TP'!$B$3:$B$10005&amp;'DMR 001C TIN &amp; TP'!$A$3:$A$10005),0),MATCH('Reg 85'!$AG$11,'DMR 001C TIN &amp; TP'!$A$2:$M$2,0))),"")</f>
        <v/>
      </c>
      <c r="AI253" s="6" t="str">
        <f t="array" ref="AI253">_xlfn.IFNA((INDEX('DMR 001C TIN &amp; TP'!$A$3:$M$10005,MATCH(('Reg 85'!$X$6&amp;'Reg 85'!AI$10&amp;'Reg 85'!$B253),('DMR 001C TIN &amp; TP'!$E$3:$E$10005&amp;'DMR 001C TIN &amp; TP'!$B$3:$B$10005&amp;'DMR 001C TIN &amp; TP'!$A$3:$A$10005),0),MATCH('Reg 85'!$AG$11,'DMR 001C TIN &amp; TP'!$A$2:$M$2,0))),"")</f>
        <v/>
      </c>
      <c r="AJ253" s="6" t="str">
        <f t="array" ref="AJ253">_xlfn.IFNA((INDEX('DMR 001C TIN &amp; TP'!$A$3:$M$10005,MATCH(('Reg 85'!$X$6&amp;'Reg 85'!AJ$10&amp;'Reg 85'!$B253),('DMR 001C TIN &amp; TP'!$E$3:$E$10005&amp;'DMR 001C TIN &amp; TP'!$B$3:$B$10005&amp;'DMR 001C TIN &amp; TP'!$A$3:$A$10005),0),MATCH('Reg 85'!$AG$11,'DMR 001C TIN &amp; TP'!$A$2:$M$2,0))),"")</f>
        <v/>
      </c>
      <c r="AK253" s="6" t="str">
        <f t="array" ref="AK253">_xlfn.IFNA((INDEX('DMR 001C TIN &amp; TP'!$A$3:$M$10005,MATCH(('Reg 85'!$X$6&amp;'Reg 85'!AK$10&amp;'Reg 85'!$B253),('DMR 001C TIN &amp; TP'!$E$3:$E$10005&amp;'DMR 001C TIN &amp; TP'!$B$3:$B$10005&amp;'DMR 001C TIN &amp; TP'!$A$3:$A$10005),0),MATCH('Reg 85'!$AG$11,'DMR 001C TIN &amp; TP'!$A$2:$M$2,0))),"")</f>
        <v/>
      </c>
      <c r="AL253" s="6" t="str">
        <f t="array" ref="AL253">_xlfn.IFNA((INDEX('DMR 001C TIN &amp; TP'!$A$3:$M$10005,MATCH(('Reg 85'!$X$6&amp;'Reg 85'!AL$10&amp;'Reg 85'!$B253),('DMR 001C TIN &amp; TP'!$E$3:$E$10005&amp;'DMR 001C TIN &amp; TP'!$B$3:$B$10005&amp;'DMR 001C TIN &amp; TP'!$A$3:$A$10005),0),MATCH('Reg 85'!$AG$11,'DMR 001C TIN &amp; TP'!$A$2:$M$2,0))),"")</f>
        <v/>
      </c>
      <c r="AM253" s="76"/>
      <c r="AN253" s="6"/>
      <c r="AO253" s="54" t="str">
        <f t="shared" si="83"/>
        <v/>
      </c>
      <c r="AP253" s="77">
        <f>COUNT(AO224:AO253)</f>
        <v>12</v>
      </c>
      <c r="AQ253" s="47"/>
      <c r="AR253" s="6" t="str">
        <f t="array" ref="AR253">_xlfn.IFNA((INDEX('DMR 001C TIN &amp; TP'!$A$3:$M$10005,MATCH(('Reg 85'!$AQ$6&amp;'Reg 85'!$AQ$10&amp;'Reg 85'!$B253),('DMR 001C TIN &amp; TP'!$E$3:$E$10005&amp;'DMR 001C TIN &amp; TP'!$B$3:$B$10005&amp;'DMR 001C TIN &amp; TP'!$A$3:$A$10005),0),MATCH('Reg 85'!$AR$11,'DMR 001C TIN &amp; TP'!$A$2:$M$2,0))),"")</f>
        <v>0.03</v>
      </c>
      <c r="AS253" s="6">
        <f t="array" ref="AS253">_xlfn.IFNA((INDEX('DMR 001C TIN &amp; TP'!$A$3:$M$10005,MATCH(('Reg 85'!$AQ$6&amp;'Reg 85'!$AQ$10&amp;'Reg 85'!$B253),('DMR 001C TIN &amp; TP'!$E$3:$E$10005&amp;'DMR 001C TIN &amp; TP'!$B$3:$B$10005&amp;'DMR 001C TIN &amp; TP'!$A$3:$A$10005),0),MATCH('Reg 85'!$AS$11,'DMR 001C TIN &amp; TP'!$A$2:$M$2,0))),"")</f>
        <v>0.28999999999999998</v>
      </c>
      <c r="AT253" s="53">
        <f t="shared" si="97"/>
        <v>0.28999999999999998</v>
      </c>
      <c r="AV253" s="6" t="str">
        <f t="array" ref="AV253">_xlfn.IFNA((INDEX('DMR 001C TIN &amp; TP'!$A$3:$M$10005,MATCH(('Reg 85'!$AQ$6&amp;'Reg 85'!$AU$10&amp;'Reg 85'!$B253),('DMR 001C TIN &amp; TP'!$E$3:$E$10005&amp;'DMR 001C TIN &amp; TP'!$B$3:$B$10005&amp;'DMR 001C TIN &amp; TP'!$A$3:$A$10005),0),MATCH('Reg 85'!$AV$11,'DMR 001C TIN &amp; TP'!$A$2:$M$2,0))),"")</f>
        <v>0.03</v>
      </c>
      <c r="AW253" s="6">
        <f t="array" ref="AW253">_xlfn.IFNA((INDEX('DMR 001C TIN &amp; TP'!$A$3:$M$10005,MATCH(('Reg 85'!$AQ$6&amp;'Reg 85'!$AU$10&amp;'Reg 85'!$B253),('DMR 001C TIN &amp; TP'!$E$3:$E$10005&amp;'DMR 001C TIN &amp; TP'!$B$3:$B$10005&amp;'DMR 001C TIN &amp; TP'!$A$3:$A$10005),0),MATCH('Reg 85'!$AW$11,'DMR 001C TIN &amp; TP'!$A$2:$M$2,0))),"")</f>
        <v>0.56999999999999995</v>
      </c>
      <c r="AX253" s="53">
        <f t="shared" si="98"/>
        <v>0.56999999999999995</v>
      </c>
      <c r="AY253" s="55">
        <f t="shared" si="99"/>
        <v>0.4146736697035035</v>
      </c>
      <c r="AZ253" s="77">
        <f>COUNT(AY224:AY253)</f>
        <v>18</v>
      </c>
      <c r="BA253" s="6" t="str">
        <f t="array" ref="BA253">_xlfn.IFNA((INDEX('DMR 001C TIN &amp; TP'!$A$3:$M$10005,MATCH(('Reg 85'!$AQ$6&amp;'Reg 85'!BA$10&amp;'Reg 85'!$B253),('DMR 001C TIN &amp; TP'!$E$3:$E$10005&amp;'DMR 001C TIN &amp; TP'!$B$3:$B$10005&amp;'DMR 001C TIN &amp; TP'!$A$3:$A$10005),0),MATCH('Reg 85'!$AG$11,'DMR 001C TIN &amp; TP'!$A$2:$M$2,0))),"")</f>
        <v/>
      </c>
      <c r="BB253" s="6" t="str">
        <f t="array" ref="BB253">_xlfn.IFNA((INDEX('DMR 001C TIN &amp; TP'!$A$3:$M$10005,MATCH(('Reg 85'!$AQ$6&amp;'Reg 85'!BB$10&amp;'Reg 85'!$B253),('DMR 001C TIN &amp; TP'!$E$3:$E$10005&amp;'DMR 001C TIN &amp; TP'!$B$3:$B$10005&amp;'DMR 001C TIN &amp; TP'!$A$3:$A$10005),0),MATCH('Reg 85'!$AG$11,'DMR 001C TIN &amp; TP'!$A$2:$M$2,0))),"")</f>
        <v/>
      </c>
      <c r="BC253" s="6" t="str">
        <f t="array" ref="BC253">_xlfn.IFNA((INDEX('DMR 001C TIN &amp; TP'!$A$3:$M$10005,MATCH(('Reg 85'!$AQ$6&amp;'Reg 85'!BC$10&amp;'Reg 85'!$B253),('DMR 001C TIN &amp; TP'!$E$3:$E$10005&amp;'DMR 001C TIN &amp; TP'!$B$3:$B$10005&amp;'DMR 001C TIN &amp; TP'!$A$3:$A$10005),0),MATCH('Reg 85'!$AG$11,'DMR 001C TIN &amp; TP'!$A$2:$M$2,0))),"")</f>
        <v/>
      </c>
      <c r="BD253" s="6" t="str">
        <f t="array" ref="BD253">_xlfn.IFNA((INDEX('DMR 001C TIN &amp; TP'!$A$3:$M$10005,MATCH(('Reg 85'!$AQ$6&amp;'Reg 85'!BD$10&amp;'Reg 85'!$B253),('DMR 001C TIN &amp; TP'!$E$3:$E$10005&amp;'DMR 001C TIN &amp; TP'!$B$3:$B$10005&amp;'DMR 001C TIN &amp; TP'!$A$3:$A$10005),0),MATCH('Reg 85'!$AG$11,'DMR 001C TIN &amp; TP'!$A$2:$M$2,0))),"")</f>
        <v/>
      </c>
      <c r="BE253" s="6" t="str">
        <f t="array" ref="BE253">_xlfn.IFNA((INDEX('DMR 001C TIN &amp; TP'!$A$3:$M$10005,MATCH(('Reg 85'!$AQ$6&amp;'Reg 85'!BE$10&amp;'Reg 85'!$B253),('DMR 001C TIN &amp; TP'!$E$3:$E$10005&amp;'DMR 001C TIN &amp; TP'!$B$3:$B$10005&amp;'DMR 001C TIN &amp; TP'!$A$3:$A$10005),0),MATCH('Reg 85'!$AG$11,'DMR 001C TIN &amp; TP'!$A$2:$M$2,0))),"")</f>
        <v/>
      </c>
      <c r="BF253" s="6" t="str">
        <f t="array" ref="BF253">_xlfn.IFNA((INDEX('DMR 001C TIN &amp; TP'!$A$3:$M$10005,MATCH(('Reg 85'!$AQ$6&amp;'Reg 85'!BF$10&amp;'Reg 85'!$B253),('DMR 001C TIN &amp; TP'!$E$3:$E$10005&amp;'DMR 001C TIN &amp; TP'!$B$3:$B$10005&amp;'DMR 001C TIN &amp; TP'!$A$3:$A$10005),0),MATCH('Reg 85'!$AG$11,'DMR 001C TIN &amp; TP'!$A$2:$M$2,0))),"")</f>
        <v/>
      </c>
    </row>
    <row r="254" spans="1:58">
      <c r="A254" s="3" t="str">
        <f t="shared" si="84"/>
        <v>Wed</v>
      </c>
      <c r="B254" s="96">
        <f t="shared" si="100"/>
        <v>43586</v>
      </c>
      <c r="C254" s="96">
        <f t="shared" si="85"/>
        <v>43616</v>
      </c>
      <c r="D254" s="96">
        <f t="shared" si="86"/>
        <v>43586</v>
      </c>
      <c r="E254" s="95">
        <f t="shared" si="87"/>
        <v>31</v>
      </c>
      <c r="F254" s="7">
        <f t="array" ref="F254">_xlfn.IFNA(INDEX('DMR Flows-Effluent'!$A$3:$F$9999,MATCH(($F$10&amp;$B254),('DMR Flows-Effluent'!$B$3:$B$9999&amp;'DMR Flows-Effluent'!$A$3:$A$9999),0),MATCH($F$8,'DMR Flows-Effluent'!$A$2:$F$2,0)),"")</f>
        <v>64.740799999999993</v>
      </c>
      <c r="G254" s="7">
        <f t="array" ref="G254">_xlfn.IFNA(INDEX('DMR Flows-Effluent'!$A$3:$F$9999,MATCH(($G$10&amp;$B254),('DMR Flows-Effluent'!$B$3:$B$9999&amp;'DMR Flows-Effluent'!$A$3:$A$9999),0),MATCH($F$8,'DMR Flows-Effluent'!$A$2:$F$2,0)),"")</f>
        <v>60.751300000000001</v>
      </c>
      <c r="H254" s="7">
        <f t="shared" si="88"/>
        <v>125.49209999999999</v>
      </c>
      <c r="I254" s="45" t="str">
        <f t="shared" si="89"/>
        <v/>
      </c>
      <c r="J254" s="6" t="str">
        <f t="array" ref="J254">_xlfn.IFNA((INDEX('DMR 001C TIN &amp; TP'!$A$3:$M$10005,MATCH(('Reg 85'!$I$6:$Q$6&amp;'Reg 85'!$I$10:$K$10&amp;'Reg 85'!$B254),('DMR 001C TIN &amp; TP'!$E$3:$E$10005&amp;'DMR 001C TIN &amp; TP'!$B$3:$B$10005&amp;'DMR 001C TIN &amp; TP'!$A$3:$A$10005),0),MATCH('Reg 85'!$J$11,'DMR 001C TIN &amp; TP'!$A$2:$M$2,0))),"")</f>
        <v/>
      </c>
      <c r="K254" s="6" t="str">
        <f t="array" ref="K254">_xlfn.IFNA((INDEX('DMR 001C TIN &amp; TP'!$A$3:$M$10005,MATCH(('Reg 85'!$I$6:$Q$6&amp;'Reg 85'!$I$10:$K$10&amp;'Reg 85'!$B254),('DMR 001C TIN &amp; TP'!$E$3:$E$10005&amp;'DMR 001C TIN &amp; TP'!$B$3:$B$10005&amp;'DMR 001C TIN &amp; TP'!$A$3:$A$10005),0),MATCH('Reg 85'!$K$11,'DMR 001C TIN &amp; TP'!$A$2:$M$2,0))),"")</f>
        <v/>
      </c>
      <c r="L254" s="53" t="str">
        <f t="shared" si="101"/>
        <v/>
      </c>
      <c r="M254" s="5" t="str">
        <f t="shared" si="90"/>
        <v/>
      </c>
      <c r="N254" s="6" t="str">
        <f t="array" ref="N254">_xlfn.IFNA((INDEX('DMR 001C TIN &amp; TP'!$A$3:$M$10005,MATCH(('Reg 85'!$I$6:$Q$6&amp;'Reg 85'!$M$10&amp;'Reg 85'!$B254),('DMR 001C TIN &amp; TP'!$E$3:$E$10005&amp;'DMR 001C TIN &amp; TP'!$B$3:$B$10005&amp;'DMR 001C TIN &amp; TP'!$A$3:$A$10005),0),MATCH('Reg 85'!$N$11,'DMR 001C TIN &amp; TP'!$A$2:$M$2,0))),"")</f>
        <v/>
      </c>
      <c r="O254" s="6" t="str">
        <f t="array" ref="O254">_xlfn.IFNA((INDEX('DMR 001C TIN &amp; TP'!$A$3:$M$10005,MATCH(('Reg 85'!$I$6:$Q$6&amp;'Reg 85'!$M$10&amp;'Reg 85'!$B254),('DMR 001C TIN &amp; TP'!$E$3:$E$10005&amp;'DMR 001C TIN &amp; TP'!$B$3:$B$10005&amp;'DMR 001C TIN &amp; TP'!$A$3:$A$10005),0),MATCH('Reg 85'!$O$11,'DMR 001C TIN &amp; TP'!$A$2:$M$2,0))),"")</f>
        <v/>
      </c>
      <c r="P254" s="53" t="str">
        <f t="shared" si="91"/>
        <v/>
      </c>
      <c r="Q254" s="73" t="str">
        <f t="array" ref="Q254">IFERROR(((L254*$F254)+(P254*$G254))/($H254),"")</f>
        <v/>
      </c>
      <c r="R254" s="6" t="str">
        <f t="array" ref="R254">_xlfn.IFNA((INDEX('DMR 001C TIN &amp; TP'!$A$3:$M$10005,MATCH(('Reg 85'!$I$6:$Q$6&amp;'Reg 85'!R$10&amp;'Reg 85'!$B254),('DMR 001C TIN &amp; TP'!$E$3:$E$10005&amp;'DMR 001C TIN &amp; TP'!$B$3:$B$10005&amp;'DMR 001C TIN &amp; TP'!$A$3:$A$10005),0),MATCH('Reg 85'!$O$11,'DMR 001C TIN &amp; TP'!$A$2:$M$2,0))),"")</f>
        <v/>
      </c>
      <c r="S254" s="6" t="str">
        <f t="array" ref="S254">_xlfn.IFNA((INDEX('DMR 001C TIN &amp; TP'!$A$3:$M$10005,MATCH(('Reg 85'!$I$6:$Q$6&amp;'Reg 85'!S$10&amp;'Reg 85'!$B254),('DMR 001C TIN &amp; TP'!$E$3:$E$10005&amp;'DMR 001C TIN &amp; TP'!$B$3:$B$10005&amp;'DMR 001C TIN &amp; TP'!$A$3:$A$10005),0),MATCH('Reg 85'!$O$11,'DMR 001C TIN &amp; TP'!$A$2:$M$2,0))),"")</f>
        <v/>
      </c>
      <c r="T254" s="6" t="str">
        <f t="array" ref="T254">_xlfn.IFNA((INDEX('DMR 001C TIN &amp; TP'!$A$3:$M$10005,MATCH(('Reg 85'!$I$6:$Q$6&amp;'Reg 85'!T$10&amp;'Reg 85'!$B254),('DMR 001C TIN &amp; TP'!$E$3:$E$10005&amp;'DMR 001C TIN &amp; TP'!$B$3:$B$10005&amp;'DMR 001C TIN &amp; TP'!$A$3:$A$10005),0),MATCH('Reg 85'!$O$11,'DMR 001C TIN &amp; TP'!$A$2:$M$2,0))),"")</f>
        <v/>
      </c>
      <c r="U254" s="6" t="str">
        <f t="array" ref="U254">_xlfn.IFNA((INDEX('DMR 001C TIN &amp; TP'!$A$3:$M$10005,MATCH(('Reg 85'!$I$6:$Q$6&amp;'Reg 85'!U$10&amp;'Reg 85'!$B254),('DMR 001C TIN &amp; TP'!$E$3:$E$10005&amp;'DMR 001C TIN &amp; TP'!$B$3:$B$10005&amp;'DMR 001C TIN &amp; TP'!$A$3:$A$10005),0),MATCH('Reg 85'!$O$11,'DMR 001C TIN &amp; TP'!$A$2:$M$2,0))),"")</f>
        <v/>
      </c>
      <c r="V254" s="6" t="str">
        <f t="array" ref="V254">_xlfn.IFNA((INDEX('DMR 001C TIN &amp; TP'!$A$3:$M$10005,MATCH(('Reg 85'!$I$6:$Q$6&amp;'Reg 85'!V$10&amp;'Reg 85'!$B254),('DMR 001C TIN &amp; TP'!$E$3:$E$10005&amp;'DMR 001C TIN &amp; TP'!$B$3:$B$10005&amp;'DMR 001C TIN &amp; TP'!$A$3:$A$10005),0),MATCH('Reg 85'!$O$11,'DMR 001C TIN &amp; TP'!$A$2:$M$2,0))),"")</f>
        <v/>
      </c>
      <c r="W254" s="6" t="str">
        <f t="array" ref="W254">_xlfn.IFNA((INDEX('DMR 001C TIN &amp; TP'!$A$3:$M$10005,MATCH(('Reg 85'!$I$6:$Q$6&amp;'Reg 85'!W$10&amp;'Reg 85'!$B254),('DMR 001C TIN &amp; TP'!$E$3:$E$10005&amp;'DMR 001C TIN &amp; TP'!$B$3:$B$10005&amp;'DMR 001C TIN &amp; TP'!$A$3:$A$10005),0),MATCH('Reg 85'!$O$11,'DMR 001C TIN &amp; TP'!$A$2:$M$2,0))),"")</f>
        <v/>
      </c>
      <c r="X254" s="5" t="str">
        <f t="shared" si="92"/>
        <v/>
      </c>
      <c r="Y254" s="6" t="str">
        <f t="array" ref="Y254">_xlfn.IFNA((INDEX('DMR 001C TIN &amp; TP'!$A$3:$M$10005,MATCH(('Reg 85'!$X$6&amp;'Reg 85'!$X$10&amp;'Reg 85'!$B254),('DMR 001C TIN &amp; TP'!$E$3:$E$10005&amp;'DMR 001C TIN &amp; TP'!$B$3:$B$10005&amp;'DMR 001C TIN &amp; TP'!$A$3:$A$10005),0),MATCH('Reg 85'!$Y$11,'DMR 001C TIN &amp; TP'!$A$2:$M$2,0))),"")</f>
        <v/>
      </c>
      <c r="Z254" s="6" t="str">
        <f t="array" ref="Z254">_xlfn.IFNA((INDEX('DMR 001C TIN &amp; TP'!$A$3:$M$10005,MATCH(('Reg 85'!$X$6&amp;'Reg 85'!$X$10&amp;'Reg 85'!$B254),('DMR 001C TIN &amp; TP'!$E$3:$E$10005&amp;'DMR 001C TIN &amp; TP'!$B$3:$B$10005&amp;'DMR 001C TIN &amp; TP'!$A$3:$A$10005),0),MATCH('Reg 85'!$Z$11,'DMR 001C TIN &amp; TP'!$A$2:$M$2,0))),"")</f>
        <v/>
      </c>
      <c r="AA254" s="53" t="str">
        <f t="shared" si="93"/>
        <v/>
      </c>
      <c r="AB254" s="5" t="str">
        <f t="shared" si="94"/>
        <v/>
      </c>
      <c r="AC254" s="6" t="str">
        <f t="array" ref="AC254">_xlfn.IFNA((INDEX('DMR 001C TIN &amp; TP'!$A$3:$M$10005,MATCH(('Reg 85'!$X$6&amp;'Reg 85'!$AB$10&amp;'Reg 85'!$B254),('DMR 001C TIN &amp; TP'!$E$3:$E$10005&amp;'DMR 001C TIN &amp; TP'!$B$3:$B$10005&amp;'DMR 001C TIN &amp; TP'!$A$3:$A$10005),0),MATCH('Reg 85'!$AC$11,'DMR 001C TIN &amp; TP'!$A$2:$M$2,0))),"")</f>
        <v/>
      </c>
      <c r="AD254" s="6" t="str">
        <f t="array" ref="AD254">_xlfn.IFNA((INDEX('DMR 001C TIN &amp; TP'!$A$3:$M$10005,MATCH(('Reg 85'!$X$6&amp;'Reg 85'!$AB$10&amp;'Reg 85'!$B254),('DMR 001C TIN &amp; TP'!$E$3:$E$10005&amp;'DMR 001C TIN &amp; TP'!$B$3:$B$10005&amp;'DMR 001C TIN &amp; TP'!$A$3:$A$10005),0),MATCH('Reg 85'!$AD$11,'DMR 001C TIN &amp; TP'!$A$2:$M$2,0))),"")</f>
        <v/>
      </c>
      <c r="AE254" s="53" t="str">
        <f t="shared" si="95"/>
        <v/>
      </c>
      <c r="AF254" s="7" t="str">
        <f t="shared" si="96"/>
        <v/>
      </c>
      <c r="AG254" s="6" t="str">
        <f t="array" ref="AG254">_xlfn.IFNA((INDEX('DMR 001C TIN &amp; TP'!$A$3:$M$10005,MATCH(('Reg 85'!$X$6&amp;'Reg 85'!AG$10&amp;'Reg 85'!$B254),('DMR 001C TIN &amp; TP'!$E$3:$E$10005&amp;'DMR 001C TIN &amp; TP'!$B$3:$B$10005&amp;'DMR 001C TIN &amp; TP'!$A$3:$A$10005),0),MATCH('Reg 85'!$AG$11,'DMR 001C TIN &amp; TP'!$A$2:$M$2,0))),"")</f>
        <v/>
      </c>
      <c r="AH254" s="6" t="str">
        <f t="array" ref="AH254">_xlfn.IFNA((INDEX('DMR 001C TIN &amp; TP'!$A$3:$M$10005,MATCH(('Reg 85'!$X$6&amp;'Reg 85'!AH$10&amp;'Reg 85'!$B254),('DMR 001C TIN &amp; TP'!$E$3:$E$10005&amp;'DMR 001C TIN &amp; TP'!$B$3:$B$10005&amp;'DMR 001C TIN &amp; TP'!$A$3:$A$10005),0),MATCH('Reg 85'!$AG$11,'DMR 001C TIN &amp; TP'!$A$2:$M$2,0))),"")</f>
        <v/>
      </c>
      <c r="AI254" s="6" t="str">
        <f t="array" ref="AI254">_xlfn.IFNA((INDEX('DMR 001C TIN &amp; TP'!$A$3:$M$10005,MATCH(('Reg 85'!$X$6&amp;'Reg 85'!AI$10&amp;'Reg 85'!$B254),('DMR 001C TIN &amp; TP'!$E$3:$E$10005&amp;'DMR 001C TIN &amp; TP'!$B$3:$B$10005&amp;'DMR 001C TIN &amp; TP'!$A$3:$A$10005),0),MATCH('Reg 85'!$AG$11,'DMR 001C TIN &amp; TP'!$A$2:$M$2,0))),"")</f>
        <v/>
      </c>
      <c r="AJ254" s="6" t="str">
        <f t="array" ref="AJ254">_xlfn.IFNA((INDEX('DMR 001C TIN &amp; TP'!$A$3:$M$10005,MATCH(('Reg 85'!$X$6&amp;'Reg 85'!AJ$10&amp;'Reg 85'!$B254),('DMR 001C TIN &amp; TP'!$E$3:$E$10005&amp;'DMR 001C TIN &amp; TP'!$B$3:$B$10005&amp;'DMR 001C TIN &amp; TP'!$A$3:$A$10005),0),MATCH('Reg 85'!$AG$11,'DMR 001C TIN &amp; TP'!$A$2:$M$2,0))),"")</f>
        <v/>
      </c>
      <c r="AK254" s="6" t="str">
        <f t="array" ref="AK254">_xlfn.IFNA((INDEX('DMR 001C TIN &amp; TP'!$A$3:$M$10005,MATCH(('Reg 85'!$X$6&amp;'Reg 85'!AK$10&amp;'Reg 85'!$B254),('DMR 001C TIN &amp; TP'!$E$3:$E$10005&amp;'DMR 001C TIN &amp; TP'!$B$3:$B$10005&amp;'DMR 001C TIN &amp; TP'!$A$3:$A$10005),0),MATCH('Reg 85'!$AG$11,'DMR 001C TIN &amp; TP'!$A$2:$M$2,0))),"")</f>
        <v/>
      </c>
      <c r="AL254" s="6" t="str">
        <f t="array" ref="AL254">_xlfn.IFNA((INDEX('DMR 001C TIN &amp; TP'!$A$3:$M$10005,MATCH(('Reg 85'!$X$6&amp;'Reg 85'!AL$10&amp;'Reg 85'!$B254),('DMR 001C TIN &amp; TP'!$E$3:$E$10005&amp;'DMR 001C TIN &amp; TP'!$B$3:$B$10005&amp;'DMR 001C TIN &amp; TP'!$A$3:$A$10005),0),MATCH('Reg 85'!$AG$11,'DMR 001C TIN &amp; TP'!$A$2:$M$2,0))),"")</f>
        <v/>
      </c>
      <c r="AM254" s="76"/>
      <c r="AN254" s="6"/>
      <c r="AO254" s="54" t="str">
        <f t="shared" si="83"/>
        <v/>
      </c>
      <c r="AP254" s="77" t="str">
        <f t="shared" si="102"/>
        <v/>
      </c>
      <c r="AQ254" s="47"/>
      <c r="AR254" s="6" t="str">
        <f t="array" ref="AR254">_xlfn.IFNA((INDEX('DMR 001C TIN &amp; TP'!$A$3:$M$10005,MATCH(('Reg 85'!$AQ$6&amp;'Reg 85'!$AQ$10&amp;'Reg 85'!$B254),('DMR 001C TIN &amp; TP'!$E$3:$E$10005&amp;'DMR 001C TIN &amp; TP'!$B$3:$B$10005&amp;'DMR 001C TIN &amp; TP'!$A$3:$A$10005),0),MATCH('Reg 85'!$AR$11,'DMR 001C TIN &amp; TP'!$A$2:$M$2,0))),"")</f>
        <v>0.03</v>
      </c>
      <c r="AS254" s="6">
        <f t="array" ref="AS254">_xlfn.IFNA((INDEX('DMR 001C TIN &amp; TP'!$A$3:$M$10005,MATCH(('Reg 85'!$AQ$6&amp;'Reg 85'!$AQ$10&amp;'Reg 85'!$B254),('DMR 001C TIN &amp; TP'!$E$3:$E$10005&amp;'DMR 001C TIN &amp; TP'!$B$3:$B$10005&amp;'DMR 001C TIN &amp; TP'!$A$3:$A$10005),0),MATCH('Reg 85'!$AS$11,'DMR 001C TIN &amp; TP'!$A$2:$M$2,0))),"")</f>
        <v>0.24</v>
      </c>
      <c r="AT254" s="53">
        <f t="shared" si="97"/>
        <v>0.24</v>
      </c>
      <c r="AV254" s="6" t="str">
        <f t="array" ref="AV254">_xlfn.IFNA((INDEX('DMR 001C TIN &amp; TP'!$A$3:$M$10005,MATCH(('Reg 85'!$AQ$6&amp;'Reg 85'!$AU$10&amp;'Reg 85'!$B254),('DMR 001C TIN &amp; TP'!$E$3:$E$10005&amp;'DMR 001C TIN &amp; TP'!$B$3:$B$10005&amp;'DMR 001C TIN &amp; TP'!$A$3:$A$10005),0),MATCH('Reg 85'!$AV$11,'DMR 001C TIN &amp; TP'!$A$2:$M$2,0))),"")</f>
        <v>0.03</v>
      </c>
      <c r="AW254" s="6">
        <f t="array" ref="AW254">_xlfn.IFNA((INDEX('DMR 001C TIN &amp; TP'!$A$3:$M$10005,MATCH(('Reg 85'!$AQ$6&amp;'Reg 85'!$AU$10&amp;'Reg 85'!$B254),('DMR 001C TIN &amp; TP'!$E$3:$E$10005&amp;'DMR 001C TIN &amp; TP'!$B$3:$B$10005&amp;'DMR 001C TIN &amp; TP'!$A$3:$A$10005),0),MATCH('Reg 85'!$AW$11,'DMR 001C TIN &amp; TP'!$A$2:$M$2,0))),"")</f>
        <v>0.51</v>
      </c>
      <c r="AX254" s="53">
        <f t="shared" si="98"/>
        <v>0.51</v>
      </c>
      <c r="AY254" s="55">
        <f t="shared" si="99"/>
        <v>0.37070823581723472</v>
      </c>
      <c r="AZ254" s="77" t="str">
        <f t="shared" si="103"/>
        <v/>
      </c>
      <c r="BA254" s="6" t="str">
        <f t="array" ref="BA254">_xlfn.IFNA((INDEX('DMR 001C TIN &amp; TP'!$A$3:$M$10005,MATCH(('Reg 85'!$AQ$6&amp;'Reg 85'!BA$10&amp;'Reg 85'!$B254),('DMR 001C TIN &amp; TP'!$E$3:$E$10005&amp;'DMR 001C TIN &amp; TP'!$B$3:$B$10005&amp;'DMR 001C TIN &amp; TP'!$A$3:$A$10005),0),MATCH('Reg 85'!$AG$11,'DMR 001C TIN &amp; TP'!$A$2:$M$2,0))),"")</f>
        <v/>
      </c>
      <c r="BB254" s="6" t="str">
        <f t="array" ref="BB254">_xlfn.IFNA((INDEX('DMR 001C TIN &amp; TP'!$A$3:$M$10005,MATCH(('Reg 85'!$AQ$6&amp;'Reg 85'!BB$10&amp;'Reg 85'!$B254),('DMR 001C TIN &amp; TP'!$E$3:$E$10005&amp;'DMR 001C TIN &amp; TP'!$B$3:$B$10005&amp;'DMR 001C TIN &amp; TP'!$A$3:$A$10005),0),MATCH('Reg 85'!$AG$11,'DMR 001C TIN &amp; TP'!$A$2:$M$2,0))),"")</f>
        <v/>
      </c>
      <c r="BC254" s="6" t="str">
        <f t="array" ref="BC254">_xlfn.IFNA((INDEX('DMR 001C TIN &amp; TP'!$A$3:$M$10005,MATCH(('Reg 85'!$AQ$6&amp;'Reg 85'!BC$10&amp;'Reg 85'!$B254),('DMR 001C TIN &amp; TP'!$E$3:$E$10005&amp;'DMR 001C TIN &amp; TP'!$B$3:$B$10005&amp;'DMR 001C TIN &amp; TP'!$A$3:$A$10005),0),MATCH('Reg 85'!$AG$11,'DMR 001C TIN &amp; TP'!$A$2:$M$2,0))),"")</f>
        <v/>
      </c>
      <c r="BD254" s="6" t="str">
        <f t="array" ref="BD254">_xlfn.IFNA((INDEX('DMR 001C TIN &amp; TP'!$A$3:$M$10005,MATCH(('Reg 85'!$AQ$6&amp;'Reg 85'!BD$10&amp;'Reg 85'!$B254),('DMR 001C TIN &amp; TP'!$E$3:$E$10005&amp;'DMR 001C TIN &amp; TP'!$B$3:$B$10005&amp;'DMR 001C TIN &amp; TP'!$A$3:$A$10005),0),MATCH('Reg 85'!$AG$11,'DMR 001C TIN &amp; TP'!$A$2:$M$2,0))),"")</f>
        <v/>
      </c>
      <c r="BE254" s="6" t="str">
        <f t="array" ref="BE254">_xlfn.IFNA((INDEX('DMR 001C TIN &amp; TP'!$A$3:$M$10005,MATCH(('Reg 85'!$AQ$6&amp;'Reg 85'!BE$10&amp;'Reg 85'!$B254),('DMR 001C TIN &amp; TP'!$E$3:$E$10005&amp;'DMR 001C TIN &amp; TP'!$B$3:$B$10005&amp;'DMR 001C TIN &amp; TP'!$A$3:$A$10005),0),MATCH('Reg 85'!$AG$11,'DMR 001C TIN &amp; TP'!$A$2:$M$2,0))),"")</f>
        <v/>
      </c>
      <c r="BF254" s="6" t="str">
        <f t="array" ref="BF254">_xlfn.IFNA((INDEX('DMR 001C TIN &amp; TP'!$A$3:$M$10005,MATCH(('Reg 85'!$AQ$6&amp;'Reg 85'!BF$10&amp;'Reg 85'!$B254),('DMR 001C TIN &amp; TP'!$E$3:$E$10005&amp;'DMR 001C TIN &amp; TP'!$B$3:$B$10005&amp;'DMR 001C TIN &amp; TP'!$A$3:$A$10005),0),MATCH('Reg 85'!$AG$11,'DMR 001C TIN &amp; TP'!$A$2:$M$2,0))),"")</f>
        <v/>
      </c>
    </row>
    <row r="255" spans="1:58">
      <c r="A255" s="3" t="str">
        <f t="shared" si="84"/>
        <v>Thu</v>
      </c>
      <c r="B255" s="96">
        <f t="shared" si="100"/>
        <v>43587</v>
      </c>
      <c r="C255" s="96">
        <f t="shared" si="85"/>
        <v>43616</v>
      </c>
      <c r="D255" s="96">
        <f t="shared" si="86"/>
        <v>43586</v>
      </c>
      <c r="E255" s="95">
        <f t="shared" si="87"/>
        <v>31</v>
      </c>
      <c r="F255" s="7">
        <f t="array" ref="F255">_xlfn.IFNA(INDEX('DMR Flows-Effluent'!$A$3:$F$9999,MATCH(($F$10&amp;$B255),('DMR Flows-Effluent'!$B$3:$B$9999&amp;'DMR Flows-Effluent'!$A$3:$A$9999),0),MATCH($F$8,'DMR Flows-Effluent'!$A$2:$F$2,0)),"")</f>
        <v>59.6295</v>
      </c>
      <c r="G255" s="7">
        <f t="array" ref="G255">_xlfn.IFNA(INDEX('DMR Flows-Effluent'!$A$3:$F$9999,MATCH(($G$10&amp;$B255),('DMR Flows-Effluent'!$B$3:$B$9999&amp;'DMR Flows-Effluent'!$A$3:$A$9999),0),MATCH($F$8,'DMR Flows-Effluent'!$A$2:$F$2,0)),"")</f>
        <v>63.9437</v>
      </c>
      <c r="H255" s="7">
        <f t="shared" si="88"/>
        <v>123.5732</v>
      </c>
      <c r="I255" s="45" t="str">
        <f t="shared" si="89"/>
        <v/>
      </c>
      <c r="J255" s="6" t="str">
        <f t="array" ref="J255">_xlfn.IFNA((INDEX('DMR 001C TIN &amp; TP'!$A$3:$M$10005,MATCH(('Reg 85'!$I$6:$Q$6&amp;'Reg 85'!$I$10:$K$10&amp;'Reg 85'!$B255),('DMR 001C TIN &amp; TP'!$E$3:$E$10005&amp;'DMR 001C TIN &amp; TP'!$B$3:$B$10005&amp;'DMR 001C TIN &amp; TP'!$A$3:$A$10005),0),MATCH('Reg 85'!$J$11,'DMR 001C TIN &amp; TP'!$A$2:$M$2,0))),"")</f>
        <v/>
      </c>
      <c r="K255" s="6" t="str">
        <f t="array" ref="K255">_xlfn.IFNA((INDEX('DMR 001C TIN &amp; TP'!$A$3:$M$10005,MATCH(('Reg 85'!$I$6:$Q$6&amp;'Reg 85'!$I$10:$K$10&amp;'Reg 85'!$B255),('DMR 001C TIN &amp; TP'!$E$3:$E$10005&amp;'DMR 001C TIN &amp; TP'!$B$3:$B$10005&amp;'DMR 001C TIN &amp; TP'!$A$3:$A$10005),0),MATCH('Reg 85'!$K$11,'DMR 001C TIN &amp; TP'!$A$2:$M$2,0))),"")</f>
        <v/>
      </c>
      <c r="L255" s="53" t="str">
        <f t="shared" si="101"/>
        <v/>
      </c>
      <c r="M255" s="5" t="str">
        <f t="shared" si="90"/>
        <v/>
      </c>
      <c r="N255" s="6" t="str">
        <f t="array" ref="N255">_xlfn.IFNA((INDEX('DMR 001C TIN &amp; TP'!$A$3:$M$10005,MATCH(('Reg 85'!$I$6:$Q$6&amp;'Reg 85'!$M$10&amp;'Reg 85'!$B255),('DMR 001C TIN &amp; TP'!$E$3:$E$10005&amp;'DMR 001C TIN &amp; TP'!$B$3:$B$10005&amp;'DMR 001C TIN &amp; TP'!$A$3:$A$10005),0),MATCH('Reg 85'!$N$11,'DMR 001C TIN &amp; TP'!$A$2:$M$2,0))),"")</f>
        <v/>
      </c>
      <c r="O255" s="6" t="str">
        <f t="array" ref="O255">_xlfn.IFNA((INDEX('DMR 001C TIN &amp; TP'!$A$3:$M$10005,MATCH(('Reg 85'!$I$6:$Q$6&amp;'Reg 85'!$M$10&amp;'Reg 85'!$B255),('DMR 001C TIN &amp; TP'!$E$3:$E$10005&amp;'DMR 001C TIN &amp; TP'!$B$3:$B$10005&amp;'DMR 001C TIN &amp; TP'!$A$3:$A$10005),0),MATCH('Reg 85'!$O$11,'DMR 001C TIN &amp; TP'!$A$2:$M$2,0))),"")</f>
        <v/>
      </c>
      <c r="P255" s="53" t="str">
        <f t="shared" si="91"/>
        <v/>
      </c>
      <c r="Q255" s="73" t="str">
        <f t="array" ref="Q255">IFERROR(((L255*$F255)+(P255*$G255))/($H255),"")</f>
        <v/>
      </c>
      <c r="R255" s="6" t="str">
        <f t="array" ref="R255">_xlfn.IFNA((INDEX('DMR 001C TIN &amp; TP'!$A$3:$M$10005,MATCH(('Reg 85'!$I$6:$Q$6&amp;'Reg 85'!R$10&amp;'Reg 85'!$B255),('DMR 001C TIN &amp; TP'!$E$3:$E$10005&amp;'DMR 001C TIN &amp; TP'!$B$3:$B$10005&amp;'DMR 001C TIN &amp; TP'!$A$3:$A$10005),0),MATCH('Reg 85'!$O$11,'DMR 001C TIN &amp; TP'!$A$2:$M$2,0))),"")</f>
        <v/>
      </c>
      <c r="S255" s="6" t="str">
        <f t="array" ref="S255">_xlfn.IFNA((INDEX('DMR 001C TIN &amp; TP'!$A$3:$M$10005,MATCH(('Reg 85'!$I$6:$Q$6&amp;'Reg 85'!S$10&amp;'Reg 85'!$B255),('DMR 001C TIN &amp; TP'!$E$3:$E$10005&amp;'DMR 001C TIN &amp; TP'!$B$3:$B$10005&amp;'DMR 001C TIN &amp; TP'!$A$3:$A$10005),0),MATCH('Reg 85'!$O$11,'DMR 001C TIN &amp; TP'!$A$2:$M$2,0))),"")</f>
        <v/>
      </c>
      <c r="T255" s="6" t="str">
        <f t="array" ref="T255">_xlfn.IFNA((INDEX('DMR 001C TIN &amp; TP'!$A$3:$M$10005,MATCH(('Reg 85'!$I$6:$Q$6&amp;'Reg 85'!T$10&amp;'Reg 85'!$B255),('DMR 001C TIN &amp; TP'!$E$3:$E$10005&amp;'DMR 001C TIN &amp; TP'!$B$3:$B$10005&amp;'DMR 001C TIN &amp; TP'!$A$3:$A$10005),0),MATCH('Reg 85'!$O$11,'DMR 001C TIN &amp; TP'!$A$2:$M$2,0))),"")</f>
        <v/>
      </c>
      <c r="U255" s="6" t="str">
        <f t="array" ref="U255">_xlfn.IFNA((INDEX('DMR 001C TIN &amp; TP'!$A$3:$M$10005,MATCH(('Reg 85'!$I$6:$Q$6&amp;'Reg 85'!U$10&amp;'Reg 85'!$B255),('DMR 001C TIN &amp; TP'!$E$3:$E$10005&amp;'DMR 001C TIN &amp; TP'!$B$3:$B$10005&amp;'DMR 001C TIN &amp; TP'!$A$3:$A$10005),0),MATCH('Reg 85'!$O$11,'DMR 001C TIN &amp; TP'!$A$2:$M$2,0))),"")</f>
        <v/>
      </c>
      <c r="V255" s="6" t="str">
        <f t="array" ref="V255">_xlfn.IFNA((INDEX('DMR 001C TIN &amp; TP'!$A$3:$M$10005,MATCH(('Reg 85'!$I$6:$Q$6&amp;'Reg 85'!V$10&amp;'Reg 85'!$B255),('DMR 001C TIN &amp; TP'!$E$3:$E$10005&amp;'DMR 001C TIN &amp; TP'!$B$3:$B$10005&amp;'DMR 001C TIN &amp; TP'!$A$3:$A$10005),0),MATCH('Reg 85'!$O$11,'DMR 001C TIN &amp; TP'!$A$2:$M$2,0))),"")</f>
        <v/>
      </c>
      <c r="W255" s="6" t="str">
        <f t="array" ref="W255">_xlfn.IFNA((INDEX('DMR 001C TIN &amp; TP'!$A$3:$M$10005,MATCH(('Reg 85'!$I$6:$Q$6&amp;'Reg 85'!W$10&amp;'Reg 85'!$B255),('DMR 001C TIN &amp; TP'!$E$3:$E$10005&amp;'DMR 001C TIN &amp; TP'!$B$3:$B$10005&amp;'DMR 001C TIN &amp; TP'!$A$3:$A$10005),0),MATCH('Reg 85'!$O$11,'DMR 001C TIN &amp; TP'!$A$2:$M$2,0))),"")</f>
        <v/>
      </c>
      <c r="X255" s="5" t="str">
        <f t="shared" si="92"/>
        <v/>
      </c>
      <c r="Y255" s="6" t="str">
        <f t="array" ref="Y255">_xlfn.IFNA((INDEX('DMR 001C TIN &amp; TP'!$A$3:$M$10005,MATCH(('Reg 85'!$X$6&amp;'Reg 85'!$X$10&amp;'Reg 85'!$B255),('DMR 001C TIN &amp; TP'!$E$3:$E$10005&amp;'DMR 001C TIN &amp; TP'!$B$3:$B$10005&amp;'DMR 001C TIN &amp; TP'!$A$3:$A$10005),0),MATCH('Reg 85'!$Y$11,'DMR 001C TIN &amp; TP'!$A$2:$M$2,0))),"")</f>
        <v/>
      </c>
      <c r="Z255" s="6" t="str">
        <f t="array" ref="Z255">_xlfn.IFNA((INDEX('DMR 001C TIN &amp; TP'!$A$3:$M$10005,MATCH(('Reg 85'!$X$6&amp;'Reg 85'!$X$10&amp;'Reg 85'!$B255),('DMR 001C TIN &amp; TP'!$E$3:$E$10005&amp;'DMR 001C TIN &amp; TP'!$B$3:$B$10005&amp;'DMR 001C TIN &amp; TP'!$A$3:$A$10005),0),MATCH('Reg 85'!$Z$11,'DMR 001C TIN &amp; TP'!$A$2:$M$2,0))),"")</f>
        <v/>
      </c>
      <c r="AA255" s="53" t="str">
        <f t="shared" si="93"/>
        <v/>
      </c>
      <c r="AB255" s="5" t="str">
        <f t="shared" si="94"/>
        <v/>
      </c>
      <c r="AC255" s="6" t="str">
        <f t="array" ref="AC255">_xlfn.IFNA((INDEX('DMR 001C TIN &amp; TP'!$A$3:$M$10005,MATCH(('Reg 85'!$X$6&amp;'Reg 85'!$AB$10&amp;'Reg 85'!$B255),('DMR 001C TIN &amp; TP'!$E$3:$E$10005&amp;'DMR 001C TIN &amp; TP'!$B$3:$B$10005&amp;'DMR 001C TIN &amp; TP'!$A$3:$A$10005),0),MATCH('Reg 85'!$AC$11,'DMR 001C TIN &amp; TP'!$A$2:$M$2,0))),"")</f>
        <v/>
      </c>
      <c r="AD255" s="6" t="str">
        <f t="array" ref="AD255">_xlfn.IFNA((INDEX('DMR 001C TIN &amp; TP'!$A$3:$M$10005,MATCH(('Reg 85'!$X$6&amp;'Reg 85'!$AB$10&amp;'Reg 85'!$B255),('DMR 001C TIN &amp; TP'!$E$3:$E$10005&amp;'DMR 001C TIN &amp; TP'!$B$3:$B$10005&amp;'DMR 001C TIN &amp; TP'!$A$3:$A$10005),0),MATCH('Reg 85'!$AD$11,'DMR 001C TIN &amp; TP'!$A$2:$M$2,0))),"")</f>
        <v/>
      </c>
      <c r="AE255" s="53" t="str">
        <f t="shared" si="95"/>
        <v/>
      </c>
      <c r="AF255" s="7" t="str">
        <f t="shared" si="96"/>
        <v/>
      </c>
      <c r="AG255" s="6" t="str">
        <f t="array" ref="AG255">_xlfn.IFNA((INDEX('DMR 001C TIN &amp; TP'!$A$3:$M$10005,MATCH(('Reg 85'!$X$6&amp;'Reg 85'!AG$10&amp;'Reg 85'!$B255),('DMR 001C TIN &amp; TP'!$E$3:$E$10005&amp;'DMR 001C TIN &amp; TP'!$B$3:$B$10005&amp;'DMR 001C TIN &amp; TP'!$A$3:$A$10005),0),MATCH('Reg 85'!$AG$11,'DMR 001C TIN &amp; TP'!$A$2:$M$2,0))),"")</f>
        <v/>
      </c>
      <c r="AH255" s="6" t="str">
        <f t="array" ref="AH255">_xlfn.IFNA((INDEX('DMR 001C TIN &amp; TP'!$A$3:$M$10005,MATCH(('Reg 85'!$X$6&amp;'Reg 85'!AH$10&amp;'Reg 85'!$B255),('DMR 001C TIN &amp; TP'!$E$3:$E$10005&amp;'DMR 001C TIN &amp; TP'!$B$3:$B$10005&amp;'DMR 001C TIN &amp; TP'!$A$3:$A$10005),0),MATCH('Reg 85'!$AG$11,'DMR 001C TIN &amp; TP'!$A$2:$M$2,0))),"")</f>
        <v/>
      </c>
      <c r="AI255" s="6" t="str">
        <f t="array" ref="AI255">_xlfn.IFNA((INDEX('DMR 001C TIN &amp; TP'!$A$3:$M$10005,MATCH(('Reg 85'!$X$6&amp;'Reg 85'!AI$10&amp;'Reg 85'!$B255),('DMR 001C TIN &amp; TP'!$E$3:$E$10005&amp;'DMR 001C TIN &amp; TP'!$B$3:$B$10005&amp;'DMR 001C TIN &amp; TP'!$A$3:$A$10005),0),MATCH('Reg 85'!$AG$11,'DMR 001C TIN &amp; TP'!$A$2:$M$2,0))),"")</f>
        <v/>
      </c>
      <c r="AJ255" s="6" t="str">
        <f t="array" ref="AJ255">_xlfn.IFNA((INDEX('DMR 001C TIN &amp; TP'!$A$3:$M$10005,MATCH(('Reg 85'!$X$6&amp;'Reg 85'!AJ$10&amp;'Reg 85'!$B255),('DMR 001C TIN &amp; TP'!$E$3:$E$10005&amp;'DMR 001C TIN &amp; TP'!$B$3:$B$10005&amp;'DMR 001C TIN &amp; TP'!$A$3:$A$10005),0),MATCH('Reg 85'!$AG$11,'DMR 001C TIN &amp; TP'!$A$2:$M$2,0))),"")</f>
        <v/>
      </c>
      <c r="AK255" s="6" t="str">
        <f t="array" ref="AK255">_xlfn.IFNA((INDEX('DMR 001C TIN &amp; TP'!$A$3:$M$10005,MATCH(('Reg 85'!$X$6&amp;'Reg 85'!AK$10&amp;'Reg 85'!$B255),('DMR 001C TIN &amp; TP'!$E$3:$E$10005&amp;'DMR 001C TIN &amp; TP'!$B$3:$B$10005&amp;'DMR 001C TIN &amp; TP'!$A$3:$A$10005),0),MATCH('Reg 85'!$AG$11,'DMR 001C TIN &amp; TP'!$A$2:$M$2,0))),"")</f>
        <v/>
      </c>
      <c r="AL255" s="6" t="str">
        <f t="array" ref="AL255">_xlfn.IFNA((INDEX('DMR 001C TIN &amp; TP'!$A$3:$M$10005,MATCH(('Reg 85'!$X$6&amp;'Reg 85'!AL$10&amp;'Reg 85'!$B255),('DMR 001C TIN &amp; TP'!$E$3:$E$10005&amp;'DMR 001C TIN &amp; TP'!$B$3:$B$10005&amp;'DMR 001C TIN &amp; TP'!$A$3:$A$10005),0),MATCH('Reg 85'!$AG$11,'DMR 001C TIN &amp; TP'!$A$2:$M$2,0))),"")</f>
        <v/>
      </c>
      <c r="AM255" s="76"/>
      <c r="AN255" s="6"/>
      <c r="AO255" s="54" t="str">
        <f t="shared" si="83"/>
        <v/>
      </c>
      <c r="AP255" s="77" t="str">
        <f t="shared" si="102"/>
        <v/>
      </c>
      <c r="AQ255" s="47"/>
      <c r="AR255" s="6" t="str">
        <f t="array" ref="AR255">_xlfn.IFNA((INDEX('DMR 001C TIN &amp; TP'!$A$3:$M$10005,MATCH(('Reg 85'!$AQ$6&amp;'Reg 85'!$AQ$10&amp;'Reg 85'!$B255),('DMR 001C TIN &amp; TP'!$E$3:$E$10005&amp;'DMR 001C TIN &amp; TP'!$B$3:$B$10005&amp;'DMR 001C TIN &amp; TP'!$A$3:$A$10005),0),MATCH('Reg 85'!$AR$11,'DMR 001C TIN &amp; TP'!$A$2:$M$2,0))),"")</f>
        <v>0.03</v>
      </c>
      <c r="AS255" s="6">
        <f t="array" ref="AS255">_xlfn.IFNA((INDEX('DMR 001C TIN &amp; TP'!$A$3:$M$10005,MATCH(('Reg 85'!$AQ$6&amp;'Reg 85'!$AQ$10&amp;'Reg 85'!$B255),('DMR 001C TIN &amp; TP'!$E$3:$E$10005&amp;'DMR 001C TIN &amp; TP'!$B$3:$B$10005&amp;'DMR 001C TIN &amp; TP'!$A$3:$A$10005),0),MATCH('Reg 85'!$AS$11,'DMR 001C TIN &amp; TP'!$A$2:$M$2,0))),"")</f>
        <v>0.27</v>
      </c>
      <c r="AT255" s="53">
        <f t="shared" si="97"/>
        <v>0.27</v>
      </c>
      <c r="AV255" s="6" t="str">
        <f t="array" ref="AV255">_xlfn.IFNA((INDEX('DMR 001C TIN &amp; TP'!$A$3:$M$10005,MATCH(('Reg 85'!$AQ$6&amp;'Reg 85'!$AU$10&amp;'Reg 85'!$B255),('DMR 001C TIN &amp; TP'!$E$3:$E$10005&amp;'DMR 001C TIN &amp; TP'!$B$3:$B$10005&amp;'DMR 001C TIN &amp; TP'!$A$3:$A$10005),0),MATCH('Reg 85'!$AV$11,'DMR 001C TIN &amp; TP'!$A$2:$M$2,0))),"")</f>
        <v>0.03</v>
      </c>
      <c r="AW255" s="6">
        <f t="array" ref="AW255">_xlfn.IFNA((INDEX('DMR 001C TIN &amp; TP'!$A$3:$M$10005,MATCH(('Reg 85'!$AQ$6&amp;'Reg 85'!$AU$10&amp;'Reg 85'!$B255),('DMR 001C TIN &amp; TP'!$E$3:$E$10005&amp;'DMR 001C TIN &amp; TP'!$B$3:$B$10005&amp;'DMR 001C TIN &amp; TP'!$A$3:$A$10005),0),MATCH('Reg 85'!$AW$11,'DMR 001C TIN &amp; TP'!$A$2:$M$2,0))),"")</f>
        <v>0.41</v>
      </c>
      <c r="AX255" s="53">
        <f t="shared" si="98"/>
        <v>0.41</v>
      </c>
      <c r="AY255" s="55">
        <f t="shared" si="99"/>
        <v>0.34244384704774172</v>
      </c>
      <c r="AZ255" s="77" t="str">
        <f t="shared" si="103"/>
        <v/>
      </c>
      <c r="BA255" s="6" t="str">
        <f t="array" ref="BA255">_xlfn.IFNA((INDEX('DMR 001C TIN &amp; TP'!$A$3:$M$10005,MATCH(('Reg 85'!$AQ$6&amp;'Reg 85'!BA$10&amp;'Reg 85'!$B255),('DMR 001C TIN &amp; TP'!$E$3:$E$10005&amp;'DMR 001C TIN &amp; TP'!$B$3:$B$10005&amp;'DMR 001C TIN &amp; TP'!$A$3:$A$10005),0),MATCH('Reg 85'!$AG$11,'DMR 001C TIN &amp; TP'!$A$2:$M$2,0))),"")</f>
        <v/>
      </c>
      <c r="BB255" s="6" t="str">
        <f t="array" ref="BB255">_xlfn.IFNA((INDEX('DMR 001C TIN &amp; TP'!$A$3:$M$10005,MATCH(('Reg 85'!$AQ$6&amp;'Reg 85'!BB$10&amp;'Reg 85'!$B255),('DMR 001C TIN &amp; TP'!$E$3:$E$10005&amp;'DMR 001C TIN &amp; TP'!$B$3:$B$10005&amp;'DMR 001C TIN &amp; TP'!$A$3:$A$10005),0),MATCH('Reg 85'!$AG$11,'DMR 001C TIN &amp; TP'!$A$2:$M$2,0))),"")</f>
        <v/>
      </c>
      <c r="BC255" s="6" t="str">
        <f t="array" ref="BC255">_xlfn.IFNA((INDEX('DMR 001C TIN &amp; TP'!$A$3:$M$10005,MATCH(('Reg 85'!$AQ$6&amp;'Reg 85'!BC$10&amp;'Reg 85'!$B255),('DMR 001C TIN &amp; TP'!$E$3:$E$10005&amp;'DMR 001C TIN &amp; TP'!$B$3:$B$10005&amp;'DMR 001C TIN &amp; TP'!$A$3:$A$10005),0),MATCH('Reg 85'!$AG$11,'DMR 001C TIN &amp; TP'!$A$2:$M$2,0))),"")</f>
        <v/>
      </c>
      <c r="BD255" s="6" t="str">
        <f t="array" ref="BD255">_xlfn.IFNA((INDEX('DMR 001C TIN &amp; TP'!$A$3:$M$10005,MATCH(('Reg 85'!$AQ$6&amp;'Reg 85'!BD$10&amp;'Reg 85'!$B255),('DMR 001C TIN &amp; TP'!$E$3:$E$10005&amp;'DMR 001C TIN &amp; TP'!$B$3:$B$10005&amp;'DMR 001C TIN &amp; TP'!$A$3:$A$10005),0),MATCH('Reg 85'!$AG$11,'DMR 001C TIN &amp; TP'!$A$2:$M$2,0))),"")</f>
        <v/>
      </c>
      <c r="BE255" s="6" t="str">
        <f t="array" ref="BE255">_xlfn.IFNA((INDEX('DMR 001C TIN &amp; TP'!$A$3:$M$10005,MATCH(('Reg 85'!$AQ$6&amp;'Reg 85'!BE$10&amp;'Reg 85'!$B255),('DMR 001C TIN &amp; TP'!$E$3:$E$10005&amp;'DMR 001C TIN &amp; TP'!$B$3:$B$10005&amp;'DMR 001C TIN &amp; TP'!$A$3:$A$10005),0),MATCH('Reg 85'!$AG$11,'DMR 001C TIN &amp; TP'!$A$2:$M$2,0))),"")</f>
        <v/>
      </c>
      <c r="BF255" s="6" t="str">
        <f t="array" ref="BF255">_xlfn.IFNA((INDEX('DMR 001C TIN &amp; TP'!$A$3:$M$10005,MATCH(('Reg 85'!$AQ$6&amp;'Reg 85'!BF$10&amp;'Reg 85'!$B255),('DMR 001C TIN &amp; TP'!$E$3:$E$10005&amp;'DMR 001C TIN &amp; TP'!$B$3:$B$10005&amp;'DMR 001C TIN &amp; TP'!$A$3:$A$10005),0),MATCH('Reg 85'!$AG$11,'DMR 001C TIN &amp; TP'!$A$2:$M$2,0))),"")</f>
        <v/>
      </c>
    </row>
    <row r="256" spans="1:58">
      <c r="A256" s="3" t="str">
        <f t="shared" si="84"/>
        <v>Fri</v>
      </c>
      <c r="B256" s="96">
        <f t="shared" si="100"/>
        <v>43588</v>
      </c>
      <c r="C256" s="96">
        <f t="shared" si="85"/>
        <v>43616</v>
      </c>
      <c r="D256" s="96">
        <f t="shared" si="86"/>
        <v>43586</v>
      </c>
      <c r="E256" s="95">
        <f t="shared" si="87"/>
        <v>31</v>
      </c>
      <c r="F256" s="7">
        <f t="array" ref="F256">_xlfn.IFNA(INDEX('DMR Flows-Effluent'!$A$3:$F$9999,MATCH(($F$10&amp;$B256),('DMR Flows-Effluent'!$B$3:$B$9999&amp;'DMR Flows-Effluent'!$A$3:$A$9999),0),MATCH($F$8,'DMR Flows-Effluent'!$A$2:$F$2,0)),"")</f>
        <v>59.911999999999999</v>
      </c>
      <c r="G256" s="7">
        <f t="array" ref="G256">_xlfn.IFNA(INDEX('DMR Flows-Effluent'!$A$3:$F$9999,MATCH(($G$10&amp;$B256),('DMR Flows-Effluent'!$B$3:$B$9999&amp;'DMR Flows-Effluent'!$A$3:$A$9999),0),MATCH($F$8,'DMR Flows-Effluent'!$A$2:$F$2,0)),"")</f>
        <v>63.211799999999997</v>
      </c>
      <c r="H256" s="7">
        <f t="shared" si="88"/>
        <v>123.12379999999999</v>
      </c>
      <c r="I256" s="45" t="str">
        <f t="shared" si="89"/>
        <v/>
      </c>
      <c r="J256" s="6" t="str">
        <f t="array" ref="J256">_xlfn.IFNA((INDEX('DMR 001C TIN &amp; TP'!$A$3:$M$10005,MATCH(('Reg 85'!$I$6:$Q$6&amp;'Reg 85'!$I$10:$K$10&amp;'Reg 85'!$B256),('DMR 001C TIN &amp; TP'!$E$3:$E$10005&amp;'DMR 001C TIN &amp; TP'!$B$3:$B$10005&amp;'DMR 001C TIN &amp; TP'!$A$3:$A$10005),0),MATCH('Reg 85'!$J$11,'DMR 001C TIN &amp; TP'!$A$2:$M$2,0))),"")</f>
        <v>0.15</v>
      </c>
      <c r="K256" s="6">
        <f t="array" ref="K256">_xlfn.IFNA((INDEX('DMR 001C TIN &amp; TP'!$A$3:$M$10005,MATCH(('Reg 85'!$I$6:$Q$6&amp;'Reg 85'!$I$10:$K$10&amp;'Reg 85'!$B256),('DMR 001C TIN &amp; TP'!$E$3:$E$10005&amp;'DMR 001C TIN &amp; TP'!$B$3:$B$10005&amp;'DMR 001C TIN &amp; TP'!$A$3:$A$10005),0),MATCH('Reg 85'!$K$11,'DMR 001C TIN &amp; TP'!$A$2:$M$2,0))),"")</f>
        <v>0.25</v>
      </c>
      <c r="L256" s="53">
        <f t="shared" si="101"/>
        <v>0.25</v>
      </c>
      <c r="M256" s="5" t="str">
        <f t="shared" si="90"/>
        <v/>
      </c>
      <c r="N256" s="6" t="str">
        <f t="array" ref="N256">_xlfn.IFNA((INDEX('DMR 001C TIN &amp; TP'!$A$3:$M$10005,MATCH(('Reg 85'!$I$6:$Q$6&amp;'Reg 85'!$M$10&amp;'Reg 85'!$B256),('DMR 001C TIN &amp; TP'!$E$3:$E$10005&amp;'DMR 001C TIN &amp; TP'!$B$3:$B$10005&amp;'DMR 001C TIN &amp; TP'!$A$3:$A$10005),0),MATCH('Reg 85'!$N$11,'DMR 001C TIN &amp; TP'!$A$2:$M$2,0))),"")</f>
        <v>0.15</v>
      </c>
      <c r="O256" s="6">
        <f t="array" ref="O256">_xlfn.IFNA((INDEX('DMR 001C TIN &amp; TP'!$A$3:$M$10005,MATCH(('Reg 85'!$I$6:$Q$6&amp;'Reg 85'!$M$10&amp;'Reg 85'!$B256),('DMR 001C TIN &amp; TP'!$E$3:$E$10005&amp;'DMR 001C TIN &amp; TP'!$B$3:$B$10005&amp;'DMR 001C TIN &amp; TP'!$A$3:$A$10005),0),MATCH('Reg 85'!$O$11,'DMR 001C TIN &amp; TP'!$A$2:$M$2,0))),"")</f>
        <v>2.08</v>
      </c>
      <c r="P256" s="53">
        <f t="shared" si="91"/>
        <v>2.08</v>
      </c>
      <c r="Q256" s="73">
        <f t="array" ref="Q256">IFERROR(((L256*$F256)+(P256*$G256))/($H256),"")</f>
        <v>1.1895226105756973</v>
      </c>
      <c r="R256" s="6" t="str">
        <f t="array" ref="R256">_xlfn.IFNA((INDEX('DMR 001C TIN &amp; TP'!$A$3:$M$10005,MATCH(('Reg 85'!$I$6:$Q$6&amp;'Reg 85'!R$10&amp;'Reg 85'!$B256),('DMR 001C TIN &amp; TP'!$E$3:$E$10005&amp;'DMR 001C TIN &amp; TP'!$B$3:$B$10005&amp;'DMR 001C TIN &amp; TP'!$A$3:$A$10005),0),MATCH('Reg 85'!$O$11,'DMR 001C TIN &amp; TP'!$A$2:$M$2,0))),"")</f>
        <v/>
      </c>
      <c r="S256" s="6" t="str">
        <f t="array" ref="S256">_xlfn.IFNA((INDEX('DMR 001C TIN &amp; TP'!$A$3:$M$10005,MATCH(('Reg 85'!$I$6:$Q$6&amp;'Reg 85'!S$10&amp;'Reg 85'!$B256),('DMR 001C TIN &amp; TP'!$E$3:$E$10005&amp;'DMR 001C TIN &amp; TP'!$B$3:$B$10005&amp;'DMR 001C TIN &amp; TP'!$A$3:$A$10005),0),MATCH('Reg 85'!$O$11,'DMR 001C TIN &amp; TP'!$A$2:$M$2,0))),"")</f>
        <v/>
      </c>
      <c r="T256" s="6" t="str">
        <f t="array" ref="T256">_xlfn.IFNA((INDEX('DMR 001C TIN &amp; TP'!$A$3:$M$10005,MATCH(('Reg 85'!$I$6:$Q$6&amp;'Reg 85'!T$10&amp;'Reg 85'!$B256),('DMR 001C TIN &amp; TP'!$E$3:$E$10005&amp;'DMR 001C TIN &amp; TP'!$B$3:$B$10005&amp;'DMR 001C TIN &amp; TP'!$A$3:$A$10005),0),MATCH('Reg 85'!$O$11,'DMR 001C TIN &amp; TP'!$A$2:$M$2,0))),"")</f>
        <v/>
      </c>
      <c r="U256" s="6" t="str">
        <f t="array" ref="U256">_xlfn.IFNA((INDEX('DMR 001C TIN &amp; TP'!$A$3:$M$10005,MATCH(('Reg 85'!$I$6:$Q$6&amp;'Reg 85'!U$10&amp;'Reg 85'!$B256),('DMR 001C TIN &amp; TP'!$E$3:$E$10005&amp;'DMR 001C TIN &amp; TP'!$B$3:$B$10005&amp;'DMR 001C TIN &amp; TP'!$A$3:$A$10005),0),MATCH('Reg 85'!$O$11,'DMR 001C TIN &amp; TP'!$A$2:$M$2,0))),"")</f>
        <v/>
      </c>
      <c r="V256" s="6" t="str">
        <f t="array" ref="V256">_xlfn.IFNA((INDEX('DMR 001C TIN &amp; TP'!$A$3:$M$10005,MATCH(('Reg 85'!$I$6:$Q$6&amp;'Reg 85'!V$10&amp;'Reg 85'!$B256),('DMR 001C TIN &amp; TP'!$E$3:$E$10005&amp;'DMR 001C TIN &amp; TP'!$B$3:$B$10005&amp;'DMR 001C TIN &amp; TP'!$A$3:$A$10005),0),MATCH('Reg 85'!$O$11,'DMR 001C TIN &amp; TP'!$A$2:$M$2,0))),"")</f>
        <v/>
      </c>
      <c r="W256" s="6" t="str">
        <f t="array" ref="W256">_xlfn.IFNA((INDEX('DMR 001C TIN &amp; TP'!$A$3:$M$10005,MATCH(('Reg 85'!$I$6:$Q$6&amp;'Reg 85'!W$10&amp;'Reg 85'!$B256),('DMR 001C TIN &amp; TP'!$E$3:$E$10005&amp;'DMR 001C TIN &amp; TP'!$B$3:$B$10005&amp;'DMR 001C TIN &amp; TP'!$A$3:$A$10005),0),MATCH('Reg 85'!$O$11,'DMR 001C TIN &amp; TP'!$A$2:$M$2,0))),"")</f>
        <v/>
      </c>
      <c r="X256" s="5" t="str">
        <f t="shared" si="92"/>
        <v/>
      </c>
      <c r="Y256" s="6" t="str">
        <f t="array" ref="Y256">_xlfn.IFNA((INDEX('DMR 001C TIN &amp; TP'!$A$3:$M$10005,MATCH(('Reg 85'!$X$6&amp;'Reg 85'!$X$10&amp;'Reg 85'!$B256),('DMR 001C TIN &amp; TP'!$E$3:$E$10005&amp;'DMR 001C TIN &amp; TP'!$B$3:$B$10005&amp;'DMR 001C TIN &amp; TP'!$A$3:$A$10005),0),MATCH('Reg 85'!$Y$11,'DMR 001C TIN &amp; TP'!$A$2:$M$2,0))),"")</f>
        <v>0.06</v>
      </c>
      <c r="Z256" s="6">
        <f t="array" ref="Z256">_xlfn.IFNA((INDEX('DMR 001C TIN &amp; TP'!$A$3:$M$10005,MATCH(('Reg 85'!$X$6&amp;'Reg 85'!$X$10&amp;'Reg 85'!$B256),('DMR 001C TIN &amp; TP'!$E$3:$E$10005&amp;'DMR 001C TIN &amp; TP'!$B$3:$B$10005&amp;'DMR 001C TIN &amp; TP'!$A$3:$A$10005),0),MATCH('Reg 85'!$Z$11,'DMR 001C TIN &amp; TP'!$A$2:$M$2,0))),"")</f>
        <v>4.8899999999999997</v>
      </c>
      <c r="AA256" s="53">
        <f t="shared" si="93"/>
        <v>4.8899999999999997</v>
      </c>
      <c r="AB256" s="5" t="str">
        <f t="shared" si="94"/>
        <v/>
      </c>
      <c r="AC256" s="6" t="str">
        <f t="array" ref="AC256">_xlfn.IFNA((INDEX('DMR 001C TIN &amp; TP'!$A$3:$M$10005,MATCH(('Reg 85'!$X$6&amp;'Reg 85'!$AB$10&amp;'Reg 85'!$B256),('DMR 001C TIN &amp; TP'!$E$3:$E$10005&amp;'DMR 001C TIN &amp; TP'!$B$3:$B$10005&amp;'DMR 001C TIN &amp; TP'!$A$3:$A$10005),0),MATCH('Reg 85'!$AC$11,'DMR 001C TIN &amp; TP'!$A$2:$M$2,0))),"")</f>
        <v>0.06</v>
      </c>
      <c r="AD256" s="6">
        <f t="array" ref="AD256">_xlfn.IFNA((INDEX('DMR 001C TIN &amp; TP'!$A$3:$M$10005,MATCH(('Reg 85'!$X$6&amp;'Reg 85'!$AB$10&amp;'Reg 85'!$B256),('DMR 001C TIN &amp; TP'!$E$3:$E$10005&amp;'DMR 001C TIN &amp; TP'!$B$3:$B$10005&amp;'DMR 001C TIN &amp; TP'!$A$3:$A$10005),0),MATCH('Reg 85'!$AD$11,'DMR 001C TIN &amp; TP'!$A$2:$M$2,0))),"")</f>
        <v>4.3899999999999997</v>
      </c>
      <c r="AE256" s="53">
        <f t="shared" si="95"/>
        <v>4.3899999999999997</v>
      </c>
      <c r="AF256" s="7">
        <f t="shared" si="96"/>
        <v>4.6332998331760393</v>
      </c>
      <c r="AG256" s="6" t="str">
        <f t="array" ref="AG256">_xlfn.IFNA((INDEX('DMR 001C TIN &amp; TP'!$A$3:$M$10005,MATCH(('Reg 85'!$X$6&amp;'Reg 85'!AG$10&amp;'Reg 85'!$B256),('DMR 001C TIN &amp; TP'!$E$3:$E$10005&amp;'DMR 001C TIN &amp; TP'!$B$3:$B$10005&amp;'DMR 001C TIN &amp; TP'!$A$3:$A$10005),0),MATCH('Reg 85'!$AG$11,'DMR 001C TIN &amp; TP'!$A$2:$M$2,0))),"")</f>
        <v/>
      </c>
      <c r="AH256" s="6" t="str">
        <f t="array" ref="AH256">_xlfn.IFNA((INDEX('DMR 001C TIN &amp; TP'!$A$3:$M$10005,MATCH(('Reg 85'!$X$6&amp;'Reg 85'!AH$10&amp;'Reg 85'!$B256),('DMR 001C TIN &amp; TP'!$E$3:$E$10005&amp;'DMR 001C TIN &amp; TP'!$B$3:$B$10005&amp;'DMR 001C TIN &amp; TP'!$A$3:$A$10005),0),MATCH('Reg 85'!$AG$11,'DMR 001C TIN &amp; TP'!$A$2:$M$2,0))),"")</f>
        <v/>
      </c>
      <c r="AI256" s="6" t="str">
        <f t="array" ref="AI256">_xlfn.IFNA((INDEX('DMR 001C TIN &amp; TP'!$A$3:$M$10005,MATCH(('Reg 85'!$X$6&amp;'Reg 85'!AI$10&amp;'Reg 85'!$B256),('DMR 001C TIN &amp; TP'!$E$3:$E$10005&amp;'DMR 001C TIN &amp; TP'!$B$3:$B$10005&amp;'DMR 001C TIN &amp; TP'!$A$3:$A$10005),0),MATCH('Reg 85'!$AG$11,'DMR 001C TIN &amp; TP'!$A$2:$M$2,0))),"")</f>
        <v/>
      </c>
      <c r="AJ256" s="6" t="str">
        <f t="array" ref="AJ256">_xlfn.IFNA((INDEX('DMR 001C TIN &amp; TP'!$A$3:$M$10005,MATCH(('Reg 85'!$X$6&amp;'Reg 85'!AJ$10&amp;'Reg 85'!$B256),('DMR 001C TIN &amp; TP'!$E$3:$E$10005&amp;'DMR 001C TIN &amp; TP'!$B$3:$B$10005&amp;'DMR 001C TIN &amp; TP'!$A$3:$A$10005),0),MATCH('Reg 85'!$AG$11,'DMR 001C TIN &amp; TP'!$A$2:$M$2,0))),"")</f>
        <v/>
      </c>
      <c r="AK256" s="6" t="str">
        <f t="array" ref="AK256">_xlfn.IFNA((INDEX('DMR 001C TIN &amp; TP'!$A$3:$M$10005,MATCH(('Reg 85'!$X$6&amp;'Reg 85'!AK$10&amp;'Reg 85'!$B256),('DMR 001C TIN &amp; TP'!$E$3:$E$10005&amp;'DMR 001C TIN &amp; TP'!$B$3:$B$10005&amp;'DMR 001C TIN &amp; TP'!$A$3:$A$10005),0),MATCH('Reg 85'!$AG$11,'DMR 001C TIN &amp; TP'!$A$2:$M$2,0))),"")</f>
        <v/>
      </c>
      <c r="AL256" s="6" t="str">
        <f t="array" ref="AL256">_xlfn.IFNA((INDEX('DMR 001C TIN &amp; TP'!$A$3:$M$10005,MATCH(('Reg 85'!$X$6&amp;'Reg 85'!AL$10&amp;'Reg 85'!$B256),('DMR 001C TIN &amp; TP'!$E$3:$E$10005&amp;'DMR 001C TIN &amp; TP'!$B$3:$B$10005&amp;'DMR 001C TIN &amp; TP'!$A$3:$A$10005),0),MATCH('Reg 85'!$AG$11,'DMR 001C TIN &amp; TP'!$A$2:$M$2,0))),"")</f>
        <v/>
      </c>
      <c r="AM256" s="76"/>
      <c r="AN256" s="6"/>
      <c r="AO256" s="54">
        <f t="shared" si="83"/>
        <v>5.8228224437517362</v>
      </c>
      <c r="AP256" s="77" t="str">
        <f t="shared" si="102"/>
        <v/>
      </c>
      <c r="AQ256" s="47"/>
      <c r="AR256" s="6" t="str">
        <f t="array" ref="AR256">_xlfn.IFNA((INDEX('DMR 001C TIN &amp; TP'!$A$3:$M$10005,MATCH(('Reg 85'!$AQ$6&amp;'Reg 85'!$AQ$10&amp;'Reg 85'!$B256),('DMR 001C TIN &amp; TP'!$E$3:$E$10005&amp;'DMR 001C TIN &amp; TP'!$B$3:$B$10005&amp;'DMR 001C TIN &amp; TP'!$A$3:$A$10005),0),MATCH('Reg 85'!$AR$11,'DMR 001C TIN &amp; TP'!$A$2:$M$2,0))),"")</f>
        <v/>
      </c>
      <c r="AS256" s="6" t="str">
        <f t="array" ref="AS256">_xlfn.IFNA((INDEX('DMR 001C TIN &amp; TP'!$A$3:$M$10005,MATCH(('Reg 85'!$AQ$6&amp;'Reg 85'!$AQ$10&amp;'Reg 85'!$B256),('DMR 001C TIN &amp; TP'!$E$3:$E$10005&amp;'DMR 001C TIN &amp; TP'!$B$3:$B$10005&amp;'DMR 001C TIN &amp; TP'!$A$3:$A$10005),0),MATCH('Reg 85'!$AS$11,'DMR 001C TIN &amp; TP'!$A$2:$M$2,0))),"")</f>
        <v/>
      </c>
      <c r="AT256" s="53" t="str">
        <f t="shared" si="97"/>
        <v/>
      </c>
      <c r="AV256" s="6" t="str">
        <f t="array" ref="AV256">_xlfn.IFNA((INDEX('DMR 001C TIN &amp; TP'!$A$3:$M$10005,MATCH(('Reg 85'!$AQ$6&amp;'Reg 85'!$AU$10&amp;'Reg 85'!$B256),('DMR 001C TIN &amp; TP'!$E$3:$E$10005&amp;'DMR 001C TIN &amp; TP'!$B$3:$B$10005&amp;'DMR 001C TIN &amp; TP'!$A$3:$A$10005),0),MATCH('Reg 85'!$AV$11,'DMR 001C TIN &amp; TP'!$A$2:$M$2,0))),"")</f>
        <v/>
      </c>
      <c r="AW256" s="6" t="str">
        <f t="array" ref="AW256">_xlfn.IFNA((INDEX('DMR 001C TIN &amp; TP'!$A$3:$M$10005,MATCH(('Reg 85'!$AQ$6&amp;'Reg 85'!$AU$10&amp;'Reg 85'!$B256),('DMR 001C TIN &amp; TP'!$E$3:$E$10005&amp;'DMR 001C TIN &amp; TP'!$B$3:$B$10005&amp;'DMR 001C TIN &amp; TP'!$A$3:$A$10005),0),MATCH('Reg 85'!$AW$11,'DMR 001C TIN &amp; TP'!$A$2:$M$2,0))),"")</f>
        <v/>
      </c>
      <c r="AX256" s="53" t="str">
        <f t="shared" si="98"/>
        <v/>
      </c>
      <c r="AY256" s="55" t="str">
        <f t="shared" si="99"/>
        <v/>
      </c>
      <c r="AZ256" s="77" t="str">
        <f t="shared" si="103"/>
        <v/>
      </c>
      <c r="BA256" s="6" t="str">
        <f t="array" ref="BA256">_xlfn.IFNA((INDEX('DMR 001C TIN &amp; TP'!$A$3:$M$10005,MATCH(('Reg 85'!$AQ$6&amp;'Reg 85'!BA$10&amp;'Reg 85'!$B256),('DMR 001C TIN &amp; TP'!$E$3:$E$10005&amp;'DMR 001C TIN &amp; TP'!$B$3:$B$10005&amp;'DMR 001C TIN &amp; TP'!$A$3:$A$10005),0),MATCH('Reg 85'!$AG$11,'DMR 001C TIN &amp; TP'!$A$2:$M$2,0))),"")</f>
        <v/>
      </c>
      <c r="BB256" s="6" t="str">
        <f t="array" ref="BB256">_xlfn.IFNA((INDEX('DMR 001C TIN &amp; TP'!$A$3:$M$10005,MATCH(('Reg 85'!$AQ$6&amp;'Reg 85'!BB$10&amp;'Reg 85'!$B256),('DMR 001C TIN &amp; TP'!$E$3:$E$10005&amp;'DMR 001C TIN &amp; TP'!$B$3:$B$10005&amp;'DMR 001C TIN &amp; TP'!$A$3:$A$10005),0),MATCH('Reg 85'!$AG$11,'DMR 001C TIN &amp; TP'!$A$2:$M$2,0))),"")</f>
        <v/>
      </c>
      <c r="BC256" s="6" t="str">
        <f t="array" ref="BC256">_xlfn.IFNA((INDEX('DMR 001C TIN &amp; TP'!$A$3:$M$10005,MATCH(('Reg 85'!$AQ$6&amp;'Reg 85'!BC$10&amp;'Reg 85'!$B256),('DMR 001C TIN &amp; TP'!$E$3:$E$10005&amp;'DMR 001C TIN &amp; TP'!$B$3:$B$10005&amp;'DMR 001C TIN &amp; TP'!$A$3:$A$10005),0),MATCH('Reg 85'!$AG$11,'DMR 001C TIN &amp; TP'!$A$2:$M$2,0))),"")</f>
        <v/>
      </c>
      <c r="BD256" s="6" t="str">
        <f t="array" ref="BD256">_xlfn.IFNA((INDEX('DMR 001C TIN &amp; TP'!$A$3:$M$10005,MATCH(('Reg 85'!$AQ$6&amp;'Reg 85'!BD$10&amp;'Reg 85'!$B256),('DMR 001C TIN &amp; TP'!$E$3:$E$10005&amp;'DMR 001C TIN &amp; TP'!$B$3:$B$10005&amp;'DMR 001C TIN &amp; TP'!$A$3:$A$10005),0),MATCH('Reg 85'!$AG$11,'DMR 001C TIN &amp; TP'!$A$2:$M$2,0))),"")</f>
        <v/>
      </c>
      <c r="BE256" s="6" t="str">
        <f t="array" ref="BE256">_xlfn.IFNA((INDEX('DMR 001C TIN &amp; TP'!$A$3:$M$10005,MATCH(('Reg 85'!$AQ$6&amp;'Reg 85'!BE$10&amp;'Reg 85'!$B256),('DMR 001C TIN &amp; TP'!$E$3:$E$10005&amp;'DMR 001C TIN &amp; TP'!$B$3:$B$10005&amp;'DMR 001C TIN &amp; TP'!$A$3:$A$10005),0),MATCH('Reg 85'!$AG$11,'DMR 001C TIN &amp; TP'!$A$2:$M$2,0))),"")</f>
        <v/>
      </c>
      <c r="BF256" s="6" t="str">
        <f t="array" ref="BF256">_xlfn.IFNA((INDEX('DMR 001C TIN &amp; TP'!$A$3:$M$10005,MATCH(('Reg 85'!$AQ$6&amp;'Reg 85'!BF$10&amp;'Reg 85'!$B256),('DMR 001C TIN &amp; TP'!$E$3:$E$10005&amp;'DMR 001C TIN &amp; TP'!$B$3:$B$10005&amp;'DMR 001C TIN &amp; TP'!$A$3:$A$10005),0),MATCH('Reg 85'!$AG$11,'DMR 001C TIN &amp; TP'!$A$2:$M$2,0))),"")</f>
        <v/>
      </c>
    </row>
    <row r="257" spans="1:58">
      <c r="A257" s="3" t="str">
        <f t="shared" si="84"/>
        <v>Sat</v>
      </c>
      <c r="B257" s="96">
        <f t="shared" si="100"/>
        <v>43589</v>
      </c>
      <c r="C257" s="96">
        <f t="shared" si="85"/>
        <v>43616</v>
      </c>
      <c r="D257" s="96">
        <f t="shared" si="86"/>
        <v>43586</v>
      </c>
      <c r="E257" s="95">
        <f t="shared" si="87"/>
        <v>31</v>
      </c>
      <c r="F257" s="7">
        <f t="array" ref="F257">_xlfn.IFNA(INDEX('DMR Flows-Effluent'!$A$3:$F$9999,MATCH(($F$10&amp;$B257),('DMR Flows-Effluent'!$B$3:$B$9999&amp;'DMR Flows-Effluent'!$A$3:$A$9999),0),MATCH($F$8,'DMR Flows-Effluent'!$A$2:$F$2,0)),"")</f>
        <v>58.347799999999999</v>
      </c>
      <c r="G257" s="7">
        <f t="array" ref="G257">_xlfn.IFNA(INDEX('DMR Flows-Effluent'!$A$3:$F$9999,MATCH(($G$10&amp;$B257),('DMR Flows-Effluent'!$B$3:$B$9999&amp;'DMR Flows-Effluent'!$A$3:$A$9999),0),MATCH($F$8,'DMR Flows-Effluent'!$A$2:$F$2,0)),"")</f>
        <v>60.652799999999999</v>
      </c>
      <c r="H257" s="7">
        <f t="shared" si="88"/>
        <v>119.00059999999999</v>
      </c>
      <c r="I257" s="45" t="str">
        <f t="shared" si="89"/>
        <v/>
      </c>
      <c r="J257" s="6" t="str">
        <f t="array" ref="J257">_xlfn.IFNA((INDEX('DMR 001C TIN &amp; TP'!$A$3:$M$10005,MATCH(('Reg 85'!$I$6:$Q$6&amp;'Reg 85'!$I$10:$K$10&amp;'Reg 85'!$B257),('DMR 001C TIN &amp; TP'!$E$3:$E$10005&amp;'DMR 001C TIN &amp; TP'!$B$3:$B$10005&amp;'DMR 001C TIN &amp; TP'!$A$3:$A$10005),0),MATCH('Reg 85'!$J$11,'DMR 001C TIN &amp; TP'!$A$2:$M$2,0))),"")</f>
        <v>0.15</v>
      </c>
      <c r="K257" s="6">
        <f t="array" ref="K257">_xlfn.IFNA((INDEX('DMR 001C TIN &amp; TP'!$A$3:$M$10005,MATCH(('Reg 85'!$I$6:$Q$6&amp;'Reg 85'!$I$10:$K$10&amp;'Reg 85'!$B257),('DMR 001C TIN &amp; TP'!$E$3:$E$10005&amp;'DMR 001C TIN &amp; TP'!$B$3:$B$10005&amp;'DMR 001C TIN &amp; TP'!$A$3:$A$10005),0),MATCH('Reg 85'!$K$11,'DMR 001C TIN &amp; TP'!$A$2:$M$2,0))),"")</f>
        <v>0.55000000000000004</v>
      </c>
      <c r="L257" s="53">
        <f t="shared" si="101"/>
        <v>0.55000000000000004</v>
      </c>
      <c r="M257" s="5" t="str">
        <f t="shared" si="90"/>
        <v/>
      </c>
      <c r="N257" s="6" t="str">
        <f t="array" ref="N257">_xlfn.IFNA((INDEX('DMR 001C TIN &amp; TP'!$A$3:$M$10005,MATCH(('Reg 85'!$I$6:$Q$6&amp;'Reg 85'!$M$10&amp;'Reg 85'!$B257),('DMR 001C TIN &amp; TP'!$E$3:$E$10005&amp;'DMR 001C TIN &amp; TP'!$B$3:$B$10005&amp;'DMR 001C TIN &amp; TP'!$A$3:$A$10005),0),MATCH('Reg 85'!$N$11,'DMR 001C TIN &amp; TP'!$A$2:$M$2,0))),"")</f>
        <v>0.15</v>
      </c>
      <c r="O257" s="6">
        <f t="array" ref="O257">_xlfn.IFNA((INDEX('DMR 001C TIN &amp; TP'!$A$3:$M$10005,MATCH(('Reg 85'!$I$6:$Q$6&amp;'Reg 85'!$M$10&amp;'Reg 85'!$B257),('DMR 001C TIN &amp; TP'!$E$3:$E$10005&amp;'DMR 001C TIN &amp; TP'!$B$3:$B$10005&amp;'DMR 001C TIN &amp; TP'!$A$3:$A$10005),0),MATCH('Reg 85'!$O$11,'DMR 001C TIN &amp; TP'!$A$2:$M$2,0))),"")</f>
        <v>1.34</v>
      </c>
      <c r="P257" s="53">
        <f t="shared" si="91"/>
        <v>1.34</v>
      </c>
      <c r="Q257" s="73">
        <f t="array" ref="Q257">IFERROR(((L257*$F257)+(P257*$G257))/($H257),"")</f>
        <v>0.95265101184363787</v>
      </c>
      <c r="R257" s="6" t="str">
        <f t="array" ref="R257">_xlfn.IFNA((INDEX('DMR 001C TIN &amp; TP'!$A$3:$M$10005,MATCH(('Reg 85'!$I$6:$Q$6&amp;'Reg 85'!R$10&amp;'Reg 85'!$B257),('DMR 001C TIN &amp; TP'!$E$3:$E$10005&amp;'DMR 001C TIN &amp; TP'!$B$3:$B$10005&amp;'DMR 001C TIN &amp; TP'!$A$3:$A$10005),0),MATCH('Reg 85'!$O$11,'DMR 001C TIN &amp; TP'!$A$2:$M$2,0))),"")</f>
        <v/>
      </c>
      <c r="S257" s="6" t="str">
        <f t="array" ref="S257">_xlfn.IFNA((INDEX('DMR 001C TIN &amp; TP'!$A$3:$M$10005,MATCH(('Reg 85'!$I$6:$Q$6&amp;'Reg 85'!S$10&amp;'Reg 85'!$B257),('DMR 001C TIN &amp; TP'!$E$3:$E$10005&amp;'DMR 001C TIN &amp; TP'!$B$3:$B$10005&amp;'DMR 001C TIN &amp; TP'!$A$3:$A$10005),0),MATCH('Reg 85'!$O$11,'DMR 001C TIN &amp; TP'!$A$2:$M$2,0))),"")</f>
        <v/>
      </c>
      <c r="T257" s="6" t="str">
        <f t="array" ref="T257">_xlfn.IFNA((INDEX('DMR 001C TIN &amp; TP'!$A$3:$M$10005,MATCH(('Reg 85'!$I$6:$Q$6&amp;'Reg 85'!T$10&amp;'Reg 85'!$B257),('DMR 001C TIN &amp; TP'!$E$3:$E$10005&amp;'DMR 001C TIN &amp; TP'!$B$3:$B$10005&amp;'DMR 001C TIN &amp; TP'!$A$3:$A$10005),0),MATCH('Reg 85'!$O$11,'DMR 001C TIN &amp; TP'!$A$2:$M$2,0))),"")</f>
        <v/>
      </c>
      <c r="U257" s="6" t="str">
        <f t="array" ref="U257">_xlfn.IFNA((INDEX('DMR 001C TIN &amp; TP'!$A$3:$M$10005,MATCH(('Reg 85'!$I$6:$Q$6&amp;'Reg 85'!U$10&amp;'Reg 85'!$B257),('DMR 001C TIN &amp; TP'!$E$3:$E$10005&amp;'DMR 001C TIN &amp; TP'!$B$3:$B$10005&amp;'DMR 001C TIN &amp; TP'!$A$3:$A$10005),0),MATCH('Reg 85'!$O$11,'DMR 001C TIN &amp; TP'!$A$2:$M$2,0))),"")</f>
        <v/>
      </c>
      <c r="V257" s="6" t="str">
        <f t="array" ref="V257">_xlfn.IFNA((INDEX('DMR 001C TIN &amp; TP'!$A$3:$M$10005,MATCH(('Reg 85'!$I$6:$Q$6&amp;'Reg 85'!V$10&amp;'Reg 85'!$B257),('DMR 001C TIN &amp; TP'!$E$3:$E$10005&amp;'DMR 001C TIN &amp; TP'!$B$3:$B$10005&amp;'DMR 001C TIN &amp; TP'!$A$3:$A$10005),0),MATCH('Reg 85'!$O$11,'DMR 001C TIN &amp; TP'!$A$2:$M$2,0))),"")</f>
        <v/>
      </c>
      <c r="W257" s="6" t="str">
        <f t="array" ref="W257">_xlfn.IFNA((INDEX('DMR 001C TIN &amp; TP'!$A$3:$M$10005,MATCH(('Reg 85'!$I$6:$Q$6&amp;'Reg 85'!W$10&amp;'Reg 85'!$B257),('DMR 001C TIN &amp; TP'!$E$3:$E$10005&amp;'DMR 001C TIN &amp; TP'!$B$3:$B$10005&amp;'DMR 001C TIN &amp; TP'!$A$3:$A$10005),0),MATCH('Reg 85'!$O$11,'DMR 001C TIN &amp; TP'!$A$2:$M$2,0))),"")</f>
        <v/>
      </c>
      <c r="X257" s="5" t="str">
        <f t="shared" si="92"/>
        <v/>
      </c>
      <c r="Y257" s="6" t="str">
        <f t="array" ref="Y257">_xlfn.IFNA((INDEX('DMR 001C TIN &amp; TP'!$A$3:$M$10005,MATCH(('Reg 85'!$X$6&amp;'Reg 85'!$X$10&amp;'Reg 85'!$B257),('DMR 001C TIN &amp; TP'!$E$3:$E$10005&amp;'DMR 001C TIN &amp; TP'!$B$3:$B$10005&amp;'DMR 001C TIN &amp; TP'!$A$3:$A$10005),0),MATCH('Reg 85'!$Y$11,'DMR 001C TIN &amp; TP'!$A$2:$M$2,0))),"")</f>
        <v>0.06</v>
      </c>
      <c r="Z257" s="6">
        <f t="array" ref="Z257">_xlfn.IFNA((INDEX('DMR 001C TIN &amp; TP'!$A$3:$M$10005,MATCH(('Reg 85'!$X$6&amp;'Reg 85'!$X$10&amp;'Reg 85'!$B257),('DMR 001C TIN &amp; TP'!$E$3:$E$10005&amp;'DMR 001C TIN &amp; TP'!$B$3:$B$10005&amp;'DMR 001C TIN &amp; TP'!$A$3:$A$10005),0),MATCH('Reg 85'!$Z$11,'DMR 001C TIN &amp; TP'!$A$2:$M$2,0))),"")</f>
        <v>5.31</v>
      </c>
      <c r="AA257" s="53">
        <f t="shared" si="93"/>
        <v>5.31</v>
      </c>
      <c r="AB257" s="5" t="str">
        <f t="shared" si="94"/>
        <v/>
      </c>
      <c r="AC257" s="6" t="str">
        <f t="array" ref="AC257">_xlfn.IFNA((INDEX('DMR 001C TIN &amp; TP'!$A$3:$M$10005,MATCH(('Reg 85'!$X$6&amp;'Reg 85'!$AB$10&amp;'Reg 85'!$B257),('DMR 001C TIN &amp; TP'!$E$3:$E$10005&amp;'DMR 001C TIN &amp; TP'!$B$3:$B$10005&amp;'DMR 001C TIN &amp; TP'!$A$3:$A$10005),0),MATCH('Reg 85'!$AC$11,'DMR 001C TIN &amp; TP'!$A$2:$M$2,0))),"")</f>
        <v>0.18</v>
      </c>
      <c r="AD257" s="6">
        <f t="array" ref="AD257">_xlfn.IFNA((INDEX('DMR 001C TIN &amp; TP'!$A$3:$M$10005,MATCH(('Reg 85'!$X$6&amp;'Reg 85'!$AB$10&amp;'Reg 85'!$B257),('DMR 001C TIN &amp; TP'!$E$3:$E$10005&amp;'DMR 001C TIN &amp; TP'!$B$3:$B$10005&amp;'DMR 001C TIN &amp; TP'!$A$3:$A$10005),0),MATCH('Reg 85'!$AD$11,'DMR 001C TIN &amp; TP'!$A$2:$M$2,0))),"")</f>
        <v>6.73</v>
      </c>
      <c r="AE257" s="53">
        <f t="shared" si="95"/>
        <v>6.73</v>
      </c>
      <c r="AF257" s="7">
        <f t="shared" si="96"/>
        <v>6.0337524516683114</v>
      </c>
      <c r="AG257" s="6" t="str">
        <f t="array" ref="AG257">_xlfn.IFNA((INDEX('DMR 001C TIN &amp; TP'!$A$3:$M$10005,MATCH(('Reg 85'!$X$6&amp;'Reg 85'!AG$10&amp;'Reg 85'!$B257),('DMR 001C TIN &amp; TP'!$E$3:$E$10005&amp;'DMR 001C TIN &amp; TP'!$B$3:$B$10005&amp;'DMR 001C TIN &amp; TP'!$A$3:$A$10005),0),MATCH('Reg 85'!$AG$11,'DMR 001C TIN &amp; TP'!$A$2:$M$2,0))),"")</f>
        <v/>
      </c>
      <c r="AH257" s="6" t="str">
        <f t="array" ref="AH257">_xlfn.IFNA((INDEX('DMR 001C TIN &amp; TP'!$A$3:$M$10005,MATCH(('Reg 85'!$X$6&amp;'Reg 85'!AH$10&amp;'Reg 85'!$B257),('DMR 001C TIN &amp; TP'!$E$3:$E$10005&amp;'DMR 001C TIN &amp; TP'!$B$3:$B$10005&amp;'DMR 001C TIN &amp; TP'!$A$3:$A$10005),0),MATCH('Reg 85'!$AG$11,'DMR 001C TIN &amp; TP'!$A$2:$M$2,0))),"")</f>
        <v/>
      </c>
      <c r="AI257" s="6" t="str">
        <f t="array" ref="AI257">_xlfn.IFNA((INDEX('DMR 001C TIN &amp; TP'!$A$3:$M$10005,MATCH(('Reg 85'!$X$6&amp;'Reg 85'!AI$10&amp;'Reg 85'!$B257),('DMR 001C TIN &amp; TP'!$E$3:$E$10005&amp;'DMR 001C TIN &amp; TP'!$B$3:$B$10005&amp;'DMR 001C TIN &amp; TP'!$A$3:$A$10005),0),MATCH('Reg 85'!$AG$11,'DMR 001C TIN &amp; TP'!$A$2:$M$2,0))),"")</f>
        <v/>
      </c>
      <c r="AJ257" s="6" t="str">
        <f t="array" ref="AJ257">_xlfn.IFNA((INDEX('DMR 001C TIN &amp; TP'!$A$3:$M$10005,MATCH(('Reg 85'!$X$6&amp;'Reg 85'!AJ$10&amp;'Reg 85'!$B257),('DMR 001C TIN &amp; TP'!$E$3:$E$10005&amp;'DMR 001C TIN &amp; TP'!$B$3:$B$10005&amp;'DMR 001C TIN &amp; TP'!$A$3:$A$10005),0),MATCH('Reg 85'!$AG$11,'DMR 001C TIN &amp; TP'!$A$2:$M$2,0))),"")</f>
        <v/>
      </c>
      <c r="AK257" s="6" t="str">
        <f t="array" ref="AK257">_xlfn.IFNA((INDEX('DMR 001C TIN &amp; TP'!$A$3:$M$10005,MATCH(('Reg 85'!$X$6&amp;'Reg 85'!AK$10&amp;'Reg 85'!$B257),('DMR 001C TIN &amp; TP'!$E$3:$E$10005&amp;'DMR 001C TIN &amp; TP'!$B$3:$B$10005&amp;'DMR 001C TIN &amp; TP'!$A$3:$A$10005),0),MATCH('Reg 85'!$AG$11,'DMR 001C TIN &amp; TP'!$A$2:$M$2,0))),"")</f>
        <v/>
      </c>
      <c r="AL257" s="6" t="str">
        <f t="array" ref="AL257">_xlfn.IFNA((INDEX('DMR 001C TIN &amp; TP'!$A$3:$M$10005,MATCH(('Reg 85'!$X$6&amp;'Reg 85'!AL$10&amp;'Reg 85'!$B257),('DMR 001C TIN &amp; TP'!$E$3:$E$10005&amp;'DMR 001C TIN &amp; TP'!$B$3:$B$10005&amp;'DMR 001C TIN &amp; TP'!$A$3:$A$10005),0),MATCH('Reg 85'!$AG$11,'DMR 001C TIN &amp; TP'!$A$2:$M$2,0))),"")</f>
        <v/>
      </c>
      <c r="AM257" s="76"/>
      <c r="AN257" s="6"/>
      <c r="AO257" s="54">
        <f t="shared" si="83"/>
        <v>6.986403463511949</v>
      </c>
      <c r="AP257" s="77" t="str">
        <f t="shared" si="102"/>
        <v/>
      </c>
      <c r="AQ257" s="47"/>
      <c r="AR257" s="6" t="str">
        <f t="array" ref="AR257">_xlfn.IFNA((INDEX('DMR 001C TIN &amp; TP'!$A$3:$M$10005,MATCH(('Reg 85'!$AQ$6&amp;'Reg 85'!$AQ$10&amp;'Reg 85'!$B257),('DMR 001C TIN &amp; TP'!$E$3:$E$10005&amp;'DMR 001C TIN &amp; TP'!$B$3:$B$10005&amp;'DMR 001C TIN &amp; TP'!$A$3:$A$10005),0),MATCH('Reg 85'!$AR$11,'DMR 001C TIN &amp; TP'!$A$2:$M$2,0))),"")</f>
        <v/>
      </c>
      <c r="AS257" s="6" t="str">
        <f t="array" ref="AS257">_xlfn.IFNA((INDEX('DMR 001C TIN &amp; TP'!$A$3:$M$10005,MATCH(('Reg 85'!$AQ$6&amp;'Reg 85'!$AQ$10&amp;'Reg 85'!$B257),('DMR 001C TIN &amp; TP'!$E$3:$E$10005&amp;'DMR 001C TIN &amp; TP'!$B$3:$B$10005&amp;'DMR 001C TIN &amp; TP'!$A$3:$A$10005),0),MATCH('Reg 85'!$AS$11,'DMR 001C TIN &amp; TP'!$A$2:$M$2,0))),"")</f>
        <v/>
      </c>
      <c r="AT257" s="53" t="str">
        <f t="shared" si="97"/>
        <v/>
      </c>
      <c r="AV257" s="6" t="str">
        <f t="array" ref="AV257">_xlfn.IFNA((INDEX('DMR 001C TIN &amp; TP'!$A$3:$M$10005,MATCH(('Reg 85'!$AQ$6&amp;'Reg 85'!$AU$10&amp;'Reg 85'!$B257),('DMR 001C TIN &amp; TP'!$E$3:$E$10005&amp;'DMR 001C TIN &amp; TP'!$B$3:$B$10005&amp;'DMR 001C TIN &amp; TP'!$A$3:$A$10005),0),MATCH('Reg 85'!$AV$11,'DMR 001C TIN &amp; TP'!$A$2:$M$2,0))),"")</f>
        <v/>
      </c>
      <c r="AW257" s="6" t="str">
        <f t="array" ref="AW257">_xlfn.IFNA((INDEX('DMR 001C TIN &amp; TP'!$A$3:$M$10005,MATCH(('Reg 85'!$AQ$6&amp;'Reg 85'!$AU$10&amp;'Reg 85'!$B257),('DMR 001C TIN &amp; TP'!$E$3:$E$10005&amp;'DMR 001C TIN &amp; TP'!$B$3:$B$10005&amp;'DMR 001C TIN &amp; TP'!$A$3:$A$10005),0),MATCH('Reg 85'!$AW$11,'DMR 001C TIN &amp; TP'!$A$2:$M$2,0))),"")</f>
        <v/>
      </c>
      <c r="AX257" s="53" t="str">
        <f t="shared" si="98"/>
        <v/>
      </c>
      <c r="AY257" s="55" t="str">
        <f t="shared" si="99"/>
        <v/>
      </c>
      <c r="AZ257" s="77" t="str">
        <f t="shared" si="103"/>
        <v/>
      </c>
      <c r="BA257" s="6" t="str">
        <f t="array" ref="BA257">_xlfn.IFNA((INDEX('DMR 001C TIN &amp; TP'!$A$3:$M$10005,MATCH(('Reg 85'!$AQ$6&amp;'Reg 85'!BA$10&amp;'Reg 85'!$B257),('DMR 001C TIN &amp; TP'!$E$3:$E$10005&amp;'DMR 001C TIN &amp; TP'!$B$3:$B$10005&amp;'DMR 001C TIN &amp; TP'!$A$3:$A$10005),0),MATCH('Reg 85'!$AG$11,'DMR 001C TIN &amp; TP'!$A$2:$M$2,0))),"")</f>
        <v/>
      </c>
      <c r="BB257" s="6" t="str">
        <f t="array" ref="BB257">_xlfn.IFNA((INDEX('DMR 001C TIN &amp; TP'!$A$3:$M$10005,MATCH(('Reg 85'!$AQ$6&amp;'Reg 85'!BB$10&amp;'Reg 85'!$B257),('DMR 001C TIN &amp; TP'!$E$3:$E$10005&amp;'DMR 001C TIN &amp; TP'!$B$3:$B$10005&amp;'DMR 001C TIN &amp; TP'!$A$3:$A$10005),0),MATCH('Reg 85'!$AG$11,'DMR 001C TIN &amp; TP'!$A$2:$M$2,0))),"")</f>
        <v/>
      </c>
      <c r="BC257" s="6" t="str">
        <f t="array" ref="BC257">_xlfn.IFNA((INDEX('DMR 001C TIN &amp; TP'!$A$3:$M$10005,MATCH(('Reg 85'!$AQ$6&amp;'Reg 85'!BC$10&amp;'Reg 85'!$B257),('DMR 001C TIN &amp; TP'!$E$3:$E$10005&amp;'DMR 001C TIN &amp; TP'!$B$3:$B$10005&amp;'DMR 001C TIN &amp; TP'!$A$3:$A$10005),0),MATCH('Reg 85'!$AG$11,'DMR 001C TIN &amp; TP'!$A$2:$M$2,0))),"")</f>
        <v/>
      </c>
      <c r="BD257" s="6" t="str">
        <f t="array" ref="BD257">_xlfn.IFNA((INDEX('DMR 001C TIN &amp; TP'!$A$3:$M$10005,MATCH(('Reg 85'!$AQ$6&amp;'Reg 85'!BD$10&amp;'Reg 85'!$B257),('DMR 001C TIN &amp; TP'!$E$3:$E$10005&amp;'DMR 001C TIN &amp; TP'!$B$3:$B$10005&amp;'DMR 001C TIN &amp; TP'!$A$3:$A$10005),0),MATCH('Reg 85'!$AG$11,'DMR 001C TIN &amp; TP'!$A$2:$M$2,0))),"")</f>
        <v/>
      </c>
      <c r="BE257" s="6" t="str">
        <f t="array" ref="BE257">_xlfn.IFNA((INDEX('DMR 001C TIN &amp; TP'!$A$3:$M$10005,MATCH(('Reg 85'!$AQ$6&amp;'Reg 85'!BE$10&amp;'Reg 85'!$B257),('DMR 001C TIN &amp; TP'!$E$3:$E$10005&amp;'DMR 001C TIN &amp; TP'!$B$3:$B$10005&amp;'DMR 001C TIN &amp; TP'!$A$3:$A$10005),0),MATCH('Reg 85'!$AG$11,'DMR 001C TIN &amp; TP'!$A$2:$M$2,0))),"")</f>
        <v/>
      </c>
      <c r="BF257" s="6" t="str">
        <f t="array" ref="BF257">_xlfn.IFNA((INDEX('DMR 001C TIN &amp; TP'!$A$3:$M$10005,MATCH(('Reg 85'!$AQ$6&amp;'Reg 85'!BF$10&amp;'Reg 85'!$B257),('DMR 001C TIN &amp; TP'!$E$3:$E$10005&amp;'DMR 001C TIN &amp; TP'!$B$3:$B$10005&amp;'DMR 001C TIN &amp; TP'!$A$3:$A$10005),0),MATCH('Reg 85'!$AG$11,'DMR 001C TIN &amp; TP'!$A$2:$M$2,0))),"")</f>
        <v/>
      </c>
    </row>
    <row r="258" spans="1:58">
      <c r="A258" s="3" t="str">
        <f t="shared" si="84"/>
        <v>Sun</v>
      </c>
      <c r="B258" s="96">
        <f t="shared" si="100"/>
        <v>43590</v>
      </c>
      <c r="C258" s="96">
        <f t="shared" si="85"/>
        <v>43616</v>
      </c>
      <c r="D258" s="96">
        <f t="shared" si="86"/>
        <v>43586</v>
      </c>
      <c r="E258" s="95">
        <f t="shared" si="87"/>
        <v>31</v>
      </c>
      <c r="F258" s="7">
        <f t="array" ref="F258">_xlfn.IFNA(INDEX('DMR Flows-Effluent'!$A$3:$F$9999,MATCH(($F$10&amp;$B258),('DMR Flows-Effluent'!$B$3:$B$9999&amp;'DMR Flows-Effluent'!$A$3:$A$9999),0),MATCH($F$8,'DMR Flows-Effluent'!$A$2:$F$2,0)),"")</f>
        <v>60.3003</v>
      </c>
      <c r="G258" s="7">
        <f t="array" ref="G258">_xlfn.IFNA(INDEX('DMR Flows-Effluent'!$A$3:$F$9999,MATCH(($G$10&amp;$B258),('DMR Flows-Effluent'!$B$3:$B$9999&amp;'DMR Flows-Effluent'!$A$3:$A$9999),0),MATCH($F$8,'DMR Flows-Effluent'!$A$2:$F$2,0)),"")</f>
        <v>61.6691</v>
      </c>
      <c r="H258" s="7">
        <f t="shared" si="88"/>
        <v>121.96940000000001</v>
      </c>
      <c r="I258" s="45" t="str">
        <f t="shared" si="89"/>
        <v/>
      </c>
      <c r="J258" s="6" t="str">
        <f t="array" ref="J258">_xlfn.IFNA((INDEX('DMR 001C TIN &amp; TP'!$A$3:$M$10005,MATCH(('Reg 85'!$I$6:$Q$6&amp;'Reg 85'!$I$10:$K$10&amp;'Reg 85'!$B258),('DMR 001C TIN &amp; TP'!$E$3:$E$10005&amp;'DMR 001C TIN &amp; TP'!$B$3:$B$10005&amp;'DMR 001C TIN &amp; TP'!$A$3:$A$10005),0),MATCH('Reg 85'!$J$11,'DMR 001C TIN &amp; TP'!$A$2:$M$2,0))),"")</f>
        <v>0.15</v>
      </c>
      <c r="K258" s="6">
        <f t="array" ref="K258">_xlfn.IFNA((INDEX('DMR 001C TIN &amp; TP'!$A$3:$M$10005,MATCH(('Reg 85'!$I$6:$Q$6&amp;'Reg 85'!$I$10:$K$10&amp;'Reg 85'!$B258),('DMR 001C TIN &amp; TP'!$E$3:$E$10005&amp;'DMR 001C TIN &amp; TP'!$B$3:$B$10005&amp;'DMR 001C TIN &amp; TP'!$A$3:$A$10005),0),MATCH('Reg 85'!$K$11,'DMR 001C TIN &amp; TP'!$A$2:$M$2,0))),"")</f>
        <v>0.75</v>
      </c>
      <c r="L258" s="53">
        <f t="shared" si="101"/>
        <v>0.75</v>
      </c>
      <c r="M258" s="5" t="str">
        <f t="shared" si="90"/>
        <v/>
      </c>
      <c r="N258" s="6" t="str">
        <f t="array" ref="N258">_xlfn.IFNA((INDEX('DMR 001C TIN &amp; TP'!$A$3:$M$10005,MATCH(('Reg 85'!$I$6:$Q$6&amp;'Reg 85'!$M$10&amp;'Reg 85'!$B258),('DMR 001C TIN &amp; TP'!$E$3:$E$10005&amp;'DMR 001C TIN &amp; TP'!$B$3:$B$10005&amp;'DMR 001C TIN &amp; TP'!$A$3:$A$10005),0),MATCH('Reg 85'!$N$11,'DMR 001C TIN &amp; TP'!$A$2:$M$2,0))),"")</f>
        <v>0.15</v>
      </c>
      <c r="O258" s="6">
        <f t="array" ref="O258">_xlfn.IFNA((INDEX('DMR 001C TIN &amp; TP'!$A$3:$M$10005,MATCH(('Reg 85'!$I$6:$Q$6&amp;'Reg 85'!$M$10&amp;'Reg 85'!$B258),('DMR 001C TIN &amp; TP'!$E$3:$E$10005&amp;'DMR 001C TIN &amp; TP'!$B$3:$B$10005&amp;'DMR 001C TIN &amp; TP'!$A$3:$A$10005),0),MATCH('Reg 85'!$O$11,'DMR 001C TIN &amp; TP'!$A$2:$M$2,0))),"")</f>
        <v>1.72</v>
      </c>
      <c r="P258" s="53">
        <f t="shared" si="91"/>
        <v>1.72</v>
      </c>
      <c r="Q258" s="73">
        <f t="array" ref="Q258">IFERROR(((L258*$F258)+(P258*$G258))/($H258),"")</f>
        <v>1.2404429061715478</v>
      </c>
      <c r="R258" s="6" t="str">
        <f t="array" ref="R258">_xlfn.IFNA((INDEX('DMR 001C TIN &amp; TP'!$A$3:$M$10005,MATCH(('Reg 85'!$I$6:$Q$6&amp;'Reg 85'!R$10&amp;'Reg 85'!$B258),('DMR 001C TIN &amp; TP'!$E$3:$E$10005&amp;'DMR 001C TIN &amp; TP'!$B$3:$B$10005&amp;'DMR 001C TIN &amp; TP'!$A$3:$A$10005),0),MATCH('Reg 85'!$O$11,'DMR 001C TIN &amp; TP'!$A$2:$M$2,0))),"")</f>
        <v/>
      </c>
      <c r="S258" s="6" t="str">
        <f t="array" ref="S258">_xlfn.IFNA((INDEX('DMR 001C TIN &amp; TP'!$A$3:$M$10005,MATCH(('Reg 85'!$I$6:$Q$6&amp;'Reg 85'!S$10&amp;'Reg 85'!$B258),('DMR 001C TIN &amp; TP'!$E$3:$E$10005&amp;'DMR 001C TIN &amp; TP'!$B$3:$B$10005&amp;'DMR 001C TIN &amp; TP'!$A$3:$A$10005),0),MATCH('Reg 85'!$O$11,'DMR 001C TIN &amp; TP'!$A$2:$M$2,0))),"")</f>
        <v/>
      </c>
      <c r="T258" s="6" t="str">
        <f t="array" ref="T258">_xlfn.IFNA((INDEX('DMR 001C TIN &amp; TP'!$A$3:$M$10005,MATCH(('Reg 85'!$I$6:$Q$6&amp;'Reg 85'!T$10&amp;'Reg 85'!$B258),('DMR 001C TIN &amp; TP'!$E$3:$E$10005&amp;'DMR 001C TIN &amp; TP'!$B$3:$B$10005&amp;'DMR 001C TIN &amp; TP'!$A$3:$A$10005),0),MATCH('Reg 85'!$O$11,'DMR 001C TIN &amp; TP'!$A$2:$M$2,0))),"")</f>
        <v/>
      </c>
      <c r="U258" s="6" t="str">
        <f t="array" ref="U258">_xlfn.IFNA((INDEX('DMR 001C TIN &amp; TP'!$A$3:$M$10005,MATCH(('Reg 85'!$I$6:$Q$6&amp;'Reg 85'!U$10&amp;'Reg 85'!$B258),('DMR 001C TIN &amp; TP'!$E$3:$E$10005&amp;'DMR 001C TIN &amp; TP'!$B$3:$B$10005&amp;'DMR 001C TIN &amp; TP'!$A$3:$A$10005),0),MATCH('Reg 85'!$O$11,'DMR 001C TIN &amp; TP'!$A$2:$M$2,0))),"")</f>
        <v/>
      </c>
      <c r="V258" s="6" t="str">
        <f t="array" ref="V258">_xlfn.IFNA((INDEX('DMR 001C TIN &amp; TP'!$A$3:$M$10005,MATCH(('Reg 85'!$I$6:$Q$6&amp;'Reg 85'!V$10&amp;'Reg 85'!$B258),('DMR 001C TIN &amp; TP'!$E$3:$E$10005&amp;'DMR 001C TIN &amp; TP'!$B$3:$B$10005&amp;'DMR 001C TIN &amp; TP'!$A$3:$A$10005),0),MATCH('Reg 85'!$O$11,'DMR 001C TIN &amp; TP'!$A$2:$M$2,0))),"")</f>
        <v/>
      </c>
      <c r="W258" s="6" t="str">
        <f t="array" ref="W258">_xlfn.IFNA((INDEX('DMR 001C TIN &amp; TP'!$A$3:$M$10005,MATCH(('Reg 85'!$I$6:$Q$6&amp;'Reg 85'!W$10&amp;'Reg 85'!$B258),('DMR 001C TIN &amp; TP'!$E$3:$E$10005&amp;'DMR 001C TIN &amp; TP'!$B$3:$B$10005&amp;'DMR 001C TIN &amp; TP'!$A$3:$A$10005),0),MATCH('Reg 85'!$O$11,'DMR 001C TIN &amp; TP'!$A$2:$M$2,0))),"")</f>
        <v/>
      </c>
      <c r="X258" s="5" t="str">
        <f t="shared" si="92"/>
        <v/>
      </c>
      <c r="Y258" s="6" t="str">
        <f t="array" ref="Y258">_xlfn.IFNA((INDEX('DMR 001C TIN &amp; TP'!$A$3:$M$10005,MATCH(('Reg 85'!$X$6&amp;'Reg 85'!$X$10&amp;'Reg 85'!$B258),('DMR 001C TIN &amp; TP'!$E$3:$E$10005&amp;'DMR 001C TIN &amp; TP'!$B$3:$B$10005&amp;'DMR 001C TIN &amp; TP'!$A$3:$A$10005),0),MATCH('Reg 85'!$Y$11,'DMR 001C TIN &amp; TP'!$A$2:$M$2,0))),"")</f>
        <v>0.06</v>
      </c>
      <c r="Z258" s="6">
        <f t="array" ref="Z258">_xlfn.IFNA((INDEX('DMR 001C TIN &amp; TP'!$A$3:$M$10005,MATCH(('Reg 85'!$X$6&amp;'Reg 85'!$X$10&amp;'Reg 85'!$B258),('DMR 001C TIN &amp; TP'!$E$3:$E$10005&amp;'DMR 001C TIN &amp; TP'!$B$3:$B$10005&amp;'DMR 001C TIN &amp; TP'!$A$3:$A$10005),0),MATCH('Reg 85'!$Z$11,'DMR 001C TIN &amp; TP'!$A$2:$M$2,0))),"")</f>
        <v>5.42</v>
      </c>
      <c r="AA258" s="53">
        <f t="shared" si="93"/>
        <v>5.42</v>
      </c>
      <c r="AB258" s="5" t="str">
        <f t="shared" si="94"/>
        <v/>
      </c>
      <c r="AC258" s="6" t="str">
        <f t="array" ref="AC258">_xlfn.IFNA((INDEX('DMR 001C TIN &amp; TP'!$A$3:$M$10005,MATCH(('Reg 85'!$X$6&amp;'Reg 85'!$AB$10&amp;'Reg 85'!$B258),('DMR 001C TIN &amp; TP'!$E$3:$E$10005&amp;'DMR 001C TIN &amp; TP'!$B$3:$B$10005&amp;'DMR 001C TIN &amp; TP'!$A$3:$A$10005),0),MATCH('Reg 85'!$AC$11,'DMR 001C TIN &amp; TP'!$A$2:$M$2,0))),"")</f>
        <v>0.06</v>
      </c>
      <c r="AD258" s="6">
        <f t="array" ref="AD258">_xlfn.IFNA((INDEX('DMR 001C TIN &amp; TP'!$A$3:$M$10005,MATCH(('Reg 85'!$X$6&amp;'Reg 85'!$AB$10&amp;'Reg 85'!$B258),('DMR 001C TIN &amp; TP'!$E$3:$E$10005&amp;'DMR 001C TIN &amp; TP'!$B$3:$B$10005&amp;'DMR 001C TIN &amp; TP'!$A$3:$A$10005),0),MATCH('Reg 85'!$AD$11,'DMR 001C TIN &amp; TP'!$A$2:$M$2,0))),"")</f>
        <v>7.66</v>
      </c>
      <c r="AE258" s="53">
        <f t="shared" si="95"/>
        <v>7.66</v>
      </c>
      <c r="AF258" s="7">
        <f t="shared" si="96"/>
        <v>6.5525691853858428</v>
      </c>
      <c r="AG258" s="6" t="str">
        <f t="array" ref="AG258">_xlfn.IFNA((INDEX('DMR 001C TIN &amp; TP'!$A$3:$M$10005,MATCH(('Reg 85'!$X$6&amp;'Reg 85'!AG$10&amp;'Reg 85'!$B258),('DMR 001C TIN &amp; TP'!$E$3:$E$10005&amp;'DMR 001C TIN &amp; TP'!$B$3:$B$10005&amp;'DMR 001C TIN &amp; TP'!$A$3:$A$10005),0),MATCH('Reg 85'!$AG$11,'DMR 001C TIN &amp; TP'!$A$2:$M$2,0))),"")</f>
        <v/>
      </c>
      <c r="AH258" s="6" t="str">
        <f t="array" ref="AH258">_xlfn.IFNA((INDEX('DMR 001C TIN &amp; TP'!$A$3:$M$10005,MATCH(('Reg 85'!$X$6&amp;'Reg 85'!AH$10&amp;'Reg 85'!$B258),('DMR 001C TIN &amp; TP'!$E$3:$E$10005&amp;'DMR 001C TIN &amp; TP'!$B$3:$B$10005&amp;'DMR 001C TIN &amp; TP'!$A$3:$A$10005),0),MATCH('Reg 85'!$AG$11,'DMR 001C TIN &amp; TP'!$A$2:$M$2,0))),"")</f>
        <v/>
      </c>
      <c r="AI258" s="6" t="str">
        <f t="array" ref="AI258">_xlfn.IFNA((INDEX('DMR 001C TIN &amp; TP'!$A$3:$M$10005,MATCH(('Reg 85'!$X$6&amp;'Reg 85'!AI$10&amp;'Reg 85'!$B258),('DMR 001C TIN &amp; TP'!$E$3:$E$10005&amp;'DMR 001C TIN &amp; TP'!$B$3:$B$10005&amp;'DMR 001C TIN &amp; TP'!$A$3:$A$10005),0),MATCH('Reg 85'!$AG$11,'DMR 001C TIN &amp; TP'!$A$2:$M$2,0))),"")</f>
        <v/>
      </c>
      <c r="AJ258" s="6" t="str">
        <f t="array" ref="AJ258">_xlfn.IFNA((INDEX('DMR 001C TIN &amp; TP'!$A$3:$M$10005,MATCH(('Reg 85'!$X$6&amp;'Reg 85'!AJ$10&amp;'Reg 85'!$B258),('DMR 001C TIN &amp; TP'!$E$3:$E$10005&amp;'DMR 001C TIN &amp; TP'!$B$3:$B$10005&amp;'DMR 001C TIN &amp; TP'!$A$3:$A$10005),0),MATCH('Reg 85'!$AG$11,'DMR 001C TIN &amp; TP'!$A$2:$M$2,0))),"")</f>
        <v/>
      </c>
      <c r="AK258" s="6" t="str">
        <f t="array" ref="AK258">_xlfn.IFNA((INDEX('DMR 001C TIN &amp; TP'!$A$3:$M$10005,MATCH(('Reg 85'!$X$6&amp;'Reg 85'!AK$10&amp;'Reg 85'!$B258),('DMR 001C TIN &amp; TP'!$E$3:$E$10005&amp;'DMR 001C TIN &amp; TP'!$B$3:$B$10005&amp;'DMR 001C TIN &amp; TP'!$A$3:$A$10005),0),MATCH('Reg 85'!$AG$11,'DMR 001C TIN &amp; TP'!$A$2:$M$2,0))),"")</f>
        <v/>
      </c>
      <c r="AL258" s="6" t="str">
        <f t="array" ref="AL258">_xlfn.IFNA((INDEX('DMR 001C TIN &amp; TP'!$A$3:$M$10005,MATCH(('Reg 85'!$X$6&amp;'Reg 85'!AL$10&amp;'Reg 85'!$B258),('DMR 001C TIN &amp; TP'!$E$3:$E$10005&amp;'DMR 001C TIN &amp; TP'!$B$3:$B$10005&amp;'DMR 001C TIN &amp; TP'!$A$3:$A$10005),0),MATCH('Reg 85'!$AG$11,'DMR 001C TIN &amp; TP'!$A$2:$M$2,0))),"")</f>
        <v/>
      </c>
      <c r="AM258" s="76"/>
      <c r="AN258" s="6"/>
      <c r="AO258" s="54">
        <f t="shared" si="83"/>
        <v>7.7930120915573902</v>
      </c>
      <c r="AP258" s="77" t="str">
        <f t="shared" si="102"/>
        <v/>
      </c>
      <c r="AQ258" s="47"/>
      <c r="AR258" s="6" t="str">
        <f t="array" ref="AR258">_xlfn.IFNA((INDEX('DMR 001C TIN &amp; TP'!$A$3:$M$10005,MATCH(('Reg 85'!$AQ$6&amp;'Reg 85'!$AQ$10&amp;'Reg 85'!$B258),('DMR 001C TIN &amp; TP'!$E$3:$E$10005&amp;'DMR 001C TIN &amp; TP'!$B$3:$B$10005&amp;'DMR 001C TIN &amp; TP'!$A$3:$A$10005),0),MATCH('Reg 85'!$AR$11,'DMR 001C TIN &amp; TP'!$A$2:$M$2,0))),"")</f>
        <v/>
      </c>
      <c r="AS258" s="6" t="str">
        <f t="array" ref="AS258">_xlfn.IFNA((INDEX('DMR 001C TIN &amp; TP'!$A$3:$M$10005,MATCH(('Reg 85'!$AQ$6&amp;'Reg 85'!$AQ$10&amp;'Reg 85'!$B258),('DMR 001C TIN &amp; TP'!$E$3:$E$10005&amp;'DMR 001C TIN &amp; TP'!$B$3:$B$10005&amp;'DMR 001C TIN &amp; TP'!$A$3:$A$10005),0),MATCH('Reg 85'!$AS$11,'DMR 001C TIN &amp; TP'!$A$2:$M$2,0))),"")</f>
        <v/>
      </c>
      <c r="AT258" s="53" t="str">
        <f t="shared" si="97"/>
        <v/>
      </c>
      <c r="AV258" s="6" t="str">
        <f t="array" ref="AV258">_xlfn.IFNA((INDEX('DMR 001C TIN &amp; TP'!$A$3:$M$10005,MATCH(('Reg 85'!$AQ$6&amp;'Reg 85'!$AU$10&amp;'Reg 85'!$B258),('DMR 001C TIN &amp; TP'!$E$3:$E$10005&amp;'DMR 001C TIN &amp; TP'!$B$3:$B$10005&amp;'DMR 001C TIN &amp; TP'!$A$3:$A$10005),0),MATCH('Reg 85'!$AV$11,'DMR 001C TIN &amp; TP'!$A$2:$M$2,0))),"")</f>
        <v/>
      </c>
      <c r="AW258" s="6" t="str">
        <f t="array" ref="AW258">_xlfn.IFNA((INDEX('DMR 001C TIN &amp; TP'!$A$3:$M$10005,MATCH(('Reg 85'!$AQ$6&amp;'Reg 85'!$AU$10&amp;'Reg 85'!$B258),('DMR 001C TIN &amp; TP'!$E$3:$E$10005&amp;'DMR 001C TIN &amp; TP'!$B$3:$B$10005&amp;'DMR 001C TIN &amp; TP'!$A$3:$A$10005),0),MATCH('Reg 85'!$AW$11,'DMR 001C TIN &amp; TP'!$A$2:$M$2,0))),"")</f>
        <v/>
      </c>
      <c r="AX258" s="53" t="str">
        <f t="shared" si="98"/>
        <v/>
      </c>
      <c r="AY258" s="55" t="str">
        <f t="shared" si="99"/>
        <v/>
      </c>
      <c r="AZ258" s="77" t="str">
        <f t="shared" si="103"/>
        <v/>
      </c>
      <c r="BA258" s="6" t="str">
        <f t="array" ref="BA258">_xlfn.IFNA((INDEX('DMR 001C TIN &amp; TP'!$A$3:$M$10005,MATCH(('Reg 85'!$AQ$6&amp;'Reg 85'!BA$10&amp;'Reg 85'!$B258),('DMR 001C TIN &amp; TP'!$E$3:$E$10005&amp;'DMR 001C TIN &amp; TP'!$B$3:$B$10005&amp;'DMR 001C TIN &amp; TP'!$A$3:$A$10005),0),MATCH('Reg 85'!$AG$11,'DMR 001C TIN &amp; TP'!$A$2:$M$2,0))),"")</f>
        <v/>
      </c>
      <c r="BB258" s="6" t="str">
        <f t="array" ref="BB258">_xlfn.IFNA((INDEX('DMR 001C TIN &amp; TP'!$A$3:$M$10005,MATCH(('Reg 85'!$AQ$6&amp;'Reg 85'!BB$10&amp;'Reg 85'!$B258),('DMR 001C TIN &amp; TP'!$E$3:$E$10005&amp;'DMR 001C TIN &amp; TP'!$B$3:$B$10005&amp;'DMR 001C TIN &amp; TP'!$A$3:$A$10005),0),MATCH('Reg 85'!$AG$11,'DMR 001C TIN &amp; TP'!$A$2:$M$2,0))),"")</f>
        <v/>
      </c>
      <c r="BC258" s="6" t="str">
        <f t="array" ref="BC258">_xlfn.IFNA((INDEX('DMR 001C TIN &amp; TP'!$A$3:$M$10005,MATCH(('Reg 85'!$AQ$6&amp;'Reg 85'!BC$10&amp;'Reg 85'!$B258),('DMR 001C TIN &amp; TP'!$E$3:$E$10005&amp;'DMR 001C TIN &amp; TP'!$B$3:$B$10005&amp;'DMR 001C TIN &amp; TP'!$A$3:$A$10005),0),MATCH('Reg 85'!$AG$11,'DMR 001C TIN &amp; TP'!$A$2:$M$2,0))),"")</f>
        <v/>
      </c>
      <c r="BD258" s="6" t="str">
        <f t="array" ref="BD258">_xlfn.IFNA((INDEX('DMR 001C TIN &amp; TP'!$A$3:$M$10005,MATCH(('Reg 85'!$AQ$6&amp;'Reg 85'!BD$10&amp;'Reg 85'!$B258),('DMR 001C TIN &amp; TP'!$E$3:$E$10005&amp;'DMR 001C TIN &amp; TP'!$B$3:$B$10005&amp;'DMR 001C TIN &amp; TP'!$A$3:$A$10005),0),MATCH('Reg 85'!$AG$11,'DMR 001C TIN &amp; TP'!$A$2:$M$2,0))),"")</f>
        <v/>
      </c>
      <c r="BE258" s="6" t="str">
        <f t="array" ref="BE258">_xlfn.IFNA((INDEX('DMR 001C TIN &amp; TP'!$A$3:$M$10005,MATCH(('Reg 85'!$AQ$6&amp;'Reg 85'!BE$10&amp;'Reg 85'!$B258),('DMR 001C TIN &amp; TP'!$E$3:$E$10005&amp;'DMR 001C TIN &amp; TP'!$B$3:$B$10005&amp;'DMR 001C TIN &amp; TP'!$A$3:$A$10005),0),MATCH('Reg 85'!$AG$11,'DMR 001C TIN &amp; TP'!$A$2:$M$2,0))),"")</f>
        <v/>
      </c>
      <c r="BF258" s="6" t="str">
        <f t="array" ref="BF258">_xlfn.IFNA((INDEX('DMR 001C TIN &amp; TP'!$A$3:$M$10005,MATCH(('Reg 85'!$AQ$6&amp;'Reg 85'!BF$10&amp;'Reg 85'!$B258),('DMR 001C TIN &amp; TP'!$E$3:$E$10005&amp;'DMR 001C TIN &amp; TP'!$B$3:$B$10005&amp;'DMR 001C TIN &amp; TP'!$A$3:$A$10005),0),MATCH('Reg 85'!$AG$11,'DMR 001C TIN &amp; TP'!$A$2:$M$2,0))),"")</f>
        <v/>
      </c>
    </row>
    <row r="259" spans="1:58">
      <c r="A259" s="3" t="str">
        <f t="shared" si="84"/>
        <v>Mon</v>
      </c>
      <c r="B259" s="96">
        <f t="shared" si="100"/>
        <v>43591</v>
      </c>
      <c r="C259" s="96">
        <f t="shared" si="85"/>
        <v>43616</v>
      </c>
      <c r="D259" s="96">
        <f t="shared" si="86"/>
        <v>43586</v>
      </c>
      <c r="E259" s="95">
        <f t="shared" si="87"/>
        <v>31</v>
      </c>
      <c r="F259" s="7">
        <f t="array" ref="F259">_xlfn.IFNA(INDEX('DMR Flows-Effluent'!$A$3:$F$9999,MATCH(($F$10&amp;$B259),('DMR Flows-Effluent'!$B$3:$B$9999&amp;'DMR Flows-Effluent'!$A$3:$A$9999),0),MATCH($F$8,'DMR Flows-Effluent'!$A$2:$F$2,0)),"")</f>
        <v>64.405000000000001</v>
      </c>
      <c r="G259" s="7">
        <f t="array" ref="G259">_xlfn.IFNA(INDEX('DMR Flows-Effluent'!$A$3:$F$9999,MATCH(($G$10&amp;$B259),('DMR Flows-Effluent'!$B$3:$B$9999&amp;'DMR Flows-Effluent'!$A$3:$A$9999),0),MATCH($F$8,'DMR Flows-Effluent'!$A$2:$F$2,0)),"")</f>
        <v>55.654899999999998</v>
      </c>
      <c r="H259" s="7">
        <f t="shared" si="88"/>
        <v>120.0599</v>
      </c>
      <c r="I259" s="45" t="str">
        <f t="shared" si="89"/>
        <v/>
      </c>
      <c r="J259" s="6" t="str">
        <f t="array" ref="J259">_xlfn.IFNA((INDEX('DMR 001C TIN &amp; TP'!$A$3:$M$10005,MATCH(('Reg 85'!$I$6:$Q$6&amp;'Reg 85'!$I$10:$K$10&amp;'Reg 85'!$B259),('DMR 001C TIN &amp; TP'!$E$3:$E$10005&amp;'DMR 001C TIN &amp; TP'!$B$3:$B$10005&amp;'DMR 001C TIN &amp; TP'!$A$3:$A$10005),0),MATCH('Reg 85'!$J$11,'DMR 001C TIN &amp; TP'!$A$2:$M$2,0))),"")</f>
        <v/>
      </c>
      <c r="K259" s="6" t="str">
        <f t="array" ref="K259">_xlfn.IFNA((INDEX('DMR 001C TIN &amp; TP'!$A$3:$M$10005,MATCH(('Reg 85'!$I$6:$Q$6&amp;'Reg 85'!$I$10:$K$10&amp;'Reg 85'!$B259),('DMR 001C TIN &amp; TP'!$E$3:$E$10005&amp;'DMR 001C TIN &amp; TP'!$B$3:$B$10005&amp;'DMR 001C TIN &amp; TP'!$A$3:$A$10005),0),MATCH('Reg 85'!$K$11,'DMR 001C TIN &amp; TP'!$A$2:$M$2,0))),"")</f>
        <v/>
      </c>
      <c r="L259" s="53" t="str">
        <f t="shared" si="101"/>
        <v/>
      </c>
      <c r="M259" s="5" t="str">
        <f t="shared" si="90"/>
        <v/>
      </c>
      <c r="N259" s="6" t="str">
        <f t="array" ref="N259">_xlfn.IFNA((INDEX('DMR 001C TIN &amp; TP'!$A$3:$M$10005,MATCH(('Reg 85'!$I$6:$Q$6&amp;'Reg 85'!$M$10&amp;'Reg 85'!$B259),('DMR 001C TIN &amp; TP'!$E$3:$E$10005&amp;'DMR 001C TIN &amp; TP'!$B$3:$B$10005&amp;'DMR 001C TIN &amp; TP'!$A$3:$A$10005),0),MATCH('Reg 85'!$N$11,'DMR 001C TIN &amp; TP'!$A$2:$M$2,0))),"")</f>
        <v/>
      </c>
      <c r="O259" s="6" t="str">
        <f t="array" ref="O259">_xlfn.IFNA((INDEX('DMR 001C TIN &amp; TP'!$A$3:$M$10005,MATCH(('Reg 85'!$I$6:$Q$6&amp;'Reg 85'!$M$10&amp;'Reg 85'!$B259),('DMR 001C TIN &amp; TP'!$E$3:$E$10005&amp;'DMR 001C TIN &amp; TP'!$B$3:$B$10005&amp;'DMR 001C TIN &amp; TP'!$A$3:$A$10005),0),MATCH('Reg 85'!$O$11,'DMR 001C TIN &amp; TP'!$A$2:$M$2,0))),"")</f>
        <v/>
      </c>
      <c r="P259" s="53" t="str">
        <f t="shared" si="91"/>
        <v/>
      </c>
      <c r="Q259" s="73" t="str">
        <f t="array" ref="Q259">IFERROR(((L259*$F259)+(P259*$G259))/($H259),"")</f>
        <v/>
      </c>
      <c r="R259" s="6" t="str">
        <f t="array" ref="R259">_xlfn.IFNA((INDEX('DMR 001C TIN &amp; TP'!$A$3:$M$10005,MATCH(('Reg 85'!$I$6:$Q$6&amp;'Reg 85'!R$10&amp;'Reg 85'!$B259),('DMR 001C TIN &amp; TP'!$E$3:$E$10005&amp;'DMR 001C TIN &amp; TP'!$B$3:$B$10005&amp;'DMR 001C TIN &amp; TP'!$A$3:$A$10005),0),MATCH('Reg 85'!$O$11,'DMR 001C TIN &amp; TP'!$A$2:$M$2,0))),"")</f>
        <v/>
      </c>
      <c r="S259" s="6" t="str">
        <f t="array" ref="S259">_xlfn.IFNA((INDEX('DMR 001C TIN &amp; TP'!$A$3:$M$10005,MATCH(('Reg 85'!$I$6:$Q$6&amp;'Reg 85'!S$10&amp;'Reg 85'!$B259),('DMR 001C TIN &amp; TP'!$E$3:$E$10005&amp;'DMR 001C TIN &amp; TP'!$B$3:$B$10005&amp;'DMR 001C TIN &amp; TP'!$A$3:$A$10005),0),MATCH('Reg 85'!$O$11,'DMR 001C TIN &amp; TP'!$A$2:$M$2,0))),"")</f>
        <v/>
      </c>
      <c r="T259" s="6" t="str">
        <f t="array" ref="T259">_xlfn.IFNA((INDEX('DMR 001C TIN &amp; TP'!$A$3:$M$10005,MATCH(('Reg 85'!$I$6:$Q$6&amp;'Reg 85'!T$10&amp;'Reg 85'!$B259),('DMR 001C TIN &amp; TP'!$E$3:$E$10005&amp;'DMR 001C TIN &amp; TP'!$B$3:$B$10005&amp;'DMR 001C TIN &amp; TP'!$A$3:$A$10005),0),MATCH('Reg 85'!$O$11,'DMR 001C TIN &amp; TP'!$A$2:$M$2,0))),"")</f>
        <v/>
      </c>
      <c r="U259" s="6" t="str">
        <f t="array" ref="U259">_xlfn.IFNA((INDEX('DMR 001C TIN &amp; TP'!$A$3:$M$10005,MATCH(('Reg 85'!$I$6:$Q$6&amp;'Reg 85'!U$10&amp;'Reg 85'!$B259),('DMR 001C TIN &amp; TP'!$E$3:$E$10005&amp;'DMR 001C TIN &amp; TP'!$B$3:$B$10005&amp;'DMR 001C TIN &amp; TP'!$A$3:$A$10005),0),MATCH('Reg 85'!$O$11,'DMR 001C TIN &amp; TP'!$A$2:$M$2,0))),"")</f>
        <v/>
      </c>
      <c r="V259" s="6" t="str">
        <f t="array" ref="V259">_xlfn.IFNA((INDEX('DMR 001C TIN &amp; TP'!$A$3:$M$10005,MATCH(('Reg 85'!$I$6:$Q$6&amp;'Reg 85'!V$10&amp;'Reg 85'!$B259),('DMR 001C TIN &amp; TP'!$E$3:$E$10005&amp;'DMR 001C TIN &amp; TP'!$B$3:$B$10005&amp;'DMR 001C TIN &amp; TP'!$A$3:$A$10005),0),MATCH('Reg 85'!$O$11,'DMR 001C TIN &amp; TP'!$A$2:$M$2,0))),"")</f>
        <v/>
      </c>
      <c r="W259" s="6" t="str">
        <f t="array" ref="W259">_xlfn.IFNA((INDEX('DMR 001C TIN &amp; TP'!$A$3:$M$10005,MATCH(('Reg 85'!$I$6:$Q$6&amp;'Reg 85'!W$10&amp;'Reg 85'!$B259),('DMR 001C TIN &amp; TP'!$E$3:$E$10005&amp;'DMR 001C TIN &amp; TP'!$B$3:$B$10005&amp;'DMR 001C TIN &amp; TP'!$A$3:$A$10005),0),MATCH('Reg 85'!$O$11,'DMR 001C TIN &amp; TP'!$A$2:$M$2,0))),"")</f>
        <v/>
      </c>
      <c r="X259" s="5" t="str">
        <f t="shared" si="92"/>
        <v/>
      </c>
      <c r="Y259" s="6" t="str">
        <f t="array" ref="Y259">_xlfn.IFNA((INDEX('DMR 001C TIN &amp; TP'!$A$3:$M$10005,MATCH(('Reg 85'!$X$6&amp;'Reg 85'!$X$10&amp;'Reg 85'!$B259),('DMR 001C TIN &amp; TP'!$E$3:$E$10005&amp;'DMR 001C TIN &amp; TP'!$B$3:$B$10005&amp;'DMR 001C TIN &amp; TP'!$A$3:$A$10005),0),MATCH('Reg 85'!$Y$11,'DMR 001C TIN &amp; TP'!$A$2:$M$2,0))),"")</f>
        <v/>
      </c>
      <c r="Z259" s="6" t="str">
        <f t="array" ref="Z259">_xlfn.IFNA((INDEX('DMR 001C TIN &amp; TP'!$A$3:$M$10005,MATCH(('Reg 85'!$X$6&amp;'Reg 85'!$X$10&amp;'Reg 85'!$B259),('DMR 001C TIN &amp; TP'!$E$3:$E$10005&amp;'DMR 001C TIN &amp; TP'!$B$3:$B$10005&amp;'DMR 001C TIN &amp; TP'!$A$3:$A$10005),0),MATCH('Reg 85'!$Z$11,'DMR 001C TIN &amp; TP'!$A$2:$M$2,0))),"")</f>
        <v/>
      </c>
      <c r="AA259" s="53" t="str">
        <f t="shared" si="93"/>
        <v/>
      </c>
      <c r="AB259" s="5" t="str">
        <f t="shared" si="94"/>
        <v/>
      </c>
      <c r="AC259" s="6" t="str">
        <f t="array" ref="AC259">_xlfn.IFNA((INDEX('DMR 001C TIN &amp; TP'!$A$3:$M$10005,MATCH(('Reg 85'!$X$6&amp;'Reg 85'!$AB$10&amp;'Reg 85'!$B259),('DMR 001C TIN &amp; TP'!$E$3:$E$10005&amp;'DMR 001C TIN &amp; TP'!$B$3:$B$10005&amp;'DMR 001C TIN &amp; TP'!$A$3:$A$10005),0),MATCH('Reg 85'!$AC$11,'DMR 001C TIN &amp; TP'!$A$2:$M$2,0))),"")</f>
        <v/>
      </c>
      <c r="AD259" s="6" t="str">
        <f t="array" ref="AD259">_xlfn.IFNA((INDEX('DMR 001C TIN &amp; TP'!$A$3:$M$10005,MATCH(('Reg 85'!$X$6&amp;'Reg 85'!$AB$10&amp;'Reg 85'!$B259),('DMR 001C TIN &amp; TP'!$E$3:$E$10005&amp;'DMR 001C TIN &amp; TP'!$B$3:$B$10005&amp;'DMR 001C TIN &amp; TP'!$A$3:$A$10005),0),MATCH('Reg 85'!$AD$11,'DMR 001C TIN &amp; TP'!$A$2:$M$2,0))),"")</f>
        <v/>
      </c>
      <c r="AE259" s="53" t="str">
        <f t="shared" si="95"/>
        <v/>
      </c>
      <c r="AF259" s="7" t="str">
        <f t="shared" si="96"/>
        <v/>
      </c>
      <c r="AG259" s="6" t="str">
        <f t="array" ref="AG259">_xlfn.IFNA((INDEX('DMR 001C TIN &amp; TP'!$A$3:$M$10005,MATCH(('Reg 85'!$X$6&amp;'Reg 85'!AG$10&amp;'Reg 85'!$B259),('DMR 001C TIN &amp; TP'!$E$3:$E$10005&amp;'DMR 001C TIN &amp; TP'!$B$3:$B$10005&amp;'DMR 001C TIN &amp; TP'!$A$3:$A$10005),0),MATCH('Reg 85'!$AG$11,'DMR 001C TIN &amp; TP'!$A$2:$M$2,0))),"")</f>
        <v/>
      </c>
      <c r="AH259" s="6" t="str">
        <f t="array" ref="AH259">_xlfn.IFNA((INDEX('DMR 001C TIN &amp; TP'!$A$3:$M$10005,MATCH(('Reg 85'!$X$6&amp;'Reg 85'!AH$10&amp;'Reg 85'!$B259),('DMR 001C TIN &amp; TP'!$E$3:$E$10005&amp;'DMR 001C TIN &amp; TP'!$B$3:$B$10005&amp;'DMR 001C TIN &amp; TP'!$A$3:$A$10005),0),MATCH('Reg 85'!$AG$11,'DMR 001C TIN &amp; TP'!$A$2:$M$2,0))),"")</f>
        <v/>
      </c>
      <c r="AI259" s="6" t="str">
        <f t="array" ref="AI259">_xlfn.IFNA((INDEX('DMR 001C TIN &amp; TP'!$A$3:$M$10005,MATCH(('Reg 85'!$X$6&amp;'Reg 85'!AI$10&amp;'Reg 85'!$B259),('DMR 001C TIN &amp; TP'!$E$3:$E$10005&amp;'DMR 001C TIN &amp; TP'!$B$3:$B$10005&amp;'DMR 001C TIN &amp; TP'!$A$3:$A$10005),0),MATCH('Reg 85'!$AG$11,'DMR 001C TIN &amp; TP'!$A$2:$M$2,0))),"")</f>
        <v/>
      </c>
      <c r="AJ259" s="6" t="str">
        <f t="array" ref="AJ259">_xlfn.IFNA((INDEX('DMR 001C TIN &amp; TP'!$A$3:$M$10005,MATCH(('Reg 85'!$X$6&amp;'Reg 85'!AJ$10&amp;'Reg 85'!$B259),('DMR 001C TIN &amp; TP'!$E$3:$E$10005&amp;'DMR 001C TIN &amp; TP'!$B$3:$B$10005&amp;'DMR 001C TIN &amp; TP'!$A$3:$A$10005),0),MATCH('Reg 85'!$AG$11,'DMR 001C TIN &amp; TP'!$A$2:$M$2,0))),"")</f>
        <v/>
      </c>
      <c r="AK259" s="6" t="str">
        <f t="array" ref="AK259">_xlfn.IFNA((INDEX('DMR 001C TIN &amp; TP'!$A$3:$M$10005,MATCH(('Reg 85'!$X$6&amp;'Reg 85'!AK$10&amp;'Reg 85'!$B259),('DMR 001C TIN &amp; TP'!$E$3:$E$10005&amp;'DMR 001C TIN &amp; TP'!$B$3:$B$10005&amp;'DMR 001C TIN &amp; TP'!$A$3:$A$10005),0),MATCH('Reg 85'!$AG$11,'DMR 001C TIN &amp; TP'!$A$2:$M$2,0))),"")</f>
        <v/>
      </c>
      <c r="AL259" s="6" t="str">
        <f t="array" ref="AL259">_xlfn.IFNA((INDEX('DMR 001C TIN &amp; TP'!$A$3:$M$10005,MATCH(('Reg 85'!$X$6&amp;'Reg 85'!AL$10&amp;'Reg 85'!$B259),('DMR 001C TIN &amp; TP'!$E$3:$E$10005&amp;'DMR 001C TIN &amp; TP'!$B$3:$B$10005&amp;'DMR 001C TIN &amp; TP'!$A$3:$A$10005),0),MATCH('Reg 85'!$AG$11,'DMR 001C TIN &amp; TP'!$A$2:$M$2,0))),"")</f>
        <v/>
      </c>
      <c r="AM259" s="76"/>
      <c r="AN259" s="6"/>
      <c r="AO259" s="54" t="str">
        <f t="shared" si="83"/>
        <v/>
      </c>
      <c r="AP259" s="77" t="str">
        <f t="shared" si="102"/>
        <v/>
      </c>
      <c r="AQ259" s="47"/>
      <c r="AR259" s="6" t="str">
        <f t="array" ref="AR259">_xlfn.IFNA((INDEX('DMR 001C TIN &amp; TP'!$A$3:$M$10005,MATCH(('Reg 85'!$AQ$6&amp;'Reg 85'!$AQ$10&amp;'Reg 85'!$B259),('DMR 001C TIN &amp; TP'!$E$3:$E$10005&amp;'DMR 001C TIN &amp; TP'!$B$3:$B$10005&amp;'DMR 001C TIN &amp; TP'!$A$3:$A$10005),0),MATCH('Reg 85'!$AR$11,'DMR 001C TIN &amp; TP'!$A$2:$M$2,0))),"")</f>
        <v>0.03</v>
      </c>
      <c r="AS259" s="6">
        <f t="array" ref="AS259">_xlfn.IFNA((INDEX('DMR 001C TIN &amp; TP'!$A$3:$M$10005,MATCH(('Reg 85'!$AQ$6&amp;'Reg 85'!$AQ$10&amp;'Reg 85'!$B259),('DMR 001C TIN &amp; TP'!$E$3:$E$10005&amp;'DMR 001C TIN &amp; TP'!$B$3:$B$10005&amp;'DMR 001C TIN &amp; TP'!$A$3:$A$10005),0),MATCH('Reg 85'!$AS$11,'DMR 001C TIN &amp; TP'!$A$2:$M$2,0))),"")</f>
        <v>0.37</v>
      </c>
      <c r="AT259" s="53">
        <f t="shared" si="97"/>
        <v>0.37</v>
      </c>
      <c r="AV259" s="6" t="str">
        <f t="array" ref="AV259">_xlfn.IFNA((INDEX('DMR 001C TIN &amp; TP'!$A$3:$M$10005,MATCH(('Reg 85'!$AQ$6&amp;'Reg 85'!$AU$10&amp;'Reg 85'!$B259),('DMR 001C TIN &amp; TP'!$E$3:$E$10005&amp;'DMR 001C TIN &amp; TP'!$B$3:$B$10005&amp;'DMR 001C TIN &amp; TP'!$A$3:$A$10005),0),MATCH('Reg 85'!$AV$11,'DMR 001C TIN &amp; TP'!$A$2:$M$2,0))),"")</f>
        <v>0.03</v>
      </c>
      <c r="AW259" s="6">
        <f t="array" ref="AW259">_xlfn.IFNA((INDEX('DMR 001C TIN &amp; TP'!$A$3:$M$10005,MATCH(('Reg 85'!$AQ$6&amp;'Reg 85'!$AU$10&amp;'Reg 85'!$B259),('DMR 001C TIN &amp; TP'!$E$3:$E$10005&amp;'DMR 001C TIN &amp; TP'!$B$3:$B$10005&amp;'DMR 001C TIN &amp; TP'!$A$3:$A$10005),0),MATCH('Reg 85'!$AW$11,'DMR 001C TIN &amp; TP'!$A$2:$M$2,0))),"")</f>
        <v>4.92</v>
      </c>
      <c r="AX259" s="53">
        <f t="shared" si="98"/>
        <v>4.92</v>
      </c>
      <c r="AY259" s="55">
        <f t="shared" si="99"/>
        <v>2.4791954516037409</v>
      </c>
      <c r="AZ259" s="77" t="str">
        <f t="shared" si="103"/>
        <v/>
      </c>
      <c r="BA259" s="6" t="str">
        <f t="array" ref="BA259">_xlfn.IFNA((INDEX('DMR 001C TIN &amp; TP'!$A$3:$M$10005,MATCH(('Reg 85'!$AQ$6&amp;'Reg 85'!BA$10&amp;'Reg 85'!$B259),('DMR 001C TIN &amp; TP'!$E$3:$E$10005&amp;'DMR 001C TIN &amp; TP'!$B$3:$B$10005&amp;'DMR 001C TIN &amp; TP'!$A$3:$A$10005),0),MATCH('Reg 85'!$AG$11,'DMR 001C TIN &amp; TP'!$A$2:$M$2,0))),"")</f>
        <v/>
      </c>
      <c r="BB259" s="6" t="str">
        <f t="array" ref="BB259">_xlfn.IFNA((INDEX('DMR 001C TIN &amp; TP'!$A$3:$M$10005,MATCH(('Reg 85'!$AQ$6&amp;'Reg 85'!BB$10&amp;'Reg 85'!$B259),('DMR 001C TIN &amp; TP'!$E$3:$E$10005&amp;'DMR 001C TIN &amp; TP'!$B$3:$B$10005&amp;'DMR 001C TIN &amp; TP'!$A$3:$A$10005),0),MATCH('Reg 85'!$AG$11,'DMR 001C TIN &amp; TP'!$A$2:$M$2,0))),"")</f>
        <v/>
      </c>
      <c r="BC259" s="6" t="str">
        <f t="array" ref="BC259">_xlfn.IFNA((INDEX('DMR 001C TIN &amp; TP'!$A$3:$M$10005,MATCH(('Reg 85'!$AQ$6&amp;'Reg 85'!BC$10&amp;'Reg 85'!$B259),('DMR 001C TIN &amp; TP'!$E$3:$E$10005&amp;'DMR 001C TIN &amp; TP'!$B$3:$B$10005&amp;'DMR 001C TIN &amp; TP'!$A$3:$A$10005),0),MATCH('Reg 85'!$AG$11,'DMR 001C TIN &amp; TP'!$A$2:$M$2,0))),"")</f>
        <v/>
      </c>
      <c r="BD259" s="6" t="str">
        <f t="array" ref="BD259">_xlfn.IFNA((INDEX('DMR 001C TIN &amp; TP'!$A$3:$M$10005,MATCH(('Reg 85'!$AQ$6&amp;'Reg 85'!BD$10&amp;'Reg 85'!$B259),('DMR 001C TIN &amp; TP'!$E$3:$E$10005&amp;'DMR 001C TIN &amp; TP'!$B$3:$B$10005&amp;'DMR 001C TIN &amp; TP'!$A$3:$A$10005),0),MATCH('Reg 85'!$AG$11,'DMR 001C TIN &amp; TP'!$A$2:$M$2,0))),"")</f>
        <v/>
      </c>
      <c r="BE259" s="6" t="str">
        <f t="array" ref="BE259">_xlfn.IFNA((INDEX('DMR 001C TIN &amp; TP'!$A$3:$M$10005,MATCH(('Reg 85'!$AQ$6&amp;'Reg 85'!BE$10&amp;'Reg 85'!$B259),('DMR 001C TIN &amp; TP'!$E$3:$E$10005&amp;'DMR 001C TIN &amp; TP'!$B$3:$B$10005&amp;'DMR 001C TIN &amp; TP'!$A$3:$A$10005),0),MATCH('Reg 85'!$AG$11,'DMR 001C TIN &amp; TP'!$A$2:$M$2,0))),"")</f>
        <v/>
      </c>
      <c r="BF259" s="6" t="str">
        <f t="array" ref="BF259">_xlfn.IFNA((INDEX('DMR 001C TIN &amp; TP'!$A$3:$M$10005,MATCH(('Reg 85'!$AQ$6&amp;'Reg 85'!BF$10&amp;'Reg 85'!$B259),('DMR 001C TIN &amp; TP'!$E$3:$E$10005&amp;'DMR 001C TIN &amp; TP'!$B$3:$B$10005&amp;'DMR 001C TIN &amp; TP'!$A$3:$A$10005),0),MATCH('Reg 85'!$AG$11,'DMR 001C TIN &amp; TP'!$A$2:$M$2,0))),"")</f>
        <v/>
      </c>
    </row>
    <row r="260" spans="1:58">
      <c r="A260" s="3" t="str">
        <f t="shared" si="84"/>
        <v>Tue</v>
      </c>
      <c r="B260" s="96">
        <f t="shared" si="100"/>
        <v>43592</v>
      </c>
      <c r="C260" s="96">
        <f t="shared" si="85"/>
        <v>43616</v>
      </c>
      <c r="D260" s="96">
        <f t="shared" si="86"/>
        <v>43586</v>
      </c>
      <c r="E260" s="95">
        <f t="shared" si="87"/>
        <v>31</v>
      </c>
      <c r="F260" s="7">
        <f t="array" ref="F260">_xlfn.IFNA(INDEX('DMR Flows-Effluent'!$A$3:$F$9999,MATCH(($F$10&amp;$B260),('DMR Flows-Effluent'!$B$3:$B$9999&amp;'DMR Flows-Effluent'!$A$3:$A$9999),0),MATCH($F$8,'DMR Flows-Effluent'!$A$2:$F$2,0)),"")</f>
        <v>69.227199999999996</v>
      </c>
      <c r="G260" s="7">
        <f t="array" ref="G260">_xlfn.IFNA(INDEX('DMR Flows-Effluent'!$A$3:$F$9999,MATCH(($G$10&amp;$B260),('DMR Flows-Effluent'!$B$3:$B$9999&amp;'DMR Flows-Effluent'!$A$3:$A$9999),0),MATCH($F$8,'DMR Flows-Effluent'!$A$2:$F$2,0)),"")</f>
        <v>56.271099999999997</v>
      </c>
      <c r="H260" s="7">
        <f t="shared" si="88"/>
        <v>125.4983</v>
      </c>
      <c r="I260" s="45" t="str">
        <f t="shared" si="89"/>
        <v/>
      </c>
      <c r="J260" s="6" t="str">
        <f t="array" ref="J260">_xlfn.IFNA((INDEX('DMR 001C TIN &amp; TP'!$A$3:$M$10005,MATCH(('Reg 85'!$I$6:$Q$6&amp;'Reg 85'!$I$10:$K$10&amp;'Reg 85'!$B260),('DMR 001C TIN &amp; TP'!$E$3:$E$10005&amp;'DMR 001C TIN &amp; TP'!$B$3:$B$10005&amp;'DMR 001C TIN &amp; TP'!$A$3:$A$10005),0),MATCH('Reg 85'!$J$11,'DMR 001C TIN &amp; TP'!$A$2:$M$2,0))),"")</f>
        <v/>
      </c>
      <c r="K260" s="6" t="str">
        <f t="array" ref="K260">_xlfn.IFNA((INDEX('DMR 001C TIN &amp; TP'!$A$3:$M$10005,MATCH(('Reg 85'!$I$6:$Q$6&amp;'Reg 85'!$I$10:$K$10&amp;'Reg 85'!$B260),('DMR 001C TIN &amp; TP'!$E$3:$E$10005&amp;'DMR 001C TIN &amp; TP'!$B$3:$B$10005&amp;'DMR 001C TIN &amp; TP'!$A$3:$A$10005),0),MATCH('Reg 85'!$K$11,'DMR 001C TIN &amp; TP'!$A$2:$M$2,0))),"")</f>
        <v/>
      </c>
      <c r="L260" s="53" t="str">
        <f t="shared" si="101"/>
        <v/>
      </c>
      <c r="M260" s="5" t="str">
        <f t="shared" si="90"/>
        <v/>
      </c>
      <c r="N260" s="6" t="str">
        <f t="array" ref="N260">_xlfn.IFNA((INDEX('DMR 001C TIN &amp; TP'!$A$3:$M$10005,MATCH(('Reg 85'!$I$6:$Q$6&amp;'Reg 85'!$M$10&amp;'Reg 85'!$B260),('DMR 001C TIN &amp; TP'!$E$3:$E$10005&amp;'DMR 001C TIN &amp; TP'!$B$3:$B$10005&amp;'DMR 001C TIN &amp; TP'!$A$3:$A$10005),0),MATCH('Reg 85'!$N$11,'DMR 001C TIN &amp; TP'!$A$2:$M$2,0))),"")</f>
        <v/>
      </c>
      <c r="O260" s="6" t="str">
        <f t="array" ref="O260">_xlfn.IFNA((INDEX('DMR 001C TIN &amp; TP'!$A$3:$M$10005,MATCH(('Reg 85'!$I$6:$Q$6&amp;'Reg 85'!$M$10&amp;'Reg 85'!$B260),('DMR 001C TIN &amp; TP'!$E$3:$E$10005&amp;'DMR 001C TIN &amp; TP'!$B$3:$B$10005&amp;'DMR 001C TIN &amp; TP'!$A$3:$A$10005),0),MATCH('Reg 85'!$O$11,'DMR 001C TIN &amp; TP'!$A$2:$M$2,0))),"")</f>
        <v/>
      </c>
      <c r="P260" s="53" t="str">
        <f t="shared" si="91"/>
        <v/>
      </c>
      <c r="Q260" s="73" t="str">
        <f t="array" ref="Q260">IFERROR(((L260*$F260)+(P260*$G260))/($H260),"")</f>
        <v/>
      </c>
      <c r="R260" s="6" t="str">
        <f t="array" ref="R260">_xlfn.IFNA((INDEX('DMR 001C TIN &amp; TP'!$A$3:$M$10005,MATCH(('Reg 85'!$I$6:$Q$6&amp;'Reg 85'!R$10&amp;'Reg 85'!$B260),('DMR 001C TIN &amp; TP'!$E$3:$E$10005&amp;'DMR 001C TIN &amp; TP'!$B$3:$B$10005&amp;'DMR 001C TIN &amp; TP'!$A$3:$A$10005),0),MATCH('Reg 85'!$O$11,'DMR 001C TIN &amp; TP'!$A$2:$M$2,0))),"")</f>
        <v/>
      </c>
      <c r="S260" s="6" t="str">
        <f t="array" ref="S260">_xlfn.IFNA((INDEX('DMR 001C TIN &amp; TP'!$A$3:$M$10005,MATCH(('Reg 85'!$I$6:$Q$6&amp;'Reg 85'!S$10&amp;'Reg 85'!$B260),('DMR 001C TIN &amp; TP'!$E$3:$E$10005&amp;'DMR 001C TIN &amp; TP'!$B$3:$B$10005&amp;'DMR 001C TIN &amp; TP'!$A$3:$A$10005),0),MATCH('Reg 85'!$O$11,'DMR 001C TIN &amp; TP'!$A$2:$M$2,0))),"")</f>
        <v/>
      </c>
      <c r="T260" s="6" t="str">
        <f t="array" ref="T260">_xlfn.IFNA((INDEX('DMR 001C TIN &amp; TP'!$A$3:$M$10005,MATCH(('Reg 85'!$I$6:$Q$6&amp;'Reg 85'!T$10&amp;'Reg 85'!$B260),('DMR 001C TIN &amp; TP'!$E$3:$E$10005&amp;'DMR 001C TIN &amp; TP'!$B$3:$B$10005&amp;'DMR 001C TIN &amp; TP'!$A$3:$A$10005),0),MATCH('Reg 85'!$O$11,'DMR 001C TIN &amp; TP'!$A$2:$M$2,0))),"")</f>
        <v/>
      </c>
      <c r="U260" s="6" t="str">
        <f t="array" ref="U260">_xlfn.IFNA((INDEX('DMR 001C TIN &amp; TP'!$A$3:$M$10005,MATCH(('Reg 85'!$I$6:$Q$6&amp;'Reg 85'!U$10&amp;'Reg 85'!$B260),('DMR 001C TIN &amp; TP'!$E$3:$E$10005&amp;'DMR 001C TIN &amp; TP'!$B$3:$B$10005&amp;'DMR 001C TIN &amp; TP'!$A$3:$A$10005),0),MATCH('Reg 85'!$O$11,'DMR 001C TIN &amp; TP'!$A$2:$M$2,0))),"")</f>
        <v/>
      </c>
      <c r="V260" s="6" t="str">
        <f t="array" ref="V260">_xlfn.IFNA((INDEX('DMR 001C TIN &amp; TP'!$A$3:$M$10005,MATCH(('Reg 85'!$I$6:$Q$6&amp;'Reg 85'!V$10&amp;'Reg 85'!$B260),('DMR 001C TIN &amp; TP'!$E$3:$E$10005&amp;'DMR 001C TIN &amp; TP'!$B$3:$B$10005&amp;'DMR 001C TIN &amp; TP'!$A$3:$A$10005),0),MATCH('Reg 85'!$O$11,'DMR 001C TIN &amp; TP'!$A$2:$M$2,0))),"")</f>
        <v/>
      </c>
      <c r="W260" s="6" t="str">
        <f t="array" ref="W260">_xlfn.IFNA((INDEX('DMR 001C TIN &amp; TP'!$A$3:$M$10005,MATCH(('Reg 85'!$I$6:$Q$6&amp;'Reg 85'!W$10&amp;'Reg 85'!$B260),('DMR 001C TIN &amp; TP'!$E$3:$E$10005&amp;'DMR 001C TIN &amp; TP'!$B$3:$B$10005&amp;'DMR 001C TIN &amp; TP'!$A$3:$A$10005),0),MATCH('Reg 85'!$O$11,'DMR 001C TIN &amp; TP'!$A$2:$M$2,0))),"")</f>
        <v/>
      </c>
      <c r="X260" s="5" t="str">
        <f t="shared" si="92"/>
        <v/>
      </c>
      <c r="Y260" s="6" t="str">
        <f t="array" ref="Y260">_xlfn.IFNA((INDEX('DMR 001C TIN &amp; TP'!$A$3:$M$10005,MATCH(('Reg 85'!$X$6&amp;'Reg 85'!$X$10&amp;'Reg 85'!$B260),('DMR 001C TIN &amp; TP'!$E$3:$E$10005&amp;'DMR 001C TIN &amp; TP'!$B$3:$B$10005&amp;'DMR 001C TIN &amp; TP'!$A$3:$A$10005),0),MATCH('Reg 85'!$Y$11,'DMR 001C TIN &amp; TP'!$A$2:$M$2,0))),"")</f>
        <v/>
      </c>
      <c r="Z260" s="6" t="str">
        <f t="array" ref="Z260">_xlfn.IFNA((INDEX('DMR 001C TIN &amp; TP'!$A$3:$M$10005,MATCH(('Reg 85'!$X$6&amp;'Reg 85'!$X$10&amp;'Reg 85'!$B260),('DMR 001C TIN &amp; TP'!$E$3:$E$10005&amp;'DMR 001C TIN &amp; TP'!$B$3:$B$10005&amp;'DMR 001C TIN &amp; TP'!$A$3:$A$10005),0),MATCH('Reg 85'!$Z$11,'DMR 001C TIN &amp; TP'!$A$2:$M$2,0))),"")</f>
        <v/>
      </c>
      <c r="AA260" s="53" t="str">
        <f t="shared" si="93"/>
        <v/>
      </c>
      <c r="AB260" s="5" t="str">
        <f t="shared" si="94"/>
        <v/>
      </c>
      <c r="AC260" s="6" t="str">
        <f t="array" ref="AC260">_xlfn.IFNA((INDEX('DMR 001C TIN &amp; TP'!$A$3:$M$10005,MATCH(('Reg 85'!$X$6&amp;'Reg 85'!$AB$10&amp;'Reg 85'!$B260),('DMR 001C TIN &amp; TP'!$E$3:$E$10005&amp;'DMR 001C TIN &amp; TP'!$B$3:$B$10005&amp;'DMR 001C TIN &amp; TP'!$A$3:$A$10005),0),MATCH('Reg 85'!$AC$11,'DMR 001C TIN &amp; TP'!$A$2:$M$2,0))),"")</f>
        <v/>
      </c>
      <c r="AD260" s="6" t="str">
        <f t="array" ref="AD260">_xlfn.IFNA((INDEX('DMR 001C TIN &amp; TP'!$A$3:$M$10005,MATCH(('Reg 85'!$X$6&amp;'Reg 85'!$AB$10&amp;'Reg 85'!$B260),('DMR 001C TIN &amp; TP'!$E$3:$E$10005&amp;'DMR 001C TIN &amp; TP'!$B$3:$B$10005&amp;'DMR 001C TIN &amp; TP'!$A$3:$A$10005),0),MATCH('Reg 85'!$AD$11,'DMR 001C TIN &amp; TP'!$A$2:$M$2,0))),"")</f>
        <v/>
      </c>
      <c r="AE260" s="53" t="str">
        <f t="shared" si="95"/>
        <v/>
      </c>
      <c r="AF260" s="7" t="str">
        <f t="shared" si="96"/>
        <v/>
      </c>
      <c r="AG260" s="6" t="str">
        <f t="array" ref="AG260">_xlfn.IFNA((INDEX('DMR 001C TIN &amp; TP'!$A$3:$M$10005,MATCH(('Reg 85'!$X$6&amp;'Reg 85'!AG$10&amp;'Reg 85'!$B260),('DMR 001C TIN &amp; TP'!$E$3:$E$10005&amp;'DMR 001C TIN &amp; TP'!$B$3:$B$10005&amp;'DMR 001C TIN &amp; TP'!$A$3:$A$10005),0),MATCH('Reg 85'!$AG$11,'DMR 001C TIN &amp; TP'!$A$2:$M$2,0))),"")</f>
        <v/>
      </c>
      <c r="AH260" s="6" t="str">
        <f t="array" ref="AH260">_xlfn.IFNA((INDEX('DMR 001C TIN &amp; TP'!$A$3:$M$10005,MATCH(('Reg 85'!$X$6&amp;'Reg 85'!AH$10&amp;'Reg 85'!$B260),('DMR 001C TIN &amp; TP'!$E$3:$E$10005&amp;'DMR 001C TIN &amp; TP'!$B$3:$B$10005&amp;'DMR 001C TIN &amp; TP'!$A$3:$A$10005),0),MATCH('Reg 85'!$AG$11,'DMR 001C TIN &amp; TP'!$A$2:$M$2,0))),"")</f>
        <v/>
      </c>
      <c r="AI260" s="6" t="str">
        <f t="array" ref="AI260">_xlfn.IFNA((INDEX('DMR 001C TIN &amp; TP'!$A$3:$M$10005,MATCH(('Reg 85'!$X$6&amp;'Reg 85'!AI$10&amp;'Reg 85'!$B260),('DMR 001C TIN &amp; TP'!$E$3:$E$10005&amp;'DMR 001C TIN &amp; TP'!$B$3:$B$10005&amp;'DMR 001C TIN &amp; TP'!$A$3:$A$10005),0),MATCH('Reg 85'!$AG$11,'DMR 001C TIN &amp; TP'!$A$2:$M$2,0))),"")</f>
        <v/>
      </c>
      <c r="AJ260" s="6" t="str">
        <f t="array" ref="AJ260">_xlfn.IFNA((INDEX('DMR 001C TIN &amp; TP'!$A$3:$M$10005,MATCH(('Reg 85'!$X$6&amp;'Reg 85'!AJ$10&amp;'Reg 85'!$B260),('DMR 001C TIN &amp; TP'!$E$3:$E$10005&amp;'DMR 001C TIN &amp; TP'!$B$3:$B$10005&amp;'DMR 001C TIN &amp; TP'!$A$3:$A$10005),0),MATCH('Reg 85'!$AG$11,'DMR 001C TIN &amp; TP'!$A$2:$M$2,0))),"")</f>
        <v/>
      </c>
      <c r="AK260" s="6" t="str">
        <f t="array" ref="AK260">_xlfn.IFNA((INDEX('DMR 001C TIN &amp; TP'!$A$3:$M$10005,MATCH(('Reg 85'!$X$6&amp;'Reg 85'!AK$10&amp;'Reg 85'!$B260),('DMR 001C TIN &amp; TP'!$E$3:$E$10005&amp;'DMR 001C TIN &amp; TP'!$B$3:$B$10005&amp;'DMR 001C TIN &amp; TP'!$A$3:$A$10005),0),MATCH('Reg 85'!$AG$11,'DMR 001C TIN &amp; TP'!$A$2:$M$2,0))),"")</f>
        <v/>
      </c>
      <c r="AL260" s="6" t="str">
        <f t="array" ref="AL260">_xlfn.IFNA((INDEX('DMR 001C TIN &amp; TP'!$A$3:$M$10005,MATCH(('Reg 85'!$X$6&amp;'Reg 85'!AL$10&amp;'Reg 85'!$B260),('DMR 001C TIN &amp; TP'!$E$3:$E$10005&amp;'DMR 001C TIN &amp; TP'!$B$3:$B$10005&amp;'DMR 001C TIN &amp; TP'!$A$3:$A$10005),0),MATCH('Reg 85'!$AG$11,'DMR 001C TIN &amp; TP'!$A$2:$M$2,0))),"")</f>
        <v/>
      </c>
      <c r="AM260" s="76"/>
      <c r="AN260" s="6"/>
      <c r="AO260" s="54" t="str">
        <f t="shared" si="83"/>
        <v/>
      </c>
      <c r="AP260" s="77" t="str">
        <f t="shared" si="102"/>
        <v/>
      </c>
      <c r="AQ260" s="47"/>
      <c r="AR260" s="6" t="str">
        <f t="array" ref="AR260">_xlfn.IFNA((INDEX('DMR 001C TIN &amp; TP'!$A$3:$M$10005,MATCH(('Reg 85'!$AQ$6&amp;'Reg 85'!$AQ$10&amp;'Reg 85'!$B260),('DMR 001C TIN &amp; TP'!$E$3:$E$10005&amp;'DMR 001C TIN &amp; TP'!$B$3:$B$10005&amp;'DMR 001C TIN &amp; TP'!$A$3:$A$10005),0),MATCH('Reg 85'!$AR$11,'DMR 001C TIN &amp; TP'!$A$2:$M$2,0))),"")</f>
        <v>0.03</v>
      </c>
      <c r="AS260" s="6">
        <f t="array" ref="AS260">_xlfn.IFNA((INDEX('DMR 001C TIN &amp; TP'!$A$3:$M$10005,MATCH(('Reg 85'!$AQ$6&amp;'Reg 85'!$AQ$10&amp;'Reg 85'!$B260),('DMR 001C TIN &amp; TP'!$E$3:$E$10005&amp;'DMR 001C TIN &amp; TP'!$B$3:$B$10005&amp;'DMR 001C TIN &amp; TP'!$A$3:$A$10005),0),MATCH('Reg 85'!$AS$11,'DMR 001C TIN &amp; TP'!$A$2:$M$2,0))),"")</f>
        <v>0.43</v>
      </c>
      <c r="AT260" s="53">
        <f t="shared" si="97"/>
        <v>0.43</v>
      </c>
      <c r="AV260" s="6" t="str">
        <f t="array" ref="AV260">_xlfn.IFNA((INDEX('DMR 001C TIN &amp; TP'!$A$3:$M$10005,MATCH(('Reg 85'!$AQ$6&amp;'Reg 85'!$AU$10&amp;'Reg 85'!$B260),('DMR 001C TIN &amp; TP'!$E$3:$E$10005&amp;'DMR 001C TIN &amp; TP'!$B$3:$B$10005&amp;'DMR 001C TIN &amp; TP'!$A$3:$A$10005),0),MATCH('Reg 85'!$AV$11,'DMR 001C TIN &amp; TP'!$A$2:$M$2,0))),"")</f>
        <v>0.06</v>
      </c>
      <c r="AW260" s="6">
        <f t="array" ref="AW260">_xlfn.IFNA((INDEX('DMR 001C TIN &amp; TP'!$A$3:$M$10005,MATCH(('Reg 85'!$AQ$6&amp;'Reg 85'!$AU$10&amp;'Reg 85'!$B260),('DMR 001C TIN &amp; TP'!$E$3:$E$10005&amp;'DMR 001C TIN &amp; TP'!$B$3:$B$10005&amp;'DMR 001C TIN &amp; TP'!$A$3:$A$10005),0),MATCH('Reg 85'!$AW$11,'DMR 001C TIN &amp; TP'!$A$2:$M$2,0))),"")</f>
        <v>6.3</v>
      </c>
      <c r="AX260" s="53">
        <f t="shared" si="98"/>
        <v>6.3</v>
      </c>
      <c r="AY260" s="55">
        <f t="shared" si="99"/>
        <v>3.0619986565555068</v>
      </c>
      <c r="AZ260" s="77" t="str">
        <f t="shared" si="103"/>
        <v/>
      </c>
      <c r="BA260" s="6" t="str">
        <f t="array" ref="BA260">_xlfn.IFNA((INDEX('DMR 001C TIN &amp; TP'!$A$3:$M$10005,MATCH(('Reg 85'!$AQ$6&amp;'Reg 85'!BA$10&amp;'Reg 85'!$B260),('DMR 001C TIN &amp; TP'!$E$3:$E$10005&amp;'DMR 001C TIN &amp; TP'!$B$3:$B$10005&amp;'DMR 001C TIN &amp; TP'!$A$3:$A$10005),0),MATCH('Reg 85'!$AG$11,'DMR 001C TIN &amp; TP'!$A$2:$M$2,0))),"")</f>
        <v/>
      </c>
      <c r="BB260" s="6" t="str">
        <f t="array" ref="BB260">_xlfn.IFNA((INDEX('DMR 001C TIN &amp; TP'!$A$3:$M$10005,MATCH(('Reg 85'!$AQ$6&amp;'Reg 85'!BB$10&amp;'Reg 85'!$B260),('DMR 001C TIN &amp; TP'!$E$3:$E$10005&amp;'DMR 001C TIN &amp; TP'!$B$3:$B$10005&amp;'DMR 001C TIN &amp; TP'!$A$3:$A$10005),0),MATCH('Reg 85'!$AG$11,'DMR 001C TIN &amp; TP'!$A$2:$M$2,0))),"")</f>
        <v/>
      </c>
      <c r="BC260" s="6" t="str">
        <f t="array" ref="BC260">_xlfn.IFNA((INDEX('DMR 001C TIN &amp; TP'!$A$3:$M$10005,MATCH(('Reg 85'!$AQ$6&amp;'Reg 85'!BC$10&amp;'Reg 85'!$B260),('DMR 001C TIN &amp; TP'!$E$3:$E$10005&amp;'DMR 001C TIN &amp; TP'!$B$3:$B$10005&amp;'DMR 001C TIN &amp; TP'!$A$3:$A$10005),0),MATCH('Reg 85'!$AG$11,'DMR 001C TIN &amp; TP'!$A$2:$M$2,0))),"")</f>
        <v/>
      </c>
      <c r="BD260" s="6" t="str">
        <f t="array" ref="BD260">_xlfn.IFNA((INDEX('DMR 001C TIN &amp; TP'!$A$3:$M$10005,MATCH(('Reg 85'!$AQ$6&amp;'Reg 85'!BD$10&amp;'Reg 85'!$B260),('DMR 001C TIN &amp; TP'!$E$3:$E$10005&amp;'DMR 001C TIN &amp; TP'!$B$3:$B$10005&amp;'DMR 001C TIN &amp; TP'!$A$3:$A$10005),0),MATCH('Reg 85'!$AG$11,'DMR 001C TIN &amp; TP'!$A$2:$M$2,0))),"")</f>
        <v/>
      </c>
      <c r="BE260" s="6" t="str">
        <f t="array" ref="BE260">_xlfn.IFNA((INDEX('DMR 001C TIN &amp; TP'!$A$3:$M$10005,MATCH(('Reg 85'!$AQ$6&amp;'Reg 85'!BE$10&amp;'Reg 85'!$B260),('DMR 001C TIN &amp; TP'!$E$3:$E$10005&amp;'DMR 001C TIN &amp; TP'!$B$3:$B$10005&amp;'DMR 001C TIN &amp; TP'!$A$3:$A$10005),0),MATCH('Reg 85'!$AG$11,'DMR 001C TIN &amp; TP'!$A$2:$M$2,0))),"")</f>
        <v/>
      </c>
      <c r="BF260" s="6" t="str">
        <f t="array" ref="BF260">_xlfn.IFNA((INDEX('DMR 001C TIN &amp; TP'!$A$3:$M$10005,MATCH(('Reg 85'!$AQ$6&amp;'Reg 85'!BF$10&amp;'Reg 85'!$B260),('DMR 001C TIN &amp; TP'!$E$3:$E$10005&amp;'DMR 001C TIN &amp; TP'!$B$3:$B$10005&amp;'DMR 001C TIN &amp; TP'!$A$3:$A$10005),0),MATCH('Reg 85'!$AG$11,'DMR 001C TIN &amp; TP'!$A$2:$M$2,0))),"")</f>
        <v/>
      </c>
    </row>
    <row r="261" spans="1:58">
      <c r="A261" s="3" t="str">
        <f t="shared" si="84"/>
        <v>Wed</v>
      </c>
      <c r="B261" s="96">
        <f t="shared" si="100"/>
        <v>43593</v>
      </c>
      <c r="C261" s="96">
        <f t="shared" si="85"/>
        <v>43616</v>
      </c>
      <c r="D261" s="96">
        <f t="shared" si="86"/>
        <v>43586</v>
      </c>
      <c r="E261" s="95">
        <f t="shared" si="87"/>
        <v>31</v>
      </c>
      <c r="F261" s="7">
        <f t="array" ref="F261">_xlfn.IFNA(INDEX('DMR Flows-Effluent'!$A$3:$F$9999,MATCH(($F$10&amp;$B261),('DMR Flows-Effluent'!$B$3:$B$9999&amp;'DMR Flows-Effluent'!$A$3:$A$9999),0),MATCH($F$8,'DMR Flows-Effluent'!$A$2:$F$2,0)),"")</f>
        <v>66.970600000000005</v>
      </c>
      <c r="G261" s="7">
        <f t="array" ref="G261">_xlfn.IFNA(INDEX('DMR Flows-Effluent'!$A$3:$F$9999,MATCH(($G$10&amp;$B261),('DMR Flows-Effluent'!$B$3:$B$9999&amp;'DMR Flows-Effluent'!$A$3:$A$9999),0),MATCH($F$8,'DMR Flows-Effluent'!$A$2:$F$2,0)),"")</f>
        <v>67.2624</v>
      </c>
      <c r="H261" s="7">
        <f t="shared" si="88"/>
        <v>134.233</v>
      </c>
      <c r="I261" s="45" t="str">
        <f t="shared" si="89"/>
        <v/>
      </c>
      <c r="J261" s="6" t="str">
        <f t="array" ref="J261">_xlfn.IFNA((INDEX('DMR 001C TIN &amp; TP'!$A$3:$M$10005,MATCH(('Reg 85'!$I$6:$Q$6&amp;'Reg 85'!$I$10:$K$10&amp;'Reg 85'!$B261),('DMR 001C TIN &amp; TP'!$E$3:$E$10005&amp;'DMR 001C TIN &amp; TP'!$B$3:$B$10005&amp;'DMR 001C TIN &amp; TP'!$A$3:$A$10005),0),MATCH('Reg 85'!$J$11,'DMR 001C TIN &amp; TP'!$A$2:$M$2,0))),"")</f>
        <v/>
      </c>
      <c r="K261" s="6" t="str">
        <f t="array" ref="K261">_xlfn.IFNA((INDEX('DMR 001C TIN &amp; TP'!$A$3:$M$10005,MATCH(('Reg 85'!$I$6:$Q$6&amp;'Reg 85'!$I$10:$K$10&amp;'Reg 85'!$B261),('DMR 001C TIN &amp; TP'!$E$3:$E$10005&amp;'DMR 001C TIN &amp; TP'!$B$3:$B$10005&amp;'DMR 001C TIN &amp; TP'!$A$3:$A$10005),0),MATCH('Reg 85'!$K$11,'DMR 001C TIN &amp; TP'!$A$2:$M$2,0))),"")</f>
        <v/>
      </c>
      <c r="L261" s="53" t="str">
        <f t="shared" si="101"/>
        <v/>
      </c>
      <c r="M261" s="5" t="str">
        <f t="shared" si="90"/>
        <v/>
      </c>
      <c r="N261" s="6" t="str">
        <f t="array" ref="N261">_xlfn.IFNA((INDEX('DMR 001C TIN &amp; TP'!$A$3:$M$10005,MATCH(('Reg 85'!$I$6:$Q$6&amp;'Reg 85'!$M$10&amp;'Reg 85'!$B261),('DMR 001C TIN &amp; TP'!$E$3:$E$10005&amp;'DMR 001C TIN &amp; TP'!$B$3:$B$10005&amp;'DMR 001C TIN &amp; TP'!$A$3:$A$10005),0),MATCH('Reg 85'!$N$11,'DMR 001C TIN &amp; TP'!$A$2:$M$2,0))),"")</f>
        <v/>
      </c>
      <c r="O261" s="6" t="str">
        <f t="array" ref="O261">_xlfn.IFNA((INDEX('DMR 001C TIN &amp; TP'!$A$3:$M$10005,MATCH(('Reg 85'!$I$6:$Q$6&amp;'Reg 85'!$M$10&amp;'Reg 85'!$B261),('DMR 001C TIN &amp; TP'!$E$3:$E$10005&amp;'DMR 001C TIN &amp; TP'!$B$3:$B$10005&amp;'DMR 001C TIN &amp; TP'!$A$3:$A$10005),0),MATCH('Reg 85'!$O$11,'DMR 001C TIN &amp; TP'!$A$2:$M$2,0))),"")</f>
        <v/>
      </c>
      <c r="P261" s="53" t="str">
        <f t="shared" si="91"/>
        <v/>
      </c>
      <c r="Q261" s="73" t="str">
        <f t="array" ref="Q261">IFERROR(((L261*$F261)+(P261*$G261))/($H261),"")</f>
        <v/>
      </c>
      <c r="R261" s="6" t="str">
        <f t="array" ref="R261">_xlfn.IFNA((INDEX('DMR 001C TIN &amp; TP'!$A$3:$M$10005,MATCH(('Reg 85'!$I$6:$Q$6&amp;'Reg 85'!R$10&amp;'Reg 85'!$B261),('DMR 001C TIN &amp; TP'!$E$3:$E$10005&amp;'DMR 001C TIN &amp; TP'!$B$3:$B$10005&amp;'DMR 001C TIN &amp; TP'!$A$3:$A$10005),0),MATCH('Reg 85'!$O$11,'DMR 001C TIN &amp; TP'!$A$2:$M$2,0))),"")</f>
        <v/>
      </c>
      <c r="S261" s="6" t="str">
        <f t="array" ref="S261">_xlfn.IFNA((INDEX('DMR 001C TIN &amp; TP'!$A$3:$M$10005,MATCH(('Reg 85'!$I$6:$Q$6&amp;'Reg 85'!S$10&amp;'Reg 85'!$B261),('DMR 001C TIN &amp; TP'!$E$3:$E$10005&amp;'DMR 001C TIN &amp; TP'!$B$3:$B$10005&amp;'DMR 001C TIN &amp; TP'!$A$3:$A$10005),0),MATCH('Reg 85'!$O$11,'DMR 001C TIN &amp; TP'!$A$2:$M$2,0))),"")</f>
        <v/>
      </c>
      <c r="T261" s="6" t="str">
        <f t="array" ref="T261">_xlfn.IFNA((INDEX('DMR 001C TIN &amp; TP'!$A$3:$M$10005,MATCH(('Reg 85'!$I$6:$Q$6&amp;'Reg 85'!T$10&amp;'Reg 85'!$B261),('DMR 001C TIN &amp; TP'!$E$3:$E$10005&amp;'DMR 001C TIN &amp; TP'!$B$3:$B$10005&amp;'DMR 001C TIN &amp; TP'!$A$3:$A$10005),0),MATCH('Reg 85'!$O$11,'DMR 001C TIN &amp; TP'!$A$2:$M$2,0))),"")</f>
        <v/>
      </c>
      <c r="U261" s="6" t="str">
        <f t="array" ref="U261">_xlfn.IFNA((INDEX('DMR 001C TIN &amp; TP'!$A$3:$M$10005,MATCH(('Reg 85'!$I$6:$Q$6&amp;'Reg 85'!U$10&amp;'Reg 85'!$B261),('DMR 001C TIN &amp; TP'!$E$3:$E$10005&amp;'DMR 001C TIN &amp; TP'!$B$3:$B$10005&amp;'DMR 001C TIN &amp; TP'!$A$3:$A$10005),0),MATCH('Reg 85'!$O$11,'DMR 001C TIN &amp; TP'!$A$2:$M$2,0))),"")</f>
        <v/>
      </c>
      <c r="V261" s="6" t="str">
        <f t="array" ref="V261">_xlfn.IFNA((INDEX('DMR 001C TIN &amp; TP'!$A$3:$M$10005,MATCH(('Reg 85'!$I$6:$Q$6&amp;'Reg 85'!V$10&amp;'Reg 85'!$B261),('DMR 001C TIN &amp; TP'!$E$3:$E$10005&amp;'DMR 001C TIN &amp; TP'!$B$3:$B$10005&amp;'DMR 001C TIN &amp; TP'!$A$3:$A$10005),0),MATCH('Reg 85'!$O$11,'DMR 001C TIN &amp; TP'!$A$2:$M$2,0))),"")</f>
        <v/>
      </c>
      <c r="W261" s="6" t="str">
        <f t="array" ref="W261">_xlfn.IFNA((INDEX('DMR 001C TIN &amp; TP'!$A$3:$M$10005,MATCH(('Reg 85'!$I$6:$Q$6&amp;'Reg 85'!W$10&amp;'Reg 85'!$B261),('DMR 001C TIN &amp; TP'!$E$3:$E$10005&amp;'DMR 001C TIN &amp; TP'!$B$3:$B$10005&amp;'DMR 001C TIN &amp; TP'!$A$3:$A$10005),0),MATCH('Reg 85'!$O$11,'DMR 001C TIN &amp; TP'!$A$2:$M$2,0))),"")</f>
        <v/>
      </c>
      <c r="X261" s="5" t="str">
        <f t="shared" si="92"/>
        <v/>
      </c>
      <c r="Y261" s="6" t="str">
        <f t="array" ref="Y261">_xlfn.IFNA((INDEX('DMR 001C TIN &amp; TP'!$A$3:$M$10005,MATCH(('Reg 85'!$X$6&amp;'Reg 85'!$X$10&amp;'Reg 85'!$B261),('DMR 001C TIN &amp; TP'!$E$3:$E$10005&amp;'DMR 001C TIN &amp; TP'!$B$3:$B$10005&amp;'DMR 001C TIN &amp; TP'!$A$3:$A$10005),0),MATCH('Reg 85'!$Y$11,'DMR 001C TIN &amp; TP'!$A$2:$M$2,0))),"")</f>
        <v/>
      </c>
      <c r="Z261" s="6" t="str">
        <f t="array" ref="Z261">_xlfn.IFNA((INDEX('DMR 001C TIN &amp; TP'!$A$3:$M$10005,MATCH(('Reg 85'!$X$6&amp;'Reg 85'!$X$10&amp;'Reg 85'!$B261),('DMR 001C TIN &amp; TP'!$E$3:$E$10005&amp;'DMR 001C TIN &amp; TP'!$B$3:$B$10005&amp;'DMR 001C TIN &amp; TP'!$A$3:$A$10005),0),MATCH('Reg 85'!$Z$11,'DMR 001C TIN &amp; TP'!$A$2:$M$2,0))),"")</f>
        <v/>
      </c>
      <c r="AA261" s="53" t="str">
        <f t="shared" si="93"/>
        <v/>
      </c>
      <c r="AB261" s="5" t="str">
        <f t="shared" si="94"/>
        <v/>
      </c>
      <c r="AC261" s="6" t="str">
        <f t="array" ref="AC261">_xlfn.IFNA((INDEX('DMR 001C TIN &amp; TP'!$A$3:$M$10005,MATCH(('Reg 85'!$X$6&amp;'Reg 85'!$AB$10&amp;'Reg 85'!$B261),('DMR 001C TIN &amp; TP'!$E$3:$E$10005&amp;'DMR 001C TIN &amp; TP'!$B$3:$B$10005&amp;'DMR 001C TIN &amp; TP'!$A$3:$A$10005),0),MATCH('Reg 85'!$AC$11,'DMR 001C TIN &amp; TP'!$A$2:$M$2,0))),"")</f>
        <v/>
      </c>
      <c r="AD261" s="6" t="str">
        <f t="array" ref="AD261">_xlfn.IFNA((INDEX('DMR 001C TIN &amp; TP'!$A$3:$M$10005,MATCH(('Reg 85'!$X$6&amp;'Reg 85'!$AB$10&amp;'Reg 85'!$B261),('DMR 001C TIN &amp; TP'!$E$3:$E$10005&amp;'DMR 001C TIN &amp; TP'!$B$3:$B$10005&amp;'DMR 001C TIN &amp; TP'!$A$3:$A$10005),0),MATCH('Reg 85'!$AD$11,'DMR 001C TIN &amp; TP'!$A$2:$M$2,0))),"")</f>
        <v/>
      </c>
      <c r="AE261" s="53" t="str">
        <f t="shared" si="95"/>
        <v/>
      </c>
      <c r="AF261" s="7" t="str">
        <f t="shared" si="96"/>
        <v/>
      </c>
      <c r="AG261" s="6" t="str">
        <f t="array" ref="AG261">_xlfn.IFNA((INDEX('DMR 001C TIN &amp; TP'!$A$3:$M$10005,MATCH(('Reg 85'!$X$6&amp;'Reg 85'!AG$10&amp;'Reg 85'!$B261),('DMR 001C TIN &amp; TP'!$E$3:$E$10005&amp;'DMR 001C TIN &amp; TP'!$B$3:$B$10005&amp;'DMR 001C TIN &amp; TP'!$A$3:$A$10005),0),MATCH('Reg 85'!$AG$11,'DMR 001C TIN &amp; TP'!$A$2:$M$2,0))),"")</f>
        <v/>
      </c>
      <c r="AH261" s="6" t="str">
        <f t="array" ref="AH261">_xlfn.IFNA((INDEX('DMR 001C TIN &amp; TP'!$A$3:$M$10005,MATCH(('Reg 85'!$X$6&amp;'Reg 85'!AH$10&amp;'Reg 85'!$B261),('DMR 001C TIN &amp; TP'!$E$3:$E$10005&amp;'DMR 001C TIN &amp; TP'!$B$3:$B$10005&amp;'DMR 001C TIN &amp; TP'!$A$3:$A$10005),0),MATCH('Reg 85'!$AG$11,'DMR 001C TIN &amp; TP'!$A$2:$M$2,0))),"")</f>
        <v/>
      </c>
      <c r="AI261" s="6" t="str">
        <f t="array" ref="AI261">_xlfn.IFNA((INDEX('DMR 001C TIN &amp; TP'!$A$3:$M$10005,MATCH(('Reg 85'!$X$6&amp;'Reg 85'!AI$10&amp;'Reg 85'!$B261),('DMR 001C TIN &amp; TP'!$E$3:$E$10005&amp;'DMR 001C TIN &amp; TP'!$B$3:$B$10005&amp;'DMR 001C TIN &amp; TP'!$A$3:$A$10005),0),MATCH('Reg 85'!$AG$11,'DMR 001C TIN &amp; TP'!$A$2:$M$2,0))),"")</f>
        <v/>
      </c>
      <c r="AJ261" s="6" t="str">
        <f t="array" ref="AJ261">_xlfn.IFNA((INDEX('DMR 001C TIN &amp; TP'!$A$3:$M$10005,MATCH(('Reg 85'!$X$6&amp;'Reg 85'!AJ$10&amp;'Reg 85'!$B261),('DMR 001C TIN &amp; TP'!$E$3:$E$10005&amp;'DMR 001C TIN &amp; TP'!$B$3:$B$10005&amp;'DMR 001C TIN &amp; TP'!$A$3:$A$10005),0),MATCH('Reg 85'!$AG$11,'DMR 001C TIN &amp; TP'!$A$2:$M$2,0))),"")</f>
        <v/>
      </c>
      <c r="AK261" s="6" t="str">
        <f t="array" ref="AK261">_xlfn.IFNA((INDEX('DMR 001C TIN &amp; TP'!$A$3:$M$10005,MATCH(('Reg 85'!$X$6&amp;'Reg 85'!AK$10&amp;'Reg 85'!$B261),('DMR 001C TIN &amp; TP'!$E$3:$E$10005&amp;'DMR 001C TIN &amp; TP'!$B$3:$B$10005&amp;'DMR 001C TIN &amp; TP'!$A$3:$A$10005),0),MATCH('Reg 85'!$AG$11,'DMR 001C TIN &amp; TP'!$A$2:$M$2,0))),"")</f>
        <v/>
      </c>
      <c r="AL261" s="6" t="str">
        <f t="array" ref="AL261">_xlfn.IFNA((INDEX('DMR 001C TIN &amp; TP'!$A$3:$M$10005,MATCH(('Reg 85'!$X$6&amp;'Reg 85'!AL$10&amp;'Reg 85'!$B261),('DMR 001C TIN &amp; TP'!$E$3:$E$10005&amp;'DMR 001C TIN &amp; TP'!$B$3:$B$10005&amp;'DMR 001C TIN &amp; TP'!$A$3:$A$10005),0),MATCH('Reg 85'!$AG$11,'DMR 001C TIN &amp; TP'!$A$2:$M$2,0))),"")</f>
        <v/>
      </c>
      <c r="AM261" s="76"/>
      <c r="AN261" s="6"/>
      <c r="AO261" s="54" t="str">
        <f t="shared" si="83"/>
        <v/>
      </c>
      <c r="AP261" s="77" t="str">
        <f t="shared" si="102"/>
        <v/>
      </c>
      <c r="AQ261" s="47"/>
      <c r="AR261" s="6" t="str">
        <f t="array" ref="AR261">_xlfn.IFNA((INDEX('DMR 001C TIN &amp; TP'!$A$3:$M$10005,MATCH(('Reg 85'!$AQ$6&amp;'Reg 85'!$AQ$10&amp;'Reg 85'!$B261),('DMR 001C TIN &amp; TP'!$E$3:$E$10005&amp;'DMR 001C TIN &amp; TP'!$B$3:$B$10005&amp;'DMR 001C TIN &amp; TP'!$A$3:$A$10005),0),MATCH('Reg 85'!$AR$11,'DMR 001C TIN &amp; TP'!$A$2:$M$2,0))),"")</f>
        <v>0.03</v>
      </c>
      <c r="AS261" s="6">
        <f t="array" ref="AS261">_xlfn.IFNA((INDEX('DMR 001C TIN &amp; TP'!$A$3:$M$10005,MATCH(('Reg 85'!$AQ$6&amp;'Reg 85'!$AQ$10&amp;'Reg 85'!$B261),('DMR 001C TIN &amp; TP'!$E$3:$E$10005&amp;'DMR 001C TIN &amp; TP'!$B$3:$B$10005&amp;'DMR 001C TIN &amp; TP'!$A$3:$A$10005),0),MATCH('Reg 85'!$AS$11,'DMR 001C TIN &amp; TP'!$A$2:$M$2,0))),"")</f>
        <v>0.43</v>
      </c>
      <c r="AT261" s="53">
        <f t="shared" si="97"/>
        <v>0.43</v>
      </c>
      <c r="AV261" s="6" t="str">
        <f t="array" ref="AV261">_xlfn.IFNA((INDEX('DMR 001C TIN &amp; TP'!$A$3:$M$10005,MATCH(('Reg 85'!$AQ$6&amp;'Reg 85'!$AU$10&amp;'Reg 85'!$B261),('DMR 001C TIN &amp; TP'!$E$3:$E$10005&amp;'DMR 001C TIN &amp; TP'!$B$3:$B$10005&amp;'DMR 001C TIN &amp; TP'!$A$3:$A$10005),0),MATCH('Reg 85'!$AV$11,'DMR 001C TIN &amp; TP'!$A$2:$M$2,0))),"")</f>
        <v>0.06</v>
      </c>
      <c r="AW261" s="6">
        <f t="array" ref="AW261">_xlfn.IFNA((INDEX('DMR 001C TIN &amp; TP'!$A$3:$M$10005,MATCH(('Reg 85'!$AQ$6&amp;'Reg 85'!$AU$10&amp;'Reg 85'!$B261),('DMR 001C TIN &amp; TP'!$E$3:$E$10005&amp;'DMR 001C TIN &amp; TP'!$B$3:$B$10005&amp;'DMR 001C TIN &amp; TP'!$A$3:$A$10005),0),MATCH('Reg 85'!$AW$11,'DMR 001C TIN &amp; TP'!$A$2:$M$2,0))),"")</f>
        <v>5.92</v>
      </c>
      <c r="AX261" s="53">
        <f t="shared" si="98"/>
        <v>5.92</v>
      </c>
      <c r="AY261" s="55">
        <f t="shared" si="99"/>
        <v>3.1809671690269905</v>
      </c>
      <c r="AZ261" s="77" t="str">
        <f t="shared" si="103"/>
        <v/>
      </c>
      <c r="BA261" s="6" t="str">
        <f t="array" ref="BA261">_xlfn.IFNA((INDEX('DMR 001C TIN &amp; TP'!$A$3:$M$10005,MATCH(('Reg 85'!$AQ$6&amp;'Reg 85'!BA$10&amp;'Reg 85'!$B261),('DMR 001C TIN &amp; TP'!$E$3:$E$10005&amp;'DMR 001C TIN &amp; TP'!$B$3:$B$10005&amp;'DMR 001C TIN &amp; TP'!$A$3:$A$10005),0),MATCH('Reg 85'!$AG$11,'DMR 001C TIN &amp; TP'!$A$2:$M$2,0))),"")</f>
        <v/>
      </c>
      <c r="BB261" s="6" t="str">
        <f t="array" ref="BB261">_xlfn.IFNA((INDEX('DMR 001C TIN &amp; TP'!$A$3:$M$10005,MATCH(('Reg 85'!$AQ$6&amp;'Reg 85'!BB$10&amp;'Reg 85'!$B261),('DMR 001C TIN &amp; TP'!$E$3:$E$10005&amp;'DMR 001C TIN &amp; TP'!$B$3:$B$10005&amp;'DMR 001C TIN &amp; TP'!$A$3:$A$10005),0),MATCH('Reg 85'!$AG$11,'DMR 001C TIN &amp; TP'!$A$2:$M$2,0))),"")</f>
        <v/>
      </c>
      <c r="BC261" s="6" t="str">
        <f t="array" ref="BC261">_xlfn.IFNA((INDEX('DMR 001C TIN &amp; TP'!$A$3:$M$10005,MATCH(('Reg 85'!$AQ$6&amp;'Reg 85'!BC$10&amp;'Reg 85'!$B261),('DMR 001C TIN &amp; TP'!$E$3:$E$10005&amp;'DMR 001C TIN &amp; TP'!$B$3:$B$10005&amp;'DMR 001C TIN &amp; TP'!$A$3:$A$10005),0),MATCH('Reg 85'!$AG$11,'DMR 001C TIN &amp; TP'!$A$2:$M$2,0))),"")</f>
        <v/>
      </c>
      <c r="BD261" s="6" t="str">
        <f t="array" ref="BD261">_xlfn.IFNA((INDEX('DMR 001C TIN &amp; TP'!$A$3:$M$10005,MATCH(('Reg 85'!$AQ$6&amp;'Reg 85'!BD$10&amp;'Reg 85'!$B261),('DMR 001C TIN &amp; TP'!$E$3:$E$10005&amp;'DMR 001C TIN &amp; TP'!$B$3:$B$10005&amp;'DMR 001C TIN &amp; TP'!$A$3:$A$10005),0),MATCH('Reg 85'!$AG$11,'DMR 001C TIN &amp; TP'!$A$2:$M$2,0))),"")</f>
        <v/>
      </c>
      <c r="BE261" s="6" t="str">
        <f t="array" ref="BE261">_xlfn.IFNA((INDEX('DMR 001C TIN &amp; TP'!$A$3:$M$10005,MATCH(('Reg 85'!$AQ$6&amp;'Reg 85'!BE$10&amp;'Reg 85'!$B261),('DMR 001C TIN &amp; TP'!$E$3:$E$10005&amp;'DMR 001C TIN &amp; TP'!$B$3:$B$10005&amp;'DMR 001C TIN &amp; TP'!$A$3:$A$10005),0),MATCH('Reg 85'!$AG$11,'DMR 001C TIN &amp; TP'!$A$2:$M$2,0))),"")</f>
        <v/>
      </c>
      <c r="BF261" s="6" t="str">
        <f t="array" ref="BF261">_xlfn.IFNA((INDEX('DMR 001C TIN &amp; TP'!$A$3:$M$10005,MATCH(('Reg 85'!$AQ$6&amp;'Reg 85'!BF$10&amp;'Reg 85'!$B261),('DMR 001C TIN &amp; TP'!$E$3:$E$10005&amp;'DMR 001C TIN &amp; TP'!$B$3:$B$10005&amp;'DMR 001C TIN &amp; TP'!$A$3:$A$10005),0),MATCH('Reg 85'!$AG$11,'DMR 001C TIN &amp; TP'!$A$2:$M$2,0))),"")</f>
        <v/>
      </c>
    </row>
    <row r="262" spans="1:58">
      <c r="A262" s="3" t="str">
        <f t="shared" si="84"/>
        <v>Thu</v>
      </c>
      <c r="B262" s="96">
        <f t="shared" si="100"/>
        <v>43594</v>
      </c>
      <c r="C262" s="96">
        <f t="shared" si="85"/>
        <v>43616</v>
      </c>
      <c r="D262" s="96">
        <f t="shared" si="86"/>
        <v>43586</v>
      </c>
      <c r="E262" s="95">
        <f t="shared" si="87"/>
        <v>31</v>
      </c>
      <c r="F262" s="7">
        <f t="array" ref="F262">_xlfn.IFNA(INDEX('DMR Flows-Effluent'!$A$3:$F$9999,MATCH(($F$10&amp;$B262),('DMR Flows-Effluent'!$B$3:$B$9999&amp;'DMR Flows-Effluent'!$A$3:$A$9999),0),MATCH($F$8,'DMR Flows-Effluent'!$A$2:$F$2,0)),"")</f>
        <v>77.2059</v>
      </c>
      <c r="G262" s="7">
        <f t="array" ref="G262">_xlfn.IFNA(INDEX('DMR Flows-Effluent'!$A$3:$F$9999,MATCH(($G$10&amp;$B262),('DMR Flows-Effluent'!$B$3:$B$9999&amp;'DMR Flows-Effluent'!$A$3:$A$9999),0),MATCH($F$8,'DMR Flows-Effluent'!$A$2:$F$2,0)),"")</f>
        <v>63.172199999999997</v>
      </c>
      <c r="H262" s="7">
        <f t="shared" si="88"/>
        <v>140.37809999999999</v>
      </c>
      <c r="I262" s="45" t="str">
        <f t="shared" si="89"/>
        <v/>
      </c>
      <c r="J262" s="6" t="str">
        <f t="array" ref="J262">_xlfn.IFNA((INDEX('DMR 001C TIN &amp; TP'!$A$3:$M$10005,MATCH(('Reg 85'!$I$6:$Q$6&amp;'Reg 85'!$I$10:$K$10&amp;'Reg 85'!$B262),('DMR 001C TIN &amp; TP'!$E$3:$E$10005&amp;'DMR 001C TIN &amp; TP'!$B$3:$B$10005&amp;'DMR 001C TIN &amp; TP'!$A$3:$A$10005),0),MATCH('Reg 85'!$J$11,'DMR 001C TIN &amp; TP'!$A$2:$M$2,0))),"")</f>
        <v/>
      </c>
      <c r="K262" s="6" t="str">
        <f t="array" ref="K262">_xlfn.IFNA((INDEX('DMR 001C TIN &amp; TP'!$A$3:$M$10005,MATCH(('Reg 85'!$I$6:$Q$6&amp;'Reg 85'!$I$10:$K$10&amp;'Reg 85'!$B262),('DMR 001C TIN &amp; TP'!$E$3:$E$10005&amp;'DMR 001C TIN &amp; TP'!$B$3:$B$10005&amp;'DMR 001C TIN &amp; TP'!$A$3:$A$10005),0),MATCH('Reg 85'!$K$11,'DMR 001C TIN &amp; TP'!$A$2:$M$2,0))),"")</f>
        <v/>
      </c>
      <c r="L262" s="53" t="str">
        <f t="shared" si="101"/>
        <v/>
      </c>
      <c r="M262" s="5" t="str">
        <f t="shared" si="90"/>
        <v/>
      </c>
      <c r="N262" s="6" t="str">
        <f t="array" ref="N262">_xlfn.IFNA((INDEX('DMR 001C TIN &amp; TP'!$A$3:$M$10005,MATCH(('Reg 85'!$I$6:$Q$6&amp;'Reg 85'!$M$10&amp;'Reg 85'!$B262),('DMR 001C TIN &amp; TP'!$E$3:$E$10005&amp;'DMR 001C TIN &amp; TP'!$B$3:$B$10005&amp;'DMR 001C TIN &amp; TP'!$A$3:$A$10005),0),MATCH('Reg 85'!$N$11,'DMR 001C TIN &amp; TP'!$A$2:$M$2,0))),"")</f>
        <v/>
      </c>
      <c r="O262" s="6" t="str">
        <f t="array" ref="O262">_xlfn.IFNA((INDEX('DMR 001C TIN &amp; TP'!$A$3:$M$10005,MATCH(('Reg 85'!$I$6:$Q$6&amp;'Reg 85'!$M$10&amp;'Reg 85'!$B262),('DMR 001C TIN &amp; TP'!$E$3:$E$10005&amp;'DMR 001C TIN &amp; TP'!$B$3:$B$10005&amp;'DMR 001C TIN &amp; TP'!$A$3:$A$10005),0),MATCH('Reg 85'!$O$11,'DMR 001C TIN &amp; TP'!$A$2:$M$2,0))),"")</f>
        <v/>
      </c>
      <c r="P262" s="53" t="str">
        <f t="shared" si="91"/>
        <v/>
      </c>
      <c r="Q262" s="73" t="str">
        <f t="array" ref="Q262">IFERROR(((L262*$F262)+(P262*$G262))/($H262),"")</f>
        <v/>
      </c>
      <c r="R262" s="6" t="str">
        <f t="array" ref="R262">_xlfn.IFNA((INDEX('DMR 001C TIN &amp; TP'!$A$3:$M$10005,MATCH(('Reg 85'!$I$6:$Q$6&amp;'Reg 85'!R$10&amp;'Reg 85'!$B262),('DMR 001C TIN &amp; TP'!$E$3:$E$10005&amp;'DMR 001C TIN &amp; TP'!$B$3:$B$10005&amp;'DMR 001C TIN &amp; TP'!$A$3:$A$10005),0),MATCH('Reg 85'!$O$11,'DMR 001C TIN &amp; TP'!$A$2:$M$2,0))),"")</f>
        <v/>
      </c>
      <c r="S262" s="6" t="str">
        <f t="array" ref="S262">_xlfn.IFNA((INDEX('DMR 001C TIN &amp; TP'!$A$3:$M$10005,MATCH(('Reg 85'!$I$6:$Q$6&amp;'Reg 85'!S$10&amp;'Reg 85'!$B262),('DMR 001C TIN &amp; TP'!$E$3:$E$10005&amp;'DMR 001C TIN &amp; TP'!$B$3:$B$10005&amp;'DMR 001C TIN &amp; TP'!$A$3:$A$10005),0),MATCH('Reg 85'!$O$11,'DMR 001C TIN &amp; TP'!$A$2:$M$2,0))),"")</f>
        <v/>
      </c>
      <c r="T262" s="6" t="str">
        <f t="array" ref="T262">_xlfn.IFNA((INDEX('DMR 001C TIN &amp; TP'!$A$3:$M$10005,MATCH(('Reg 85'!$I$6:$Q$6&amp;'Reg 85'!T$10&amp;'Reg 85'!$B262),('DMR 001C TIN &amp; TP'!$E$3:$E$10005&amp;'DMR 001C TIN &amp; TP'!$B$3:$B$10005&amp;'DMR 001C TIN &amp; TP'!$A$3:$A$10005),0),MATCH('Reg 85'!$O$11,'DMR 001C TIN &amp; TP'!$A$2:$M$2,0))),"")</f>
        <v/>
      </c>
      <c r="U262" s="6" t="str">
        <f t="array" ref="U262">_xlfn.IFNA((INDEX('DMR 001C TIN &amp; TP'!$A$3:$M$10005,MATCH(('Reg 85'!$I$6:$Q$6&amp;'Reg 85'!U$10&amp;'Reg 85'!$B262),('DMR 001C TIN &amp; TP'!$E$3:$E$10005&amp;'DMR 001C TIN &amp; TP'!$B$3:$B$10005&amp;'DMR 001C TIN &amp; TP'!$A$3:$A$10005),0),MATCH('Reg 85'!$O$11,'DMR 001C TIN &amp; TP'!$A$2:$M$2,0))),"")</f>
        <v/>
      </c>
      <c r="V262" s="6" t="str">
        <f t="array" ref="V262">_xlfn.IFNA((INDEX('DMR 001C TIN &amp; TP'!$A$3:$M$10005,MATCH(('Reg 85'!$I$6:$Q$6&amp;'Reg 85'!V$10&amp;'Reg 85'!$B262),('DMR 001C TIN &amp; TP'!$E$3:$E$10005&amp;'DMR 001C TIN &amp; TP'!$B$3:$B$10005&amp;'DMR 001C TIN &amp; TP'!$A$3:$A$10005),0),MATCH('Reg 85'!$O$11,'DMR 001C TIN &amp; TP'!$A$2:$M$2,0))),"")</f>
        <v/>
      </c>
      <c r="W262" s="6" t="str">
        <f t="array" ref="W262">_xlfn.IFNA((INDEX('DMR 001C TIN &amp; TP'!$A$3:$M$10005,MATCH(('Reg 85'!$I$6:$Q$6&amp;'Reg 85'!W$10&amp;'Reg 85'!$B262),('DMR 001C TIN &amp; TP'!$E$3:$E$10005&amp;'DMR 001C TIN &amp; TP'!$B$3:$B$10005&amp;'DMR 001C TIN &amp; TP'!$A$3:$A$10005),0),MATCH('Reg 85'!$O$11,'DMR 001C TIN &amp; TP'!$A$2:$M$2,0))),"")</f>
        <v/>
      </c>
      <c r="X262" s="5" t="str">
        <f t="shared" si="92"/>
        <v/>
      </c>
      <c r="Y262" s="6" t="str">
        <f t="array" ref="Y262">_xlfn.IFNA((INDEX('DMR 001C TIN &amp; TP'!$A$3:$M$10005,MATCH(('Reg 85'!$X$6&amp;'Reg 85'!$X$10&amp;'Reg 85'!$B262),('DMR 001C TIN &amp; TP'!$E$3:$E$10005&amp;'DMR 001C TIN &amp; TP'!$B$3:$B$10005&amp;'DMR 001C TIN &amp; TP'!$A$3:$A$10005),0),MATCH('Reg 85'!$Y$11,'DMR 001C TIN &amp; TP'!$A$2:$M$2,0))),"")</f>
        <v/>
      </c>
      <c r="Z262" s="6" t="str">
        <f t="array" ref="Z262">_xlfn.IFNA((INDEX('DMR 001C TIN &amp; TP'!$A$3:$M$10005,MATCH(('Reg 85'!$X$6&amp;'Reg 85'!$X$10&amp;'Reg 85'!$B262),('DMR 001C TIN &amp; TP'!$E$3:$E$10005&amp;'DMR 001C TIN &amp; TP'!$B$3:$B$10005&amp;'DMR 001C TIN &amp; TP'!$A$3:$A$10005),0),MATCH('Reg 85'!$Z$11,'DMR 001C TIN &amp; TP'!$A$2:$M$2,0))),"")</f>
        <v/>
      </c>
      <c r="AA262" s="53" t="str">
        <f t="shared" si="93"/>
        <v/>
      </c>
      <c r="AB262" s="5" t="str">
        <f t="shared" si="94"/>
        <v/>
      </c>
      <c r="AC262" s="6" t="str">
        <f t="array" ref="AC262">_xlfn.IFNA((INDEX('DMR 001C TIN &amp; TP'!$A$3:$M$10005,MATCH(('Reg 85'!$X$6&amp;'Reg 85'!$AB$10&amp;'Reg 85'!$B262),('DMR 001C TIN &amp; TP'!$E$3:$E$10005&amp;'DMR 001C TIN &amp; TP'!$B$3:$B$10005&amp;'DMR 001C TIN &amp; TP'!$A$3:$A$10005),0),MATCH('Reg 85'!$AC$11,'DMR 001C TIN &amp; TP'!$A$2:$M$2,0))),"")</f>
        <v/>
      </c>
      <c r="AD262" s="6" t="str">
        <f t="array" ref="AD262">_xlfn.IFNA((INDEX('DMR 001C TIN &amp; TP'!$A$3:$M$10005,MATCH(('Reg 85'!$X$6&amp;'Reg 85'!$AB$10&amp;'Reg 85'!$B262),('DMR 001C TIN &amp; TP'!$E$3:$E$10005&amp;'DMR 001C TIN &amp; TP'!$B$3:$B$10005&amp;'DMR 001C TIN &amp; TP'!$A$3:$A$10005),0),MATCH('Reg 85'!$AD$11,'DMR 001C TIN &amp; TP'!$A$2:$M$2,0))),"")</f>
        <v/>
      </c>
      <c r="AE262" s="53" t="str">
        <f t="shared" si="95"/>
        <v/>
      </c>
      <c r="AF262" s="7" t="str">
        <f t="shared" si="96"/>
        <v/>
      </c>
      <c r="AG262" s="6" t="str">
        <f t="array" ref="AG262">_xlfn.IFNA((INDEX('DMR 001C TIN &amp; TP'!$A$3:$M$10005,MATCH(('Reg 85'!$X$6&amp;'Reg 85'!AG$10&amp;'Reg 85'!$B262),('DMR 001C TIN &amp; TP'!$E$3:$E$10005&amp;'DMR 001C TIN &amp; TP'!$B$3:$B$10005&amp;'DMR 001C TIN &amp; TP'!$A$3:$A$10005),0),MATCH('Reg 85'!$AG$11,'DMR 001C TIN &amp; TP'!$A$2:$M$2,0))),"")</f>
        <v/>
      </c>
      <c r="AH262" s="6" t="str">
        <f t="array" ref="AH262">_xlfn.IFNA((INDEX('DMR 001C TIN &amp; TP'!$A$3:$M$10005,MATCH(('Reg 85'!$X$6&amp;'Reg 85'!AH$10&amp;'Reg 85'!$B262),('DMR 001C TIN &amp; TP'!$E$3:$E$10005&amp;'DMR 001C TIN &amp; TP'!$B$3:$B$10005&amp;'DMR 001C TIN &amp; TP'!$A$3:$A$10005),0),MATCH('Reg 85'!$AG$11,'DMR 001C TIN &amp; TP'!$A$2:$M$2,0))),"")</f>
        <v/>
      </c>
      <c r="AI262" s="6" t="str">
        <f t="array" ref="AI262">_xlfn.IFNA((INDEX('DMR 001C TIN &amp; TP'!$A$3:$M$10005,MATCH(('Reg 85'!$X$6&amp;'Reg 85'!AI$10&amp;'Reg 85'!$B262),('DMR 001C TIN &amp; TP'!$E$3:$E$10005&amp;'DMR 001C TIN &amp; TP'!$B$3:$B$10005&amp;'DMR 001C TIN &amp; TP'!$A$3:$A$10005),0),MATCH('Reg 85'!$AG$11,'DMR 001C TIN &amp; TP'!$A$2:$M$2,0))),"")</f>
        <v/>
      </c>
      <c r="AJ262" s="6" t="str">
        <f t="array" ref="AJ262">_xlfn.IFNA((INDEX('DMR 001C TIN &amp; TP'!$A$3:$M$10005,MATCH(('Reg 85'!$X$6&amp;'Reg 85'!AJ$10&amp;'Reg 85'!$B262),('DMR 001C TIN &amp; TP'!$E$3:$E$10005&amp;'DMR 001C TIN &amp; TP'!$B$3:$B$10005&amp;'DMR 001C TIN &amp; TP'!$A$3:$A$10005),0),MATCH('Reg 85'!$AG$11,'DMR 001C TIN &amp; TP'!$A$2:$M$2,0))),"")</f>
        <v/>
      </c>
      <c r="AK262" s="6" t="str">
        <f t="array" ref="AK262">_xlfn.IFNA((INDEX('DMR 001C TIN &amp; TP'!$A$3:$M$10005,MATCH(('Reg 85'!$X$6&amp;'Reg 85'!AK$10&amp;'Reg 85'!$B262),('DMR 001C TIN &amp; TP'!$E$3:$E$10005&amp;'DMR 001C TIN &amp; TP'!$B$3:$B$10005&amp;'DMR 001C TIN &amp; TP'!$A$3:$A$10005),0),MATCH('Reg 85'!$AG$11,'DMR 001C TIN &amp; TP'!$A$2:$M$2,0))),"")</f>
        <v/>
      </c>
      <c r="AL262" s="6" t="str">
        <f t="array" ref="AL262">_xlfn.IFNA((INDEX('DMR 001C TIN &amp; TP'!$A$3:$M$10005,MATCH(('Reg 85'!$X$6&amp;'Reg 85'!AL$10&amp;'Reg 85'!$B262),('DMR 001C TIN &amp; TP'!$E$3:$E$10005&amp;'DMR 001C TIN &amp; TP'!$B$3:$B$10005&amp;'DMR 001C TIN &amp; TP'!$A$3:$A$10005),0),MATCH('Reg 85'!$AG$11,'DMR 001C TIN &amp; TP'!$A$2:$M$2,0))),"")</f>
        <v/>
      </c>
      <c r="AM262" s="76"/>
      <c r="AN262" s="6"/>
      <c r="AO262" s="54" t="str">
        <f t="shared" si="83"/>
        <v/>
      </c>
      <c r="AP262" s="77" t="str">
        <f t="shared" si="102"/>
        <v/>
      </c>
      <c r="AQ262" s="47"/>
      <c r="AR262" s="6" t="str">
        <f t="array" ref="AR262">_xlfn.IFNA((INDEX('DMR 001C TIN &amp; TP'!$A$3:$M$10005,MATCH(('Reg 85'!$AQ$6&amp;'Reg 85'!$AQ$10&amp;'Reg 85'!$B262),('DMR 001C TIN &amp; TP'!$E$3:$E$10005&amp;'DMR 001C TIN &amp; TP'!$B$3:$B$10005&amp;'DMR 001C TIN &amp; TP'!$A$3:$A$10005),0),MATCH('Reg 85'!$AR$11,'DMR 001C TIN &amp; TP'!$A$2:$M$2,0))),"")</f>
        <v>0.03</v>
      </c>
      <c r="AS262" s="6">
        <f t="array" ref="AS262">_xlfn.IFNA((INDEX('DMR 001C TIN &amp; TP'!$A$3:$M$10005,MATCH(('Reg 85'!$AQ$6&amp;'Reg 85'!$AQ$10&amp;'Reg 85'!$B262),('DMR 001C TIN &amp; TP'!$E$3:$E$10005&amp;'DMR 001C TIN &amp; TP'!$B$3:$B$10005&amp;'DMR 001C TIN &amp; TP'!$A$3:$A$10005),0),MATCH('Reg 85'!$AS$11,'DMR 001C TIN &amp; TP'!$A$2:$M$2,0))),"")</f>
        <v>0.43</v>
      </c>
      <c r="AT262" s="53">
        <f t="shared" si="97"/>
        <v>0.43</v>
      </c>
      <c r="AV262" s="6" t="str">
        <f t="array" ref="AV262">_xlfn.IFNA((INDEX('DMR 001C TIN &amp; TP'!$A$3:$M$10005,MATCH(('Reg 85'!$AQ$6&amp;'Reg 85'!$AU$10&amp;'Reg 85'!$B262),('DMR 001C TIN &amp; TP'!$E$3:$E$10005&amp;'DMR 001C TIN &amp; TP'!$B$3:$B$10005&amp;'DMR 001C TIN &amp; TP'!$A$3:$A$10005),0),MATCH('Reg 85'!$AV$11,'DMR 001C TIN &amp; TP'!$A$2:$M$2,0))),"")</f>
        <v>0.03</v>
      </c>
      <c r="AW262" s="6">
        <f t="array" ref="AW262">_xlfn.IFNA((INDEX('DMR 001C TIN &amp; TP'!$A$3:$M$10005,MATCH(('Reg 85'!$AQ$6&amp;'Reg 85'!$AU$10&amp;'Reg 85'!$B262),('DMR 001C TIN &amp; TP'!$E$3:$E$10005&amp;'DMR 001C TIN &amp; TP'!$B$3:$B$10005&amp;'DMR 001C TIN &amp; TP'!$A$3:$A$10005),0),MATCH('Reg 85'!$AW$11,'DMR 001C TIN &amp; TP'!$A$2:$M$2,0))),"")</f>
        <v>3.39</v>
      </c>
      <c r="AX262" s="53">
        <f t="shared" si="98"/>
        <v>3.39</v>
      </c>
      <c r="AY262" s="55">
        <f t="shared" si="99"/>
        <v>1.762043331545305</v>
      </c>
      <c r="AZ262" s="77" t="str">
        <f t="shared" si="103"/>
        <v/>
      </c>
      <c r="BA262" s="6" t="str">
        <f t="array" ref="BA262">_xlfn.IFNA((INDEX('DMR 001C TIN &amp; TP'!$A$3:$M$10005,MATCH(('Reg 85'!$AQ$6&amp;'Reg 85'!BA$10&amp;'Reg 85'!$B262),('DMR 001C TIN &amp; TP'!$E$3:$E$10005&amp;'DMR 001C TIN &amp; TP'!$B$3:$B$10005&amp;'DMR 001C TIN &amp; TP'!$A$3:$A$10005),0),MATCH('Reg 85'!$AG$11,'DMR 001C TIN &amp; TP'!$A$2:$M$2,0))),"")</f>
        <v/>
      </c>
      <c r="BB262" s="6" t="str">
        <f t="array" ref="BB262">_xlfn.IFNA((INDEX('DMR 001C TIN &amp; TP'!$A$3:$M$10005,MATCH(('Reg 85'!$AQ$6&amp;'Reg 85'!BB$10&amp;'Reg 85'!$B262),('DMR 001C TIN &amp; TP'!$E$3:$E$10005&amp;'DMR 001C TIN &amp; TP'!$B$3:$B$10005&amp;'DMR 001C TIN &amp; TP'!$A$3:$A$10005),0),MATCH('Reg 85'!$AG$11,'DMR 001C TIN &amp; TP'!$A$2:$M$2,0))),"")</f>
        <v/>
      </c>
      <c r="BC262" s="6" t="str">
        <f t="array" ref="BC262">_xlfn.IFNA((INDEX('DMR 001C TIN &amp; TP'!$A$3:$M$10005,MATCH(('Reg 85'!$AQ$6&amp;'Reg 85'!BC$10&amp;'Reg 85'!$B262),('DMR 001C TIN &amp; TP'!$E$3:$E$10005&amp;'DMR 001C TIN &amp; TP'!$B$3:$B$10005&amp;'DMR 001C TIN &amp; TP'!$A$3:$A$10005),0),MATCH('Reg 85'!$AG$11,'DMR 001C TIN &amp; TP'!$A$2:$M$2,0))),"")</f>
        <v/>
      </c>
      <c r="BD262" s="6" t="str">
        <f t="array" ref="BD262">_xlfn.IFNA((INDEX('DMR 001C TIN &amp; TP'!$A$3:$M$10005,MATCH(('Reg 85'!$AQ$6&amp;'Reg 85'!BD$10&amp;'Reg 85'!$B262),('DMR 001C TIN &amp; TP'!$E$3:$E$10005&amp;'DMR 001C TIN &amp; TP'!$B$3:$B$10005&amp;'DMR 001C TIN &amp; TP'!$A$3:$A$10005),0),MATCH('Reg 85'!$AG$11,'DMR 001C TIN &amp; TP'!$A$2:$M$2,0))),"")</f>
        <v/>
      </c>
      <c r="BE262" s="6" t="str">
        <f t="array" ref="BE262">_xlfn.IFNA((INDEX('DMR 001C TIN &amp; TP'!$A$3:$M$10005,MATCH(('Reg 85'!$AQ$6&amp;'Reg 85'!BE$10&amp;'Reg 85'!$B262),('DMR 001C TIN &amp; TP'!$E$3:$E$10005&amp;'DMR 001C TIN &amp; TP'!$B$3:$B$10005&amp;'DMR 001C TIN &amp; TP'!$A$3:$A$10005),0),MATCH('Reg 85'!$AG$11,'DMR 001C TIN &amp; TP'!$A$2:$M$2,0))),"")</f>
        <v/>
      </c>
      <c r="BF262" s="6" t="str">
        <f t="array" ref="BF262">_xlfn.IFNA((INDEX('DMR 001C TIN &amp; TP'!$A$3:$M$10005,MATCH(('Reg 85'!$AQ$6&amp;'Reg 85'!BF$10&amp;'Reg 85'!$B262),('DMR 001C TIN &amp; TP'!$E$3:$E$10005&amp;'DMR 001C TIN &amp; TP'!$B$3:$B$10005&amp;'DMR 001C TIN &amp; TP'!$A$3:$A$10005),0),MATCH('Reg 85'!$AG$11,'DMR 001C TIN &amp; TP'!$A$2:$M$2,0))),"")</f>
        <v/>
      </c>
    </row>
    <row r="263" spans="1:58">
      <c r="A263" s="3" t="str">
        <f t="shared" si="84"/>
        <v>Fri</v>
      </c>
      <c r="B263" s="96">
        <f t="shared" si="100"/>
        <v>43595</v>
      </c>
      <c r="C263" s="96">
        <f t="shared" si="85"/>
        <v>43616</v>
      </c>
      <c r="D263" s="96">
        <f t="shared" si="86"/>
        <v>43586</v>
      </c>
      <c r="E263" s="95">
        <f t="shared" si="87"/>
        <v>31</v>
      </c>
      <c r="F263" s="7">
        <f t="array" ref="F263">_xlfn.IFNA(INDEX('DMR Flows-Effluent'!$A$3:$F$9999,MATCH(($F$10&amp;$B263),('DMR Flows-Effluent'!$B$3:$B$9999&amp;'DMR Flows-Effluent'!$A$3:$A$9999),0),MATCH($F$8,'DMR Flows-Effluent'!$A$2:$F$2,0)),"")</f>
        <v>74.883600000000001</v>
      </c>
      <c r="G263" s="7">
        <f t="array" ref="G263">_xlfn.IFNA(INDEX('DMR Flows-Effluent'!$A$3:$F$9999,MATCH(($G$10&amp;$B263),('DMR Flows-Effluent'!$B$3:$B$9999&amp;'DMR Flows-Effluent'!$A$3:$A$9999),0),MATCH($F$8,'DMR Flows-Effluent'!$A$2:$F$2,0)),"")</f>
        <v>54.619900000000001</v>
      </c>
      <c r="H263" s="7">
        <f t="shared" si="88"/>
        <v>129.5035</v>
      </c>
      <c r="I263" s="45" t="str">
        <f t="shared" si="89"/>
        <v/>
      </c>
      <c r="J263" s="6" t="str">
        <f t="array" ref="J263">_xlfn.IFNA((INDEX('DMR 001C TIN &amp; TP'!$A$3:$M$10005,MATCH(('Reg 85'!$I$6:$Q$6&amp;'Reg 85'!$I$10:$K$10&amp;'Reg 85'!$B263),('DMR 001C TIN &amp; TP'!$E$3:$E$10005&amp;'DMR 001C TIN &amp; TP'!$B$3:$B$10005&amp;'DMR 001C TIN &amp; TP'!$A$3:$A$10005),0),MATCH('Reg 85'!$J$11,'DMR 001C TIN &amp; TP'!$A$2:$M$2,0))),"")</f>
        <v>0.15</v>
      </c>
      <c r="K263" s="6">
        <f t="array" ref="K263">_xlfn.IFNA((INDEX('DMR 001C TIN &amp; TP'!$A$3:$M$10005,MATCH(('Reg 85'!$I$6:$Q$6&amp;'Reg 85'!$I$10:$K$10&amp;'Reg 85'!$B263),('DMR 001C TIN &amp; TP'!$E$3:$E$10005&amp;'DMR 001C TIN &amp; TP'!$B$3:$B$10005&amp;'DMR 001C TIN &amp; TP'!$A$3:$A$10005),0),MATCH('Reg 85'!$K$11,'DMR 001C TIN &amp; TP'!$A$2:$M$2,0))),"")</f>
        <v>0.68</v>
      </c>
      <c r="L263" s="53">
        <f t="shared" si="101"/>
        <v>0.68</v>
      </c>
      <c r="M263" s="5" t="str">
        <f t="shared" si="90"/>
        <v/>
      </c>
      <c r="N263" s="6" t="str">
        <f t="array" ref="N263">_xlfn.IFNA((INDEX('DMR 001C TIN &amp; TP'!$A$3:$M$10005,MATCH(('Reg 85'!$I$6:$Q$6&amp;'Reg 85'!$M$10&amp;'Reg 85'!$B263),('DMR 001C TIN &amp; TP'!$E$3:$E$10005&amp;'DMR 001C TIN &amp; TP'!$B$3:$B$10005&amp;'DMR 001C TIN &amp; TP'!$A$3:$A$10005),0),MATCH('Reg 85'!$N$11,'DMR 001C TIN &amp; TP'!$A$2:$M$2,0))),"")</f>
        <v>0.15</v>
      </c>
      <c r="O263" s="6">
        <f t="array" ref="O263">_xlfn.IFNA((INDEX('DMR 001C TIN &amp; TP'!$A$3:$M$10005,MATCH(('Reg 85'!$I$6:$Q$6&amp;'Reg 85'!$M$10&amp;'Reg 85'!$B263),('DMR 001C TIN &amp; TP'!$E$3:$E$10005&amp;'DMR 001C TIN &amp; TP'!$B$3:$B$10005&amp;'DMR 001C TIN &amp; TP'!$A$3:$A$10005),0),MATCH('Reg 85'!$O$11,'DMR 001C TIN &amp; TP'!$A$2:$M$2,0))),"")</f>
        <v>2.5499999999999998</v>
      </c>
      <c r="P263" s="53">
        <f t="shared" si="91"/>
        <v>2.5499999999999998</v>
      </c>
      <c r="Q263" s="73">
        <f t="array" ref="Q263">IFERROR(((L263*$F263)+(P263*$G263))/($H263),"")</f>
        <v>1.4686984753307826</v>
      </c>
      <c r="R263" s="6" t="str">
        <f t="array" ref="R263">_xlfn.IFNA((INDEX('DMR 001C TIN &amp; TP'!$A$3:$M$10005,MATCH(('Reg 85'!$I$6:$Q$6&amp;'Reg 85'!R$10&amp;'Reg 85'!$B263),('DMR 001C TIN &amp; TP'!$E$3:$E$10005&amp;'DMR 001C TIN &amp; TP'!$B$3:$B$10005&amp;'DMR 001C TIN &amp; TP'!$A$3:$A$10005),0),MATCH('Reg 85'!$O$11,'DMR 001C TIN &amp; TP'!$A$2:$M$2,0))),"")</f>
        <v/>
      </c>
      <c r="S263" s="6" t="str">
        <f t="array" ref="S263">_xlfn.IFNA((INDEX('DMR 001C TIN &amp; TP'!$A$3:$M$10005,MATCH(('Reg 85'!$I$6:$Q$6&amp;'Reg 85'!S$10&amp;'Reg 85'!$B263),('DMR 001C TIN &amp; TP'!$E$3:$E$10005&amp;'DMR 001C TIN &amp; TP'!$B$3:$B$10005&amp;'DMR 001C TIN &amp; TP'!$A$3:$A$10005),0),MATCH('Reg 85'!$O$11,'DMR 001C TIN &amp; TP'!$A$2:$M$2,0))),"")</f>
        <v/>
      </c>
      <c r="T263" s="6" t="str">
        <f t="array" ref="T263">_xlfn.IFNA((INDEX('DMR 001C TIN &amp; TP'!$A$3:$M$10005,MATCH(('Reg 85'!$I$6:$Q$6&amp;'Reg 85'!T$10&amp;'Reg 85'!$B263),('DMR 001C TIN &amp; TP'!$E$3:$E$10005&amp;'DMR 001C TIN &amp; TP'!$B$3:$B$10005&amp;'DMR 001C TIN &amp; TP'!$A$3:$A$10005),0),MATCH('Reg 85'!$O$11,'DMR 001C TIN &amp; TP'!$A$2:$M$2,0))),"")</f>
        <v/>
      </c>
      <c r="U263" s="6" t="str">
        <f t="array" ref="U263">_xlfn.IFNA((INDEX('DMR 001C TIN &amp; TP'!$A$3:$M$10005,MATCH(('Reg 85'!$I$6:$Q$6&amp;'Reg 85'!U$10&amp;'Reg 85'!$B263),('DMR 001C TIN &amp; TP'!$E$3:$E$10005&amp;'DMR 001C TIN &amp; TP'!$B$3:$B$10005&amp;'DMR 001C TIN &amp; TP'!$A$3:$A$10005),0),MATCH('Reg 85'!$O$11,'DMR 001C TIN &amp; TP'!$A$2:$M$2,0))),"")</f>
        <v/>
      </c>
      <c r="V263" s="6" t="str">
        <f t="array" ref="V263">_xlfn.IFNA((INDEX('DMR 001C TIN &amp; TP'!$A$3:$M$10005,MATCH(('Reg 85'!$I$6:$Q$6&amp;'Reg 85'!V$10&amp;'Reg 85'!$B263),('DMR 001C TIN &amp; TP'!$E$3:$E$10005&amp;'DMR 001C TIN &amp; TP'!$B$3:$B$10005&amp;'DMR 001C TIN &amp; TP'!$A$3:$A$10005),0),MATCH('Reg 85'!$O$11,'DMR 001C TIN &amp; TP'!$A$2:$M$2,0))),"")</f>
        <v/>
      </c>
      <c r="W263" s="6" t="str">
        <f t="array" ref="W263">_xlfn.IFNA((INDEX('DMR 001C TIN &amp; TP'!$A$3:$M$10005,MATCH(('Reg 85'!$I$6:$Q$6&amp;'Reg 85'!W$10&amp;'Reg 85'!$B263),('DMR 001C TIN &amp; TP'!$E$3:$E$10005&amp;'DMR 001C TIN &amp; TP'!$B$3:$B$10005&amp;'DMR 001C TIN &amp; TP'!$A$3:$A$10005),0),MATCH('Reg 85'!$O$11,'DMR 001C TIN &amp; TP'!$A$2:$M$2,0))),"")</f>
        <v/>
      </c>
      <c r="X263" s="5" t="str">
        <f t="shared" si="92"/>
        <v/>
      </c>
      <c r="Y263" s="6" t="str">
        <f t="array" ref="Y263">_xlfn.IFNA((INDEX('DMR 001C TIN &amp; TP'!$A$3:$M$10005,MATCH(('Reg 85'!$X$6&amp;'Reg 85'!$X$10&amp;'Reg 85'!$B263),('DMR 001C TIN &amp; TP'!$E$3:$E$10005&amp;'DMR 001C TIN &amp; TP'!$B$3:$B$10005&amp;'DMR 001C TIN &amp; TP'!$A$3:$A$10005),0),MATCH('Reg 85'!$Y$11,'DMR 001C TIN &amp; TP'!$A$2:$M$2,0))),"")</f>
        <v>0.06</v>
      </c>
      <c r="Z263" s="6">
        <f t="array" ref="Z263">_xlfn.IFNA((INDEX('DMR 001C TIN &amp; TP'!$A$3:$M$10005,MATCH(('Reg 85'!$X$6&amp;'Reg 85'!$X$10&amp;'Reg 85'!$B263),('DMR 001C TIN &amp; TP'!$E$3:$E$10005&amp;'DMR 001C TIN &amp; TP'!$B$3:$B$10005&amp;'DMR 001C TIN &amp; TP'!$A$3:$A$10005),0),MATCH('Reg 85'!$Z$11,'DMR 001C TIN &amp; TP'!$A$2:$M$2,0))),"")</f>
        <v>5.16</v>
      </c>
      <c r="AA263" s="53">
        <f t="shared" si="93"/>
        <v>5.16</v>
      </c>
      <c r="AB263" s="5" t="str">
        <f t="shared" si="94"/>
        <v/>
      </c>
      <c r="AC263" s="6" t="str">
        <f t="array" ref="AC263">_xlfn.IFNA((INDEX('DMR 001C TIN &amp; TP'!$A$3:$M$10005,MATCH(('Reg 85'!$X$6&amp;'Reg 85'!$AB$10&amp;'Reg 85'!$B263),('DMR 001C TIN &amp; TP'!$E$3:$E$10005&amp;'DMR 001C TIN &amp; TP'!$B$3:$B$10005&amp;'DMR 001C TIN &amp; TP'!$A$3:$A$10005),0),MATCH('Reg 85'!$AC$11,'DMR 001C TIN &amp; TP'!$A$2:$M$2,0))),"")</f>
        <v>0.06</v>
      </c>
      <c r="AD263" s="6">
        <f t="array" ref="AD263">_xlfn.IFNA((INDEX('DMR 001C TIN &amp; TP'!$A$3:$M$10005,MATCH(('Reg 85'!$X$6&amp;'Reg 85'!$AB$10&amp;'Reg 85'!$B263),('DMR 001C TIN &amp; TP'!$E$3:$E$10005&amp;'DMR 001C TIN &amp; TP'!$B$3:$B$10005&amp;'DMR 001C TIN &amp; TP'!$A$3:$A$10005),0),MATCH('Reg 85'!$AD$11,'DMR 001C TIN &amp; TP'!$A$2:$M$2,0))),"")</f>
        <v>4.2699999999999996</v>
      </c>
      <c r="AE263" s="53">
        <f t="shared" si="95"/>
        <v>4.2699999999999996</v>
      </c>
      <c r="AF263" s="7">
        <f t="shared" si="96"/>
        <v>4.7846301374094136</v>
      </c>
      <c r="AG263" s="6" t="str">
        <f t="array" ref="AG263">_xlfn.IFNA((INDEX('DMR 001C TIN &amp; TP'!$A$3:$M$10005,MATCH(('Reg 85'!$X$6&amp;'Reg 85'!AG$10&amp;'Reg 85'!$B263),('DMR 001C TIN &amp; TP'!$E$3:$E$10005&amp;'DMR 001C TIN &amp; TP'!$B$3:$B$10005&amp;'DMR 001C TIN &amp; TP'!$A$3:$A$10005),0),MATCH('Reg 85'!$AG$11,'DMR 001C TIN &amp; TP'!$A$2:$M$2,0))),"")</f>
        <v/>
      </c>
      <c r="AH263" s="6" t="str">
        <f t="array" ref="AH263">_xlfn.IFNA((INDEX('DMR 001C TIN &amp; TP'!$A$3:$M$10005,MATCH(('Reg 85'!$X$6&amp;'Reg 85'!AH$10&amp;'Reg 85'!$B263),('DMR 001C TIN &amp; TP'!$E$3:$E$10005&amp;'DMR 001C TIN &amp; TP'!$B$3:$B$10005&amp;'DMR 001C TIN &amp; TP'!$A$3:$A$10005),0),MATCH('Reg 85'!$AG$11,'DMR 001C TIN &amp; TP'!$A$2:$M$2,0))),"")</f>
        <v/>
      </c>
      <c r="AI263" s="6" t="str">
        <f t="array" ref="AI263">_xlfn.IFNA((INDEX('DMR 001C TIN &amp; TP'!$A$3:$M$10005,MATCH(('Reg 85'!$X$6&amp;'Reg 85'!AI$10&amp;'Reg 85'!$B263),('DMR 001C TIN &amp; TP'!$E$3:$E$10005&amp;'DMR 001C TIN &amp; TP'!$B$3:$B$10005&amp;'DMR 001C TIN &amp; TP'!$A$3:$A$10005),0),MATCH('Reg 85'!$AG$11,'DMR 001C TIN &amp; TP'!$A$2:$M$2,0))),"")</f>
        <v/>
      </c>
      <c r="AJ263" s="6" t="str">
        <f t="array" ref="AJ263">_xlfn.IFNA((INDEX('DMR 001C TIN &amp; TP'!$A$3:$M$10005,MATCH(('Reg 85'!$X$6&amp;'Reg 85'!AJ$10&amp;'Reg 85'!$B263),('DMR 001C TIN &amp; TP'!$E$3:$E$10005&amp;'DMR 001C TIN &amp; TP'!$B$3:$B$10005&amp;'DMR 001C TIN &amp; TP'!$A$3:$A$10005),0),MATCH('Reg 85'!$AG$11,'DMR 001C TIN &amp; TP'!$A$2:$M$2,0))),"")</f>
        <v/>
      </c>
      <c r="AK263" s="6" t="str">
        <f t="array" ref="AK263">_xlfn.IFNA((INDEX('DMR 001C TIN &amp; TP'!$A$3:$M$10005,MATCH(('Reg 85'!$X$6&amp;'Reg 85'!AK$10&amp;'Reg 85'!$B263),('DMR 001C TIN &amp; TP'!$E$3:$E$10005&amp;'DMR 001C TIN &amp; TP'!$B$3:$B$10005&amp;'DMR 001C TIN &amp; TP'!$A$3:$A$10005),0),MATCH('Reg 85'!$AG$11,'DMR 001C TIN &amp; TP'!$A$2:$M$2,0))),"")</f>
        <v/>
      </c>
      <c r="AL263" s="6" t="str">
        <f t="array" ref="AL263">_xlfn.IFNA((INDEX('DMR 001C TIN &amp; TP'!$A$3:$M$10005,MATCH(('Reg 85'!$X$6&amp;'Reg 85'!AL$10&amp;'Reg 85'!$B263),('DMR 001C TIN &amp; TP'!$E$3:$E$10005&amp;'DMR 001C TIN &amp; TP'!$B$3:$B$10005&amp;'DMR 001C TIN &amp; TP'!$A$3:$A$10005),0),MATCH('Reg 85'!$AG$11,'DMR 001C TIN &amp; TP'!$A$2:$M$2,0))),"")</f>
        <v/>
      </c>
      <c r="AM263" s="76"/>
      <c r="AN263" s="6"/>
      <c r="AO263" s="54">
        <f t="shared" si="83"/>
        <v>6.2533286127401961</v>
      </c>
      <c r="AP263" s="77" t="str">
        <f t="shared" si="102"/>
        <v/>
      </c>
      <c r="AQ263" s="47"/>
      <c r="AR263" s="6" t="str">
        <f t="array" ref="AR263">_xlfn.IFNA((INDEX('DMR 001C TIN &amp; TP'!$A$3:$M$10005,MATCH(('Reg 85'!$AQ$6&amp;'Reg 85'!$AQ$10&amp;'Reg 85'!$B263),('DMR 001C TIN &amp; TP'!$E$3:$E$10005&amp;'DMR 001C TIN &amp; TP'!$B$3:$B$10005&amp;'DMR 001C TIN &amp; TP'!$A$3:$A$10005),0),MATCH('Reg 85'!$AR$11,'DMR 001C TIN &amp; TP'!$A$2:$M$2,0))),"")</f>
        <v/>
      </c>
      <c r="AS263" s="6" t="str">
        <f t="array" ref="AS263">_xlfn.IFNA((INDEX('DMR 001C TIN &amp; TP'!$A$3:$M$10005,MATCH(('Reg 85'!$AQ$6&amp;'Reg 85'!$AQ$10&amp;'Reg 85'!$B263),('DMR 001C TIN &amp; TP'!$E$3:$E$10005&amp;'DMR 001C TIN &amp; TP'!$B$3:$B$10005&amp;'DMR 001C TIN &amp; TP'!$A$3:$A$10005),0),MATCH('Reg 85'!$AS$11,'DMR 001C TIN &amp; TP'!$A$2:$M$2,0))),"")</f>
        <v/>
      </c>
      <c r="AT263" s="53" t="str">
        <f t="shared" si="97"/>
        <v/>
      </c>
      <c r="AV263" s="6" t="str">
        <f t="array" ref="AV263">_xlfn.IFNA((INDEX('DMR 001C TIN &amp; TP'!$A$3:$M$10005,MATCH(('Reg 85'!$AQ$6&amp;'Reg 85'!$AU$10&amp;'Reg 85'!$B263),('DMR 001C TIN &amp; TP'!$E$3:$E$10005&amp;'DMR 001C TIN &amp; TP'!$B$3:$B$10005&amp;'DMR 001C TIN &amp; TP'!$A$3:$A$10005),0),MATCH('Reg 85'!$AV$11,'DMR 001C TIN &amp; TP'!$A$2:$M$2,0))),"")</f>
        <v/>
      </c>
      <c r="AW263" s="6" t="str">
        <f t="array" ref="AW263">_xlfn.IFNA((INDEX('DMR 001C TIN &amp; TP'!$A$3:$M$10005,MATCH(('Reg 85'!$AQ$6&amp;'Reg 85'!$AU$10&amp;'Reg 85'!$B263),('DMR 001C TIN &amp; TP'!$E$3:$E$10005&amp;'DMR 001C TIN &amp; TP'!$B$3:$B$10005&amp;'DMR 001C TIN &amp; TP'!$A$3:$A$10005),0),MATCH('Reg 85'!$AW$11,'DMR 001C TIN &amp; TP'!$A$2:$M$2,0))),"")</f>
        <v/>
      </c>
      <c r="AX263" s="53" t="str">
        <f t="shared" si="98"/>
        <v/>
      </c>
      <c r="AY263" s="55" t="str">
        <f t="shared" si="99"/>
        <v/>
      </c>
      <c r="AZ263" s="77" t="str">
        <f t="shared" si="103"/>
        <v/>
      </c>
      <c r="BA263" s="6" t="str">
        <f t="array" ref="BA263">_xlfn.IFNA((INDEX('DMR 001C TIN &amp; TP'!$A$3:$M$10005,MATCH(('Reg 85'!$AQ$6&amp;'Reg 85'!BA$10&amp;'Reg 85'!$B263),('DMR 001C TIN &amp; TP'!$E$3:$E$10005&amp;'DMR 001C TIN &amp; TP'!$B$3:$B$10005&amp;'DMR 001C TIN &amp; TP'!$A$3:$A$10005),0),MATCH('Reg 85'!$AG$11,'DMR 001C TIN &amp; TP'!$A$2:$M$2,0))),"")</f>
        <v/>
      </c>
      <c r="BB263" s="6" t="str">
        <f t="array" ref="BB263">_xlfn.IFNA((INDEX('DMR 001C TIN &amp; TP'!$A$3:$M$10005,MATCH(('Reg 85'!$AQ$6&amp;'Reg 85'!BB$10&amp;'Reg 85'!$B263),('DMR 001C TIN &amp; TP'!$E$3:$E$10005&amp;'DMR 001C TIN &amp; TP'!$B$3:$B$10005&amp;'DMR 001C TIN &amp; TP'!$A$3:$A$10005),0),MATCH('Reg 85'!$AG$11,'DMR 001C TIN &amp; TP'!$A$2:$M$2,0))),"")</f>
        <v/>
      </c>
      <c r="BC263" s="6" t="str">
        <f t="array" ref="BC263">_xlfn.IFNA((INDEX('DMR 001C TIN &amp; TP'!$A$3:$M$10005,MATCH(('Reg 85'!$AQ$6&amp;'Reg 85'!BC$10&amp;'Reg 85'!$B263),('DMR 001C TIN &amp; TP'!$E$3:$E$10005&amp;'DMR 001C TIN &amp; TP'!$B$3:$B$10005&amp;'DMR 001C TIN &amp; TP'!$A$3:$A$10005),0),MATCH('Reg 85'!$AG$11,'DMR 001C TIN &amp; TP'!$A$2:$M$2,0))),"")</f>
        <v/>
      </c>
      <c r="BD263" s="6" t="str">
        <f t="array" ref="BD263">_xlfn.IFNA((INDEX('DMR 001C TIN &amp; TP'!$A$3:$M$10005,MATCH(('Reg 85'!$AQ$6&amp;'Reg 85'!BD$10&amp;'Reg 85'!$B263),('DMR 001C TIN &amp; TP'!$E$3:$E$10005&amp;'DMR 001C TIN &amp; TP'!$B$3:$B$10005&amp;'DMR 001C TIN &amp; TP'!$A$3:$A$10005),0),MATCH('Reg 85'!$AG$11,'DMR 001C TIN &amp; TP'!$A$2:$M$2,0))),"")</f>
        <v/>
      </c>
      <c r="BE263" s="6" t="str">
        <f t="array" ref="BE263">_xlfn.IFNA((INDEX('DMR 001C TIN &amp; TP'!$A$3:$M$10005,MATCH(('Reg 85'!$AQ$6&amp;'Reg 85'!BE$10&amp;'Reg 85'!$B263),('DMR 001C TIN &amp; TP'!$E$3:$E$10005&amp;'DMR 001C TIN &amp; TP'!$B$3:$B$10005&amp;'DMR 001C TIN &amp; TP'!$A$3:$A$10005),0),MATCH('Reg 85'!$AG$11,'DMR 001C TIN &amp; TP'!$A$2:$M$2,0))),"")</f>
        <v/>
      </c>
      <c r="BF263" s="6" t="str">
        <f t="array" ref="BF263">_xlfn.IFNA((INDEX('DMR 001C TIN &amp; TP'!$A$3:$M$10005,MATCH(('Reg 85'!$AQ$6&amp;'Reg 85'!BF$10&amp;'Reg 85'!$B263),('DMR 001C TIN &amp; TP'!$E$3:$E$10005&amp;'DMR 001C TIN &amp; TP'!$B$3:$B$10005&amp;'DMR 001C TIN &amp; TP'!$A$3:$A$10005),0),MATCH('Reg 85'!$AG$11,'DMR 001C TIN &amp; TP'!$A$2:$M$2,0))),"")</f>
        <v/>
      </c>
    </row>
    <row r="264" spans="1:58">
      <c r="A264" s="3" t="str">
        <f t="shared" si="84"/>
        <v>Sat</v>
      </c>
      <c r="B264" s="96">
        <f t="shared" si="100"/>
        <v>43596</v>
      </c>
      <c r="C264" s="96">
        <f t="shared" si="85"/>
        <v>43616</v>
      </c>
      <c r="D264" s="96">
        <f t="shared" si="86"/>
        <v>43586</v>
      </c>
      <c r="E264" s="95">
        <f t="shared" si="87"/>
        <v>31</v>
      </c>
      <c r="F264" s="7">
        <f t="array" ref="F264">_xlfn.IFNA(INDEX('DMR Flows-Effluent'!$A$3:$F$9999,MATCH(($F$10&amp;$B264),('DMR Flows-Effluent'!$B$3:$B$9999&amp;'DMR Flows-Effluent'!$A$3:$A$9999),0),MATCH($F$8,'DMR Flows-Effluent'!$A$2:$F$2,0)),"")</f>
        <v>73.549800000000005</v>
      </c>
      <c r="G264" s="7">
        <f t="array" ref="G264">_xlfn.IFNA(INDEX('DMR Flows-Effluent'!$A$3:$F$9999,MATCH(($G$10&amp;$B264),('DMR Flows-Effluent'!$B$3:$B$9999&amp;'DMR Flows-Effluent'!$A$3:$A$9999),0),MATCH($F$8,'DMR Flows-Effluent'!$A$2:$F$2,0)),"")</f>
        <v>56.524900000000002</v>
      </c>
      <c r="H264" s="7">
        <f t="shared" si="88"/>
        <v>130.07470000000001</v>
      </c>
      <c r="I264" s="45" t="str">
        <f t="shared" si="89"/>
        <v/>
      </c>
      <c r="J264" s="6" t="str">
        <f t="array" ref="J264">_xlfn.IFNA((INDEX('DMR 001C TIN &amp; TP'!$A$3:$M$10005,MATCH(('Reg 85'!$I$6:$Q$6&amp;'Reg 85'!$I$10:$K$10&amp;'Reg 85'!$B264),('DMR 001C TIN &amp; TP'!$E$3:$E$10005&amp;'DMR 001C TIN &amp; TP'!$B$3:$B$10005&amp;'DMR 001C TIN &amp; TP'!$A$3:$A$10005),0),MATCH('Reg 85'!$J$11,'DMR 001C TIN &amp; TP'!$A$2:$M$2,0))),"")</f>
        <v>0.15</v>
      </c>
      <c r="K264" s="6">
        <f t="array" ref="K264">_xlfn.IFNA((INDEX('DMR 001C TIN &amp; TP'!$A$3:$M$10005,MATCH(('Reg 85'!$I$6:$Q$6&amp;'Reg 85'!$I$10:$K$10&amp;'Reg 85'!$B264),('DMR 001C TIN &amp; TP'!$E$3:$E$10005&amp;'DMR 001C TIN &amp; TP'!$B$3:$B$10005&amp;'DMR 001C TIN &amp; TP'!$A$3:$A$10005),0),MATCH('Reg 85'!$K$11,'DMR 001C TIN &amp; TP'!$A$2:$M$2,0))),"")</f>
        <v>1.1200000000000001</v>
      </c>
      <c r="L264" s="53">
        <f t="shared" si="101"/>
        <v>1.1200000000000001</v>
      </c>
      <c r="M264" s="5" t="str">
        <f t="shared" si="90"/>
        <v/>
      </c>
      <c r="N264" s="6" t="str">
        <f t="array" ref="N264">_xlfn.IFNA((INDEX('DMR 001C TIN &amp; TP'!$A$3:$M$10005,MATCH(('Reg 85'!$I$6:$Q$6&amp;'Reg 85'!$M$10&amp;'Reg 85'!$B264),('DMR 001C TIN &amp; TP'!$E$3:$E$10005&amp;'DMR 001C TIN &amp; TP'!$B$3:$B$10005&amp;'DMR 001C TIN &amp; TP'!$A$3:$A$10005),0),MATCH('Reg 85'!$N$11,'DMR 001C TIN &amp; TP'!$A$2:$M$2,0))),"")</f>
        <v>0.15</v>
      </c>
      <c r="O264" s="6">
        <f t="array" ref="O264">_xlfn.IFNA((INDEX('DMR 001C TIN &amp; TP'!$A$3:$M$10005,MATCH(('Reg 85'!$I$6:$Q$6&amp;'Reg 85'!$M$10&amp;'Reg 85'!$B264),('DMR 001C TIN &amp; TP'!$E$3:$E$10005&amp;'DMR 001C TIN &amp; TP'!$B$3:$B$10005&amp;'DMR 001C TIN &amp; TP'!$A$3:$A$10005),0),MATCH('Reg 85'!$O$11,'DMR 001C TIN &amp; TP'!$A$2:$M$2,0))),"")</f>
        <v>1.45</v>
      </c>
      <c r="P264" s="53">
        <f t="shared" si="91"/>
        <v>1.45</v>
      </c>
      <c r="Q264" s="73">
        <f t="array" ref="Q264">IFERROR(((L264*$F264)+(P264*$G264))/($H264),"")</f>
        <v>1.2634038825382645</v>
      </c>
      <c r="R264" s="6" t="str">
        <f t="array" ref="R264">_xlfn.IFNA((INDEX('DMR 001C TIN &amp; TP'!$A$3:$M$10005,MATCH(('Reg 85'!$I$6:$Q$6&amp;'Reg 85'!R$10&amp;'Reg 85'!$B264),('DMR 001C TIN &amp; TP'!$E$3:$E$10005&amp;'DMR 001C TIN &amp; TP'!$B$3:$B$10005&amp;'DMR 001C TIN &amp; TP'!$A$3:$A$10005),0),MATCH('Reg 85'!$O$11,'DMR 001C TIN &amp; TP'!$A$2:$M$2,0))),"")</f>
        <v/>
      </c>
      <c r="S264" s="6" t="str">
        <f t="array" ref="S264">_xlfn.IFNA((INDEX('DMR 001C TIN &amp; TP'!$A$3:$M$10005,MATCH(('Reg 85'!$I$6:$Q$6&amp;'Reg 85'!S$10&amp;'Reg 85'!$B264),('DMR 001C TIN &amp; TP'!$E$3:$E$10005&amp;'DMR 001C TIN &amp; TP'!$B$3:$B$10005&amp;'DMR 001C TIN &amp; TP'!$A$3:$A$10005),0),MATCH('Reg 85'!$O$11,'DMR 001C TIN &amp; TP'!$A$2:$M$2,0))),"")</f>
        <v/>
      </c>
      <c r="T264" s="6" t="str">
        <f t="array" ref="T264">_xlfn.IFNA((INDEX('DMR 001C TIN &amp; TP'!$A$3:$M$10005,MATCH(('Reg 85'!$I$6:$Q$6&amp;'Reg 85'!T$10&amp;'Reg 85'!$B264),('DMR 001C TIN &amp; TP'!$E$3:$E$10005&amp;'DMR 001C TIN &amp; TP'!$B$3:$B$10005&amp;'DMR 001C TIN &amp; TP'!$A$3:$A$10005),0),MATCH('Reg 85'!$O$11,'DMR 001C TIN &amp; TP'!$A$2:$M$2,0))),"")</f>
        <v/>
      </c>
      <c r="U264" s="6" t="str">
        <f t="array" ref="U264">_xlfn.IFNA((INDEX('DMR 001C TIN &amp; TP'!$A$3:$M$10005,MATCH(('Reg 85'!$I$6:$Q$6&amp;'Reg 85'!U$10&amp;'Reg 85'!$B264),('DMR 001C TIN &amp; TP'!$E$3:$E$10005&amp;'DMR 001C TIN &amp; TP'!$B$3:$B$10005&amp;'DMR 001C TIN &amp; TP'!$A$3:$A$10005),0),MATCH('Reg 85'!$O$11,'DMR 001C TIN &amp; TP'!$A$2:$M$2,0))),"")</f>
        <v/>
      </c>
      <c r="V264" s="6" t="str">
        <f t="array" ref="V264">_xlfn.IFNA((INDEX('DMR 001C TIN &amp; TP'!$A$3:$M$10005,MATCH(('Reg 85'!$I$6:$Q$6&amp;'Reg 85'!V$10&amp;'Reg 85'!$B264),('DMR 001C TIN &amp; TP'!$E$3:$E$10005&amp;'DMR 001C TIN &amp; TP'!$B$3:$B$10005&amp;'DMR 001C TIN &amp; TP'!$A$3:$A$10005),0),MATCH('Reg 85'!$O$11,'DMR 001C TIN &amp; TP'!$A$2:$M$2,0))),"")</f>
        <v/>
      </c>
      <c r="W264" s="6" t="str">
        <f t="array" ref="W264">_xlfn.IFNA((INDEX('DMR 001C TIN &amp; TP'!$A$3:$M$10005,MATCH(('Reg 85'!$I$6:$Q$6&amp;'Reg 85'!W$10&amp;'Reg 85'!$B264),('DMR 001C TIN &amp; TP'!$E$3:$E$10005&amp;'DMR 001C TIN &amp; TP'!$B$3:$B$10005&amp;'DMR 001C TIN &amp; TP'!$A$3:$A$10005),0),MATCH('Reg 85'!$O$11,'DMR 001C TIN &amp; TP'!$A$2:$M$2,0))),"")</f>
        <v/>
      </c>
      <c r="X264" s="5" t="str">
        <f t="shared" si="92"/>
        <v/>
      </c>
      <c r="Y264" s="6" t="str">
        <f t="array" ref="Y264">_xlfn.IFNA((INDEX('DMR 001C TIN &amp; TP'!$A$3:$M$10005,MATCH(('Reg 85'!$X$6&amp;'Reg 85'!$X$10&amp;'Reg 85'!$B264),('DMR 001C TIN &amp; TP'!$E$3:$E$10005&amp;'DMR 001C TIN &amp; TP'!$B$3:$B$10005&amp;'DMR 001C TIN &amp; TP'!$A$3:$A$10005),0),MATCH('Reg 85'!$Y$11,'DMR 001C TIN &amp; TP'!$A$2:$M$2,0))),"")</f>
        <v>0.06</v>
      </c>
      <c r="Z264" s="6">
        <f t="array" ref="Z264">_xlfn.IFNA((INDEX('DMR 001C TIN &amp; TP'!$A$3:$M$10005,MATCH(('Reg 85'!$X$6&amp;'Reg 85'!$X$10&amp;'Reg 85'!$B264),('DMR 001C TIN &amp; TP'!$E$3:$E$10005&amp;'DMR 001C TIN &amp; TP'!$B$3:$B$10005&amp;'DMR 001C TIN &amp; TP'!$A$3:$A$10005),0),MATCH('Reg 85'!$Z$11,'DMR 001C TIN &amp; TP'!$A$2:$M$2,0))),"")</f>
        <v>5.17</v>
      </c>
      <c r="AA264" s="53">
        <f t="shared" si="93"/>
        <v>5.17</v>
      </c>
      <c r="AB264" s="5" t="str">
        <f t="shared" si="94"/>
        <v/>
      </c>
      <c r="AC264" s="6" t="str">
        <f t="array" ref="AC264">_xlfn.IFNA((INDEX('DMR 001C TIN &amp; TP'!$A$3:$M$10005,MATCH(('Reg 85'!$X$6&amp;'Reg 85'!$AB$10&amp;'Reg 85'!$B264),('DMR 001C TIN &amp; TP'!$E$3:$E$10005&amp;'DMR 001C TIN &amp; TP'!$B$3:$B$10005&amp;'DMR 001C TIN &amp; TP'!$A$3:$A$10005),0),MATCH('Reg 85'!$AC$11,'DMR 001C TIN &amp; TP'!$A$2:$M$2,0))),"")</f>
        <v>0.06</v>
      </c>
      <c r="AD264" s="6">
        <f t="array" ref="AD264">_xlfn.IFNA((INDEX('DMR 001C TIN &amp; TP'!$A$3:$M$10005,MATCH(('Reg 85'!$X$6&amp;'Reg 85'!$AB$10&amp;'Reg 85'!$B264),('DMR 001C TIN &amp; TP'!$E$3:$E$10005&amp;'DMR 001C TIN &amp; TP'!$B$3:$B$10005&amp;'DMR 001C TIN &amp; TP'!$A$3:$A$10005),0),MATCH('Reg 85'!$AD$11,'DMR 001C TIN &amp; TP'!$A$2:$M$2,0))),"")</f>
        <v>3.97</v>
      </c>
      <c r="AE264" s="53">
        <f t="shared" si="95"/>
        <v>3.97</v>
      </c>
      <c r="AF264" s="7">
        <f t="shared" si="96"/>
        <v>4.6485313362244929</v>
      </c>
      <c r="AG264" s="6" t="str">
        <f t="array" ref="AG264">_xlfn.IFNA((INDEX('DMR 001C TIN &amp; TP'!$A$3:$M$10005,MATCH(('Reg 85'!$X$6&amp;'Reg 85'!AG$10&amp;'Reg 85'!$B264),('DMR 001C TIN &amp; TP'!$E$3:$E$10005&amp;'DMR 001C TIN &amp; TP'!$B$3:$B$10005&amp;'DMR 001C TIN &amp; TP'!$A$3:$A$10005),0),MATCH('Reg 85'!$AG$11,'DMR 001C TIN &amp; TP'!$A$2:$M$2,0))),"")</f>
        <v/>
      </c>
      <c r="AH264" s="6" t="str">
        <f t="array" ref="AH264">_xlfn.IFNA((INDEX('DMR 001C TIN &amp; TP'!$A$3:$M$10005,MATCH(('Reg 85'!$X$6&amp;'Reg 85'!AH$10&amp;'Reg 85'!$B264),('DMR 001C TIN &amp; TP'!$E$3:$E$10005&amp;'DMR 001C TIN &amp; TP'!$B$3:$B$10005&amp;'DMR 001C TIN &amp; TP'!$A$3:$A$10005),0),MATCH('Reg 85'!$AG$11,'DMR 001C TIN &amp; TP'!$A$2:$M$2,0))),"")</f>
        <v/>
      </c>
      <c r="AI264" s="6" t="str">
        <f t="array" ref="AI264">_xlfn.IFNA((INDEX('DMR 001C TIN &amp; TP'!$A$3:$M$10005,MATCH(('Reg 85'!$X$6&amp;'Reg 85'!AI$10&amp;'Reg 85'!$B264),('DMR 001C TIN &amp; TP'!$E$3:$E$10005&amp;'DMR 001C TIN &amp; TP'!$B$3:$B$10005&amp;'DMR 001C TIN &amp; TP'!$A$3:$A$10005),0),MATCH('Reg 85'!$AG$11,'DMR 001C TIN &amp; TP'!$A$2:$M$2,0))),"")</f>
        <v/>
      </c>
      <c r="AJ264" s="6" t="str">
        <f t="array" ref="AJ264">_xlfn.IFNA((INDEX('DMR 001C TIN &amp; TP'!$A$3:$M$10005,MATCH(('Reg 85'!$X$6&amp;'Reg 85'!AJ$10&amp;'Reg 85'!$B264),('DMR 001C TIN &amp; TP'!$E$3:$E$10005&amp;'DMR 001C TIN &amp; TP'!$B$3:$B$10005&amp;'DMR 001C TIN &amp; TP'!$A$3:$A$10005),0),MATCH('Reg 85'!$AG$11,'DMR 001C TIN &amp; TP'!$A$2:$M$2,0))),"")</f>
        <v/>
      </c>
      <c r="AK264" s="6" t="str">
        <f t="array" ref="AK264">_xlfn.IFNA((INDEX('DMR 001C TIN &amp; TP'!$A$3:$M$10005,MATCH(('Reg 85'!$X$6&amp;'Reg 85'!AK$10&amp;'Reg 85'!$B264),('DMR 001C TIN &amp; TP'!$E$3:$E$10005&amp;'DMR 001C TIN &amp; TP'!$B$3:$B$10005&amp;'DMR 001C TIN &amp; TP'!$A$3:$A$10005),0),MATCH('Reg 85'!$AG$11,'DMR 001C TIN &amp; TP'!$A$2:$M$2,0))),"")</f>
        <v/>
      </c>
      <c r="AL264" s="6" t="str">
        <f t="array" ref="AL264">_xlfn.IFNA((INDEX('DMR 001C TIN &amp; TP'!$A$3:$M$10005,MATCH(('Reg 85'!$X$6&amp;'Reg 85'!AL$10&amp;'Reg 85'!$B264),('DMR 001C TIN &amp; TP'!$E$3:$E$10005&amp;'DMR 001C TIN &amp; TP'!$B$3:$B$10005&amp;'DMR 001C TIN &amp; TP'!$A$3:$A$10005),0),MATCH('Reg 85'!$AG$11,'DMR 001C TIN &amp; TP'!$A$2:$M$2,0))),"")</f>
        <v/>
      </c>
      <c r="AM264" s="76"/>
      <c r="AN264" s="6"/>
      <c r="AO264" s="54">
        <f t="shared" si="83"/>
        <v>5.911935218762757</v>
      </c>
      <c r="AP264" s="77" t="str">
        <f t="shared" si="102"/>
        <v/>
      </c>
      <c r="AQ264" s="47"/>
      <c r="AR264" s="6" t="str">
        <f t="array" ref="AR264">_xlfn.IFNA((INDEX('DMR 001C TIN &amp; TP'!$A$3:$M$10005,MATCH(('Reg 85'!$AQ$6&amp;'Reg 85'!$AQ$10&amp;'Reg 85'!$B264),('DMR 001C TIN &amp; TP'!$E$3:$E$10005&amp;'DMR 001C TIN &amp; TP'!$B$3:$B$10005&amp;'DMR 001C TIN &amp; TP'!$A$3:$A$10005),0),MATCH('Reg 85'!$AR$11,'DMR 001C TIN &amp; TP'!$A$2:$M$2,0))),"")</f>
        <v/>
      </c>
      <c r="AS264" s="6" t="str">
        <f t="array" ref="AS264">_xlfn.IFNA((INDEX('DMR 001C TIN &amp; TP'!$A$3:$M$10005,MATCH(('Reg 85'!$AQ$6&amp;'Reg 85'!$AQ$10&amp;'Reg 85'!$B264),('DMR 001C TIN &amp; TP'!$E$3:$E$10005&amp;'DMR 001C TIN &amp; TP'!$B$3:$B$10005&amp;'DMR 001C TIN &amp; TP'!$A$3:$A$10005),0),MATCH('Reg 85'!$AS$11,'DMR 001C TIN &amp; TP'!$A$2:$M$2,0))),"")</f>
        <v/>
      </c>
      <c r="AT264" s="53" t="str">
        <f t="shared" si="97"/>
        <v/>
      </c>
      <c r="AV264" s="6" t="str">
        <f t="array" ref="AV264">_xlfn.IFNA((INDEX('DMR 001C TIN &amp; TP'!$A$3:$M$10005,MATCH(('Reg 85'!$AQ$6&amp;'Reg 85'!$AU$10&amp;'Reg 85'!$B264),('DMR 001C TIN &amp; TP'!$E$3:$E$10005&amp;'DMR 001C TIN &amp; TP'!$B$3:$B$10005&amp;'DMR 001C TIN &amp; TP'!$A$3:$A$10005),0),MATCH('Reg 85'!$AV$11,'DMR 001C TIN &amp; TP'!$A$2:$M$2,0))),"")</f>
        <v/>
      </c>
      <c r="AW264" s="6" t="str">
        <f t="array" ref="AW264">_xlfn.IFNA((INDEX('DMR 001C TIN &amp; TP'!$A$3:$M$10005,MATCH(('Reg 85'!$AQ$6&amp;'Reg 85'!$AU$10&amp;'Reg 85'!$B264),('DMR 001C TIN &amp; TP'!$E$3:$E$10005&amp;'DMR 001C TIN &amp; TP'!$B$3:$B$10005&amp;'DMR 001C TIN &amp; TP'!$A$3:$A$10005),0),MATCH('Reg 85'!$AW$11,'DMR 001C TIN &amp; TP'!$A$2:$M$2,0))),"")</f>
        <v/>
      </c>
      <c r="AX264" s="53" t="str">
        <f t="shared" si="98"/>
        <v/>
      </c>
      <c r="AY264" s="55" t="str">
        <f t="shared" si="99"/>
        <v/>
      </c>
      <c r="AZ264" s="77" t="str">
        <f t="shared" si="103"/>
        <v/>
      </c>
      <c r="BA264" s="6" t="str">
        <f t="array" ref="BA264">_xlfn.IFNA((INDEX('DMR 001C TIN &amp; TP'!$A$3:$M$10005,MATCH(('Reg 85'!$AQ$6&amp;'Reg 85'!BA$10&amp;'Reg 85'!$B264),('DMR 001C TIN &amp; TP'!$E$3:$E$10005&amp;'DMR 001C TIN &amp; TP'!$B$3:$B$10005&amp;'DMR 001C TIN &amp; TP'!$A$3:$A$10005),0),MATCH('Reg 85'!$AG$11,'DMR 001C TIN &amp; TP'!$A$2:$M$2,0))),"")</f>
        <v/>
      </c>
      <c r="BB264" s="6" t="str">
        <f t="array" ref="BB264">_xlfn.IFNA((INDEX('DMR 001C TIN &amp; TP'!$A$3:$M$10005,MATCH(('Reg 85'!$AQ$6&amp;'Reg 85'!BB$10&amp;'Reg 85'!$B264),('DMR 001C TIN &amp; TP'!$E$3:$E$10005&amp;'DMR 001C TIN &amp; TP'!$B$3:$B$10005&amp;'DMR 001C TIN &amp; TP'!$A$3:$A$10005),0),MATCH('Reg 85'!$AG$11,'DMR 001C TIN &amp; TP'!$A$2:$M$2,0))),"")</f>
        <v/>
      </c>
      <c r="BC264" s="6" t="str">
        <f t="array" ref="BC264">_xlfn.IFNA((INDEX('DMR 001C TIN &amp; TP'!$A$3:$M$10005,MATCH(('Reg 85'!$AQ$6&amp;'Reg 85'!BC$10&amp;'Reg 85'!$B264),('DMR 001C TIN &amp; TP'!$E$3:$E$10005&amp;'DMR 001C TIN &amp; TP'!$B$3:$B$10005&amp;'DMR 001C TIN &amp; TP'!$A$3:$A$10005),0),MATCH('Reg 85'!$AG$11,'DMR 001C TIN &amp; TP'!$A$2:$M$2,0))),"")</f>
        <v/>
      </c>
      <c r="BD264" s="6" t="str">
        <f t="array" ref="BD264">_xlfn.IFNA((INDEX('DMR 001C TIN &amp; TP'!$A$3:$M$10005,MATCH(('Reg 85'!$AQ$6&amp;'Reg 85'!BD$10&amp;'Reg 85'!$B264),('DMR 001C TIN &amp; TP'!$E$3:$E$10005&amp;'DMR 001C TIN &amp; TP'!$B$3:$B$10005&amp;'DMR 001C TIN &amp; TP'!$A$3:$A$10005),0),MATCH('Reg 85'!$AG$11,'DMR 001C TIN &amp; TP'!$A$2:$M$2,0))),"")</f>
        <v/>
      </c>
      <c r="BE264" s="6" t="str">
        <f t="array" ref="BE264">_xlfn.IFNA((INDEX('DMR 001C TIN &amp; TP'!$A$3:$M$10005,MATCH(('Reg 85'!$AQ$6&amp;'Reg 85'!BE$10&amp;'Reg 85'!$B264),('DMR 001C TIN &amp; TP'!$E$3:$E$10005&amp;'DMR 001C TIN &amp; TP'!$B$3:$B$10005&amp;'DMR 001C TIN &amp; TP'!$A$3:$A$10005),0),MATCH('Reg 85'!$AG$11,'DMR 001C TIN &amp; TP'!$A$2:$M$2,0))),"")</f>
        <v/>
      </c>
      <c r="BF264" s="6" t="str">
        <f t="array" ref="BF264">_xlfn.IFNA((INDEX('DMR 001C TIN &amp; TP'!$A$3:$M$10005,MATCH(('Reg 85'!$AQ$6&amp;'Reg 85'!BF$10&amp;'Reg 85'!$B264),('DMR 001C TIN &amp; TP'!$E$3:$E$10005&amp;'DMR 001C TIN &amp; TP'!$B$3:$B$10005&amp;'DMR 001C TIN &amp; TP'!$A$3:$A$10005),0),MATCH('Reg 85'!$AG$11,'DMR 001C TIN &amp; TP'!$A$2:$M$2,0))),"")</f>
        <v/>
      </c>
    </row>
    <row r="265" spans="1:58">
      <c r="A265" s="3" t="str">
        <f t="shared" si="84"/>
        <v>Sun</v>
      </c>
      <c r="B265" s="96">
        <f t="shared" si="100"/>
        <v>43597</v>
      </c>
      <c r="C265" s="96">
        <f t="shared" si="85"/>
        <v>43616</v>
      </c>
      <c r="D265" s="96">
        <f t="shared" si="86"/>
        <v>43586</v>
      </c>
      <c r="E265" s="95">
        <f t="shared" si="87"/>
        <v>31</v>
      </c>
      <c r="F265" s="7">
        <f t="array" ref="F265">_xlfn.IFNA(INDEX('DMR Flows-Effluent'!$A$3:$F$9999,MATCH(($F$10&amp;$B265),('DMR Flows-Effluent'!$B$3:$B$9999&amp;'DMR Flows-Effluent'!$A$3:$A$9999),0),MATCH($F$8,'DMR Flows-Effluent'!$A$2:$F$2,0)),"")</f>
        <v>71.791300000000007</v>
      </c>
      <c r="G265" s="7">
        <f t="array" ref="G265">_xlfn.IFNA(INDEX('DMR Flows-Effluent'!$A$3:$F$9999,MATCH(($G$10&amp;$B265),('DMR Flows-Effluent'!$B$3:$B$9999&amp;'DMR Flows-Effluent'!$A$3:$A$9999),0),MATCH($F$8,'DMR Flows-Effluent'!$A$2:$F$2,0)),"")</f>
        <v>59.1357</v>
      </c>
      <c r="H265" s="7">
        <f t="shared" si="88"/>
        <v>130.92700000000002</v>
      </c>
      <c r="I265" s="45" t="str">
        <f t="shared" si="89"/>
        <v/>
      </c>
      <c r="J265" s="6" t="str">
        <f t="array" ref="J265">_xlfn.IFNA((INDEX('DMR 001C TIN &amp; TP'!$A$3:$M$10005,MATCH(('Reg 85'!$I$6:$Q$6&amp;'Reg 85'!$I$10:$K$10&amp;'Reg 85'!$B265),('DMR 001C TIN &amp; TP'!$E$3:$E$10005&amp;'DMR 001C TIN &amp; TP'!$B$3:$B$10005&amp;'DMR 001C TIN &amp; TP'!$A$3:$A$10005),0),MATCH('Reg 85'!$J$11,'DMR 001C TIN &amp; TP'!$A$2:$M$2,0))),"")</f>
        <v>0.15</v>
      </c>
      <c r="K265" s="6">
        <f t="array" ref="K265">_xlfn.IFNA((INDEX('DMR 001C TIN &amp; TP'!$A$3:$M$10005,MATCH(('Reg 85'!$I$6:$Q$6&amp;'Reg 85'!$I$10:$K$10&amp;'Reg 85'!$B265),('DMR 001C TIN &amp; TP'!$E$3:$E$10005&amp;'DMR 001C TIN &amp; TP'!$B$3:$B$10005&amp;'DMR 001C TIN &amp; TP'!$A$3:$A$10005),0),MATCH('Reg 85'!$K$11,'DMR 001C TIN &amp; TP'!$A$2:$M$2,0))),"")</f>
        <v>0.98</v>
      </c>
      <c r="L265" s="53">
        <f t="shared" si="101"/>
        <v>0.98</v>
      </c>
      <c r="M265" s="5" t="str">
        <f t="shared" si="90"/>
        <v/>
      </c>
      <c r="N265" s="6" t="str">
        <f t="array" ref="N265">_xlfn.IFNA((INDEX('DMR 001C TIN &amp; TP'!$A$3:$M$10005,MATCH(('Reg 85'!$I$6:$Q$6&amp;'Reg 85'!$M$10&amp;'Reg 85'!$B265),('DMR 001C TIN &amp; TP'!$E$3:$E$10005&amp;'DMR 001C TIN &amp; TP'!$B$3:$B$10005&amp;'DMR 001C TIN &amp; TP'!$A$3:$A$10005),0),MATCH('Reg 85'!$N$11,'DMR 001C TIN &amp; TP'!$A$2:$M$2,0))),"")</f>
        <v>0.15</v>
      </c>
      <c r="O265" s="6">
        <f t="array" ref="O265">_xlfn.IFNA((INDEX('DMR 001C TIN &amp; TP'!$A$3:$M$10005,MATCH(('Reg 85'!$I$6:$Q$6&amp;'Reg 85'!$M$10&amp;'Reg 85'!$B265),('DMR 001C TIN &amp; TP'!$E$3:$E$10005&amp;'DMR 001C TIN &amp; TP'!$B$3:$B$10005&amp;'DMR 001C TIN &amp; TP'!$A$3:$A$10005),0),MATCH('Reg 85'!$O$11,'DMR 001C TIN &amp; TP'!$A$2:$M$2,0))),"")</f>
        <v>1.01</v>
      </c>
      <c r="P265" s="53">
        <f t="shared" si="91"/>
        <v>1.01</v>
      </c>
      <c r="Q265" s="73">
        <f t="array" ref="Q265">IFERROR(((L265*$F265)+(P265*$G265))/($H265),"")</f>
        <v>0.9935500775241165</v>
      </c>
      <c r="R265" s="6" t="str">
        <f t="array" ref="R265">_xlfn.IFNA((INDEX('DMR 001C TIN &amp; TP'!$A$3:$M$10005,MATCH(('Reg 85'!$I$6:$Q$6&amp;'Reg 85'!R$10&amp;'Reg 85'!$B265),('DMR 001C TIN &amp; TP'!$E$3:$E$10005&amp;'DMR 001C TIN &amp; TP'!$B$3:$B$10005&amp;'DMR 001C TIN &amp; TP'!$A$3:$A$10005),0),MATCH('Reg 85'!$O$11,'DMR 001C TIN &amp; TP'!$A$2:$M$2,0))),"")</f>
        <v/>
      </c>
      <c r="S265" s="6" t="str">
        <f t="array" ref="S265">_xlfn.IFNA((INDEX('DMR 001C TIN &amp; TP'!$A$3:$M$10005,MATCH(('Reg 85'!$I$6:$Q$6&amp;'Reg 85'!S$10&amp;'Reg 85'!$B265),('DMR 001C TIN &amp; TP'!$E$3:$E$10005&amp;'DMR 001C TIN &amp; TP'!$B$3:$B$10005&amp;'DMR 001C TIN &amp; TP'!$A$3:$A$10005),0),MATCH('Reg 85'!$O$11,'DMR 001C TIN &amp; TP'!$A$2:$M$2,0))),"")</f>
        <v/>
      </c>
      <c r="T265" s="6" t="str">
        <f t="array" ref="T265">_xlfn.IFNA((INDEX('DMR 001C TIN &amp; TP'!$A$3:$M$10005,MATCH(('Reg 85'!$I$6:$Q$6&amp;'Reg 85'!T$10&amp;'Reg 85'!$B265),('DMR 001C TIN &amp; TP'!$E$3:$E$10005&amp;'DMR 001C TIN &amp; TP'!$B$3:$B$10005&amp;'DMR 001C TIN &amp; TP'!$A$3:$A$10005),0),MATCH('Reg 85'!$O$11,'DMR 001C TIN &amp; TP'!$A$2:$M$2,0))),"")</f>
        <v/>
      </c>
      <c r="U265" s="6" t="str">
        <f t="array" ref="U265">_xlfn.IFNA((INDEX('DMR 001C TIN &amp; TP'!$A$3:$M$10005,MATCH(('Reg 85'!$I$6:$Q$6&amp;'Reg 85'!U$10&amp;'Reg 85'!$B265),('DMR 001C TIN &amp; TP'!$E$3:$E$10005&amp;'DMR 001C TIN &amp; TP'!$B$3:$B$10005&amp;'DMR 001C TIN &amp; TP'!$A$3:$A$10005),0),MATCH('Reg 85'!$O$11,'DMR 001C TIN &amp; TP'!$A$2:$M$2,0))),"")</f>
        <v/>
      </c>
      <c r="V265" s="6" t="str">
        <f t="array" ref="V265">_xlfn.IFNA((INDEX('DMR 001C TIN &amp; TP'!$A$3:$M$10005,MATCH(('Reg 85'!$I$6:$Q$6&amp;'Reg 85'!V$10&amp;'Reg 85'!$B265),('DMR 001C TIN &amp; TP'!$E$3:$E$10005&amp;'DMR 001C TIN &amp; TP'!$B$3:$B$10005&amp;'DMR 001C TIN &amp; TP'!$A$3:$A$10005),0),MATCH('Reg 85'!$O$11,'DMR 001C TIN &amp; TP'!$A$2:$M$2,0))),"")</f>
        <v/>
      </c>
      <c r="W265" s="6" t="str">
        <f t="array" ref="W265">_xlfn.IFNA((INDEX('DMR 001C TIN &amp; TP'!$A$3:$M$10005,MATCH(('Reg 85'!$I$6:$Q$6&amp;'Reg 85'!W$10&amp;'Reg 85'!$B265),('DMR 001C TIN &amp; TP'!$E$3:$E$10005&amp;'DMR 001C TIN &amp; TP'!$B$3:$B$10005&amp;'DMR 001C TIN &amp; TP'!$A$3:$A$10005),0),MATCH('Reg 85'!$O$11,'DMR 001C TIN &amp; TP'!$A$2:$M$2,0))),"")</f>
        <v/>
      </c>
      <c r="X265" s="5" t="str">
        <f t="shared" si="92"/>
        <v/>
      </c>
      <c r="Y265" s="6" t="str">
        <f t="array" ref="Y265">_xlfn.IFNA((INDEX('DMR 001C TIN &amp; TP'!$A$3:$M$10005,MATCH(('Reg 85'!$X$6&amp;'Reg 85'!$X$10&amp;'Reg 85'!$B265),('DMR 001C TIN &amp; TP'!$E$3:$E$10005&amp;'DMR 001C TIN &amp; TP'!$B$3:$B$10005&amp;'DMR 001C TIN &amp; TP'!$A$3:$A$10005),0),MATCH('Reg 85'!$Y$11,'DMR 001C TIN &amp; TP'!$A$2:$M$2,0))),"")</f>
        <v>0.06</v>
      </c>
      <c r="Z265" s="6">
        <f t="array" ref="Z265">_xlfn.IFNA((INDEX('DMR 001C TIN &amp; TP'!$A$3:$M$10005,MATCH(('Reg 85'!$X$6&amp;'Reg 85'!$X$10&amp;'Reg 85'!$B265),('DMR 001C TIN &amp; TP'!$E$3:$E$10005&amp;'DMR 001C TIN &amp; TP'!$B$3:$B$10005&amp;'DMR 001C TIN &amp; TP'!$A$3:$A$10005),0),MATCH('Reg 85'!$Z$11,'DMR 001C TIN &amp; TP'!$A$2:$M$2,0))),"")</f>
        <v>5.3</v>
      </c>
      <c r="AA265" s="53">
        <f t="shared" si="93"/>
        <v>5.3</v>
      </c>
      <c r="AB265" s="5" t="str">
        <f t="shared" si="94"/>
        <v/>
      </c>
      <c r="AC265" s="6" t="str">
        <f t="array" ref="AC265">_xlfn.IFNA((INDEX('DMR 001C TIN &amp; TP'!$A$3:$M$10005,MATCH(('Reg 85'!$X$6&amp;'Reg 85'!$AB$10&amp;'Reg 85'!$B265),('DMR 001C TIN &amp; TP'!$E$3:$E$10005&amp;'DMR 001C TIN &amp; TP'!$B$3:$B$10005&amp;'DMR 001C TIN &amp; TP'!$A$3:$A$10005),0),MATCH('Reg 85'!$AC$11,'DMR 001C TIN &amp; TP'!$A$2:$M$2,0))),"")</f>
        <v>0.06</v>
      </c>
      <c r="AD265" s="6">
        <f t="array" ref="AD265">_xlfn.IFNA((INDEX('DMR 001C TIN &amp; TP'!$A$3:$M$10005,MATCH(('Reg 85'!$X$6&amp;'Reg 85'!$AB$10&amp;'Reg 85'!$B265),('DMR 001C TIN &amp; TP'!$E$3:$E$10005&amp;'DMR 001C TIN &amp; TP'!$B$3:$B$10005&amp;'DMR 001C TIN &amp; TP'!$A$3:$A$10005),0),MATCH('Reg 85'!$AD$11,'DMR 001C TIN &amp; TP'!$A$2:$M$2,0))),"")</f>
        <v>4.1100000000000003</v>
      </c>
      <c r="AE265" s="53">
        <f t="shared" si="95"/>
        <v>4.1100000000000003</v>
      </c>
      <c r="AF265" s="7">
        <f t="shared" si="96"/>
        <v>4.7625135915433789</v>
      </c>
      <c r="AG265" s="6" t="str">
        <f t="array" ref="AG265">_xlfn.IFNA((INDEX('DMR 001C TIN &amp; TP'!$A$3:$M$10005,MATCH(('Reg 85'!$X$6&amp;'Reg 85'!AG$10&amp;'Reg 85'!$B265),('DMR 001C TIN &amp; TP'!$E$3:$E$10005&amp;'DMR 001C TIN &amp; TP'!$B$3:$B$10005&amp;'DMR 001C TIN &amp; TP'!$A$3:$A$10005),0),MATCH('Reg 85'!$AG$11,'DMR 001C TIN &amp; TP'!$A$2:$M$2,0))),"")</f>
        <v/>
      </c>
      <c r="AH265" s="6" t="str">
        <f t="array" ref="AH265">_xlfn.IFNA((INDEX('DMR 001C TIN &amp; TP'!$A$3:$M$10005,MATCH(('Reg 85'!$X$6&amp;'Reg 85'!AH$10&amp;'Reg 85'!$B265),('DMR 001C TIN &amp; TP'!$E$3:$E$10005&amp;'DMR 001C TIN &amp; TP'!$B$3:$B$10005&amp;'DMR 001C TIN &amp; TP'!$A$3:$A$10005),0),MATCH('Reg 85'!$AG$11,'DMR 001C TIN &amp; TP'!$A$2:$M$2,0))),"")</f>
        <v/>
      </c>
      <c r="AI265" s="6" t="str">
        <f t="array" ref="AI265">_xlfn.IFNA((INDEX('DMR 001C TIN &amp; TP'!$A$3:$M$10005,MATCH(('Reg 85'!$X$6&amp;'Reg 85'!AI$10&amp;'Reg 85'!$B265),('DMR 001C TIN &amp; TP'!$E$3:$E$10005&amp;'DMR 001C TIN &amp; TP'!$B$3:$B$10005&amp;'DMR 001C TIN &amp; TP'!$A$3:$A$10005),0),MATCH('Reg 85'!$AG$11,'DMR 001C TIN &amp; TP'!$A$2:$M$2,0))),"")</f>
        <v/>
      </c>
      <c r="AJ265" s="6" t="str">
        <f t="array" ref="AJ265">_xlfn.IFNA((INDEX('DMR 001C TIN &amp; TP'!$A$3:$M$10005,MATCH(('Reg 85'!$X$6&amp;'Reg 85'!AJ$10&amp;'Reg 85'!$B265),('DMR 001C TIN &amp; TP'!$E$3:$E$10005&amp;'DMR 001C TIN &amp; TP'!$B$3:$B$10005&amp;'DMR 001C TIN &amp; TP'!$A$3:$A$10005),0),MATCH('Reg 85'!$AG$11,'DMR 001C TIN &amp; TP'!$A$2:$M$2,0))),"")</f>
        <v/>
      </c>
      <c r="AK265" s="6" t="str">
        <f t="array" ref="AK265">_xlfn.IFNA((INDEX('DMR 001C TIN &amp; TP'!$A$3:$M$10005,MATCH(('Reg 85'!$X$6&amp;'Reg 85'!AK$10&amp;'Reg 85'!$B265),('DMR 001C TIN &amp; TP'!$E$3:$E$10005&amp;'DMR 001C TIN &amp; TP'!$B$3:$B$10005&amp;'DMR 001C TIN &amp; TP'!$A$3:$A$10005),0),MATCH('Reg 85'!$AG$11,'DMR 001C TIN &amp; TP'!$A$2:$M$2,0))),"")</f>
        <v/>
      </c>
      <c r="AL265" s="6" t="str">
        <f t="array" ref="AL265">_xlfn.IFNA((INDEX('DMR 001C TIN &amp; TP'!$A$3:$M$10005,MATCH(('Reg 85'!$X$6&amp;'Reg 85'!AL$10&amp;'Reg 85'!$B265),('DMR 001C TIN &amp; TP'!$E$3:$E$10005&amp;'DMR 001C TIN &amp; TP'!$B$3:$B$10005&amp;'DMR 001C TIN &amp; TP'!$A$3:$A$10005),0),MATCH('Reg 85'!$AG$11,'DMR 001C TIN &amp; TP'!$A$2:$M$2,0))),"")</f>
        <v/>
      </c>
      <c r="AM265" s="76"/>
      <c r="AN265" s="6"/>
      <c r="AO265" s="54">
        <f t="shared" si="83"/>
        <v>5.7560636690674958</v>
      </c>
      <c r="AP265" s="77" t="str">
        <f t="shared" si="102"/>
        <v/>
      </c>
      <c r="AQ265" s="47"/>
      <c r="AR265" s="6" t="str">
        <f t="array" ref="AR265">_xlfn.IFNA((INDEX('DMR 001C TIN &amp; TP'!$A$3:$M$10005,MATCH(('Reg 85'!$AQ$6&amp;'Reg 85'!$AQ$10&amp;'Reg 85'!$B265),('DMR 001C TIN &amp; TP'!$E$3:$E$10005&amp;'DMR 001C TIN &amp; TP'!$B$3:$B$10005&amp;'DMR 001C TIN &amp; TP'!$A$3:$A$10005),0),MATCH('Reg 85'!$AR$11,'DMR 001C TIN &amp; TP'!$A$2:$M$2,0))),"")</f>
        <v/>
      </c>
      <c r="AS265" s="6" t="str">
        <f t="array" ref="AS265">_xlfn.IFNA((INDEX('DMR 001C TIN &amp; TP'!$A$3:$M$10005,MATCH(('Reg 85'!$AQ$6&amp;'Reg 85'!$AQ$10&amp;'Reg 85'!$B265),('DMR 001C TIN &amp; TP'!$E$3:$E$10005&amp;'DMR 001C TIN &amp; TP'!$B$3:$B$10005&amp;'DMR 001C TIN &amp; TP'!$A$3:$A$10005),0),MATCH('Reg 85'!$AS$11,'DMR 001C TIN &amp; TP'!$A$2:$M$2,0))),"")</f>
        <v/>
      </c>
      <c r="AT265" s="53" t="str">
        <f t="shared" si="97"/>
        <v/>
      </c>
      <c r="AV265" s="6" t="str">
        <f t="array" ref="AV265">_xlfn.IFNA((INDEX('DMR 001C TIN &amp; TP'!$A$3:$M$10005,MATCH(('Reg 85'!$AQ$6&amp;'Reg 85'!$AU$10&amp;'Reg 85'!$B265),('DMR 001C TIN &amp; TP'!$E$3:$E$10005&amp;'DMR 001C TIN &amp; TP'!$B$3:$B$10005&amp;'DMR 001C TIN &amp; TP'!$A$3:$A$10005),0),MATCH('Reg 85'!$AV$11,'DMR 001C TIN &amp; TP'!$A$2:$M$2,0))),"")</f>
        <v/>
      </c>
      <c r="AW265" s="6" t="str">
        <f t="array" ref="AW265">_xlfn.IFNA((INDEX('DMR 001C TIN &amp; TP'!$A$3:$M$10005,MATCH(('Reg 85'!$AQ$6&amp;'Reg 85'!$AU$10&amp;'Reg 85'!$B265),('DMR 001C TIN &amp; TP'!$E$3:$E$10005&amp;'DMR 001C TIN &amp; TP'!$B$3:$B$10005&amp;'DMR 001C TIN &amp; TP'!$A$3:$A$10005),0),MATCH('Reg 85'!$AW$11,'DMR 001C TIN &amp; TP'!$A$2:$M$2,0))),"")</f>
        <v/>
      </c>
      <c r="AX265" s="53" t="str">
        <f t="shared" si="98"/>
        <v/>
      </c>
      <c r="AY265" s="55" t="str">
        <f t="shared" si="99"/>
        <v/>
      </c>
      <c r="AZ265" s="77" t="str">
        <f t="shared" si="103"/>
        <v/>
      </c>
      <c r="BA265" s="6" t="str">
        <f t="array" ref="BA265">_xlfn.IFNA((INDEX('DMR 001C TIN &amp; TP'!$A$3:$M$10005,MATCH(('Reg 85'!$AQ$6&amp;'Reg 85'!BA$10&amp;'Reg 85'!$B265),('DMR 001C TIN &amp; TP'!$E$3:$E$10005&amp;'DMR 001C TIN &amp; TP'!$B$3:$B$10005&amp;'DMR 001C TIN &amp; TP'!$A$3:$A$10005),0),MATCH('Reg 85'!$AG$11,'DMR 001C TIN &amp; TP'!$A$2:$M$2,0))),"")</f>
        <v/>
      </c>
      <c r="BB265" s="6" t="str">
        <f t="array" ref="BB265">_xlfn.IFNA((INDEX('DMR 001C TIN &amp; TP'!$A$3:$M$10005,MATCH(('Reg 85'!$AQ$6&amp;'Reg 85'!BB$10&amp;'Reg 85'!$B265),('DMR 001C TIN &amp; TP'!$E$3:$E$10005&amp;'DMR 001C TIN &amp; TP'!$B$3:$B$10005&amp;'DMR 001C TIN &amp; TP'!$A$3:$A$10005),0),MATCH('Reg 85'!$AG$11,'DMR 001C TIN &amp; TP'!$A$2:$M$2,0))),"")</f>
        <v/>
      </c>
      <c r="BC265" s="6" t="str">
        <f t="array" ref="BC265">_xlfn.IFNA((INDEX('DMR 001C TIN &amp; TP'!$A$3:$M$10005,MATCH(('Reg 85'!$AQ$6&amp;'Reg 85'!BC$10&amp;'Reg 85'!$B265),('DMR 001C TIN &amp; TP'!$E$3:$E$10005&amp;'DMR 001C TIN &amp; TP'!$B$3:$B$10005&amp;'DMR 001C TIN &amp; TP'!$A$3:$A$10005),0),MATCH('Reg 85'!$AG$11,'DMR 001C TIN &amp; TP'!$A$2:$M$2,0))),"")</f>
        <v/>
      </c>
      <c r="BD265" s="6" t="str">
        <f t="array" ref="BD265">_xlfn.IFNA((INDEX('DMR 001C TIN &amp; TP'!$A$3:$M$10005,MATCH(('Reg 85'!$AQ$6&amp;'Reg 85'!BD$10&amp;'Reg 85'!$B265),('DMR 001C TIN &amp; TP'!$E$3:$E$10005&amp;'DMR 001C TIN &amp; TP'!$B$3:$B$10005&amp;'DMR 001C TIN &amp; TP'!$A$3:$A$10005),0),MATCH('Reg 85'!$AG$11,'DMR 001C TIN &amp; TP'!$A$2:$M$2,0))),"")</f>
        <v/>
      </c>
      <c r="BE265" s="6" t="str">
        <f t="array" ref="BE265">_xlfn.IFNA((INDEX('DMR 001C TIN &amp; TP'!$A$3:$M$10005,MATCH(('Reg 85'!$AQ$6&amp;'Reg 85'!BE$10&amp;'Reg 85'!$B265),('DMR 001C TIN &amp; TP'!$E$3:$E$10005&amp;'DMR 001C TIN &amp; TP'!$B$3:$B$10005&amp;'DMR 001C TIN &amp; TP'!$A$3:$A$10005),0),MATCH('Reg 85'!$AG$11,'DMR 001C TIN &amp; TP'!$A$2:$M$2,0))),"")</f>
        <v/>
      </c>
      <c r="BF265" s="6" t="str">
        <f t="array" ref="BF265">_xlfn.IFNA((INDEX('DMR 001C TIN &amp; TP'!$A$3:$M$10005,MATCH(('Reg 85'!$AQ$6&amp;'Reg 85'!BF$10&amp;'Reg 85'!$B265),('DMR 001C TIN &amp; TP'!$E$3:$E$10005&amp;'DMR 001C TIN &amp; TP'!$B$3:$B$10005&amp;'DMR 001C TIN &amp; TP'!$A$3:$A$10005),0),MATCH('Reg 85'!$AG$11,'DMR 001C TIN &amp; TP'!$A$2:$M$2,0))),"")</f>
        <v/>
      </c>
    </row>
    <row r="266" spans="1:58">
      <c r="A266" s="3" t="str">
        <f t="shared" si="84"/>
        <v>Mon</v>
      </c>
      <c r="B266" s="96">
        <f t="shared" si="100"/>
        <v>43598</v>
      </c>
      <c r="C266" s="96">
        <f t="shared" si="85"/>
        <v>43616</v>
      </c>
      <c r="D266" s="96">
        <f t="shared" si="86"/>
        <v>43586</v>
      </c>
      <c r="E266" s="95">
        <f t="shared" si="87"/>
        <v>31</v>
      </c>
      <c r="F266" s="7">
        <f t="array" ref="F266">_xlfn.IFNA(INDEX('DMR Flows-Effluent'!$A$3:$F$9999,MATCH(($F$10&amp;$B266),('DMR Flows-Effluent'!$B$3:$B$9999&amp;'DMR Flows-Effluent'!$A$3:$A$9999),0),MATCH($F$8,'DMR Flows-Effluent'!$A$2:$F$2,0)),"")</f>
        <v>73.344899999999996</v>
      </c>
      <c r="G266" s="7">
        <f t="array" ref="G266">_xlfn.IFNA(INDEX('DMR Flows-Effluent'!$A$3:$F$9999,MATCH(($G$10&amp;$B266),('DMR Flows-Effluent'!$B$3:$B$9999&amp;'DMR Flows-Effluent'!$A$3:$A$9999),0),MATCH($F$8,'DMR Flows-Effluent'!$A$2:$F$2,0)),"")</f>
        <v>56.042700000000004</v>
      </c>
      <c r="H266" s="7">
        <f t="shared" si="88"/>
        <v>129.38759999999999</v>
      </c>
      <c r="I266" s="45" t="str">
        <f t="shared" si="89"/>
        <v/>
      </c>
      <c r="J266" s="6" t="str">
        <f t="array" ref="J266">_xlfn.IFNA((INDEX('DMR 001C TIN &amp; TP'!$A$3:$M$10005,MATCH(('Reg 85'!$I$6:$Q$6&amp;'Reg 85'!$I$10:$K$10&amp;'Reg 85'!$B266),('DMR 001C TIN &amp; TP'!$E$3:$E$10005&amp;'DMR 001C TIN &amp; TP'!$B$3:$B$10005&amp;'DMR 001C TIN &amp; TP'!$A$3:$A$10005),0),MATCH('Reg 85'!$J$11,'DMR 001C TIN &amp; TP'!$A$2:$M$2,0))),"")</f>
        <v/>
      </c>
      <c r="K266" s="6" t="str">
        <f t="array" ref="K266">_xlfn.IFNA((INDEX('DMR 001C TIN &amp; TP'!$A$3:$M$10005,MATCH(('Reg 85'!$I$6:$Q$6&amp;'Reg 85'!$I$10:$K$10&amp;'Reg 85'!$B266),('DMR 001C TIN &amp; TP'!$E$3:$E$10005&amp;'DMR 001C TIN &amp; TP'!$B$3:$B$10005&amp;'DMR 001C TIN &amp; TP'!$A$3:$A$10005),0),MATCH('Reg 85'!$K$11,'DMR 001C TIN &amp; TP'!$A$2:$M$2,0))),"")</f>
        <v/>
      </c>
      <c r="L266" s="53" t="str">
        <f t="shared" si="101"/>
        <v/>
      </c>
      <c r="M266" s="5" t="str">
        <f t="shared" si="90"/>
        <v/>
      </c>
      <c r="N266" s="6" t="str">
        <f t="array" ref="N266">_xlfn.IFNA((INDEX('DMR 001C TIN &amp; TP'!$A$3:$M$10005,MATCH(('Reg 85'!$I$6:$Q$6&amp;'Reg 85'!$M$10&amp;'Reg 85'!$B266),('DMR 001C TIN &amp; TP'!$E$3:$E$10005&amp;'DMR 001C TIN &amp; TP'!$B$3:$B$10005&amp;'DMR 001C TIN &amp; TP'!$A$3:$A$10005),0),MATCH('Reg 85'!$N$11,'DMR 001C TIN &amp; TP'!$A$2:$M$2,0))),"")</f>
        <v/>
      </c>
      <c r="O266" s="6" t="str">
        <f t="array" ref="O266">_xlfn.IFNA((INDEX('DMR 001C TIN &amp; TP'!$A$3:$M$10005,MATCH(('Reg 85'!$I$6:$Q$6&amp;'Reg 85'!$M$10&amp;'Reg 85'!$B266),('DMR 001C TIN &amp; TP'!$E$3:$E$10005&amp;'DMR 001C TIN &amp; TP'!$B$3:$B$10005&amp;'DMR 001C TIN &amp; TP'!$A$3:$A$10005),0),MATCH('Reg 85'!$O$11,'DMR 001C TIN &amp; TP'!$A$2:$M$2,0))),"")</f>
        <v/>
      </c>
      <c r="P266" s="53" t="str">
        <f t="shared" si="91"/>
        <v/>
      </c>
      <c r="Q266" s="73" t="str">
        <f t="array" ref="Q266">IFERROR(((L266*$F266)+(P266*$G266))/($H266),"")</f>
        <v/>
      </c>
      <c r="R266" s="6" t="str">
        <f t="array" ref="R266">_xlfn.IFNA((INDEX('DMR 001C TIN &amp; TP'!$A$3:$M$10005,MATCH(('Reg 85'!$I$6:$Q$6&amp;'Reg 85'!R$10&amp;'Reg 85'!$B266),('DMR 001C TIN &amp; TP'!$E$3:$E$10005&amp;'DMR 001C TIN &amp; TP'!$B$3:$B$10005&amp;'DMR 001C TIN &amp; TP'!$A$3:$A$10005),0),MATCH('Reg 85'!$O$11,'DMR 001C TIN &amp; TP'!$A$2:$M$2,0))),"")</f>
        <v/>
      </c>
      <c r="S266" s="6" t="str">
        <f t="array" ref="S266">_xlfn.IFNA((INDEX('DMR 001C TIN &amp; TP'!$A$3:$M$10005,MATCH(('Reg 85'!$I$6:$Q$6&amp;'Reg 85'!S$10&amp;'Reg 85'!$B266),('DMR 001C TIN &amp; TP'!$E$3:$E$10005&amp;'DMR 001C TIN &amp; TP'!$B$3:$B$10005&amp;'DMR 001C TIN &amp; TP'!$A$3:$A$10005),0),MATCH('Reg 85'!$O$11,'DMR 001C TIN &amp; TP'!$A$2:$M$2,0))),"")</f>
        <v/>
      </c>
      <c r="T266" s="6" t="str">
        <f t="array" ref="T266">_xlfn.IFNA((INDEX('DMR 001C TIN &amp; TP'!$A$3:$M$10005,MATCH(('Reg 85'!$I$6:$Q$6&amp;'Reg 85'!T$10&amp;'Reg 85'!$B266),('DMR 001C TIN &amp; TP'!$E$3:$E$10005&amp;'DMR 001C TIN &amp; TP'!$B$3:$B$10005&amp;'DMR 001C TIN &amp; TP'!$A$3:$A$10005),0),MATCH('Reg 85'!$O$11,'DMR 001C TIN &amp; TP'!$A$2:$M$2,0))),"")</f>
        <v/>
      </c>
      <c r="U266" s="6" t="str">
        <f t="array" ref="U266">_xlfn.IFNA((INDEX('DMR 001C TIN &amp; TP'!$A$3:$M$10005,MATCH(('Reg 85'!$I$6:$Q$6&amp;'Reg 85'!U$10&amp;'Reg 85'!$B266),('DMR 001C TIN &amp; TP'!$E$3:$E$10005&amp;'DMR 001C TIN &amp; TP'!$B$3:$B$10005&amp;'DMR 001C TIN &amp; TP'!$A$3:$A$10005),0),MATCH('Reg 85'!$O$11,'DMR 001C TIN &amp; TP'!$A$2:$M$2,0))),"")</f>
        <v/>
      </c>
      <c r="V266" s="6" t="str">
        <f t="array" ref="V266">_xlfn.IFNA((INDEX('DMR 001C TIN &amp; TP'!$A$3:$M$10005,MATCH(('Reg 85'!$I$6:$Q$6&amp;'Reg 85'!V$10&amp;'Reg 85'!$B266),('DMR 001C TIN &amp; TP'!$E$3:$E$10005&amp;'DMR 001C TIN &amp; TP'!$B$3:$B$10005&amp;'DMR 001C TIN &amp; TP'!$A$3:$A$10005),0),MATCH('Reg 85'!$O$11,'DMR 001C TIN &amp; TP'!$A$2:$M$2,0))),"")</f>
        <v/>
      </c>
      <c r="W266" s="6" t="str">
        <f t="array" ref="W266">_xlfn.IFNA((INDEX('DMR 001C TIN &amp; TP'!$A$3:$M$10005,MATCH(('Reg 85'!$I$6:$Q$6&amp;'Reg 85'!W$10&amp;'Reg 85'!$B266),('DMR 001C TIN &amp; TP'!$E$3:$E$10005&amp;'DMR 001C TIN &amp; TP'!$B$3:$B$10005&amp;'DMR 001C TIN &amp; TP'!$A$3:$A$10005),0),MATCH('Reg 85'!$O$11,'DMR 001C TIN &amp; TP'!$A$2:$M$2,0))),"")</f>
        <v/>
      </c>
      <c r="X266" s="5" t="str">
        <f t="shared" si="92"/>
        <v/>
      </c>
      <c r="Y266" s="6" t="str">
        <f t="array" ref="Y266">_xlfn.IFNA((INDEX('DMR 001C TIN &amp; TP'!$A$3:$M$10005,MATCH(('Reg 85'!$X$6&amp;'Reg 85'!$X$10&amp;'Reg 85'!$B266),('DMR 001C TIN &amp; TP'!$E$3:$E$10005&amp;'DMR 001C TIN &amp; TP'!$B$3:$B$10005&amp;'DMR 001C TIN &amp; TP'!$A$3:$A$10005),0),MATCH('Reg 85'!$Y$11,'DMR 001C TIN &amp; TP'!$A$2:$M$2,0))),"")</f>
        <v/>
      </c>
      <c r="Z266" s="6" t="str">
        <f t="array" ref="Z266">_xlfn.IFNA((INDEX('DMR 001C TIN &amp; TP'!$A$3:$M$10005,MATCH(('Reg 85'!$X$6&amp;'Reg 85'!$X$10&amp;'Reg 85'!$B266),('DMR 001C TIN &amp; TP'!$E$3:$E$10005&amp;'DMR 001C TIN &amp; TP'!$B$3:$B$10005&amp;'DMR 001C TIN &amp; TP'!$A$3:$A$10005),0),MATCH('Reg 85'!$Z$11,'DMR 001C TIN &amp; TP'!$A$2:$M$2,0))),"")</f>
        <v/>
      </c>
      <c r="AA266" s="53" t="str">
        <f t="shared" si="93"/>
        <v/>
      </c>
      <c r="AB266" s="5" t="str">
        <f t="shared" si="94"/>
        <v/>
      </c>
      <c r="AC266" s="6" t="str">
        <f t="array" ref="AC266">_xlfn.IFNA((INDEX('DMR 001C TIN &amp; TP'!$A$3:$M$10005,MATCH(('Reg 85'!$X$6&amp;'Reg 85'!$AB$10&amp;'Reg 85'!$B266),('DMR 001C TIN &amp; TP'!$E$3:$E$10005&amp;'DMR 001C TIN &amp; TP'!$B$3:$B$10005&amp;'DMR 001C TIN &amp; TP'!$A$3:$A$10005),0),MATCH('Reg 85'!$AC$11,'DMR 001C TIN &amp; TP'!$A$2:$M$2,0))),"")</f>
        <v/>
      </c>
      <c r="AD266" s="6" t="str">
        <f t="array" ref="AD266">_xlfn.IFNA((INDEX('DMR 001C TIN &amp; TP'!$A$3:$M$10005,MATCH(('Reg 85'!$X$6&amp;'Reg 85'!$AB$10&amp;'Reg 85'!$B266),('DMR 001C TIN &amp; TP'!$E$3:$E$10005&amp;'DMR 001C TIN &amp; TP'!$B$3:$B$10005&amp;'DMR 001C TIN &amp; TP'!$A$3:$A$10005),0),MATCH('Reg 85'!$AD$11,'DMR 001C TIN &amp; TP'!$A$2:$M$2,0))),"")</f>
        <v/>
      </c>
      <c r="AE266" s="53" t="str">
        <f t="shared" si="95"/>
        <v/>
      </c>
      <c r="AF266" s="7" t="str">
        <f t="shared" si="96"/>
        <v/>
      </c>
      <c r="AG266" s="6" t="str">
        <f t="array" ref="AG266">_xlfn.IFNA((INDEX('DMR 001C TIN &amp; TP'!$A$3:$M$10005,MATCH(('Reg 85'!$X$6&amp;'Reg 85'!AG$10&amp;'Reg 85'!$B266),('DMR 001C TIN &amp; TP'!$E$3:$E$10005&amp;'DMR 001C TIN &amp; TP'!$B$3:$B$10005&amp;'DMR 001C TIN &amp; TP'!$A$3:$A$10005),0),MATCH('Reg 85'!$AG$11,'DMR 001C TIN &amp; TP'!$A$2:$M$2,0))),"")</f>
        <v/>
      </c>
      <c r="AH266" s="6" t="str">
        <f t="array" ref="AH266">_xlfn.IFNA((INDEX('DMR 001C TIN &amp; TP'!$A$3:$M$10005,MATCH(('Reg 85'!$X$6&amp;'Reg 85'!AH$10&amp;'Reg 85'!$B266),('DMR 001C TIN &amp; TP'!$E$3:$E$10005&amp;'DMR 001C TIN &amp; TP'!$B$3:$B$10005&amp;'DMR 001C TIN &amp; TP'!$A$3:$A$10005),0),MATCH('Reg 85'!$AG$11,'DMR 001C TIN &amp; TP'!$A$2:$M$2,0))),"")</f>
        <v/>
      </c>
      <c r="AI266" s="6" t="str">
        <f t="array" ref="AI266">_xlfn.IFNA((INDEX('DMR 001C TIN &amp; TP'!$A$3:$M$10005,MATCH(('Reg 85'!$X$6&amp;'Reg 85'!AI$10&amp;'Reg 85'!$B266),('DMR 001C TIN &amp; TP'!$E$3:$E$10005&amp;'DMR 001C TIN &amp; TP'!$B$3:$B$10005&amp;'DMR 001C TIN &amp; TP'!$A$3:$A$10005),0),MATCH('Reg 85'!$AG$11,'DMR 001C TIN &amp; TP'!$A$2:$M$2,0))),"")</f>
        <v/>
      </c>
      <c r="AJ266" s="6" t="str">
        <f t="array" ref="AJ266">_xlfn.IFNA((INDEX('DMR 001C TIN &amp; TP'!$A$3:$M$10005,MATCH(('Reg 85'!$X$6&amp;'Reg 85'!AJ$10&amp;'Reg 85'!$B266),('DMR 001C TIN &amp; TP'!$E$3:$E$10005&amp;'DMR 001C TIN &amp; TP'!$B$3:$B$10005&amp;'DMR 001C TIN &amp; TP'!$A$3:$A$10005),0),MATCH('Reg 85'!$AG$11,'DMR 001C TIN &amp; TP'!$A$2:$M$2,0))),"")</f>
        <v/>
      </c>
      <c r="AK266" s="6" t="str">
        <f t="array" ref="AK266">_xlfn.IFNA((INDEX('DMR 001C TIN &amp; TP'!$A$3:$M$10005,MATCH(('Reg 85'!$X$6&amp;'Reg 85'!AK$10&amp;'Reg 85'!$B266),('DMR 001C TIN &amp; TP'!$E$3:$E$10005&amp;'DMR 001C TIN &amp; TP'!$B$3:$B$10005&amp;'DMR 001C TIN &amp; TP'!$A$3:$A$10005),0),MATCH('Reg 85'!$AG$11,'DMR 001C TIN &amp; TP'!$A$2:$M$2,0))),"")</f>
        <v/>
      </c>
      <c r="AL266" s="6" t="str">
        <f t="array" ref="AL266">_xlfn.IFNA((INDEX('DMR 001C TIN &amp; TP'!$A$3:$M$10005,MATCH(('Reg 85'!$X$6&amp;'Reg 85'!AL$10&amp;'Reg 85'!$B266),('DMR 001C TIN &amp; TP'!$E$3:$E$10005&amp;'DMR 001C TIN &amp; TP'!$B$3:$B$10005&amp;'DMR 001C TIN &amp; TP'!$A$3:$A$10005),0),MATCH('Reg 85'!$AG$11,'DMR 001C TIN &amp; TP'!$A$2:$M$2,0))),"")</f>
        <v/>
      </c>
      <c r="AM266" s="76"/>
      <c r="AN266" s="6"/>
      <c r="AO266" s="54" t="str">
        <f t="shared" si="83"/>
        <v/>
      </c>
      <c r="AP266" s="77" t="str">
        <f t="shared" si="102"/>
        <v/>
      </c>
      <c r="AQ266" s="47"/>
      <c r="AR266" s="6" t="str">
        <f t="array" ref="AR266">_xlfn.IFNA((INDEX('DMR 001C TIN &amp; TP'!$A$3:$M$10005,MATCH(('Reg 85'!$AQ$6&amp;'Reg 85'!$AQ$10&amp;'Reg 85'!$B266),('DMR 001C TIN &amp; TP'!$E$3:$E$10005&amp;'DMR 001C TIN &amp; TP'!$B$3:$B$10005&amp;'DMR 001C TIN &amp; TP'!$A$3:$A$10005),0),MATCH('Reg 85'!$AR$11,'DMR 001C TIN &amp; TP'!$A$2:$M$2,0))),"")</f>
        <v>0.03</v>
      </c>
      <c r="AS266" s="6">
        <f t="array" ref="AS266">_xlfn.IFNA((INDEX('DMR 001C TIN &amp; TP'!$A$3:$M$10005,MATCH(('Reg 85'!$AQ$6&amp;'Reg 85'!$AQ$10&amp;'Reg 85'!$B266),('DMR 001C TIN &amp; TP'!$E$3:$E$10005&amp;'DMR 001C TIN &amp; TP'!$B$3:$B$10005&amp;'DMR 001C TIN &amp; TP'!$A$3:$A$10005),0),MATCH('Reg 85'!$AS$11,'DMR 001C TIN &amp; TP'!$A$2:$M$2,0))),"")</f>
        <v>0.37</v>
      </c>
      <c r="AT266" s="53">
        <f t="shared" si="97"/>
        <v>0.37</v>
      </c>
      <c r="AV266" s="6" t="str">
        <f t="array" ref="AV266">_xlfn.IFNA((INDEX('DMR 001C TIN &amp; TP'!$A$3:$M$10005,MATCH(('Reg 85'!$AQ$6&amp;'Reg 85'!$AU$10&amp;'Reg 85'!$B266),('DMR 001C TIN &amp; TP'!$E$3:$E$10005&amp;'DMR 001C TIN &amp; TP'!$B$3:$B$10005&amp;'DMR 001C TIN &amp; TP'!$A$3:$A$10005),0),MATCH('Reg 85'!$AV$11,'DMR 001C TIN &amp; TP'!$A$2:$M$2,0))),"")</f>
        <v>0.03</v>
      </c>
      <c r="AW266" s="6">
        <f t="array" ref="AW266">_xlfn.IFNA((INDEX('DMR 001C TIN &amp; TP'!$A$3:$M$10005,MATCH(('Reg 85'!$AQ$6&amp;'Reg 85'!$AU$10&amp;'Reg 85'!$B266),('DMR 001C TIN &amp; TP'!$E$3:$E$10005&amp;'DMR 001C TIN &amp; TP'!$B$3:$B$10005&amp;'DMR 001C TIN &amp; TP'!$A$3:$A$10005),0),MATCH('Reg 85'!$AW$11,'DMR 001C TIN &amp; TP'!$A$2:$M$2,0))),"")</f>
        <v>3.31</v>
      </c>
      <c r="AX266" s="53">
        <f t="shared" si="98"/>
        <v>3.31</v>
      </c>
      <c r="AY266" s="55">
        <f t="shared" si="99"/>
        <v>1.6434260315517097</v>
      </c>
      <c r="AZ266" s="77" t="str">
        <f t="shared" si="103"/>
        <v/>
      </c>
      <c r="BA266" s="6" t="str">
        <f t="array" ref="BA266">_xlfn.IFNA((INDEX('DMR 001C TIN &amp; TP'!$A$3:$M$10005,MATCH(('Reg 85'!$AQ$6&amp;'Reg 85'!BA$10&amp;'Reg 85'!$B266),('DMR 001C TIN &amp; TP'!$E$3:$E$10005&amp;'DMR 001C TIN &amp; TP'!$B$3:$B$10005&amp;'DMR 001C TIN &amp; TP'!$A$3:$A$10005),0),MATCH('Reg 85'!$AG$11,'DMR 001C TIN &amp; TP'!$A$2:$M$2,0))),"")</f>
        <v/>
      </c>
      <c r="BB266" s="6" t="str">
        <f t="array" ref="BB266">_xlfn.IFNA((INDEX('DMR 001C TIN &amp; TP'!$A$3:$M$10005,MATCH(('Reg 85'!$AQ$6&amp;'Reg 85'!BB$10&amp;'Reg 85'!$B266),('DMR 001C TIN &amp; TP'!$E$3:$E$10005&amp;'DMR 001C TIN &amp; TP'!$B$3:$B$10005&amp;'DMR 001C TIN &amp; TP'!$A$3:$A$10005),0),MATCH('Reg 85'!$AG$11,'DMR 001C TIN &amp; TP'!$A$2:$M$2,0))),"")</f>
        <v/>
      </c>
      <c r="BC266" s="6" t="str">
        <f t="array" ref="BC266">_xlfn.IFNA((INDEX('DMR 001C TIN &amp; TP'!$A$3:$M$10005,MATCH(('Reg 85'!$AQ$6&amp;'Reg 85'!BC$10&amp;'Reg 85'!$B266),('DMR 001C TIN &amp; TP'!$E$3:$E$10005&amp;'DMR 001C TIN &amp; TP'!$B$3:$B$10005&amp;'DMR 001C TIN &amp; TP'!$A$3:$A$10005),0),MATCH('Reg 85'!$AG$11,'DMR 001C TIN &amp; TP'!$A$2:$M$2,0))),"")</f>
        <v/>
      </c>
      <c r="BD266" s="6" t="str">
        <f t="array" ref="BD266">_xlfn.IFNA((INDEX('DMR 001C TIN &amp; TP'!$A$3:$M$10005,MATCH(('Reg 85'!$AQ$6&amp;'Reg 85'!BD$10&amp;'Reg 85'!$B266),('DMR 001C TIN &amp; TP'!$E$3:$E$10005&amp;'DMR 001C TIN &amp; TP'!$B$3:$B$10005&amp;'DMR 001C TIN &amp; TP'!$A$3:$A$10005),0),MATCH('Reg 85'!$AG$11,'DMR 001C TIN &amp; TP'!$A$2:$M$2,0))),"")</f>
        <v/>
      </c>
      <c r="BE266" s="6" t="str">
        <f t="array" ref="BE266">_xlfn.IFNA((INDEX('DMR 001C TIN &amp; TP'!$A$3:$M$10005,MATCH(('Reg 85'!$AQ$6&amp;'Reg 85'!BE$10&amp;'Reg 85'!$B266),('DMR 001C TIN &amp; TP'!$E$3:$E$10005&amp;'DMR 001C TIN &amp; TP'!$B$3:$B$10005&amp;'DMR 001C TIN &amp; TP'!$A$3:$A$10005),0),MATCH('Reg 85'!$AG$11,'DMR 001C TIN &amp; TP'!$A$2:$M$2,0))),"")</f>
        <v/>
      </c>
      <c r="BF266" s="6" t="str">
        <f t="array" ref="BF266">_xlfn.IFNA((INDEX('DMR 001C TIN &amp; TP'!$A$3:$M$10005,MATCH(('Reg 85'!$AQ$6&amp;'Reg 85'!BF$10&amp;'Reg 85'!$B266),('DMR 001C TIN &amp; TP'!$E$3:$E$10005&amp;'DMR 001C TIN &amp; TP'!$B$3:$B$10005&amp;'DMR 001C TIN &amp; TP'!$A$3:$A$10005),0),MATCH('Reg 85'!$AG$11,'DMR 001C TIN &amp; TP'!$A$2:$M$2,0))),"")</f>
        <v/>
      </c>
    </row>
    <row r="267" spans="1:58">
      <c r="A267" s="3" t="str">
        <f t="shared" si="84"/>
        <v>Tue</v>
      </c>
      <c r="B267" s="96">
        <f t="shared" si="100"/>
        <v>43599</v>
      </c>
      <c r="C267" s="96">
        <f t="shared" si="85"/>
        <v>43616</v>
      </c>
      <c r="D267" s="96">
        <f t="shared" si="86"/>
        <v>43586</v>
      </c>
      <c r="E267" s="95">
        <f t="shared" si="87"/>
        <v>31</v>
      </c>
      <c r="F267" s="7">
        <f t="array" ref="F267">_xlfn.IFNA(INDEX('DMR Flows-Effluent'!$A$3:$F$9999,MATCH(($F$10&amp;$B267),('DMR Flows-Effluent'!$B$3:$B$9999&amp;'DMR Flows-Effluent'!$A$3:$A$9999),0),MATCH($F$8,'DMR Flows-Effluent'!$A$2:$F$2,0)),"")</f>
        <v>74.102400000000003</v>
      </c>
      <c r="G267" s="7">
        <f t="array" ref="G267">_xlfn.IFNA(INDEX('DMR Flows-Effluent'!$A$3:$F$9999,MATCH(($G$10&amp;$B267),('DMR Flows-Effluent'!$B$3:$B$9999&amp;'DMR Flows-Effluent'!$A$3:$A$9999),0),MATCH($F$8,'DMR Flows-Effluent'!$A$2:$F$2,0)),"")</f>
        <v>54.624200000000002</v>
      </c>
      <c r="H267" s="7">
        <f t="shared" si="88"/>
        <v>128.72660000000002</v>
      </c>
      <c r="I267" s="45" t="str">
        <f t="shared" si="89"/>
        <v/>
      </c>
      <c r="J267" s="6" t="str">
        <f t="array" ref="J267">_xlfn.IFNA((INDEX('DMR 001C TIN &amp; TP'!$A$3:$M$10005,MATCH(('Reg 85'!$I$6:$Q$6&amp;'Reg 85'!$I$10:$K$10&amp;'Reg 85'!$B267),('DMR 001C TIN &amp; TP'!$E$3:$E$10005&amp;'DMR 001C TIN &amp; TP'!$B$3:$B$10005&amp;'DMR 001C TIN &amp; TP'!$A$3:$A$10005),0),MATCH('Reg 85'!$J$11,'DMR 001C TIN &amp; TP'!$A$2:$M$2,0))),"")</f>
        <v/>
      </c>
      <c r="K267" s="6" t="str">
        <f t="array" ref="K267">_xlfn.IFNA((INDEX('DMR 001C TIN &amp; TP'!$A$3:$M$10005,MATCH(('Reg 85'!$I$6:$Q$6&amp;'Reg 85'!$I$10:$K$10&amp;'Reg 85'!$B267),('DMR 001C TIN &amp; TP'!$E$3:$E$10005&amp;'DMR 001C TIN &amp; TP'!$B$3:$B$10005&amp;'DMR 001C TIN &amp; TP'!$A$3:$A$10005),0),MATCH('Reg 85'!$K$11,'DMR 001C TIN &amp; TP'!$A$2:$M$2,0))),"")</f>
        <v/>
      </c>
      <c r="L267" s="53" t="str">
        <f t="shared" si="101"/>
        <v/>
      </c>
      <c r="M267" s="5" t="str">
        <f t="shared" si="90"/>
        <v/>
      </c>
      <c r="N267" s="6" t="str">
        <f t="array" ref="N267">_xlfn.IFNA((INDEX('DMR 001C TIN &amp; TP'!$A$3:$M$10005,MATCH(('Reg 85'!$I$6:$Q$6&amp;'Reg 85'!$M$10&amp;'Reg 85'!$B267),('DMR 001C TIN &amp; TP'!$E$3:$E$10005&amp;'DMR 001C TIN &amp; TP'!$B$3:$B$10005&amp;'DMR 001C TIN &amp; TP'!$A$3:$A$10005),0),MATCH('Reg 85'!$N$11,'DMR 001C TIN &amp; TP'!$A$2:$M$2,0))),"")</f>
        <v/>
      </c>
      <c r="O267" s="6" t="str">
        <f t="array" ref="O267">_xlfn.IFNA((INDEX('DMR 001C TIN &amp; TP'!$A$3:$M$10005,MATCH(('Reg 85'!$I$6:$Q$6&amp;'Reg 85'!$M$10&amp;'Reg 85'!$B267),('DMR 001C TIN &amp; TP'!$E$3:$E$10005&amp;'DMR 001C TIN &amp; TP'!$B$3:$B$10005&amp;'DMR 001C TIN &amp; TP'!$A$3:$A$10005),0),MATCH('Reg 85'!$O$11,'DMR 001C TIN &amp; TP'!$A$2:$M$2,0))),"")</f>
        <v/>
      </c>
      <c r="P267" s="53" t="str">
        <f t="shared" si="91"/>
        <v/>
      </c>
      <c r="Q267" s="73" t="str">
        <f t="array" ref="Q267">IFERROR(((L267*$F267)+(P267*$G267))/($H267),"")</f>
        <v/>
      </c>
      <c r="R267" s="6" t="str">
        <f t="array" ref="R267">_xlfn.IFNA((INDEX('DMR 001C TIN &amp; TP'!$A$3:$M$10005,MATCH(('Reg 85'!$I$6:$Q$6&amp;'Reg 85'!R$10&amp;'Reg 85'!$B267),('DMR 001C TIN &amp; TP'!$E$3:$E$10005&amp;'DMR 001C TIN &amp; TP'!$B$3:$B$10005&amp;'DMR 001C TIN &amp; TP'!$A$3:$A$10005),0),MATCH('Reg 85'!$O$11,'DMR 001C TIN &amp; TP'!$A$2:$M$2,0))),"")</f>
        <v/>
      </c>
      <c r="S267" s="6" t="str">
        <f t="array" ref="S267">_xlfn.IFNA((INDEX('DMR 001C TIN &amp; TP'!$A$3:$M$10005,MATCH(('Reg 85'!$I$6:$Q$6&amp;'Reg 85'!S$10&amp;'Reg 85'!$B267),('DMR 001C TIN &amp; TP'!$E$3:$E$10005&amp;'DMR 001C TIN &amp; TP'!$B$3:$B$10005&amp;'DMR 001C TIN &amp; TP'!$A$3:$A$10005),0),MATCH('Reg 85'!$O$11,'DMR 001C TIN &amp; TP'!$A$2:$M$2,0))),"")</f>
        <v/>
      </c>
      <c r="T267" s="6" t="str">
        <f t="array" ref="T267">_xlfn.IFNA((INDEX('DMR 001C TIN &amp; TP'!$A$3:$M$10005,MATCH(('Reg 85'!$I$6:$Q$6&amp;'Reg 85'!T$10&amp;'Reg 85'!$B267),('DMR 001C TIN &amp; TP'!$E$3:$E$10005&amp;'DMR 001C TIN &amp; TP'!$B$3:$B$10005&amp;'DMR 001C TIN &amp; TP'!$A$3:$A$10005),0),MATCH('Reg 85'!$O$11,'DMR 001C TIN &amp; TP'!$A$2:$M$2,0))),"")</f>
        <v/>
      </c>
      <c r="U267" s="6" t="str">
        <f t="array" ref="U267">_xlfn.IFNA((INDEX('DMR 001C TIN &amp; TP'!$A$3:$M$10005,MATCH(('Reg 85'!$I$6:$Q$6&amp;'Reg 85'!U$10&amp;'Reg 85'!$B267),('DMR 001C TIN &amp; TP'!$E$3:$E$10005&amp;'DMR 001C TIN &amp; TP'!$B$3:$B$10005&amp;'DMR 001C TIN &amp; TP'!$A$3:$A$10005),0),MATCH('Reg 85'!$O$11,'DMR 001C TIN &amp; TP'!$A$2:$M$2,0))),"")</f>
        <v/>
      </c>
      <c r="V267" s="6" t="str">
        <f t="array" ref="V267">_xlfn.IFNA((INDEX('DMR 001C TIN &amp; TP'!$A$3:$M$10005,MATCH(('Reg 85'!$I$6:$Q$6&amp;'Reg 85'!V$10&amp;'Reg 85'!$B267),('DMR 001C TIN &amp; TP'!$E$3:$E$10005&amp;'DMR 001C TIN &amp; TP'!$B$3:$B$10005&amp;'DMR 001C TIN &amp; TP'!$A$3:$A$10005),0),MATCH('Reg 85'!$O$11,'DMR 001C TIN &amp; TP'!$A$2:$M$2,0))),"")</f>
        <v/>
      </c>
      <c r="W267" s="6" t="str">
        <f t="array" ref="W267">_xlfn.IFNA((INDEX('DMR 001C TIN &amp; TP'!$A$3:$M$10005,MATCH(('Reg 85'!$I$6:$Q$6&amp;'Reg 85'!W$10&amp;'Reg 85'!$B267),('DMR 001C TIN &amp; TP'!$E$3:$E$10005&amp;'DMR 001C TIN &amp; TP'!$B$3:$B$10005&amp;'DMR 001C TIN &amp; TP'!$A$3:$A$10005),0),MATCH('Reg 85'!$O$11,'DMR 001C TIN &amp; TP'!$A$2:$M$2,0))),"")</f>
        <v/>
      </c>
      <c r="X267" s="5" t="str">
        <f t="shared" si="92"/>
        <v/>
      </c>
      <c r="Y267" s="6" t="str">
        <f t="array" ref="Y267">_xlfn.IFNA((INDEX('DMR 001C TIN &amp; TP'!$A$3:$M$10005,MATCH(('Reg 85'!$X$6&amp;'Reg 85'!$X$10&amp;'Reg 85'!$B267),('DMR 001C TIN &amp; TP'!$E$3:$E$10005&amp;'DMR 001C TIN &amp; TP'!$B$3:$B$10005&amp;'DMR 001C TIN &amp; TP'!$A$3:$A$10005),0),MATCH('Reg 85'!$Y$11,'DMR 001C TIN &amp; TP'!$A$2:$M$2,0))),"")</f>
        <v/>
      </c>
      <c r="Z267" s="6" t="str">
        <f t="array" ref="Z267">_xlfn.IFNA((INDEX('DMR 001C TIN &amp; TP'!$A$3:$M$10005,MATCH(('Reg 85'!$X$6&amp;'Reg 85'!$X$10&amp;'Reg 85'!$B267),('DMR 001C TIN &amp; TP'!$E$3:$E$10005&amp;'DMR 001C TIN &amp; TP'!$B$3:$B$10005&amp;'DMR 001C TIN &amp; TP'!$A$3:$A$10005),0),MATCH('Reg 85'!$Z$11,'DMR 001C TIN &amp; TP'!$A$2:$M$2,0))),"")</f>
        <v/>
      </c>
      <c r="AA267" s="53" t="str">
        <f t="shared" si="93"/>
        <v/>
      </c>
      <c r="AB267" s="5" t="str">
        <f t="shared" si="94"/>
        <v/>
      </c>
      <c r="AC267" s="6" t="str">
        <f t="array" ref="AC267">_xlfn.IFNA((INDEX('DMR 001C TIN &amp; TP'!$A$3:$M$10005,MATCH(('Reg 85'!$X$6&amp;'Reg 85'!$AB$10&amp;'Reg 85'!$B267),('DMR 001C TIN &amp; TP'!$E$3:$E$10005&amp;'DMR 001C TIN &amp; TP'!$B$3:$B$10005&amp;'DMR 001C TIN &amp; TP'!$A$3:$A$10005),0),MATCH('Reg 85'!$AC$11,'DMR 001C TIN &amp; TP'!$A$2:$M$2,0))),"")</f>
        <v/>
      </c>
      <c r="AD267" s="6" t="str">
        <f t="array" ref="AD267">_xlfn.IFNA((INDEX('DMR 001C TIN &amp; TP'!$A$3:$M$10005,MATCH(('Reg 85'!$X$6&amp;'Reg 85'!$AB$10&amp;'Reg 85'!$B267),('DMR 001C TIN &amp; TP'!$E$3:$E$10005&amp;'DMR 001C TIN &amp; TP'!$B$3:$B$10005&amp;'DMR 001C TIN &amp; TP'!$A$3:$A$10005),0),MATCH('Reg 85'!$AD$11,'DMR 001C TIN &amp; TP'!$A$2:$M$2,0))),"")</f>
        <v/>
      </c>
      <c r="AE267" s="53" t="str">
        <f t="shared" si="95"/>
        <v/>
      </c>
      <c r="AF267" s="7" t="str">
        <f t="shared" si="96"/>
        <v/>
      </c>
      <c r="AG267" s="6" t="str">
        <f t="array" ref="AG267">_xlfn.IFNA((INDEX('DMR 001C TIN &amp; TP'!$A$3:$M$10005,MATCH(('Reg 85'!$X$6&amp;'Reg 85'!AG$10&amp;'Reg 85'!$B267),('DMR 001C TIN &amp; TP'!$E$3:$E$10005&amp;'DMR 001C TIN &amp; TP'!$B$3:$B$10005&amp;'DMR 001C TIN &amp; TP'!$A$3:$A$10005),0),MATCH('Reg 85'!$AG$11,'DMR 001C TIN &amp; TP'!$A$2:$M$2,0))),"")</f>
        <v/>
      </c>
      <c r="AH267" s="6" t="str">
        <f t="array" ref="AH267">_xlfn.IFNA((INDEX('DMR 001C TIN &amp; TP'!$A$3:$M$10005,MATCH(('Reg 85'!$X$6&amp;'Reg 85'!AH$10&amp;'Reg 85'!$B267),('DMR 001C TIN &amp; TP'!$E$3:$E$10005&amp;'DMR 001C TIN &amp; TP'!$B$3:$B$10005&amp;'DMR 001C TIN &amp; TP'!$A$3:$A$10005),0),MATCH('Reg 85'!$AG$11,'DMR 001C TIN &amp; TP'!$A$2:$M$2,0))),"")</f>
        <v/>
      </c>
      <c r="AI267" s="6" t="str">
        <f t="array" ref="AI267">_xlfn.IFNA((INDEX('DMR 001C TIN &amp; TP'!$A$3:$M$10005,MATCH(('Reg 85'!$X$6&amp;'Reg 85'!AI$10&amp;'Reg 85'!$B267),('DMR 001C TIN &amp; TP'!$E$3:$E$10005&amp;'DMR 001C TIN &amp; TP'!$B$3:$B$10005&amp;'DMR 001C TIN &amp; TP'!$A$3:$A$10005),0),MATCH('Reg 85'!$AG$11,'DMR 001C TIN &amp; TP'!$A$2:$M$2,0))),"")</f>
        <v/>
      </c>
      <c r="AJ267" s="6" t="str">
        <f t="array" ref="AJ267">_xlfn.IFNA((INDEX('DMR 001C TIN &amp; TP'!$A$3:$M$10005,MATCH(('Reg 85'!$X$6&amp;'Reg 85'!AJ$10&amp;'Reg 85'!$B267),('DMR 001C TIN &amp; TP'!$E$3:$E$10005&amp;'DMR 001C TIN &amp; TP'!$B$3:$B$10005&amp;'DMR 001C TIN &amp; TP'!$A$3:$A$10005),0),MATCH('Reg 85'!$AG$11,'DMR 001C TIN &amp; TP'!$A$2:$M$2,0))),"")</f>
        <v/>
      </c>
      <c r="AK267" s="6" t="str">
        <f t="array" ref="AK267">_xlfn.IFNA((INDEX('DMR 001C TIN &amp; TP'!$A$3:$M$10005,MATCH(('Reg 85'!$X$6&amp;'Reg 85'!AK$10&amp;'Reg 85'!$B267),('DMR 001C TIN &amp; TP'!$E$3:$E$10005&amp;'DMR 001C TIN &amp; TP'!$B$3:$B$10005&amp;'DMR 001C TIN &amp; TP'!$A$3:$A$10005),0),MATCH('Reg 85'!$AG$11,'DMR 001C TIN &amp; TP'!$A$2:$M$2,0))),"")</f>
        <v/>
      </c>
      <c r="AL267" s="6" t="str">
        <f t="array" ref="AL267">_xlfn.IFNA((INDEX('DMR 001C TIN &amp; TP'!$A$3:$M$10005,MATCH(('Reg 85'!$X$6&amp;'Reg 85'!AL$10&amp;'Reg 85'!$B267),('DMR 001C TIN &amp; TP'!$E$3:$E$10005&amp;'DMR 001C TIN &amp; TP'!$B$3:$B$10005&amp;'DMR 001C TIN &amp; TP'!$A$3:$A$10005),0),MATCH('Reg 85'!$AG$11,'DMR 001C TIN &amp; TP'!$A$2:$M$2,0))),"")</f>
        <v/>
      </c>
      <c r="AM267" s="76"/>
      <c r="AN267" s="6"/>
      <c r="AO267" s="54" t="str">
        <f t="shared" si="83"/>
        <v/>
      </c>
      <c r="AP267" s="77" t="str">
        <f t="shared" si="102"/>
        <v/>
      </c>
      <c r="AQ267" s="47"/>
      <c r="AR267" s="6" t="str">
        <f t="array" ref="AR267">_xlfn.IFNA((INDEX('DMR 001C TIN &amp; TP'!$A$3:$M$10005,MATCH(('Reg 85'!$AQ$6&amp;'Reg 85'!$AQ$10&amp;'Reg 85'!$B267),('DMR 001C TIN &amp; TP'!$E$3:$E$10005&amp;'DMR 001C TIN &amp; TP'!$B$3:$B$10005&amp;'DMR 001C TIN &amp; TP'!$A$3:$A$10005),0),MATCH('Reg 85'!$AR$11,'DMR 001C TIN &amp; TP'!$A$2:$M$2,0))),"")</f>
        <v>0.03</v>
      </c>
      <c r="AS267" s="6">
        <f t="array" ref="AS267">_xlfn.IFNA((INDEX('DMR 001C TIN &amp; TP'!$A$3:$M$10005,MATCH(('Reg 85'!$AQ$6&amp;'Reg 85'!$AQ$10&amp;'Reg 85'!$B267),('DMR 001C TIN &amp; TP'!$E$3:$E$10005&amp;'DMR 001C TIN &amp; TP'!$B$3:$B$10005&amp;'DMR 001C TIN &amp; TP'!$A$3:$A$10005),0),MATCH('Reg 85'!$AS$11,'DMR 001C TIN &amp; TP'!$A$2:$M$2,0))),"")</f>
        <v>0.38</v>
      </c>
      <c r="AT267" s="53">
        <f t="shared" si="97"/>
        <v>0.38</v>
      </c>
      <c r="AV267" s="6" t="str">
        <f t="array" ref="AV267">_xlfn.IFNA((INDEX('DMR 001C TIN &amp; TP'!$A$3:$M$10005,MATCH(('Reg 85'!$AQ$6&amp;'Reg 85'!$AU$10&amp;'Reg 85'!$B267),('DMR 001C TIN &amp; TP'!$E$3:$E$10005&amp;'DMR 001C TIN &amp; TP'!$B$3:$B$10005&amp;'DMR 001C TIN &amp; TP'!$A$3:$A$10005),0),MATCH('Reg 85'!$AV$11,'DMR 001C TIN &amp; TP'!$A$2:$M$2,0))),"")</f>
        <v>0.03</v>
      </c>
      <c r="AW267" s="6">
        <f t="array" ref="AW267">_xlfn.IFNA((INDEX('DMR 001C TIN &amp; TP'!$A$3:$M$10005,MATCH(('Reg 85'!$AQ$6&amp;'Reg 85'!$AU$10&amp;'Reg 85'!$B267),('DMR 001C TIN &amp; TP'!$E$3:$E$10005&amp;'DMR 001C TIN &amp; TP'!$B$3:$B$10005&amp;'DMR 001C TIN &amp; TP'!$A$3:$A$10005),0),MATCH('Reg 85'!$AW$11,'DMR 001C TIN &amp; TP'!$A$2:$M$2,0))),"")</f>
        <v>2.0099999999999998</v>
      </c>
      <c r="AX267" s="53">
        <f t="shared" si="98"/>
        <v>2.0099999999999998</v>
      </c>
      <c r="AY267" s="55">
        <f t="shared" si="99"/>
        <v>1.0716786895637729</v>
      </c>
      <c r="AZ267" s="77" t="str">
        <f t="shared" si="103"/>
        <v/>
      </c>
      <c r="BA267" s="6" t="str">
        <f t="array" ref="BA267">_xlfn.IFNA((INDEX('DMR 001C TIN &amp; TP'!$A$3:$M$10005,MATCH(('Reg 85'!$AQ$6&amp;'Reg 85'!BA$10&amp;'Reg 85'!$B267),('DMR 001C TIN &amp; TP'!$E$3:$E$10005&amp;'DMR 001C TIN &amp; TP'!$B$3:$B$10005&amp;'DMR 001C TIN &amp; TP'!$A$3:$A$10005),0),MATCH('Reg 85'!$AG$11,'DMR 001C TIN &amp; TP'!$A$2:$M$2,0))),"")</f>
        <v/>
      </c>
      <c r="BB267" s="6" t="str">
        <f t="array" ref="BB267">_xlfn.IFNA((INDEX('DMR 001C TIN &amp; TP'!$A$3:$M$10005,MATCH(('Reg 85'!$AQ$6&amp;'Reg 85'!BB$10&amp;'Reg 85'!$B267),('DMR 001C TIN &amp; TP'!$E$3:$E$10005&amp;'DMR 001C TIN &amp; TP'!$B$3:$B$10005&amp;'DMR 001C TIN &amp; TP'!$A$3:$A$10005),0),MATCH('Reg 85'!$AG$11,'DMR 001C TIN &amp; TP'!$A$2:$M$2,0))),"")</f>
        <v/>
      </c>
      <c r="BC267" s="6" t="str">
        <f t="array" ref="BC267">_xlfn.IFNA((INDEX('DMR 001C TIN &amp; TP'!$A$3:$M$10005,MATCH(('Reg 85'!$AQ$6&amp;'Reg 85'!BC$10&amp;'Reg 85'!$B267),('DMR 001C TIN &amp; TP'!$E$3:$E$10005&amp;'DMR 001C TIN &amp; TP'!$B$3:$B$10005&amp;'DMR 001C TIN &amp; TP'!$A$3:$A$10005),0),MATCH('Reg 85'!$AG$11,'DMR 001C TIN &amp; TP'!$A$2:$M$2,0))),"")</f>
        <v/>
      </c>
      <c r="BD267" s="6" t="str">
        <f t="array" ref="BD267">_xlfn.IFNA((INDEX('DMR 001C TIN &amp; TP'!$A$3:$M$10005,MATCH(('Reg 85'!$AQ$6&amp;'Reg 85'!BD$10&amp;'Reg 85'!$B267),('DMR 001C TIN &amp; TP'!$E$3:$E$10005&amp;'DMR 001C TIN &amp; TP'!$B$3:$B$10005&amp;'DMR 001C TIN &amp; TP'!$A$3:$A$10005),0),MATCH('Reg 85'!$AG$11,'DMR 001C TIN &amp; TP'!$A$2:$M$2,0))),"")</f>
        <v/>
      </c>
      <c r="BE267" s="6" t="str">
        <f t="array" ref="BE267">_xlfn.IFNA((INDEX('DMR 001C TIN &amp; TP'!$A$3:$M$10005,MATCH(('Reg 85'!$AQ$6&amp;'Reg 85'!BE$10&amp;'Reg 85'!$B267),('DMR 001C TIN &amp; TP'!$E$3:$E$10005&amp;'DMR 001C TIN &amp; TP'!$B$3:$B$10005&amp;'DMR 001C TIN &amp; TP'!$A$3:$A$10005),0),MATCH('Reg 85'!$AG$11,'DMR 001C TIN &amp; TP'!$A$2:$M$2,0))),"")</f>
        <v/>
      </c>
      <c r="BF267" s="6" t="str">
        <f t="array" ref="BF267">_xlfn.IFNA((INDEX('DMR 001C TIN &amp; TP'!$A$3:$M$10005,MATCH(('Reg 85'!$AQ$6&amp;'Reg 85'!BF$10&amp;'Reg 85'!$B267),('DMR 001C TIN &amp; TP'!$E$3:$E$10005&amp;'DMR 001C TIN &amp; TP'!$B$3:$B$10005&amp;'DMR 001C TIN &amp; TP'!$A$3:$A$10005),0),MATCH('Reg 85'!$AG$11,'DMR 001C TIN &amp; TP'!$A$2:$M$2,0))),"")</f>
        <v/>
      </c>
    </row>
    <row r="268" spans="1:58">
      <c r="A268" s="3" t="str">
        <f t="shared" si="84"/>
        <v>Wed</v>
      </c>
      <c r="B268" s="96">
        <f t="shared" si="100"/>
        <v>43600</v>
      </c>
      <c r="C268" s="96">
        <f t="shared" si="85"/>
        <v>43616</v>
      </c>
      <c r="D268" s="96">
        <f t="shared" si="86"/>
        <v>43586</v>
      </c>
      <c r="E268" s="95">
        <f t="shared" si="87"/>
        <v>31</v>
      </c>
      <c r="F268" s="7">
        <f t="array" ref="F268">_xlfn.IFNA(INDEX('DMR Flows-Effluent'!$A$3:$F$9999,MATCH(($F$10&amp;$B268),('DMR Flows-Effluent'!$B$3:$B$9999&amp;'DMR Flows-Effluent'!$A$3:$A$9999),0),MATCH($F$8,'DMR Flows-Effluent'!$A$2:$F$2,0)),"")</f>
        <v>74.538700000000006</v>
      </c>
      <c r="G268" s="7">
        <f t="array" ref="G268">_xlfn.IFNA(INDEX('DMR Flows-Effluent'!$A$3:$F$9999,MATCH(($G$10&amp;$B268),('DMR Flows-Effluent'!$B$3:$B$9999&amp;'DMR Flows-Effluent'!$A$3:$A$9999),0),MATCH($F$8,'DMR Flows-Effluent'!$A$2:$F$2,0)),"")</f>
        <v>53.774999999999999</v>
      </c>
      <c r="H268" s="7">
        <f t="shared" si="88"/>
        <v>128.31370000000001</v>
      </c>
      <c r="I268" s="45" t="str">
        <f t="shared" si="89"/>
        <v/>
      </c>
      <c r="J268" s="6" t="str">
        <f t="array" ref="J268">_xlfn.IFNA((INDEX('DMR 001C TIN &amp; TP'!$A$3:$M$10005,MATCH(('Reg 85'!$I$6:$Q$6&amp;'Reg 85'!$I$10:$K$10&amp;'Reg 85'!$B268),('DMR 001C TIN &amp; TP'!$E$3:$E$10005&amp;'DMR 001C TIN &amp; TP'!$B$3:$B$10005&amp;'DMR 001C TIN &amp; TP'!$A$3:$A$10005),0),MATCH('Reg 85'!$J$11,'DMR 001C TIN &amp; TP'!$A$2:$M$2,0))),"")</f>
        <v/>
      </c>
      <c r="K268" s="6" t="str">
        <f t="array" ref="K268">_xlfn.IFNA((INDEX('DMR 001C TIN &amp; TP'!$A$3:$M$10005,MATCH(('Reg 85'!$I$6:$Q$6&amp;'Reg 85'!$I$10:$K$10&amp;'Reg 85'!$B268),('DMR 001C TIN &amp; TP'!$E$3:$E$10005&amp;'DMR 001C TIN &amp; TP'!$B$3:$B$10005&amp;'DMR 001C TIN &amp; TP'!$A$3:$A$10005),0),MATCH('Reg 85'!$K$11,'DMR 001C TIN &amp; TP'!$A$2:$M$2,0))),"")</f>
        <v/>
      </c>
      <c r="L268" s="53" t="str">
        <f t="shared" si="101"/>
        <v/>
      </c>
      <c r="M268" s="5" t="str">
        <f t="shared" si="90"/>
        <v/>
      </c>
      <c r="N268" s="6" t="str">
        <f t="array" ref="N268">_xlfn.IFNA((INDEX('DMR 001C TIN &amp; TP'!$A$3:$M$10005,MATCH(('Reg 85'!$I$6:$Q$6&amp;'Reg 85'!$M$10&amp;'Reg 85'!$B268),('DMR 001C TIN &amp; TP'!$E$3:$E$10005&amp;'DMR 001C TIN &amp; TP'!$B$3:$B$10005&amp;'DMR 001C TIN &amp; TP'!$A$3:$A$10005),0),MATCH('Reg 85'!$N$11,'DMR 001C TIN &amp; TP'!$A$2:$M$2,0))),"")</f>
        <v/>
      </c>
      <c r="O268" s="6" t="str">
        <f t="array" ref="O268">_xlfn.IFNA((INDEX('DMR 001C TIN &amp; TP'!$A$3:$M$10005,MATCH(('Reg 85'!$I$6:$Q$6&amp;'Reg 85'!$M$10&amp;'Reg 85'!$B268),('DMR 001C TIN &amp; TP'!$E$3:$E$10005&amp;'DMR 001C TIN &amp; TP'!$B$3:$B$10005&amp;'DMR 001C TIN &amp; TP'!$A$3:$A$10005),0),MATCH('Reg 85'!$O$11,'DMR 001C TIN &amp; TP'!$A$2:$M$2,0))),"")</f>
        <v/>
      </c>
      <c r="P268" s="53" t="str">
        <f t="shared" si="91"/>
        <v/>
      </c>
      <c r="Q268" s="73" t="str">
        <f t="array" ref="Q268">IFERROR(((L268*$F268)+(P268*$G268))/($H268),"")</f>
        <v/>
      </c>
      <c r="R268" s="6" t="str">
        <f t="array" ref="R268">_xlfn.IFNA((INDEX('DMR 001C TIN &amp; TP'!$A$3:$M$10005,MATCH(('Reg 85'!$I$6:$Q$6&amp;'Reg 85'!R$10&amp;'Reg 85'!$B268),('DMR 001C TIN &amp; TP'!$E$3:$E$10005&amp;'DMR 001C TIN &amp; TP'!$B$3:$B$10005&amp;'DMR 001C TIN &amp; TP'!$A$3:$A$10005),0),MATCH('Reg 85'!$O$11,'DMR 001C TIN &amp; TP'!$A$2:$M$2,0))),"")</f>
        <v/>
      </c>
      <c r="S268" s="6" t="str">
        <f t="array" ref="S268">_xlfn.IFNA((INDEX('DMR 001C TIN &amp; TP'!$A$3:$M$10005,MATCH(('Reg 85'!$I$6:$Q$6&amp;'Reg 85'!S$10&amp;'Reg 85'!$B268),('DMR 001C TIN &amp; TP'!$E$3:$E$10005&amp;'DMR 001C TIN &amp; TP'!$B$3:$B$10005&amp;'DMR 001C TIN &amp; TP'!$A$3:$A$10005),0),MATCH('Reg 85'!$O$11,'DMR 001C TIN &amp; TP'!$A$2:$M$2,0))),"")</f>
        <v/>
      </c>
      <c r="T268" s="6" t="str">
        <f t="array" ref="T268">_xlfn.IFNA((INDEX('DMR 001C TIN &amp; TP'!$A$3:$M$10005,MATCH(('Reg 85'!$I$6:$Q$6&amp;'Reg 85'!T$10&amp;'Reg 85'!$B268),('DMR 001C TIN &amp; TP'!$E$3:$E$10005&amp;'DMR 001C TIN &amp; TP'!$B$3:$B$10005&amp;'DMR 001C TIN &amp; TP'!$A$3:$A$10005),0),MATCH('Reg 85'!$O$11,'DMR 001C TIN &amp; TP'!$A$2:$M$2,0))),"")</f>
        <v/>
      </c>
      <c r="U268" s="6" t="str">
        <f t="array" ref="U268">_xlfn.IFNA((INDEX('DMR 001C TIN &amp; TP'!$A$3:$M$10005,MATCH(('Reg 85'!$I$6:$Q$6&amp;'Reg 85'!U$10&amp;'Reg 85'!$B268),('DMR 001C TIN &amp; TP'!$E$3:$E$10005&amp;'DMR 001C TIN &amp; TP'!$B$3:$B$10005&amp;'DMR 001C TIN &amp; TP'!$A$3:$A$10005),0),MATCH('Reg 85'!$O$11,'DMR 001C TIN &amp; TP'!$A$2:$M$2,0))),"")</f>
        <v/>
      </c>
      <c r="V268" s="6" t="str">
        <f t="array" ref="V268">_xlfn.IFNA((INDEX('DMR 001C TIN &amp; TP'!$A$3:$M$10005,MATCH(('Reg 85'!$I$6:$Q$6&amp;'Reg 85'!V$10&amp;'Reg 85'!$B268),('DMR 001C TIN &amp; TP'!$E$3:$E$10005&amp;'DMR 001C TIN &amp; TP'!$B$3:$B$10005&amp;'DMR 001C TIN &amp; TP'!$A$3:$A$10005),0),MATCH('Reg 85'!$O$11,'DMR 001C TIN &amp; TP'!$A$2:$M$2,0))),"")</f>
        <v/>
      </c>
      <c r="W268" s="6" t="str">
        <f t="array" ref="W268">_xlfn.IFNA((INDEX('DMR 001C TIN &amp; TP'!$A$3:$M$10005,MATCH(('Reg 85'!$I$6:$Q$6&amp;'Reg 85'!W$10&amp;'Reg 85'!$B268),('DMR 001C TIN &amp; TP'!$E$3:$E$10005&amp;'DMR 001C TIN &amp; TP'!$B$3:$B$10005&amp;'DMR 001C TIN &amp; TP'!$A$3:$A$10005),0),MATCH('Reg 85'!$O$11,'DMR 001C TIN &amp; TP'!$A$2:$M$2,0))),"")</f>
        <v/>
      </c>
      <c r="X268" s="5" t="str">
        <f t="shared" si="92"/>
        <v/>
      </c>
      <c r="Y268" s="6" t="str">
        <f t="array" ref="Y268">_xlfn.IFNA((INDEX('DMR 001C TIN &amp; TP'!$A$3:$M$10005,MATCH(('Reg 85'!$X$6&amp;'Reg 85'!$X$10&amp;'Reg 85'!$B268),('DMR 001C TIN &amp; TP'!$E$3:$E$10005&amp;'DMR 001C TIN &amp; TP'!$B$3:$B$10005&amp;'DMR 001C TIN &amp; TP'!$A$3:$A$10005),0),MATCH('Reg 85'!$Y$11,'DMR 001C TIN &amp; TP'!$A$2:$M$2,0))),"")</f>
        <v/>
      </c>
      <c r="Z268" s="6" t="str">
        <f t="array" ref="Z268">_xlfn.IFNA((INDEX('DMR 001C TIN &amp; TP'!$A$3:$M$10005,MATCH(('Reg 85'!$X$6&amp;'Reg 85'!$X$10&amp;'Reg 85'!$B268),('DMR 001C TIN &amp; TP'!$E$3:$E$10005&amp;'DMR 001C TIN &amp; TP'!$B$3:$B$10005&amp;'DMR 001C TIN &amp; TP'!$A$3:$A$10005),0),MATCH('Reg 85'!$Z$11,'DMR 001C TIN &amp; TP'!$A$2:$M$2,0))),"")</f>
        <v/>
      </c>
      <c r="AA268" s="53" t="str">
        <f t="shared" si="93"/>
        <v/>
      </c>
      <c r="AB268" s="5" t="str">
        <f t="shared" si="94"/>
        <v/>
      </c>
      <c r="AC268" s="6" t="str">
        <f t="array" ref="AC268">_xlfn.IFNA((INDEX('DMR 001C TIN &amp; TP'!$A$3:$M$10005,MATCH(('Reg 85'!$X$6&amp;'Reg 85'!$AB$10&amp;'Reg 85'!$B268),('DMR 001C TIN &amp; TP'!$E$3:$E$10005&amp;'DMR 001C TIN &amp; TP'!$B$3:$B$10005&amp;'DMR 001C TIN &amp; TP'!$A$3:$A$10005),0),MATCH('Reg 85'!$AC$11,'DMR 001C TIN &amp; TP'!$A$2:$M$2,0))),"")</f>
        <v/>
      </c>
      <c r="AD268" s="6" t="str">
        <f t="array" ref="AD268">_xlfn.IFNA((INDEX('DMR 001C TIN &amp; TP'!$A$3:$M$10005,MATCH(('Reg 85'!$X$6&amp;'Reg 85'!$AB$10&amp;'Reg 85'!$B268),('DMR 001C TIN &amp; TP'!$E$3:$E$10005&amp;'DMR 001C TIN &amp; TP'!$B$3:$B$10005&amp;'DMR 001C TIN &amp; TP'!$A$3:$A$10005),0),MATCH('Reg 85'!$AD$11,'DMR 001C TIN &amp; TP'!$A$2:$M$2,0))),"")</f>
        <v/>
      </c>
      <c r="AE268" s="53" t="str">
        <f t="shared" si="95"/>
        <v/>
      </c>
      <c r="AF268" s="7" t="str">
        <f t="shared" si="96"/>
        <v/>
      </c>
      <c r="AG268" s="6" t="str">
        <f t="array" ref="AG268">_xlfn.IFNA((INDEX('DMR 001C TIN &amp; TP'!$A$3:$M$10005,MATCH(('Reg 85'!$X$6&amp;'Reg 85'!AG$10&amp;'Reg 85'!$B268),('DMR 001C TIN &amp; TP'!$E$3:$E$10005&amp;'DMR 001C TIN &amp; TP'!$B$3:$B$10005&amp;'DMR 001C TIN &amp; TP'!$A$3:$A$10005),0),MATCH('Reg 85'!$AG$11,'DMR 001C TIN &amp; TP'!$A$2:$M$2,0))),"")</f>
        <v/>
      </c>
      <c r="AH268" s="6" t="str">
        <f t="array" ref="AH268">_xlfn.IFNA((INDEX('DMR 001C TIN &amp; TP'!$A$3:$M$10005,MATCH(('Reg 85'!$X$6&amp;'Reg 85'!AH$10&amp;'Reg 85'!$B268),('DMR 001C TIN &amp; TP'!$E$3:$E$10005&amp;'DMR 001C TIN &amp; TP'!$B$3:$B$10005&amp;'DMR 001C TIN &amp; TP'!$A$3:$A$10005),0),MATCH('Reg 85'!$AG$11,'DMR 001C TIN &amp; TP'!$A$2:$M$2,0))),"")</f>
        <v/>
      </c>
      <c r="AI268" s="6" t="str">
        <f t="array" ref="AI268">_xlfn.IFNA((INDEX('DMR 001C TIN &amp; TP'!$A$3:$M$10005,MATCH(('Reg 85'!$X$6&amp;'Reg 85'!AI$10&amp;'Reg 85'!$B268),('DMR 001C TIN &amp; TP'!$E$3:$E$10005&amp;'DMR 001C TIN &amp; TP'!$B$3:$B$10005&amp;'DMR 001C TIN &amp; TP'!$A$3:$A$10005),0),MATCH('Reg 85'!$AG$11,'DMR 001C TIN &amp; TP'!$A$2:$M$2,0))),"")</f>
        <v/>
      </c>
      <c r="AJ268" s="6" t="str">
        <f t="array" ref="AJ268">_xlfn.IFNA((INDEX('DMR 001C TIN &amp; TP'!$A$3:$M$10005,MATCH(('Reg 85'!$X$6&amp;'Reg 85'!AJ$10&amp;'Reg 85'!$B268),('DMR 001C TIN &amp; TP'!$E$3:$E$10005&amp;'DMR 001C TIN &amp; TP'!$B$3:$B$10005&amp;'DMR 001C TIN &amp; TP'!$A$3:$A$10005),0),MATCH('Reg 85'!$AG$11,'DMR 001C TIN &amp; TP'!$A$2:$M$2,0))),"")</f>
        <v/>
      </c>
      <c r="AK268" s="6" t="str">
        <f t="array" ref="AK268">_xlfn.IFNA((INDEX('DMR 001C TIN &amp; TP'!$A$3:$M$10005,MATCH(('Reg 85'!$X$6&amp;'Reg 85'!AK$10&amp;'Reg 85'!$B268),('DMR 001C TIN &amp; TP'!$E$3:$E$10005&amp;'DMR 001C TIN &amp; TP'!$B$3:$B$10005&amp;'DMR 001C TIN &amp; TP'!$A$3:$A$10005),0),MATCH('Reg 85'!$AG$11,'DMR 001C TIN &amp; TP'!$A$2:$M$2,0))),"")</f>
        <v/>
      </c>
      <c r="AL268" s="6" t="str">
        <f t="array" ref="AL268">_xlfn.IFNA((INDEX('DMR 001C TIN &amp; TP'!$A$3:$M$10005,MATCH(('Reg 85'!$X$6&amp;'Reg 85'!AL$10&amp;'Reg 85'!$B268),('DMR 001C TIN &amp; TP'!$E$3:$E$10005&amp;'DMR 001C TIN &amp; TP'!$B$3:$B$10005&amp;'DMR 001C TIN &amp; TP'!$A$3:$A$10005),0),MATCH('Reg 85'!$AG$11,'DMR 001C TIN &amp; TP'!$A$2:$M$2,0))),"")</f>
        <v/>
      </c>
      <c r="AM268" s="76"/>
      <c r="AN268" s="6"/>
      <c r="AO268" s="54" t="str">
        <f t="shared" ref="AO268:AO331" si="104">IFERROR(Q268+AF268,"")</f>
        <v/>
      </c>
      <c r="AP268" s="77" t="str">
        <f t="shared" si="102"/>
        <v/>
      </c>
      <c r="AQ268" s="47"/>
      <c r="AR268" s="6" t="str">
        <f t="array" ref="AR268">_xlfn.IFNA((INDEX('DMR 001C TIN &amp; TP'!$A$3:$M$10005,MATCH(('Reg 85'!$AQ$6&amp;'Reg 85'!$AQ$10&amp;'Reg 85'!$B268),('DMR 001C TIN &amp; TP'!$E$3:$E$10005&amp;'DMR 001C TIN &amp; TP'!$B$3:$B$10005&amp;'DMR 001C TIN &amp; TP'!$A$3:$A$10005),0),MATCH('Reg 85'!$AR$11,'DMR 001C TIN &amp; TP'!$A$2:$M$2,0))),"")</f>
        <v>0.03</v>
      </c>
      <c r="AS268" s="6">
        <f t="array" ref="AS268">_xlfn.IFNA((INDEX('DMR 001C TIN &amp; TP'!$A$3:$M$10005,MATCH(('Reg 85'!$AQ$6&amp;'Reg 85'!$AQ$10&amp;'Reg 85'!$B268),('DMR 001C TIN &amp; TP'!$E$3:$E$10005&amp;'DMR 001C TIN &amp; TP'!$B$3:$B$10005&amp;'DMR 001C TIN &amp; TP'!$A$3:$A$10005),0),MATCH('Reg 85'!$AS$11,'DMR 001C TIN &amp; TP'!$A$2:$M$2,0))),"")</f>
        <v>0.41</v>
      </c>
      <c r="AT268" s="53">
        <f t="shared" si="97"/>
        <v>0.41</v>
      </c>
      <c r="AV268" s="6" t="str">
        <f t="array" ref="AV268">_xlfn.IFNA((INDEX('DMR 001C TIN &amp; TP'!$A$3:$M$10005,MATCH(('Reg 85'!$AQ$6&amp;'Reg 85'!$AU$10&amp;'Reg 85'!$B268),('DMR 001C TIN &amp; TP'!$E$3:$E$10005&amp;'DMR 001C TIN &amp; TP'!$B$3:$B$10005&amp;'DMR 001C TIN &amp; TP'!$A$3:$A$10005),0),MATCH('Reg 85'!$AV$11,'DMR 001C TIN &amp; TP'!$A$2:$M$2,0))),"")</f>
        <v>0.03</v>
      </c>
      <c r="AW268" s="6">
        <f t="array" ref="AW268">_xlfn.IFNA((INDEX('DMR 001C TIN &amp; TP'!$A$3:$M$10005,MATCH(('Reg 85'!$AQ$6&amp;'Reg 85'!$AU$10&amp;'Reg 85'!$B268),('DMR 001C TIN &amp; TP'!$E$3:$E$10005&amp;'DMR 001C TIN &amp; TP'!$B$3:$B$10005&amp;'DMR 001C TIN &amp; TP'!$A$3:$A$10005),0),MATCH('Reg 85'!$AW$11,'DMR 001C TIN &amp; TP'!$A$2:$M$2,0))),"")</f>
        <v>3.5</v>
      </c>
      <c r="AX268" s="53">
        <f t="shared" si="98"/>
        <v>3.5</v>
      </c>
      <c r="AY268" s="55">
        <f t="shared" si="99"/>
        <v>1.7049883761437787</v>
      </c>
      <c r="AZ268" s="77" t="str">
        <f t="shared" si="103"/>
        <v/>
      </c>
      <c r="BA268" s="6" t="str">
        <f t="array" ref="BA268">_xlfn.IFNA((INDEX('DMR 001C TIN &amp; TP'!$A$3:$M$10005,MATCH(('Reg 85'!$AQ$6&amp;'Reg 85'!BA$10&amp;'Reg 85'!$B268),('DMR 001C TIN &amp; TP'!$E$3:$E$10005&amp;'DMR 001C TIN &amp; TP'!$B$3:$B$10005&amp;'DMR 001C TIN &amp; TP'!$A$3:$A$10005),0),MATCH('Reg 85'!$AG$11,'DMR 001C TIN &amp; TP'!$A$2:$M$2,0))),"")</f>
        <v/>
      </c>
      <c r="BB268" s="6" t="str">
        <f t="array" ref="BB268">_xlfn.IFNA((INDEX('DMR 001C TIN &amp; TP'!$A$3:$M$10005,MATCH(('Reg 85'!$AQ$6&amp;'Reg 85'!BB$10&amp;'Reg 85'!$B268),('DMR 001C TIN &amp; TP'!$E$3:$E$10005&amp;'DMR 001C TIN &amp; TP'!$B$3:$B$10005&amp;'DMR 001C TIN &amp; TP'!$A$3:$A$10005),0),MATCH('Reg 85'!$AG$11,'DMR 001C TIN &amp; TP'!$A$2:$M$2,0))),"")</f>
        <v/>
      </c>
      <c r="BC268" s="6" t="str">
        <f t="array" ref="BC268">_xlfn.IFNA((INDEX('DMR 001C TIN &amp; TP'!$A$3:$M$10005,MATCH(('Reg 85'!$AQ$6&amp;'Reg 85'!BC$10&amp;'Reg 85'!$B268),('DMR 001C TIN &amp; TP'!$E$3:$E$10005&amp;'DMR 001C TIN &amp; TP'!$B$3:$B$10005&amp;'DMR 001C TIN &amp; TP'!$A$3:$A$10005),0),MATCH('Reg 85'!$AG$11,'DMR 001C TIN &amp; TP'!$A$2:$M$2,0))),"")</f>
        <v/>
      </c>
      <c r="BD268" s="6" t="str">
        <f t="array" ref="BD268">_xlfn.IFNA((INDEX('DMR 001C TIN &amp; TP'!$A$3:$M$10005,MATCH(('Reg 85'!$AQ$6&amp;'Reg 85'!BD$10&amp;'Reg 85'!$B268),('DMR 001C TIN &amp; TP'!$E$3:$E$10005&amp;'DMR 001C TIN &amp; TP'!$B$3:$B$10005&amp;'DMR 001C TIN &amp; TP'!$A$3:$A$10005),0),MATCH('Reg 85'!$AG$11,'DMR 001C TIN &amp; TP'!$A$2:$M$2,0))),"")</f>
        <v/>
      </c>
      <c r="BE268" s="6" t="str">
        <f t="array" ref="BE268">_xlfn.IFNA((INDEX('DMR 001C TIN &amp; TP'!$A$3:$M$10005,MATCH(('Reg 85'!$AQ$6&amp;'Reg 85'!BE$10&amp;'Reg 85'!$B268),('DMR 001C TIN &amp; TP'!$E$3:$E$10005&amp;'DMR 001C TIN &amp; TP'!$B$3:$B$10005&amp;'DMR 001C TIN &amp; TP'!$A$3:$A$10005),0),MATCH('Reg 85'!$AG$11,'DMR 001C TIN &amp; TP'!$A$2:$M$2,0))),"")</f>
        <v/>
      </c>
      <c r="BF268" s="6" t="str">
        <f t="array" ref="BF268">_xlfn.IFNA((INDEX('DMR 001C TIN &amp; TP'!$A$3:$M$10005,MATCH(('Reg 85'!$AQ$6&amp;'Reg 85'!BF$10&amp;'Reg 85'!$B268),('DMR 001C TIN &amp; TP'!$E$3:$E$10005&amp;'DMR 001C TIN &amp; TP'!$B$3:$B$10005&amp;'DMR 001C TIN &amp; TP'!$A$3:$A$10005),0),MATCH('Reg 85'!$AG$11,'DMR 001C TIN &amp; TP'!$A$2:$M$2,0))),"")</f>
        <v/>
      </c>
    </row>
    <row r="269" spans="1:58">
      <c r="A269" s="3" t="str">
        <f t="shared" ref="A269:A332" si="105">TEXT(B269,"ddd")</f>
        <v>Thu</v>
      </c>
      <c r="B269" s="96">
        <f t="shared" si="100"/>
        <v>43601</v>
      </c>
      <c r="C269" s="96">
        <f t="shared" ref="C269:C332" si="106">EOMONTH(B269,0)</f>
        <v>43616</v>
      </c>
      <c r="D269" s="96">
        <f t="shared" ref="D269:D332" si="107">EOMONTH(B269,-1)+1</f>
        <v>43586</v>
      </c>
      <c r="E269" s="95">
        <f t="shared" ref="E269:E332" si="108">DAY(EOMONTH(B269,0))</f>
        <v>31</v>
      </c>
      <c r="F269" s="7">
        <f t="array" ref="F269">_xlfn.IFNA(INDEX('DMR Flows-Effluent'!$A$3:$F$9999,MATCH(($F$10&amp;$B269),('DMR Flows-Effluent'!$B$3:$B$9999&amp;'DMR Flows-Effluent'!$A$3:$A$9999),0),MATCH($F$8,'DMR Flows-Effluent'!$A$2:$F$2,0)),"")</f>
        <v>70.834999999999994</v>
      </c>
      <c r="G269" s="7">
        <f t="array" ref="G269">_xlfn.IFNA(INDEX('DMR Flows-Effluent'!$A$3:$F$9999,MATCH(($G$10&amp;$B269),('DMR Flows-Effluent'!$B$3:$B$9999&amp;'DMR Flows-Effluent'!$A$3:$A$9999),0),MATCH($F$8,'DMR Flows-Effluent'!$A$2:$F$2,0)),"")</f>
        <v>55.266199999999998</v>
      </c>
      <c r="H269" s="7">
        <f t="shared" ref="H269:H332" si="109">SUM(F269:G269)</f>
        <v>126.10119999999999</v>
      </c>
      <c r="I269" s="45" t="str">
        <f t="shared" ref="I269:I332" si="110">IFERROR(IF(L269&lt;VALUE(J269),"&lt;",""),"")</f>
        <v/>
      </c>
      <c r="J269" s="6" t="str">
        <f t="array" ref="J269">_xlfn.IFNA((INDEX('DMR 001C TIN &amp; TP'!$A$3:$M$10005,MATCH(('Reg 85'!$I$6:$Q$6&amp;'Reg 85'!$I$10:$K$10&amp;'Reg 85'!$B269),('DMR 001C TIN &amp; TP'!$E$3:$E$10005&amp;'DMR 001C TIN &amp; TP'!$B$3:$B$10005&amp;'DMR 001C TIN &amp; TP'!$A$3:$A$10005),0),MATCH('Reg 85'!$J$11,'DMR 001C TIN &amp; TP'!$A$2:$M$2,0))),"")</f>
        <v/>
      </c>
      <c r="K269" s="6" t="str">
        <f t="array" ref="K269">_xlfn.IFNA((INDEX('DMR 001C TIN &amp; TP'!$A$3:$M$10005,MATCH(('Reg 85'!$I$6:$Q$6&amp;'Reg 85'!$I$10:$K$10&amp;'Reg 85'!$B269),('DMR 001C TIN &amp; TP'!$E$3:$E$10005&amp;'DMR 001C TIN &amp; TP'!$B$3:$B$10005&amp;'DMR 001C TIN &amp; TP'!$A$3:$A$10005),0),MATCH('Reg 85'!$K$11,'DMR 001C TIN &amp; TP'!$A$2:$M$2,0))),"")</f>
        <v/>
      </c>
      <c r="L269" s="53" t="str">
        <f t="shared" si="101"/>
        <v/>
      </c>
      <c r="M269" s="5" t="str">
        <f t="shared" ref="M269:M332" si="111">IFERROR(IF(P269&lt;VALUE(N269),"&lt;",""),"")</f>
        <v/>
      </c>
      <c r="N269" s="6" t="str">
        <f t="array" ref="N269">_xlfn.IFNA((INDEX('DMR 001C TIN &amp; TP'!$A$3:$M$10005,MATCH(('Reg 85'!$I$6:$Q$6&amp;'Reg 85'!$M$10&amp;'Reg 85'!$B269),('DMR 001C TIN &amp; TP'!$E$3:$E$10005&amp;'DMR 001C TIN &amp; TP'!$B$3:$B$10005&amp;'DMR 001C TIN &amp; TP'!$A$3:$A$10005),0),MATCH('Reg 85'!$N$11,'DMR 001C TIN &amp; TP'!$A$2:$M$2,0))),"")</f>
        <v/>
      </c>
      <c r="O269" s="6" t="str">
        <f t="array" ref="O269">_xlfn.IFNA((INDEX('DMR 001C TIN &amp; TP'!$A$3:$M$10005,MATCH(('Reg 85'!$I$6:$Q$6&amp;'Reg 85'!$M$10&amp;'Reg 85'!$B269),('DMR 001C TIN &amp; TP'!$E$3:$E$10005&amp;'DMR 001C TIN &amp; TP'!$B$3:$B$10005&amp;'DMR 001C TIN &amp; TP'!$A$3:$A$10005),0),MATCH('Reg 85'!$O$11,'DMR 001C TIN &amp; TP'!$A$2:$M$2,0))),"")</f>
        <v/>
      </c>
      <c r="P269" s="53" t="str">
        <f t="shared" ref="P269:P332" si="112">IFERROR(IF(VALUE(O269)&lt;VALUE(N269),0,VALUE(O269)),"")</f>
        <v/>
      </c>
      <c r="Q269" s="73" t="str">
        <f t="array" ref="Q269">IFERROR(((L269*$F269)+(P269*$G269))/($H269),"")</f>
        <v/>
      </c>
      <c r="R269" s="6" t="str">
        <f t="array" ref="R269">_xlfn.IFNA((INDEX('DMR 001C TIN &amp; TP'!$A$3:$M$10005,MATCH(('Reg 85'!$I$6:$Q$6&amp;'Reg 85'!R$10&amp;'Reg 85'!$B269),('DMR 001C TIN &amp; TP'!$E$3:$E$10005&amp;'DMR 001C TIN &amp; TP'!$B$3:$B$10005&amp;'DMR 001C TIN &amp; TP'!$A$3:$A$10005),0),MATCH('Reg 85'!$O$11,'DMR 001C TIN &amp; TP'!$A$2:$M$2,0))),"")</f>
        <v/>
      </c>
      <c r="S269" s="6" t="str">
        <f t="array" ref="S269">_xlfn.IFNA((INDEX('DMR 001C TIN &amp; TP'!$A$3:$M$10005,MATCH(('Reg 85'!$I$6:$Q$6&amp;'Reg 85'!S$10&amp;'Reg 85'!$B269),('DMR 001C TIN &amp; TP'!$E$3:$E$10005&amp;'DMR 001C TIN &amp; TP'!$B$3:$B$10005&amp;'DMR 001C TIN &amp; TP'!$A$3:$A$10005),0),MATCH('Reg 85'!$O$11,'DMR 001C TIN &amp; TP'!$A$2:$M$2,0))),"")</f>
        <v/>
      </c>
      <c r="T269" s="6" t="str">
        <f t="array" ref="T269">_xlfn.IFNA((INDEX('DMR 001C TIN &amp; TP'!$A$3:$M$10005,MATCH(('Reg 85'!$I$6:$Q$6&amp;'Reg 85'!T$10&amp;'Reg 85'!$B269),('DMR 001C TIN &amp; TP'!$E$3:$E$10005&amp;'DMR 001C TIN &amp; TP'!$B$3:$B$10005&amp;'DMR 001C TIN &amp; TP'!$A$3:$A$10005),0),MATCH('Reg 85'!$O$11,'DMR 001C TIN &amp; TP'!$A$2:$M$2,0))),"")</f>
        <v/>
      </c>
      <c r="U269" s="6" t="str">
        <f t="array" ref="U269">_xlfn.IFNA((INDEX('DMR 001C TIN &amp; TP'!$A$3:$M$10005,MATCH(('Reg 85'!$I$6:$Q$6&amp;'Reg 85'!U$10&amp;'Reg 85'!$B269),('DMR 001C TIN &amp; TP'!$E$3:$E$10005&amp;'DMR 001C TIN &amp; TP'!$B$3:$B$10005&amp;'DMR 001C TIN &amp; TP'!$A$3:$A$10005),0),MATCH('Reg 85'!$O$11,'DMR 001C TIN &amp; TP'!$A$2:$M$2,0))),"")</f>
        <v/>
      </c>
      <c r="V269" s="6" t="str">
        <f t="array" ref="V269">_xlfn.IFNA((INDEX('DMR 001C TIN &amp; TP'!$A$3:$M$10005,MATCH(('Reg 85'!$I$6:$Q$6&amp;'Reg 85'!V$10&amp;'Reg 85'!$B269),('DMR 001C TIN &amp; TP'!$E$3:$E$10005&amp;'DMR 001C TIN &amp; TP'!$B$3:$B$10005&amp;'DMR 001C TIN &amp; TP'!$A$3:$A$10005),0),MATCH('Reg 85'!$O$11,'DMR 001C TIN &amp; TP'!$A$2:$M$2,0))),"")</f>
        <v/>
      </c>
      <c r="W269" s="6" t="str">
        <f t="array" ref="W269">_xlfn.IFNA((INDEX('DMR 001C TIN &amp; TP'!$A$3:$M$10005,MATCH(('Reg 85'!$I$6:$Q$6&amp;'Reg 85'!W$10&amp;'Reg 85'!$B269),('DMR 001C TIN &amp; TP'!$E$3:$E$10005&amp;'DMR 001C TIN &amp; TP'!$B$3:$B$10005&amp;'DMR 001C TIN &amp; TP'!$A$3:$A$10005),0),MATCH('Reg 85'!$O$11,'DMR 001C TIN &amp; TP'!$A$2:$M$2,0))),"")</f>
        <v/>
      </c>
      <c r="X269" s="5" t="str">
        <f t="shared" ref="X269:X332" si="113">IFERROR(IF(AA269&lt;VALUE(Y269),"&lt;",""),"")</f>
        <v/>
      </c>
      <c r="Y269" s="6" t="str">
        <f t="array" ref="Y269">_xlfn.IFNA((INDEX('DMR 001C TIN &amp; TP'!$A$3:$M$10005,MATCH(('Reg 85'!$X$6&amp;'Reg 85'!$X$10&amp;'Reg 85'!$B269),('DMR 001C TIN &amp; TP'!$E$3:$E$10005&amp;'DMR 001C TIN &amp; TP'!$B$3:$B$10005&amp;'DMR 001C TIN &amp; TP'!$A$3:$A$10005),0),MATCH('Reg 85'!$Y$11,'DMR 001C TIN &amp; TP'!$A$2:$M$2,0))),"")</f>
        <v/>
      </c>
      <c r="Z269" s="6" t="str">
        <f t="array" ref="Z269">_xlfn.IFNA((INDEX('DMR 001C TIN &amp; TP'!$A$3:$M$10005,MATCH(('Reg 85'!$X$6&amp;'Reg 85'!$X$10&amp;'Reg 85'!$B269),('DMR 001C TIN &amp; TP'!$E$3:$E$10005&amp;'DMR 001C TIN &amp; TP'!$B$3:$B$10005&amp;'DMR 001C TIN &amp; TP'!$A$3:$A$10005),0),MATCH('Reg 85'!$Z$11,'DMR 001C TIN &amp; TP'!$A$2:$M$2,0))),"")</f>
        <v/>
      </c>
      <c r="AA269" s="53" t="str">
        <f t="shared" ref="AA269:AA332" si="114">IFERROR(IF(VALUE(Z269)&lt;VALUE(Y269),0,VALUE(Z269)),"")</f>
        <v/>
      </c>
      <c r="AB269" s="5" t="str">
        <f t="shared" ref="AB269:AB332" si="115">IFERROR(IF(AE269&lt;VALUE(AC269),"&lt;",""),"")</f>
        <v/>
      </c>
      <c r="AC269" s="6" t="str">
        <f t="array" ref="AC269">_xlfn.IFNA((INDEX('DMR 001C TIN &amp; TP'!$A$3:$M$10005,MATCH(('Reg 85'!$X$6&amp;'Reg 85'!$AB$10&amp;'Reg 85'!$B269),('DMR 001C TIN &amp; TP'!$E$3:$E$10005&amp;'DMR 001C TIN &amp; TP'!$B$3:$B$10005&amp;'DMR 001C TIN &amp; TP'!$A$3:$A$10005),0),MATCH('Reg 85'!$AC$11,'DMR 001C TIN &amp; TP'!$A$2:$M$2,0))),"")</f>
        <v/>
      </c>
      <c r="AD269" s="6" t="str">
        <f t="array" ref="AD269">_xlfn.IFNA((INDEX('DMR 001C TIN &amp; TP'!$A$3:$M$10005,MATCH(('Reg 85'!$X$6&amp;'Reg 85'!$AB$10&amp;'Reg 85'!$B269),('DMR 001C TIN &amp; TP'!$E$3:$E$10005&amp;'DMR 001C TIN &amp; TP'!$B$3:$B$10005&amp;'DMR 001C TIN &amp; TP'!$A$3:$A$10005),0),MATCH('Reg 85'!$AD$11,'DMR 001C TIN &amp; TP'!$A$2:$M$2,0))),"")</f>
        <v/>
      </c>
      <c r="AE269" s="53" t="str">
        <f t="shared" ref="AE269:AE332" si="116">IFERROR(IF(VALUE(AD269)&lt;VALUE(AC269),0,VALUE(AD269)),"")</f>
        <v/>
      </c>
      <c r="AF269" s="7" t="str">
        <f t="shared" ref="AF269:AF332" si="117">IFERROR(((AA269*$F269)+(AE269*$G269))/($H269),"")</f>
        <v/>
      </c>
      <c r="AG269" s="6" t="str">
        <f t="array" ref="AG269">_xlfn.IFNA((INDEX('DMR 001C TIN &amp; TP'!$A$3:$M$10005,MATCH(('Reg 85'!$X$6&amp;'Reg 85'!AG$10&amp;'Reg 85'!$B269),('DMR 001C TIN &amp; TP'!$E$3:$E$10005&amp;'DMR 001C TIN &amp; TP'!$B$3:$B$10005&amp;'DMR 001C TIN &amp; TP'!$A$3:$A$10005),0),MATCH('Reg 85'!$AG$11,'DMR 001C TIN &amp; TP'!$A$2:$M$2,0))),"")</f>
        <v/>
      </c>
      <c r="AH269" s="6" t="str">
        <f t="array" ref="AH269">_xlfn.IFNA((INDEX('DMR 001C TIN &amp; TP'!$A$3:$M$10005,MATCH(('Reg 85'!$X$6&amp;'Reg 85'!AH$10&amp;'Reg 85'!$B269),('DMR 001C TIN &amp; TP'!$E$3:$E$10005&amp;'DMR 001C TIN &amp; TP'!$B$3:$B$10005&amp;'DMR 001C TIN &amp; TP'!$A$3:$A$10005),0),MATCH('Reg 85'!$AG$11,'DMR 001C TIN &amp; TP'!$A$2:$M$2,0))),"")</f>
        <v/>
      </c>
      <c r="AI269" s="6" t="str">
        <f t="array" ref="AI269">_xlfn.IFNA((INDEX('DMR 001C TIN &amp; TP'!$A$3:$M$10005,MATCH(('Reg 85'!$X$6&amp;'Reg 85'!AI$10&amp;'Reg 85'!$B269),('DMR 001C TIN &amp; TP'!$E$3:$E$10005&amp;'DMR 001C TIN &amp; TP'!$B$3:$B$10005&amp;'DMR 001C TIN &amp; TP'!$A$3:$A$10005),0),MATCH('Reg 85'!$AG$11,'DMR 001C TIN &amp; TP'!$A$2:$M$2,0))),"")</f>
        <v/>
      </c>
      <c r="AJ269" s="6" t="str">
        <f t="array" ref="AJ269">_xlfn.IFNA((INDEX('DMR 001C TIN &amp; TP'!$A$3:$M$10005,MATCH(('Reg 85'!$X$6&amp;'Reg 85'!AJ$10&amp;'Reg 85'!$B269),('DMR 001C TIN &amp; TP'!$E$3:$E$10005&amp;'DMR 001C TIN &amp; TP'!$B$3:$B$10005&amp;'DMR 001C TIN &amp; TP'!$A$3:$A$10005),0),MATCH('Reg 85'!$AG$11,'DMR 001C TIN &amp; TP'!$A$2:$M$2,0))),"")</f>
        <v/>
      </c>
      <c r="AK269" s="6" t="str">
        <f t="array" ref="AK269">_xlfn.IFNA((INDEX('DMR 001C TIN &amp; TP'!$A$3:$M$10005,MATCH(('Reg 85'!$X$6&amp;'Reg 85'!AK$10&amp;'Reg 85'!$B269),('DMR 001C TIN &amp; TP'!$E$3:$E$10005&amp;'DMR 001C TIN &amp; TP'!$B$3:$B$10005&amp;'DMR 001C TIN &amp; TP'!$A$3:$A$10005),0),MATCH('Reg 85'!$AG$11,'DMR 001C TIN &amp; TP'!$A$2:$M$2,0))),"")</f>
        <v/>
      </c>
      <c r="AL269" s="6" t="str">
        <f t="array" ref="AL269">_xlfn.IFNA((INDEX('DMR 001C TIN &amp; TP'!$A$3:$M$10005,MATCH(('Reg 85'!$X$6&amp;'Reg 85'!AL$10&amp;'Reg 85'!$B269),('DMR 001C TIN &amp; TP'!$E$3:$E$10005&amp;'DMR 001C TIN &amp; TP'!$B$3:$B$10005&amp;'DMR 001C TIN &amp; TP'!$A$3:$A$10005),0),MATCH('Reg 85'!$AG$11,'DMR 001C TIN &amp; TP'!$A$2:$M$2,0))),"")</f>
        <v/>
      </c>
      <c r="AM269" s="76"/>
      <c r="AN269" s="6"/>
      <c r="AO269" s="54" t="str">
        <f t="shared" si="104"/>
        <v/>
      </c>
      <c r="AP269" s="77" t="str">
        <f t="shared" si="102"/>
        <v/>
      </c>
      <c r="AQ269" s="47"/>
      <c r="AR269" s="6" t="str">
        <f t="array" ref="AR269">_xlfn.IFNA((INDEX('DMR 001C TIN &amp; TP'!$A$3:$M$10005,MATCH(('Reg 85'!$AQ$6&amp;'Reg 85'!$AQ$10&amp;'Reg 85'!$B269),('DMR 001C TIN &amp; TP'!$E$3:$E$10005&amp;'DMR 001C TIN &amp; TP'!$B$3:$B$10005&amp;'DMR 001C TIN &amp; TP'!$A$3:$A$10005),0),MATCH('Reg 85'!$AR$11,'DMR 001C TIN &amp; TP'!$A$2:$M$2,0))),"")</f>
        <v>0.03</v>
      </c>
      <c r="AS269" s="6">
        <f t="array" ref="AS269">_xlfn.IFNA((INDEX('DMR 001C TIN &amp; TP'!$A$3:$M$10005,MATCH(('Reg 85'!$AQ$6&amp;'Reg 85'!$AQ$10&amp;'Reg 85'!$B269),('DMR 001C TIN &amp; TP'!$E$3:$E$10005&amp;'DMR 001C TIN &amp; TP'!$B$3:$B$10005&amp;'DMR 001C TIN &amp; TP'!$A$3:$A$10005),0),MATCH('Reg 85'!$AS$11,'DMR 001C TIN &amp; TP'!$A$2:$M$2,0))),"")</f>
        <v>0.4</v>
      </c>
      <c r="AT269" s="53">
        <f t="shared" ref="AT269:AT332" si="118">IFERROR(IF(VALUE(AS269)&lt;VALUE(AR269),0,VALUE(AS269)),"")</f>
        <v>0.4</v>
      </c>
      <c r="AV269" s="6" t="str">
        <f t="array" ref="AV269">_xlfn.IFNA((INDEX('DMR 001C TIN &amp; TP'!$A$3:$M$10005,MATCH(('Reg 85'!$AQ$6&amp;'Reg 85'!$AU$10&amp;'Reg 85'!$B269),('DMR 001C TIN &amp; TP'!$E$3:$E$10005&amp;'DMR 001C TIN &amp; TP'!$B$3:$B$10005&amp;'DMR 001C TIN &amp; TP'!$A$3:$A$10005),0),MATCH('Reg 85'!$AV$11,'DMR 001C TIN &amp; TP'!$A$2:$M$2,0))),"")</f>
        <v>0.03</v>
      </c>
      <c r="AW269" s="6">
        <f t="array" ref="AW269">_xlfn.IFNA((INDEX('DMR 001C TIN &amp; TP'!$A$3:$M$10005,MATCH(('Reg 85'!$AQ$6&amp;'Reg 85'!$AU$10&amp;'Reg 85'!$B269),('DMR 001C TIN &amp; TP'!$E$3:$E$10005&amp;'DMR 001C TIN &amp; TP'!$B$3:$B$10005&amp;'DMR 001C TIN &amp; TP'!$A$3:$A$10005),0),MATCH('Reg 85'!$AW$11,'DMR 001C TIN &amp; TP'!$A$2:$M$2,0))),"")</f>
        <v>4.54</v>
      </c>
      <c r="AX269" s="53">
        <f t="shared" ref="AX269:AX332" si="119">IFERROR(IF(VALUE(AW269)&lt;VALUE(AV269),0,VALUE(AW269)),"")</f>
        <v>4.54</v>
      </c>
      <c r="AY269" s="55">
        <f t="shared" ref="AY269:AY332" si="120">IFERROR(((AT269*$F269)+(AX269*$G269))/($H269),"")</f>
        <v>2.2144321227712345</v>
      </c>
      <c r="AZ269" s="77" t="str">
        <f t="shared" si="103"/>
        <v/>
      </c>
      <c r="BA269" s="6" t="str">
        <f t="array" ref="BA269">_xlfn.IFNA((INDEX('DMR 001C TIN &amp; TP'!$A$3:$M$10005,MATCH(('Reg 85'!$AQ$6&amp;'Reg 85'!BA$10&amp;'Reg 85'!$B269),('DMR 001C TIN &amp; TP'!$E$3:$E$10005&amp;'DMR 001C TIN &amp; TP'!$B$3:$B$10005&amp;'DMR 001C TIN &amp; TP'!$A$3:$A$10005),0),MATCH('Reg 85'!$AG$11,'DMR 001C TIN &amp; TP'!$A$2:$M$2,0))),"")</f>
        <v/>
      </c>
      <c r="BB269" s="6" t="str">
        <f t="array" ref="BB269">_xlfn.IFNA((INDEX('DMR 001C TIN &amp; TP'!$A$3:$M$10005,MATCH(('Reg 85'!$AQ$6&amp;'Reg 85'!BB$10&amp;'Reg 85'!$B269),('DMR 001C TIN &amp; TP'!$E$3:$E$10005&amp;'DMR 001C TIN &amp; TP'!$B$3:$B$10005&amp;'DMR 001C TIN &amp; TP'!$A$3:$A$10005),0),MATCH('Reg 85'!$AG$11,'DMR 001C TIN &amp; TP'!$A$2:$M$2,0))),"")</f>
        <v/>
      </c>
      <c r="BC269" s="6" t="str">
        <f t="array" ref="BC269">_xlfn.IFNA((INDEX('DMR 001C TIN &amp; TP'!$A$3:$M$10005,MATCH(('Reg 85'!$AQ$6&amp;'Reg 85'!BC$10&amp;'Reg 85'!$B269),('DMR 001C TIN &amp; TP'!$E$3:$E$10005&amp;'DMR 001C TIN &amp; TP'!$B$3:$B$10005&amp;'DMR 001C TIN &amp; TP'!$A$3:$A$10005),0),MATCH('Reg 85'!$AG$11,'DMR 001C TIN &amp; TP'!$A$2:$M$2,0))),"")</f>
        <v/>
      </c>
      <c r="BD269" s="6" t="str">
        <f t="array" ref="BD269">_xlfn.IFNA((INDEX('DMR 001C TIN &amp; TP'!$A$3:$M$10005,MATCH(('Reg 85'!$AQ$6&amp;'Reg 85'!BD$10&amp;'Reg 85'!$B269),('DMR 001C TIN &amp; TP'!$E$3:$E$10005&amp;'DMR 001C TIN &amp; TP'!$B$3:$B$10005&amp;'DMR 001C TIN &amp; TP'!$A$3:$A$10005),0),MATCH('Reg 85'!$AG$11,'DMR 001C TIN &amp; TP'!$A$2:$M$2,0))),"")</f>
        <v/>
      </c>
      <c r="BE269" s="6" t="str">
        <f t="array" ref="BE269">_xlfn.IFNA((INDEX('DMR 001C TIN &amp; TP'!$A$3:$M$10005,MATCH(('Reg 85'!$AQ$6&amp;'Reg 85'!BE$10&amp;'Reg 85'!$B269),('DMR 001C TIN &amp; TP'!$E$3:$E$10005&amp;'DMR 001C TIN &amp; TP'!$B$3:$B$10005&amp;'DMR 001C TIN &amp; TP'!$A$3:$A$10005),0),MATCH('Reg 85'!$AG$11,'DMR 001C TIN &amp; TP'!$A$2:$M$2,0))),"")</f>
        <v/>
      </c>
      <c r="BF269" s="6" t="str">
        <f t="array" ref="BF269">_xlfn.IFNA((INDEX('DMR 001C TIN &amp; TP'!$A$3:$M$10005,MATCH(('Reg 85'!$AQ$6&amp;'Reg 85'!BF$10&amp;'Reg 85'!$B269),('DMR 001C TIN &amp; TP'!$E$3:$E$10005&amp;'DMR 001C TIN &amp; TP'!$B$3:$B$10005&amp;'DMR 001C TIN &amp; TP'!$A$3:$A$10005),0),MATCH('Reg 85'!$AG$11,'DMR 001C TIN &amp; TP'!$A$2:$M$2,0))),"")</f>
        <v/>
      </c>
    </row>
    <row r="270" spans="1:58">
      <c r="A270" s="3" t="str">
        <f t="shared" si="105"/>
        <v>Fri</v>
      </c>
      <c r="B270" s="96">
        <f t="shared" ref="B270:B333" si="121">B269+1</f>
        <v>43602</v>
      </c>
      <c r="C270" s="96">
        <f t="shared" si="106"/>
        <v>43616</v>
      </c>
      <c r="D270" s="96">
        <f t="shared" si="107"/>
        <v>43586</v>
      </c>
      <c r="E270" s="95">
        <f t="shared" si="108"/>
        <v>31</v>
      </c>
      <c r="F270" s="7">
        <f t="array" ref="F270">_xlfn.IFNA(INDEX('DMR Flows-Effluent'!$A$3:$F$9999,MATCH(($F$10&amp;$B270),('DMR Flows-Effluent'!$B$3:$B$9999&amp;'DMR Flows-Effluent'!$A$3:$A$9999),0),MATCH($F$8,'DMR Flows-Effluent'!$A$2:$F$2,0)),"")</f>
        <v>72.237300000000005</v>
      </c>
      <c r="G270" s="7">
        <f t="array" ref="G270">_xlfn.IFNA(INDEX('DMR Flows-Effluent'!$A$3:$F$9999,MATCH(($G$10&amp;$B270),('DMR Flows-Effluent'!$B$3:$B$9999&amp;'DMR Flows-Effluent'!$A$3:$A$9999),0),MATCH($F$8,'DMR Flows-Effluent'!$A$2:$F$2,0)),"")</f>
        <v>56.105499999999999</v>
      </c>
      <c r="H270" s="7">
        <f t="shared" si="109"/>
        <v>128.34280000000001</v>
      </c>
      <c r="I270" s="45" t="str">
        <f t="shared" si="110"/>
        <v/>
      </c>
      <c r="J270" s="6" t="str">
        <f t="array" ref="J270">_xlfn.IFNA((INDEX('DMR 001C TIN &amp; TP'!$A$3:$M$10005,MATCH(('Reg 85'!$I$6:$Q$6&amp;'Reg 85'!$I$10:$K$10&amp;'Reg 85'!$B270),('DMR 001C TIN &amp; TP'!$E$3:$E$10005&amp;'DMR 001C TIN &amp; TP'!$B$3:$B$10005&amp;'DMR 001C TIN &amp; TP'!$A$3:$A$10005),0),MATCH('Reg 85'!$J$11,'DMR 001C TIN &amp; TP'!$A$2:$M$2,0))),"")</f>
        <v>0.15</v>
      </c>
      <c r="K270" s="6">
        <f t="array" ref="K270">_xlfn.IFNA((INDEX('DMR 001C TIN &amp; TP'!$A$3:$M$10005,MATCH(('Reg 85'!$I$6:$Q$6&amp;'Reg 85'!$I$10:$K$10&amp;'Reg 85'!$B270),('DMR 001C TIN &amp; TP'!$E$3:$E$10005&amp;'DMR 001C TIN &amp; TP'!$B$3:$B$10005&amp;'DMR 001C TIN &amp; TP'!$A$3:$A$10005),0),MATCH('Reg 85'!$K$11,'DMR 001C TIN &amp; TP'!$A$2:$M$2,0))),"")</f>
        <v>1.39</v>
      </c>
      <c r="L270" s="53">
        <f t="shared" si="101"/>
        <v>1.39</v>
      </c>
      <c r="M270" s="5" t="str">
        <f t="shared" si="111"/>
        <v/>
      </c>
      <c r="N270" s="6" t="str">
        <f t="array" ref="N270">_xlfn.IFNA((INDEX('DMR 001C TIN &amp; TP'!$A$3:$M$10005,MATCH(('Reg 85'!$I$6:$Q$6&amp;'Reg 85'!$M$10&amp;'Reg 85'!$B270),('DMR 001C TIN &amp; TP'!$E$3:$E$10005&amp;'DMR 001C TIN &amp; TP'!$B$3:$B$10005&amp;'DMR 001C TIN &amp; TP'!$A$3:$A$10005),0),MATCH('Reg 85'!$N$11,'DMR 001C TIN &amp; TP'!$A$2:$M$2,0))),"")</f>
        <v>0.15</v>
      </c>
      <c r="O270" s="6">
        <f t="array" ref="O270">_xlfn.IFNA((INDEX('DMR 001C TIN &amp; TP'!$A$3:$M$10005,MATCH(('Reg 85'!$I$6:$Q$6&amp;'Reg 85'!$M$10&amp;'Reg 85'!$B270),('DMR 001C TIN &amp; TP'!$E$3:$E$10005&amp;'DMR 001C TIN &amp; TP'!$B$3:$B$10005&amp;'DMR 001C TIN &amp; TP'!$A$3:$A$10005),0),MATCH('Reg 85'!$O$11,'DMR 001C TIN &amp; TP'!$A$2:$M$2,0))),"")</f>
        <v>1.53</v>
      </c>
      <c r="P270" s="53">
        <f t="shared" si="112"/>
        <v>1.53</v>
      </c>
      <c r="Q270" s="73">
        <f t="array" ref="Q270">IFERROR(((L270*$F270)+(P270*$G270))/($H270),"")</f>
        <v>1.4512014853969213</v>
      </c>
      <c r="R270" s="6" t="str">
        <f t="array" ref="R270">_xlfn.IFNA((INDEX('DMR 001C TIN &amp; TP'!$A$3:$M$10005,MATCH(('Reg 85'!$I$6:$Q$6&amp;'Reg 85'!R$10&amp;'Reg 85'!$B270),('DMR 001C TIN &amp; TP'!$E$3:$E$10005&amp;'DMR 001C TIN &amp; TP'!$B$3:$B$10005&amp;'DMR 001C TIN &amp; TP'!$A$3:$A$10005),0),MATCH('Reg 85'!$O$11,'DMR 001C TIN &amp; TP'!$A$2:$M$2,0))),"")</f>
        <v/>
      </c>
      <c r="S270" s="6" t="str">
        <f t="array" ref="S270">_xlfn.IFNA((INDEX('DMR 001C TIN &amp; TP'!$A$3:$M$10005,MATCH(('Reg 85'!$I$6:$Q$6&amp;'Reg 85'!S$10&amp;'Reg 85'!$B270),('DMR 001C TIN &amp; TP'!$E$3:$E$10005&amp;'DMR 001C TIN &amp; TP'!$B$3:$B$10005&amp;'DMR 001C TIN &amp; TP'!$A$3:$A$10005),0),MATCH('Reg 85'!$O$11,'DMR 001C TIN &amp; TP'!$A$2:$M$2,0))),"")</f>
        <v/>
      </c>
      <c r="T270" s="6" t="str">
        <f t="array" ref="T270">_xlfn.IFNA((INDEX('DMR 001C TIN &amp; TP'!$A$3:$M$10005,MATCH(('Reg 85'!$I$6:$Q$6&amp;'Reg 85'!T$10&amp;'Reg 85'!$B270),('DMR 001C TIN &amp; TP'!$E$3:$E$10005&amp;'DMR 001C TIN &amp; TP'!$B$3:$B$10005&amp;'DMR 001C TIN &amp; TP'!$A$3:$A$10005),0),MATCH('Reg 85'!$O$11,'DMR 001C TIN &amp; TP'!$A$2:$M$2,0))),"")</f>
        <v/>
      </c>
      <c r="U270" s="6" t="str">
        <f t="array" ref="U270">_xlfn.IFNA((INDEX('DMR 001C TIN &amp; TP'!$A$3:$M$10005,MATCH(('Reg 85'!$I$6:$Q$6&amp;'Reg 85'!U$10&amp;'Reg 85'!$B270),('DMR 001C TIN &amp; TP'!$E$3:$E$10005&amp;'DMR 001C TIN &amp; TP'!$B$3:$B$10005&amp;'DMR 001C TIN &amp; TP'!$A$3:$A$10005),0),MATCH('Reg 85'!$O$11,'DMR 001C TIN &amp; TP'!$A$2:$M$2,0))),"")</f>
        <v/>
      </c>
      <c r="V270" s="6" t="str">
        <f t="array" ref="V270">_xlfn.IFNA((INDEX('DMR 001C TIN &amp; TP'!$A$3:$M$10005,MATCH(('Reg 85'!$I$6:$Q$6&amp;'Reg 85'!V$10&amp;'Reg 85'!$B270),('DMR 001C TIN &amp; TP'!$E$3:$E$10005&amp;'DMR 001C TIN &amp; TP'!$B$3:$B$10005&amp;'DMR 001C TIN &amp; TP'!$A$3:$A$10005),0),MATCH('Reg 85'!$O$11,'DMR 001C TIN &amp; TP'!$A$2:$M$2,0))),"")</f>
        <v/>
      </c>
      <c r="W270" s="6" t="str">
        <f t="array" ref="W270">_xlfn.IFNA((INDEX('DMR 001C TIN &amp; TP'!$A$3:$M$10005,MATCH(('Reg 85'!$I$6:$Q$6&amp;'Reg 85'!W$10&amp;'Reg 85'!$B270),('DMR 001C TIN &amp; TP'!$E$3:$E$10005&amp;'DMR 001C TIN &amp; TP'!$B$3:$B$10005&amp;'DMR 001C TIN &amp; TP'!$A$3:$A$10005),0),MATCH('Reg 85'!$O$11,'DMR 001C TIN &amp; TP'!$A$2:$M$2,0))),"")</f>
        <v/>
      </c>
      <c r="X270" s="5" t="str">
        <f t="shared" si="113"/>
        <v/>
      </c>
      <c r="Y270" s="6" t="str">
        <f t="array" ref="Y270">_xlfn.IFNA((INDEX('DMR 001C TIN &amp; TP'!$A$3:$M$10005,MATCH(('Reg 85'!$X$6&amp;'Reg 85'!$X$10&amp;'Reg 85'!$B270),('DMR 001C TIN &amp; TP'!$E$3:$E$10005&amp;'DMR 001C TIN &amp; TP'!$B$3:$B$10005&amp;'DMR 001C TIN &amp; TP'!$A$3:$A$10005),0),MATCH('Reg 85'!$Y$11,'DMR 001C TIN &amp; TP'!$A$2:$M$2,0))),"")</f>
        <v>0.06</v>
      </c>
      <c r="Z270" s="6">
        <f t="array" ref="Z270">_xlfn.IFNA((INDEX('DMR 001C TIN &amp; TP'!$A$3:$M$10005,MATCH(('Reg 85'!$X$6&amp;'Reg 85'!$X$10&amp;'Reg 85'!$B270),('DMR 001C TIN &amp; TP'!$E$3:$E$10005&amp;'DMR 001C TIN &amp; TP'!$B$3:$B$10005&amp;'DMR 001C TIN &amp; TP'!$A$3:$A$10005),0),MATCH('Reg 85'!$Z$11,'DMR 001C TIN &amp; TP'!$A$2:$M$2,0))),"")</f>
        <v>4.99</v>
      </c>
      <c r="AA270" s="53">
        <f t="shared" si="114"/>
        <v>4.99</v>
      </c>
      <c r="AB270" s="5" t="str">
        <f t="shared" si="115"/>
        <v/>
      </c>
      <c r="AC270" s="6" t="str">
        <f t="array" ref="AC270">_xlfn.IFNA((INDEX('DMR 001C TIN &amp; TP'!$A$3:$M$10005,MATCH(('Reg 85'!$X$6&amp;'Reg 85'!$AB$10&amp;'Reg 85'!$B270),('DMR 001C TIN &amp; TP'!$E$3:$E$10005&amp;'DMR 001C TIN &amp; TP'!$B$3:$B$10005&amp;'DMR 001C TIN &amp; TP'!$A$3:$A$10005),0),MATCH('Reg 85'!$AC$11,'DMR 001C TIN &amp; TP'!$A$2:$M$2,0))),"")</f>
        <v>0.06</v>
      </c>
      <c r="AD270" s="6">
        <f t="array" ref="AD270">_xlfn.IFNA((INDEX('DMR 001C TIN &amp; TP'!$A$3:$M$10005,MATCH(('Reg 85'!$X$6&amp;'Reg 85'!$AB$10&amp;'Reg 85'!$B270),('DMR 001C TIN &amp; TP'!$E$3:$E$10005&amp;'DMR 001C TIN &amp; TP'!$B$3:$B$10005&amp;'DMR 001C TIN &amp; TP'!$A$3:$A$10005),0),MATCH('Reg 85'!$AD$11,'DMR 001C TIN &amp; TP'!$A$2:$M$2,0))),"")</f>
        <v>4.91</v>
      </c>
      <c r="AE270" s="53">
        <f t="shared" si="116"/>
        <v>4.91</v>
      </c>
      <c r="AF270" s="7">
        <f t="shared" si="117"/>
        <v>4.9550277226303301</v>
      </c>
      <c r="AG270" s="6" t="str">
        <f t="array" ref="AG270">_xlfn.IFNA((INDEX('DMR 001C TIN &amp; TP'!$A$3:$M$10005,MATCH(('Reg 85'!$X$6&amp;'Reg 85'!AG$10&amp;'Reg 85'!$B270),('DMR 001C TIN &amp; TP'!$E$3:$E$10005&amp;'DMR 001C TIN &amp; TP'!$B$3:$B$10005&amp;'DMR 001C TIN &amp; TP'!$A$3:$A$10005),0),MATCH('Reg 85'!$AG$11,'DMR 001C TIN &amp; TP'!$A$2:$M$2,0))),"")</f>
        <v/>
      </c>
      <c r="AH270" s="6" t="str">
        <f t="array" ref="AH270">_xlfn.IFNA((INDEX('DMR 001C TIN &amp; TP'!$A$3:$M$10005,MATCH(('Reg 85'!$X$6&amp;'Reg 85'!AH$10&amp;'Reg 85'!$B270),('DMR 001C TIN &amp; TP'!$E$3:$E$10005&amp;'DMR 001C TIN &amp; TP'!$B$3:$B$10005&amp;'DMR 001C TIN &amp; TP'!$A$3:$A$10005),0),MATCH('Reg 85'!$AG$11,'DMR 001C TIN &amp; TP'!$A$2:$M$2,0))),"")</f>
        <v/>
      </c>
      <c r="AI270" s="6" t="str">
        <f t="array" ref="AI270">_xlfn.IFNA((INDEX('DMR 001C TIN &amp; TP'!$A$3:$M$10005,MATCH(('Reg 85'!$X$6&amp;'Reg 85'!AI$10&amp;'Reg 85'!$B270),('DMR 001C TIN &amp; TP'!$E$3:$E$10005&amp;'DMR 001C TIN &amp; TP'!$B$3:$B$10005&amp;'DMR 001C TIN &amp; TP'!$A$3:$A$10005),0),MATCH('Reg 85'!$AG$11,'DMR 001C TIN &amp; TP'!$A$2:$M$2,0))),"")</f>
        <v/>
      </c>
      <c r="AJ270" s="6" t="str">
        <f t="array" ref="AJ270">_xlfn.IFNA((INDEX('DMR 001C TIN &amp; TP'!$A$3:$M$10005,MATCH(('Reg 85'!$X$6&amp;'Reg 85'!AJ$10&amp;'Reg 85'!$B270),('DMR 001C TIN &amp; TP'!$E$3:$E$10005&amp;'DMR 001C TIN &amp; TP'!$B$3:$B$10005&amp;'DMR 001C TIN &amp; TP'!$A$3:$A$10005),0),MATCH('Reg 85'!$AG$11,'DMR 001C TIN &amp; TP'!$A$2:$M$2,0))),"")</f>
        <v/>
      </c>
      <c r="AK270" s="6" t="str">
        <f t="array" ref="AK270">_xlfn.IFNA((INDEX('DMR 001C TIN &amp; TP'!$A$3:$M$10005,MATCH(('Reg 85'!$X$6&amp;'Reg 85'!AK$10&amp;'Reg 85'!$B270),('DMR 001C TIN &amp; TP'!$E$3:$E$10005&amp;'DMR 001C TIN &amp; TP'!$B$3:$B$10005&amp;'DMR 001C TIN &amp; TP'!$A$3:$A$10005),0),MATCH('Reg 85'!$AG$11,'DMR 001C TIN &amp; TP'!$A$2:$M$2,0))),"")</f>
        <v/>
      </c>
      <c r="AL270" s="6" t="str">
        <f t="array" ref="AL270">_xlfn.IFNA((INDEX('DMR 001C TIN &amp; TP'!$A$3:$M$10005,MATCH(('Reg 85'!$X$6&amp;'Reg 85'!AL$10&amp;'Reg 85'!$B270),('DMR 001C TIN &amp; TP'!$E$3:$E$10005&amp;'DMR 001C TIN &amp; TP'!$B$3:$B$10005&amp;'DMR 001C TIN &amp; TP'!$A$3:$A$10005),0),MATCH('Reg 85'!$AG$11,'DMR 001C TIN &amp; TP'!$A$2:$M$2,0))),"")</f>
        <v/>
      </c>
      <c r="AM270" s="76"/>
      <c r="AN270" s="6"/>
      <c r="AO270" s="54">
        <f t="shared" si="104"/>
        <v>6.4062292080272512</v>
      </c>
      <c r="AP270" s="77" t="str">
        <f t="shared" si="102"/>
        <v/>
      </c>
      <c r="AQ270" s="47"/>
      <c r="AR270" s="6" t="str">
        <f t="array" ref="AR270">_xlfn.IFNA((INDEX('DMR 001C TIN &amp; TP'!$A$3:$M$10005,MATCH(('Reg 85'!$AQ$6&amp;'Reg 85'!$AQ$10&amp;'Reg 85'!$B270),('DMR 001C TIN &amp; TP'!$E$3:$E$10005&amp;'DMR 001C TIN &amp; TP'!$B$3:$B$10005&amp;'DMR 001C TIN &amp; TP'!$A$3:$A$10005),0),MATCH('Reg 85'!$AR$11,'DMR 001C TIN &amp; TP'!$A$2:$M$2,0))),"")</f>
        <v/>
      </c>
      <c r="AS270" s="6" t="str">
        <f t="array" ref="AS270">_xlfn.IFNA((INDEX('DMR 001C TIN &amp; TP'!$A$3:$M$10005,MATCH(('Reg 85'!$AQ$6&amp;'Reg 85'!$AQ$10&amp;'Reg 85'!$B270),('DMR 001C TIN &amp; TP'!$E$3:$E$10005&amp;'DMR 001C TIN &amp; TP'!$B$3:$B$10005&amp;'DMR 001C TIN &amp; TP'!$A$3:$A$10005),0),MATCH('Reg 85'!$AS$11,'DMR 001C TIN &amp; TP'!$A$2:$M$2,0))),"")</f>
        <v/>
      </c>
      <c r="AT270" s="53" t="str">
        <f t="shared" si="118"/>
        <v/>
      </c>
      <c r="AV270" s="6" t="str">
        <f t="array" ref="AV270">_xlfn.IFNA((INDEX('DMR 001C TIN &amp; TP'!$A$3:$M$10005,MATCH(('Reg 85'!$AQ$6&amp;'Reg 85'!$AU$10&amp;'Reg 85'!$B270),('DMR 001C TIN &amp; TP'!$E$3:$E$10005&amp;'DMR 001C TIN &amp; TP'!$B$3:$B$10005&amp;'DMR 001C TIN &amp; TP'!$A$3:$A$10005),0),MATCH('Reg 85'!$AV$11,'DMR 001C TIN &amp; TP'!$A$2:$M$2,0))),"")</f>
        <v/>
      </c>
      <c r="AW270" s="6" t="str">
        <f t="array" ref="AW270">_xlfn.IFNA((INDEX('DMR 001C TIN &amp; TP'!$A$3:$M$10005,MATCH(('Reg 85'!$AQ$6&amp;'Reg 85'!$AU$10&amp;'Reg 85'!$B270),('DMR 001C TIN &amp; TP'!$E$3:$E$10005&amp;'DMR 001C TIN &amp; TP'!$B$3:$B$10005&amp;'DMR 001C TIN &amp; TP'!$A$3:$A$10005),0),MATCH('Reg 85'!$AW$11,'DMR 001C TIN &amp; TP'!$A$2:$M$2,0))),"")</f>
        <v/>
      </c>
      <c r="AX270" s="53" t="str">
        <f t="shared" si="119"/>
        <v/>
      </c>
      <c r="AY270" s="55" t="str">
        <f t="shared" si="120"/>
        <v/>
      </c>
      <c r="AZ270" s="77" t="str">
        <f t="shared" si="103"/>
        <v/>
      </c>
      <c r="BA270" s="6" t="str">
        <f t="array" ref="BA270">_xlfn.IFNA((INDEX('DMR 001C TIN &amp; TP'!$A$3:$M$10005,MATCH(('Reg 85'!$AQ$6&amp;'Reg 85'!BA$10&amp;'Reg 85'!$B270),('DMR 001C TIN &amp; TP'!$E$3:$E$10005&amp;'DMR 001C TIN &amp; TP'!$B$3:$B$10005&amp;'DMR 001C TIN &amp; TP'!$A$3:$A$10005),0),MATCH('Reg 85'!$AG$11,'DMR 001C TIN &amp; TP'!$A$2:$M$2,0))),"")</f>
        <v/>
      </c>
      <c r="BB270" s="6" t="str">
        <f t="array" ref="BB270">_xlfn.IFNA((INDEX('DMR 001C TIN &amp; TP'!$A$3:$M$10005,MATCH(('Reg 85'!$AQ$6&amp;'Reg 85'!BB$10&amp;'Reg 85'!$B270),('DMR 001C TIN &amp; TP'!$E$3:$E$10005&amp;'DMR 001C TIN &amp; TP'!$B$3:$B$10005&amp;'DMR 001C TIN &amp; TP'!$A$3:$A$10005),0),MATCH('Reg 85'!$AG$11,'DMR 001C TIN &amp; TP'!$A$2:$M$2,0))),"")</f>
        <v/>
      </c>
      <c r="BC270" s="6" t="str">
        <f t="array" ref="BC270">_xlfn.IFNA((INDEX('DMR 001C TIN &amp; TP'!$A$3:$M$10005,MATCH(('Reg 85'!$AQ$6&amp;'Reg 85'!BC$10&amp;'Reg 85'!$B270),('DMR 001C TIN &amp; TP'!$E$3:$E$10005&amp;'DMR 001C TIN &amp; TP'!$B$3:$B$10005&amp;'DMR 001C TIN &amp; TP'!$A$3:$A$10005),0),MATCH('Reg 85'!$AG$11,'DMR 001C TIN &amp; TP'!$A$2:$M$2,0))),"")</f>
        <v/>
      </c>
      <c r="BD270" s="6" t="str">
        <f t="array" ref="BD270">_xlfn.IFNA((INDEX('DMR 001C TIN &amp; TP'!$A$3:$M$10005,MATCH(('Reg 85'!$AQ$6&amp;'Reg 85'!BD$10&amp;'Reg 85'!$B270),('DMR 001C TIN &amp; TP'!$E$3:$E$10005&amp;'DMR 001C TIN &amp; TP'!$B$3:$B$10005&amp;'DMR 001C TIN &amp; TP'!$A$3:$A$10005),0),MATCH('Reg 85'!$AG$11,'DMR 001C TIN &amp; TP'!$A$2:$M$2,0))),"")</f>
        <v/>
      </c>
      <c r="BE270" s="6" t="str">
        <f t="array" ref="BE270">_xlfn.IFNA((INDEX('DMR 001C TIN &amp; TP'!$A$3:$M$10005,MATCH(('Reg 85'!$AQ$6&amp;'Reg 85'!BE$10&amp;'Reg 85'!$B270),('DMR 001C TIN &amp; TP'!$E$3:$E$10005&amp;'DMR 001C TIN &amp; TP'!$B$3:$B$10005&amp;'DMR 001C TIN &amp; TP'!$A$3:$A$10005),0),MATCH('Reg 85'!$AG$11,'DMR 001C TIN &amp; TP'!$A$2:$M$2,0))),"")</f>
        <v/>
      </c>
      <c r="BF270" s="6" t="str">
        <f t="array" ref="BF270">_xlfn.IFNA((INDEX('DMR 001C TIN &amp; TP'!$A$3:$M$10005,MATCH(('Reg 85'!$AQ$6&amp;'Reg 85'!BF$10&amp;'Reg 85'!$B270),('DMR 001C TIN &amp; TP'!$E$3:$E$10005&amp;'DMR 001C TIN &amp; TP'!$B$3:$B$10005&amp;'DMR 001C TIN &amp; TP'!$A$3:$A$10005),0),MATCH('Reg 85'!$AG$11,'DMR 001C TIN &amp; TP'!$A$2:$M$2,0))),"")</f>
        <v/>
      </c>
    </row>
    <row r="271" spans="1:58">
      <c r="A271" s="3" t="str">
        <f t="shared" si="105"/>
        <v>Sat</v>
      </c>
      <c r="B271" s="96">
        <f t="shared" si="121"/>
        <v>43603</v>
      </c>
      <c r="C271" s="96">
        <f t="shared" si="106"/>
        <v>43616</v>
      </c>
      <c r="D271" s="96">
        <f t="shared" si="107"/>
        <v>43586</v>
      </c>
      <c r="E271" s="95">
        <f t="shared" si="108"/>
        <v>31</v>
      </c>
      <c r="F271" s="7">
        <f t="array" ref="F271">_xlfn.IFNA(INDEX('DMR Flows-Effluent'!$A$3:$F$9999,MATCH(($F$10&amp;$B271),('DMR Flows-Effluent'!$B$3:$B$9999&amp;'DMR Flows-Effluent'!$A$3:$A$9999),0),MATCH($F$8,'DMR Flows-Effluent'!$A$2:$F$2,0)),"")</f>
        <v>66.182500000000005</v>
      </c>
      <c r="G271" s="7">
        <f t="array" ref="G271">_xlfn.IFNA(INDEX('DMR Flows-Effluent'!$A$3:$F$9999,MATCH(($G$10&amp;$B271),('DMR Flows-Effluent'!$B$3:$B$9999&amp;'DMR Flows-Effluent'!$A$3:$A$9999),0),MATCH($F$8,'DMR Flows-Effluent'!$A$2:$F$2,0)),"")</f>
        <v>59.048900000000003</v>
      </c>
      <c r="H271" s="7">
        <f t="shared" si="109"/>
        <v>125.23140000000001</v>
      </c>
      <c r="I271" s="45" t="str">
        <f t="shared" si="110"/>
        <v/>
      </c>
      <c r="J271" s="6" t="str">
        <f t="array" ref="J271">_xlfn.IFNA((INDEX('DMR 001C TIN &amp; TP'!$A$3:$M$10005,MATCH(('Reg 85'!$I$6:$Q$6&amp;'Reg 85'!$I$10:$K$10&amp;'Reg 85'!$B271),('DMR 001C TIN &amp; TP'!$E$3:$E$10005&amp;'DMR 001C TIN &amp; TP'!$B$3:$B$10005&amp;'DMR 001C TIN &amp; TP'!$A$3:$A$10005),0),MATCH('Reg 85'!$J$11,'DMR 001C TIN &amp; TP'!$A$2:$M$2,0))),"")</f>
        <v>0.15</v>
      </c>
      <c r="K271" s="6">
        <f t="array" ref="K271">_xlfn.IFNA((INDEX('DMR 001C TIN &amp; TP'!$A$3:$M$10005,MATCH(('Reg 85'!$I$6:$Q$6&amp;'Reg 85'!$I$10:$K$10&amp;'Reg 85'!$B271),('DMR 001C TIN &amp; TP'!$E$3:$E$10005&amp;'DMR 001C TIN &amp; TP'!$B$3:$B$10005&amp;'DMR 001C TIN &amp; TP'!$A$3:$A$10005),0),MATCH('Reg 85'!$K$11,'DMR 001C TIN &amp; TP'!$A$2:$M$2,0))),"")</f>
        <v>0.69</v>
      </c>
      <c r="L271" s="53">
        <f t="shared" ref="L271:L334" si="122">IFERROR(IF(VALUE(K271)&lt;VALUE(J271),0,VALUE(K271)),"")</f>
        <v>0.69</v>
      </c>
      <c r="M271" s="5" t="str">
        <f t="shared" si="111"/>
        <v/>
      </c>
      <c r="N271" s="6" t="str">
        <f t="array" ref="N271">_xlfn.IFNA((INDEX('DMR 001C TIN &amp; TP'!$A$3:$M$10005,MATCH(('Reg 85'!$I$6:$Q$6&amp;'Reg 85'!$M$10&amp;'Reg 85'!$B271),('DMR 001C TIN &amp; TP'!$E$3:$E$10005&amp;'DMR 001C TIN &amp; TP'!$B$3:$B$10005&amp;'DMR 001C TIN &amp; TP'!$A$3:$A$10005),0),MATCH('Reg 85'!$N$11,'DMR 001C TIN &amp; TP'!$A$2:$M$2,0))),"")</f>
        <v>0.15</v>
      </c>
      <c r="O271" s="6">
        <f t="array" ref="O271">_xlfn.IFNA((INDEX('DMR 001C TIN &amp; TP'!$A$3:$M$10005,MATCH(('Reg 85'!$I$6:$Q$6&amp;'Reg 85'!$M$10&amp;'Reg 85'!$B271),('DMR 001C TIN &amp; TP'!$E$3:$E$10005&amp;'DMR 001C TIN &amp; TP'!$B$3:$B$10005&amp;'DMR 001C TIN &amp; TP'!$A$3:$A$10005),0),MATCH('Reg 85'!$O$11,'DMR 001C TIN &amp; TP'!$A$2:$M$2,0))),"")</f>
        <v>0.68</v>
      </c>
      <c r="P271" s="53">
        <f t="shared" si="112"/>
        <v>0.68</v>
      </c>
      <c r="Q271" s="73">
        <f t="array" ref="Q271">IFERROR(((L271*$F271)+(P271*$G271))/($H271),"")</f>
        <v>0.6852848167472374</v>
      </c>
      <c r="R271" s="6" t="str">
        <f t="array" ref="R271">_xlfn.IFNA((INDEX('DMR 001C TIN &amp; TP'!$A$3:$M$10005,MATCH(('Reg 85'!$I$6:$Q$6&amp;'Reg 85'!R$10&amp;'Reg 85'!$B271),('DMR 001C TIN &amp; TP'!$E$3:$E$10005&amp;'DMR 001C TIN &amp; TP'!$B$3:$B$10005&amp;'DMR 001C TIN &amp; TP'!$A$3:$A$10005),0),MATCH('Reg 85'!$O$11,'DMR 001C TIN &amp; TP'!$A$2:$M$2,0))),"")</f>
        <v/>
      </c>
      <c r="S271" s="6" t="str">
        <f t="array" ref="S271">_xlfn.IFNA((INDEX('DMR 001C TIN &amp; TP'!$A$3:$M$10005,MATCH(('Reg 85'!$I$6:$Q$6&amp;'Reg 85'!S$10&amp;'Reg 85'!$B271),('DMR 001C TIN &amp; TP'!$E$3:$E$10005&amp;'DMR 001C TIN &amp; TP'!$B$3:$B$10005&amp;'DMR 001C TIN &amp; TP'!$A$3:$A$10005),0),MATCH('Reg 85'!$O$11,'DMR 001C TIN &amp; TP'!$A$2:$M$2,0))),"")</f>
        <v/>
      </c>
      <c r="T271" s="6" t="str">
        <f t="array" ref="T271">_xlfn.IFNA((INDEX('DMR 001C TIN &amp; TP'!$A$3:$M$10005,MATCH(('Reg 85'!$I$6:$Q$6&amp;'Reg 85'!T$10&amp;'Reg 85'!$B271),('DMR 001C TIN &amp; TP'!$E$3:$E$10005&amp;'DMR 001C TIN &amp; TP'!$B$3:$B$10005&amp;'DMR 001C TIN &amp; TP'!$A$3:$A$10005),0),MATCH('Reg 85'!$O$11,'DMR 001C TIN &amp; TP'!$A$2:$M$2,0))),"")</f>
        <v/>
      </c>
      <c r="U271" s="6" t="str">
        <f t="array" ref="U271">_xlfn.IFNA((INDEX('DMR 001C TIN &amp; TP'!$A$3:$M$10005,MATCH(('Reg 85'!$I$6:$Q$6&amp;'Reg 85'!U$10&amp;'Reg 85'!$B271),('DMR 001C TIN &amp; TP'!$E$3:$E$10005&amp;'DMR 001C TIN &amp; TP'!$B$3:$B$10005&amp;'DMR 001C TIN &amp; TP'!$A$3:$A$10005),0),MATCH('Reg 85'!$O$11,'DMR 001C TIN &amp; TP'!$A$2:$M$2,0))),"")</f>
        <v/>
      </c>
      <c r="V271" s="6" t="str">
        <f t="array" ref="V271">_xlfn.IFNA((INDEX('DMR 001C TIN &amp; TP'!$A$3:$M$10005,MATCH(('Reg 85'!$I$6:$Q$6&amp;'Reg 85'!V$10&amp;'Reg 85'!$B271),('DMR 001C TIN &amp; TP'!$E$3:$E$10005&amp;'DMR 001C TIN &amp; TP'!$B$3:$B$10005&amp;'DMR 001C TIN &amp; TP'!$A$3:$A$10005),0),MATCH('Reg 85'!$O$11,'DMR 001C TIN &amp; TP'!$A$2:$M$2,0))),"")</f>
        <v/>
      </c>
      <c r="W271" s="6" t="str">
        <f t="array" ref="W271">_xlfn.IFNA((INDEX('DMR 001C TIN &amp; TP'!$A$3:$M$10005,MATCH(('Reg 85'!$I$6:$Q$6&amp;'Reg 85'!W$10&amp;'Reg 85'!$B271),('DMR 001C TIN &amp; TP'!$E$3:$E$10005&amp;'DMR 001C TIN &amp; TP'!$B$3:$B$10005&amp;'DMR 001C TIN &amp; TP'!$A$3:$A$10005),0),MATCH('Reg 85'!$O$11,'DMR 001C TIN &amp; TP'!$A$2:$M$2,0))),"")</f>
        <v/>
      </c>
      <c r="X271" s="5" t="str">
        <f t="shared" si="113"/>
        <v/>
      </c>
      <c r="Y271" s="6" t="str">
        <f t="array" ref="Y271">_xlfn.IFNA((INDEX('DMR 001C TIN &amp; TP'!$A$3:$M$10005,MATCH(('Reg 85'!$X$6&amp;'Reg 85'!$X$10&amp;'Reg 85'!$B271),('DMR 001C TIN &amp; TP'!$E$3:$E$10005&amp;'DMR 001C TIN &amp; TP'!$B$3:$B$10005&amp;'DMR 001C TIN &amp; TP'!$A$3:$A$10005),0),MATCH('Reg 85'!$Y$11,'DMR 001C TIN &amp; TP'!$A$2:$M$2,0))),"")</f>
        <v>0.06</v>
      </c>
      <c r="Z271" s="6">
        <f t="array" ref="Z271">_xlfn.IFNA((INDEX('DMR 001C TIN &amp; TP'!$A$3:$M$10005,MATCH(('Reg 85'!$X$6&amp;'Reg 85'!$X$10&amp;'Reg 85'!$B271),('DMR 001C TIN &amp; TP'!$E$3:$E$10005&amp;'DMR 001C TIN &amp; TP'!$B$3:$B$10005&amp;'DMR 001C TIN &amp; TP'!$A$3:$A$10005),0),MATCH('Reg 85'!$Z$11,'DMR 001C TIN &amp; TP'!$A$2:$M$2,0))),"")</f>
        <v>5.33</v>
      </c>
      <c r="AA271" s="53">
        <f t="shared" si="114"/>
        <v>5.33</v>
      </c>
      <c r="AB271" s="5" t="str">
        <f t="shared" si="115"/>
        <v/>
      </c>
      <c r="AC271" s="6" t="str">
        <f t="array" ref="AC271">_xlfn.IFNA((INDEX('DMR 001C TIN &amp; TP'!$A$3:$M$10005,MATCH(('Reg 85'!$X$6&amp;'Reg 85'!$AB$10&amp;'Reg 85'!$B271),('DMR 001C TIN &amp; TP'!$E$3:$E$10005&amp;'DMR 001C TIN &amp; TP'!$B$3:$B$10005&amp;'DMR 001C TIN &amp; TP'!$A$3:$A$10005),0),MATCH('Reg 85'!$AC$11,'DMR 001C TIN &amp; TP'!$A$2:$M$2,0))),"")</f>
        <v>0.06</v>
      </c>
      <c r="AD271" s="6">
        <f t="array" ref="AD271">_xlfn.IFNA((INDEX('DMR 001C TIN &amp; TP'!$A$3:$M$10005,MATCH(('Reg 85'!$X$6&amp;'Reg 85'!$AB$10&amp;'Reg 85'!$B271),('DMR 001C TIN &amp; TP'!$E$3:$E$10005&amp;'DMR 001C TIN &amp; TP'!$B$3:$B$10005&amp;'DMR 001C TIN &amp; TP'!$A$3:$A$10005),0),MATCH('Reg 85'!$AD$11,'DMR 001C TIN &amp; TP'!$A$2:$M$2,0))),"")</f>
        <v>6.3</v>
      </c>
      <c r="AE271" s="53">
        <f t="shared" si="116"/>
        <v>6.3</v>
      </c>
      <c r="AF271" s="7">
        <f t="shared" si="117"/>
        <v>5.7873727755179623</v>
      </c>
      <c r="AG271" s="6" t="str">
        <f t="array" ref="AG271">_xlfn.IFNA((INDEX('DMR 001C TIN &amp; TP'!$A$3:$M$10005,MATCH(('Reg 85'!$X$6&amp;'Reg 85'!AG$10&amp;'Reg 85'!$B271),('DMR 001C TIN &amp; TP'!$E$3:$E$10005&amp;'DMR 001C TIN &amp; TP'!$B$3:$B$10005&amp;'DMR 001C TIN &amp; TP'!$A$3:$A$10005),0),MATCH('Reg 85'!$AG$11,'DMR 001C TIN &amp; TP'!$A$2:$M$2,0))),"")</f>
        <v/>
      </c>
      <c r="AH271" s="6" t="str">
        <f t="array" ref="AH271">_xlfn.IFNA((INDEX('DMR 001C TIN &amp; TP'!$A$3:$M$10005,MATCH(('Reg 85'!$X$6&amp;'Reg 85'!AH$10&amp;'Reg 85'!$B271),('DMR 001C TIN &amp; TP'!$E$3:$E$10005&amp;'DMR 001C TIN &amp; TP'!$B$3:$B$10005&amp;'DMR 001C TIN &amp; TP'!$A$3:$A$10005),0),MATCH('Reg 85'!$AG$11,'DMR 001C TIN &amp; TP'!$A$2:$M$2,0))),"")</f>
        <v/>
      </c>
      <c r="AI271" s="6" t="str">
        <f t="array" ref="AI271">_xlfn.IFNA((INDEX('DMR 001C TIN &amp; TP'!$A$3:$M$10005,MATCH(('Reg 85'!$X$6&amp;'Reg 85'!AI$10&amp;'Reg 85'!$B271),('DMR 001C TIN &amp; TP'!$E$3:$E$10005&amp;'DMR 001C TIN &amp; TP'!$B$3:$B$10005&amp;'DMR 001C TIN &amp; TP'!$A$3:$A$10005),0),MATCH('Reg 85'!$AG$11,'DMR 001C TIN &amp; TP'!$A$2:$M$2,0))),"")</f>
        <v/>
      </c>
      <c r="AJ271" s="6" t="str">
        <f t="array" ref="AJ271">_xlfn.IFNA((INDEX('DMR 001C TIN &amp; TP'!$A$3:$M$10005,MATCH(('Reg 85'!$X$6&amp;'Reg 85'!AJ$10&amp;'Reg 85'!$B271),('DMR 001C TIN &amp; TP'!$E$3:$E$10005&amp;'DMR 001C TIN &amp; TP'!$B$3:$B$10005&amp;'DMR 001C TIN &amp; TP'!$A$3:$A$10005),0),MATCH('Reg 85'!$AG$11,'DMR 001C TIN &amp; TP'!$A$2:$M$2,0))),"")</f>
        <v/>
      </c>
      <c r="AK271" s="6" t="str">
        <f t="array" ref="AK271">_xlfn.IFNA((INDEX('DMR 001C TIN &amp; TP'!$A$3:$M$10005,MATCH(('Reg 85'!$X$6&amp;'Reg 85'!AK$10&amp;'Reg 85'!$B271),('DMR 001C TIN &amp; TP'!$E$3:$E$10005&amp;'DMR 001C TIN &amp; TP'!$B$3:$B$10005&amp;'DMR 001C TIN &amp; TP'!$A$3:$A$10005),0),MATCH('Reg 85'!$AG$11,'DMR 001C TIN &amp; TP'!$A$2:$M$2,0))),"")</f>
        <v/>
      </c>
      <c r="AL271" s="6" t="str">
        <f t="array" ref="AL271">_xlfn.IFNA((INDEX('DMR 001C TIN &amp; TP'!$A$3:$M$10005,MATCH(('Reg 85'!$X$6&amp;'Reg 85'!AL$10&amp;'Reg 85'!$B271),('DMR 001C TIN &amp; TP'!$E$3:$E$10005&amp;'DMR 001C TIN &amp; TP'!$B$3:$B$10005&amp;'DMR 001C TIN &amp; TP'!$A$3:$A$10005),0),MATCH('Reg 85'!$AG$11,'DMR 001C TIN &amp; TP'!$A$2:$M$2,0))),"")</f>
        <v/>
      </c>
      <c r="AM271" s="76"/>
      <c r="AN271" s="6"/>
      <c r="AO271" s="54">
        <f t="shared" si="104"/>
        <v>6.4726575922651994</v>
      </c>
      <c r="AP271" s="77" t="str">
        <f t="shared" si="102"/>
        <v/>
      </c>
      <c r="AQ271" s="47"/>
      <c r="AR271" s="6" t="str">
        <f t="array" ref="AR271">_xlfn.IFNA((INDEX('DMR 001C TIN &amp; TP'!$A$3:$M$10005,MATCH(('Reg 85'!$AQ$6&amp;'Reg 85'!$AQ$10&amp;'Reg 85'!$B271),('DMR 001C TIN &amp; TP'!$E$3:$E$10005&amp;'DMR 001C TIN &amp; TP'!$B$3:$B$10005&amp;'DMR 001C TIN &amp; TP'!$A$3:$A$10005),0),MATCH('Reg 85'!$AR$11,'DMR 001C TIN &amp; TP'!$A$2:$M$2,0))),"")</f>
        <v/>
      </c>
      <c r="AS271" s="6" t="str">
        <f t="array" ref="AS271">_xlfn.IFNA((INDEX('DMR 001C TIN &amp; TP'!$A$3:$M$10005,MATCH(('Reg 85'!$AQ$6&amp;'Reg 85'!$AQ$10&amp;'Reg 85'!$B271),('DMR 001C TIN &amp; TP'!$E$3:$E$10005&amp;'DMR 001C TIN &amp; TP'!$B$3:$B$10005&amp;'DMR 001C TIN &amp; TP'!$A$3:$A$10005),0),MATCH('Reg 85'!$AS$11,'DMR 001C TIN &amp; TP'!$A$2:$M$2,0))),"")</f>
        <v/>
      </c>
      <c r="AT271" s="53" t="str">
        <f t="shared" si="118"/>
        <v/>
      </c>
      <c r="AV271" s="6" t="str">
        <f t="array" ref="AV271">_xlfn.IFNA((INDEX('DMR 001C TIN &amp; TP'!$A$3:$M$10005,MATCH(('Reg 85'!$AQ$6&amp;'Reg 85'!$AU$10&amp;'Reg 85'!$B271),('DMR 001C TIN &amp; TP'!$E$3:$E$10005&amp;'DMR 001C TIN &amp; TP'!$B$3:$B$10005&amp;'DMR 001C TIN &amp; TP'!$A$3:$A$10005),0),MATCH('Reg 85'!$AV$11,'DMR 001C TIN &amp; TP'!$A$2:$M$2,0))),"")</f>
        <v/>
      </c>
      <c r="AW271" s="6" t="str">
        <f t="array" ref="AW271">_xlfn.IFNA((INDEX('DMR 001C TIN &amp; TP'!$A$3:$M$10005,MATCH(('Reg 85'!$AQ$6&amp;'Reg 85'!$AU$10&amp;'Reg 85'!$B271),('DMR 001C TIN &amp; TP'!$E$3:$E$10005&amp;'DMR 001C TIN &amp; TP'!$B$3:$B$10005&amp;'DMR 001C TIN &amp; TP'!$A$3:$A$10005),0),MATCH('Reg 85'!$AW$11,'DMR 001C TIN &amp; TP'!$A$2:$M$2,0))),"")</f>
        <v/>
      </c>
      <c r="AX271" s="53" t="str">
        <f t="shared" si="119"/>
        <v/>
      </c>
      <c r="AY271" s="55" t="str">
        <f t="shared" si="120"/>
        <v/>
      </c>
      <c r="AZ271" s="77" t="str">
        <f t="shared" si="103"/>
        <v/>
      </c>
      <c r="BA271" s="6" t="str">
        <f t="array" ref="BA271">_xlfn.IFNA((INDEX('DMR 001C TIN &amp; TP'!$A$3:$M$10005,MATCH(('Reg 85'!$AQ$6&amp;'Reg 85'!BA$10&amp;'Reg 85'!$B271),('DMR 001C TIN &amp; TP'!$E$3:$E$10005&amp;'DMR 001C TIN &amp; TP'!$B$3:$B$10005&amp;'DMR 001C TIN &amp; TP'!$A$3:$A$10005),0),MATCH('Reg 85'!$AG$11,'DMR 001C TIN &amp; TP'!$A$2:$M$2,0))),"")</f>
        <v/>
      </c>
      <c r="BB271" s="6" t="str">
        <f t="array" ref="BB271">_xlfn.IFNA((INDEX('DMR 001C TIN &amp; TP'!$A$3:$M$10005,MATCH(('Reg 85'!$AQ$6&amp;'Reg 85'!BB$10&amp;'Reg 85'!$B271),('DMR 001C TIN &amp; TP'!$E$3:$E$10005&amp;'DMR 001C TIN &amp; TP'!$B$3:$B$10005&amp;'DMR 001C TIN &amp; TP'!$A$3:$A$10005),0),MATCH('Reg 85'!$AG$11,'DMR 001C TIN &amp; TP'!$A$2:$M$2,0))),"")</f>
        <v/>
      </c>
      <c r="BC271" s="6" t="str">
        <f t="array" ref="BC271">_xlfn.IFNA((INDEX('DMR 001C TIN &amp; TP'!$A$3:$M$10005,MATCH(('Reg 85'!$AQ$6&amp;'Reg 85'!BC$10&amp;'Reg 85'!$B271),('DMR 001C TIN &amp; TP'!$E$3:$E$10005&amp;'DMR 001C TIN &amp; TP'!$B$3:$B$10005&amp;'DMR 001C TIN &amp; TP'!$A$3:$A$10005),0),MATCH('Reg 85'!$AG$11,'DMR 001C TIN &amp; TP'!$A$2:$M$2,0))),"")</f>
        <v/>
      </c>
      <c r="BD271" s="6" t="str">
        <f t="array" ref="BD271">_xlfn.IFNA((INDEX('DMR 001C TIN &amp; TP'!$A$3:$M$10005,MATCH(('Reg 85'!$AQ$6&amp;'Reg 85'!BD$10&amp;'Reg 85'!$B271),('DMR 001C TIN &amp; TP'!$E$3:$E$10005&amp;'DMR 001C TIN &amp; TP'!$B$3:$B$10005&amp;'DMR 001C TIN &amp; TP'!$A$3:$A$10005),0),MATCH('Reg 85'!$AG$11,'DMR 001C TIN &amp; TP'!$A$2:$M$2,0))),"")</f>
        <v/>
      </c>
      <c r="BE271" s="6" t="str">
        <f t="array" ref="BE271">_xlfn.IFNA((INDEX('DMR 001C TIN &amp; TP'!$A$3:$M$10005,MATCH(('Reg 85'!$AQ$6&amp;'Reg 85'!BE$10&amp;'Reg 85'!$B271),('DMR 001C TIN &amp; TP'!$E$3:$E$10005&amp;'DMR 001C TIN &amp; TP'!$B$3:$B$10005&amp;'DMR 001C TIN &amp; TP'!$A$3:$A$10005),0),MATCH('Reg 85'!$AG$11,'DMR 001C TIN &amp; TP'!$A$2:$M$2,0))),"")</f>
        <v/>
      </c>
      <c r="BF271" s="6" t="str">
        <f t="array" ref="BF271">_xlfn.IFNA((INDEX('DMR 001C TIN &amp; TP'!$A$3:$M$10005,MATCH(('Reg 85'!$AQ$6&amp;'Reg 85'!BF$10&amp;'Reg 85'!$B271),('DMR 001C TIN &amp; TP'!$E$3:$E$10005&amp;'DMR 001C TIN &amp; TP'!$B$3:$B$10005&amp;'DMR 001C TIN &amp; TP'!$A$3:$A$10005),0),MATCH('Reg 85'!$AG$11,'DMR 001C TIN &amp; TP'!$A$2:$M$2,0))),"")</f>
        <v/>
      </c>
    </row>
    <row r="272" spans="1:58">
      <c r="A272" s="3" t="str">
        <f t="shared" si="105"/>
        <v>Sun</v>
      </c>
      <c r="B272" s="96">
        <f t="shared" si="121"/>
        <v>43604</v>
      </c>
      <c r="C272" s="96">
        <f t="shared" si="106"/>
        <v>43616</v>
      </c>
      <c r="D272" s="96">
        <f t="shared" si="107"/>
        <v>43586</v>
      </c>
      <c r="E272" s="95">
        <f t="shared" si="108"/>
        <v>31</v>
      </c>
      <c r="F272" s="7">
        <f t="array" ref="F272">_xlfn.IFNA(INDEX('DMR Flows-Effluent'!$A$3:$F$9999,MATCH(($F$10&amp;$B272),('DMR Flows-Effluent'!$B$3:$B$9999&amp;'DMR Flows-Effluent'!$A$3:$A$9999),0),MATCH($F$8,'DMR Flows-Effluent'!$A$2:$F$2,0)),"")</f>
        <v>68.740300000000005</v>
      </c>
      <c r="G272" s="7">
        <f t="array" ref="G272">_xlfn.IFNA(INDEX('DMR Flows-Effluent'!$A$3:$F$9999,MATCH(($G$10&amp;$B272),('DMR Flows-Effluent'!$B$3:$B$9999&amp;'DMR Flows-Effluent'!$A$3:$A$9999),0),MATCH($F$8,'DMR Flows-Effluent'!$A$2:$F$2,0)),"")</f>
        <v>59.285600000000002</v>
      </c>
      <c r="H272" s="7">
        <f t="shared" si="109"/>
        <v>128.02590000000001</v>
      </c>
      <c r="I272" s="45" t="str">
        <f t="shared" si="110"/>
        <v/>
      </c>
      <c r="J272" s="6" t="str">
        <f t="array" ref="J272">_xlfn.IFNA((INDEX('DMR 001C TIN &amp; TP'!$A$3:$M$10005,MATCH(('Reg 85'!$I$6:$Q$6&amp;'Reg 85'!$I$10:$K$10&amp;'Reg 85'!$B272),('DMR 001C TIN &amp; TP'!$E$3:$E$10005&amp;'DMR 001C TIN &amp; TP'!$B$3:$B$10005&amp;'DMR 001C TIN &amp; TP'!$A$3:$A$10005),0),MATCH('Reg 85'!$J$11,'DMR 001C TIN &amp; TP'!$A$2:$M$2,0))),"")</f>
        <v>0.15</v>
      </c>
      <c r="K272" s="6">
        <f t="array" ref="K272">_xlfn.IFNA((INDEX('DMR 001C TIN &amp; TP'!$A$3:$M$10005,MATCH(('Reg 85'!$I$6:$Q$6&amp;'Reg 85'!$I$10:$K$10&amp;'Reg 85'!$B272),('DMR 001C TIN &amp; TP'!$E$3:$E$10005&amp;'DMR 001C TIN &amp; TP'!$B$3:$B$10005&amp;'DMR 001C TIN &amp; TP'!$A$3:$A$10005),0),MATCH('Reg 85'!$K$11,'DMR 001C TIN &amp; TP'!$A$2:$M$2,0))),"")</f>
        <v>1.07</v>
      </c>
      <c r="L272" s="53">
        <f t="shared" si="122"/>
        <v>1.07</v>
      </c>
      <c r="M272" s="5" t="str">
        <f t="shared" si="111"/>
        <v/>
      </c>
      <c r="N272" s="6" t="str">
        <f t="array" ref="N272">_xlfn.IFNA((INDEX('DMR 001C TIN &amp; TP'!$A$3:$M$10005,MATCH(('Reg 85'!$I$6:$Q$6&amp;'Reg 85'!$M$10&amp;'Reg 85'!$B272),('DMR 001C TIN &amp; TP'!$E$3:$E$10005&amp;'DMR 001C TIN &amp; TP'!$B$3:$B$10005&amp;'DMR 001C TIN &amp; TP'!$A$3:$A$10005),0),MATCH('Reg 85'!$N$11,'DMR 001C TIN &amp; TP'!$A$2:$M$2,0))),"")</f>
        <v>0.15</v>
      </c>
      <c r="O272" s="6">
        <f t="array" ref="O272">_xlfn.IFNA((INDEX('DMR 001C TIN &amp; TP'!$A$3:$M$10005,MATCH(('Reg 85'!$I$6:$Q$6&amp;'Reg 85'!$M$10&amp;'Reg 85'!$B272),('DMR 001C TIN &amp; TP'!$E$3:$E$10005&amp;'DMR 001C TIN &amp; TP'!$B$3:$B$10005&amp;'DMR 001C TIN &amp; TP'!$A$3:$A$10005),0),MATCH('Reg 85'!$O$11,'DMR 001C TIN &amp; TP'!$A$2:$M$2,0))),"")</f>
        <v>1.07</v>
      </c>
      <c r="P272" s="53">
        <f t="shared" si="112"/>
        <v>1.07</v>
      </c>
      <c r="Q272" s="73">
        <f t="array" ref="Q272">IFERROR(((L272*$F272)+(P272*$G272))/($H272),"")</f>
        <v>1.07</v>
      </c>
      <c r="R272" s="6" t="str">
        <f t="array" ref="R272">_xlfn.IFNA((INDEX('DMR 001C TIN &amp; TP'!$A$3:$M$10005,MATCH(('Reg 85'!$I$6:$Q$6&amp;'Reg 85'!R$10&amp;'Reg 85'!$B272),('DMR 001C TIN &amp; TP'!$E$3:$E$10005&amp;'DMR 001C TIN &amp; TP'!$B$3:$B$10005&amp;'DMR 001C TIN &amp; TP'!$A$3:$A$10005),0),MATCH('Reg 85'!$O$11,'DMR 001C TIN &amp; TP'!$A$2:$M$2,0))),"")</f>
        <v/>
      </c>
      <c r="S272" s="6" t="str">
        <f t="array" ref="S272">_xlfn.IFNA((INDEX('DMR 001C TIN &amp; TP'!$A$3:$M$10005,MATCH(('Reg 85'!$I$6:$Q$6&amp;'Reg 85'!S$10&amp;'Reg 85'!$B272),('DMR 001C TIN &amp; TP'!$E$3:$E$10005&amp;'DMR 001C TIN &amp; TP'!$B$3:$B$10005&amp;'DMR 001C TIN &amp; TP'!$A$3:$A$10005),0),MATCH('Reg 85'!$O$11,'DMR 001C TIN &amp; TP'!$A$2:$M$2,0))),"")</f>
        <v/>
      </c>
      <c r="T272" s="6" t="str">
        <f t="array" ref="T272">_xlfn.IFNA((INDEX('DMR 001C TIN &amp; TP'!$A$3:$M$10005,MATCH(('Reg 85'!$I$6:$Q$6&amp;'Reg 85'!T$10&amp;'Reg 85'!$B272),('DMR 001C TIN &amp; TP'!$E$3:$E$10005&amp;'DMR 001C TIN &amp; TP'!$B$3:$B$10005&amp;'DMR 001C TIN &amp; TP'!$A$3:$A$10005),0),MATCH('Reg 85'!$O$11,'DMR 001C TIN &amp; TP'!$A$2:$M$2,0))),"")</f>
        <v/>
      </c>
      <c r="U272" s="6" t="str">
        <f t="array" ref="U272">_xlfn.IFNA((INDEX('DMR 001C TIN &amp; TP'!$A$3:$M$10005,MATCH(('Reg 85'!$I$6:$Q$6&amp;'Reg 85'!U$10&amp;'Reg 85'!$B272),('DMR 001C TIN &amp; TP'!$E$3:$E$10005&amp;'DMR 001C TIN &amp; TP'!$B$3:$B$10005&amp;'DMR 001C TIN &amp; TP'!$A$3:$A$10005),0),MATCH('Reg 85'!$O$11,'DMR 001C TIN &amp; TP'!$A$2:$M$2,0))),"")</f>
        <v/>
      </c>
      <c r="V272" s="6" t="str">
        <f t="array" ref="V272">_xlfn.IFNA((INDEX('DMR 001C TIN &amp; TP'!$A$3:$M$10005,MATCH(('Reg 85'!$I$6:$Q$6&amp;'Reg 85'!V$10&amp;'Reg 85'!$B272),('DMR 001C TIN &amp; TP'!$E$3:$E$10005&amp;'DMR 001C TIN &amp; TP'!$B$3:$B$10005&amp;'DMR 001C TIN &amp; TP'!$A$3:$A$10005),0),MATCH('Reg 85'!$O$11,'DMR 001C TIN &amp; TP'!$A$2:$M$2,0))),"")</f>
        <v/>
      </c>
      <c r="W272" s="6" t="str">
        <f t="array" ref="W272">_xlfn.IFNA((INDEX('DMR 001C TIN &amp; TP'!$A$3:$M$10005,MATCH(('Reg 85'!$I$6:$Q$6&amp;'Reg 85'!W$10&amp;'Reg 85'!$B272),('DMR 001C TIN &amp; TP'!$E$3:$E$10005&amp;'DMR 001C TIN &amp; TP'!$B$3:$B$10005&amp;'DMR 001C TIN &amp; TP'!$A$3:$A$10005),0),MATCH('Reg 85'!$O$11,'DMR 001C TIN &amp; TP'!$A$2:$M$2,0))),"")</f>
        <v/>
      </c>
      <c r="X272" s="5" t="str">
        <f t="shared" si="113"/>
        <v/>
      </c>
      <c r="Y272" s="6" t="str">
        <f t="array" ref="Y272">_xlfn.IFNA((INDEX('DMR 001C TIN &amp; TP'!$A$3:$M$10005,MATCH(('Reg 85'!$X$6&amp;'Reg 85'!$X$10&amp;'Reg 85'!$B272),('DMR 001C TIN &amp; TP'!$E$3:$E$10005&amp;'DMR 001C TIN &amp; TP'!$B$3:$B$10005&amp;'DMR 001C TIN &amp; TP'!$A$3:$A$10005),0),MATCH('Reg 85'!$Y$11,'DMR 001C TIN &amp; TP'!$A$2:$M$2,0))),"")</f>
        <v>0.06</v>
      </c>
      <c r="Z272" s="6">
        <f t="array" ref="Z272">_xlfn.IFNA((INDEX('DMR 001C TIN &amp; TP'!$A$3:$M$10005,MATCH(('Reg 85'!$X$6&amp;'Reg 85'!$X$10&amp;'Reg 85'!$B272),('DMR 001C TIN &amp; TP'!$E$3:$E$10005&amp;'DMR 001C TIN &amp; TP'!$B$3:$B$10005&amp;'DMR 001C TIN &amp; TP'!$A$3:$A$10005),0),MATCH('Reg 85'!$Z$11,'DMR 001C TIN &amp; TP'!$A$2:$M$2,0))),"")</f>
        <v>5.37</v>
      </c>
      <c r="AA272" s="53">
        <f t="shared" si="114"/>
        <v>5.37</v>
      </c>
      <c r="AB272" s="5" t="str">
        <f t="shared" si="115"/>
        <v/>
      </c>
      <c r="AC272" s="6" t="str">
        <f t="array" ref="AC272">_xlfn.IFNA((INDEX('DMR 001C TIN &amp; TP'!$A$3:$M$10005,MATCH(('Reg 85'!$X$6&amp;'Reg 85'!$AB$10&amp;'Reg 85'!$B272),('DMR 001C TIN &amp; TP'!$E$3:$E$10005&amp;'DMR 001C TIN &amp; TP'!$B$3:$B$10005&amp;'DMR 001C TIN &amp; TP'!$A$3:$A$10005),0),MATCH('Reg 85'!$AC$11,'DMR 001C TIN &amp; TP'!$A$2:$M$2,0))),"")</f>
        <v>0.06</v>
      </c>
      <c r="AD272" s="6">
        <f t="array" ref="AD272">_xlfn.IFNA((INDEX('DMR 001C TIN &amp; TP'!$A$3:$M$10005,MATCH(('Reg 85'!$X$6&amp;'Reg 85'!$AB$10&amp;'Reg 85'!$B272),('DMR 001C TIN &amp; TP'!$E$3:$E$10005&amp;'DMR 001C TIN &amp; TP'!$B$3:$B$10005&amp;'DMR 001C TIN &amp; TP'!$A$3:$A$10005),0),MATCH('Reg 85'!$AD$11,'DMR 001C TIN &amp; TP'!$A$2:$M$2,0))),"")</f>
        <v>6.98</v>
      </c>
      <c r="AE272" s="53">
        <f t="shared" si="116"/>
        <v>6.98</v>
      </c>
      <c r="AF272" s="7">
        <f t="shared" si="117"/>
        <v>6.1155508299492531</v>
      </c>
      <c r="AG272" s="6" t="str">
        <f t="array" ref="AG272">_xlfn.IFNA((INDEX('DMR 001C TIN &amp; TP'!$A$3:$M$10005,MATCH(('Reg 85'!$X$6&amp;'Reg 85'!AG$10&amp;'Reg 85'!$B272),('DMR 001C TIN &amp; TP'!$E$3:$E$10005&amp;'DMR 001C TIN &amp; TP'!$B$3:$B$10005&amp;'DMR 001C TIN &amp; TP'!$A$3:$A$10005),0),MATCH('Reg 85'!$AG$11,'DMR 001C TIN &amp; TP'!$A$2:$M$2,0))),"")</f>
        <v/>
      </c>
      <c r="AH272" s="6" t="str">
        <f t="array" ref="AH272">_xlfn.IFNA((INDEX('DMR 001C TIN &amp; TP'!$A$3:$M$10005,MATCH(('Reg 85'!$X$6&amp;'Reg 85'!AH$10&amp;'Reg 85'!$B272),('DMR 001C TIN &amp; TP'!$E$3:$E$10005&amp;'DMR 001C TIN &amp; TP'!$B$3:$B$10005&amp;'DMR 001C TIN &amp; TP'!$A$3:$A$10005),0),MATCH('Reg 85'!$AG$11,'DMR 001C TIN &amp; TP'!$A$2:$M$2,0))),"")</f>
        <v/>
      </c>
      <c r="AI272" s="6" t="str">
        <f t="array" ref="AI272">_xlfn.IFNA((INDEX('DMR 001C TIN &amp; TP'!$A$3:$M$10005,MATCH(('Reg 85'!$X$6&amp;'Reg 85'!AI$10&amp;'Reg 85'!$B272),('DMR 001C TIN &amp; TP'!$E$3:$E$10005&amp;'DMR 001C TIN &amp; TP'!$B$3:$B$10005&amp;'DMR 001C TIN &amp; TP'!$A$3:$A$10005),0),MATCH('Reg 85'!$AG$11,'DMR 001C TIN &amp; TP'!$A$2:$M$2,0))),"")</f>
        <v/>
      </c>
      <c r="AJ272" s="6" t="str">
        <f t="array" ref="AJ272">_xlfn.IFNA((INDEX('DMR 001C TIN &amp; TP'!$A$3:$M$10005,MATCH(('Reg 85'!$X$6&amp;'Reg 85'!AJ$10&amp;'Reg 85'!$B272),('DMR 001C TIN &amp; TP'!$E$3:$E$10005&amp;'DMR 001C TIN &amp; TP'!$B$3:$B$10005&amp;'DMR 001C TIN &amp; TP'!$A$3:$A$10005),0),MATCH('Reg 85'!$AG$11,'DMR 001C TIN &amp; TP'!$A$2:$M$2,0))),"")</f>
        <v/>
      </c>
      <c r="AK272" s="6" t="str">
        <f t="array" ref="AK272">_xlfn.IFNA((INDEX('DMR 001C TIN &amp; TP'!$A$3:$M$10005,MATCH(('Reg 85'!$X$6&amp;'Reg 85'!AK$10&amp;'Reg 85'!$B272),('DMR 001C TIN &amp; TP'!$E$3:$E$10005&amp;'DMR 001C TIN &amp; TP'!$B$3:$B$10005&amp;'DMR 001C TIN &amp; TP'!$A$3:$A$10005),0),MATCH('Reg 85'!$AG$11,'DMR 001C TIN &amp; TP'!$A$2:$M$2,0))),"")</f>
        <v/>
      </c>
      <c r="AL272" s="6" t="str">
        <f t="array" ref="AL272">_xlfn.IFNA((INDEX('DMR 001C TIN &amp; TP'!$A$3:$M$10005,MATCH(('Reg 85'!$X$6&amp;'Reg 85'!AL$10&amp;'Reg 85'!$B272),('DMR 001C TIN &amp; TP'!$E$3:$E$10005&amp;'DMR 001C TIN &amp; TP'!$B$3:$B$10005&amp;'DMR 001C TIN &amp; TP'!$A$3:$A$10005),0),MATCH('Reg 85'!$AG$11,'DMR 001C TIN &amp; TP'!$A$2:$M$2,0))),"")</f>
        <v/>
      </c>
      <c r="AM272" s="76"/>
      <c r="AN272" s="6"/>
      <c r="AO272" s="54">
        <f t="shared" si="104"/>
        <v>7.1855508299492534</v>
      </c>
      <c r="AP272" s="77" t="str">
        <f t="shared" si="102"/>
        <v/>
      </c>
      <c r="AQ272" s="47"/>
      <c r="AR272" s="6" t="str">
        <f t="array" ref="AR272">_xlfn.IFNA((INDEX('DMR 001C TIN &amp; TP'!$A$3:$M$10005,MATCH(('Reg 85'!$AQ$6&amp;'Reg 85'!$AQ$10&amp;'Reg 85'!$B272),('DMR 001C TIN &amp; TP'!$E$3:$E$10005&amp;'DMR 001C TIN &amp; TP'!$B$3:$B$10005&amp;'DMR 001C TIN &amp; TP'!$A$3:$A$10005),0),MATCH('Reg 85'!$AR$11,'DMR 001C TIN &amp; TP'!$A$2:$M$2,0))),"")</f>
        <v/>
      </c>
      <c r="AS272" s="6" t="str">
        <f t="array" ref="AS272">_xlfn.IFNA((INDEX('DMR 001C TIN &amp; TP'!$A$3:$M$10005,MATCH(('Reg 85'!$AQ$6&amp;'Reg 85'!$AQ$10&amp;'Reg 85'!$B272),('DMR 001C TIN &amp; TP'!$E$3:$E$10005&amp;'DMR 001C TIN &amp; TP'!$B$3:$B$10005&amp;'DMR 001C TIN &amp; TP'!$A$3:$A$10005),0),MATCH('Reg 85'!$AS$11,'DMR 001C TIN &amp; TP'!$A$2:$M$2,0))),"")</f>
        <v/>
      </c>
      <c r="AT272" s="53" t="str">
        <f t="shared" si="118"/>
        <v/>
      </c>
      <c r="AV272" s="6" t="str">
        <f t="array" ref="AV272">_xlfn.IFNA((INDEX('DMR 001C TIN &amp; TP'!$A$3:$M$10005,MATCH(('Reg 85'!$AQ$6&amp;'Reg 85'!$AU$10&amp;'Reg 85'!$B272),('DMR 001C TIN &amp; TP'!$E$3:$E$10005&amp;'DMR 001C TIN &amp; TP'!$B$3:$B$10005&amp;'DMR 001C TIN &amp; TP'!$A$3:$A$10005),0),MATCH('Reg 85'!$AV$11,'DMR 001C TIN &amp; TP'!$A$2:$M$2,0))),"")</f>
        <v/>
      </c>
      <c r="AW272" s="6" t="str">
        <f t="array" ref="AW272">_xlfn.IFNA((INDEX('DMR 001C TIN &amp; TP'!$A$3:$M$10005,MATCH(('Reg 85'!$AQ$6&amp;'Reg 85'!$AU$10&amp;'Reg 85'!$B272),('DMR 001C TIN &amp; TP'!$E$3:$E$10005&amp;'DMR 001C TIN &amp; TP'!$B$3:$B$10005&amp;'DMR 001C TIN &amp; TP'!$A$3:$A$10005),0),MATCH('Reg 85'!$AW$11,'DMR 001C TIN &amp; TP'!$A$2:$M$2,0))),"")</f>
        <v/>
      </c>
      <c r="AX272" s="53" t="str">
        <f t="shared" si="119"/>
        <v/>
      </c>
      <c r="AY272" s="55" t="str">
        <f t="shared" si="120"/>
        <v/>
      </c>
      <c r="AZ272" s="77" t="str">
        <f t="shared" si="103"/>
        <v/>
      </c>
      <c r="BA272" s="6" t="str">
        <f t="array" ref="BA272">_xlfn.IFNA((INDEX('DMR 001C TIN &amp; TP'!$A$3:$M$10005,MATCH(('Reg 85'!$AQ$6&amp;'Reg 85'!BA$10&amp;'Reg 85'!$B272),('DMR 001C TIN &amp; TP'!$E$3:$E$10005&amp;'DMR 001C TIN &amp; TP'!$B$3:$B$10005&amp;'DMR 001C TIN &amp; TP'!$A$3:$A$10005),0),MATCH('Reg 85'!$AG$11,'DMR 001C TIN &amp; TP'!$A$2:$M$2,0))),"")</f>
        <v/>
      </c>
      <c r="BB272" s="6" t="str">
        <f t="array" ref="BB272">_xlfn.IFNA((INDEX('DMR 001C TIN &amp; TP'!$A$3:$M$10005,MATCH(('Reg 85'!$AQ$6&amp;'Reg 85'!BB$10&amp;'Reg 85'!$B272),('DMR 001C TIN &amp; TP'!$E$3:$E$10005&amp;'DMR 001C TIN &amp; TP'!$B$3:$B$10005&amp;'DMR 001C TIN &amp; TP'!$A$3:$A$10005),0),MATCH('Reg 85'!$AG$11,'DMR 001C TIN &amp; TP'!$A$2:$M$2,0))),"")</f>
        <v/>
      </c>
      <c r="BC272" s="6" t="str">
        <f t="array" ref="BC272">_xlfn.IFNA((INDEX('DMR 001C TIN &amp; TP'!$A$3:$M$10005,MATCH(('Reg 85'!$AQ$6&amp;'Reg 85'!BC$10&amp;'Reg 85'!$B272),('DMR 001C TIN &amp; TP'!$E$3:$E$10005&amp;'DMR 001C TIN &amp; TP'!$B$3:$B$10005&amp;'DMR 001C TIN &amp; TP'!$A$3:$A$10005),0),MATCH('Reg 85'!$AG$11,'DMR 001C TIN &amp; TP'!$A$2:$M$2,0))),"")</f>
        <v/>
      </c>
      <c r="BD272" s="6" t="str">
        <f t="array" ref="BD272">_xlfn.IFNA((INDEX('DMR 001C TIN &amp; TP'!$A$3:$M$10005,MATCH(('Reg 85'!$AQ$6&amp;'Reg 85'!BD$10&amp;'Reg 85'!$B272),('DMR 001C TIN &amp; TP'!$E$3:$E$10005&amp;'DMR 001C TIN &amp; TP'!$B$3:$B$10005&amp;'DMR 001C TIN &amp; TP'!$A$3:$A$10005),0),MATCH('Reg 85'!$AG$11,'DMR 001C TIN &amp; TP'!$A$2:$M$2,0))),"")</f>
        <v/>
      </c>
      <c r="BE272" s="6" t="str">
        <f t="array" ref="BE272">_xlfn.IFNA((INDEX('DMR 001C TIN &amp; TP'!$A$3:$M$10005,MATCH(('Reg 85'!$AQ$6&amp;'Reg 85'!BE$10&amp;'Reg 85'!$B272),('DMR 001C TIN &amp; TP'!$E$3:$E$10005&amp;'DMR 001C TIN &amp; TP'!$B$3:$B$10005&amp;'DMR 001C TIN &amp; TP'!$A$3:$A$10005),0),MATCH('Reg 85'!$AG$11,'DMR 001C TIN &amp; TP'!$A$2:$M$2,0))),"")</f>
        <v/>
      </c>
      <c r="BF272" s="6" t="str">
        <f t="array" ref="BF272">_xlfn.IFNA((INDEX('DMR 001C TIN &amp; TP'!$A$3:$M$10005,MATCH(('Reg 85'!$AQ$6&amp;'Reg 85'!BF$10&amp;'Reg 85'!$B272),('DMR 001C TIN &amp; TP'!$E$3:$E$10005&amp;'DMR 001C TIN &amp; TP'!$B$3:$B$10005&amp;'DMR 001C TIN &amp; TP'!$A$3:$A$10005),0),MATCH('Reg 85'!$AG$11,'DMR 001C TIN &amp; TP'!$A$2:$M$2,0))),"")</f>
        <v/>
      </c>
    </row>
    <row r="273" spans="1:58">
      <c r="A273" s="3" t="str">
        <f t="shared" si="105"/>
        <v>Mon</v>
      </c>
      <c r="B273" s="96">
        <f t="shared" si="121"/>
        <v>43605</v>
      </c>
      <c r="C273" s="96">
        <f t="shared" si="106"/>
        <v>43616</v>
      </c>
      <c r="D273" s="96">
        <f t="shared" si="107"/>
        <v>43586</v>
      </c>
      <c r="E273" s="95">
        <f t="shared" si="108"/>
        <v>31</v>
      </c>
      <c r="F273" s="7">
        <f t="array" ref="F273">_xlfn.IFNA(INDEX('DMR Flows-Effluent'!$A$3:$F$9999,MATCH(($F$10&amp;$B273),('DMR Flows-Effluent'!$B$3:$B$9999&amp;'DMR Flows-Effluent'!$A$3:$A$9999),0),MATCH($F$8,'DMR Flows-Effluent'!$A$2:$F$2,0)),"")</f>
        <v>71.896600000000007</v>
      </c>
      <c r="G273" s="7">
        <f t="array" ref="G273">_xlfn.IFNA(INDEX('DMR Flows-Effluent'!$A$3:$F$9999,MATCH(($G$10&amp;$B273),('DMR Flows-Effluent'!$B$3:$B$9999&amp;'DMR Flows-Effluent'!$A$3:$A$9999),0),MATCH($F$8,'DMR Flows-Effluent'!$A$2:$F$2,0)),"")</f>
        <v>60.665100000000002</v>
      </c>
      <c r="H273" s="7">
        <f t="shared" si="109"/>
        <v>132.5617</v>
      </c>
      <c r="I273" s="45" t="str">
        <f t="shared" si="110"/>
        <v/>
      </c>
      <c r="J273" s="6" t="str">
        <f t="array" ref="J273">_xlfn.IFNA((INDEX('DMR 001C TIN &amp; TP'!$A$3:$M$10005,MATCH(('Reg 85'!$I$6:$Q$6&amp;'Reg 85'!$I$10:$K$10&amp;'Reg 85'!$B273),('DMR 001C TIN &amp; TP'!$E$3:$E$10005&amp;'DMR 001C TIN &amp; TP'!$B$3:$B$10005&amp;'DMR 001C TIN &amp; TP'!$A$3:$A$10005),0),MATCH('Reg 85'!$J$11,'DMR 001C TIN &amp; TP'!$A$2:$M$2,0))),"")</f>
        <v/>
      </c>
      <c r="K273" s="6" t="str">
        <f t="array" ref="K273">_xlfn.IFNA((INDEX('DMR 001C TIN &amp; TP'!$A$3:$M$10005,MATCH(('Reg 85'!$I$6:$Q$6&amp;'Reg 85'!$I$10:$K$10&amp;'Reg 85'!$B273),('DMR 001C TIN &amp; TP'!$E$3:$E$10005&amp;'DMR 001C TIN &amp; TP'!$B$3:$B$10005&amp;'DMR 001C TIN &amp; TP'!$A$3:$A$10005),0),MATCH('Reg 85'!$K$11,'DMR 001C TIN &amp; TP'!$A$2:$M$2,0))),"")</f>
        <v/>
      </c>
      <c r="L273" s="53" t="str">
        <f t="shared" si="122"/>
        <v/>
      </c>
      <c r="M273" s="5" t="str">
        <f t="shared" si="111"/>
        <v/>
      </c>
      <c r="N273" s="6" t="str">
        <f t="array" ref="N273">_xlfn.IFNA((INDEX('DMR 001C TIN &amp; TP'!$A$3:$M$10005,MATCH(('Reg 85'!$I$6:$Q$6&amp;'Reg 85'!$M$10&amp;'Reg 85'!$B273),('DMR 001C TIN &amp; TP'!$E$3:$E$10005&amp;'DMR 001C TIN &amp; TP'!$B$3:$B$10005&amp;'DMR 001C TIN &amp; TP'!$A$3:$A$10005),0),MATCH('Reg 85'!$N$11,'DMR 001C TIN &amp; TP'!$A$2:$M$2,0))),"")</f>
        <v/>
      </c>
      <c r="O273" s="6" t="str">
        <f t="array" ref="O273">_xlfn.IFNA((INDEX('DMR 001C TIN &amp; TP'!$A$3:$M$10005,MATCH(('Reg 85'!$I$6:$Q$6&amp;'Reg 85'!$M$10&amp;'Reg 85'!$B273),('DMR 001C TIN &amp; TP'!$E$3:$E$10005&amp;'DMR 001C TIN &amp; TP'!$B$3:$B$10005&amp;'DMR 001C TIN &amp; TP'!$A$3:$A$10005),0),MATCH('Reg 85'!$O$11,'DMR 001C TIN &amp; TP'!$A$2:$M$2,0))),"")</f>
        <v/>
      </c>
      <c r="P273" s="53" t="str">
        <f t="shared" si="112"/>
        <v/>
      </c>
      <c r="Q273" s="73" t="str">
        <f t="array" ref="Q273">IFERROR(((L273*$F273)+(P273*$G273))/($H273),"")</f>
        <v/>
      </c>
      <c r="R273" s="6" t="str">
        <f t="array" ref="R273">_xlfn.IFNA((INDEX('DMR 001C TIN &amp; TP'!$A$3:$M$10005,MATCH(('Reg 85'!$I$6:$Q$6&amp;'Reg 85'!R$10&amp;'Reg 85'!$B273),('DMR 001C TIN &amp; TP'!$E$3:$E$10005&amp;'DMR 001C TIN &amp; TP'!$B$3:$B$10005&amp;'DMR 001C TIN &amp; TP'!$A$3:$A$10005),0),MATCH('Reg 85'!$O$11,'DMR 001C TIN &amp; TP'!$A$2:$M$2,0))),"")</f>
        <v/>
      </c>
      <c r="S273" s="6" t="str">
        <f t="array" ref="S273">_xlfn.IFNA((INDEX('DMR 001C TIN &amp; TP'!$A$3:$M$10005,MATCH(('Reg 85'!$I$6:$Q$6&amp;'Reg 85'!S$10&amp;'Reg 85'!$B273),('DMR 001C TIN &amp; TP'!$E$3:$E$10005&amp;'DMR 001C TIN &amp; TP'!$B$3:$B$10005&amp;'DMR 001C TIN &amp; TP'!$A$3:$A$10005),0),MATCH('Reg 85'!$O$11,'DMR 001C TIN &amp; TP'!$A$2:$M$2,0))),"")</f>
        <v/>
      </c>
      <c r="T273" s="6" t="str">
        <f t="array" ref="T273">_xlfn.IFNA((INDEX('DMR 001C TIN &amp; TP'!$A$3:$M$10005,MATCH(('Reg 85'!$I$6:$Q$6&amp;'Reg 85'!T$10&amp;'Reg 85'!$B273),('DMR 001C TIN &amp; TP'!$E$3:$E$10005&amp;'DMR 001C TIN &amp; TP'!$B$3:$B$10005&amp;'DMR 001C TIN &amp; TP'!$A$3:$A$10005),0),MATCH('Reg 85'!$O$11,'DMR 001C TIN &amp; TP'!$A$2:$M$2,0))),"")</f>
        <v/>
      </c>
      <c r="U273" s="6" t="str">
        <f t="array" ref="U273">_xlfn.IFNA((INDEX('DMR 001C TIN &amp; TP'!$A$3:$M$10005,MATCH(('Reg 85'!$I$6:$Q$6&amp;'Reg 85'!U$10&amp;'Reg 85'!$B273),('DMR 001C TIN &amp; TP'!$E$3:$E$10005&amp;'DMR 001C TIN &amp; TP'!$B$3:$B$10005&amp;'DMR 001C TIN &amp; TP'!$A$3:$A$10005),0),MATCH('Reg 85'!$O$11,'DMR 001C TIN &amp; TP'!$A$2:$M$2,0))),"")</f>
        <v/>
      </c>
      <c r="V273" s="6" t="str">
        <f t="array" ref="V273">_xlfn.IFNA((INDEX('DMR 001C TIN &amp; TP'!$A$3:$M$10005,MATCH(('Reg 85'!$I$6:$Q$6&amp;'Reg 85'!V$10&amp;'Reg 85'!$B273),('DMR 001C TIN &amp; TP'!$E$3:$E$10005&amp;'DMR 001C TIN &amp; TP'!$B$3:$B$10005&amp;'DMR 001C TIN &amp; TP'!$A$3:$A$10005),0),MATCH('Reg 85'!$O$11,'DMR 001C TIN &amp; TP'!$A$2:$M$2,0))),"")</f>
        <v/>
      </c>
      <c r="W273" s="6" t="str">
        <f t="array" ref="W273">_xlfn.IFNA((INDEX('DMR 001C TIN &amp; TP'!$A$3:$M$10005,MATCH(('Reg 85'!$I$6:$Q$6&amp;'Reg 85'!W$10&amp;'Reg 85'!$B273),('DMR 001C TIN &amp; TP'!$E$3:$E$10005&amp;'DMR 001C TIN &amp; TP'!$B$3:$B$10005&amp;'DMR 001C TIN &amp; TP'!$A$3:$A$10005),0),MATCH('Reg 85'!$O$11,'DMR 001C TIN &amp; TP'!$A$2:$M$2,0))),"")</f>
        <v/>
      </c>
      <c r="X273" s="5" t="str">
        <f t="shared" si="113"/>
        <v/>
      </c>
      <c r="Y273" s="6" t="str">
        <f t="array" ref="Y273">_xlfn.IFNA((INDEX('DMR 001C TIN &amp; TP'!$A$3:$M$10005,MATCH(('Reg 85'!$X$6&amp;'Reg 85'!$X$10&amp;'Reg 85'!$B273),('DMR 001C TIN &amp; TP'!$E$3:$E$10005&amp;'DMR 001C TIN &amp; TP'!$B$3:$B$10005&amp;'DMR 001C TIN &amp; TP'!$A$3:$A$10005),0),MATCH('Reg 85'!$Y$11,'DMR 001C TIN &amp; TP'!$A$2:$M$2,0))),"")</f>
        <v/>
      </c>
      <c r="Z273" s="6" t="str">
        <f t="array" ref="Z273">_xlfn.IFNA((INDEX('DMR 001C TIN &amp; TP'!$A$3:$M$10005,MATCH(('Reg 85'!$X$6&amp;'Reg 85'!$X$10&amp;'Reg 85'!$B273),('DMR 001C TIN &amp; TP'!$E$3:$E$10005&amp;'DMR 001C TIN &amp; TP'!$B$3:$B$10005&amp;'DMR 001C TIN &amp; TP'!$A$3:$A$10005),0),MATCH('Reg 85'!$Z$11,'DMR 001C TIN &amp; TP'!$A$2:$M$2,0))),"")</f>
        <v/>
      </c>
      <c r="AA273" s="53" t="str">
        <f t="shared" si="114"/>
        <v/>
      </c>
      <c r="AB273" s="5" t="str">
        <f t="shared" si="115"/>
        <v/>
      </c>
      <c r="AC273" s="6" t="str">
        <f t="array" ref="AC273">_xlfn.IFNA((INDEX('DMR 001C TIN &amp; TP'!$A$3:$M$10005,MATCH(('Reg 85'!$X$6&amp;'Reg 85'!$AB$10&amp;'Reg 85'!$B273),('DMR 001C TIN &amp; TP'!$E$3:$E$10005&amp;'DMR 001C TIN &amp; TP'!$B$3:$B$10005&amp;'DMR 001C TIN &amp; TP'!$A$3:$A$10005),0),MATCH('Reg 85'!$AC$11,'DMR 001C TIN &amp; TP'!$A$2:$M$2,0))),"")</f>
        <v/>
      </c>
      <c r="AD273" s="6" t="str">
        <f t="array" ref="AD273">_xlfn.IFNA((INDEX('DMR 001C TIN &amp; TP'!$A$3:$M$10005,MATCH(('Reg 85'!$X$6&amp;'Reg 85'!$AB$10&amp;'Reg 85'!$B273),('DMR 001C TIN &amp; TP'!$E$3:$E$10005&amp;'DMR 001C TIN &amp; TP'!$B$3:$B$10005&amp;'DMR 001C TIN &amp; TP'!$A$3:$A$10005),0),MATCH('Reg 85'!$AD$11,'DMR 001C TIN &amp; TP'!$A$2:$M$2,0))),"")</f>
        <v/>
      </c>
      <c r="AE273" s="53" t="str">
        <f t="shared" si="116"/>
        <v/>
      </c>
      <c r="AF273" s="7" t="str">
        <f t="shared" si="117"/>
        <v/>
      </c>
      <c r="AG273" s="6" t="str">
        <f t="array" ref="AG273">_xlfn.IFNA((INDEX('DMR 001C TIN &amp; TP'!$A$3:$M$10005,MATCH(('Reg 85'!$X$6&amp;'Reg 85'!AG$10&amp;'Reg 85'!$B273),('DMR 001C TIN &amp; TP'!$E$3:$E$10005&amp;'DMR 001C TIN &amp; TP'!$B$3:$B$10005&amp;'DMR 001C TIN &amp; TP'!$A$3:$A$10005),0),MATCH('Reg 85'!$AG$11,'DMR 001C TIN &amp; TP'!$A$2:$M$2,0))),"")</f>
        <v/>
      </c>
      <c r="AH273" s="6" t="str">
        <f t="array" ref="AH273">_xlfn.IFNA((INDEX('DMR 001C TIN &amp; TP'!$A$3:$M$10005,MATCH(('Reg 85'!$X$6&amp;'Reg 85'!AH$10&amp;'Reg 85'!$B273),('DMR 001C TIN &amp; TP'!$E$3:$E$10005&amp;'DMR 001C TIN &amp; TP'!$B$3:$B$10005&amp;'DMR 001C TIN &amp; TP'!$A$3:$A$10005),0),MATCH('Reg 85'!$AG$11,'DMR 001C TIN &amp; TP'!$A$2:$M$2,0))),"")</f>
        <v/>
      </c>
      <c r="AI273" s="6" t="str">
        <f t="array" ref="AI273">_xlfn.IFNA((INDEX('DMR 001C TIN &amp; TP'!$A$3:$M$10005,MATCH(('Reg 85'!$X$6&amp;'Reg 85'!AI$10&amp;'Reg 85'!$B273),('DMR 001C TIN &amp; TP'!$E$3:$E$10005&amp;'DMR 001C TIN &amp; TP'!$B$3:$B$10005&amp;'DMR 001C TIN &amp; TP'!$A$3:$A$10005),0),MATCH('Reg 85'!$AG$11,'DMR 001C TIN &amp; TP'!$A$2:$M$2,0))),"")</f>
        <v/>
      </c>
      <c r="AJ273" s="6" t="str">
        <f t="array" ref="AJ273">_xlfn.IFNA((INDEX('DMR 001C TIN &amp; TP'!$A$3:$M$10005,MATCH(('Reg 85'!$X$6&amp;'Reg 85'!AJ$10&amp;'Reg 85'!$B273),('DMR 001C TIN &amp; TP'!$E$3:$E$10005&amp;'DMR 001C TIN &amp; TP'!$B$3:$B$10005&amp;'DMR 001C TIN &amp; TP'!$A$3:$A$10005),0),MATCH('Reg 85'!$AG$11,'DMR 001C TIN &amp; TP'!$A$2:$M$2,0))),"")</f>
        <v/>
      </c>
      <c r="AK273" s="6" t="str">
        <f t="array" ref="AK273">_xlfn.IFNA((INDEX('DMR 001C TIN &amp; TP'!$A$3:$M$10005,MATCH(('Reg 85'!$X$6&amp;'Reg 85'!AK$10&amp;'Reg 85'!$B273),('DMR 001C TIN &amp; TP'!$E$3:$E$10005&amp;'DMR 001C TIN &amp; TP'!$B$3:$B$10005&amp;'DMR 001C TIN &amp; TP'!$A$3:$A$10005),0),MATCH('Reg 85'!$AG$11,'DMR 001C TIN &amp; TP'!$A$2:$M$2,0))),"")</f>
        <v/>
      </c>
      <c r="AL273" s="6" t="str">
        <f t="array" ref="AL273">_xlfn.IFNA((INDEX('DMR 001C TIN &amp; TP'!$A$3:$M$10005,MATCH(('Reg 85'!$X$6&amp;'Reg 85'!AL$10&amp;'Reg 85'!$B273),('DMR 001C TIN &amp; TP'!$E$3:$E$10005&amp;'DMR 001C TIN &amp; TP'!$B$3:$B$10005&amp;'DMR 001C TIN &amp; TP'!$A$3:$A$10005),0),MATCH('Reg 85'!$AG$11,'DMR 001C TIN &amp; TP'!$A$2:$M$2,0))),"")</f>
        <v/>
      </c>
      <c r="AM273" s="76"/>
      <c r="AN273" s="6"/>
      <c r="AO273" s="54" t="str">
        <f t="shared" si="104"/>
        <v/>
      </c>
      <c r="AP273" s="77" t="str">
        <f t="shared" si="102"/>
        <v/>
      </c>
      <c r="AQ273" s="47"/>
      <c r="AR273" s="6" t="str">
        <f t="array" ref="AR273">_xlfn.IFNA((INDEX('DMR 001C TIN &amp; TP'!$A$3:$M$10005,MATCH(('Reg 85'!$AQ$6&amp;'Reg 85'!$AQ$10&amp;'Reg 85'!$B273),('DMR 001C TIN &amp; TP'!$E$3:$E$10005&amp;'DMR 001C TIN &amp; TP'!$B$3:$B$10005&amp;'DMR 001C TIN &amp; TP'!$A$3:$A$10005),0),MATCH('Reg 85'!$AR$11,'DMR 001C TIN &amp; TP'!$A$2:$M$2,0))),"")</f>
        <v>0.03</v>
      </c>
      <c r="AS273" s="6">
        <f t="array" ref="AS273">_xlfn.IFNA((INDEX('DMR 001C TIN &amp; TP'!$A$3:$M$10005,MATCH(('Reg 85'!$AQ$6&amp;'Reg 85'!$AQ$10&amp;'Reg 85'!$B273),('DMR 001C TIN &amp; TP'!$E$3:$E$10005&amp;'DMR 001C TIN &amp; TP'!$B$3:$B$10005&amp;'DMR 001C TIN &amp; TP'!$A$3:$A$10005),0),MATCH('Reg 85'!$AS$11,'DMR 001C TIN &amp; TP'!$A$2:$M$2,0))),"")</f>
        <v>0.47</v>
      </c>
      <c r="AT273" s="53">
        <f t="shared" si="118"/>
        <v>0.47</v>
      </c>
      <c r="AV273" s="6" t="str">
        <f t="array" ref="AV273">_xlfn.IFNA((INDEX('DMR 001C TIN &amp; TP'!$A$3:$M$10005,MATCH(('Reg 85'!$AQ$6&amp;'Reg 85'!$AU$10&amp;'Reg 85'!$B273),('DMR 001C TIN &amp; TP'!$E$3:$E$10005&amp;'DMR 001C TIN &amp; TP'!$B$3:$B$10005&amp;'DMR 001C TIN &amp; TP'!$A$3:$A$10005),0),MATCH('Reg 85'!$AV$11,'DMR 001C TIN &amp; TP'!$A$2:$M$2,0))),"")</f>
        <v>0.06</v>
      </c>
      <c r="AW273" s="6">
        <f t="array" ref="AW273">_xlfn.IFNA((INDEX('DMR 001C TIN &amp; TP'!$A$3:$M$10005,MATCH(('Reg 85'!$AQ$6&amp;'Reg 85'!$AU$10&amp;'Reg 85'!$B273),('DMR 001C TIN &amp; TP'!$E$3:$E$10005&amp;'DMR 001C TIN &amp; TP'!$B$3:$B$10005&amp;'DMR 001C TIN &amp; TP'!$A$3:$A$10005),0),MATCH('Reg 85'!$AW$11,'DMR 001C TIN &amp; TP'!$A$2:$M$2,0))),"")</f>
        <v>8.6999999999999993</v>
      </c>
      <c r="AX273" s="53">
        <f t="shared" si="119"/>
        <v>8.6999999999999993</v>
      </c>
      <c r="AY273" s="55">
        <f t="shared" si="120"/>
        <v>4.2363501071576479</v>
      </c>
      <c r="AZ273" s="77" t="str">
        <f t="shared" si="103"/>
        <v/>
      </c>
      <c r="BA273" s="6" t="str">
        <f t="array" ref="BA273">_xlfn.IFNA((INDEX('DMR 001C TIN &amp; TP'!$A$3:$M$10005,MATCH(('Reg 85'!$AQ$6&amp;'Reg 85'!BA$10&amp;'Reg 85'!$B273),('DMR 001C TIN &amp; TP'!$E$3:$E$10005&amp;'DMR 001C TIN &amp; TP'!$B$3:$B$10005&amp;'DMR 001C TIN &amp; TP'!$A$3:$A$10005),0),MATCH('Reg 85'!$AG$11,'DMR 001C TIN &amp; TP'!$A$2:$M$2,0))),"")</f>
        <v/>
      </c>
      <c r="BB273" s="6" t="str">
        <f t="array" ref="BB273">_xlfn.IFNA((INDEX('DMR 001C TIN &amp; TP'!$A$3:$M$10005,MATCH(('Reg 85'!$AQ$6&amp;'Reg 85'!BB$10&amp;'Reg 85'!$B273),('DMR 001C TIN &amp; TP'!$E$3:$E$10005&amp;'DMR 001C TIN &amp; TP'!$B$3:$B$10005&amp;'DMR 001C TIN &amp; TP'!$A$3:$A$10005),0),MATCH('Reg 85'!$AG$11,'DMR 001C TIN &amp; TP'!$A$2:$M$2,0))),"")</f>
        <v/>
      </c>
      <c r="BC273" s="6" t="str">
        <f t="array" ref="BC273">_xlfn.IFNA((INDEX('DMR 001C TIN &amp; TP'!$A$3:$M$10005,MATCH(('Reg 85'!$AQ$6&amp;'Reg 85'!BC$10&amp;'Reg 85'!$B273),('DMR 001C TIN &amp; TP'!$E$3:$E$10005&amp;'DMR 001C TIN &amp; TP'!$B$3:$B$10005&amp;'DMR 001C TIN &amp; TP'!$A$3:$A$10005),0),MATCH('Reg 85'!$AG$11,'DMR 001C TIN &amp; TP'!$A$2:$M$2,0))),"")</f>
        <v/>
      </c>
      <c r="BD273" s="6" t="str">
        <f t="array" ref="BD273">_xlfn.IFNA((INDEX('DMR 001C TIN &amp; TP'!$A$3:$M$10005,MATCH(('Reg 85'!$AQ$6&amp;'Reg 85'!BD$10&amp;'Reg 85'!$B273),('DMR 001C TIN &amp; TP'!$E$3:$E$10005&amp;'DMR 001C TIN &amp; TP'!$B$3:$B$10005&amp;'DMR 001C TIN &amp; TP'!$A$3:$A$10005),0),MATCH('Reg 85'!$AG$11,'DMR 001C TIN &amp; TP'!$A$2:$M$2,0))),"")</f>
        <v/>
      </c>
      <c r="BE273" s="6" t="str">
        <f t="array" ref="BE273">_xlfn.IFNA((INDEX('DMR 001C TIN &amp; TP'!$A$3:$M$10005,MATCH(('Reg 85'!$AQ$6&amp;'Reg 85'!BE$10&amp;'Reg 85'!$B273),('DMR 001C TIN &amp; TP'!$E$3:$E$10005&amp;'DMR 001C TIN &amp; TP'!$B$3:$B$10005&amp;'DMR 001C TIN &amp; TP'!$A$3:$A$10005),0),MATCH('Reg 85'!$AG$11,'DMR 001C TIN &amp; TP'!$A$2:$M$2,0))),"")</f>
        <v/>
      </c>
      <c r="BF273" s="6" t="str">
        <f t="array" ref="BF273">_xlfn.IFNA((INDEX('DMR 001C TIN &amp; TP'!$A$3:$M$10005,MATCH(('Reg 85'!$AQ$6&amp;'Reg 85'!BF$10&amp;'Reg 85'!$B273),('DMR 001C TIN &amp; TP'!$E$3:$E$10005&amp;'DMR 001C TIN &amp; TP'!$B$3:$B$10005&amp;'DMR 001C TIN &amp; TP'!$A$3:$A$10005),0),MATCH('Reg 85'!$AG$11,'DMR 001C TIN &amp; TP'!$A$2:$M$2,0))),"")</f>
        <v/>
      </c>
    </row>
    <row r="274" spans="1:58">
      <c r="A274" s="3" t="str">
        <f t="shared" si="105"/>
        <v>Tue</v>
      </c>
      <c r="B274" s="96">
        <f t="shared" si="121"/>
        <v>43606</v>
      </c>
      <c r="C274" s="96">
        <f t="shared" si="106"/>
        <v>43616</v>
      </c>
      <c r="D274" s="96">
        <f t="shared" si="107"/>
        <v>43586</v>
      </c>
      <c r="E274" s="95">
        <f t="shared" si="108"/>
        <v>31</v>
      </c>
      <c r="F274" s="7">
        <f t="array" ref="F274">_xlfn.IFNA(INDEX('DMR Flows-Effluent'!$A$3:$F$9999,MATCH(($F$10&amp;$B274),('DMR Flows-Effluent'!$B$3:$B$9999&amp;'DMR Flows-Effluent'!$A$3:$A$9999),0),MATCH($F$8,'DMR Flows-Effluent'!$A$2:$F$2,0)),"")</f>
        <v>85.553200000000004</v>
      </c>
      <c r="G274" s="7">
        <f t="array" ref="G274">_xlfn.IFNA(INDEX('DMR Flows-Effluent'!$A$3:$F$9999,MATCH(($G$10&amp;$B274),('DMR Flows-Effluent'!$B$3:$B$9999&amp;'DMR Flows-Effluent'!$A$3:$A$9999),0),MATCH($F$8,'DMR Flows-Effluent'!$A$2:$F$2,0)),"")</f>
        <v>63.581800000000001</v>
      </c>
      <c r="H274" s="7">
        <f t="shared" si="109"/>
        <v>149.13499999999999</v>
      </c>
      <c r="I274" s="45" t="str">
        <f t="shared" si="110"/>
        <v/>
      </c>
      <c r="J274" s="6" t="str">
        <f t="array" ref="J274">_xlfn.IFNA((INDEX('DMR 001C TIN &amp; TP'!$A$3:$M$10005,MATCH(('Reg 85'!$I$6:$Q$6&amp;'Reg 85'!$I$10:$K$10&amp;'Reg 85'!$B274),('DMR 001C TIN &amp; TP'!$E$3:$E$10005&amp;'DMR 001C TIN &amp; TP'!$B$3:$B$10005&amp;'DMR 001C TIN &amp; TP'!$A$3:$A$10005),0),MATCH('Reg 85'!$J$11,'DMR 001C TIN &amp; TP'!$A$2:$M$2,0))),"")</f>
        <v/>
      </c>
      <c r="K274" s="6" t="str">
        <f t="array" ref="K274">_xlfn.IFNA((INDEX('DMR 001C TIN &amp; TP'!$A$3:$M$10005,MATCH(('Reg 85'!$I$6:$Q$6&amp;'Reg 85'!$I$10:$K$10&amp;'Reg 85'!$B274),('DMR 001C TIN &amp; TP'!$E$3:$E$10005&amp;'DMR 001C TIN &amp; TP'!$B$3:$B$10005&amp;'DMR 001C TIN &amp; TP'!$A$3:$A$10005),0),MATCH('Reg 85'!$K$11,'DMR 001C TIN &amp; TP'!$A$2:$M$2,0))),"")</f>
        <v/>
      </c>
      <c r="L274" s="53" t="str">
        <f t="shared" si="122"/>
        <v/>
      </c>
      <c r="M274" s="5" t="str">
        <f t="shared" si="111"/>
        <v/>
      </c>
      <c r="N274" s="6" t="str">
        <f t="array" ref="N274">_xlfn.IFNA((INDEX('DMR 001C TIN &amp; TP'!$A$3:$M$10005,MATCH(('Reg 85'!$I$6:$Q$6&amp;'Reg 85'!$M$10&amp;'Reg 85'!$B274),('DMR 001C TIN &amp; TP'!$E$3:$E$10005&amp;'DMR 001C TIN &amp; TP'!$B$3:$B$10005&amp;'DMR 001C TIN &amp; TP'!$A$3:$A$10005),0),MATCH('Reg 85'!$N$11,'DMR 001C TIN &amp; TP'!$A$2:$M$2,0))),"")</f>
        <v/>
      </c>
      <c r="O274" s="6" t="str">
        <f t="array" ref="O274">_xlfn.IFNA((INDEX('DMR 001C TIN &amp; TP'!$A$3:$M$10005,MATCH(('Reg 85'!$I$6:$Q$6&amp;'Reg 85'!$M$10&amp;'Reg 85'!$B274),('DMR 001C TIN &amp; TP'!$E$3:$E$10005&amp;'DMR 001C TIN &amp; TP'!$B$3:$B$10005&amp;'DMR 001C TIN &amp; TP'!$A$3:$A$10005),0),MATCH('Reg 85'!$O$11,'DMR 001C TIN &amp; TP'!$A$2:$M$2,0))),"")</f>
        <v/>
      </c>
      <c r="P274" s="53" t="str">
        <f t="shared" si="112"/>
        <v/>
      </c>
      <c r="Q274" s="73" t="str">
        <f t="array" ref="Q274">IFERROR(((L274*$F274)+(P274*$G274))/($H274),"")</f>
        <v/>
      </c>
      <c r="R274" s="6" t="str">
        <f t="array" ref="R274">_xlfn.IFNA((INDEX('DMR 001C TIN &amp; TP'!$A$3:$M$10005,MATCH(('Reg 85'!$I$6:$Q$6&amp;'Reg 85'!R$10&amp;'Reg 85'!$B274),('DMR 001C TIN &amp; TP'!$E$3:$E$10005&amp;'DMR 001C TIN &amp; TP'!$B$3:$B$10005&amp;'DMR 001C TIN &amp; TP'!$A$3:$A$10005),0),MATCH('Reg 85'!$O$11,'DMR 001C TIN &amp; TP'!$A$2:$M$2,0))),"")</f>
        <v/>
      </c>
      <c r="S274" s="6" t="str">
        <f t="array" ref="S274">_xlfn.IFNA((INDEX('DMR 001C TIN &amp; TP'!$A$3:$M$10005,MATCH(('Reg 85'!$I$6:$Q$6&amp;'Reg 85'!S$10&amp;'Reg 85'!$B274),('DMR 001C TIN &amp; TP'!$E$3:$E$10005&amp;'DMR 001C TIN &amp; TP'!$B$3:$B$10005&amp;'DMR 001C TIN &amp; TP'!$A$3:$A$10005),0),MATCH('Reg 85'!$O$11,'DMR 001C TIN &amp; TP'!$A$2:$M$2,0))),"")</f>
        <v/>
      </c>
      <c r="T274" s="6" t="str">
        <f t="array" ref="T274">_xlfn.IFNA((INDEX('DMR 001C TIN &amp; TP'!$A$3:$M$10005,MATCH(('Reg 85'!$I$6:$Q$6&amp;'Reg 85'!T$10&amp;'Reg 85'!$B274),('DMR 001C TIN &amp; TP'!$E$3:$E$10005&amp;'DMR 001C TIN &amp; TP'!$B$3:$B$10005&amp;'DMR 001C TIN &amp; TP'!$A$3:$A$10005),0),MATCH('Reg 85'!$O$11,'DMR 001C TIN &amp; TP'!$A$2:$M$2,0))),"")</f>
        <v/>
      </c>
      <c r="U274" s="6" t="str">
        <f t="array" ref="U274">_xlfn.IFNA((INDEX('DMR 001C TIN &amp; TP'!$A$3:$M$10005,MATCH(('Reg 85'!$I$6:$Q$6&amp;'Reg 85'!U$10&amp;'Reg 85'!$B274),('DMR 001C TIN &amp; TP'!$E$3:$E$10005&amp;'DMR 001C TIN &amp; TP'!$B$3:$B$10005&amp;'DMR 001C TIN &amp; TP'!$A$3:$A$10005),0),MATCH('Reg 85'!$O$11,'DMR 001C TIN &amp; TP'!$A$2:$M$2,0))),"")</f>
        <v/>
      </c>
      <c r="V274" s="6" t="str">
        <f t="array" ref="V274">_xlfn.IFNA((INDEX('DMR 001C TIN &amp; TP'!$A$3:$M$10005,MATCH(('Reg 85'!$I$6:$Q$6&amp;'Reg 85'!V$10&amp;'Reg 85'!$B274),('DMR 001C TIN &amp; TP'!$E$3:$E$10005&amp;'DMR 001C TIN &amp; TP'!$B$3:$B$10005&amp;'DMR 001C TIN &amp; TP'!$A$3:$A$10005),0),MATCH('Reg 85'!$O$11,'DMR 001C TIN &amp; TP'!$A$2:$M$2,0))),"")</f>
        <v/>
      </c>
      <c r="W274" s="6" t="str">
        <f t="array" ref="W274">_xlfn.IFNA((INDEX('DMR 001C TIN &amp; TP'!$A$3:$M$10005,MATCH(('Reg 85'!$I$6:$Q$6&amp;'Reg 85'!W$10&amp;'Reg 85'!$B274),('DMR 001C TIN &amp; TP'!$E$3:$E$10005&amp;'DMR 001C TIN &amp; TP'!$B$3:$B$10005&amp;'DMR 001C TIN &amp; TP'!$A$3:$A$10005),0),MATCH('Reg 85'!$O$11,'DMR 001C TIN &amp; TP'!$A$2:$M$2,0))),"")</f>
        <v/>
      </c>
      <c r="X274" s="5" t="str">
        <f t="shared" si="113"/>
        <v/>
      </c>
      <c r="Y274" s="6" t="str">
        <f t="array" ref="Y274">_xlfn.IFNA((INDEX('DMR 001C TIN &amp; TP'!$A$3:$M$10005,MATCH(('Reg 85'!$X$6&amp;'Reg 85'!$X$10&amp;'Reg 85'!$B274),('DMR 001C TIN &amp; TP'!$E$3:$E$10005&amp;'DMR 001C TIN &amp; TP'!$B$3:$B$10005&amp;'DMR 001C TIN &amp; TP'!$A$3:$A$10005),0),MATCH('Reg 85'!$Y$11,'DMR 001C TIN &amp; TP'!$A$2:$M$2,0))),"")</f>
        <v/>
      </c>
      <c r="Z274" s="6" t="str">
        <f t="array" ref="Z274">_xlfn.IFNA((INDEX('DMR 001C TIN &amp; TP'!$A$3:$M$10005,MATCH(('Reg 85'!$X$6&amp;'Reg 85'!$X$10&amp;'Reg 85'!$B274),('DMR 001C TIN &amp; TP'!$E$3:$E$10005&amp;'DMR 001C TIN &amp; TP'!$B$3:$B$10005&amp;'DMR 001C TIN &amp; TP'!$A$3:$A$10005),0),MATCH('Reg 85'!$Z$11,'DMR 001C TIN &amp; TP'!$A$2:$M$2,0))),"")</f>
        <v/>
      </c>
      <c r="AA274" s="53" t="str">
        <f t="shared" si="114"/>
        <v/>
      </c>
      <c r="AB274" s="5" t="str">
        <f t="shared" si="115"/>
        <v/>
      </c>
      <c r="AC274" s="6" t="str">
        <f t="array" ref="AC274">_xlfn.IFNA((INDEX('DMR 001C TIN &amp; TP'!$A$3:$M$10005,MATCH(('Reg 85'!$X$6&amp;'Reg 85'!$AB$10&amp;'Reg 85'!$B274),('DMR 001C TIN &amp; TP'!$E$3:$E$10005&amp;'DMR 001C TIN &amp; TP'!$B$3:$B$10005&amp;'DMR 001C TIN &amp; TP'!$A$3:$A$10005),0),MATCH('Reg 85'!$AC$11,'DMR 001C TIN &amp; TP'!$A$2:$M$2,0))),"")</f>
        <v/>
      </c>
      <c r="AD274" s="6" t="str">
        <f t="array" ref="AD274">_xlfn.IFNA((INDEX('DMR 001C TIN &amp; TP'!$A$3:$M$10005,MATCH(('Reg 85'!$X$6&amp;'Reg 85'!$AB$10&amp;'Reg 85'!$B274),('DMR 001C TIN &amp; TP'!$E$3:$E$10005&amp;'DMR 001C TIN &amp; TP'!$B$3:$B$10005&amp;'DMR 001C TIN &amp; TP'!$A$3:$A$10005),0),MATCH('Reg 85'!$AD$11,'DMR 001C TIN &amp; TP'!$A$2:$M$2,0))),"")</f>
        <v/>
      </c>
      <c r="AE274" s="53" t="str">
        <f t="shared" si="116"/>
        <v/>
      </c>
      <c r="AF274" s="7" t="str">
        <f t="shared" si="117"/>
        <v/>
      </c>
      <c r="AG274" s="6" t="str">
        <f t="array" ref="AG274">_xlfn.IFNA((INDEX('DMR 001C TIN &amp; TP'!$A$3:$M$10005,MATCH(('Reg 85'!$X$6&amp;'Reg 85'!AG$10&amp;'Reg 85'!$B274),('DMR 001C TIN &amp; TP'!$E$3:$E$10005&amp;'DMR 001C TIN &amp; TP'!$B$3:$B$10005&amp;'DMR 001C TIN &amp; TP'!$A$3:$A$10005),0),MATCH('Reg 85'!$AG$11,'DMR 001C TIN &amp; TP'!$A$2:$M$2,0))),"")</f>
        <v/>
      </c>
      <c r="AH274" s="6" t="str">
        <f t="array" ref="AH274">_xlfn.IFNA((INDEX('DMR 001C TIN &amp; TP'!$A$3:$M$10005,MATCH(('Reg 85'!$X$6&amp;'Reg 85'!AH$10&amp;'Reg 85'!$B274),('DMR 001C TIN &amp; TP'!$E$3:$E$10005&amp;'DMR 001C TIN &amp; TP'!$B$3:$B$10005&amp;'DMR 001C TIN &amp; TP'!$A$3:$A$10005),0),MATCH('Reg 85'!$AG$11,'DMR 001C TIN &amp; TP'!$A$2:$M$2,0))),"")</f>
        <v/>
      </c>
      <c r="AI274" s="6" t="str">
        <f t="array" ref="AI274">_xlfn.IFNA((INDEX('DMR 001C TIN &amp; TP'!$A$3:$M$10005,MATCH(('Reg 85'!$X$6&amp;'Reg 85'!AI$10&amp;'Reg 85'!$B274),('DMR 001C TIN &amp; TP'!$E$3:$E$10005&amp;'DMR 001C TIN &amp; TP'!$B$3:$B$10005&amp;'DMR 001C TIN &amp; TP'!$A$3:$A$10005),0),MATCH('Reg 85'!$AG$11,'DMR 001C TIN &amp; TP'!$A$2:$M$2,0))),"")</f>
        <v/>
      </c>
      <c r="AJ274" s="6" t="str">
        <f t="array" ref="AJ274">_xlfn.IFNA((INDEX('DMR 001C TIN &amp; TP'!$A$3:$M$10005,MATCH(('Reg 85'!$X$6&amp;'Reg 85'!AJ$10&amp;'Reg 85'!$B274),('DMR 001C TIN &amp; TP'!$E$3:$E$10005&amp;'DMR 001C TIN &amp; TP'!$B$3:$B$10005&amp;'DMR 001C TIN &amp; TP'!$A$3:$A$10005),0),MATCH('Reg 85'!$AG$11,'DMR 001C TIN &amp; TP'!$A$2:$M$2,0))),"")</f>
        <v/>
      </c>
      <c r="AK274" s="6" t="str">
        <f t="array" ref="AK274">_xlfn.IFNA((INDEX('DMR 001C TIN &amp; TP'!$A$3:$M$10005,MATCH(('Reg 85'!$X$6&amp;'Reg 85'!AK$10&amp;'Reg 85'!$B274),('DMR 001C TIN &amp; TP'!$E$3:$E$10005&amp;'DMR 001C TIN &amp; TP'!$B$3:$B$10005&amp;'DMR 001C TIN &amp; TP'!$A$3:$A$10005),0),MATCH('Reg 85'!$AG$11,'DMR 001C TIN &amp; TP'!$A$2:$M$2,0))),"")</f>
        <v/>
      </c>
      <c r="AL274" s="6" t="str">
        <f t="array" ref="AL274">_xlfn.IFNA((INDEX('DMR 001C TIN &amp; TP'!$A$3:$M$10005,MATCH(('Reg 85'!$X$6&amp;'Reg 85'!AL$10&amp;'Reg 85'!$B274),('DMR 001C TIN &amp; TP'!$E$3:$E$10005&amp;'DMR 001C TIN &amp; TP'!$B$3:$B$10005&amp;'DMR 001C TIN &amp; TP'!$A$3:$A$10005),0),MATCH('Reg 85'!$AG$11,'DMR 001C TIN &amp; TP'!$A$2:$M$2,0))),"")</f>
        <v/>
      </c>
      <c r="AM274" s="76"/>
      <c r="AN274" s="6"/>
      <c r="AO274" s="54" t="str">
        <f t="shared" si="104"/>
        <v/>
      </c>
      <c r="AP274" s="77" t="str">
        <f t="shared" si="102"/>
        <v/>
      </c>
      <c r="AQ274" s="47"/>
      <c r="AR274" s="6" t="str">
        <f t="array" ref="AR274">_xlfn.IFNA((INDEX('DMR 001C TIN &amp; TP'!$A$3:$M$10005,MATCH(('Reg 85'!$AQ$6&amp;'Reg 85'!$AQ$10&amp;'Reg 85'!$B274),('DMR 001C TIN &amp; TP'!$E$3:$E$10005&amp;'DMR 001C TIN &amp; TP'!$B$3:$B$10005&amp;'DMR 001C TIN &amp; TP'!$A$3:$A$10005),0),MATCH('Reg 85'!$AR$11,'DMR 001C TIN &amp; TP'!$A$2:$M$2,0))),"")</f>
        <v/>
      </c>
      <c r="AS274" s="6" t="str">
        <f t="array" ref="AS274">_xlfn.IFNA((INDEX('DMR 001C TIN &amp; TP'!$A$3:$M$10005,MATCH(('Reg 85'!$AQ$6&amp;'Reg 85'!$AQ$10&amp;'Reg 85'!$B274),('DMR 001C TIN &amp; TP'!$E$3:$E$10005&amp;'DMR 001C TIN &amp; TP'!$B$3:$B$10005&amp;'DMR 001C TIN &amp; TP'!$A$3:$A$10005),0),MATCH('Reg 85'!$AS$11,'DMR 001C TIN &amp; TP'!$A$2:$M$2,0))),"")</f>
        <v/>
      </c>
      <c r="AT274" s="53" t="str">
        <f t="shared" si="118"/>
        <v/>
      </c>
      <c r="AV274" s="6" t="str">
        <f t="array" ref="AV274">_xlfn.IFNA((INDEX('DMR 001C TIN &amp; TP'!$A$3:$M$10005,MATCH(('Reg 85'!$AQ$6&amp;'Reg 85'!$AU$10&amp;'Reg 85'!$B274),('DMR 001C TIN &amp; TP'!$E$3:$E$10005&amp;'DMR 001C TIN &amp; TP'!$B$3:$B$10005&amp;'DMR 001C TIN &amp; TP'!$A$3:$A$10005),0),MATCH('Reg 85'!$AV$11,'DMR 001C TIN &amp; TP'!$A$2:$M$2,0))),"")</f>
        <v/>
      </c>
      <c r="AW274" s="6" t="str">
        <f t="array" ref="AW274">_xlfn.IFNA((INDEX('DMR 001C TIN &amp; TP'!$A$3:$M$10005,MATCH(('Reg 85'!$AQ$6&amp;'Reg 85'!$AU$10&amp;'Reg 85'!$B274),('DMR 001C TIN &amp; TP'!$E$3:$E$10005&amp;'DMR 001C TIN &amp; TP'!$B$3:$B$10005&amp;'DMR 001C TIN &amp; TP'!$A$3:$A$10005),0),MATCH('Reg 85'!$AW$11,'DMR 001C TIN &amp; TP'!$A$2:$M$2,0))),"")</f>
        <v/>
      </c>
      <c r="AX274" s="53" t="str">
        <f t="shared" si="119"/>
        <v/>
      </c>
      <c r="AY274" s="55" t="str">
        <f t="shared" si="120"/>
        <v/>
      </c>
      <c r="AZ274" s="77" t="str">
        <f t="shared" si="103"/>
        <v/>
      </c>
      <c r="BA274" s="6" t="str">
        <f t="array" ref="BA274">_xlfn.IFNA((INDEX('DMR 001C TIN &amp; TP'!$A$3:$M$10005,MATCH(('Reg 85'!$AQ$6&amp;'Reg 85'!BA$10&amp;'Reg 85'!$B274),('DMR 001C TIN &amp; TP'!$E$3:$E$10005&amp;'DMR 001C TIN &amp; TP'!$B$3:$B$10005&amp;'DMR 001C TIN &amp; TP'!$A$3:$A$10005),0),MATCH('Reg 85'!$AG$11,'DMR 001C TIN &amp; TP'!$A$2:$M$2,0))),"")</f>
        <v/>
      </c>
      <c r="BB274" s="6" t="str">
        <f t="array" ref="BB274">_xlfn.IFNA((INDEX('DMR 001C TIN &amp; TP'!$A$3:$M$10005,MATCH(('Reg 85'!$AQ$6&amp;'Reg 85'!BB$10&amp;'Reg 85'!$B274),('DMR 001C TIN &amp; TP'!$E$3:$E$10005&amp;'DMR 001C TIN &amp; TP'!$B$3:$B$10005&amp;'DMR 001C TIN &amp; TP'!$A$3:$A$10005),0),MATCH('Reg 85'!$AG$11,'DMR 001C TIN &amp; TP'!$A$2:$M$2,0))),"")</f>
        <v/>
      </c>
      <c r="BC274" s="6" t="str">
        <f t="array" ref="BC274">_xlfn.IFNA((INDEX('DMR 001C TIN &amp; TP'!$A$3:$M$10005,MATCH(('Reg 85'!$AQ$6&amp;'Reg 85'!BC$10&amp;'Reg 85'!$B274),('DMR 001C TIN &amp; TP'!$E$3:$E$10005&amp;'DMR 001C TIN &amp; TP'!$B$3:$B$10005&amp;'DMR 001C TIN &amp; TP'!$A$3:$A$10005),0),MATCH('Reg 85'!$AG$11,'DMR 001C TIN &amp; TP'!$A$2:$M$2,0))),"")</f>
        <v/>
      </c>
      <c r="BD274" s="6" t="str">
        <f t="array" ref="BD274">_xlfn.IFNA((INDEX('DMR 001C TIN &amp; TP'!$A$3:$M$10005,MATCH(('Reg 85'!$AQ$6&amp;'Reg 85'!BD$10&amp;'Reg 85'!$B274),('DMR 001C TIN &amp; TP'!$E$3:$E$10005&amp;'DMR 001C TIN &amp; TP'!$B$3:$B$10005&amp;'DMR 001C TIN &amp; TP'!$A$3:$A$10005),0),MATCH('Reg 85'!$AG$11,'DMR 001C TIN &amp; TP'!$A$2:$M$2,0))),"")</f>
        <v/>
      </c>
      <c r="BE274" s="6" t="str">
        <f t="array" ref="BE274">_xlfn.IFNA((INDEX('DMR 001C TIN &amp; TP'!$A$3:$M$10005,MATCH(('Reg 85'!$AQ$6&amp;'Reg 85'!BE$10&amp;'Reg 85'!$B274),('DMR 001C TIN &amp; TP'!$E$3:$E$10005&amp;'DMR 001C TIN &amp; TP'!$B$3:$B$10005&amp;'DMR 001C TIN &amp; TP'!$A$3:$A$10005),0),MATCH('Reg 85'!$AG$11,'DMR 001C TIN &amp; TP'!$A$2:$M$2,0))),"")</f>
        <v/>
      </c>
      <c r="BF274" s="6" t="str">
        <f t="array" ref="BF274">_xlfn.IFNA((INDEX('DMR 001C TIN &amp; TP'!$A$3:$M$10005,MATCH(('Reg 85'!$AQ$6&amp;'Reg 85'!BF$10&amp;'Reg 85'!$B274),('DMR 001C TIN &amp; TP'!$E$3:$E$10005&amp;'DMR 001C TIN &amp; TP'!$B$3:$B$10005&amp;'DMR 001C TIN &amp; TP'!$A$3:$A$10005),0),MATCH('Reg 85'!$AG$11,'DMR 001C TIN &amp; TP'!$A$2:$M$2,0))),"")</f>
        <v/>
      </c>
    </row>
    <row r="275" spans="1:58">
      <c r="A275" s="3" t="str">
        <f t="shared" si="105"/>
        <v>Wed</v>
      </c>
      <c r="B275" s="96">
        <f t="shared" si="121"/>
        <v>43607</v>
      </c>
      <c r="C275" s="96">
        <f t="shared" si="106"/>
        <v>43616</v>
      </c>
      <c r="D275" s="96">
        <f t="shared" si="107"/>
        <v>43586</v>
      </c>
      <c r="E275" s="95">
        <f t="shared" si="108"/>
        <v>31</v>
      </c>
      <c r="F275" s="7">
        <f t="array" ref="F275">_xlfn.IFNA(INDEX('DMR Flows-Effluent'!$A$3:$F$9999,MATCH(($F$10&amp;$B275),('DMR Flows-Effluent'!$B$3:$B$9999&amp;'DMR Flows-Effluent'!$A$3:$A$9999),0),MATCH($F$8,'DMR Flows-Effluent'!$A$2:$F$2,0)),"")</f>
        <v>78.919799999999995</v>
      </c>
      <c r="G275" s="7">
        <f t="array" ref="G275">_xlfn.IFNA(INDEX('DMR Flows-Effluent'!$A$3:$F$9999,MATCH(($G$10&amp;$B275),('DMR Flows-Effluent'!$B$3:$B$9999&amp;'DMR Flows-Effluent'!$A$3:$A$9999),0),MATCH($F$8,'DMR Flows-Effluent'!$A$2:$F$2,0)),"")</f>
        <v>59.672800000000002</v>
      </c>
      <c r="H275" s="7">
        <f t="shared" si="109"/>
        <v>138.5926</v>
      </c>
      <c r="I275" s="45" t="str">
        <f t="shared" si="110"/>
        <v/>
      </c>
      <c r="J275" s="6" t="str">
        <f t="array" ref="J275">_xlfn.IFNA((INDEX('DMR 001C TIN &amp; TP'!$A$3:$M$10005,MATCH(('Reg 85'!$I$6:$Q$6&amp;'Reg 85'!$I$10:$K$10&amp;'Reg 85'!$B275),('DMR 001C TIN &amp; TP'!$E$3:$E$10005&amp;'DMR 001C TIN &amp; TP'!$B$3:$B$10005&amp;'DMR 001C TIN &amp; TP'!$A$3:$A$10005),0),MATCH('Reg 85'!$J$11,'DMR 001C TIN &amp; TP'!$A$2:$M$2,0))),"")</f>
        <v/>
      </c>
      <c r="K275" s="6" t="str">
        <f t="array" ref="K275">_xlfn.IFNA((INDEX('DMR 001C TIN &amp; TP'!$A$3:$M$10005,MATCH(('Reg 85'!$I$6:$Q$6&amp;'Reg 85'!$I$10:$K$10&amp;'Reg 85'!$B275),('DMR 001C TIN &amp; TP'!$E$3:$E$10005&amp;'DMR 001C TIN &amp; TP'!$B$3:$B$10005&amp;'DMR 001C TIN &amp; TP'!$A$3:$A$10005),0),MATCH('Reg 85'!$K$11,'DMR 001C TIN &amp; TP'!$A$2:$M$2,0))),"")</f>
        <v/>
      </c>
      <c r="L275" s="53" t="str">
        <f t="shared" si="122"/>
        <v/>
      </c>
      <c r="M275" s="5" t="str">
        <f t="shared" si="111"/>
        <v/>
      </c>
      <c r="N275" s="6" t="str">
        <f t="array" ref="N275">_xlfn.IFNA((INDEX('DMR 001C TIN &amp; TP'!$A$3:$M$10005,MATCH(('Reg 85'!$I$6:$Q$6&amp;'Reg 85'!$M$10&amp;'Reg 85'!$B275),('DMR 001C TIN &amp; TP'!$E$3:$E$10005&amp;'DMR 001C TIN &amp; TP'!$B$3:$B$10005&amp;'DMR 001C TIN &amp; TP'!$A$3:$A$10005),0),MATCH('Reg 85'!$N$11,'DMR 001C TIN &amp; TP'!$A$2:$M$2,0))),"")</f>
        <v/>
      </c>
      <c r="O275" s="6" t="str">
        <f t="array" ref="O275">_xlfn.IFNA((INDEX('DMR 001C TIN &amp; TP'!$A$3:$M$10005,MATCH(('Reg 85'!$I$6:$Q$6&amp;'Reg 85'!$M$10&amp;'Reg 85'!$B275),('DMR 001C TIN &amp; TP'!$E$3:$E$10005&amp;'DMR 001C TIN &amp; TP'!$B$3:$B$10005&amp;'DMR 001C TIN &amp; TP'!$A$3:$A$10005),0),MATCH('Reg 85'!$O$11,'DMR 001C TIN &amp; TP'!$A$2:$M$2,0))),"")</f>
        <v/>
      </c>
      <c r="P275" s="53" t="str">
        <f t="shared" si="112"/>
        <v/>
      </c>
      <c r="Q275" s="73" t="str">
        <f t="array" ref="Q275">IFERROR(((L275*$F275)+(P275*$G275))/($H275),"")</f>
        <v/>
      </c>
      <c r="R275" s="6" t="str">
        <f t="array" ref="R275">_xlfn.IFNA((INDEX('DMR 001C TIN &amp; TP'!$A$3:$M$10005,MATCH(('Reg 85'!$I$6:$Q$6&amp;'Reg 85'!R$10&amp;'Reg 85'!$B275),('DMR 001C TIN &amp; TP'!$E$3:$E$10005&amp;'DMR 001C TIN &amp; TP'!$B$3:$B$10005&amp;'DMR 001C TIN &amp; TP'!$A$3:$A$10005),0),MATCH('Reg 85'!$O$11,'DMR 001C TIN &amp; TP'!$A$2:$M$2,0))),"")</f>
        <v/>
      </c>
      <c r="S275" s="6" t="str">
        <f t="array" ref="S275">_xlfn.IFNA((INDEX('DMR 001C TIN &amp; TP'!$A$3:$M$10005,MATCH(('Reg 85'!$I$6:$Q$6&amp;'Reg 85'!S$10&amp;'Reg 85'!$B275),('DMR 001C TIN &amp; TP'!$E$3:$E$10005&amp;'DMR 001C TIN &amp; TP'!$B$3:$B$10005&amp;'DMR 001C TIN &amp; TP'!$A$3:$A$10005),0),MATCH('Reg 85'!$O$11,'DMR 001C TIN &amp; TP'!$A$2:$M$2,0))),"")</f>
        <v/>
      </c>
      <c r="T275" s="6" t="str">
        <f t="array" ref="T275">_xlfn.IFNA((INDEX('DMR 001C TIN &amp; TP'!$A$3:$M$10005,MATCH(('Reg 85'!$I$6:$Q$6&amp;'Reg 85'!T$10&amp;'Reg 85'!$B275),('DMR 001C TIN &amp; TP'!$E$3:$E$10005&amp;'DMR 001C TIN &amp; TP'!$B$3:$B$10005&amp;'DMR 001C TIN &amp; TP'!$A$3:$A$10005),0),MATCH('Reg 85'!$O$11,'DMR 001C TIN &amp; TP'!$A$2:$M$2,0))),"")</f>
        <v/>
      </c>
      <c r="U275" s="6" t="str">
        <f t="array" ref="U275">_xlfn.IFNA((INDEX('DMR 001C TIN &amp; TP'!$A$3:$M$10005,MATCH(('Reg 85'!$I$6:$Q$6&amp;'Reg 85'!U$10&amp;'Reg 85'!$B275),('DMR 001C TIN &amp; TP'!$E$3:$E$10005&amp;'DMR 001C TIN &amp; TP'!$B$3:$B$10005&amp;'DMR 001C TIN &amp; TP'!$A$3:$A$10005),0),MATCH('Reg 85'!$O$11,'DMR 001C TIN &amp; TP'!$A$2:$M$2,0))),"")</f>
        <v/>
      </c>
      <c r="V275" s="6" t="str">
        <f t="array" ref="V275">_xlfn.IFNA((INDEX('DMR 001C TIN &amp; TP'!$A$3:$M$10005,MATCH(('Reg 85'!$I$6:$Q$6&amp;'Reg 85'!V$10&amp;'Reg 85'!$B275),('DMR 001C TIN &amp; TP'!$E$3:$E$10005&amp;'DMR 001C TIN &amp; TP'!$B$3:$B$10005&amp;'DMR 001C TIN &amp; TP'!$A$3:$A$10005),0),MATCH('Reg 85'!$O$11,'DMR 001C TIN &amp; TP'!$A$2:$M$2,0))),"")</f>
        <v/>
      </c>
      <c r="W275" s="6" t="str">
        <f t="array" ref="W275">_xlfn.IFNA((INDEX('DMR 001C TIN &amp; TP'!$A$3:$M$10005,MATCH(('Reg 85'!$I$6:$Q$6&amp;'Reg 85'!W$10&amp;'Reg 85'!$B275),('DMR 001C TIN &amp; TP'!$E$3:$E$10005&amp;'DMR 001C TIN &amp; TP'!$B$3:$B$10005&amp;'DMR 001C TIN &amp; TP'!$A$3:$A$10005),0),MATCH('Reg 85'!$O$11,'DMR 001C TIN &amp; TP'!$A$2:$M$2,0))),"")</f>
        <v/>
      </c>
      <c r="X275" s="5" t="str">
        <f t="shared" si="113"/>
        <v/>
      </c>
      <c r="Y275" s="6" t="str">
        <f t="array" ref="Y275">_xlfn.IFNA((INDEX('DMR 001C TIN &amp; TP'!$A$3:$M$10005,MATCH(('Reg 85'!$X$6&amp;'Reg 85'!$X$10&amp;'Reg 85'!$B275),('DMR 001C TIN &amp; TP'!$E$3:$E$10005&amp;'DMR 001C TIN &amp; TP'!$B$3:$B$10005&amp;'DMR 001C TIN &amp; TP'!$A$3:$A$10005),0),MATCH('Reg 85'!$Y$11,'DMR 001C TIN &amp; TP'!$A$2:$M$2,0))),"")</f>
        <v/>
      </c>
      <c r="Z275" s="6" t="str">
        <f t="array" ref="Z275">_xlfn.IFNA((INDEX('DMR 001C TIN &amp; TP'!$A$3:$M$10005,MATCH(('Reg 85'!$X$6&amp;'Reg 85'!$X$10&amp;'Reg 85'!$B275),('DMR 001C TIN &amp; TP'!$E$3:$E$10005&amp;'DMR 001C TIN &amp; TP'!$B$3:$B$10005&amp;'DMR 001C TIN &amp; TP'!$A$3:$A$10005),0),MATCH('Reg 85'!$Z$11,'DMR 001C TIN &amp; TP'!$A$2:$M$2,0))),"")</f>
        <v/>
      </c>
      <c r="AA275" s="53" t="str">
        <f t="shared" si="114"/>
        <v/>
      </c>
      <c r="AB275" s="5" t="str">
        <f t="shared" si="115"/>
        <v/>
      </c>
      <c r="AC275" s="6" t="str">
        <f t="array" ref="AC275">_xlfn.IFNA((INDEX('DMR 001C TIN &amp; TP'!$A$3:$M$10005,MATCH(('Reg 85'!$X$6&amp;'Reg 85'!$AB$10&amp;'Reg 85'!$B275),('DMR 001C TIN &amp; TP'!$E$3:$E$10005&amp;'DMR 001C TIN &amp; TP'!$B$3:$B$10005&amp;'DMR 001C TIN &amp; TP'!$A$3:$A$10005),0),MATCH('Reg 85'!$AC$11,'DMR 001C TIN &amp; TP'!$A$2:$M$2,0))),"")</f>
        <v/>
      </c>
      <c r="AD275" s="6" t="str">
        <f t="array" ref="AD275">_xlfn.IFNA((INDEX('DMR 001C TIN &amp; TP'!$A$3:$M$10005,MATCH(('Reg 85'!$X$6&amp;'Reg 85'!$AB$10&amp;'Reg 85'!$B275),('DMR 001C TIN &amp; TP'!$E$3:$E$10005&amp;'DMR 001C TIN &amp; TP'!$B$3:$B$10005&amp;'DMR 001C TIN &amp; TP'!$A$3:$A$10005),0),MATCH('Reg 85'!$AD$11,'DMR 001C TIN &amp; TP'!$A$2:$M$2,0))),"")</f>
        <v/>
      </c>
      <c r="AE275" s="53" t="str">
        <f t="shared" si="116"/>
        <v/>
      </c>
      <c r="AF275" s="7" t="str">
        <f t="shared" si="117"/>
        <v/>
      </c>
      <c r="AG275" s="6" t="str">
        <f t="array" ref="AG275">_xlfn.IFNA((INDEX('DMR 001C TIN &amp; TP'!$A$3:$M$10005,MATCH(('Reg 85'!$X$6&amp;'Reg 85'!AG$10&amp;'Reg 85'!$B275),('DMR 001C TIN &amp; TP'!$E$3:$E$10005&amp;'DMR 001C TIN &amp; TP'!$B$3:$B$10005&amp;'DMR 001C TIN &amp; TP'!$A$3:$A$10005),0),MATCH('Reg 85'!$AG$11,'DMR 001C TIN &amp; TP'!$A$2:$M$2,0))),"")</f>
        <v/>
      </c>
      <c r="AH275" s="6" t="str">
        <f t="array" ref="AH275">_xlfn.IFNA((INDEX('DMR 001C TIN &amp; TP'!$A$3:$M$10005,MATCH(('Reg 85'!$X$6&amp;'Reg 85'!AH$10&amp;'Reg 85'!$B275),('DMR 001C TIN &amp; TP'!$E$3:$E$10005&amp;'DMR 001C TIN &amp; TP'!$B$3:$B$10005&amp;'DMR 001C TIN &amp; TP'!$A$3:$A$10005),0),MATCH('Reg 85'!$AG$11,'DMR 001C TIN &amp; TP'!$A$2:$M$2,0))),"")</f>
        <v/>
      </c>
      <c r="AI275" s="6" t="str">
        <f t="array" ref="AI275">_xlfn.IFNA((INDEX('DMR 001C TIN &amp; TP'!$A$3:$M$10005,MATCH(('Reg 85'!$X$6&amp;'Reg 85'!AI$10&amp;'Reg 85'!$B275),('DMR 001C TIN &amp; TP'!$E$3:$E$10005&amp;'DMR 001C TIN &amp; TP'!$B$3:$B$10005&amp;'DMR 001C TIN &amp; TP'!$A$3:$A$10005),0),MATCH('Reg 85'!$AG$11,'DMR 001C TIN &amp; TP'!$A$2:$M$2,0))),"")</f>
        <v/>
      </c>
      <c r="AJ275" s="6" t="str">
        <f t="array" ref="AJ275">_xlfn.IFNA((INDEX('DMR 001C TIN &amp; TP'!$A$3:$M$10005,MATCH(('Reg 85'!$X$6&amp;'Reg 85'!AJ$10&amp;'Reg 85'!$B275),('DMR 001C TIN &amp; TP'!$E$3:$E$10005&amp;'DMR 001C TIN &amp; TP'!$B$3:$B$10005&amp;'DMR 001C TIN &amp; TP'!$A$3:$A$10005),0),MATCH('Reg 85'!$AG$11,'DMR 001C TIN &amp; TP'!$A$2:$M$2,0))),"")</f>
        <v/>
      </c>
      <c r="AK275" s="6" t="str">
        <f t="array" ref="AK275">_xlfn.IFNA((INDEX('DMR 001C TIN &amp; TP'!$A$3:$M$10005,MATCH(('Reg 85'!$X$6&amp;'Reg 85'!AK$10&amp;'Reg 85'!$B275),('DMR 001C TIN &amp; TP'!$E$3:$E$10005&amp;'DMR 001C TIN &amp; TP'!$B$3:$B$10005&amp;'DMR 001C TIN &amp; TP'!$A$3:$A$10005),0),MATCH('Reg 85'!$AG$11,'DMR 001C TIN &amp; TP'!$A$2:$M$2,0))),"")</f>
        <v/>
      </c>
      <c r="AL275" s="6" t="str">
        <f t="array" ref="AL275">_xlfn.IFNA((INDEX('DMR 001C TIN &amp; TP'!$A$3:$M$10005,MATCH(('Reg 85'!$X$6&amp;'Reg 85'!AL$10&amp;'Reg 85'!$B275),('DMR 001C TIN &amp; TP'!$E$3:$E$10005&amp;'DMR 001C TIN &amp; TP'!$B$3:$B$10005&amp;'DMR 001C TIN &amp; TP'!$A$3:$A$10005),0),MATCH('Reg 85'!$AG$11,'DMR 001C TIN &amp; TP'!$A$2:$M$2,0))),"")</f>
        <v/>
      </c>
      <c r="AM275" s="76"/>
      <c r="AN275" s="6"/>
      <c r="AO275" s="54" t="str">
        <f t="shared" si="104"/>
        <v/>
      </c>
      <c r="AP275" s="77" t="str">
        <f t="shared" si="102"/>
        <v/>
      </c>
      <c r="AQ275" s="47"/>
      <c r="AR275" s="6" t="str">
        <f t="array" ref="AR275">_xlfn.IFNA((INDEX('DMR 001C TIN &amp; TP'!$A$3:$M$10005,MATCH(('Reg 85'!$AQ$6&amp;'Reg 85'!$AQ$10&amp;'Reg 85'!$B275),('DMR 001C TIN &amp; TP'!$E$3:$E$10005&amp;'DMR 001C TIN &amp; TP'!$B$3:$B$10005&amp;'DMR 001C TIN &amp; TP'!$A$3:$A$10005),0),MATCH('Reg 85'!$AR$11,'DMR 001C TIN &amp; TP'!$A$2:$M$2,0))),"")</f>
        <v/>
      </c>
      <c r="AS275" s="6" t="str">
        <f t="array" ref="AS275">_xlfn.IFNA((INDEX('DMR 001C TIN &amp; TP'!$A$3:$M$10005,MATCH(('Reg 85'!$AQ$6&amp;'Reg 85'!$AQ$10&amp;'Reg 85'!$B275),('DMR 001C TIN &amp; TP'!$E$3:$E$10005&amp;'DMR 001C TIN &amp; TP'!$B$3:$B$10005&amp;'DMR 001C TIN &amp; TP'!$A$3:$A$10005),0),MATCH('Reg 85'!$AS$11,'DMR 001C TIN &amp; TP'!$A$2:$M$2,0))),"")</f>
        <v/>
      </c>
      <c r="AT275" s="53" t="str">
        <f t="shared" si="118"/>
        <v/>
      </c>
      <c r="AV275" s="6" t="str">
        <f t="array" ref="AV275">_xlfn.IFNA((INDEX('DMR 001C TIN &amp; TP'!$A$3:$M$10005,MATCH(('Reg 85'!$AQ$6&amp;'Reg 85'!$AU$10&amp;'Reg 85'!$B275),('DMR 001C TIN &amp; TP'!$E$3:$E$10005&amp;'DMR 001C TIN &amp; TP'!$B$3:$B$10005&amp;'DMR 001C TIN &amp; TP'!$A$3:$A$10005),0),MATCH('Reg 85'!$AV$11,'DMR 001C TIN &amp; TP'!$A$2:$M$2,0))),"")</f>
        <v/>
      </c>
      <c r="AW275" s="6" t="str">
        <f t="array" ref="AW275">_xlfn.IFNA((INDEX('DMR 001C TIN &amp; TP'!$A$3:$M$10005,MATCH(('Reg 85'!$AQ$6&amp;'Reg 85'!$AU$10&amp;'Reg 85'!$B275),('DMR 001C TIN &amp; TP'!$E$3:$E$10005&amp;'DMR 001C TIN &amp; TP'!$B$3:$B$10005&amp;'DMR 001C TIN &amp; TP'!$A$3:$A$10005),0),MATCH('Reg 85'!$AW$11,'DMR 001C TIN &amp; TP'!$A$2:$M$2,0))),"")</f>
        <v/>
      </c>
      <c r="AX275" s="53" t="str">
        <f t="shared" si="119"/>
        <v/>
      </c>
      <c r="AY275" s="55" t="str">
        <f t="shared" si="120"/>
        <v/>
      </c>
      <c r="AZ275" s="77" t="str">
        <f t="shared" si="103"/>
        <v/>
      </c>
      <c r="BA275" s="6" t="str">
        <f t="array" ref="BA275">_xlfn.IFNA((INDEX('DMR 001C TIN &amp; TP'!$A$3:$M$10005,MATCH(('Reg 85'!$AQ$6&amp;'Reg 85'!BA$10&amp;'Reg 85'!$B275),('DMR 001C TIN &amp; TP'!$E$3:$E$10005&amp;'DMR 001C TIN &amp; TP'!$B$3:$B$10005&amp;'DMR 001C TIN &amp; TP'!$A$3:$A$10005),0),MATCH('Reg 85'!$AG$11,'DMR 001C TIN &amp; TP'!$A$2:$M$2,0))),"")</f>
        <v/>
      </c>
      <c r="BB275" s="6" t="str">
        <f t="array" ref="BB275">_xlfn.IFNA((INDEX('DMR 001C TIN &amp; TP'!$A$3:$M$10005,MATCH(('Reg 85'!$AQ$6&amp;'Reg 85'!BB$10&amp;'Reg 85'!$B275),('DMR 001C TIN &amp; TP'!$E$3:$E$10005&amp;'DMR 001C TIN &amp; TP'!$B$3:$B$10005&amp;'DMR 001C TIN &amp; TP'!$A$3:$A$10005),0),MATCH('Reg 85'!$AG$11,'DMR 001C TIN &amp; TP'!$A$2:$M$2,0))),"")</f>
        <v/>
      </c>
      <c r="BC275" s="6" t="str">
        <f t="array" ref="BC275">_xlfn.IFNA((INDEX('DMR 001C TIN &amp; TP'!$A$3:$M$10005,MATCH(('Reg 85'!$AQ$6&amp;'Reg 85'!BC$10&amp;'Reg 85'!$B275),('DMR 001C TIN &amp; TP'!$E$3:$E$10005&amp;'DMR 001C TIN &amp; TP'!$B$3:$B$10005&amp;'DMR 001C TIN &amp; TP'!$A$3:$A$10005),0),MATCH('Reg 85'!$AG$11,'DMR 001C TIN &amp; TP'!$A$2:$M$2,0))),"")</f>
        <v/>
      </c>
      <c r="BD275" s="6" t="str">
        <f t="array" ref="BD275">_xlfn.IFNA((INDEX('DMR 001C TIN &amp; TP'!$A$3:$M$10005,MATCH(('Reg 85'!$AQ$6&amp;'Reg 85'!BD$10&amp;'Reg 85'!$B275),('DMR 001C TIN &amp; TP'!$E$3:$E$10005&amp;'DMR 001C TIN &amp; TP'!$B$3:$B$10005&amp;'DMR 001C TIN &amp; TP'!$A$3:$A$10005),0),MATCH('Reg 85'!$AG$11,'DMR 001C TIN &amp; TP'!$A$2:$M$2,0))),"")</f>
        <v/>
      </c>
      <c r="BE275" s="6" t="str">
        <f t="array" ref="BE275">_xlfn.IFNA((INDEX('DMR 001C TIN &amp; TP'!$A$3:$M$10005,MATCH(('Reg 85'!$AQ$6&amp;'Reg 85'!BE$10&amp;'Reg 85'!$B275),('DMR 001C TIN &amp; TP'!$E$3:$E$10005&amp;'DMR 001C TIN &amp; TP'!$B$3:$B$10005&amp;'DMR 001C TIN &amp; TP'!$A$3:$A$10005),0),MATCH('Reg 85'!$AG$11,'DMR 001C TIN &amp; TP'!$A$2:$M$2,0))),"")</f>
        <v/>
      </c>
      <c r="BF275" s="6" t="str">
        <f t="array" ref="BF275">_xlfn.IFNA((INDEX('DMR 001C TIN &amp; TP'!$A$3:$M$10005,MATCH(('Reg 85'!$AQ$6&amp;'Reg 85'!BF$10&amp;'Reg 85'!$B275),('DMR 001C TIN &amp; TP'!$E$3:$E$10005&amp;'DMR 001C TIN &amp; TP'!$B$3:$B$10005&amp;'DMR 001C TIN &amp; TP'!$A$3:$A$10005),0),MATCH('Reg 85'!$AG$11,'DMR 001C TIN &amp; TP'!$A$2:$M$2,0))),"")</f>
        <v/>
      </c>
    </row>
    <row r="276" spans="1:58">
      <c r="A276" s="3" t="str">
        <f t="shared" si="105"/>
        <v>Thu</v>
      </c>
      <c r="B276" s="96">
        <f t="shared" si="121"/>
        <v>43608</v>
      </c>
      <c r="C276" s="96">
        <f t="shared" si="106"/>
        <v>43616</v>
      </c>
      <c r="D276" s="96">
        <f t="shared" si="107"/>
        <v>43586</v>
      </c>
      <c r="E276" s="95">
        <f t="shared" si="108"/>
        <v>31</v>
      </c>
      <c r="F276" s="7">
        <f t="array" ref="F276">_xlfn.IFNA(INDEX('DMR Flows-Effluent'!$A$3:$F$9999,MATCH(($F$10&amp;$B276),('DMR Flows-Effluent'!$B$3:$B$9999&amp;'DMR Flows-Effluent'!$A$3:$A$9999),0),MATCH($F$8,'DMR Flows-Effluent'!$A$2:$F$2,0)),"")</f>
        <v>77.287700000000001</v>
      </c>
      <c r="G276" s="7">
        <f t="array" ref="G276">_xlfn.IFNA(INDEX('DMR Flows-Effluent'!$A$3:$F$9999,MATCH(($G$10&amp;$B276),('DMR Flows-Effluent'!$B$3:$B$9999&amp;'DMR Flows-Effluent'!$A$3:$A$9999),0),MATCH($F$8,'DMR Flows-Effluent'!$A$2:$F$2,0)),"")</f>
        <v>59.341200000000001</v>
      </c>
      <c r="H276" s="7">
        <f t="shared" si="109"/>
        <v>136.62889999999999</v>
      </c>
      <c r="I276" s="45" t="str">
        <f t="shared" si="110"/>
        <v/>
      </c>
      <c r="J276" s="6" t="str">
        <f t="array" ref="J276">_xlfn.IFNA((INDEX('DMR 001C TIN &amp; TP'!$A$3:$M$10005,MATCH(('Reg 85'!$I$6:$Q$6&amp;'Reg 85'!$I$10:$K$10&amp;'Reg 85'!$B276),('DMR 001C TIN &amp; TP'!$E$3:$E$10005&amp;'DMR 001C TIN &amp; TP'!$B$3:$B$10005&amp;'DMR 001C TIN &amp; TP'!$A$3:$A$10005),0),MATCH('Reg 85'!$J$11,'DMR 001C TIN &amp; TP'!$A$2:$M$2,0))),"")</f>
        <v/>
      </c>
      <c r="K276" s="6" t="str">
        <f t="array" ref="K276">_xlfn.IFNA((INDEX('DMR 001C TIN &amp; TP'!$A$3:$M$10005,MATCH(('Reg 85'!$I$6:$Q$6&amp;'Reg 85'!$I$10:$K$10&amp;'Reg 85'!$B276),('DMR 001C TIN &amp; TP'!$E$3:$E$10005&amp;'DMR 001C TIN &amp; TP'!$B$3:$B$10005&amp;'DMR 001C TIN &amp; TP'!$A$3:$A$10005),0),MATCH('Reg 85'!$K$11,'DMR 001C TIN &amp; TP'!$A$2:$M$2,0))),"")</f>
        <v/>
      </c>
      <c r="L276" s="53" t="str">
        <f t="shared" si="122"/>
        <v/>
      </c>
      <c r="M276" s="5" t="str">
        <f t="shared" si="111"/>
        <v/>
      </c>
      <c r="N276" s="6" t="str">
        <f t="array" ref="N276">_xlfn.IFNA((INDEX('DMR 001C TIN &amp; TP'!$A$3:$M$10005,MATCH(('Reg 85'!$I$6:$Q$6&amp;'Reg 85'!$M$10&amp;'Reg 85'!$B276),('DMR 001C TIN &amp; TP'!$E$3:$E$10005&amp;'DMR 001C TIN &amp; TP'!$B$3:$B$10005&amp;'DMR 001C TIN &amp; TP'!$A$3:$A$10005),0),MATCH('Reg 85'!$N$11,'DMR 001C TIN &amp; TP'!$A$2:$M$2,0))),"")</f>
        <v/>
      </c>
      <c r="O276" s="6" t="str">
        <f t="array" ref="O276">_xlfn.IFNA((INDEX('DMR 001C TIN &amp; TP'!$A$3:$M$10005,MATCH(('Reg 85'!$I$6:$Q$6&amp;'Reg 85'!$M$10&amp;'Reg 85'!$B276),('DMR 001C TIN &amp; TP'!$E$3:$E$10005&amp;'DMR 001C TIN &amp; TP'!$B$3:$B$10005&amp;'DMR 001C TIN &amp; TP'!$A$3:$A$10005),0),MATCH('Reg 85'!$O$11,'DMR 001C TIN &amp; TP'!$A$2:$M$2,0))),"")</f>
        <v/>
      </c>
      <c r="P276" s="53" t="str">
        <f t="shared" si="112"/>
        <v/>
      </c>
      <c r="Q276" s="73" t="str">
        <f t="array" ref="Q276">IFERROR(((L276*$F276)+(P276*$G276))/($H276),"")</f>
        <v/>
      </c>
      <c r="R276" s="6" t="str">
        <f t="array" ref="R276">_xlfn.IFNA((INDEX('DMR 001C TIN &amp; TP'!$A$3:$M$10005,MATCH(('Reg 85'!$I$6:$Q$6&amp;'Reg 85'!R$10&amp;'Reg 85'!$B276),('DMR 001C TIN &amp; TP'!$E$3:$E$10005&amp;'DMR 001C TIN &amp; TP'!$B$3:$B$10005&amp;'DMR 001C TIN &amp; TP'!$A$3:$A$10005),0),MATCH('Reg 85'!$O$11,'DMR 001C TIN &amp; TP'!$A$2:$M$2,0))),"")</f>
        <v/>
      </c>
      <c r="S276" s="6" t="str">
        <f t="array" ref="S276">_xlfn.IFNA((INDEX('DMR 001C TIN &amp; TP'!$A$3:$M$10005,MATCH(('Reg 85'!$I$6:$Q$6&amp;'Reg 85'!S$10&amp;'Reg 85'!$B276),('DMR 001C TIN &amp; TP'!$E$3:$E$10005&amp;'DMR 001C TIN &amp; TP'!$B$3:$B$10005&amp;'DMR 001C TIN &amp; TP'!$A$3:$A$10005),0),MATCH('Reg 85'!$O$11,'DMR 001C TIN &amp; TP'!$A$2:$M$2,0))),"")</f>
        <v/>
      </c>
      <c r="T276" s="6" t="str">
        <f t="array" ref="T276">_xlfn.IFNA((INDEX('DMR 001C TIN &amp; TP'!$A$3:$M$10005,MATCH(('Reg 85'!$I$6:$Q$6&amp;'Reg 85'!T$10&amp;'Reg 85'!$B276),('DMR 001C TIN &amp; TP'!$E$3:$E$10005&amp;'DMR 001C TIN &amp; TP'!$B$3:$B$10005&amp;'DMR 001C TIN &amp; TP'!$A$3:$A$10005),0),MATCH('Reg 85'!$O$11,'DMR 001C TIN &amp; TP'!$A$2:$M$2,0))),"")</f>
        <v/>
      </c>
      <c r="U276" s="6" t="str">
        <f t="array" ref="U276">_xlfn.IFNA((INDEX('DMR 001C TIN &amp; TP'!$A$3:$M$10005,MATCH(('Reg 85'!$I$6:$Q$6&amp;'Reg 85'!U$10&amp;'Reg 85'!$B276),('DMR 001C TIN &amp; TP'!$E$3:$E$10005&amp;'DMR 001C TIN &amp; TP'!$B$3:$B$10005&amp;'DMR 001C TIN &amp; TP'!$A$3:$A$10005),0),MATCH('Reg 85'!$O$11,'DMR 001C TIN &amp; TP'!$A$2:$M$2,0))),"")</f>
        <v/>
      </c>
      <c r="V276" s="6" t="str">
        <f t="array" ref="V276">_xlfn.IFNA((INDEX('DMR 001C TIN &amp; TP'!$A$3:$M$10005,MATCH(('Reg 85'!$I$6:$Q$6&amp;'Reg 85'!V$10&amp;'Reg 85'!$B276),('DMR 001C TIN &amp; TP'!$E$3:$E$10005&amp;'DMR 001C TIN &amp; TP'!$B$3:$B$10005&amp;'DMR 001C TIN &amp; TP'!$A$3:$A$10005),0),MATCH('Reg 85'!$O$11,'DMR 001C TIN &amp; TP'!$A$2:$M$2,0))),"")</f>
        <v/>
      </c>
      <c r="W276" s="6" t="str">
        <f t="array" ref="W276">_xlfn.IFNA((INDEX('DMR 001C TIN &amp; TP'!$A$3:$M$10005,MATCH(('Reg 85'!$I$6:$Q$6&amp;'Reg 85'!W$10&amp;'Reg 85'!$B276),('DMR 001C TIN &amp; TP'!$E$3:$E$10005&amp;'DMR 001C TIN &amp; TP'!$B$3:$B$10005&amp;'DMR 001C TIN &amp; TP'!$A$3:$A$10005),0),MATCH('Reg 85'!$O$11,'DMR 001C TIN &amp; TP'!$A$2:$M$2,0))),"")</f>
        <v/>
      </c>
      <c r="X276" s="5" t="str">
        <f t="shared" si="113"/>
        <v/>
      </c>
      <c r="Y276" s="6" t="str">
        <f t="array" ref="Y276">_xlfn.IFNA((INDEX('DMR 001C TIN &amp; TP'!$A$3:$M$10005,MATCH(('Reg 85'!$X$6&amp;'Reg 85'!$X$10&amp;'Reg 85'!$B276),('DMR 001C TIN &amp; TP'!$E$3:$E$10005&amp;'DMR 001C TIN &amp; TP'!$B$3:$B$10005&amp;'DMR 001C TIN &amp; TP'!$A$3:$A$10005),0),MATCH('Reg 85'!$Y$11,'DMR 001C TIN &amp; TP'!$A$2:$M$2,0))),"")</f>
        <v/>
      </c>
      <c r="Z276" s="6" t="str">
        <f t="array" ref="Z276">_xlfn.IFNA((INDEX('DMR 001C TIN &amp; TP'!$A$3:$M$10005,MATCH(('Reg 85'!$X$6&amp;'Reg 85'!$X$10&amp;'Reg 85'!$B276),('DMR 001C TIN &amp; TP'!$E$3:$E$10005&amp;'DMR 001C TIN &amp; TP'!$B$3:$B$10005&amp;'DMR 001C TIN &amp; TP'!$A$3:$A$10005),0),MATCH('Reg 85'!$Z$11,'DMR 001C TIN &amp; TP'!$A$2:$M$2,0))),"")</f>
        <v/>
      </c>
      <c r="AA276" s="53" t="str">
        <f t="shared" si="114"/>
        <v/>
      </c>
      <c r="AB276" s="5" t="str">
        <f t="shared" si="115"/>
        <v/>
      </c>
      <c r="AC276" s="6" t="str">
        <f t="array" ref="AC276">_xlfn.IFNA((INDEX('DMR 001C TIN &amp; TP'!$A$3:$M$10005,MATCH(('Reg 85'!$X$6&amp;'Reg 85'!$AB$10&amp;'Reg 85'!$B276),('DMR 001C TIN &amp; TP'!$E$3:$E$10005&amp;'DMR 001C TIN &amp; TP'!$B$3:$B$10005&amp;'DMR 001C TIN &amp; TP'!$A$3:$A$10005),0),MATCH('Reg 85'!$AC$11,'DMR 001C TIN &amp; TP'!$A$2:$M$2,0))),"")</f>
        <v/>
      </c>
      <c r="AD276" s="6" t="str">
        <f t="array" ref="AD276">_xlfn.IFNA((INDEX('DMR 001C TIN &amp; TP'!$A$3:$M$10005,MATCH(('Reg 85'!$X$6&amp;'Reg 85'!$AB$10&amp;'Reg 85'!$B276),('DMR 001C TIN &amp; TP'!$E$3:$E$10005&amp;'DMR 001C TIN &amp; TP'!$B$3:$B$10005&amp;'DMR 001C TIN &amp; TP'!$A$3:$A$10005),0),MATCH('Reg 85'!$AD$11,'DMR 001C TIN &amp; TP'!$A$2:$M$2,0))),"")</f>
        <v/>
      </c>
      <c r="AE276" s="53" t="str">
        <f t="shared" si="116"/>
        <v/>
      </c>
      <c r="AF276" s="7" t="str">
        <f t="shared" si="117"/>
        <v/>
      </c>
      <c r="AG276" s="6" t="str">
        <f t="array" ref="AG276">_xlfn.IFNA((INDEX('DMR 001C TIN &amp; TP'!$A$3:$M$10005,MATCH(('Reg 85'!$X$6&amp;'Reg 85'!AG$10&amp;'Reg 85'!$B276),('DMR 001C TIN &amp; TP'!$E$3:$E$10005&amp;'DMR 001C TIN &amp; TP'!$B$3:$B$10005&amp;'DMR 001C TIN &amp; TP'!$A$3:$A$10005),0),MATCH('Reg 85'!$AG$11,'DMR 001C TIN &amp; TP'!$A$2:$M$2,0))),"")</f>
        <v/>
      </c>
      <c r="AH276" s="6" t="str">
        <f t="array" ref="AH276">_xlfn.IFNA((INDEX('DMR 001C TIN &amp; TP'!$A$3:$M$10005,MATCH(('Reg 85'!$X$6&amp;'Reg 85'!AH$10&amp;'Reg 85'!$B276),('DMR 001C TIN &amp; TP'!$E$3:$E$10005&amp;'DMR 001C TIN &amp; TP'!$B$3:$B$10005&amp;'DMR 001C TIN &amp; TP'!$A$3:$A$10005),0),MATCH('Reg 85'!$AG$11,'DMR 001C TIN &amp; TP'!$A$2:$M$2,0))),"")</f>
        <v/>
      </c>
      <c r="AI276" s="6" t="str">
        <f t="array" ref="AI276">_xlfn.IFNA((INDEX('DMR 001C TIN &amp; TP'!$A$3:$M$10005,MATCH(('Reg 85'!$X$6&amp;'Reg 85'!AI$10&amp;'Reg 85'!$B276),('DMR 001C TIN &amp; TP'!$E$3:$E$10005&amp;'DMR 001C TIN &amp; TP'!$B$3:$B$10005&amp;'DMR 001C TIN &amp; TP'!$A$3:$A$10005),0),MATCH('Reg 85'!$AG$11,'DMR 001C TIN &amp; TP'!$A$2:$M$2,0))),"")</f>
        <v/>
      </c>
      <c r="AJ276" s="6" t="str">
        <f t="array" ref="AJ276">_xlfn.IFNA((INDEX('DMR 001C TIN &amp; TP'!$A$3:$M$10005,MATCH(('Reg 85'!$X$6&amp;'Reg 85'!AJ$10&amp;'Reg 85'!$B276),('DMR 001C TIN &amp; TP'!$E$3:$E$10005&amp;'DMR 001C TIN &amp; TP'!$B$3:$B$10005&amp;'DMR 001C TIN &amp; TP'!$A$3:$A$10005),0),MATCH('Reg 85'!$AG$11,'DMR 001C TIN &amp; TP'!$A$2:$M$2,0))),"")</f>
        <v/>
      </c>
      <c r="AK276" s="6" t="str">
        <f t="array" ref="AK276">_xlfn.IFNA((INDEX('DMR 001C TIN &amp; TP'!$A$3:$M$10005,MATCH(('Reg 85'!$X$6&amp;'Reg 85'!AK$10&amp;'Reg 85'!$B276),('DMR 001C TIN &amp; TP'!$E$3:$E$10005&amp;'DMR 001C TIN &amp; TP'!$B$3:$B$10005&amp;'DMR 001C TIN &amp; TP'!$A$3:$A$10005),0),MATCH('Reg 85'!$AG$11,'DMR 001C TIN &amp; TP'!$A$2:$M$2,0))),"")</f>
        <v/>
      </c>
      <c r="AL276" s="6" t="str">
        <f t="array" ref="AL276">_xlfn.IFNA((INDEX('DMR 001C TIN &amp; TP'!$A$3:$M$10005,MATCH(('Reg 85'!$X$6&amp;'Reg 85'!AL$10&amp;'Reg 85'!$B276),('DMR 001C TIN &amp; TP'!$E$3:$E$10005&amp;'DMR 001C TIN &amp; TP'!$B$3:$B$10005&amp;'DMR 001C TIN &amp; TP'!$A$3:$A$10005),0),MATCH('Reg 85'!$AG$11,'DMR 001C TIN &amp; TP'!$A$2:$M$2,0))),"")</f>
        <v/>
      </c>
      <c r="AM276" s="76"/>
      <c r="AN276" s="6"/>
      <c r="AO276" s="54" t="str">
        <f t="shared" si="104"/>
        <v/>
      </c>
      <c r="AP276" s="77" t="str">
        <f t="shared" si="102"/>
        <v/>
      </c>
      <c r="AQ276" s="47"/>
      <c r="AR276" s="6" t="str">
        <f t="array" ref="AR276">_xlfn.IFNA((INDEX('DMR 001C TIN &amp; TP'!$A$3:$M$10005,MATCH(('Reg 85'!$AQ$6&amp;'Reg 85'!$AQ$10&amp;'Reg 85'!$B276),('DMR 001C TIN &amp; TP'!$E$3:$E$10005&amp;'DMR 001C TIN &amp; TP'!$B$3:$B$10005&amp;'DMR 001C TIN &amp; TP'!$A$3:$A$10005),0),MATCH('Reg 85'!$AR$11,'DMR 001C TIN &amp; TP'!$A$2:$M$2,0))),"")</f>
        <v>0.03</v>
      </c>
      <c r="AS276" s="6">
        <f t="array" ref="AS276">_xlfn.IFNA((INDEX('DMR 001C TIN &amp; TP'!$A$3:$M$10005,MATCH(('Reg 85'!$AQ$6&amp;'Reg 85'!$AQ$10&amp;'Reg 85'!$B276),('DMR 001C TIN &amp; TP'!$E$3:$E$10005&amp;'DMR 001C TIN &amp; TP'!$B$3:$B$10005&amp;'DMR 001C TIN &amp; TP'!$A$3:$A$10005),0),MATCH('Reg 85'!$AS$11,'DMR 001C TIN &amp; TP'!$A$2:$M$2,0))),"")</f>
        <v>0.41</v>
      </c>
      <c r="AT276" s="53">
        <f t="shared" si="118"/>
        <v>0.41</v>
      </c>
      <c r="AV276" s="6" t="str">
        <f t="array" ref="AV276">_xlfn.IFNA((INDEX('DMR 001C TIN &amp; TP'!$A$3:$M$10005,MATCH(('Reg 85'!$AQ$6&amp;'Reg 85'!$AU$10&amp;'Reg 85'!$B276),('DMR 001C TIN &amp; TP'!$E$3:$E$10005&amp;'DMR 001C TIN &amp; TP'!$B$3:$B$10005&amp;'DMR 001C TIN &amp; TP'!$A$3:$A$10005),0),MATCH('Reg 85'!$AV$11,'DMR 001C TIN &amp; TP'!$A$2:$M$2,0))),"")</f>
        <v>0.06</v>
      </c>
      <c r="AW276" s="6">
        <f t="array" ref="AW276">_xlfn.IFNA((INDEX('DMR 001C TIN &amp; TP'!$A$3:$M$10005,MATCH(('Reg 85'!$AQ$6&amp;'Reg 85'!$AU$10&amp;'Reg 85'!$B276),('DMR 001C TIN &amp; TP'!$E$3:$E$10005&amp;'DMR 001C TIN &amp; TP'!$B$3:$B$10005&amp;'DMR 001C TIN &amp; TP'!$A$3:$A$10005),0),MATCH('Reg 85'!$AW$11,'DMR 001C TIN &amp; TP'!$A$2:$M$2,0))),"")</f>
        <v>5.63</v>
      </c>
      <c r="AX276" s="53">
        <f t="shared" si="119"/>
        <v>5.63</v>
      </c>
      <c r="AY276" s="55">
        <f t="shared" si="120"/>
        <v>2.6771708840516175</v>
      </c>
      <c r="AZ276" s="77" t="str">
        <f t="shared" si="103"/>
        <v/>
      </c>
      <c r="BA276" s="6" t="str">
        <f t="array" ref="BA276">_xlfn.IFNA((INDEX('DMR 001C TIN &amp; TP'!$A$3:$M$10005,MATCH(('Reg 85'!$AQ$6&amp;'Reg 85'!BA$10&amp;'Reg 85'!$B276),('DMR 001C TIN &amp; TP'!$E$3:$E$10005&amp;'DMR 001C TIN &amp; TP'!$B$3:$B$10005&amp;'DMR 001C TIN &amp; TP'!$A$3:$A$10005),0),MATCH('Reg 85'!$AG$11,'DMR 001C TIN &amp; TP'!$A$2:$M$2,0))),"")</f>
        <v/>
      </c>
      <c r="BB276" s="6" t="str">
        <f t="array" ref="BB276">_xlfn.IFNA((INDEX('DMR 001C TIN &amp; TP'!$A$3:$M$10005,MATCH(('Reg 85'!$AQ$6&amp;'Reg 85'!BB$10&amp;'Reg 85'!$B276),('DMR 001C TIN &amp; TP'!$E$3:$E$10005&amp;'DMR 001C TIN &amp; TP'!$B$3:$B$10005&amp;'DMR 001C TIN &amp; TP'!$A$3:$A$10005),0),MATCH('Reg 85'!$AG$11,'DMR 001C TIN &amp; TP'!$A$2:$M$2,0))),"")</f>
        <v/>
      </c>
      <c r="BC276" s="6" t="str">
        <f t="array" ref="BC276">_xlfn.IFNA((INDEX('DMR 001C TIN &amp; TP'!$A$3:$M$10005,MATCH(('Reg 85'!$AQ$6&amp;'Reg 85'!BC$10&amp;'Reg 85'!$B276),('DMR 001C TIN &amp; TP'!$E$3:$E$10005&amp;'DMR 001C TIN &amp; TP'!$B$3:$B$10005&amp;'DMR 001C TIN &amp; TP'!$A$3:$A$10005),0),MATCH('Reg 85'!$AG$11,'DMR 001C TIN &amp; TP'!$A$2:$M$2,0))),"")</f>
        <v/>
      </c>
      <c r="BD276" s="6" t="str">
        <f t="array" ref="BD276">_xlfn.IFNA((INDEX('DMR 001C TIN &amp; TP'!$A$3:$M$10005,MATCH(('Reg 85'!$AQ$6&amp;'Reg 85'!BD$10&amp;'Reg 85'!$B276),('DMR 001C TIN &amp; TP'!$E$3:$E$10005&amp;'DMR 001C TIN &amp; TP'!$B$3:$B$10005&amp;'DMR 001C TIN &amp; TP'!$A$3:$A$10005),0),MATCH('Reg 85'!$AG$11,'DMR 001C TIN &amp; TP'!$A$2:$M$2,0))),"")</f>
        <v/>
      </c>
      <c r="BE276" s="6" t="str">
        <f t="array" ref="BE276">_xlfn.IFNA((INDEX('DMR 001C TIN &amp; TP'!$A$3:$M$10005,MATCH(('Reg 85'!$AQ$6&amp;'Reg 85'!BE$10&amp;'Reg 85'!$B276),('DMR 001C TIN &amp; TP'!$E$3:$E$10005&amp;'DMR 001C TIN &amp; TP'!$B$3:$B$10005&amp;'DMR 001C TIN &amp; TP'!$A$3:$A$10005),0),MATCH('Reg 85'!$AG$11,'DMR 001C TIN &amp; TP'!$A$2:$M$2,0))),"")</f>
        <v/>
      </c>
      <c r="BF276" s="6" t="str">
        <f t="array" ref="BF276">_xlfn.IFNA((INDEX('DMR 001C TIN &amp; TP'!$A$3:$M$10005,MATCH(('Reg 85'!$AQ$6&amp;'Reg 85'!BF$10&amp;'Reg 85'!$B276),('DMR 001C TIN &amp; TP'!$E$3:$E$10005&amp;'DMR 001C TIN &amp; TP'!$B$3:$B$10005&amp;'DMR 001C TIN &amp; TP'!$A$3:$A$10005),0),MATCH('Reg 85'!$AG$11,'DMR 001C TIN &amp; TP'!$A$2:$M$2,0))),"")</f>
        <v/>
      </c>
    </row>
    <row r="277" spans="1:58">
      <c r="A277" s="3" t="str">
        <f t="shared" si="105"/>
        <v>Fri</v>
      </c>
      <c r="B277" s="96">
        <f t="shared" si="121"/>
        <v>43609</v>
      </c>
      <c r="C277" s="96">
        <f t="shared" si="106"/>
        <v>43616</v>
      </c>
      <c r="D277" s="96">
        <f t="shared" si="107"/>
        <v>43586</v>
      </c>
      <c r="E277" s="95">
        <f t="shared" si="108"/>
        <v>31</v>
      </c>
      <c r="F277" s="7">
        <f t="array" ref="F277">_xlfn.IFNA(INDEX('DMR Flows-Effluent'!$A$3:$F$9999,MATCH(($F$10&amp;$B277),('DMR Flows-Effluent'!$B$3:$B$9999&amp;'DMR Flows-Effluent'!$A$3:$A$9999),0),MATCH($F$8,'DMR Flows-Effluent'!$A$2:$F$2,0)),"")</f>
        <v>76.821399999999997</v>
      </c>
      <c r="G277" s="7">
        <f t="array" ref="G277">_xlfn.IFNA(INDEX('DMR Flows-Effluent'!$A$3:$F$9999,MATCH(($G$10&amp;$B277),('DMR Flows-Effluent'!$B$3:$B$9999&amp;'DMR Flows-Effluent'!$A$3:$A$9999),0),MATCH($F$8,'DMR Flows-Effluent'!$A$2:$F$2,0)),"")</f>
        <v>61.6389</v>
      </c>
      <c r="H277" s="7">
        <f t="shared" si="109"/>
        <v>138.46029999999999</v>
      </c>
      <c r="I277" s="45" t="str">
        <f t="shared" si="110"/>
        <v/>
      </c>
      <c r="J277" s="6" t="str">
        <f t="array" ref="J277">_xlfn.IFNA((INDEX('DMR 001C TIN &amp; TP'!$A$3:$M$10005,MATCH(('Reg 85'!$I$6:$Q$6&amp;'Reg 85'!$I$10:$K$10&amp;'Reg 85'!$B277),('DMR 001C TIN &amp; TP'!$E$3:$E$10005&amp;'DMR 001C TIN &amp; TP'!$B$3:$B$10005&amp;'DMR 001C TIN &amp; TP'!$A$3:$A$10005),0),MATCH('Reg 85'!$J$11,'DMR 001C TIN &amp; TP'!$A$2:$M$2,0))),"")</f>
        <v>0.15</v>
      </c>
      <c r="K277" s="6">
        <f t="array" ref="K277">_xlfn.IFNA((INDEX('DMR 001C TIN &amp; TP'!$A$3:$M$10005,MATCH(('Reg 85'!$I$6:$Q$6&amp;'Reg 85'!$I$10:$K$10&amp;'Reg 85'!$B277),('DMR 001C TIN &amp; TP'!$E$3:$E$10005&amp;'DMR 001C TIN &amp; TP'!$B$3:$B$10005&amp;'DMR 001C TIN &amp; TP'!$A$3:$A$10005),0),MATCH('Reg 85'!$K$11,'DMR 001C TIN &amp; TP'!$A$2:$M$2,0))),"")</f>
        <v>0.34</v>
      </c>
      <c r="L277" s="53">
        <f t="shared" si="122"/>
        <v>0.34</v>
      </c>
      <c r="M277" s="5" t="str">
        <f t="shared" si="111"/>
        <v/>
      </c>
      <c r="N277" s="6" t="str">
        <f t="array" ref="N277">_xlfn.IFNA((INDEX('DMR 001C TIN &amp; TP'!$A$3:$M$10005,MATCH(('Reg 85'!$I$6:$Q$6&amp;'Reg 85'!$M$10&amp;'Reg 85'!$B277),('DMR 001C TIN &amp; TP'!$E$3:$E$10005&amp;'DMR 001C TIN &amp; TP'!$B$3:$B$10005&amp;'DMR 001C TIN &amp; TP'!$A$3:$A$10005),0),MATCH('Reg 85'!$N$11,'DMR 001C TIN &amp; TP'!$A$2:$M$2,0))),"")</f>
        <v>0.15</v>
      </c>
      <c r="O277" s="6">
        <f t="array" ref="O277">_xlfn.IFNA((INDEX('DMR 001C TIN &amp; TP'!$A$3:$M$10005,MATCH(('Reg 85'!$I$6:$Q$6&amp;'Reg 85'!$M$10&amp;'Reg 85'!$B277),('DMR 001C TIN &amp; TP'!$E$3:$E$10005&amp;'DMR 001C TIN &amp; TP'!$B$3:$B$10005&amp;'DMR 001C TIN &amp; TP'!$A$3:$A$10005),0),MATCH('Reg 85'!$O$11,'DMR 001C TIN &amp; TP'!$A$2:$M$2,0))),"")</f>
        <v>0.72</v>
      </c>
      <c r="P277" s="53">
        <f t="shared" si="112"/>
        <v>0.72</v>
      </c>
      <c r="Q277" s="73">
        <f t="array" ref="Q277">IFERROR(((L277*$F277)+(P277*$G277))/($H277),"")</f>
        <v>0.50916604976300062</v>
      </c>
      <c r="R277" s="6" t="str">
        <f t="array" ref="R277">_xlfn.IFNA((INDEX('DMR 001C TIN &amp; TP'!$A$3:$M$10005,MATCH(('Reg 85'!$I$6:$Q$6&amp;'Reg 85'!R$10&amp;'Reg 85'!$B277),('DMR 001C TIN &amp; TP'!$E$3:$E$10005&amp;'DMR 001C TIN &amp; TP'!$B$3:$B$10005&amp;'DMR 001C TIN &amp; TP'!$A$3:$A$10005),0),MATCH('Reg 85'!$O$11,'DMR 001C TIN &amp; TP'!$A$2:$M$2,0))),"")</f>
        <v/>
      </c>
      <c r="S277" s="6" t="str">
        <f t="array" ref="S277">_xlfn.IFNA((INDEX('DMR 001C TIN &amp; TP'!$A$3:$M$10005,MATCH(('Reg 85'!$I$6:$Q$6&amp;'Reg 85'!S$10&amp;'Reg 85'!$B277),('DMR 001C TIN &amp; TP'!$E$3:$E$10005&amp;'DMR 001C TIN &amp; TP'!$B$3:$B$10005&amp;'DMR 001C TIN &amp; TP'!$A$3:$A$10005),0),MATCH('Reg 85'!$O$11,'DMR 001C TIN &amp; TP'!$A$2:$M$2,0))),"")</f>
        <v/>
      </c>
      <c r="T277" s="6" t="str">
        <f t="array" ref="T277">_xlfn.IFNA((INDEX('DMR 001C TIN &amp; TP'!$A$3:$M$10005,MATCH(('Reg 85'!$I$6:$Q$6&amp;'Reg 85'!T$10&amp;'Reg 85'!$B277),('DMR 001C TIN &amp; TP'!$E$3:$E$10005&amp;'DMR 001C TIN &amp; TP'!$B$3:$B$10005&amp;'DMR 001C TIN &amp; TP'!$A$3:$A$10005),0),MATCH('Reg 85'!$O$11,'DMR 001C TIN &amp; TP'!$A$2:$M$2,0))),"")</f>
        <v/>
      </c>
      <c r="U277" s="6" t="str">
        <f t="array" ref="U277">_xlfn.IFNA((INDEX('DMR 001C TIN &amp; TP'!$A$3:$M$10005,MATCH(('Reg 85'!$I$6:$Q$6&amp;'Reg 85'!U$10&amp;'Reg 85'!$B277),('DMR 001C TIN &amp; TP'!$E$3:$E$10005&amp;'DMR 001C TIN &amp; TP'!$B$3:$B$10005&amp;'DMR 001C TIN &amp; TP'!$A$3:$A$10005),0),MATCH('Reg 85'!$O$11,'DMR 001C TIN &amp; TP'!$A$2:$M$2,0))),"")</f>
        <v/>
      </c>
      <c r="V277" s="6" t="str">
        <f t="array" ref="V277">_xlfn.IFNA((INDEX('DMR 001C TIN &amp; TP'!$A$3:$M$10005,MATCH(('Reg 85'!$I$6:$Q$6&amp;'Reg 85'!V$10&amp;'Reg 85'!$B277),('DMR 001C TIN &amp; TP'!$E$3:$E$10005&amp;'DMR 001C TIN &amp; TP'!$B$3:$B$10005&amp;'DMR 001C TIN &amp; TP'!$A$3:$A$10005),0),MATCH('Reg 85'!$O$11,'DMR 001C TIN &amp; TP'!$A$2:$M$2,0))),"")</f>
        <v/>
      </c>
      <c r="W277" s="6" t="str">
        <f t="array" ref="W277">_xlfn.IFNA((INDEX('DMR 001C TIN &amp; TP'!$A$3:$M$10005,MATCH(('Reg 85'!$I$6:$Q$6&amp;'Reg 85'!W$10&amp;'Reg 85'!$B277),('DMR 001C TIN &amp; TP'!$E$3:$E$10005&amp;'DMR 001C TIN &amp; TP'!$B$3:$B$10005&amp;'DMR 001C TIN &amp; TP'!$A$3:$A$10005),0),MATCH('Reg 85'!$O$11,'DMR 001C TIN &amp; TP'!$A$2:$M$2,0))),"")</f>
        <v/>
      </c>
      <c r="X277" s="5" t="str">
        <f t="shared" si="113"/>
        <v/>
      </c>
      <c r="Y277" s="6" t="str">
        <f t="array" ref="Y277">_xlfn.IFNA((INDEX('DMR 001C TIN &amp; TP'!$A$3:$M$10005,MATCH(('Reg 85'!$X$6&amp;'Reg 85'!$X$10&amp;'Reg 85'!$B277),('DMR 001C TIN &amp; TP'!$E$3:$E$10005&amp;'DMR 001C TIN &amp; TP'!$B$3:$B$10005&amp;'DMR 001C TIN &amp; TP'!$A$3:$A$10005),0),MATCH('Reg 85'!$Y$11,'DMR 001C TIN &amp; TP'!$A$2:$M$2,0))),"")</f>
        <v>0.06</v>
      </c>
      <c r="Z277" s="6">
        <f t="array" ref="Z277">_xlfn.IFNA((INDEX('DMR 001C TIN &amp; TP'!$A$3:$M$10005,MATCH(('Reg 85'!$X$6&amp;'Reg 85'!$X$10&amp;'Reg 85'!$B277),('DMR 001C TIN &amp; TP'!$E$3:$E$10005&amp;'DMR 001C TIN &amp; TP'!$B$3:$B$10005&amp;'DMR 001C TIN &amp; TP'!$A$3:$A$10005),0),MATCH('Reg 85'!$Z$11,'DMR 001C TIN &amp; TP'!$A$2:$M$2,0))),"")</f>
        <v>4.3499999999999996</v>
      </c>
      <c r="AA277" s="53">
        <f t="shared" si="114"/>
        <v>4.3499999999999996</v>
      </c>
      <c r="AB277" s="5" t="str">
        <f t="shared" si="115"/>
        <v/>
      </c>
      <c r="AC277" s="6" t="str">
        <f t="array" ref="AC277">_xlfn.IFNA((INDEX('DMR 001C TIN &amp; TP'!$A$3:$M$10005,MATCH(('Reg 85'!$X$6&amp;'Reg 85'!$AB$10&amp;'Reg 85'!$B277),('DMR 001C TIN &amp; TP'!$E$3:$E$10005&amp;'DMR 001C TIN &amp; TP'!$B$3:$B$10005&amp;'DMR 001C TIN &amp; TP'!$A$3:$A$10005),0),MATCH('Reg 85'!$AC$11,'DMR 001C TIN &amp; TP'!$A$2:$M$2,0))),"")</f>
        <v>0.06</v>
      </c>
      <c r="AD277" s="6">
        <f t="array" ref="AD277">_xlfn.IFNA((INDEX('DMR 001C TIN &amp; TP'!$A$3:$M$10005,MATCH(('Reg 85'!$X$6&amp;'Reg 85'!$AB$10&amp;'Reg 85'!$B277),('DMR 001C TIN &amp; TP'!$E$3:$E$10005&amp;'DMR 001C TIN &amp; TP'!$B$3:$B$10005&amp;'DMR 001C TIN &amp; TP'!$A$3:$A$10005),0),MATCH('Reg 85'!$AD$11,'DMR 001C TIN &amp; TP'!$A$2:$M$2,0))),"")</f>
        <v>5.19</v>
      </c>
      <c r="AE277" s="53">
        <f t="shared" si="116"/>
        <v>5.19</v>
      </c>
      <c r="AF277" s="7">
        <f t="shared" si="117"/>
        <v>4.7239460047392638</v>
      </c>
      <c r="AG277" s="6" t="str">
        <f t="array" ref="AG277">_xlfn.IFNA((INDEX('DMR 001C TIN &amp; TP'!$A$3:$M$10005,MATCH(('Reg 85'!$X$6&amp;'Reg 85'!AG$10&amp;'Reg 85'!$B277),('DMR 001C TIN &amp; TP'!$E$3:$E$10005&amp;'DMR 001C TIN &amp; TP'!$B$3:$B$10005&amp;'DMR 001C TIN &amp; TP'!$A$3:$A$10005),0),MATCH('Reg 85'!$AG$11,'DMR 001C TIN &amp; TP'!$A$2:$M$2,0))),"")</f>
        <v/>
      </c>
      <c r="AH277" s="6" t="str">
        <f t="array" ref="AH277">_xlfn.IFNA((INDEX('DMR 001C TIN &amp; TP'!$A$3:$M$10005,MATCH(('Reg 85'!$X$6&amp;'Reg 85'!AH$10&amp;'Reg 85'!$B277),('DMR 001C TIN &amp; TP'!$E$3:$E$10005&amp;'DMR 001C TIN &amp; TP'!$B$3:$B$10005&amp;'DMR 001C TIN &amp; TP'!$A$3:$A$10005),0),MATCH('Reg 85'!$AG$11,'DMR 001C TIN &amp; TP'!$A$2:$M$2,0))),"")</f>
        <v/>
      </c>
      <c r="AI277" s="6" t="str">
        <f t="array" ref="AI277">_xlfn.IFNA((INDEX('DMR 001C TIN &amp; TP'!$A$3:$M$10005,MATCH(('Reg 85'!$X$6&amp;'Reg 85'!AI$10&amp;'Reg 85'!$B277),('DMR 001C TIN &amp; TP'!$E$3:$E$10005&amp;'DMR 001C TIN &amp; TP'!$B$3:$B$10005&amp;'DMR 001C TIN &amp; TP'!$A$3:$A$10005),0),MATCH('Reg 85'!$AG$11,'DMR 001C TIN &amp; TP'!$A$2:$M$2,0))),"")</f>
        <v/>
      </c>
      <c r="AJ277" s="6" t="str">
        <f t="array" ref="AJ277">_xlfn.IFNA((INDEX('DMR 001C TIN &amp; TP'!$A$3:$M$10005,MATCH(('Reg 85'!$X$6&amp;'Reg 85'!AJ$10&amp;'Reg 85'!$B277),('DMR 001C TIN &amp; TP'!$E$3:$E$10005&amp;'DMR 001C TIN &amp; TP'!$B$3:$B$10005&amp;'DMR 001C TIN &amp; TP'!$A$3:$A$10005),0),MATCH('Reg 85'!$AG$11,'DMR 001C TIN &amp; TP'!$A$2:$M$2,0))),"")</f>
        <v/>
      </c>
      <c r="AK277" s="6" t="str">
        <f t="array" ref="AK277">_xlfn.IFNA((INDEX('DMR 001C TIN &amp; TP'!$A$3:$M$10005,MATCH(('Reg 85'!$X$6&amp;'Reg 85'!AK$10&amp;'Reg 85'!$B277),('DMR 001C TIN &amp; TP'!$E$3:$E$10005&amp;'DMR 001C TIN &amp; TP'!$B$3:$B$10005&amp;'DMR 001C TIN &amp; TP'!$A$3:$A$10005),0),MATCH('Reg 85'!$AG$11,'DMR 001C TIN &amp; TP'!$A$2:$M$2,0))),"")</f>
        <v/>
      </c>
      <c r="AL277" s="6" t="str">
        <f t="array" ref="AL277">_xlfn.IFNA((INDEX('DMR 001C TIN &amp; TP'!$A$3:$M$10005,MATCH(('Reg 85'!$X$6&amp;'Reg 85'!AL$10&amp;'Reg 85'!$B277),('DMR 001C TIN &amp; TP'!$E$3:$E$10005&amp;'DMR 001C TIN &amp; TP'!$B$3:$B$10005&amp;'DMR 001C TIN &amp; TP'!$A$3:$A$10005),0),MATCH('Reg 85'!$AG$11,'DMR 001C TIN &amp; TP'!$A$2:$M$2,0))),"")</f>
        <v/>
      </c>
      <c r="AM277" s="76"/>
      <c r="AN277" s="6"/>
      <c r="AO277" s="54">
        <f t="shared" si="104"/>
        <v>5.2331120545022642</v>
      </c>
      <c r="AP277" s="77" t="str">
        <f t="shared" si="102"/>
        <v/>
      </c>
      <c r="AQ277" s="47"/>
      <c r="AR277" s="6" t="str">
        <f t="array" ref="AR277">_xlfn.IFNA((INDEX('DMR 001C TIN &amp; TP'!$A$3:$M$10005,MATCH(('Reg 85'!$AQ$6&amp;'Reg 85'!$AQ$10&amp;'Reg 85'!$B277),('DMR 001C TIN &amp; TP'!$E$3:$E$10005&amp;'DMR 001C TIN &amp; TP'!$B$3:$B$10005&amp;'DMR 001C TIN &amp; TP'!$A$3:$A$10005),0),MATCH('Reg 85'!$AR$11,'DMR 001C TIN &amp; TP'!$A$2:$M$2,0))),"")</f>
        <v/>
      </c>
      <c r="AS277" s="6" t="str">
        <f t="array" ref="AS277">_xlfn.IFNA((INDEX('DMR 001C TIN &amp; TP'!$A$3:$M$10005,MATCH(('Reg 85'!$AQ$6&amp;'Reg 85'!$AQ$10&amp;'Reg 85'!$B277),('DMR 001C TIN &amp; TP'!$E$3:$E$10005&amp;'DMR 001C TIN &amp; TP'!$B$3:$B$10005&amp;'DMR 001C TIN &amp; TP'!$A$3:$A$10005),0),MATCH('Reg 85'!$AS$11,'DMR 001C TIN &amp; TP'!$A$2:$M$2,0))),"")</f>
        <v/>
      </c>
      <c r="AT277" s="53" t="str">
        <f t="shared" si="118"/>
        <v/>
      </c>
      <c r="AV277" s="6" t="str">
        <f t="array" ref="AV277">_xlfn.IFNA((INDEX('DMR 001C TIN &amp; TP'!$A$3:$M$10005,MATCH(('Reg 85'!$AQ$6&amp;'Reg 85'!$AU$10&amp;'Reg 85'!$B277),('DMR 001C TIN &amp; TP'!$E$3:$E$10005&amp;'DMR 001C TIN &amp; TP'!$B$3:$B$10005&amp;'DMR 001C TIN &amp; TP'!$A$3:$A$10005),0),MATCH('Reg 85'!$AV$11,'DMR 001C TIN &amp; TP'!$A$2:$M$2,0))),"")</f>
        <v/>
      </c>
      <c r="AW277" s="6" t="str">
        <f t="array" ref="AW277">_xlfn.IFNA((INDEX('DMR 001C TIN &amp; TP'!$A$3:$M$10005,MATCH(('Reg 85'!$AQ$6&amp;'Reg 85'!$AU$10&amp;'Reg 85'!$B277),('DMR 001C TIN &amp; TP'!$E$3:$E$10005&amp;'DMR 001C TIN &amp; TP'!$B$3:$B$10005&amp;'DMR 001C TIN &amp; TP'!$A$3:$A$10005),0),MATCH('Reg 85'!$AW$11,'DMR 001C TIN &amp; TP'!$A$2:$M$2,0))),"")</f>
        <v/>
      </c>
      <c r="AX277" s="53" t="str">
        <f t="shared" si="119"/>
        <v/>
      </c>
      <c r="AY277" s="55" t="str">
        <f t="shared" si="120"/>
        <v/>
      </c>
      <c r="AZ277" s="77" t="str">
        <f t="shared" si="103"/>
        <v/>
      </c>
      <c r="BA277" s="6" t="str">
        <f t="array" ref="BA277">_xlfn.IFNA((INDEX('DMR 001C TIN &amp; TP'!$A$3:$M$10005,MATCH(('Reg 85'!$AQ$6&amp;'Reg 85'!BA$10&amp;'Reg 85'!$B277),('DMR 001C TIN &amp; TP'!$E$3:$E$10005&amp;'DMR 001C TIN &amp; TP'!$B$3:$B$10005&amp;'DMR 001C TIN &amp; TP'!$A$3:$A$10005),0),MATCH('Reg 85'!$AG$11,'DMR 001C TIN &amp; TP'!$A$2:$M$2,0))),"")</f>
        <v/>
      </c>
      <c r="BB277" s="6" t="str">
        <f t="array" ref="BB277">_xlfn.IFNA((INDEX('DMR 001C TIN &amp; TP'!$A$3:$M$10005,MATCH(('Reg 85'!$AQ$6&amp;'Reg 85'!BB$10&amp;'Reg 85'!$B277),('DMR 001C TIN &amp; TP'!$E$3:$E$10005&amp;'DMR 001C TIN &amp; TP'!$B$3:$B$10005&amp;'DMR 001C TIN &amp; TP'!$A$3:$A$10005),0),MATCH('Reg 85'!$AG$11,'DMR 001C TIN &amp; TP'!$A$2:$M$2,0))),"")</f>
        <v/>
      </c>
      <c r="BC277" s="6" t="str">
        <f t="array" ref="BC277">_xlfn.IFNA((INDEX('DMR 001C TIN &amp; TP'!$A$3:$M$10005,MATCH(('Reg 85'!$AQ$6&amp;'Reg 85'!BC$10&amp;'Reg 85'!$B277),('DMR 001C TIN &amp; TP'!$E$3:$E$10005&amp;'DMR 001C TIN &amp; TP'!$B$3:$B$10005&amp;'DMR 001C TIN &amp; TP'!$A$3:$A$10005),0),MATCH('Reg 85'!$AG$11,'DMR 001C TIN &amp; TP'!$A$2:$M$2,0))),"")</f>
        <v/>
      </c>
      <c r="BD277" s="6" t="str">
        <f t="array" ref="BD277">_xlfn.IFNA((INDEX('DMR 001C TIN &amp; TP'!$A$3:$M$10005,MATCH(('Reg 85'!$AQ$6&amp;'Reg 85'!BD$10&amp;'Reg 85'!$B277),('DMR 001C TIN &amp; TP'!$E$3:$E$10005&amp;'DMR 001C TIN &amp; TP'!$B$3:$B$10005&amp;'DMR 001C TIN &amp; TP'!$A$3:$A$10005),0),MATCH('Reg 85'!$AG$11,'DMR 001C TIN &amp; TP'!$A$2:$M$2,0))),"")</f>
        <v/>
      </c>
      <c r="BE277" s="6" t="str">
        <f t="array" ref="BE277">_xlfn.IFNA((INDEX('DMR 001C TIN &amp; TP'!$A$3:$M$10005,MATCH(('Reg 85'!$AQ$6&amp;'Reg 85'!BE$10&amp;'Reg 85'!$B277),('DMR 001C TIN &amp; TP'!$E$3:$E$10005&amp;'DMR 001C TIN &amp; TP'!$B$3:$B$10005&amp;'DMR 001C TIN &amp; TP'!$A$3:$A$10005),0),MATCH('Reg 85'!$AG$11,'DMR 001C TIN &amp; TP'!$A$2:$M$2,0))),"")</f>
        <v/>
      </c>
      <c r="BF277" s="6" t="str">
        <f t="array" ref="BF277">_xlfn.IFNA((INDEX('DMR 001C TIN &amp; TP'!$A$3:$M$10005,MATCH(('Reg 85'!$AQ$6&amp;'Reg 85'!BF$10&amp;'Reg 85'!$B277),('DMR 001C TIN &amp; TP'!$E$3:$E$10005&amp;'DMR 001C TIN &amp; TP'!$B$3:$B$10005&amp;'DMR 001C TIN &amp; TP'!$A$3:$A$10005),0),MATCH('Reg 85'!$AG$11,'DMR 001C TIN &amp; TP'!$A$2:$M$2,0))),"")</f>
        <v/>
      </c>
    </row>
    <row r="278" spans="1:58">
      <c r="A278" s="3" t="str">
        <f t="shared" si="105"/>
        <v>Sat</v>
      </c>
      <c r="B278" s="96">
        <f t="shared" si="121"/>
        <v>43610</v>
      </c>
      <c r="C278" s="96">
        <f t="shared" si="106"/>
        <v>43616</v>
      </c>
      <c r="D278" s="96">
        <f t="shared" si="107"/>
        <v>43586</v>
      </c>
      <c r="E278" s="95">
        <f t="shared" si="108"/>
        <v>31</v>
      </c>
      <c r="F278" s="7">
        <f t="array" ref="F278">_xlfn.IFNA(INDEX('DMR Flows-Effluent'!$A$3:$F$9999,MATCH(($F$10&amp;$B278),('DMR Flows-Effluent'!$B$3:$B$9999&amp;'DMR Flows-Effluent'!$A$3:$A$9999),0),MATCH($F$8,'DMR Flows-Effluent'!$A$2:$F$2,0)),"")</f>
        <v>73.503399999999999</v>
      </c>
      <c r="G278" s="7">
        <f t="array" ref="G278">_xlfn.IFNA(INDEX('DMR Flows-Effluent'!$A$3:$F$9999,MATCH(($G$10&amp;$B278),('DMR Flows-Effluent'!$B$3:$B$9999&amp;'DMR Flows-Effluent'!$A$3:$A$9999),0),MATCH($F$8,'DMR Flows-Effluent'!$A$2:$F$2,0)),"")</f>
        <v>61.2973</v>
      </c>
      <c r="H278" s="7">
        <f t="shared" si="109"/>
        <v>134.80070000000001</v>
      </c>
      <c r="I278" s="45" t="str">
        <f t="shared" si="110"/>
        <v/>
      </c>
      <c r="J278" s="6" t="str">
        <f t="array" ref="J278">_xlfn.IFNA((INDEX('DMR 001C TIN &amp; TP'!$A$3:$M$10005,MATCH(('Reg 85'!$I$6:$Q$6&amp;'Reg 85'!$I$10:$K$10&amp;'Reg 85'!$B278),('DMR 001C TIN &amp; TP'!$E$3:$E$10005&amp;'DMR 001C TIN &amp; TP'!$B$3:$B$10005&amp;'DMR 001C TIN &amp; TP'!$A$3:$A$10005),0),MATCH('Reg 85'!$J$11,'DMR 001C TIN &amp; TP'!$A$2:$M$2,0))),"")</f>
        <v>0.15</v>
      </c>
      <c r="K278" s="6">
        <f t="array" ref="K278">_xlfn.IFNA((INDEX('DMR 001C TIN &amp; TP'!$A$3:$M$10005,MATCH(('Reg 85'!$I$6:$Q$6&amp;'Reg 85'!$I$10:$K$10&amp;'Reg 85'!$B278),('DMR 001C TIN &amp; TP'!$E$3:$E$10005&amp;'DMR 001C TIN &amp; TP'!$B$3:$B$10005&amp;'DMR 001C TIN &amp; TP'!$A$3:$A$10005),0),MATCH('Reg 85'!$K$11,'DMR 001C TIN &amp; TP'!$A$2:$M$2,0))),"")</f>
        <v>0.47</v>
      </c>
      <c r="L278" s="53">
        <f t="shared" si="122"/>
        <v>0.47</v>
      </c>
      <c r="M278" s="5" t="str">
        <f t="shared" si="111"/>
        <v/>
      </c>
      <c r="N278" s="6" t="str">
        <f t="array" ref="N278">_xlfn.IFNA((INDEX('DMR 001C TIN &amp; TP'!$A$3:$M$10005,MATCH(('Reg 85'!$I$6:$Q$6&amp;'Reg 85'!$M$10&amp;'Reg 85'!$B278),('DMR 001C TIN &amp; TP'!$E$3:$E$10005&amp;'DMR 001C TIN &amp; TP'!$B$3:$B$10005&amp;'DMR 001C TIN &amp; TP'!$A$3:$A$10005),0),MATCH('Reg 85'!$N$11,'DMR 001C TIN &amp; TP'!$A$2:$M$2,0))),"")</f>
        <v>0.15</v>
      </c>
      <c r="O278" s="6">
        <f t="array" ref="O278">_xlfn.IFNA((INDEX('DMR 001C TIN &amp; TP'!$A$3:$M$10005,MATCH(('Reg 85'!$I$6:$Q$6&amp;'Reg 85'!$M$10&amp;'Reg 85'!$B278),('DMR 001C TIN &amp; TP'!$E$3:$E$10005&amp;'DMR 001C TIN &amp; TP'!$B$3:$B$10005&amp;'DMR 001C TIN &amp; TP'!$A$3:$A$10005),0),MATCH('Reg 85'!$O$11,'DMR 001C TIN &amp; TP'!$A$2:$M$2,0))),"")</f>
        <v>0.72</v>
      </c>
      <c r="P278" s="53">
        <f t="shared" si="112"/>
        <v>0.72</v>
      </c>
      <c r="Q278" s="73">
        <f t="array" ref="Q278">IFERROR(((L278*$F278)+(P278*$G278))/($H278),"")</f>
        <v>0.58368134586838194</v>
      </c>
      <c r="R278" s="6" t="str">
        <f t="array" ref="R278">_xlfn.IFNA((INDEX('DMR 001C TIN &amp; TP'!$A$3:$M$10005,MATCH(('Reg 85'!$I$6:$Q$6&amp;'Reg 85'!R$10&amp;'Reg 85'!$B278),('DMR 001C TIN &amp; TP'!$E$3:$E$10005&amp;'DMR 001C TIN &amp; TP'!$B$3:$B$10005&amp;'DMR 001C TIN &amp; TP'!$A$3:$A$10005),0),MATCH('Reg 85'!$O$11,'DMR 001C TIN &amp; TP'!$A$2:$M$2,0))),"")</f>
        <v/>
      </c>
      <c r="S278" s="6" t="str">
        <f t="array" ref="S278">_xlfn.IFNA((INDEX('DMR 001C TIN &amp; TP'!$A$3:$M$10005,MATCH(('Reg 85'!$I$6:$Q$6&amp;'Reg 85'!S$10&amp;'Reg 85'!$B278),('DMR 001C TIN &amp; TP'!$E$3:$E$10005&amp;'DMR 001C TIN &amp; TP'!$B$3:$B$10005&amp;'DMR 001C TIN &amp; TP'!$A$3:$A$10005),0),MATCH('Reg 85'!$O$11,'DMR 001C TIN &amp; TP'!$A$2:$M$2,0))),"")</f>
        <v/>
      </c>
      <c r="T278" s="6" t="str">
        <f t="array" ref="T278">_xlfn.IFNA((INDEX('DMR 001C TIN &amp; TP'!$A$3:$M$10005,MATCH(('Reg 85'!$I$6:$Q$6&amp;'Reg 85'!T$10&amp;'Reg 85'!$B278),('DMR 001C TIN &amp; TP'!$E$3:$E$10005&amp;'DMR 001C TIN &amp; TP'!$B$3:$B$10005&amp;'DMR 001C TIN &amp; TP'!$A$3:$A$10005),0),MATCH('Reg 85'!$O$11,'DMR 001C TIN &amp; TP'!$A$2:$M$2,0))),"")</f>
        <v/>
      </c>
      <c r="U278" s="6" t="str">
        <f t="array" ref="U278">_xlfn.IFNA((INDEX('DMR 001C TIN &amp; TP'!$A$3:$M$10005,MATCH(('Reg 85'!$I$6:$Q$6&amp;'Reg 85'!U$10&amp;'Reg 85'!$B278),('DMR 001C TIN &amp; TP'!$E$3:$E$10005&amp;'DMR 001C TIN &amp; TP'!$B$3:$B$10005&amp;'DMR 001C TIN &amp; TP'!$A$3:$A$10005),0),MATCH('Reg 85'!$O$11,'DMR 001C TIN &amp; TP'!$A$2:$M$2,0))),"")</f>
        <v/>
      </c>
      <c r="V278" s="6" t="str">
        <f t="array" ref="V278">_xlfn.IFNA((INDEX('DMR 001C TIN &amp; TP'!$A$3:$M$10005,MATCH(('Reg 85'!$I$6:$Q$6&amp;'Reg 85'!V$10&amp;'Reg 85'!$B278),('DMR 001C TIN &amp; TP'!$E$3:$E$10005&amp;'DMR 001C TIN &amp; TP'!$B$3:$B$10005&amp;'DMR 001C TIN &amp; TP'!$A$3:$A$10005),0),MATCH('Reg 85'!$O$11,'DMR 001C TIN &amp; TP'!$A$2:$M$2,0))),"")</f>
        <v/>
      </c>
      <c r="W278" s="6" t="str">
        <f t="array" ref="W278">_xlfn.IFNA((INDEX('DMR 001C TIN &amp; TP'!$A$3:$M$10005,MATCH(('Reg 85'!$I$6:$Q$6&amp;'Reg 85'!W$10&amp;'Reg 85'!$B278),('DMR 001C TIN &amp; TP'!$E$3:$E$10005&amp;'DMR 001C TIN &amp; TP'!$B$3:$B$10005&amp;'DMR 001C TIN &amp; TP'!$A$3:$A$10005),0),MATCH('Reg 85'!$O$11,'DMR 001C TIN &amp; TP'!$A$2:$M$2,0))),"")</f>
        <v/>
      </c>
      <c r="X278" s="5" t="str">
        <f t="shared" si="113"/>
        <v/>
      </c>
      <c r="Y278" s="6" t="str">
        <f t="array" ref="Y278">_xlfn.IFNA((INDEX('DMR 001C TIN &amp; TP'!$A$3:$M$10005,MATCH(('Reg 85'!$X$6&amp;'Reg 85'!$X$10&amp;'Reg 85'!$B278),('DMR 001C TIN &amp; TP'!$E$3:$E$10005&amp;'DMR 001C TIN &amp; TP'!$B$3:$B$10005&amp;'DMR 001C TIN &amp; TP'!$A$3:$A$10005),0),MATCH('Reg 85'!$Y$11,'DMR 001C TIN &amp; TP'!$A$2:$M$2,0))),"")</f>
        <v>0.06</v>
      </c>
      <c r="Z278" s="6">
        <f t="array" ref="Z278">_xlfn.IFNA((INDEX('DMR 001C TIN &amp; TP'!$A$3:$M$10005,MATCH(('Reg 85'!$X$6&amp;'Reg 85'!$X$10&amp;'Reg 85'!$B278),('DMR 001C TIN &amp; TP'!$E$3:$E$10005&amp;'DMR 001C TIN &amp; TP'!$B$3:$B$10005&amp;'DMR 001C TIN &amp; TP'!$A$3:$A$10005),0),MATCH('Reg 85'!$Z$11,'DMR 001C TIN &amp; TP'!$A$2:$M$2,0))),"")</f>
        <v>4.63</v>
      </c>
      <c r="AA278" s="53">
        <f t="shared" si="114"/>
        <v>4.63</v>
      </c>
      <c r="AB278" s="5" t="str">
        <f t="shared" si="115"/>
        <v/>
      </c>
      <c r="AC278" s="6" t="str">
        <f t="array" ref="AC278">_xlfn.IFNA((INDEX('DMR 001C TIN &amp; TP'!$A$3:$M$10005,MATCH(('Reg 85'!$X$6&amp;'Reg 85'!$AB$10&amp;'Reg 85'!$B278),('DMR 001C TIN &amp; TP'!$E$3:$E$10005&amp;'DMR 001C TIN &amp; TP'!$B$3:$B$10005&amp;'DMR 001C TIN &amp; TP'!$A$3:$A$10005),0),MATCH('Reg 85'!$AC$11,'DMR 001C TIN &amp; TP'!$A$2:$M$2,0))),"")</f>
        <v>0.06</v>
      </c>
      <c r="AD278" s="6">
        <f t="array" ref="AD278">_xlfn.IFNA((INDEX('DMR 001C TIN &amp; TP'!$A$3:$M$10005,MATCH(('Reg 85'!$X$6&amp;'Reg 85'!$AB$10&amp;'Reg 85'!$B278),('DMR 001C TIN &amp; TP'!$E$3:$E$10005&amp;'DMR 001C TIN &amp; TP'!$B$3:$B$10005&amp;'DMR 001C TIN &amp; TP'!$A$3:$A$10005),0),MATCH('Reg 85'!$AD$11,'DMR 001C TIN &amp; TP'!$A$2:$M$2,0))),"")</f>
        <v>4.96</v>
      </c>
      <c r="AE278" s="53">
        <f t="shared" si="116"/>
        <v>4.96</v>
      </c>
      <c r="AF278" s="7">
        <f t="shared" si="117"/>
        <v>4.780059376546264</v>
      </c>
      <c r="AG278" s="6" t="str">
        <f t="array" ref="AG278">_xlfn.IFNA((INDEX('DMR 001C TIN &amp; TP'!$A$3:$M$10005,MATCH(('Reg 85'!$X$6&amp;'Reg 85'!AG$10&amp;'Reg 85'!$B278),('DMR 001C TIN &amp; TP'!$E$3:$E$10005&amp;'DMR 001C TIN &amp; TP'!$B$3:$B$10005&amp;'DMR 001C TIN &amp; TP'!$A$3:$A$10005),0),MATCH('Reg 85'!$AG$11,'DMR 001C TIN &amp; TP'!$A$2:$M$2,0))),"")</f>
        <v/>
      </c>
      <c r="AH278" s="6" t="str">
        <f t="array" ref="AH278">_xlfn.IFNA((INDEX('DMR 001C TIN &amp; TP'!$A$3:$M$10005,MATCH(('Reg 85'!$X$6&amp;'Reg 85'!AH$10&amp;'Reg 85'!$B278),('DMR 001C TIN &amp; TP'!$E$3:$E$10005&amp;'DMR 001C TIN &amp; TP'!$B$3:$B$10005&amp;'DMR 001C TIN &amp; TP'!$A$3:$A$10005),0),MATCH('Reg 85'!$AG$11,'DMR 001C TIN &amp; TP'!$A$2:$M$2,0))),"")</f>
        <v/>
      </c>
      <c r="AI278" s="6" t="str">
        <f t="array" ref="AI278">_xlfn.IFNA((INDEX('DMR 001C TIN &amp; TP'!$A$3:$M$10005,MATCH(('Reg 85'!$X$6&amp;'Reg 85'!AI$10&amp;'Reg 85'!$B278),('DMR 001C TIN &amp; TP'!$E$3:$E$10005&amp;'DMR 001C TIN &amp; TP'!$B$3:$B$10005&amp;'DMR 001C TIN &amp; TP'!$A$3:$A$10005),0),MATCH('Reg 85'!$AG$11,'DMR 001C TIN &amp; TP'!$A$2:$M$2,0))),"")</f>
        <v/>
      </c>
      <c r="AJ278" s="6" t="str">
        <f t="array" ref="AJ278">_xlfn.IFNA((INDEX('DMR 001C TIN &amp; TP'!$A$3:$M$10005,MATCH(('Reg 85'!$X$6&amp;'Reg 85'!AJ$10&amp;'Reg 85'!$B278),('DMR 001C TIN &amp; TP'!$E$3:$E$10005&amp;'DMR 001C TIN &amp; TP'!$B$3:$B$10005&amp;'DMR 001C TIN &amp; TP'!$A$3:$A$10005),0),MATCH('Reg 85'!$AG$11,'DMR 001C TIN &amp; TP'!$A$2:$M$2,0))),"")</f>
        <v/>
      </c>
      <c r="AK278" s="6" t="str">
        <f t="array" ref="AK278">_xlfn.IFNA((INDEX('DMR 001C TIN &amp; TP'!$A$3:$M$10005,MATCH(('Reg 85'!$X$6&amp;'Reg 85'!AK$10&amp;'Reg 85'!$B278),('DMR 001C TIN &amp; TP'!$E$3:$E$10005&amp;'DMR 001C TIN &amp; TP'!$B$3:$B$10005&amp;'DMR 001C TIN &amp; TP'!$A$3:$A$10005),0),MATCH('Reg 85'!$AG$11,'DMR 001C TIN &amp; TP'!$A$2:$M$2,0))),"")</f>
        <v/>
      </c>
      <c r="AL278" s="6" t="str">
        <f t="array" ref="AL278">_xlfn.IFNA((INDEX('DMR 001C TIN &amp; TP'!$A$3:$M$10005,MATCH(('Reg 85'!$X$6&amp;'Reg 85'!AL$10&amp;'Reg 85'!$B278),('DMR 001C TIN &amp; TP'!$E$3:$E$10005&amp;'DMR 001C TIN &amp; TP'!$B$3:$B$10005&amp;'DMR 001C TIN &amp; TP'!$A$3:$A$10005),0),MATCH('Reg 85'!$AG$11,'DMR 001C TIN &amp; TP'!$A$2:$M$2,0))),"")</f>
        <v/>
      </c>
      <c r="AM278" s="76"/>
      <c r="AN278" s="6"/>
      <c r="AO278" s="54">
        <f t="shared" si="104"/>
        <v>5.3637407224146463</v>
      </c>
      <c r="AP278" s="77" t="str">
        <f t="shared" si="102"/>
        <v/>
      </c>
      <c r="AQ278" s="47"/>
      <c r="AR278" s="6" t="str">
        <f t="array" ref="AR278">_xlfn.IFNA((INDEX('DMR 001C TIN &amp; TP'!$A$3:$M$10005,MATCH(('Reg 85'!$AQ$6&amp;'Reg 85'!$AQ$10&amp;'Reg 85'!$B278),('DMR 001C TIN &amp; TP'!$E$3:$E$10005&amp;'DMR 001C TIN &amp; TP'!$B$3:$B$10005&amp;'DMR 001C TIN &amp; TP'!$A$3:$A$10005),0),MATCH('Reg 85'!$AR$11,'DMR 001C TIN &amp; TP'!$A$2:$M$2,0))),"")</f>
        <v/>
      </c>
      <c r="AS278" s="6" t="str">
        <f t="array" ref="AS278">_xlfn.IFNA((INDEX('DMR 001C TIN &amp; TP'!$A$3:$M$10005,MATCH(('Reg 85'!$AQ$6&amp;'Reg 85'!$AQ$10&amp;'Reg 85'!$B278),('DMR 001C TIN &amp; TP'!$E$3:$E$10005&amp;'DMR 001C TIN &amp; TP'!$B$3:$B$10005&amp;'DMR 001C TIN &amp; TP'!$A$3:$A$10005),0),MATCH('Reg 85'!$AS$11,'DMR 001C TIN &amp; TP'!$A$2:$M$2,0))),"")</f>
        <v/>
      </c>
      <c r="AT278" s="53" t="str">
        <f t="shared" si="118"/>
        <v/>
      </c>
      <c r="AV278" s="6" t="str">
        <f t="array" ref="AV278">_xlfn.IFNA((INDEX('DMR 001C TIN &amp; TP'!$A$3:$M$10005,MATCH(('Reg 85'!$AQ$6&amp;'Reg 85'!$AU$10&amp;'Reg 85'!$B278),('DMR 001C TIN &amp; TP'!$E$3:$E$10005&amp;'DMR 001C TIN &amp; TP'!$B$3:$B$10005&amp;'DMR 001C TIN &amp; TP'!$A$3:$A$10005),0),MATCH('Reg 85'!$AV$11,'DMR 001C TIN &amp; TP'!$A$2:$M$2,0))),"")</f>
        <v/>
      </c>
      <c r="AW278" s="6" t="str">
        <f t="array" ref="AW278">_xlfn.IFNA((INDEX('DMR 001C TIN &amp; TP'!$A$3:$M$10005,MATCH(('Reg 85'!$AQ$6&amp;'Reg 85'!$AU$10&amp;'Reg 85'!$B278),('DMR 001C TIN &amp; TP'!$E$3:$E$10005&amp;'DMR 001C TIN &amp; TP'!$B$3:$B$10005&amp;'DMR 001C TIN &amp; TP'!$A$3:$A$10005),0),MATCH('Reg 85'!$AW$11,'DMR 001C TIN &amp; TP'!$A$2:$M$2,0))),"")</f>
        <v/>
      </c>
      <c r="AX278" s="53" t="str">
        <f t="shared" si="119"/>
        <v/>
      </c>
      <c r="AY278" s="55" t="str">
        <f t="shared" si="120"/>
        <v/>
      </c>
      <c r="AZ278" s="77" t="str">
        <f t="shared" si="103"/>
        <v/>
      </c>
      <c r="BA278" s="6" t="str">
        <f t="array" ref="BA278">_xlfn.IFNA((INDEX('DMR 001C TIN &amp; TP'!$A$3:$M$10005,MATCH(('Reg 85'!$AQ$6&amp;'Reg 85'!BA$10&amp;'Reg 85'!$B278),('DMR 001C TIN &amp; TP'!$E$3:$E$10005&amp;'DMR 001C TIN &amp; TP'!$B$3:$B$10005&amp;'DMR 001C TIN &amp; TP'!$A$3:$A$10005),0),MATCH('Reg 85'!$AG$11,'DMR 001C TIN &amp; TP'!$A$2:$M$2,0))),"")</f>
        <v/>
      </c>
      <c r="BB278" s="6" t="str">
        <f t="array" ref="BB278">_xlfn.IFNA((INDEX('DMR 001C TIN &amp; TP'!$A$3:$M$10005,MATCH(('Reg 85'!$AQ$6&amp;'Reg 85'!BB$10&amp;'Reg 85'!$B278),('DMR 001C TIN &amp; TP'!$E$3:$E$10005&amp;'DMR 001C TIN &amp; TP'!$B$3:$B$10005&amp;'DMR 001C TIN &amp; TP'!$A$3:$A$10005),0),MATCH('Reg 85'!$AG$11,'DMR 001C TIN &amp; TP'!$A$2:$M$2,0))),"")</f>
        <v/>
      </c>
      <c r="BC278" s="6" t="str">
        <f t="array" ref="BC278">_xlfn.IFNA((INDEX('DMR 001C TIN &amp; TP'!$A$3:$M$10005,MATCH(('Reg 85'!$AQ$6&amp;'Reg 85'!BC$10&amp;'Reg 85'!$B278),('DMR 001C TIN &amp; TP'!$E$3:$E$10005&amp;'DMR 001C TIN &amp; TP'!$B$3:$B$10005&amp;'DMR 001C TIN &amp; TP'!$A$3:$A$10005),0),MATCH('Reg 85'!$AG$11,'DMR 001C TIN &amp; TP'!$A$2:$M$2,0))),"")</f>
        <v/>
      </c>
      <c r="BD278" s="6" t="str">
        <f t="array" ref="BD278">_xlfn.IFNA((INDEX('DMR 001C TIN &amp; TP'!$A$3:$M$10005,MATCH(('Reg 85'!$AQ$6&amp;'Reg 85'!BD$10&amp;'Reg 85'!$B278),('DMR 001C TIN &amp; TP'!$E$3:$E$10005&amp;'DMR 001C TIN &amp; TP'!$B$3:$B$10005&amp;'DMR 001C TIN &amp; TP'!$A$3:$A$10005),0),MATCH('Reg 85'!$AG$11,'DMR 001C TIN &amp; TP'!$A$2:$M$2,0))),"")</f>
        <v/>
      </c>
      <c r="BE278" s="6" t="str">
        <f t="array" ref="BE278">_xlfn.IFNA((INDEX('DMR 001C TIN &amp; TP'!$A$3:$M$10005,MATCH(('Reg 85'!$AQ$6&amp;'Reg 85'!BE$10&amp;'Reg 85'!$B278),('DMR 001C TIN &amp; TP'!$E$3:$E$10005&amp;'DMR 001C TIN &amp; TP'!$B$3:$B$10005&amp;'DMR 001C TIN &amp; TP'!$A$3:$A$10005),0),MATCH('Reg 85'!$AG$11,'DMR 001C TIN &amp; TP'!$A$2:$M$2,0))),"")</f>
        <v/>
      </c>
      <c r="BF278" s="6" t="str">
        <f t="array" ref="BF278">_xlfn.IFNA((INDEX('DMR 001C TIN &amp; TP'!$A$3:$M$10005,MATCH(('Reg 85'!$AQ$6&amp;'Reg 85'!BF$10&amp;'Reg 85'!$B278),('DMR 001C TIN &amp; TP'!$E$3:$E$10005&amp;'DMR 001C TIN &amp; TP'!$B$3:$B$10005&amp;'DMR 001C TIN &amp; TP'!$A$3:$A$10005),0),MATCH('Reg 85'!$AG$11,'DMR 001C TIN &amp; TP'!$A$2:$M$2,0))),"")</f>
        <v/>
      </c>
    </row>
    <row r="279" spans="1:58">
      <c r="A279" s="3" t="str">
        <f t="shared" si="105"/>
        <v>Sun</v>
      </c>
      <c r="B279" s="96">
        <f t="shared" si="121"/>
        <v>43611</v>
      </c>
      <c r="C279" s="96">
        <f t="shared" si="106"/>
        <v>43616</v>
      </c>
      <c r="D279" s="96">
        <f t="shared" si="107"/>
        <v>43586</v>
      </c>
      <c r="E279" s="95">
        <f t="shared" si="108"/>
        <v>31</v>
      </c>
      <c r="F279" s="7">
        <f t="array" ref="F279">_xlfn.IFNA(INDEX('DMR Flows-Effluent'!$A$3:$F$9999,MATCH(($F$10&amp;$B279),('DMR Flows-Effluent'!$B$3:$B$9999&amp;'DMR Flows-Effluent'!$A$3:$A$9999),0),MATCH($F$8,'DMR Flows-Effluent'!$A$2:$F$2,0)),"")</f>
        <v>73.016900000000007</v>
      </c>
      <c r="G279" s="7">
        <f t="array" ref="G279">_xlfn.IFNA(INDEX('DMR Flows-Effluent'!$A$3:$F$9999,MATCH(($G$10&amp;$B279),('DMR Flows-Effluent'!$B$3:$B$9999&amp;'DMR Flows-Effluent'!$A$3:$A$9999),0),MATCH($F$8,'DMR Flows-Effluent'!$A$2:$F$2,0)),"")</f>
        <v>57.783299999999997</v>
      </c>
      <c r="H279" s="7">
        <f t="shared" si="109"/>
        <v>130.80020000000002</v>
      </c>
      <c r="I279" s="45" t="str">
        <f t="shared" si="110"/>
        <v/>
      </c>
      <c r="J279" s="6" t="str">
        <f t="array" ref="J279">_xlfn.IFNA((INDEX('DMR 001C TIN &amp; TP'!$A$3:$M$10005,MATCH(('Reg 85'!$I$6:$Q$6&amp;'Reg 85'!$I$10:$K$10&amp;'Reg 85'!$B279),('DMR 001C TIN &amp; TP'!$E$3:$E$10005&amp;'DMR 001C TIN &amp; TP'!$B$3:$B$10005&amp;'DMR 001C TIN &amp; TP'!$A$3:$A$10005),0),MATCH('Reg 85'!$J$11,'DMR 001C TIN &amp; TP'!$A$2:$M$2,0))),"")</f>
        <v>0.15</v>
      </c>
      <c r="K279" s="6">
        <f t="array" ref="K279">_xlfn.IFNA((INDEX('DMR 001C TIN &amp; TP'!$A$3:$M$10005,MATCH(('Reg 85'!$I$6:$Q$6&amp;'Reg 85'!$I$10:$K$10&amp;'Reg 85'!$B279),('DMR 001C TIN &amp; TP'!$E$3:$E$10005&amp;'DMR 001C TIN &amp; TP'!$B$3:$B$10005&amp;'DMR 001C TIN &amp; TP'!$A$3:$A$10005),0),MATCH('Reg 85'!$K$11,'DMR 001C TIN &amp; TP'!$A$2:$M$2,0))),"")</f>
        <v>0.49</v>
      </c>
      <c r="L279" s="53">
        <f t="shared" si="122"/>
        <v>0.49</v>
      </c>
      <c r="M279" s="5" t="str">
        <f t="shared" si="111"/>
        <v/>
      </c>
      <c r="N279" s="6" t="str">
        <f t="array" ref="N279">_xlfn.IFNA((INDEX('DMR 001C TIN &amp; TP'!$A$3:$M$10005,MATCH(('Reg 85'!$I$6:$Q$6&amp;'Reg 85'!$M$10&amp;'Reg 85'!$B279),('DMR 001C TIN &amp; TP'!$E$3:$E$10005&amp;'DMR 001C TIN &amp; TP'!$B$3:$B$10005&amp;'DMR 001C TIN &amp; TP'!$A$3:$A$10005),0),MATCH('Reg 85'!$N$11,'DMR 001C TIN &amp; TP'!$A$2:$M$2,0))),"")</f>
        <v>0.15</v>
      </c>
      <c r="O279" s="6">
        <f t="array" ref="O279">_xlfn.IFNA((INDEX('DMR 001C TIN &amp; TP'!$A$3:$M$10005,MATCH(('Reg 85'!$I$6:$Q$6&amp;'Reg 85'!$M$10&amp;'Reg 85'!$B279),('DMR 001C TIN &amp; TP'!$E$3:$E$10005&amp;'DMR 001C TIN &amp; TP'!$B$3:$B$10005&amp;'DMR 001C TIN &amp; TP'!$A$3:$A$10005),0),MATCH('Reg 85'!$O$11,'DMR 001C TIN &amp; TP'!$A$2:$M$2,0))),"")</f>
        <v>0.4</v>
      </c>
      <c r="P279" s="53">
        <f t="shared" si="112"/>
        <v>0.4</v>
      </c>
      <c r="Q279" s="73">
        <f t="array" ref="Q279">IFERROR(((L279*$F279)+(P279*$G279))/($H279),"")</f>
        <v>0.45024090941756967</v>
      </c>
      <c r="R279" s="6" t="str">
        <f t="array" ref="R279">_xlfn.IFNA((INDEX('DMR 001C TIN &amp; TP'!$A$3:$M$10005,MATCH(('Reg 85'!$I$6:$Q$6&amp;'Reg 85'!R$10&amp;'Reg 85'!$B279),('DMR 001C TIN &amp; TP'!$E$3:$E$10005&amp;'DMR 001C TIN &amp; TP'!$B$3:$B$10005&amp;'DMR 001C TIN &amp; TP'!$A$3:$A$10005),0),MATCH('Reg 85'!$O$11,'DMR 001C TIN &amp; TP'!$A$2:$M$2,0))),"")</f>
        <v/>
      </c>
      <c r="S279" s="6" t="str">
        <f t="array" ref="S279">_xlfn.IFNA((INDEX('DMR 001C TIN &amp; TP'!$A$3:$M$10005,MATCH(('Reg 85'!$I$6:$Q$6&amp;'Reg 85'!S$10&amp;'Reg 85'!$B279),('DMR 001C TIN &amp; TP'!$E$3:$E$10005&amp;'DMR 001C TIN &amp; TP'!$B$3:$B$10005&amp;'DMR 001C TIN &amp; TP'!$A$3:$A$10005),0),MATCH('Reg 85'!$O$11,'DMR 001C TIN &amp; TP'!$A$2:$M$2,0))),"")</f>
        <v/>
      </c>
      <c r="T279" s="6" t="str">
        <f t="array" ref="T279">_xlfn.IFNA((INDEX('DMR 001C TIN &amp; TP'!$A$3:$M$10005,MATCH(('Reg 85'!$I$6:$Q$6&amp;'Reg 85'!T$10&amp;'Reg 85'!$B279),('DMR 001C TIN &amp; TP'!$E$3:$E$10005&amp;'DMR 001C TIN &amp; TP'!$B$3:$B$10005&amp;'DMR 001C TIN &amp; TP'!$A$3:$A$10005),0),MATCH('Reg 85'!$O$11,'DMR 001C TIN &amp; TP'!$A$2:$M$2,0))),"")</f>
        <v/>
      </c>
      <c r="U279" s="6" t="str">
        <f t="array" ref="U279">_xlfn.IFNA((INDEX('DMR 001C TIN &amp; TP'!$A$3:$M$10005,MATCH(('Reg 85'!$I$6:$Q$6&amp;'Reg 85'!U$10&amp;'Reg 85'!$B279),('DMR 001C TIN &amp; TP'!$E$3:$E$10005&amp;'DMR 001C TIN &amp; TP'!$B$3:$B$10005&amp;'DMR 001C TIN &amp; TP'!$A$3:$A$10005),0),MATCH('Reg 85'!$O$11,'DMR 001C TIN &amp; TP'!$A$2:$M$2,0))),"")</f>
        <v/>
      </c>
      <c r="V279" s="6" t="str">
        <f t="array" ref="V279">_xlfn.IFNA((INDEX('DMR 001C TIN &amp; TP'!$A$3:$M$10005,MATCH(('Reg 85'!$I$6:$Q$6&amp;'Reg 85'!V$10&amp;'Reg 85'!$B279),('DMR 001C TIN &amp; TP'!$E$3:$E$10005&amp;'DMR 001C TIN &amp; TP'!$B$3:$B$10005&amp;'DMR 001C TIN &amp; TP'!$A$3:$A$10005),0),MATCH('Reg 85'!$O$11,'DMR 001C TIN &amp; TP'!$A$2:$M$2,0))),"")</f>
        <v/>
      </c>
      <c r="W279" s="6" t="str">
        <f t="array" ref="W279">_xlfn.IFNA((INDEX('DMR 001C TIN &amp; TP'!$A$3:$M$10005,MATCH(('Reg 85'!$I$6:$Q$6&amp;'Reg 85'!W$10&amp;'Reg 85'!$B279),('DMR 001C TIN &amp; TP'!$E$3:$E$10005&amp;'DMR 001C TIN &amp; TP'!$B$3:$B$10005&amp;'DMR 001C TIN &amp; TP'!$A$3:$A$10005),0),MATCH('Reg 85'!$O$11,'DMR 001C TIN &amp; TP'!$A$2:$M$2,0))),"")</f>
        <v/>
      </c>
      <c r="X279" s="5" t="str">
        <f t="shared" si="113"/>
        <v/>
      </c>
      <c r="Y279" s="6" t="str">
        <f t="array" ref="Y279">_xlfn.IFNA((INDEX('DMR 001C TIN &amp; TP'!$A$3:$M$10005,MATCH(('Reg 85'!$X$6&amp;'Reg 85'!$X$10&amp;'Reg 85'!$B279),('DMR 001C TIN &amp; TP'!$E$3:$E$10005&amp;'DMR 001C TIN &amp; TP'!$B$3:$B$10005&amp;'DMR 001C TIN &amp; TP'!$A$3:$A$10005),0),MATCH('Reg 85'!$Y$11,'DMR 001C TIN &amp; TP'!$A$2:$M$2,0))),"")</f>
        <v>0.06</v>
      </c>
      <c r="Z279" s="6">
        <f t="array" ref="Z279">_xlfn.IFNA((INDEX('DMR 001C TIN &amp; TP'!$A$3:$M$10005,MATCH(('Reg 85'!$X$6&amp;'Reg 85'!$X$10&amp;'Reg 85'!$B279),('DMR 001C TIN &amp; TP'!$E$3:$E$10005&amp;'DMR 001C TIN &amp; TP'!$B$3:$B$10005&amp;'DMR 001C TIN &amp; TP'!$A$3:$A$10005),0),MATCH('Reg 85'!$Z$11,'DMR 001C TIN &amp; TP'!$A$2:$M$2,0))),"")</f>
        <v>5.4</v>
      </c>
      <c r="AA279" s="53">
        <f t="shared" si="114"/>
        <v>5.4</v>
      </c>
      <c r="AB279" s="5" t="str">
        <f t="shared" si="115"/>
        <v/>
      </c>
      <c r="AC279" s="6" t="str">
        <f t="array" ref="AC279">_xlfn.IFNA((INDEX('DMR 001C TIN &amp; TP'!$A$3:$M$10005,MATCH(('Reg 85'!$X$6&amp;'Reg 85'!$AB$10&amp;'Reg 85'!$B279),('DMR 001C TIN &amp; TP'!$E$3:$E$10005&amp;'DMR 001C TIN &amp; TP'!$B$3:$B$10005&amp;'DMR 001C TIN &amp; TP'!$A$3:$A$10005),0),MATCH('Reg 85'!$AC$11,'DMR 001C TIN &amp; TP'!$A$2:$M$2,0))),"")</f>
        <v>0.06</v>
      </c>
      <c r="AD279" s="6">
        <f t="array" ref="AD279">_xlfn.IFNA((INDEX('DMR 001C TIN &amp; TP'!$A$3:$M$10005,MATCH(('Reg 85'!$X$6&amp;'Reg 85'!$AB$10&amp;'Reg 85'!$B279),('DMR 001C TIN &amp; TP'!$E$3:$E$10005&amp;'DMR 001C TIN &amp; TP'!$B$3:$B$10005&amp;'DMR 001C TIN &amp; TP'!$A$3:$A$10005),0),MATCH('Reg 85'!$AD$11,'DMR 001C TIN &amp; TP'!$A$2:$M$2,0))),"")</f>
        <v>5.55</v>
      </c>
      <c r="AE279" s="53">
        <f t="shared" si="116"/>
        <v>5.55</v>
      </c>
      <c r="AF279" s="7">
        <f t="shared" si="117"/>
        <v>5.4662651509707167</v>
      </c>
      <c r="AG279" s="6" t="str">
        <f t="array" ref="AG279">_xlfn.IFNA((INDEX('DMR 001C TIN &amp; TP'!$A$3:$M$10005,MATCH(('Reg 85'!$X$6&amp;'Reg 85'!AG$10&amp;'Reg 85'!$B279),('DMR 001C TIN &amp; TP'!$E$3:$E$10005&amp;'DMR 001C TIN &amp; TP'!$B$3:$B$10005&amp;'DMR 001C TIN &amp; TP'!$A$3:$A$10005),0),MATCH('Reg 85'!$AG$11,'DMR 001C TIN &amp; TP'!$A$2:$M$2,0))),"")</f>
        <v/>
      </c>
      <c r="AH279" s="6" t="str">
        <f t="array" ref="AH279">_xlfn.IFNA((INDEX('DMR 001C TIN &amp; TP'!$A$3:$M$10005,MATCH(('Reg 85'!$X$6&amp;'Reg 85'!AH$10&amp;'Reg 85'!$B279),('DMR 001C TIN &amp; TP'!$E$3:$E$10005&amp;'DMR 001C TIN &amp; TP'!$B$3:$B$10005&amp;'DMR 001C TIN &amp; TP'!$A$3:$A$10005),0),MATCH('Reg 85'!$AG$11,'DMR 001C TIN &amp; TP'!$A$2:$M$2,0))),"")</f>
        <v/>
      </c>
      <c r="AI279" s="6" t="str">
        <f t="array" ref="AI279">_xlfn.IFNA((INDEX('DMR 001C TIN &amp; TP'!$A$3:$M$10005,MATCH(('Reg 85'!$X$6&amp;'Reg 85'!AI$10&amp;'Reg 85'!$B279),('DMR 001C TIN &amp; TP'!$E$3:$E$10005&amp;'DMR 001C TIN &amp; TP'!$B$3:$B$10005&amp;'DMR 001C TIN &amp; TP'!$A$3:$A$10005),0),MATCH('Reg 85'!$AG$11,'DMR 001C TIN &amp; TP'!$A$2:$M$2,0))),"")</f>
        <v/>
      </c>
      <c r="AJ279" s="6" t="str">
        <f t="array" ref="AJ279">_xlfn.IFNA((INDEX('DMR 001C TIN &amp; TP'!$A$3:$M$10005,MATCH(('Reg 85'!$X$6&amp;'Reg 85'!AJ$10&amp;'Reg 85'!$B279),('DMR 001C TIN &amp; TP'!$E$3:$E$10005&amp;'DMR 001C TIN &amp; TP'!$B$3:$B$10005&amp;'DMR 001C TIN &amp; TP'!$A$3:$A$10005),0),MATCH('Reg 85'!$AG$11,'DMR 001C TIN &amp; TP'!$A$2:$M$2,0))),"")</f>
        <v/>
      </c>
      <c r="AK279" s="6" t="str">
        <f t="array" ref="AK279">_xlfn.IFNA((INDEX('DMR 001C TIN &amp; TP'!$A$3:$M$10005,MATCH(('Reg 85'!$X$6&amp;'Reg 85'!AK$10&amp;'Reg 85'!$B279),('DMR 001C TIN &amp; TP'!$E$3:$E$10005&amp;'DMR 001C TIN &amp; TP'!$B$3:$B$10005&amp;'DMR 001C TIN &amp; TP'!$A$3:$A$10005),0),MATCH('Reg 85'!$AG$11,'DMR 001C TIN &amp; TP'!$A$2:$M$2,0))),"")</f>
        <v/>
      </c>
      <c r="AL279" s="6" t="str">
        <f t="array" ref="AL279">_xlfn.IFNA((INDEX('DMR 001C TIN &amp; TP'!$A$3:$M$10005,MATCH(('Reg 85'!$X$6&amp;'Reg 85'!AL$10&amp;'Reg 85'!$B279),('DMR 001C TIN &amp; TP'!$E$3:$E$10005&amp;'DMR 001C TIN &amp; TP'!$B$3:$B$10005&amp;'DMR 001C TIN &amp; TP'!$A$3:$A$10005),0),MATCH('Reg 85'!$AG$11,'DMR 001C TIN &amp; TP'!$A$2:$M$2,0))),"")</f>
        <v/>
      </c>
      <c r="AM279" s="76"/>
      <c r="AN279" s="6"/>
      <c r="AO279" s="54">
        <f t="shared" si="104"/>
        <v>5.9165060603882864</v>
      </c>
      <c r="AP279" s="77" t="str">
        <f t="shared" si="102"/>
        <v/>
      </c>
      <c r="AQ279" s="47"/>
      <c r="AR279" s="6" t="str">
        <f t="array" ref="AR279">_xlfn.IFNA((INDEX('DMR 001C TIN &amp; TP'!$A$3:$M$10005,MATCH(('Reg 85'!$AQ$6&amp;'Reg 85'!$AQ$10&amp;'Reg 85'!$B279),('DMR 001C TIN &amp; TP'!$E$3:$E$10005&amp;'DMR 001C TIN &amp; TP'!$B$3:$B$10005&amp;'DMR 001C TIN &amp; TP'!$A$3:$A$10005),0),MATCH('Reg 85'!$AR$11,'DMR 001C TIN &amp; TP'!$A$2:$M$2,0))),"")</f>
        <v/>
      </c>
      <c r="AS279" s="6" t="str">
        <f t="array" ref="AS279">_xlfn.IFNA((INDEX('DMR 001C TIN &amp; TP'!$A$3:$M$10005,MATCH(('Reg 85'!$AQ$6&amp;'Reg 85'!$AQ$10&amp;'Reg 85'!$B279),('DMR 001C TIN &amp; TP'!$E$3:$E$10005&amp;'DMR 001C TIN &amp; TP'!$B$3:$B$10005&amp;'DMR 001C TIN &amp; TP'!$A$3:$A$10005),0),MATCH('Reg 85'!$AS$11,'DMR 001C TIN &amp; TP'!$A$2:$M$2,0))),"")</f>
        <v/>
      </c>
      <c r="AT279" s="53" t="str">
        <f t="shared" si="118"/>
        <v/>
      </c>
      <c r="AV279" s="6" t="str">
        <f t="array" ref="AV279">_xlfn.IFNA((INDEX('DMR 001C TIN &amp; TP'!$A$3:$M$10005,MATCH(('Reg 85'!$AQ$6&amp;'Reg 85'!$AU$10&amp;'Reg 85'!$B279),('DMR 001C TIN &amp; TP'!$E$3:$E$10005&amp;'DMR 001C TIN &amp; TP'!$B$3:$B$10005&amp;'DMR 001C TIN &amp; TP'!$A$3:$A$10005),0),MATCH('Reg 85'!$AV$11,'DMR 001C TIN &amp; TP'!$A$2:$M$2,0))),"")</f>
        <v/>
      </c>
      <c r="AW279" s="6" t="str">
        <f t="array" ref="AW279">_xlfn.IFNA((INDEX('DMR 001C TIN &amp; TP'!$A$3:$M$10005,MATCH(('Reg 85'!$AQ$6&amp;'Reg 85'!$AU$10&amp;'Reg 85'!$B279),('DMR 001C TIN &amp; TP'!$E$3:$E$10005&amp;'DMR 001C TIN &amp; TP'!$B$3:$B$10005&amp;'DMR 001C TIN &amp; TP'!$A$3:$A$10005),0),MATCH('Reg 85'!$AW$11,'DMR 001C TIN &amp; TP'!$A$2:$M$2,0))),"")</f>
        <v/>
      </c>
      <c r="AX279" s="53" t="str">
        <f t="shared" si="119"/>
        <v/>
      </c>
      <c r="AY279" s="55" t="str">
        <f t="shared" si="120"/>
        <v/>
      </c>
      <c r="AZ279" s="77" t="str">
        <f t="shared" si="103"/>
        <v/>
      </c>
      <c r="BA279" s="6" t="str">
        <f t="array" ref="BA279">_xlfn.IFNA((INDEX('DMR 001C TIN &amp; TP'!$A$3:$M$10005,MATCH(('Reg 85'!$AQ$6&amp;'Reg 85'!BA$10&amp;'Reg 85'!$B279),('DMR 001C TIN &amp; TP'!$E$3:$E$10005&amp;'DMR 001C TIN &amp; TP'!$B$3:$B$10005&amp;'DMR 001C TIN &amp; TP'!$A$3:$A$10005),0),MATCH('Reg 85'!$AG$11,'DMR 001C TIN &amp; TP'!$A$2:$M$2,0))),"")</f>
        <v/>
      </c>
      <c r="BB279" s="6" t="str">
        <f t="array" ref="BB279">_xlfn.IFNA((INDEX('DMR 001C TIN &amp; TP'!$A$3:$M$10005,MATCH(('Reg 85'!$AQ$6&amp;'Reg 85'!BB$10&amp;'Reg 85'!$B279),('DMR 001C TIN &amp; TP'!$E$3:$E$10005&amp;'DMR 001C TIN &amp; TP'!$B$3:$B$10005&amp;'DMR 001C TIN &amp; TP'!$A$3:$A$10005),0),MATCH('Reg 85'!$AG$11,'DMR 001C TIN &amp; TP'!$A$2:$M$2,0))),"")</f>
        <v/>
      </c>
      <c r="BC279" s="6" t="str">
        <f t="array" ref="BC279">_xlfn.IFNA((INDEX('DMR 001C TIN &amp; TP'!$A$3:$M$10005,MATCH(('Reg 85'!$AQ$6&amp;'Reg 85'!BC$10&amp;'Reg 85'!$B279),('DMR 001C TIN &amp; TP'!$E$3:$E$10005&amp;'DMR 001C TIN &amp; TP'!$B$3:$B$10005&amp;'DMR 001C TIN &amp; TP'!$A$3:$A$10005),0),MATCH('Reg 85'!$AG$11,'DMR 001C TIN &amp; TP'!$A$2:$M$2,0))),"")</f>
        <v/>
      </c>
      <c r="BD279" s="6" t="str">
        <f t="array" ref="BD279">_xlfn.IFNA((INDEX('DMR 001C TIN &amp; TP'!$A$3:$M$10005,MATCH(('Reg 85'!$AQ$6&amp;'Reg 85'!BD$10&amp;'Reg 85'!$B279),('DMR 001C TIN &amp; TP'!$E$3:$E$10005&amp;'DMR 001C TIN &amp; TP'!$B$3:$B$10005&amp;'DMR 001C TIN &amp; TP'!$A$3:$A$10005),0),MATCH('Reg 85'!$AG$11,'DMR 001C TIN &amp; TP'!$A$2:$M$2,0))),"")</f>
        <v/>
      </c>
      <c r="BE279" s="6" t="str">
        <f t="array" ref="BE279">_xlfn.IFNA((INDEX('DMR 001C TIN &amp; TP'!$A$3:$M$10005,MATCH(('Reg 85'!$AQ$6&amp;'Reg 85'!BE$10&amp;'Reg 85'!$B279),('DMR 001C TIN &amp; TP'!$E$3:$E$10005&amp;'DMR 001C TIN &amp; TP'!$B$3:$B$10005&amp;'DMR 001C TIN &amp; TP'!$A$3:$A$10005),0),MATCH('Reg 85'!$AG$11,'DMR 001C TIN &amp; TP'!$A$2:$M$2,0))),"")</f>
        <v/>
      </c>
      <c r="BF279" s="6" t="str">
        <f t="array" ref="BF279">_xlfn.IFNA((INDEX('DMR 001C TIN &amp; TP'!$A$3:$M$10005,MATCH(('Reg 85'!$AQ$6&amp;'Reg 85'!BF$10&amp;'Reg 85'!$B279),('DMR 001C TIN &amp; TP'!$E$3:$E$10005&amp;'DMR 001C TIN &amp; TP'!$B$3:$B$10005&amp;'DMR 001C TIN &amp; TP'!$A$3:$A$10005),0),MATCH('Reg 85'!$AG$11,'DMR 001C TIN &amp; TP'!$A$2:$M$2,0))),"")</f>
        <v/>
      </c>
    </row>
    <row r="280" spans="1:58">
      <c r="A280" s="3" t="str">
        <f t="shared" si="105"/>
        <v>Mon</v>
      </c>
      <c r="B280" s="96">
        <f t="shared" si="121"/>
        <v>43612</v>
      </c>
      <c r="C280" s="96">
        <f t="shared" si="106"/>
        <v>43616</v>
      </c>
      <c r="D280" s="96">
        <f t="shared" si="107"/>
        <v>43586</v>
      </c>
      <c r="E280" s="95">
        <f t="shared" si="108"/>
        <v>31</v>
      </c>
      <c r="F280" s="7">
        <f t="array" ref="F280">_xlfn.IFNA(INDEX('DMR Flows-Effluent'!$A$3:$F$9999,MATCH(($F$10&amp;$B280),('DMR Flows-Effluent'!$B$3:$B$9999&amp;'DMR Flows-Effluent'!$A$3:$A$9999),0),MATCH($F$8,'DMR Flows-Effluent'!$A$2:$F$2,0)),"")</f>
        <v>76.245699999999999</v>
      </c>
      <c r="G280" s="7">
        <f t="array" ref="G280">_xlfn.IFNA(INDEX('DMR Flows-Effluent'!$A$3:$F$9999,MATCH(($G$10&amp;$B280),('DMR Flows-Effluent'!$B$3:$B$9999&amp;'DMR Flows-Effluent'!$A$3:$A$9999),0),MATCH($F$8,'DMR Flows-Effluent'!$A$2:$F$2,0)),"")</f>
        <v>59.292900000000003</v>
      </c>
      <c r="H280" s="7">
        <f t="shared" si="109"/>
        <v>135.5386</v>
      </c>
      <c r="I280" s="45" t="str">
        <f t="shared" si="110"/>
        <v/>
      </c>
      <c r="J280" s="6" t="str">
        <f t="array" ref="J280">_xlfn.IFNA((INDEX('DMR 001C TIN &amp; TP'!$A$3:$M$10005,MATCH(('Reg 85'!$I$6:$Q$6&amp;'Reg 85'!$I$10:$K$10&amp;'Reg 85'!$B280),('DMR 001C TIN &amp; TP'!$E$3:$E$10005&amp;'DMR 001C TIN &amp; TP'!$B$3:$B$10005&amp;'DMR 001C TIN &amp; TP'!$A$3:$A$10005),0),MATCH('Reg 85'!$J$11,'DMR 001C TIN &amp; TP'!$A$2:$M$2,0))),"")</f>
        <v/>
      </c>
      <c r="K280" s="6" t="str">
        <f t="array" ref="K280">_xlfn.IFNA((INDEX('DMR 001C TIN &amp; TP'!$A$3:$M$10005,MATCH(('Reg 85'!$I$6:$Q$6&amp;'Reg 85'!$I$10:$K$10&amp;'Reg 85'!$B280),('DMR 001C TIN &amp; TP'!$E$3:$E$10005&amp;'DMR 001C TIN &amp; TP'!$B$3:$B$10005&amp;'DMR 001C TIN &amp; TP'!$A$3:$A$10005),0),MATCH('Reg 85'!$K$11,'DMR 001C TIN &amp; TP'!$A$2:$M$2,0))),"")</f>
        <v/>
      </c>
      <c r="L280" s="53" t="str">
        <f t="shared" si="122"/>
        <v/>
      </c>
      <c r="M280" s="5" t="str">
        <f t="shared" si="111"/>
        <v/>
      </c>
      <c r="N280" s="6" t="str">
        <f t="array" ref="N280">_xlfn.IFNA((INDEX('DMR 001C TIN &amp; TP'!$A$3:$M$10005,MATCH(('Reg 85'!$I$6:$Q$6&amp;'Reg 85'!$M$10&amp;'Reg 85'!$B280),('DMR 001C TIN &amp; TP'!$E$3:$E$10005&amp;'DMR 001C TIN &amp; TP'!$B$3:$B$10005&amp;'DMR 001C TIN &amp; TP'!$A$3:$A$10005),0),MATCH('Reg 85'!$N$11,'DMR 001C TIN &amp; TP'!$A$2:$M$2,0))),"")</f>
        <v/>
      </c>
      <c r="O280" s="6" t="str">
        <f t="array" ref="O280">_xlfn.IFNA((INDEX('DMR 001C TIN &amp; TP'!$A$3:$M$10005,MATCH(('Reg 85'!$I$6:$Q$6&amp;'Reg 85'!$M$10&amp;'Reg 85'!$B280),('DMR 001C TIN &amp; TP'!$E$3:$E$10005&amp;'DMR 001C TIN &amp; TP'!$B$3:$B$10005&amp;'DMR 001C TIN &amp; TP'!$A$3:$A$10005),0),MATCH('Reg 85'!$O$11,'DMR 001C TIN &amp; TP'!$A$2:$M$2,0))),"")</f>
        <v/>
      </c>
      <c r="P280" s="53" t="str">
        <f t="shared" si="112"/>
        <v/>
      </c>
      <c r="Q280" s="73" t="str">
        <f t="array" ref="Q280">IFERROR(((L280*$F280)+(P280*$G280))/($H280),"")</f>
        <v/>
      </c>
      <c r="R280" s="6" t="str">
        <f t="array" ref="R280">_xlfn.IFNA((INDEX('DMR 001C TIN &amp; TP'!$A$3:$M$10005,MATCH(('Reg 85'!$I$6:$Q$6&amp;'Reg 85'!R$10&amp;'Reg 85'!$B280),('DMR 001C TIN &amp; TP'!$E$3:$E$10005&amp;'DMR 001C TIN &amp; TP'!$B$3:$B$10005&amp;'DMR 001C TIN &amp; TP'!$A$3:$A$10005),0),MATCH('Reg 85'!$O$11,'DMR 001C TIN &amp; TP'!$A$2:$M$2,0))),"")</f>
        <v/>
      </c>
      <c r="S280" s="6" t="str">
        <f t="array" ref="S280">_xlfn.IFNA((INDEX('DMR 001C TIN &amp; TP'!$A$3:$M$10005,MATCH(('Reg 85'!$I$6:$Q$6&amp;'Reg 85'!S$10&amp;'Reg 85'!$B280),('DMR 001C TIN &amp; TP'!$E$3:$E$10005&amp;'DMR 001C TIN &amp; TP'!$B$3:$B$10005&amp;'DMR 001C TIN &amp; TP'!$A$3:$A$10005),0),MATCH('Reg 85'!$O$11,'DMR 001C TIN &amp; TP'!$A$2:$M$2,0))),"")</f>
        <v/>
      </c>
      <c r="T280" s="6" t="str">
        <f t="array" ref="T280">_xlfn.IFNA((INDEX('DMR 001C TIN &amp; TP'!$A$3:$M$10005,MATCH(('Reg 85'!$I$6:$Q$6&amp;'Reg 85'!T$10&amp;'Reg 85'!$B280),('DMR 001C TIN &amp; TP'!$E$3:$E$10005&amp;'DMR 001C TIN &amp; TP'!$B$3:$B$10005&amp;'DMR 001C TIN &amp; TP'!$A$3:$A$10005),0),MATCH('Reg 85'!$O$11,'DMR 001C TIN &amp; TP'!$A$2:$M$2,0))),"")</f>
        <v/>
      </c>
      <c r="U280" s="6" t="str">
        <f t="array" ref="U280">_xlfn.IFNA((INDEX('DMR 001C TIN &amp; TP'!$A$3:$M$10005,MATCH(('Reg 85'!$I$6:$Q$6&amp;'Reg 85'!U$10&amp;'Reg 85'!$B280),('DMR 001C TIN &amp; TP'!$E$3:$E$10005&amp;'DMR 001C TIN &amp; TP'!$B$3:$B$10005&amp;'DMR 001C TIN &amp; TP'!$A$3:$A$10005),0),MATCH('Reg 85'!$O$11,'DMR 001C TIN &amp; TP'!$A$2:$M$2,0))),"")</f>
        <v/>
      </c>
      <c r="V280" s="6" t="str">
        <f t="array" ref="V280">_xlfn.IFNA((INDEX('DMR 001C TIN &amp; TP'!$A$3:$M$10005,MATCH(('Reg 85'!$I$6:$Q$6&amp;'Reg 85'!V$10&amp;'Reg 85'!$B280),('DMR 001C TIN &amp; TP'!$E$3:$E$10005&amp;'DMR 001C TIN &amp; TP'!$B$3:$B$10005&amp;'DMR 001C TIN &amp; TP'!$A$3:$A$10005),0),MATCH('Reg 85'!$O$11,'DMR 001C TIN &amp; TP'!$A$2:$M$2,0))),"")</f>
        <v/>
      </c>
      <c r="W280" s="6" t="str">
        <f t="array" ref="W280">_xlfn.IFNA((INDEX('DMR 001C TIN &amp; TP'!$A$3:$M$10005,MATCH(('Reg 85'!$I$6:$Q$6&amp;'Reg 85'!W$10&amp;'Reg 85'!$B280),('DMR 001C TIN &amp; TP'!$E$3:$E$10005&amp;'DMR 001C TIN &amp; TP'!$B$3:$B$10005&amp;'DMR 001C TIN &amp; TP'!$A$3:$A$10005),0),MATCH('Reg 85'!$O$11,'DMR 001C TIN &amp; TP'!$A$2:$M$2,0))),"")</f>
        <v/>
      </c>
      <c r="X280" s="5" t="str">
        <f t="shared" si="113"/>
        <v/>
      </c>
      <c r="Y280" s="6" t="str">
        <f t="array" ref="Y280">_xlfn.IFNA((INDEX('DMR 001C TIN &amp; TP'!$A$3:$M$10005,MATCH(('Reg 85'!$X$6&amp;'Reg 85'!$X$10&amp;'Reg 85'!$B280),('DMR 001C TIN &amp; TP'!$E$3:$E$10005&amp;'DMR 001C TIN &amp; TP'!$B$3:$B$10005&amp;'DMR 001C TIN &amp; TP'!$A$3:$A$10005),0),MATCH('Reg 85'!$Y$11,'DMR 001C TIN &amp; TP'!$A$2:$M$2,0))),"")</f>
        <v/>
      </c>
      <c r="Z280" s="6" t="str">
        <f t="array" ref="Z280">_xlfn.IFNA((INDEX('DMR 001C TIN &amp; TP'!$A$3:$M$10005,MATCH(('Reg 85'!$X$6&amp;'Reg 85'!$X$10&amp;'Reg 85'!$B280),('DMR 001C TIN &amp; TP'!$E$3:$E$10005&amp;'DMR 001C TIN &amp; TP'!$B$3:$B$10005&amp;'DMR 001C TIN &amp; TP'!$A$3:$A$10005),0),MATCH('Reg 85'!$Z$11,'DMR 001C TIN &amp; TP'!$A$2:$M$2,0))),"")</f>
        <v/>
      </c>
      <c r="AA280" s="53" t="str">
        <f t="shared" si="114"/>
        <v/>
      </c>
      <c r="AB280" s="5" t="str">
        <f t="shared" si="115"/>
        <v/>
      </c>
      <c r="AC280" s="6" t="str">
        <f t="array" ref="AC280">_xlfn.IFNA((INDEX('DMR 001C TIN &amp; TP'!$A$3:$M$10005,MATCH(('Reg 85'!$X$6&amp;'Reg 85'!$AB$10&amp;'Reg 85'!$B280),('DMR 001C TIN &amp; TP'!$E$3:$E$10005&amp;'DMR 001C TIN &amp; TP'!$B$3:$B$10005&amp;'DMR 001C TIN &amp; TP'!$A$3:$A$10005),0),MATCH('Reg 85'!$AC$11,'DMR 001C TIN &amp; TP'!$A$2:$M$2,0))),"")</f>
        <v/>
      </c>
      <c r="AD280" s="6" t="str">
        <f t="array" ref="AD280">_xlfn.IFNA((INDEX('DMR 001C TIN &amp; TP'!$A$3:$M$10005,MATCH(('Reg 85'!$X$6&amp;'Reg 85'!$AB$10&amp;'Reg 85'!$B280),('DMR 001C TIN &amp; TP'!$E$3:$E$10005&amp;'DMR 001C TIN &amp; TP'!$B$3:$B$10005&amp;'DMR 001C TIN &amp; TP'!$A$3:$A$10005),0),MATCH('Reg 85'!$AD$11,'DMR 001C TIN &amp; TP'!$A$2:$M$2,0))),"")</f>
        <v/>
      </c>
      <c r="AE280" s="53" t="str">
        <f t="shared" si="116"/>
        <v/>
      </c>
      <c r="AF280" s="7" t="str">
        <f t="shared" si="117"/>
        <v/>
      </c>
      <c r="AG280" s="6" t="str">
        <f t="array" ref="AG280">_xlfn.IFNA((INDEX('DMR 001C TIN &amp; TP'!$A$3:$M$10005,MATCH(('Reg 85'!$X$6&amp;'Reg 85'!AG$10&amp;'Reg 85'!$B280),('DMR 001C TIN &amp; TP'!$E$3:$E$10005&amp;'DMR 001C TIN &amp; TP'!$B$3:$B$10005&amp;'DMR 001C TIN &amp; TP'!$A$3:$A$10005),0),MATCH('Reg 85'!$AG$11,'DMR 001C TIN &amp; TP'!$A$2:$M$2,0))),"")</f>
        <v/>
      </c>
      <c r="AH280" s="6" t="str">
        <f t="array" ref="AH280">_xlfn.IFNA((INDEX('DMR 001C TIN &amp; TP'!$A$3:$M$10005,MATCH(('Reg 85'!$X$6&amp;'Reg 85'!AH$10&amp;'Reg 85'!$B280),('DMR 001C TIN &amp; TP'!$E$3:$E$10005&amp;'DMR 001C TIN &amp; TP'!$B$3:$B$10005&amp;'DMR 001C TIN &amp; TP'!$A$3:$A$10005),0),MATCH('Reg 85'!$AG$11,'DMR 001C TIN &amp; TP'!$A$2:$M$2,0))),"")</f>
        <v/>
      </c>
      <c r="AI280" s="6" t="str">
        <f t="array" ref="AI280">_xlfn.IFNA((INDEX('DMR 001C TIN &amp; TP'!$A$3:$M$10005,MATCH(('Reg 85'!$X$6&amp;'Reg 85'!AI$10&amp;'Reg 85'!$B280),('DMR 001C TIN &amp; TP'!$E$3:$E$10005&amp;'DMR 001C TIN &amp; TP'!$B$3:$B$10005&amp;'DMR 001C TIN &amp; TP'!$A$3:$A$10005),0),MATCH('Reg 85'!$AG$11,'DMR 001C TIN &amp; TP'!$A$2:$M$2,0))),"")</f>
        <v/>
      </c>
      <c r="AJ280" s="6" t="str">
        <f t="array" ref="AJ280">_xlfn.IFNA((INDEX('DMR 001C TIN &amp; TP'!$A$3:$M$10005,MATCH(('Reg 85'!$X$6&amp;'Reg 85'!AJ$10&amp;'Reg 85'!$B280),('DMR 001C TIN &amp; TP'!$E$3:$E$10005&amp;'DMR 001C TIN &amp; TP'!$B$3:$B$10005&amp;'DMR 001C TIN &amp; TP'!$A$3:$A$10005),0),MATCH('Reg 85'!$AG$11,'DMR 001C TIN &amp; TP'!$A$2:$M$2,0))),"")</f>
        <v/>
      </c>
      <c r="AK280" s="6" t="str">
        <f t="array" ref="AK280">_xlfn.IFNA((INDEX('DMR 001C TIN &amp; TP'!$A$3:$M$10005,MATCH(('Reg 85'!$X$6&amp;'Reg 85'!AK$10&amp;'Reg 85'!$B280),('DMR 001C TIN &amp; TP'!$E$3:$E$10005&amp;'DMR 001C TIN &amp; TP'!$B$3:$B$10005&amp;'DMR 001C TIN &amp; TP'!$A$3:$A$10005),0),MATCH('Reg 85'!$AG$11,'DMR 001C TIN &amp; TP'!$A$2:$M$2,0))),"")</f>
        <v/>
      </c>
      <c r="AL280" s="6" t="str">
        <f t="array" ref="AL280">_xlfn.IFNA((INDEX('DMR 001C TIN &amp; TP'!$A$3:$M$10005,MATCH(('Reg 85'!$X$6&amp;'Reg 85'!AL$10&amp;'Reg 85'!$B280),('DMR 001C TIN &amp; TP'!$E$3:$E$10005&amp;'DMR 001C TIN &amp; TP'!$B$3:$B$10005&amp;'DMR 001C TIN &amp; TP'!$A$3:$A$10005),0),MATCH('Reg 85'!$AG$11,'DMR 001C TIN &amp; TP'!$A$2:$M$2,0))),"")</f>
        <v/>
      </c>
      <c r="AM280" s="76"/>
      <c r="AN280" s="6"/>
      <c r="AO280" s="54" t="str">
        <f t="shared" si="104"/>
        <v/>
      </c>
      <c r="AP280" s="77" t="str">
        <f t="shared" si="102"/>
        <v/>
      </c>
      <c r="AQ280" s="47"/>
      <c r="AR280" s="6" t="str">
        <f t="array" ref="AR280">_xlfn.IFNA((INDEX('DMR 001C TIN &amp; TP'!$A$3:$M$10005,MATCH(('Reg 85'!$AQ$6&amp;'Reg 85'!$AQ$10&amp;'Reg 85'!$B280),('DMR 001C TIN &amp; TP'!$E$3:$E$10005&amp;'DMR 001C TIN &amp; TP'!$B$3:$B$10005&amp;'DMR 001C TIN &amp; TP'!$A$3:$A$10005),0),MATCH('Reg 85'!$AR$11,'DMR 001C TIN &amp; TP'!$A$2:$M$2,0))),"")</f>
        <v>0.03</v>
      </c>
      <c r="AS280" s="6">
        <f t="array" ref="AS280">_xlfn.IFNA((INDEX('DMR 001C TIN &amp; TP'!$A$3:$M$10005,MATCH(('Reg 85'!$AQ$6&amp;'Reg 85'!$AQ$10&amp;'Reg 85'!$B280),('DMR 001C TIN &amp; TP'!$E$3:$E$10005&amp;'DMR 001C TIN &amp; TP'!$B$3:$B$10005&amp;'DMR 001C TIN &amp; TP'!$A$3:$A$10005),0),MATCH('Reg 85'!$AS$11,'DMR 001C TIN &amp; TP'!$A$2:$M$2,0))),"")</f>
        <v>0.45</v>
      </c>
      <c r="AT280" s="53">
        <f t="shared" si="118"/>
        <v>0.45</v>
      </c>
      <c r="AV280" s="6" t="str">
        <f t="array" ref="AV280">_xlfn.IFNA((INDEX('DMR 001C TIN &amp; TP'!$A$3:$M$10005,MATCH(('Reg 85'!$AQ$6&amp;'Reg 85'!$AU$10&amp;'Reg 85'!$B280),('DMR 001C TIN &amp; TP'!$E$3:$E$10005&amp;'DMR 001C TIN &amp; TP'!$B$3:$B$10005&amp;'DMR 001C TIN &amp; TP'!$A$3:$A$10005),0),MATCH('Reg 85'!$AV$11,'DMR 001C TIN &amp; TP'!$A$2:$M$2,0))),"")</f>
        <v>0.06</v>
      </c>
      <c r="AW280" s="6">
        <f t="array" ref="AW280">_xlfn.IFNA((INDEX('DMR 001C TIN &amp; TP'!$A$3:$M$10005,MATCH(('Reg 85'!$AQ$6&amp;'Reg 85'!$AU$10&amp;'Reg 85'!$B280),('DMR 001C TIN &amp; TP'!$E$3:$E$10005&amp;'DMR 001C TIN &amp; TP'!$B$3:$B$10005&amp;'DMR 001C TIN &amp; TP'!$A$3:$A$10005),0),MATCH('Reg 85'!$AW$11,'DMR 001C TIN &amp; TP'!$A$2:$M$2,0))),"")</f>
        <v>3.7</v>
      </c>
      <c r="AX280" s="53">
        <f t="shared" si="119"/>
        <v>3.7</v>
      </c>
      <c r="AY280" s="55">
        <f t="shared" si="120"/>
        <v>1.8717494130823249</v>
      </c>
      <c r="AZ280" s="77" t="str">
        <f t="shared" si="103"/>
        <v/>
      </c>
      <c r="BA280" s="6" t="str">
        <f t="array" ref="BA280">_xlfn.IFNA((INDEX('DMR 001C TIN &amp; TP'!$A$3:$M$10005,MATCH(('Reg 85'!$AQ$6&amp;'Reg 85'!BA$10&amp;'Reg 85'!$B280),('DMR 001C TIN &amp; TP'!$E$3:$E$10005&amp;'DMR 001C TIN &amp; TP'!$B$3:$B$10005&amp;'DMR 001C TIN &amp; TP'!$A$3:$A$10005),0),MATCH('Reg 85'!$AG$11,'DMR 001C TIN &amp; TP'!$A$2:$M$2,0))),"")</f>
        <v/>
      </c>
      <c r="BB280" s="6" t="str">
        <f t="array" ref="BB280">_xlfn.IFNA((INDEX('DMR 001C TIN &amp; TP'!$A$3:$M$10005,MATCH(('Reg 85'!$AQ$6&amp;'Reg 85'!BB$10&amp;'Reg 85'!$B280),('DMR 001C TIN &amp; TP'!$E$3:$E$10005&amp;'DMR 001C TIN &amp; TP'!$B$3:$B$10005&amp;'DMR 001C TIN &amp; TP'!$A$3:$A$10005),0),MATCH('Reg 85'!$AG$11,'DMR 001C TIN &amp; TP'!$A$2:$M$2,0))),"")</f>
        <v/>
      </c>
      <c r="BC280" s="6" t="str">
        <f t="array" ref="BC280">_xlfn.IFNA((INDEX('DMR 001C TIN &amp; TP'!$A$3:$M$10005,MATCH(('Reg 85'!$AQ$6&amp;'Reg 85'!BC$10&amp;'Reg 85'!$B280),('DMR 001C TIN &amp; TP'!$E$3:$E$10005&amp;'DMR 001C TIN &amp; TP'!$B$3:$B$10005&amp;'DMR 001C TIN &amp; TP'!$A$3:$A$10005),0),MATCH('Reg 85'!$AG$11,'DMR 001C TIN &amp; TP'!$A$2:$M$2,0))),"")</f>
        <v/>
      </c>
      <c r="BD280" s="6" t="str">
        <f t="array" ref="BD280">_xlfn.IFNA((INDEX('DMR 001C TIN &amp; TP'!$A$3:$M$10005,MATCH(('Reg 85'!$AQ$6&amp;'Reg 85'!BD$10&amp;'Reg 85'!$B280),('DMR 001C TIN &amp; TP'!$E$3:$E$10005&amp;'DMR 001C TIN &amp; TP'!$B$3:$B$10005&amp;'DMR 001C TIN &amp; TP'!$A$3:$A$10005),0),MATCH('Reg 85'!$AG$11,'DMR 001C TIN &amp; TP'!$A$2:$M$2,0))),"")</f>
        <v/>
      </c>
      <c r="BE280" s="6" t="str">
        <f t="array" ref="BE280">_xlfn.IFNA((INDEX('DMR 001C TIN &amp; TP'!$A$3:$M$10005,MATCH(('Reg 85'!$AQ$6&amp;'Reg 85'!BE$10&amp;'Reg 85'!$B280),('DMR 001C TIN &amp; TP'!$E$3:$E$10005&amp;'DMR 001C TIN &amp; TP'!$B$3:$B$10005&amp;'DMR 001C TIN &amp; TP'!$A$3:$A$10005),0),MATCH('Reg 85'!$AG$11,'DMR 001C TIN &amp; TP'!$A$2:$M$2,0))),"")</f>
        <v/>
      </c>
      <c r="BF280" s="6" t="str">
        <f t="array" ref="BF280">_xlfn.IFNA((INDEX('DMR 001C TIN &amp; TP'!$A$3:$M$10005,MATCH(('Reg 85'!$AQ$6&amp;'Reg 85'!BF$10&amp;'Reg 85'!$B280),('DMR 001C TIN &amp; TP'!$E$3:$E$10005&amp;'DMR 001C TIN &amp; TP'!$B$3:$B$10005&amp;'DMR 001C TIN &amp; TP'!$A$3:$A$10005),0),MATCH('Reg 85'!$AG$11,'DMR 001C TIN &amp; TP'!$A$2:$M$2,0))),"")</f>
        <v/>
      </c>
    </row>
    <row r="281" spans="1:58">
      <c r="A281" s="3" t="str">
        <f t="shared" si="105"/>
        <v>Tue</v>
      </c>
      <c r="B281" s="96">
        <f t="shared" si="121"/>
        <v>43613</v>
      </c>
      <c r="C281" s="96">
        <f t="shared" si="106"/>
        <v>43616</v>
      </c>
      <c r="D281" s="96">
        <f t="shared" si="107"/>
        <v>43586</v>
      </c>
      <c r="E281" s="95">
        <f t="shared" si="108"/>
        <v>31</v>
      </c>
      <c r="F281" s="7">
        <f t="array" ref="F281">_xlfn.IFNA(INDEX('DMR Flows-Effluent'!$A$3:$F$9999,MATCH(($F$10&amp;$B281),('DMR Flows-Effluent'!$B$3:$B$9999&amp;'DMR Flows-Effluent'!$A$3:$A$9999),0),MATCH($F$8,'DMR Flows-Effluent'!$A$2:$F$2,0)),"")</f>
        <v>84.511700000000005</v>
      </c>
      <c r="G281" s="7">
        <f t="array" ref="G281">_xlfn.IFNA(INDEX('DMR Flows-Effluent'!$A$3:$F$9999,MATCH(($G$10&amp;$B281),('DMR Flows-Effluent'!$B$3:$B$9999&amp;'DMR Flows-Effluent'!$A$3:$A$9999),0),MATCH($F$8,'DMR Flows-Effluent'!$A$2:$F$2,0)),"")</f>
        <v>61.532600000000002</v>
      </c>
      <c r="H281" s="7">
        <f t="shared" si="109"/>
        <v>146.04430000000002</v>
      </c>
      <c r="I281" s="45" t="str">
        <f t="shared" si="110"/>
        <v/>
      </c>
      <c r="J281" s="6" t="str">
        <f t="array" ref="J281">_xlfn.IFNA((INDEX('DMR 001C TIN &amp; TP'!$A$3:$M$10005,MATCH(('Reg 85'!$I$6:$Q$6&amp;'Reg 85'!$I$10:$K$10&amp;'Reg 85'!$B281),('DMR 001C TIN &amp; TP'!$E$3:$E$10005&amp;'DMR 001C TIN &amp; TP'!$B$3:$B$10005&amp;'DMR 001C TIN &amp; TP'!$A$3:$A$10005),0),MATCH('Reg 85'!$J$11,'DMR 001C TIN &amp; TP'!$A$2:$M$2,0))),"")</f>
        <v/>
      </c>
      <c r="K281" s="6" t="str">
        <f t="array" ref="K281">_xlfn.IFNA((INDEX('DMR 001C TIN &amp; TP'!$A$3:$M$10005,MATCH(('Reg 85'!$I$6:$Q$6&amp;'Reg 85'!$I$10:$K$10&amp;'Reg 85'!$B281),('DMR 001C TIN &amp; TP'!$E$3:$E$10005&amp;'DMR 001C TIN &amp; TP'!$B$3:$B$10005&amp;'DMR 001C TIN &amp; TP'!$A$3:$A$10005),0),MATCH('Reg 85'!$K$11,'DMR 001C TIN &amp; TP'!$A$2:$M$2,0))),"")</f>
        <v/>
      </c>
      <c r="L281" s="53" t="str">
        <f t="shared" si="122"/>
        <v/>
      </c>
      <c r="M281" s="5" t="str">
        <f t="shared" si="111"/>
        <v/>
      </c>
      <c r="N281" s="6" t="str">
        <f t="array" ref="N281">_xlfn.IFNA((INDEX('DMR 001C TIN &amp; TP'!$A$3:$M$10005,MATCH(('Reg 85'!$I$6:$Q$6&amp;'Reg 85'!$M$10&amp;'Reg 85'!$B281),('DMR 001C TIN &amp; TP'!$E$3:$E$10005&amp;'DMR 001C TIN &amp; TP'!$B$3:$B$10005&amp;'DMR 001C TIN &amp; TP'!$A$3:$A$10005),0),MATCH('Reg 85'!$N$11,'DMR 001C TIN &amp; TP'!$A$2:$M$2,0))),"")</f>
        <v/>
      </c>
      <c r="O281" s="6" t="str">
        <f t="array" ref="O281">_xlfn.IFNA((INDEX('DMR 001C TIN &amp; TP'!$A$3:$M$10005,MATCH(('Reg 85'!$I$6:$Q$6&amp;'Reg 85'!$M$10&amp;'Reg 85'!$B281),('DMR 001C TIN &amp; TP'!$E$3:$E$10005&amp;'DMR 001C TIN &amp; TP'!$B$3:$B$10005&amp;'DMR 001C TIN &amp; TP'!$A$3:$A$10005),0),MATCH('Reg 85'!$O$11,'DMR 001C TIN &amp; TP'!$A$2:$M$2,0))),"")</f>
        <v/>
      </c>
      <c r="P281" s="53" t="str">
        <f t="shared" si="112"/>
        <v/>
      </c>
      <c r="Q281" s="73" t="str">
        <f t="array" ref="Q281">IFERROR(((L281*$F281)+(P281*$G281))/($H281),"")</f>
        <v/>
      </c>
      <c r="R281" s="6" t="str">
        <f t="array" ref="R281">_xlfn.IFNA((INDEX('DMR 001C TIN &amp; TP'!$A$3:$M$10005,MATCH(('Reg 85'!$I$6:$Q$6&amp;'Reg 85'!R$10&amp;'Reg 85'!$B281),('DMR 001C TIN &amp; TP'!$E$3:$E$10005&amp;'DMR 001C TIN &amp; TP'!$B$3:$B$10005&amp;'DMR 001C TIN &amp; TP'!$A$3:$A$10005),0),MATCH('Reg 85'!$O$11,'DMR 001C TIN &amp; TP'!$A$2:$M$2,0))),"")</f>
        <v/>
      </c>
      <c r="S281" s="6" t="str">
        <f t="array" ref="S281">_xlfn.IFNA((INDEX('DMR 001C TIN &amp; TP'!$A$3:$M$10005,MATCH(('Reg 85'!$I$6:$Q$6&amp;'Reg 85'!S$10&amp;'Reg 85'!$B281),('DMR 001C TIN &amp; TP'!$E$3:$E$10005&amp;'DMR 001C TIN &amp; TP'!$B$3:$B$10005&amp;'DMR 001C TIN &amp; TP'!$A$3:$A$10005),0),MATCH('Reg 85'!$O$11,'DMR 001C TIN &amp; TP'!$A$2:$M$2,0))),"")</f>
        <v/>
      </c>
      <c r="T281" s="6" t="str">
        <f t="array" ref="T281">_xlfn.IFNA((INDEX('DMR 001C TIN &amp; TP'!$A$3:$M$10005,MATCH(('Reg 85'!$I$6:$Q$6&amp;'Reg 85'!T$10&amp;'Reg 85'!$B281),('DMR 001C TIN &amp; TP'!$E$3:$E$10005&amp;'DMR 001C TIN &amp; TP'!$B$3:$B$10005&amp;'DMR 001C TIN &amp; TP'!$A$3:$A$10005),0),MATCH('Reg 85'!$O$11,'DMR 001C TIN &amp; TP'!$A$2:$M$2,0))),"")</f>
        <v/>
      </c>
      <c r="U281" s="6" t="str">
        <f t="array" ref="U281">_xlfn.IFNA((INDEX('DMR 001C TIN &amp; TP'!$A$3:$M$10005,MATCH(('Reg 85'!$I$6:$Q$6&amp;'Reg 85'!U$10&amp;'Reg 85'!$B281),('DMR 001C TIN &amp; TP'!$E$3:$E$10005&amp;'DMR 001C TIN &amp; TP'!$B$3:$B$10005&amp;'DMR 001C TIN &amp; TP'!$A$3:$A$10005),0),MATCH('Reg 85'!$O$11,'DMR 001C TIN &amp; TP'!$A$2:$M$2,0))),"")</f>
        <v/>
      </c>
      <c r="V281" s="6" t="str">
        <f t="array" ref="V281">_xlfn.IFNA((INDEX('DMR 001C TIN &amp; TP'!$A$3:$M$10005,MATCH(('Reg 85'!$I$6:$Q$6&amp;'Reg 85'!V$10&amp;'Reg 85'!$B281),('DMR 001C TIN &amp; TP'!$E$3:$E$10005&amp;'DMR 001C TIN &amp; TP'!$B$3:$B$10005&amp;'DMR 001C TIN &amp; TP'!$A$3:$A$10005),0),MATCH('Reg 85'!$O$11,'DMR 001C TIN &amp; TP'!$A$2:$M$2,0))),"")</f>
        <v/>
      </c>
      <c r="W281" s="6" t="str">
        <f t="array" ref="W281">_xlfn.IFNA((INDEX('DMR 001C TIN &amp; TP'!$A$3:$M$10005,MATCH(('Reg 85'!$I$6:$Q$6&amp;'Reg 85'!W$10&amp;'Reg 85'!$B281),('DMR 001C TIN &amp; TP'!$E$3:$E$10005&amp;'DMR 001C TIN &amp; TP'!$B$3:$B$10005&amp;'DMR 001C TIN &amp; TP'!$A$3:$A$10005),0),MATCH('Reg 85'!$O$11,'DMR 001C TIN &amp; TP'!$A$2:$M$2,0))),"")</f>
        <v/>
      </c>
      <c r="X281" s="5" t="str">
        <f t="shared" si="113"/>
        <v/>
      </c>
      <c r="Y281" s="6" t="str">
        <f t="array" ref="Y281">_xlfn.IFNA((INDEX('DMR 001C TIN &amp; TP'!$A$3:$M$10005,MATCH(('Reg 85'!$X$6&amp;'Reg 85'!$X$10&amp;'Reg 85'!$B281),('DMR 001C TIN &amp; TP'!$E$3:$E$10005&amp;'DMR 001C TIN &amp; TP'!$B$3:$B$10005&amp;'DMR 001C TIN &amp; TP'!$A$3:$A$10005),0),MATCH('Reg 85'!$Y$11,'DMR 001C TIN &amp; TP'!$A$2:$M$2,0))),"")</f>
        <v/>
      </c>
      <c r="Z281" s="6" t="str">
        <f t="array" ref="Z281">_xlfn.IFNA((INDEX('DMR 001C TIN &amp; TP'!$A$3:$M$10005,MATCH(('Reg 85'!$X$6&amp;'Reg 85'!$X$10&amp;'Reg 85'!$B281),('DMR 001C TIN &amp; TP'!$E$3:$E$10005&amp;'DMR 001C TIN &amp; TP'!$B$3:$B$10005&amp;'DMR 001C TIN &amp; TP'!$A$3:$A$10005),0),MATCH('Reg 85'!$Z$11,'DMR 001C TIN &amp; TP'!$A$2:$M$2,0))),"")</f>
        <v/>
      </c>
      <c r="AA281" s="53" t="str">
        <f t="shared" si="114"/>
        <v/>
      </c>
      <c r="AB281" s="5" t="str">
        <f t="shared" si="115"/>
        <v/>
      </c>
      <c r="AC281" s="6" t="str">
        <f t="array" ref="AC281">_xlfn.IFNA((INDEX('DMR 001C TIN &amp; TP'!$A$3:$M$10005,MATCH(('Reg 85'!$X$6&amp;'Reg 85'!$AB$10&amp;'Reg 85'!$B281),('DMR 001C TIN &amp; TP'!$E$3:$E$10005&amp;'DMR 001C TIN &amp; TP'!$B$3:$B$10005&amp;'DMR 001C TIN &amp; TP'!$A$3:$A$10005),0),MATCH('Reg 85'!$AC$11,'DMR 001C TIN &amp; TP'!$A$2:$M$2,0))),"")</f>
        <v/>
      </c>
      <c r="AD281" s="6" t="str">
        <f t="array" ref="AD281">_xlfn.IFNA((INDEX('DMR 001C TIN &amp; TP'!$A$3:$M$10005,MATCH(('Reg 85'!$X$6&amp;'Reg 85'!$AB$10&amp;'Reg 85'!$B281),('DMR 001C TIN &amp; TP'!$E$3:$E$10005&amp;'DMR 001C TIN &amp; TP'!$B$3:$B$10005&amp;'DMR 001C TIN &amp; TP'!$A$3:$A$10005),0),MATCH('Reg 85'!$AD$11,'DMR 001C TIN &amp; TP'!$A$2:$M$2,0))),"")</f>
        <v/>
      </c>
      <c r="AE281" s="53" t="str">
        <f t="shared" si="116"/>
        <v/>
      </c>
      <c r="AF281" s="7" t="str">
        <f t="shared" si="117"/>
        <v/>
      </c>
      <c r="AG281" s="6" t="str">
        <f t="array" ref="AG281">_xlfn.IFNA((INDEX('DMR 001C TIN &amp; TP'!$A$3:$M$10005,MATCH(('Reg 85'!$X$6&amp;'Reg 85'!AG$10&amp;'Reg 85'!$B281),('DMR 001C TIN &amp; TP'!$E$3:$E$10005&amp;'DMR 001C TIN &amp; TP'!$B$3:$B$10005&amp;'DMR 001C TIN &amp; TP'!$A$3:$A$10005),0),MATCH('Reg 85'!$AG$11,'DMR 001C TIN &amp; TP'!$A$2:$M$2,0))),"")</f>
        <v/>
      </c>
      <c r="AH281" s="6" t="str">
        <f t="array" ref="AH281">_xlfn.IFNA((INDEX('DMR 001C TIN &amp; TP'!$A$3:$M$10005,MATCH(('Reg 85'!$X$6&amp;'Reg 85'!AH$10&amp;'Reg 85'!$B281),('DMR 001C TIN &amp; TP'!$E$3:$E$10005&amp;'DMR 001C TIN &amp; TP'!$B$3:$B$10005&amp;'DMR 001C TIN &amp; TP'!$A$3:$A$10005),0),MATCH('Reg 85'!$AG$11,'DMR 001C TIN &amp; TP'!$A$2:$M$2,0))),"")</f>
        <v/>
      </c>
      <c r="AI281" s="6" t="str">
        <f t="array" ref="AI281">_xlfn.IFNA((INDEX('DMR 001C TIN &amp; TP'!$A$3:$M$10005,MATCH(('Reg 85'!$X$6&amp;'Reg 85'!AI$10&amp;'Reg 85'!$B281),('DMR 001C TIN &amp; TP'!$E$3:$E$10005&amp;'DMR 001C TIN &amp; TP'!$B$3:$B$10005&amp;'DMR 001C TIN &amp; TP'!$A$3:$A$10005),0),MATCH('Reg 85'!$AG$11,'DMR 001C TIN &amp; TP'!$A$2:$M$2,0))),"")</f>
        <v/>
      </c>
      <c r="AJ281" s="6" t="str">
        <f t="array" ref="AJ281">_xlfn.IFNA((INDEX('DMR 001C TIN &amp; TP'!$A$3:$M$10005,MATCH(('Reg 85'!$X$6&amp;'Reg 85'!AJ$10&amp;'Reg 85'!$B281),('DMR 001C TIN &amp; TP'!$E$3:$E$10005&amp;'DMR 001C TIN &amp; TP'!$B$3:$B$10005&amp;'DMR 001C TIN &amp; TP'!$A$3:$A$10005),0),MATCH('Reg 85'!$AG$11,'DMR 001C TIN &amp; TP'!$A$2:$M$2,0))),"")</f>
        <v/>
      </c>
      <c r="AK281" s="6" t="str">
        <f t="array" ref="AK281">_xlfn.IFNA((INDEX('DMR 001C TIN &amp; TP'!$A$3:$M$10005,MATCH(('Reg 85'!$X$6&amp;'Reg 85'!AK$10&amp;'Reg 85'!$B281),('DMR 001C TIN &amp; TP'!$E$3:$E$10005&amp;'DMR 001C TIN &amp; TP'!$B$3:$B$10005&amp;'DMR 001C TIN &amp; TP'!$A$3:$A$10005),0),MATCH('Reg 85'!$AG$11,'DMR 001C TIN &amp; TP'!$A$2:$M$2,0))),"")</f>
        <v/>
      </c>
      <c r="AL281" s="6" t="str">
        <f t="array" ref="AL281">_xlfn.IFNA((INDEX('DMR 001C TIN &amp; TP'!$A$3:$M$10005,MATCH(('Reg 85'!$X$6&amp;'Reg 85'!AL$10&amp;'Reg 85'!$B281),('DMR 001C TIN &amp; TP'!$E$3:$E$10005&amp;'DMR 001C TIN &amp; TP'!$B$3:$B$10005&amp;'DMR 001C TIN &amp; TP'!$A$3:$A$10005),0),MATCH('Reg 85'!$AG$11,'DMR 001C TIN &amp; TP'!$A$2:$M$2,0))),"")</f>
        <v/>
      </c>
      <c r="AM281" s="76"/>
      <c r="AN281" s="6"/>
      <c r="AO281" s="54" t="str">
        <f t="shared" si="104"/>
        <v/>
      </c>
      <c r="AP281" s="77" t="str">
        <f t="shared" si="102"/>
        <v/>
      </c>
      <c r="AQ281" s="47"/>
      <c r="AR281" s="6" t="str">
        <f t="array" ref="AR281">_xlfn.IFNA((INDEX('DMR 001C TIN &amp; TP'!$A$3:$M$10005,MATCH(('Reg 85'!$AQ$6&amp;'Reg 85'!$AQ$10&amp;'Reg 85'!$B281),('DMR 001C TIN &amp; TP'!$E$3:$E$10005&amp;'DMR 001C TIN &amp; TP'!$B$3:$B$10005&amp;'DMR 001C TIN &amp; TP'!$A$3:$A$10005),0),MATCH('Reg 85'!$AR$11,'DMR 001C TIN &amp; TP'!$A$2:$M$2,0))),"")</f>
        <v/>
      </c>
      <c r="AS281" s="6" t="str">
        <f t="array" ref="AS281">_xlfn.IFNA((INDEX('DMR 001C TIN &amp; TP'!$A$3:$M$10005,MATCH(('Reg 85'!$AQ$6&amp;'Reg 85'!$AQ$10&amp;'Reg 85'!$B281),('DMR 001C TIN &amp; TP'!$E$3:$E$10005&amp;'DMR 001C TIN &amp; TP'!$B$3:$B$10005&amp;'DMR 001C TIN &amp; TP'!$A$3:$A$10005),0),MATCH('Reg 85'!$AS$11,'DMR 001C TIN &amp; TP'!$A$2:$M$2,0))),"")</f>
        <v/>
      </c>
      <c r="AT281" s="53" t="str">
        <f t="shared" si="118"/>
        <v/>
      </c>
      <c r="AV281" s="6" t="str">
        <f t="array" ref="AV281">_xlfn.IFNA((INDEX('DMR 001C TIN &amp; TP'!$A$3:$M$10005,MATCH(('Reg 85'!$AQ$6&amp;'Reg 85'!$AU$10&amp;'Reg 85'!$B281),('DMR 001C TIN &amp; TP'!$E$3:$E$10005&amp;'DMR 001C TIN &amp; TP'!$B$3:$B$10005&amp;'DMR 001C TIN &amp; TP'!$A$3:$A$10005),0),MATCH('Reg 85'!$AV$11,'DMR 001C TIN &amp; TP'!$A$2:$M$2,0))),"")</f>
        <v/>
      </c>
      <c r="AW281" s="6" t="str">
        <f t="array" ref="AW281">_xlfn.IFNA((INDEX('DMR 001C TIN &amp; TP'!$A$3:$M$10005,MATCH(('Reg 85'!$AQ$6&amp;'Reg 85'!$AU$10&amp;'Reg 85'!$B281),('DMR 001C TIN &amp; TP'!$E$3:$E$10005&amp;'DMR 001C TIN &amp; TP'!$B$3:$B$10005&amp;'DMR 001C TIN &amp; TP'!$A$3:$A$10005),0),MATCH('Reg 85'!$AW$11,'DMR 001C TIN &amp; TP'!$A$2:$M$2,0))),"")</f>
        <v/>
      </c>
      <c r="AX281" s="53" t="str">
        <f t="shared" si="119"/>
        <v/>
      </c>
      <c r="AY281" s="55" t="str">
        <f t="shared" si="120"/>
        <v/>
      </c>
      <c r="AZ281" s="77" t="str">
        <f t="shared" si="103"/>
        <v/>
      </c>
      <c r="BA281" s="6" t="str">
        <f t="array" ref="BA281">_xlfn.IFNA((INDEX('DMR 001C TIN &amp; TP'!$A$3:$M$10005,MATCH(('Reg 85'!$AQ$6&amp;'Reg 85'!BA$10&amp;'Reg 85'!$B281),('DMR 001C TIN &amp; TP'!$E$3:$E$10005&amp;'DMR 001C TIN &amp; TP'!$B$3:$B$10005&amp;'DMR 001C TIN &amp; TP'!$A$3:$A$10005),0),MATCH('Reg 85'!$AG$11,'DMR 001C TIN &amp; TP'!$A$2:$M$2,0))),"")</f>
        <v/>
      </c>
      <c r="BB281" s="6" t="str">
        <f t="array" ref="BB281">_xlfn.IFNA((INDEX('DMR 001C TIN &amp; TP'!$A$3:$M$10005,MATCH(('Reg 85'!$AQ$6&amp;'Reg 85'!BB$10&amp;'Reg 85'!$B281),('DMR 001C TIN &amp; TP'!$E$3:$E$10005&amp;'DMR 001C TIN &amp; TP'!$B$3:$B$10005&amp;'DMR 001C TIN &amp; TP'!$A$3:$A$10005),0),MATCH('Reg 85'!$AG$11,'DMR 001C TIN &amp; TP'!$A$2:$M$2,0))),"")</f>
        <v/>
      </c>
      <c r="BC281" s="6" t="str">
        <f t="array" ref="BC281">_xlfn.IFNA((INDEX('DMR 001C TIN &amp; TP'!$A$3:$M$10005,MATCH(('Reg 85'!$AQ$6&amp;'Reg 85'!BC$10&amp;'Reg 85'!$B281),('DMR 001C TIN &amp; TP'!$E$3:$E$10005&amp;'DMR 001C TIN &amp; TP'!$B$3:$B$10005&amp;'DMR 001C TIN &amp; TP'!$A$3:$A$10005),0),MATCH('Reg 85'!$AG$11,'DMR 001C TIN &amp; TP'!$A$2:$M$2,0))),"")</f>
        <v/>
      </c>
      <c r="BD281" s="6" t="str">
        <f t="array" ref="BD281">_xlfn.IFNA((INDEX('DMR 001C TIN &amp; TP'!$A$3:$M$10005,MATCH(('Reg 85'!$AQ$6&amp;'Reg 85'!BD$10&amp;'Reg 85'!$B281),('DMR 001C TIN &amp; TP'!$E$3:$E$10005&amp;'DMR 001C TIN &amp; TP'!$B$3:$B$10005&amp;'DMR 001C TIN &amp; TP'!$A$3:$A$10005),0),MATCH('Reg 85'!$AG$11,'DMR 001C TIN &amp; TP'!$A$2:$M$2,0))),"")</f>
        <v/>
      </c>
      <c r="BE281" s="6" t="str">
        <f t="array" ref="BE281">_xlfn.IFNA((INDEX('DMR 001C TIN &amp; TP'!$A$3:$M$10005,MATCH(('Reg 85'!$AQ$6&amp;'Reg 85'!BE$10&amp;'Reg 85'!$B281),('DMR 001C TIN &amp; TP'!$E$3:$E$10005&amp;'DMR 001C TIN &amp; TP'!$B$3:$B$10005&amp;'DMR 001C TIN &amp; TP'!$A$3:$A$10005),0),MATCH('Reg 85'!$AG$11,'DMR 001C TIN &amp; TP'!$A$2:$M$2,0))),"")</f>
        <v/>
      </c>
      <c r="BF281" s="6" t="str">
        <f t="array" ref="BF281">_xlfn.IFNA((INDEX('DMR 001C TIN &amp; TP'!$A$3:$M$10005,MATCH(('Reg 85'!$AQ$6&amp;'Reg 85'!BF$10&amp;'Reg 85'!$B281),('DMR 001C TIN &amp; TP'!$E$3:$E$10005&amp;'DMR 001C TIN &amp; TP'!$B$3:$B$10005&amp;'DMR 001C TIN &amp; TP'!$A$3:$A$10005),0),MATCH('Reg 85'!$AG$11,'DMR 001C TIN &amp; TP'!$A$2:$M$2,0))),"")</f>
        <v/>
      </c>
    </row>
    <row r="282" spans="1:58">
      <c r="A282" s="3" t="str">
        <f t="shared" si="105"/>
        <v>Wed</v>
      </c>
      <c r="B282" s="96">
        <f t="shared" si="121"/>
        <v>43614</v>
      </c>
      <c r="C282" s="96">
        <f t="shared" si="106"/>
        <v>43616</v>
      </c>
      <c r="D282" s="96">
        <f t="shared" si="107"/>
        <v>43586</v>
      </c>
      <c r="E282" s="95">
        <f t="shared" si="108"/>
        <v>31</v>
      </c>
      <c r="F282" s="7">
        <f t="array" ref="F282">_xlfn.IFNA(INDEX('DMR Flows-Effluent'!$A$3:$F$9999,MATCH(($F$10&amp;$B282),('DMR Flows-Effluent'!$B$3:$B$9999&amp;'DMR Flows-Effluent'!$A$3:$A$9999),0),MATCH($F$8,'DMR Flows-Effluent'!$A$2:$F$2,0)),"")</f>
        <v>77.583500000000001</v>
      </c>
      <c r="G282" s="7">
        <f t="array" ref="G282">_xlfn.IFNA(INDEX('DMR Flows-Effluent'!$A$3:$F$9999,MATCH(($G$10&amp;$B282),('DMR Flows-Effluent'!$B$3:$B$9999&amp;'DMR Flows-Effluent'!$A$3:$A$9999),0),MATCH($F$8,'DMR Flows-Effluent'!$A$2:$F$2,0)),"")</f>
        <v>59.087800000000001</v>
      </c>
      <c r="H282" s="7">
        <f t="shared" si="109"/>
        <v>136.6713</v>
      </c>
      <c r="I282" s="45" t="str">
        <f t="shared" si="110"/>
        <v/>
      </c>
      <c r="J282" s="6" t="str">
        <f t="array" ref="J282">_xlfn.IFNA((INDEX('DMR 001C TIN &amp; TP'!$A$3:$M$10005,MATCH(('Reg 85'!$I$6:$Q$6&amp;'Reg 85'!$I$10:$K$10&amp;'Reg 85'!$B282),('DMR 001C TIN &amp; TP'!$E$3:$E$10005&amp;'DMR 001C TIN &amp; TP'!$B$3:$B$10005&amp;'DMR 001C TIN &amp; TP'!$A$3:$A$10005),0),MATCH('Reg 85'!$J$11,'DMR 001C TIN &amp; TP'!$A$2:$M$2,0))),"")</f>
        <v/>
      </c>
      <c r="K282" s="6" t="str">
        <f t="array" ref="K282">_xlfn.IFNA((INDEX('DMR 001C TIN &amp; TP'!$A$3:$M$10005,MATCH(('Reg 85'!$I$6:$Q$6&amp;'Reg 85'!$I$10:$K$10&amp;'Reg 85'!$B282),('DMR 001C TIN &amp; TP'!$E$3:$E$10005&amp;'DMR 001C TIN &amp; TP'!$B$3:$B$10005&amp;'DMR 001C TIN &amp; TP'!$A$3:$A$10005),0),MATCH('Reg 85'!$K$11,'DMR 001C TIN &amp; TP'!$A$2:$M$2,0))),"")</f>
        <v/>
      </c>
      <c r="L282" s="53" t="str">
        <f t="shared" si="122"/>
        <v/>
      </c>
      <c r="M282" s="5" t="str">
        <f t="shared" si="111"/>
        <v/>
      </c>
      <c r="N282" s="6" t="str">
        <f t="array" ref="N282">_xlfn.IFNA((INDEX('DMR 001C TIN &amp; TP'!$A$3:$M$10005,MATCH(('Reg 85'!$I$6:$Q$6&amp;'Reg 85'!$M$10&amp;'Reg 85'!$B282),('DMR 001C TIN &amp; TP'!$E$3:$E$10005&amp;'DMR 001C TIN &amp; TP'!$B$3:$B$10005&amp;'DMR 001C TIN &amp; TP'!$A$3:$A$10005),0),MATCH('Reg 85'!$N$11,'DMR 001C TIN &amp; TP'!$A$2:$M$2,0))),"")</f>
        <v/>
      </c>
      <c r="O282" s="6" t="str">
        <f t="array" ref="O282">_xlfn.IFNA((INDEX('DMR 001C TIN &amp; TP'!$A$3:$M$10005,MATCH(('Reg 85'!$I$6:$Q$6&amp;'Reg 85'!$M$10&amp;'Reg 85'!$B282),('DMR 001C TIN &amp; TP'!$E$3:$E$10005&amp;'DMR 001C TIN &amp; TP'!$B$3:$B$10005&amp;'DMR 001C TIN &amp; TP'!$A$3:$A$10005),0),MATCH('Reg 85'!$O$11,'DMR 001C TIN &amp; TP'!$A$2:$M$2,0))),"")</f>
        <v/>
      </c>
      <c r="P282" s="53" t="str">
        <f t="shared" si="112"/>
        <v/>
      </c>
      <c r="Q282" s="73" t="str">
        <f t="array" ref="Q282">IFERROR(((L282*$F282)+(P282*$G282))/($H282),"")</f>
        <v/>
      </c>
      <c r="R282" s="6" t="str">
        <f t="array" ref="R282">_xlfn.IFNA((INDEX('DMR 001C TIN &amp; TP'!$A$3:$M$10005,MATCH(('Reg 85'!$I$6:$Q$6&amp;'Reg 85'!R$10&amp;'Reg 85'!$B282),('DMR 001C TIN &amp; TP'!$E$3:$E$10005&amp;'DMR 001C TIN &amp; TP'!$B$3:$B$10005&amp;'DMR 001C TIN &amp; TP'!$A$3:$A$10005),0),MATCH('Reg 85'!$O$11,'DMR 001C TIN &amp; TP'!$A$2:$M$2,0))),"")</f>
        <v/>
      </c>
      <c r="S282" s="6" t="str">
        <f t="array" ref="S282">_xlfn.IFNA((INDEX('DMR 001C TIN &amp; TP'!$A$3:$M$10005,MATCH(('Reg 85'!$I$6:$Q$6&amp;'Reg 85'!S$10&amp;'Reg 85'!$B282),('DMR 001C TIN &amp; TP'!$E$3:$E$10005&amp;'DMR 001C TIN &amp; TP'!$B$3:$B$10005&amp;'DMR 001C TIN &amp; TP'!$A$3:$A$10005),0),MATCH('Reg 85'!$O$11,'DMR 001C TIN &amp; TP'!$A$2:$M$2,0))),"")</f>
        <v/>
      </c>
      <c r="T282" s="6" t="str">
        <f t="array" ref="T282">_xlfn.IFNA((INDEX('DMR 001C TIN &amp; TP'!$A$3:$M$10005,MATCH(('Reg 85'!$I$6:$Q$6&amp;'Reg 85'!T$10&amp;'Reg 85'!$B282),('DMR 001C TIN &amp; TP'!$E$3:$E$10005&amp;'DMR 001C TIN &amp; TP'!$B$3:$B$10005&amp;'DMR 001C TIN &amp; TP'!$A$3:$A$10005),0),MATCH('Reg 85'!$O$11,'DMR 001C TIN &amp; TP'!$A$2:$M$2,0))),"")</f>
        <v/>
      </c>
      <c r="U282" s="6" t="str">
        <f t="array" ref="U282">_xlfn.IFNA((INDEX('DMR 001C TIN &amp; TP'!$A$3:$M$10005,MATCH(('Reg 85'!$I$6:$Q$6&amp;'Reg 85'!U$10&amp;'Reg 85'!$B282),('DMR 001C TIN &amp; TP'!$E$3:$E$10005&amp;'DMR 001C TIN &amp; TP'!$B$3:$B$10005&amp;'DMR 001C TIN &amp; TP'!$A$3:$A$10005),0),MATCH('Reg 85'!$O$11,'DMR 001C TIN &amp; TP'!$A$2:$M$2,0))),"")</f>
        <v/>
      </c>
      <c r="V282" s="6" t="str">
        <f t="array" ref="V282">_xlfn.IFNA((INDEX('DMR 001C TIN &amp; TP'!$A$3:$M$10005,MATCH(('Reg 85'!$I$6:$Q$6&amp;'Reg 85'!V$10&amp;'Reg 85'!$B282),('DMR 001C TIN &amp; TP'!$E$3:$E$10005&amp;'DMR 001C TIN &amp; TP'!$B$3:$B$10005&amp;'DMR 001C TIN &amp; TP'!$A$3:$A$10005),0),MATCH('Reg 85'!$O$11,'DMR 001C TIN &amp; TP'!$A$2:$M$2,0))),"")</f>
        <v/>
      </c>
      <c r="W282" s="6" t="str">
        <f t="array" ref="W282">_xlfn.IFNA((INDEX('DMR 001C TIN &amp; TP'!$A$3:$M$10005,MATCH(('Reg 85'!$I$6:$Q$6&amp;'Reg 85'!W$10&amp;'Reg 85'!$B282),('DMR 001C TIN &amp; TP'!$E$3:$E$10005&amp;'DMR 001C TIN &amp; TP'!$B$3:$B$10005&amp;'DMR 001C TIN &amp; TP'!$A$3:$A$10005),0),MATCH('Reg 85'!$O$11,'DMR 001C TIN &amp; TP'!$A$2:$M$2,0))),"")</f>
        <v/>
      </c>
      <c r="X282" s="5" t="str">
        <f t="shared" si="113"/>
        <v/>
      </c>
      <c r="Y282" s="6" t="str">
        <f t="array" ref="Y282">_xlfn.IFNA((INDEX('DMR 001C TIN &amp; TP'!$A$3:$M$10005,MATCH(('Reg 85'!$X$6&amp;'Reg 85'!$X$10&amp;'Reg 85'!$B282),('DMR 001C TIN &amp; TP'!$E$3:$E$10005&amp;'DMR 001C TIN &amp; TP'!$B$3:$B$10005&amp;'DMR 001C TIN &amp; TP'!$A$3:$A$10005),0),MATCH('Reg 85'!$Y$11,'DMR 001C TIN &amp; TP'!$A$2:$M$2,0))),"")</f>
        <v/>
      </c>
      <c r="Z282" s="6" t="str">
        <f t="array" ref="Z282">_xlfn.IFNA((INDEX('DMR 001C TIN &amp; TP'!$A$3:$M$10005,MATCH(('Reg 85'!$X$6&amp;'Reg 85'!$X$10&amp;'Reg 85'!$B282),('DMR 001C TIN &amp; TP'!$E$3:$E$10005&amp;'DMR 001C TIN &amp; TP'!$B$3:$B$10005&amp;'DMR 001C TIN &amp; TP'!$A$3:$A$10005),0),MATCH('Reg 85'!$Z$11,'DMR 001C TIN &amp; TP'!$A$2:$M$2,0))),"")</f>
        <v/>
      </c>
      <c r="AA282" s="53" t="str">
        <f t="shared" si="114"/>
        <v/>
      </c>
      <c r="AB282" s="5" t="str">
        <f t="shared" si="115"/>
        <v/>
      </c>
      <c r="AC282" s="6" t="str">
        <f t="array" ref="AC282">_xlfn.IFNA((INDEX('DMR 001C TIN &amp; TP'!$A$3:$M$10005,MATCH(('Reg 85'!$X$6&amp;'Reg 85'!$AB$10&amp;'Reg 85'!$B282),('DMR 001C TIN &amp; TP'!$E$3:$E$10005&amp;'DMR 001C TIN &amp; TP'!$B$3:$B$10005&amp;'DMR 001C TIN &amp; TP'!$A$3:$A$10005),0),MATCH('Reg 85'!$AC$11,'DMR 001C TIN &amp; TP'!$A$2:$M$2,0))),"")</f>
        <v/>
      </c>
      <c r="AD282" s="6" t="str">
        <f t="array" ref="AD282">_xlfn.IFNA((INDEX('DMR 001C TIN &amp; TP'!$A$3:$M$10005,MATCH(('Reg 85'!$X$6&amp;'Reg 85'!$AB$10&amp;'Reg 85'!$B282),('DMR 001C TIN &amp; TP'!$E$3:$E$10005&amp;'DMR 001C TIN &amp; TP'!$B$3:$B$10005&amp;'DMR 001C TIN &amp; TP'!$A$3:$A$10005),0),MATCH('Reg 85'!$AD$11,'DMR 001C TIN &amp; TP'!$A$2:$M$2,0))),"")</f>
        <v/>
      </c>
      <c r="AE282" s="53" t="str">
        <f t="shared" si="116"/>
        <v/>
      </c>
      <c r="AF282" s="7" t="str">
        <f t="shared" si="117"/>
        <v/>
      </c>
      <c r="AG282" s="6" t="str">
        <f t="array" ref="AG282">_xlfn.IFNA((INDEX('DMR 001C TIN &amp; TP'!$A$3:$M$10005,MATCH(('Reg 85'!$X$6&amp;'Reg 85'!AG$10&amp;'Reg 85'!$B282),('DMR 001C TIN &amp; TP'!$E$3:$E$10005&amp;'DMR 001C TIN &amp; TP'!$B$3:$B$10005&amp;'DMR 001C TIN &amp; TP'!$A$3:$A$10005),0),MATCH('Reg 85'!$AG$11,'DMR 001C TIN &amp; TP'!$A$2:$M$2,0))),"")</f>
        <v/>
      </c>
      <c r="AH282" s="6" t="str">
        <f t="array" ref="AH282">_xlfn.IFNA((INDEX('DMR 001C TIN &amp; TP'!$A$3:$M$10005,MATCH(('Reg 85'!$X$6&amp;'Reg 85'!AH$10&amp;'Reg 85'!$B282),('DMR 001C TIN &amp; TP'!$E$3:$E$10005&amp;'DMR 001C TIN &amp; TP'!$B$3:$B$10005&amp;'DMR 001C TIN &amp; TP'!$A$3:$A$10005),0),MATCH('Reg 85'!$AG$11,'DMR 001C TIN &amp; TP'!$A$2:$M$2,0))),"")</f>
        <v/>
      </c>
      <c r="AI282" s="6" t="str">
        <f t="array" ref="AI282">_xlfn.IFNA((INDEX('DMR 001C TIN &amp; TP'!$A$3:$M$10005,MATCH(('Reg 85'!$X$6&amp;'Reg 85'!AI$10&amp;'Reg 85'!$B282),('DMR 001C TIN &amp; TP'!$E$3:$E$10005&amp;'DMR 001C TIN &amp; TP'!$B$3:$B$10005&amp;'DMR 001C TIN &amp; TP'!$A$3:$A$10005),0),MATCH('Reg 85'!$AG$11,'DMR 001C TIN &amp; TP'!$A$2:$M$2,0))),"")</f>
        <v/>
      </c>
      <c r="AJ282" s="6" t="str">
        <f t="array" ref="AJ282">_xlfn.IFNA((INDEX('DMR 001C TIN &amp; TP'!$A$3:$M$10005,MATCH(('Reg 85'!$X$6&amp;'Reg 85'!AJ$10&amp;'Reg 85'!$B282),('DMR 001C TIN &amp; TP'!$E$3:$E$10005&amp;'DMR 001C TIN &amp; TP'!$B$3:$B$10005&amp;'DMR 001C TIN &amp; TP'!$A$3:$A$10005),0),MATCH('Reg 85'!$AG$11,'DMR 001C TIN &amp; TP'!$A$2:$M$2,0))),"")</f>
        <v/>
      </c>
      <c r="AK282" s="6" t="str">
        <f t="array" ref="AK282">_xlfn.IFNA((INDEX('DMR 001C TIN &amp; TP'!$A$3:$M$10005,MATCH(('Reg 85'!$X$6&amp;'Reg 85'!AK$10&amp;'Reg 85'!$B282),('DMR 001C TIN &amp; TP'!$E$3:$E$10005&amp;'DMR 001C TIN &amp; TP'!$B$3:$B$10005&amp;'DMR 001C TIN &amp; TP'!$A$3:$A$10005),0),MATCH('Reg 85'!$AG$11,'DMR 001C TIN &amp; TP'!$A$2:$M$2,0))),"")</f>
        <v/>
      </c>
      <c r="AL282" s="6" t="str">
        <f t="array" ref="AL282">_xlfn.IFNA((INDEX('DMR 001C TIN &amp; TP'!$A$3:$M$10005,MATCH(('Reg 85'!$X$6&amp;'Reg 85'!AL$10&amp;'Reg 85'!$B282),('DMR 001C TIN &amp; TP'!$E$3:$E$10005&amp;'DMR 001C TIN &amp; TP'!$B$3:$B$10005&amp;'DMR 001C TIN &amp; TP'!$A$3:$A$10005),0),MATCH('Reg 85'!$AG$11,'DMR 001C TIN &amp; TP'!$A$2:$M$2,0))),"")</f>
        <v/>
      </c>
      <c r="AM282" s="76"/>
      <c r="AN282" s="6"/>
      <c r="AO282" s="54" t="str">
        <f t="shared" si="104"/>
        <v/>
      </c>
      <c r="AP282" s="77" t="str">
        <f t="shared" si="102"/>
        <v/>
      </c>
      <c r="AQ282" s="47"/>
      <c r="AR282" s="6" t="str">
        <f t="array" ref="AR282">_xlfn.IFNA((INDEX('DMR 001C TIN &amp; TP'!$A$3:$M$10005,MATCH(('Reg 85'!$AQ$6&amp;'Reg 85'!$AQ$10&amp;'Reg 85'!$B282),('DMR 001C TIN &amp; TP'!$E$3:$E$10005&amp;'DMR 001C TIN &amp; TP'!$B$3:$B$10005&amp;'DMR 001C TIN &amp; TP'!$A$3:$A$10005),0),MATCH('Reg 85'!$AR$11,'DMR 001C TIN &amp; TP'!$A$2:$M$2,0))),"")</f>
        <v/>
      </c>
      <c r="AS282" s="6" t="str">
        <f t="array" ref="AS282">_xlfn.IFNA((INDEX('DMR 001C TIN &amp; TP'!$A$3:$M$10005,MATCH(('Reg 85'!$AQ$6&amp;'Reg 85'!$AQ$10&amp;'Reg 85'!$B282),('DMR 001C TIN &amp; TP'!$E$3:$E$10005&amp;'DMR 001C TIN &amp; TP'!$B$3:$B$10005&amp;'DMR 001C TIN &amp; TP'!$A$3:$A$10005),0),MATCH('Reg 85'!$AS$11,'DMR 001C TIN &amp; TP'!$A$2:$M$2,0))),"")</f>
        <v/>
      </c>
      <c r="AT282" s="53" t="str">
        <f t="shared" si="118"/>
        <v/>
      </c>
      <c r="AV282" s="6" t="str">
        <f t="array" ref="AV282">_xlfn.IFNA((INDEX('DMR 001C TIN &amp; TP'!$A$3:$M$10005,MATCH(('Reg 85'!$AQ$6&amp;'Reg 85'!$AU$10&amp;'Reg 85'!$B282),('DMR 001C TIN &amp; TP'!$E$3:$E$10005&amp;'DMR 001C TIN &amp; TP'!$B$3:$B$10005&amp;'DMR 001C TIN &amp; TP'!$A$3:$A$10005),0),MATCH('Reg 85'!$AV$11,'DMR 001C TIN &amp; TP'!$A$2:$M$2,0))),"")</f>
        <v/>
      </c>
      <c r="AW282" s="6" t="str">
        <f t="array" ref="AW282">_xlfn.IFNA((INDEX('DMR 001C TIN &amp; TP'!$A$3:$M$10005,MATCH(('Reg 85'!$AQ$6&amp;'Reg 85'!$AU$10&amp;'Reg 85'!$B282),('DMR 001C TIN &amp; TP'!$E$3:$E$10005&amp;'DMR 001C TIN &amp; TP'!$B$3:$B$10005&amp;'DMR 001C TIN &amp; TP'!$A$3:$A$10005),0),MATCH('Reg 85'!$AW$11,'DMR 001C TIN &amp; TP'!$A$2:$M$2,0))),"")</f>
        <v/>
      </c>
      <c r="AX282" s="53" t="str">
        <f t="shared" si="119"/>
        <v/>
      </c>
      <c r="AY282" s="55" t="str">
        <f t="shared" si="120"/>
        <v/>
      </c>
      <c r="AZ282" s="77" t="str">
        <f t="shared" si="103"/>
        <v/>
      </c>
      <c r="BA282" s="6" t="str">
        <f t="array" ref="BA282">_xlfn.IFNA((INDEX('DMR 001C TIN &amp; TP'!$A$3:$M$10005,MATCH(('Reg 85'!$AQ$6&amp;'Reg 85'!BA$10&amp;'Reg 85'!$B282),('DMR 001C TIN &amp; TP'!$E$3:$E$10005&amp;'DMR 001C TIN &amp; TP'!$B$3:$B$10005&amp;'DMR 001C TIN &amp; TP'!$A$3:$A$10005),0),MATCH('Reg 85'!$AG$11,'DMR 001C TIN &amp; TP'!$A$2:$M$2,0))),"")</f>
        <v/>
      </c>
      <c r="BB282" s="6" t="str">
        <f t="array" ref="BB282">_xlfn.IFNA((INDEX('DMR 001C TIN &amp; TP'!$A$3:$M$10005,MATCH(('Reg 85'!$AQ$6&amp;'Reg 85'!BB$10&amp;'Reg 85'!$B282),('DMR 001C TIN &amp; TP'!$E$3:$E$10005&amp;'DMR 001C TIN &amp; TP'!$B$3:$B$10005&amp;'DMR 001C TIN &amp; TP'!$A$3:$A$10005),0),MATCH('Reg 85'!$AG$11,'DMR 001C TIN &amp; TP'!$A$2:$M$2,0))),"")</f>
        <v/>
      </c>
      <c r="BC282" s="6" t="str">
        <f t="array" ref="BC282">_xlfn.IFNA((INDEX('DMR 001C TIN &amp; TP'!$A$3:$M$10005,MATCH(('Reg 85'!$AQ$6&amp;'Reg 85'!BC$10&amp;'Reg 85'!$B282),('DMR 001C TIN &amp; TP'!$E$3:$E$10005&amp;'DMR 001C TIN &amp; TP'!$B$3:$B$10005&amp;'DMR 001C TIN &amp; TP'!$A$3:$A$10005),0),MATCH('Reg 85'!$AG$11,'DMR 001C TIN &amp; TP'!$A$2:$M$2,0))),"")</f>
        <v/>
      </c>
      <c r="BD282" s="6" t="str">
        <f t="array" ref="BD282">_xlfn.IFNA((INDEX('DMR 001C TIN &amp; TP'!$A$3:$M$10005,MATCH(('Reg 85'!$AQ$6&amp;'Reg 85'!BD$10&amp;'Reg 85'!$B282),('DMR 001C TIN &amp; TP'!$E$3:$E$10005&amp;'DMR 001C TIN &amp; TP'!$B$3:$B$10005&amp;'DMR 001C TIN &amp; TP'!$A$3:$A$10005),0),MATCH('Reg 85'!$AG$11,'DMR 001C TIN &amp; TP'!$A$2:$M$2,0))),"")</f>
        <v/>
      </c>
      <c r="BE282" s="6" t="str">
        <f t="array" ref="BE282">_xlfn.IFNA((INDEX('DMR 001C TIN &amp; TP'!$A$3:$M$10005,MATCH(('Reg 85'!$AQ$6&amp;'Reg 85'!BE$10&amp;'Reg 85'!$B282),('DMR 001C TIN &amp; TP'!$E$3:$E$10005&amp;'DMR 001C TIN &amp; TP'!$B$3:$B$10005&amp;'DMR 001C TIN &amp; TP'!$A$3:$A$10005),0),MATCH('Reg 85'!$AG$11,'DMR 001C TIN &amp; TP'!$A$2:$M$2,0))),"")</f>
        <v/>
      </c>
      <c r="BF282" s="6" t="str">
        <f t="array" ref="BF282">_xlfn.IFNA((INDEX('DMR 001C TIN &amp; TP'!$A$3:$M$10005,MATCH(('Reg 85'!$AQ$6&amp;'Reg 85'!BF$10&amp;'Reg 85'!$B282),('DMR 001C TIN &amp; TP'!$E$3:$E$10005&amp;'DMR 001C TIN &amp; TP'!$B$3:$B$10005&amp;'DMR 001C TIN &amp; TP'!$A$3:$A$10005),0),MATCH('Reg 85'!$AG$11,'DMR 001C TIN &amp; TP'!$A$2:$M$2,0))),"")</f>
        <v/>
      </c>
    </row>
    <row r="283" spans="1:58">
      <c r="A283" s="3" t="str">
        <f t="shared" si="105"/>
        <v>Thu</v>
      </c>
      <c r="B283" s="96">
        <f t="shared" si="121"/>
        <v>43615</v>
      </c>
      <c r="C283" s="96">
        <f t="shared" si="106"/>
        <v>43616</v>
      </c>
      <c r="D283" s="96">
        <f t="shared" si="107"/>
        <v>43586</v>
      </c>
      <c r="E283" s="95">
        <f t="shared" si="108"/>
        <v>31</v>
      </c>
      <c r="F283" s="7">
        <f t="array" ref="F283">_xlfn.IFNA(INDEX('DMR Flows-Effluent'!$A$3:$F$9999,MATCH(($F$10&amp;$B283),('DMR Flows-Effluent'!$B$3:$B$9999&amp;'DMR Flows-Effluent'!$A$3:$A$9999),0),MATCH($F$8,'DMR Flows-Effluent'!$A$2:$F$2,0)),"")</f>
        <v>77.966899999999995</v>
      </c>
      <c r="G283" s="7">
        <f t="array" ref="G283">_xlfn.IFNA(INDEX('DMR Flows-Effluent'!$A$3:$F$9999,MATCH(($G$10&amp;$B283),('DMR Flows-Effluent'!$B$3:$B$9999&amp;'DMR Flows-Effluent'!$A$3:$A$9999),0),MATCH($F$8,'DMR Flows-Effluent'!$A$2:$F$2,0)),"")</f>
        <v>57.8947</v>
      </c>
      <c r="H283" s="7">
        <f t="shared" si="109"/>
        <v>135.86160000000001</v>
      </c>
      <c r="I283" s="45" t="str">
        <f t="shared" si="110"/>
        <v/>
      </c>
      <c r="J283" s="6" t="str">
        <f t="array" ref="J283">_xlfn.IFNA((INDEX('DMR 001C TIN &amp; TP'!$A$3:$M$10005,MATCH(('Reg 85'!$I$6:$Q$6&amp;'Reg 85'!$I$10:$K$10&amp;'Reg 85'!$B283),('DMR 001C TIN &amp; TP'!$E$3:$E$10005&amp;'DMR 001C TIN &amp; TP'!$B$3:$B$10005&amp;'DMR 001C TIN &amp; TP'!$A$3:$A$10005),0),MATCH('Reg 85'!$J$11,'DMR 001C TIN &amp; TP'!$A$2:$M$2,0))),"")</f>
        <v/>
      </c>
      <c r="K283" s="6" t="str">
        <f t="array" ref="K283">_xlfn.IFNA((INDEX('DMR 001C TIN &amp; TP'!$A$3:$M$10005,MATCH(('Reg 85'!$I$6:$Q$6&amp;'Reg 85'!$I$10:$K$10&amp;'Reg 85'!$B283),('DMR 001C TIN &amp; TP'!$E$3:$E$10005&amp;'DMR 001C TIN &amp; TP'!$B$3:$B$10005&amp;'DMR 001C TIN &amp; TP'!$A$3:$A$10005),0),MATCH('Reg 85'!$K$11,'DMR 001C TIN &amp; TP'!$A$2:$M$2,0))),"")</f>
        <v/>
      </c>
      <c r="L283" s="53" t="str">
        <f t="shared" si="122"/>
        <v/>
      </c>
      <c r="M283" s="5" t="str">
        <f t="shared" si="111"/>
        <v/>
      </c>
      <c r="N283" s="6" t="str">
        <f t="array" ref="N283">_xlfn.IFNA((INDEX('DMR 001C TIN &amp; TP'!$A$3:$M$10005,MATCH(('Reg 85'!$I$6:$Q$6&amp;'Reg 85'!$M$10&amp;'Reg 85'!$B283),('DMR 001C TIN &amp; TP'!$E$3:$E$10005&amp;'DMR 001C TIN &amp; TP'!$B$3:$B$10005&amp;'DMR 001C TIN &amp; TP'!$A$3:$A$10005),0),MATCH('Reg 85'!$N$11,'DMR 001C TIN &amp; TP'!$A$2:$M$2,0))),"")</f>
        <v/>
      </c>
      <c r="O283" s="6" t="str">
        <f t="array" ref="O283">_xlfn.IFNA((INDEX('DMR 001C TIN &amp; TP'!$A$3:$M$10005,MATCH(('Reg 85'!$I$6:$Q$6&amp;'Reg 85'!$M$10&amp;'Reg 85'!$B283),('DMR 001C TIN &amp; TP'!$E$3:$E$10005&amp;'DMR 001C TIN &amp; TP'!$B$3:$B$10005&amp;'DMR 001C TIN &amp; TP'!$A$3:$A$10005),0),MATCH('Reg 85'!$O$11,'DMR 001C TIN &amp; TP'!$A$2:$M$2,0))),"")</f>
        <v/>
      </c>
      <c r="P283" s="53" t="str">
        <f t="shared" si="112"/>
        <v/>
      </c>
      <c r="Q283" s="73" t="str">
        <f t="array" ref="Q283">IFERROR(((L283*$F283)+(P283*$G283))/($H283),"")</f>
        <v/>
      </c>
      <c r="R283" s="6" t="str">
        <f t="array" ref="R283">_xlfn.IFNA((INDEX('DMR 001C TIN &amp; TP'!$A$3:$M$10005,MATCH(('Reg 85'!$I$6:$Q$6&amp;'Reg 85'!R$10&amp;'Reg 85'!$B283),('DMR 001C TIN &amp; TP'!$E$3:$E$10005&amp;'DMR 001C TIN &amp; TP'!$B$3:$B$10005&amp;'DMR 001C TIN &amp; TP'!$A$3:$A$10005),0),MATCH('Reg 85'!$O$11,'DMR 001C TIN &amp; TP'!$A$2:$M$2,0))),"")</f>
        <v/>
      </c>
      <c r="S283" s="6" t="str">
        <f t="array" ref="S283">_xlfn.IFNA((INDEX('DMR 001C TIN &amp; TP'!$A$3:$M$10005,MATCH(('Reg 85'!$I$6:$Q$6&amp;'Reg 85'!S$10&amp;'Reg 85'!$B283),('DMR 001C TIN &amp; TP'!$E$3:$E$10005&amp;'DMR 001C TIN &amp; TP'!$B$3:$B$10005&amp;'DMR 001C TIN &amp; TP'!$A$3:$A$10005),0),MATCH('Reg 85'!$O$11,'DMR 001C TIN &amp; TP'!$A$2:$M$2,0))),"")</f>
        <v/>
      </c>
      <c r="T283" s="6" t="str">
        <f t="array" ref="T283">_xlfn.IFNA((INDEX('DMR 001C TIN &amp; TP'!$A$3:$M$10005,MATCH(('Reg 85'!$I$6:$Q$6&amp;'Reg 85'!T$10&amp;'Reg 85'!$B283),('DMR 001C TIN &amp; TP'!$E$3:$E$10005&amp;'DMR 001C TIN &amp; TP'!$B$3:$B$10005&amp;'DMR 001C TIN &amp; TP'!$A$3:$A$10005),0),MATCH('Reg 85'!$O$11,'DMR 001C TIN &amp; TP'!$A$2:$M$2,0))),"")</f>
        <v/>
      </c>
      <c r="U283" s="6" t="str">
        <f t="array" ref="U283">_xlfn.IFNA((INDEX('DMR 001C TIN &amp; TP'!$A$3:$M$10005,MATCH(('Reg 85'!$I$6:$Q$6&amp;'Reg 85'!U$10&amp;'Reg 85'!$B283),('DMR 001C TIN &amp; TP'!$E$3:$E$10005&amp;'DMR 001C TIN &amp; TP'!$B$3:$B$10005&amp;'DMR 001C TIN &amp; TP'!$A$3:$A$10005),0),MATCH('Reg 85'!$O$11,'DMR 001C TIN &amp; TP'!$A$2:$M$2,0))),"")</f>
        <v/>
      </c>
      <c r="V283" s="6" t="str">
        <f t="array" ref="V283">_xlfn.IFNA((INDEX('DMR 001C TIN &amp; TP'!$A$3:$M$10005,MATCH(('Reg 85'!$I$6:$Q$6&amp;'Reg 85'!V$10&amp;'Reg 85'!$B283),('DMR 001C TIN &amp; TP'!$E$3:$E$10005&amp;'DMR 001C TIN &amp; TP'!$B$3:$B$10005&amp;'DMR 001C TIN &amp; TP'!$A$3:$A$10005),0),MATCH('Reg 85'!$O$11,'DMR 001C TIN &amp; TP'!$A$2:$M$2,0))),"")</f>
        <v/>
      </c>
      <c r="W283" s="6" t="str">
        <f t="array" ref="W283">_xlfn.IFNA((INDEX('DMR 001C TIN &amp; TP'!$A$3:$M$10005,MATCH(('Reg 85'!$I$6:$Q$6&amp;'Reg 85'!W$10&amp;'Reg 85'!$B283),('DMR 001C TIN &amp; TP'!$E$3:$E$10005&amp;'DMR 001C TIN &amp; TP'!$B$3:$B$10005&amp;'DMR 001C TIN &amp; TP'!$A$3:$A$10005),0),MATCH('Reg 85'!$O$11,'DMR 001C TIN &amp; TP'!$A$2:$M$2,0))),"")</f>
        <v/>
      </c>
      <c r="X283" s="5" t="str">
        <f t="shared" si="113"/>
        <v/>
      </c>
      <c r="Y283" s="6" t="str">
        <f t="array" ref="Y283">_xlfn.IFNA((INDEX('DMR 001C TIN &amp; TP'!$A$3:$M$10005,MATCH(('Reg 85'!$X$6&amp;'Reg 85'!$X$10&amp;'Reg 85'!$B283),('DMR 001C TIN &amp; TP'!$E$3:$E$10005&amp;'DMR 001C TIN &amp; TP'!$B$3:$B$10005&amp;'DMR 001C TIN &amp; TP'!$A$3:$A$10005),0),MATCH('Reg 85'!$Y$11,'DMR 001C TIN &amp; TP'!$A$2:$M$2,0))),"")</f>
        <v/>
      </c>
      <c r="Z283" s="6" t="str">
        <f t="array" ref="Z283">_xlfn.IFNA((INDEX('DMR 001C TIN &amp; TP'!$A$3:$M$10005,MATCH(('Reg 85'!$X$6&amp;'Reg 85'!$X$10&amp;'Reg 85'!$B283),('DMR 001C TIN &amp; TP'!$E$3:$E$10005&amp;'DMR 001C TIN &amp; TP'!$B$3:$B$10005&amp;'DMR 001C TIN &amp; TP'!$A$3:$A$10005),0),MATCH('Reg 85'!$Z$11,'DMR 001C TIN &amp; TP'!$A$2:$M$2,0))),"")</f>
        <v/>
      </c>
      <c r="AA283" s="53" t="str">
        <f t="shared" si="114"/>
        <v/>
      </c>
      <c r="AB283" s="5" t="str">
        <f t="shared" si="115"/>
        <v/>
      </c>
      <c r="AC283" s="6" t="str">
        <f t="array" ref="AC283">_xlfn.IFNA((INDEX('DMR 001C TIN &amp; TP'!$A$3:$M$10005,MATCH(('Reg 85'!$X$6&amp;'Reg 85'!$AB$10&amp;'Reg 85'!$B283),('DMR 001C TIN &amp; TP'!$E$3:$E$10005&amp;'DMR 001C TIN &amp; TP'!$B$3:$B$10005&amp;'DMR 001C TIN &amp; TP'!$A$3:$A$10005),0),MATCH('Reg 85'!$AC$11,'DMR 001C TIN &amp; TP'!$A$2:$M$2,0))),"")</f>
        <v/>
      </c>
      <c r="AD283" s="6" t="str">
        <f t="array" ref="AD283">_xlfn.IFNA((INDEX('DMR 001C TIN &amp; TP'!$A$3:$M$10005,MATCH(('Reg 85'!$X$6&amp;'Reg 85'!$AB$10&amp;'Reg 85'!$B283),('DMR 001C TIN &amp; TP'!$E$3:$E$10005&amp;'DMR 001C TIN &amp; TP'!$B$3:$B$10005&amp;'DMR 001C TIN &amp; TP'!$A$3:$A$10005),0),MATCH('Reg 85'!$AD$11,'DMR 001C TIN &amp; TP'!$A$2:$M$2,0))),"")</f>
        <v/>
      </c>
      <c r="AE283" s="53" t="str">
        <f t="shared" si="116"/>
        <v/>
      </c>
      <c r="AF283" s="7" t="str">
        <f t="shared" si="117"/>
        <v/>
      </c>
      <c r="AG283" s="6" t="str">
        <f t="array" ref="AG283">_xlfn.IFNA((INDEX('DMR 001C TIN &amp; TP'!$A$3:$M$10005,MATCH(('Reg 85'!$X$6&amp;'Reg 85'!AG$10&amp;'Reg 85'!$B283),('DMR 001C TIN &amp; TP'!$E$3:$E$10005&amp;'DMR 001C TIN &amp; TP'!$B$3:$B$10005&amp;'DMR 001C TIN &amp; TP'!$A$3:$A$10005),0),MATCH('Reg 85'!$AG$11,'DMR 001C TIN &amp; TP'!$A$2:$M$2,0))),"")</f>
        <v/>
      </c>
      <c r="AH283" s="6" t="str">
        <f t="array" ref="AH283">_xlfn.IFNA((INDEX('DMR 001C TIN &amp; TP'!$A$3:$M$10005,MATCH(('Reg 85'!$X$6&amp;'Reg 85'!AH$10&amp;'Reg 85'!$B283),('DMR 001C TIN &amp; TP'!$E$3:$E$10005&amp;'DMR 001C TIN &amp; TP'!$B$3:$B$10005&amp;'DMR 001C TIN &amp; TP'!$A$3:$A$10005),0),MATCH('Reg 85'!$AG$11,'DMR 001C TIN &amp; TP'!$A$2:$M$2,0))),"")</f>
        <v/>
      </c>
      <c r="AI283" s="6" t="str">
        <f t="array" ref="AI283">_xlfn.IFNA((INDEX('DMR 001C TIN &amp; TP'!$A$3:$M$10005,MATCH(('Reg 85'!$X$6&amp;'Reg 85'!AI$10&amp;'Reg 85'!$B283),('DMR 001C TIN &amp; TP'!$E$3:$E$10005&amp;'DMR 001C TIN &amp; TP'!$B$3:$B$10005&amp;'DMR 001C TIN &amp; TP'!$A$3:$A$10005),0),MATCH('Reg 85'!$AG$11,'DMR 001C TIN &amp; TP'!$A$2:$M$2,0))),"")</f>
        <v/>
      </c>
      <c r="AJ283" s="6" t="str">
        <f t="array" ref="AJ283">_xlfn.IFNA((INDEX('DMR 001C TIN &amp; TP'!$A$3:$M$10005,MATCH(('Reg 85'!$X$6&amp;'Reg 85'!AJ$10&amp;'Reg 85'!$B283),('DMR 001C TIN &amp; TP'!$E$3:$E$10005&amp;'DMR 001C TIN &amp; TP'!$B$3:$B$10005&amp;'DMR 001C TIN &amp; TP'!$A$3:$A$10005),0),MATCH('Reg 85'!$AG$11,'DMR 001C TIN &amp; TP'!$A$2:$M$2,0))),"")</f>
        <v/>
      </c>
      <c r="AK283" s="6" t="str">
        <f t="array" ref="AK283">_xlfn.IFNA((INDEX('DMR 001C TIN &amp; TP'!$A$3:$M$10005,MATCH(('Reg 85'!$X$6&amp;'Reg 85'!AK$10&amp;'Reg 85'!$B283),('DMR 001C TIN &amp; TP'!$E$3:$E$10005&amp;'DMR 001C TIN &amp; TP'!$B$3:$B$10005&amp;'DMR 001C TIN &amp; TP'!$A$3:$A$10005),0),MATCH('Reg 85'!$AG$11,'DMR 001C TIN &amp; TP'!$A$2:$M$2,0))),"")</f>
        <v/>
      </c>
      <c r="AL283" s="6" t="str">
        <f t="array" ref="AL283">_xlfn.IFNA((INDEX('DMR 001C TIN &amp; TP'!$A$3:$M$10005,MATCH(('Reg 85'!$X$6&amp;'Reg 85'!AL$10&amp;'Reg 85'!$B283),('DMR 001C TIN &amp; TP'!$E$3:$E$10005&amp;'DMR 001C TIN &amp; TP'!$B$3:$B$10005&amp;'DMR 001C TIN &amp; TP'!$A$3:$A$10005),0),MATCH('Reg 85'!$AG$11,'DMR 001C TIN &amp; TP'!$A$2:$M$2,0))),"")</f>
        <v/>
      </c>
      <c r="AM283" s="76"/>
      <c r="AN283" s="6"/>
      <c r="AO283" s="54" t="str">
        <f t="shared" si="104"/>
        <v/>
      </c>
      <c r="AP283" s="77" t="str">
        <f t="shared" si="102"/>
        <v/>
      </c>
      <c r="AQ283" s="47"/>
      <c r="AR283" s="6" t="str">
        <f t="array" ref="AR283">_xlfn.IFNA((INDEX('DMR 001C TIN &amp; TP'!$A$3:$M$10005,MATCH(('Reg 85'!$AQ$6&amp;'Reg 85'!$AQ$10&amp;'Reg 85'!$B283),('DMR 001C TIN &amp; TP'!$E$3:$E$10005&amp;'DMR 001C TIN &amp; TP'!$B$3:$B$10005&amp;'DMR 001C TIN &amp; TP'!$A$3:$A$10005),0),MATCH('Reg 85'!$AR$11,'DMR 001C TIN &amp; TP'!$A$2:$M$2,0))),"")</f>
        <v>0.03</v>
      </c>
      <c r="AS283" s="6">
        <f t="array" ref="AS283">_xlfn.IFNA((INDEX('DMR 001C TIN &amp; TP'!$A$3:$M$10005,MATCH(('Reg 85'!$AQ$6&amp;'Reg 85'!$AQ$10&amp;'Reg 85'!$B283),('DMR 001C TIN &amp; TP'!$E$3:$E$10005&amp;'DMR 001C TIN &amp; TP'!$B$3:$B$10005&amp;'DMR 001C TIN &amp; TP'!$A$3:$A$10005),0),MATCH('Reg 85'!$AS$11,'DMR 001C TIN &amp; TP'!$A$2:$M$2,0))),"")</f>
        <v>0.4</v>
      </c>
      <c r="AT283" s="53">
        <f t="shared" si="118"/>
        <v>0.4</v>
      </c>
      <c r="AV283" s="6" t="str">
        <f t="array" ref="AV283">_xlfn.IFNA((INDEX('DMR 001C TIN &amp; TP'!$A$3:$M$10005,MATCH(('Reg 85'!$AQ$6&amp;'Reg 85'!$AU$10&amp;'Reg 85'!$B283),('DMR 001C TIN &amp; TP'!$E$3:$E$10005&amp;'DMR 001C TIN &amp; TP'!$B$3:$B$10005&amp;'DMR 001C TIN &amp; TP'!$A$3:$A$10005),0),MATCH('Reg 85'!$AV$11,'DMR 001C TIN &amp; TP'!$A$2:$M$2,0))),"")</f>
        <v>0.06</v>
      </c>
      <c r="AW283" s="6">
        <f t="array" ref="AW283">_xlfn.IFNA((INDEX('DMR 001C TIN &amp; TP'!$A$3:$M$10005,MATCH(('Reg 85'!$AQ$6&amp;'Reg 85'!$AU$10&amp;'Reg 85'!$B283),('DMR 001C TIN &amp; TP'!$E$3:$E$10005&amp;'DMR 001C TIN &amp; TP'!$B$3:$B$10005&amp;'DMR 001C TIN &amp; TP'!$A$3:$A$10005),0),MATCH('Reg 85'!$AW$11,'DMR 001C TIN &amp; TP'!$A$2:$M$2,0))),"")</f>
        <v>5.79</v>
      </c>
      <c r="AX283" s="53">
        <f t="shared" si="119"/>
        <v>5.79</v>
      </c>
      <c r="AY283" s="55">
        <f t="shared" si="120"/>
        <v>2.6968405568608049</v>
      </c>
      <c r="AZ283" s="77" t="str">
        <f t="shared" si="103"/>
        <v/>
      </c>
      <c r="BA283" s="6" t="str">
        <f t="array" ref="BA283">_xlfn.IFNA((INDEX('DMR 001C TIN &amp; TP'!$A$3:$M$10005,MATCH(('Reg 85'!$AQ$6&amp;'Reg 85'!BA$10&amp;'Reg 85'!$B283),('DMR 001C TIN &amp; TP'!$E$3:$E$10005&amp;'DMR 001C TIN &amp; TP'!$B$3:$B$10005&amp;'DMR 001C TIN &amp; TP'!$A$3:$A$10005),0),MATCH('Reg 85'!$AG$11,'DMR 001C TIN &amp; TP'!$A$2:$M$2,0))),"")</f>
        <v/>
      </c>
      <c r="BB283" s="6" t="str">
        <f t="array" ref="BB283">_xlfn.IFNA((INDEX('DMR 001C TIN &amp; TP'!$A$3:$M$10005,MATCH(('Reg 85'!$AQ$6&amp;'Reg 85'!BB$10&amp;'Reg 85'!$B283),('DMR 001C TIN &amp; TP'!$E$3:$E$10005&amp;'DMR 001C TIN &amp; TP'!$B$3:$B$10005&amp;'DMR 001C TIN &amp; TP'!$A$3:$A$10005),0),MATCH('Reg 85'!$AG$11,'DMR 001C TIN &amp; TP'!$A$2:$M$2,0))),"")</f>
        <v/>
      </c>
      <c r="BC283" s="6" t="str">
        <f t="array" ref="BC283">_xlfn.IFNA((INDEX('DMR 001C TIN &amp; TP'!$A$3:$M$10005,MATCH(('Reg 85'!$AQ$6&amp;'Reg 85'!BC$10&amp;'Reg 85'!$B283),('DMR 001C TIN &amp; TP'!$E$3:$E$10005&amp;'DMR 001C TIN &amp; TP'!$B$3:$B$10005&amp;'DMR 001C TIN &amp; TP'!$A$3:$A$10005),0),MATCH('Reg 85'!$AG$11,'DMR 001C TIN &amp; TP'!$A$2:$M$2,0))),"")</f>
        <v/>
      </c>
      <c r="BD283" s="6" t="str">
        <f t="array" ref="BD283">_xlfn.IFNA((INDEX('DMR 001C TIN &amp; TP'!$A$3:$M$10005,MATCH(('Reg 85'!$AQ$6&amp;'Reg 85'!BD$10&amp;'Reg 85'!$B283),('DMR 001C TIN &amp; TP'!$E$3:$E$10005&amp;'DMR 001C TIN &amp; TP'!$B$3:$B$10005&amp;'DMR 001C TIN &amp; TP'!$A$3:$A$10005),0),MATCH('Reg 85'!$AG$11,'DMR 001C TIN &amp; TP'!$A$2:$M$2,0))),"")</f>
        <v/>
      </c>
      <c r="BE283" s="6" t="str">
        <f t="array" ref="BE283">_xlfn.IFNA((INDEX('DMR 001C TIN &amp; TP'!$A$3:$M$10005,MATCH(('Reg 85'!$AQ$6&amp;'Reg 85'!BE$10&amp;'Reg 85'!$B283),('DMR 001C TIN &amp; TP'!$E$3:$E$10005&amp;'DMR 001C TIN &amp; TP'!$B$3:$B$10005&amp;'DMR 001C TIN &amp; TP'!$A$3:$A$10005),0),MATCH('Reg 85'!$AG$11,'DMR 001C TIN &amp; TP'!$A$2:$M$2,0))),"")</f>
        <v/>
      </c>
      <c r="BF283" s="6" t="str">
        <f t="array" ref="BF283">_xlfn.IFNA((INDEX('DMR 001C TIN &amp; TP'!$A$3:$M$10005,MATCH(('Reg 85'!$AQ$6&amp;'Reg 85'!BF$10&amp;'Reg 85'!$B283),('DMR 001C TIN &amp; TP'!$E$3:$E$10005&amp;'DMR 001C TIN &amp; TP'!$B$3:$B$10005&amp;'DMR 001C TIN &amp; TP'!$A$3:$A$10005),0),MATCH('Reg 85'!$AG$11,'DMR 001C TIN &amp; TP'!$A$2:$M$2,0))),"")</f>
        <v/>
      </c>
    </row>
    <row r="284" spans="1:58">
      <c r="A284" s="3" t="str">
        <f t="shared" si="105"/>
        <v>Fri</v>
      </c>
      <c r="B284" s="96">
        <f t="shared" si="121"/>
        <v>43616</v>
      </c>
      <c r="C284" s="96">
        <f t="shared" si="106"/>
        <v>43616</v>
      </c>
      <c r="D284" s="96">
        <f t="shared" si="107"/>
        <v>43586</v>
      </c>
      <c r="E284" s="95">
        <f t="shared" si="108"/>
        <v>31</v>
      </c>
      <c r="F284" s="7">
        <f t="array" ref="F284">_xlfn.IFNA(INDEX('DMR Flows-Effluent'!$A$3:$F$9999,MATCH(($F$10&amp;$B284),('DMR Flows-Effluent'!$B$3:$B$9999&amp;'DMR Flows-Effluent'!$A$3:$A$9999),0),MATCH($F$8,'DMR Flows-Effluent'!$A$2:$F$2,0)),"")</f>
        <v>78.040999999999997</v>
      </c>
      <c r="G284" s="7">
        <f t="array" ref="G284">_xlfn.IFNA(INDEX('DMR Flows-Effluent'!$A$3:$F$9999,MATCH(($G$10&amp;$B284),('DMR Flows-Effluent'!$B$3:$B$9999&amp;'DMR Flows-Effluent'!$A$3:$A$9999),0),MATCH($F$8,'DMR Flows-Effluent'!$A$2:$F$2,0)),"")</f>
        <v>56.226300000000002</v>
      </c>
      <c r="H284" s="7">
        <f t="shared" si="109"/>
        <v>134.26730000000001</v>
      </c>
      <c r="I284" s="45" t="str">
        <f t="shared" si="110"/>
        <v/>
      </c>
      <c r="J284" s="6" t="str">
        <f t="array" ref="J284">_xlfn.IFNA((INDEX('DMR 001C TIN &amp; TP'!$A$3:$M$10005,MATCH(('Reg 85'!$I$6:$Q$6&amp;'Reg 85'!$I$10:$K$10&amp;'Reg 85'!$B284),('DMR 001C TIN &amp; TP'!$E$3:$E$10005&amp;'DMR 001C TIN &amp; TP'!$B$3:$B$10005&amp;'DMR 001C TIN &amp; TP'!$A$3:$A$10005),0),MATCH('Reg 85'!$J$11,'DMR 001C TIN &amp; TP'!$A$2:$M$2,0))),"")</f>
        <v>0.15</v>
      </c>
      <c r="K284" s="6">
        <f t="array" ref="K284">_xlfn.IFNA((INDEX('DMR 001C TIN &amp; TP'!$A$3:$M$10005,MATCH(('Reg 85'!$I$6:$Q$6&amp;'Reg 85'!$I$10:$K$10&amp;'Reg 85'!$B284),('DMR 001C TIN &amp; TP'!$E$3:$E$10005&amp;'DMR 001C TIN &amp; TP'!$B$3:$B$10005&amp;'DMR 001C TIN &amp; TP'!$A$3:$A$10005),0),MATCH('Reg 85'!$K$11,'DMR 001C TIN &amp; TP'!$A$2:$M$2,0))),"")</f>
        <v>0.7</v>
      </c>
      <c r="L284" s="53">
        <f t="shared" si="122"/>
        <v>0.7</v>
      </c>
      <c r="M284" s="5" t="str">
        <f t="shared" si="111"/>
        <v/>
      </c>
      <c r="N284" s="6" t="str">
        <f t="array" ref="N284">_xlfn.IFNA((INDEX('DMR 001C TIN &amp; TP'!$A$3:$M$10005,MATCH(('Reg 85'!$I$6:$Q$6&amp;'Reg 85'!$M$10&amp;'Reg 85'!$B284),('DMR 001C TIN &amp; TP'!$E$3:$E$10005&amp;'DMR 001C TIN &amp; TP'!$B$3:$B$10005&amp;'DMR 001C TIN &amp; TP'!$A$3:$A$10005),0),MATCH('Reg 85'!$N$11,'DMR 001C TIN &amp; TP'!$A$2:$M$2,0))),"")</f>
        <v>0.15</v>
      </c>
      <c r="O284" s="6">
        <f t="array" ref="O284">_xlfn.IFNA((INDEX('DMR 001C TIN &amp; TP'!$A$3:$M$10005,MATCH(('Reg 85'!$I$6:$Q$6&amp;'Reg 85'!$M$10&amp;'Reg 85'!$B284),('DMR 001C TIN &amp; TP'!$E$3:$E$10005&amp;'DMR 001C TIN &amp; TP'!$B$3:$B$10005&amp;'DMR 001C TIN &amp; TP'!$A$3:$A$10005),0),MATCH('Reg 85'!$O$11,'DMR 001C TIN &amp; TP'!$A$2:$M$2,0))),"")</f>
        <v>1.97</v>
      </c>
      <c r="P284" s="53">
        <f t="shared" si="112"/>
        <v>1.97</v>
      </c>
      <c r="Q284" s="73">
        <f t="array" ref="Q284">IFERROR(((L284*$F284)+(P284*$G284))/($H284),"")</f>
        <v>1.2318301701158807</v>
      </c>
      <c r="R284" s="6" t="str">
        <f t="array" ref="R284">_xlfn.IFNA((INDEX('DMR 001C TIN &amp; TP'!$A$3:$M$10005,MATCH(('Reg 85'!$I$6:$Q$6&amp;'Reg 85'!R$10&amp;'Reg 85'!$B284),('DMR 001C TIN &amp; TP'!$E$3:$E$10005&amp;'DMR 001C TIN &amp; TP'!$B$3:$B$10005&amp;'DMR 001C TIN &amp; TP'!$A$3:$A$10005),0),MATCH('Reg 85'!$O$11,'DMR 001C TIN &amp; TP'!$A$2:$M$2,0))),"")</f>
        <v/>
      </c>
      <c r="S284" s="6" t="str">
        <f t="array" ref="S284">_xlfn.IFNA((INDEX('DMR 001C TIN &amp; TP'!$A$3:$M$10005,MATCH(('Reg 85'!$I$6:$Q$6&amp;'Reg 85'!S$10&amp;'Reg 85'!$B284),('DMR 001C TIN &amp; TP'!$E$3:$E$10005&amp;'DMR 001C TIN &amp; TP'!$B$3:$B$10005&amp;'DMR 001C TIN &amp; TP'!$A$3:$A$10005),0),MATCH('Reg 85'!$O$11,'DMR 001C TIN &amp; TP'!$A$2:$M$2,0))),"")</f>
        <v/>
      </c>
      <c r="T284" s="6" t="str">
        <f t="array" ref="T284">_xlfn.IFNA((INDEX('DMR 001C TIN &amp; TP'!$A$3:$M$10005,MATCH(('Reg 85'!$I$6:$Q$6&amp;'Reg 85'!T$10&amp;'Reg 85'!$B284),('DMR 001C TIN &amp; TP'!$E$3:$E$10005&amp;'DMR 001C TIN &amp; TP'!$B$3:$B$10005&amp;'DMR 001C TIN &amp; TP'!$A$3:$A$10005),0),MATCH('Reg 85'!$O$11,'DMR 001C TIN &amp; TP'!$A$2:$M$2,0))),"")</f>
        <v/>
      </c>
      <c r="U284" s="6" t="str">
        <f t="array" ref="U284">_xlfn.IFNA((INDEX('DMR 001C TIN &amp; TP'!$A$3:$M$10005,MATCH(('Reg 85'!$I$6:$Q$6&amp;'Reg 85'!U$10&amp;'Reg 85'!$B284),('DMR 001C TIN &amp; TP'!$E$3:$E$10005&amp;'DMR 001C TIN &amp; TP'!$B$3:$B$10005&amp;'DMR 001C TIN &amp; TP'!$A$3:$A$10005),0),MATCH('Reg 85'!$O$11,'DMR 001C TIN &amp; TP'!$A$2:$M$2,0))),"")</f>
        <v/>
      </c>
      <c r="V284" s="6" t="str">
        <f t="array" ref="V284">_xlfn.IFNA((INDEX('DMR 001C TIN &amp; TP'!$A$3:$M$10005,MATCH(('Reg 85'!$I$6:$Q$6&amp;'Reg 85'!V$10&amp;'Reg 85'!$B284),('DMR 001C TIN &amp; TP'!$E$3:$E$10005&amp;'DMR 001C TIN &amp; TP'!$B$3:$B$10005&amp;'DMR 001C TIN &amp; TP'!$A$3:$A$10005),0),MATCH('Reg 85'!$O$11,'DMR 001C TIN &amp; TP'!$A$2:$M$2,0))),"")</f>
        <v/>
      </c>
      <c r="W284" s="6" t="str">
        <f t="array" ref="W284">_xlfn.IFNA((INDEX('DMR 001C TIN &amp; TP'!$A$3:$M$10005,MATCH(('Reg 85'!$I$6:$Q$6&amp;'Reg 85'!W$10&amp;'Reg 85'!$B284),('DMR 001C TIN &amp; TP'!$E$3:$E$10005&amp;'DMR 001C TIN &amp; TP'!$B$3:$B$10005&amp;'DMR 001C TIN &amp; TP'!$A$3:$A$10005),0),MATCH('Reg 85'!$O$11,'DMR 001C TIN &amp; TP'!$A$2:$M$2,0))),"")</f>
        <v/>
      </c>
      <c r="X284" s="5" t="str">
        <f t="shared" si="113"/>
        <v/>
      </c>
      <c r="Y284" s="6" t="str">
        <f t="array" ref="Y284">_xlfn.IFNA((INDEX('DMR 001C TIN &amp; TP'!$A$3:$M$10005,MATCH(('Reg 85'!$X$6&amp;'Reg 85'!$X$10&amp;'Reg 85'!$B284),('DMR 001C TIN &amp; TP'!$E$3:$E$10005&amp;'DMR 001C TIN &amp; TP'!$B$3:$B$10005&amp;'DMR 001C TIN &amp; TP'!$A$3:$A$10005),0),MATCH('Reg 85'!$Y$11,'DMR 001C TIN &amp; TP'!$A$2:$M$2,0))),"")</f>
        <v>0.06</v>
      </c>
      <c r="Z284" s="6">
        <f t="array" ref="Z284">_xlfn.IFNA((INDEX('DMR 001C TIN &amp; TP'!$A$3:$M$10005,MATCH(('Reg 85'!$X$6&amp;'Reg 85'!$X$10&amp;'Reg 85'!$B284),('DMR 001C TIN &amp; TP'!$E$3:$E$10005&amp;'DMR 001C TIN &amp; TP'!$B$3:$B$10005&amp;'DMR 001C TIN &amp; TP'!$A$3:$A$10005),0),MATCH('Reg 85'!$Z$11,'DMR 001C TIN &amp; TP'!$A$2:$M$2,0))),"")</f>
        <v>4.7</v>
      </c>
      <c r="AA284" s="53">
        <f t="shared" si="114"/>
        <v>4.7</v>
      </c>
      <c r="AB284" s="5" t="str">
        <f t="shared" si="115"/>
        <v/>
      </c>
      <c r="AC284" s="6" t="str">
        <f t="array" ref="AC284">_xlfn.IFNA((INDEX('DMR 001C TIN &amp; TP'!$A$3:$M$10005,MATCH(('Reg 85'!$X$6&amp;'Reg 85'!$AB$10&amp;'Reg 85'!$B284),('DMR 001C TIN &amp; TP'!$E$3:$E$10005&amp;'DMR 001C TIN &amp; TP'!$B$3:$B$10005&amp;'DMR 001C TIN &amp; TP'!$A$3:$A$10005),0),MATCH('Reg 85'!$AC$11,'DMR 001C TIN &amp; TP'!$A$2:$M$2,0))),"")</f>
        <v>0.06</v>
      </c>
      <c r="AD284" s="6">
        <f t="array" ref="AD284">_xlfn.IFNA((INDEX('DMR 001C TIN &amp; TP'!$A$3:$M$10005,MATCH(('Reg 85'!$X$6&amp;'Reg 85'!$AB$10&amp;'Reg 85'!$B284),('DMR 001C TIN &amp; TP'!$E$3:$E$10005&amp;'DMR 001C TIN &amp; TP'!$B$3:$B$10005&amp;'DMR 001C TIN &amp; TP'!$A$3:$A$10005),0),MATCH('Reg 85'!$AD$11,'DMR 001C TIN &amp; TP'!$A$2:$M$2,0))),"")</f>
        <v>3.51</v>
      </c>
      <c r="AE284" s="53">
        <f t="shared" si="116"/>
        <v>3.51</v>
      </c>
      <c r="AF284" s="7">
        <f t="shared" si="117"/>
        <v>4.2016709429622852</v>
      </c>
      <c r="AG284" s="6" t="str">
        <f t="array" ref="AG284">_xlfn.IFNA((INDEX('DMR 001C TIN &amp; TP'!$A$3:$M$10005,MATCH(('Reg 85'!$X$6&amp;'Reg 85'!AG$10&amp;'Reg 85'!$B284),('DMR 001C TIN &amp; TP'!$E$3:$E$10005&amp;'DMR 001C TIN &amp; TP'!$B$3:$B$10005&amp;'DMR 001C TIN &amp; TP'!$A$3:$A$10005),0),MATCH('Reg 85'!$AG$11,'DMR 001C TIN &amp; TP'!$A$2:$M$2,0))),"")</f>
        <v/>
      </c>
      <c r="AH284" s="6" t="str">
        <f t="array" ref="AH284">_xlfn.IFNA((INDEX('DMR 001C TIN &amp; TP'!$A$3:$M$10005,MATCH(('Reg 85'!$X$6&amp;'Reg 85'!AH$10&amp;'Reg 85'!$B284),('DMR 001C TIN &amp; TP'!$E$3:$E$10005&amp;'DMR 001C TIN &amp; TP'!$B$3:$B$10005&amp;'DMR 001C TIN &amp; TP'!$A$3:$A$10005),0),MATCH('Reg 85'!$AG$11,'DMR 001C TIN &amp; TP'!$A$2:$M$2,0))),"")</f>
        <v/>
      </c>
      <c r="AI284" s="6" t="str">
        <f t="array" ref="AI284">_xlfn.IFNA((INDEX('DMR 001C TIN &amp; TP'!$A$3:$M$10005,MATCH(('Reg 85'!$X$6&amp;'Reg 85'!AI$10&amp;'Reg 85'!$B284),('DMR 001C TIN &amp; TP'!$E$3:$E$10005&amp;'DMR 001C TIN &amp; TP'!$B$3:$B$10005&amp;'DMR 001C TIN &amp; TP'!$A$3:$A$10005),0),MATCH('Reg 85'!$AG$11,'DMR 001C TIN &amp; TP'!$A$2:$M$2,0))),"")</f>
        <v/>
      </c>
      <c r="AJ284" s="6" t="str">
        <f t="array" ref="AJ284">_xlfn.IFNA((INDEX('DMR 001C TIN &amp; TP'!$A$3:$M$10005,MATCH(('Reg 85'!$X$6&amp;'Reg 85'!AJ$10&amp;'Reg 85'!$B284),('DMR 001C TIN &amp; TP'!$E$3:$E$10005&amp;'DMR 001C TIN &amp; TP'!$B$3:$B$10005&amp;'DMR 001C TIN &amp; TP'!$A$3:$A$10005),0),MATCH('Reg 85'!$AG$11,'DMR 001C TIN &amp; TP'!$A$2:$M$2,0))),"")</f>
        <v/>
      </c>
      <c r="AK284" s="6" t="str">
        <f t="array" ref="AK284">_xlfn.IFNA((INDEX('DMR 001C TIN &amp; TP'!$A$3:$M$10005,MATCH(('Reg 85'!$X$6&amp;'Reg 85'!AK$10&amp;'Reg 85'!$B284),('DMR 001C TIN &amp; TP'!$E$3:$E$10005&amp;'DMR 001C TIN &amp; TP'!$B$3:$B$10005&amp;'DMR 001C TIN &amp; TP'!$A$3:$A$10005),0),MATCH('Reg 85'!$AG$11,'DMR 001C TIN &amp; TP'!$A$2:$M$2,0))),"")</f>
        <v/>
      </c>
      <c r="AL284" s="6" t="str">
        <f t="array" ref="AL284">_xlfn.IFNA((INDEX('DMR 001C TIN &amp; TP'!$A$3:$M$10005,MATCH(('Reg 85'!$X$6&amp;'Reg 85'!AL$10&amp;'Reg 85'!$B284),('DMR 001C TIN &amp; TP'!$E$3:$E$10005&amp;'DMR 001C TIN &amp; TP'!$B$3:$B$10005&amp;'DMR 001C TIN &amp; TP'!$A$3:$A$10005),0),MATCH('Reg 85'!$AG$11,'DMR 001C TIN &amp; TP'!$A$2:$M$2,0))),"")</f>
        <v/>
      </c>
      <c r="AM284" s="76"/>
      <c r="AN284" s="6"/>
      <c r="AO284" s="54">
        <f t="shared" si="104"/>
        <v>5.4335011130781661</v>
      </c>
      <c r="AP284" s="77">
        <f>COUNT(AO254:AO284)</f>
        <v>13</v>
      </c>
      <c r="AQ284" s="47"/>
      <c r="AR284" s="6" t="str">
        <f t="array" ref="AR284">_xlfn.IFNA((INDEX('DMR 001C TIN &amp; TP'!$A$3:$M$10005,MATCH(('Reg 85'!$AQ$6&amp;'Reg 85'!$AQ$10&amp;'Reg 85'!$B284),('DMR 001C TIN &amp; TP'!$E$3:$E$10005&amp;'DMR 001C TIN &amp; TP'!$B$3:$B$10005&amp;'DMR 001C TIN &amp; TP'!$A$3:$A$10005),0),MATCH('Reg 85'!$AR$11,'DMR 001C TIN &amp; TP'!$A$2:$M$2,0))),"")</f>
        <v/>
      </c>
      <c r="AS284" s="6" t="str">
        <f t="array" ref="AS284">_xlfn.IFNA((INDEX('DMR 001C TIN &amp; TP'!$A$3:$M$10005,MATCH(('Reg 85'!$AQ$6&amp;'Reg 85'!$AQ$10&amp;'Reg 85'!$B284),('DMR 001C TIN &amp; TP'!$E$3:$E$10005&amp;'DMR 001C TIN &amp; TP'!$B$3:$B$10005&amp;'DMR 001C TIN &amp; TP'!$A$3:$A$10005),0),MATCH('Reg 85'!$AS$11,'DMR 001C TIN &amp; TP'!$A$2:$M$2,0))),"")</f>
        <v/>
      </c>
      <c r="AT284" s="53" t="str">
        <f t="shared" si="118"/>
        <v/>
      </c>
      <c r="AV284" s="6" t="str">
        <f t="array" ref="AV284">_xlfn.IFNA((INDEX('DMR 001C TIN &amp; TP'!$A$3:$M$10005,MATCH(('Reg 85'!$AQ$6&amp;'Reg 85'!$AU$10&amp;'Reg 85'!$B284),('DMR 001C TIN &amp; TP'!$E$3:$E$10005&amp;'DMR 001C TIN &amp; TP'!$B$3:$B$10005&amp;'DMR 001C TIN &amp; TP'!$A$3:$A$10005),0),MATCH('Reg 85'!$AV$11,'DMR 001C TIN &amp; TP'!$A$2:$M$2,0))),"")</f>
        <v/>
      </c>
      <c r="AW284" s="6" t="str">
        <f t="array" ref="AW284">_xlfn.IFNA((INDEX('DMR 001C TIN &amp; TP'!$A$3:$M$10005,MATCH(('Reg 85'!$AQ$6&amp;'Reg 85'!$AU$10&amp;'Reg 85'!$B284),('DMR 001C TIN &amp; TP'!$E$3:$E$10005&amp;'DMR 001C TIN &amp; TP'!$B$3:$B$10005&amp;'DMR 001C TIN &amp; TP'!$A$3:$A$10005),0),MATCH('Reg 85'!$AW$11,'DMR 001C TIN &amp; TP'!$A$2:$M$2,0))),"")</f>
        <v/>
      </c>
      <c r="AX284" s="53" t="str">
        <f t="shared" si="119"/>
        <v/>
      </c>
      <c r="AY284" s="55" t="str">
        <f t="shared" si="120"/>
        <v/>
      </c>
      <c r="AZ284" s="77">
        <f>COUNT(AY254:AY284)</f>
        <v>14</v>
      </c>
      <c r="BA284" s="6" t="str">
        <f t="array" ref="BA284">_xlfn.IFNA((INDEX('DMR 001C TIN &amp; TP'!$A$3:$M$10005,MATCH(('Reg 85'!$AQ$6&amp;'Reg 85'!BA$10&amp;'Reg 85'!$B284),('DMR 001C TIN &amp; TP'!$E$3:$E$10005&amp;'DMR 001C TIN &amp; TP'!$B$3:$B$10005&amp;'DMR 001C TIN &amp; TP'!$A$3:$A$10005),0),MATCH('Reg 85'!$AG$11,'DMR 001C TIN &amp; TP'!$A$2:$M$2,0))),"")</f>
        <v/>
      </c>
      <c r="BB284" s="6" t="str">
        <f t="array" ref="BB284">_xlfn.IFNA((INDEX('DMR 001C TIN &amp; TP'!$A$3:$M$10005,MATCH(('Reg 85'!$AQ$6&amp;'Reg 85'!BB$10&amp;'Reg 85'!$B284),('DMR 001C TIN &amp; TP'!$E$3:$E$10005&amp;'DMR 001C TIN &amp; TP'!$B$3:$B$10005&amp;'DMR 001C TIN &amp; TP'!$A$3:$A$10005),0),MATCH('Reg 85'!$AG$11,'DMR 001C TIN &amp; TP'!$A$2:$M$2,0))),"")</f>
        <v/>
      </c>
      <c r="BC284" s="6" t="str">
        <f t="array" ref="BC284">_xlfn.IFNA((INDEX('DMR 001C TIN &amp; TP'!$A$3:$M$10005,MATCH(('Reg 85'!$AQ$6&amp;'Reg 85'!BC$10&amp;'Reg 85'!$B284),('DMR 001C TIN &amp; TP'!$E$3:$E$10005&amp;'DMR 001C TIN &amp; TP'!$B$3:$B$10005&amp;'DMR 001C TIN &amp; TP'!$A$3:$A$10005),0),MATCH('Reg 85'!$AG$11,'DMR 001C TIN &amp; TP'!$A$2:$M$2,0))),"")</f>
        <v/>
      </c>
      <c r="BD284" s="6" t="str">
        <f t="array" ref="BD284">_xlfn.IFNA((INDEX('DMR 001C TIN &amp; TP'!$A$3:$M$10005,MATCH(('Reg 85'!$AQ$6&amp;'Reg 85'!BD$10&amp;'Reg 85'!$B284),('DMR 001C TIN &amp; TP'!$E$3:$E$10005&amp;'DMR 001C TIN &amp; TP'!$B$3:$B$10005&amp;'DMR 001C TIN &amp; TP'!$A$3:$A$10005),0),MATCH('Reg 85'!$AG$11,'DMR 001C TIN &amp; TP'!$A$2:$M$2,0))),"")</f>
        <v/>
      </c>
      <c r="BE284" s="6" t="str">
        <f t="array" ref="BE284">_xlfn.IFNA((INDEX('DMR 001C TIN &amp; TP'!$A$3:$M$10005,MATCH(('Reg 85'!$AQ$6&amp;'Reg 85'!BE$10&amp;'Reg 85'!$B284),('DMR 001C TIN &amp; TP'!$E$3:$E$10005&amp;'DMR 001C TIN &amp; TP'!$B$3:$B$10005&amp;'DMR 001C TIN &amp; TP'!$A$3:$A$10005),0),MATCH('Reg 85'!$AG$11,'DMR 001C TIN &amp; TP'!$A$2:$M$2,0))),"")</f>
        <v/>
      </c>
      <c r="BF284" s="6" t="str">
        <f t="array" ref="BF284">_xlfn.IFNA((INDEX('DMR 001C TIN &amp; TP'!$A$3:$M$10005,MATCH(('Reg 85'!$AQ$6&amp;'Reg 85'!BF$10&amp;'Reg 85'!$B284),('DMR 001C TIN &amp; TP'!$E$3:$E$10005&amp;'DMR 001C TIN &amp; TP'!$B$3:$B$10005&amp;'DMR 001C TIN &amp; TP'!$A$3:$A$10005),0),MATCH('Reg 85'!$AG$11,'DMR 001C TIN &amp; TP'!$A$2:$M$2,0))),"")</f>
        <v/>
      </c>
    </row>
    <row r="285" spans="1:58">
      <c r="A285" s="3" t="str">
        <f t="shared" si="105"/>
        <v>Sat</v>
      </c>
      <c r="B285" s="96">
        <f t="shared" si="121"/>
        <v>43617</v>
      </c>
      <c r="C285" s="96">
        <f t="shared" si="106"/>
        <v>43646</v>
      </c>
      <c r="D285" s="96">
        <f t="shared" si="107"/>
        <v>43617</v>
      </c>
      <c r="E285" s="95">
        <f t="shared" si="108"/>
        <v>30</v>
      </c>
      <c r="F285" s="7">
        <f t="array" ref="F285">_xlfn.IFNA(INDEX('DMR Flows-Effluent'!$A$3:$F$9999,MATCH(($F$10&amp;$B285),('DMR Flows-Effluent'!$B$3:$B$9999&amp;'DMR Flows-Effluent'!$A$3:$A$9999),0),MATCH($F$8,'DMR Flows-Effluent'!$A$2:$F$2,0)),"")</f>
        <v>74.531999999999996</v>
      </c>
      <c r="G285" s="7">
        <f t="array" ref="G285">_xlfn.IFNA(INDEX('DMR Flows-Effluent'!$A$3:$F$9999,MATCH(($G$10&amp;$B285),('DMR Flows-Effluent'!$B$3:$B$9999&amp;'DMR Flows-Effluent'!$A$3:$A$9999),0),MATCH($F$8,'DMR Flows-Effluent'!$A$2:$F$2,0)),"")</f>
        <v>59.010599999999997</v>
      </c>
      <c r="H285" s="7">
        <f t="shared" si="109"/>
        <v>133.54259999999999</v>
      </c>
      <c r="I285" s="45" t="str">
        <f t="shared" si="110"/>
        <v/>
      </c>
      <c r="J285" s="6" t="str">
        <f t="array" ref="J285">_xlfn.IFNA((INDEX('DMR 001C TIN &amp; TP'!$A$3:$M$10005,MATCH(('Reg 85'!$I$6:$Q$6&amp;'Reg 85'!$I$10:$K$10&amp;'Reg 85'!$B285),('DMR 001C TIN &amp; TP'!$E$3:$E$10005&amp;'DMR 001C TIN &amp; TP'!$B$3:$B$10005&amp;'DMR 001C TIN &amp; TP'!$A$3:$A$10005),0),MATCH('Reg 85'!$J$11,'DMR 001C TIN &amp; TP'!$A$2:$M$2,0))),"")</f>
        <v>0.15</v>
      </c>
      <c r="K285" s="6">
        <f t="array" ref="K285">_xlfn.IFNA((INDEX('DMR 001C TIN &amp; TP'!$A$3:$M$10005,MATCH(('Reg 85'!$I$6:$Q$6&amp;'Reg 85'!$I$10:$K$10&amp;'Reg 85'!$B285),('DMR 001C TIN &amp; TP'!$E$3:$E$10005&amp;'DMR 001C TIN &amp; TP'!$B$3:$B$10005&amp;'DMR 001C TIN &amp; TP'!$A$3:$A$10005),0),MATCH('Reg 85'!$K$11,'DMR 001C TIN &amp; TP'!$A$2:$M$2,0))),"")</f>
        <v>0.62</v>
      </c>
      <c r="L285" s="53">
        <f t="shared" si="122"/>
        <v>0.62</v>
      </c>
      <c r="M285" s="5" t="str">
        <f t="shared" si="111"/>
        <v/>
      </c>
      <c r="N285" s="6" t="str">
        <f t="array" ref="N285">_xlfn.IFNA((INDEX('DMR 001C TIN &amp; TP'!$A$3:$M$10005,MATCH(('Reg 85'!$I$6:$Q$6&amp;'Reg 85'!$M$10&amp;'Reg 85'!$B285),('DMR 001C TIN &amp; TP'!$E$3:$E$10005&amp;'DMR 001C TIN &amp; TP'!$B$3:$B$10005&amp;'DMR 001C TIN &amp; TP'!$A$3:$A$10005),0),MATCH('Reg 85'!$N$11,'DMR 001C TIN &amp; TP'!$A$2:$M$2,0))),"")</f>
        <v>0.15</v>
      </c>
      <c r="O285" s="6">
        <f t="array" ref="O285">_xlfn.IFNA((INDEX('DMR 001C TIN &amp; TP'!$A$3:$M$10005,MATCH(('Reg 85'!$I$6:$Q$6&amp;'Reg 85'!$M$10&amp;'Reg 85'!$B285),('DMR 001C TIN &amp; TP'!$E$3:$E$10005&amp;'DMR 001C TIN &amp; TP'!$B$3:$B$10005&amp;'DMR 001C TIN &amp; TP'!$A$3:$A$10005),0),MATCH('Reg 85'!$O$11,'DMR 001C TIN &amp; TP'!$A$2:$M$2,0))),"")</f>
        <v>0.52</v>
      </c>
      <c r="P285" s="53">
        <f t="shared" si="112"/>
        <v>0.52</v>
      </c>
      <c r="Q285" s="73">
        <f t="array" ref="Q285">IFERROR(((L285*$F285)+(P285*$G285))/($H285),"")</f>
        <v>0.57581140400141984</v>
      </c>
      <c r="R285" s="6" t="str">
        <f t="array" ref="R285">_xlfn.IFNA((INDEX('DMR 001C TIN &amp; TP'!$A$3:$M$10005,MATCH(('Reg 85'!$I$6:$Q$6&amp;'Reg 85'!R$10&amp;'Reg 85'!$B285),('DMR 001C TIN &amp; TP'!$E$3:$E$10005&amp;'DMR 001C TIN &amp; TP'!$B$3:$B$10005&amp;'DMR 001C TIN &amp; TP'!$A$3:$A$10005),0),MATCH('Reg 85'!$O$11,'DMR 001C TIN &amp; TP'!$A$2:$M$2,0))),"")</f>
        <v/>
      </c>
      <c r="S285" s="6" t="str">
        <f t="array" ref="S285">_xlfn.IFNA((INDEX('DMR 001C TIN &amp; TP'!$A$3:$M$10005,MATCH(('Reg 85'!$I$6:$Q$6&amp;'Reg 85'!S$10&amp;'Reg 85'!$B285),('DMR 001C TIN &amp; TP'!$E$3:$E$10005&amp;'DMR 001C TIN &amp; TP'!$B$3:$B$10005&amp;'DMR 001C TIN &amp; TP'!$A$3:$A$10005),0),MATCH('Reg 85'!$O$11,'DMR 001C TIN &amp; TP'!$A$2:$M$2,0))),"")</f>
        <v/>
      </c>
      <c r="T285" s="6" t="str">
        <f t="array" ref="T285">_xlfn.IFNA((INDEX('DMR 001C TIN &amp; TP'!$A$3:$M$10005,MATCH(('Reg 85'!$I$6:$Q$6&amp;'Reg 85'!T$10&amp;'Reg 85'!$B285),('DMR 001C TIN &amp; TP'!$E$3:$E$10005&amp;'DMR 001C TIN &amp; TP'!$B$3:$B$10005&amp;'DMR 001C TIN &amp; TP'!$A$3:$A$10005),0),MATCH('Reg 85'!$O$11,'DMR 001C TIN &amp; TP'!$A$2:$M$2,0))),"")</f>
        <v/>
      </c>
      <c r="U285" s="6" t="str">
        <f t="array" ref="U285">_xlfn.IFNA((INDEX('DMR 001C TIN &amp; TP'!$A$3:$M$10005,MATCH(('Reg 85'!$I$6:$Q$6&amp;'Reg 85'!U$10&amp;'Reg 85'!$B285),('DMR 001C TIN &amp; TP'!$E$3:$E$10005&amp;'DMR 001C TIN &amp; TP'!$B$3:$B$10005&amp;'DMR 001C TIN &amp; TP'!$A$3:$A$10005),0),MATCH('Reg 85'!$O$11,'DMR 001C TIN &amp; TP'!$A$2:$M$2,0))),"")</f>
        <v/>
      </c>
      <c r="V285" s="6" t="str">
        <f t="array" ref="V285">_xlfn.IFNA((INDEX('DMR 001C TIN &amp; TP'!$A$3:$M$10005,MATCH(('Reg 85'!$I$6:$Q$6&amp;'Reg 85'!V$10&amp;'Reg 85'!$B285),('DMR 001C TIN &amp; TP'!$E$3:$E$10005&amp;'DMR 001C TIN &amp; TP'!$B$3:$B$10005&amp;'DMR 001C TIN &amp; TP'!$A$3:$A$10005),0),MATCH('Reg 85'!$O$11,'DMR 001C TIN &amp; TP'!$A$2:$M$2,0))),"")</f>
        <v/>
      </c>
      <c r="W285" s="6" t="str">
        <f t="array" ref="W285">_xlfn.IFNA((INDEX('DMR 001C TIN &amp; TP'!$A$3:$M$10005,MATCH(('Reg 85'!$I$6:$Q$6&amp;'Reg 85'!W$10&amp;'Reg 85'!$B285),('DMR 001C TIN &amp; TP'!$E$3:$E$10005&amp;'DMR 001C TIN &amp; TP'!$B$3:$B$10005&amp;'DMR 001C TIN &amp; TP'!$A$3:$A$10005),0),MATCH('Reg 85'!$O$11,'DMR 001C TIN &amp; TP'!$A$2:$M$2,0))),"")</f>
        <v/>
      </c>
      <c r="X285" s="5" t="str">
        <f t="shared" si="113"/>
        <v/>
      </c>
      <c r="Y285" s="6" t="str">
        <f t="array" ref="Y285">_xlfn.IFNA((INDEX('DMR 001C TIN &amp; TP'!$A$3:$M$10005,MATCH(('Reg 85'!$X$6&amp;'Reg 85'!$X$10&amp;'Reg 85'!$B285),('DMR 001C TIN &amp; TP'!$E$3:$E$10005&amp;'DMR 001C TIN &amp; TP'!$B$3:$B$10005&amp;'DMR 001C TIN &amp; TP'!$A$3:$A$10005),0),MATCH('Reg 85'!$Y$11,'DMR 001C TIN &amp; TP'!$A$2:$M$2,0))),"")</f>
        <v>0.06</v>
      </c>
      <c r="Z285" s="6">
        <f t="array" ref="Z285">_xlfn.IFNA((INDEX('DMR 001C TIN &amp; TP'!$A$3:$M$10005,MATCH(('Reg 85'!$X$6&amp;'Reg 85'!$X$10&amp;'Reg 85'!$B285),('DMR 001C TIN &amp; TP'!$E$3:$E$10005&amp;'DMR 001C TIN &amp; TP'!$B$3:$B$10005&amp;'DMR 001C TIN &amp; TP'!$A$3:$A$10005),0),MATCH('Reg 85'!$Z$11,'DMR 001C TIN &amp; TP'!$A$2:$M$2,0))),"")</f>
        <v>4.9400000000000004</v>
      </c>
      <c r="AA285" s="53">
        <f t="shared" si="114"/>
        <v>4.9400000000000004</v>
      </c>
      <c r="AB285" s="5" t="str">
        <f t="shared" si="115"/>
        <v/>
      </c>
      <c r="AC285" s="6" t="str">
        <f t="array" ref="AC285">_xlfn.IFNA((INDEX('DMR 001C TIN &amp; TP'!$A$3:$M$10005,MATCH(('Reg 85'!$X$6&amp;'Reg 85'!$AB$10&amp;'Reg 85'!$B285),('DMR 001C TIN &amp; TP'!$E$3:$E$10005&amp;'DMR 001C TIN &amp; TP'!$B$3:$B$10005&amp;'DMR 001C TIN &amp; TP'!$A$3:$A$10005),0),MATCH('Reg 85'!$AC$11,'DMR 001C TIN &amp; TP'!$A$2:$M$2,0))),"")</f>
        <v>0.06</v>
      </c>
      <c r="AD285" s="6">
        <f t="array" ref="AD285">_xlfn.IFNA((INDEX('DMR 001C TIN &amp; TP'!$A$3:$M$10005,MATCH(('Reg 85'!$X$6&amp;'Reg 85'!$AB$10&amp;'Reg 85'!$B285),('DMR 001C TIN &amp; TP'!$E$3:$E$10005&amp;'DMR 001C TIN &amp; TP'!$B$3:$B$10005&amp;'DMR 001C TIN &amp; TP'!$A$3:$A$10005),0),MATCH('Reg 85'!$AD$11,'DMR 001C TIN &amp; TP'!$A$2:$M$2,0))),"")</f>
        <v>4.8499999999999996</v>
      </c>
      <c r="AE285" s="53">
        <f t="shared" si="116"/>
        <v>4.8499999999999996</v>
      </c>
      <c r="AF285" s="7">
        <f t="shared" si="117"/>
        <v>4.9002302636012782</v>
      </c>
      <c r="AG285" s="6" t="str">
        <f t="array" ref="AG285">_xlfn.IFNA((INDEX('DMR 001C TIN &amp; TP'!$A$3:$M$10005,MATCH(('Reg 85'!$X$6&amp;'Reg 85'!AG$10&amp;'Reg 85'!$B285),('DMR 001C TIN &amp; TP'!$E$3:$E$10005&amp;'DMR 001C TIN &amp; TP'!$B$3:$B$10005&amp;'DMR 001C TIN &amp; TP'!$A$3:$A$10005),0),MATCH('Reg 85'!$AG$11,'DMR 001C TIN &amp; TP'!$A$2:$M$2,0))),"")</f>
        <v/>
      </c>
      <c r="AH285" s="6" t="str">
        <f t="array" ref="AH285">_xlfn.IFNA((INDEX('DMR 001C TIN &amp; TP'!$A$3:$M$10005,MATCH(('Reg 85'!$X$6&amp;'Reg 85'!AH$10&amp;'Reg 85'!$B285),('DMR 001C TIN &amp; TP'!$E$3:$E$10005&amp;'DMR 001C TIN &amp; TP'!$B$3:$B$10005&amp;'DMR 001C TIN &amp; TP'!$A$3:$A$10005),0),MATCH('Reg 85'!$AG$11,'DMR 001C TIN &amp; TP'!$A$2:$M$2,0))),"")</f>
        <v/>
      </c>
      <c r="AI285" s="6" t="str">
        <f t="array" ref="AI285">_xlfn.IFNA((INDEX('DMR 001C TIN &amp; TP'!$A$3:$M$10005,MATCH(('Reg 85'!$X$6&amp;'Reg 85'!AI$10&amp;'Reg 85'!$B285),('DMR 001C TIN &amp; TP'!$E$3:$E$10005&amp;'DMR 001C TIN &amp; TP'!$B$3:$B$10005&amp;'DMR 001C TIN &amp; TP'!$A$3:$A$10005),0),MATCH('Reg 85'!$AG$11,'DMR 001C TIN &amp; TP'!$A$2:$M$2,0))),"")</f>
        <v/>
      </c>
      <c r="AJ285" s="6" t="str">
        <f t="array" ref="AJ285">_xlfn.IFNA((INDEX('DMR 001C TIN &amp; TP'!$A$3:$M$10005,MATCH(('Reg 85'!$X$6&amp;'Reg 85'!AJ$10&amp;'Reg 85'!$B285),('DMR 001C TIN &amp; TP'!$E$3:$E$10005&amp;'DMR 001C TIN &amp; TP'!$B$3:$B$10005&amp;'DMR 001C TIN &amp; TP'!$A$3:$A$10005),0),MATCH('Reg 85'!$AG$11,'DMR 001C TIN &amp; TP'!$A$2:$M$2,0))),"")</f>
        <v/>
      </c>
      <c r="AK285" s="6" t="str">
        <f t="array" ref="AK285">_xlfn.IFNA((INDEX('DMR 001C TIN &amp; TP'!$A$3:$M$10005,MATCH(('Reg 85'!$X$6&amp;'Reg 85'!AK$10&amp;'Reg 85'!$B285),('DMR 001C TIN &amp; TP'!$E$3:$E$10005&amp;'DMR 001C TIN &amp; TP'!$B$3:$B$10005&amp;'DMR 001C TIN &amp; TP'!$A$3:$A$10005),0),MATCH('Reg 85'!$AG$11,'DMR 001C TIN &amp; TP'!$A$2:$M$2,0))),"")</f>
        <v/>
      </c>
      <c r="AL285" s="6" t="str">
        <f t="array" ref="AL285">_xlfn.IFNA((INDEX('DMR 001C TIN &amp; TP'!$A$3:$M$10005,MATCH(('Reg 85'!$X$6&amp;'Reg 85'!AL$10&amp;'Reg 85'!$B285),('DMR 001C TIN &amp; TP'!$E$3:$E$10005&amp;'DMR 001C TIN &amp; TP'!$B$3:$B$10005&amp;'DMR 001C TIN &amp; TP'!$A$3:$A$10005),0),MATCH('Reg 85'!$AG$11,'DMR 001C TIN &amp; TP'!$A$2:$M$2,0))),"")</f>
        <v/>
      </c>
      <c r="AM285" s="76"/>
      <c r="AN285" s="6"/>
      <c r="AO285" s="54">
        <f t="shared" si="104"/>
        <v>5.4760416676026979</v>
      </c>
      <c r="AP285" s="77" t="str">
        <f t="shared" si="102"/>
        <v/>
      </c>
      <c r="AQ285" s="47"/>
      <c r="AR285" s="6" t="str">
        <f t="array" ref="AR285">_xlfn.IFNA((INDEX('DMR 001C TIN &amp; TP'!$A$3:$M$10005,MATCH(('Reg 85'!$AQ$6&amp;'Reg 85'!$AQ$10&amp;'Reg 85'!$B285),('DMR 001C TIN &amp; TP'!$E$3:$E$10005&amp;'DMR 001C TIN &amp; TP'!$B$3:$B$10005&amp;'DMR 001C TIN &amp; TP'!$A$3:$A$10005),0),MATCH('Reg 85'!$AR$11,'DMR 001C TIN &amp; TP'!$A$2:$M$2,0))),"")</f>
        <v/>
      </c>
      <c r="AS285" s="6" t="str">
        <f t="array" ref="AS285">_xlfn.IFNA((INDEX('DMR 001C TIN &amp; TP'!$A$3:$M$10005,MATCH(('Reg 85'!$AQ$6&amp;'Reg 85'!$AQ$10&amp;'Reg 85'!$B285),('DMR 001C TIN &amp; TP'!$E$3:$E$10005&amp;'DMR 001C TIN &amp; TP'!$B$3:$B$10005&amp;'DMR 001C TIN &amp; TP'!$A$3:$A$10005),0),MATCH('Reg 85'!$AS$11,'DMR 001C TIN &amp; TP'!$A$2:$M$2,0))),"")</f>
        <v/>
      </c>
      <c r="AT285" s="53" t="str">
        <f t="shared" si="118"/>
        <v/>
      </c>
      <c r="AV285" s="6" t="str">
        <f t="array" ref="AV285">_xlfn.IFNA((INDEX('DMR 001C TIN &amp; TP'!$A$3:$M$10005,MATCH(('Reg 85'!$AQ$6&amp;'Reg 85'!$AU$10&amp;'Reg 85'!$B285),('DMR 001C TIN &amp; TP'!$E$3:$E$10005&amp;'DMR 001C TIN &amp; TP'!$B$3:$B$10005&amp;'DMR 001C TIN &amp; TP'!$A$3:$A$10005),0),MATCH('Reg 85'!$AV$11,'DMR 001C TIN &amp; TP'!$A$2:$M$2,0))),"")</f>
        <v/>
      </c>
      <c r="AW285" s="6" t="str">
        <f t="array" ref="AW285">_xlfn.IFNA((INDEX('DMR 001C TIN &amp; TP'!$A$3:$M$10005,MATCH(('Reg 85'!$AQ$6&amp;'Reg 85'!$AU$10&amp;'Reg 85'!$B285),('DMR 001C TIN &amp; TP'!$E$3:$E$10005&amp;'DMR 001C TIN &amp; TP'!$B$3:$B$10005&amp;'DMR 001C TIN &amp; TP'!$A$3:$A$10005),0),MATCH('Reg 85'!$AW$11,'DMR 001C TIN &amp; TP'!$A$2:$M$2,0))),"")</f>
        <v/>
      </c>
      <c r="AX285" s="53" t="str">
        <f t="shared" si="119"/>
        <v/>
      </c>
      <c r="AY285" s="55" t="str">
        <f t="shared" si="120"/>
        <v/>
      </c>
      <c r="AZ285" s="77" t="str">
        <f t="shared" si="103"/>
        <v/>
      </c>
      <c r="BA285" s="6" t="str">
        <f t="array" ref="BA285">_xlfn.IFNA((INDEX('DMR 001C TIN &amp; TP'!$A$3:$M$10005,MATCH(('Reg 85'!$AQ$6&amp;'Reg 85'!BA$10&amp;'Reg 85'!$B285),('DMR 001C TIN &amp; TP'!$E$3:$E$10005&amp;'DMR 001C TIN &amp; TP'!$B$3:$B$10005&amp;'DMR 001C TIN &amp; TP'!$A$3:$A$10005),0),MATCH('Reg 85'!$AG$11,'DMR 001C TIN &amp; TP'!$A$2:$M$2,0))),"")</f>
        <v/>
      </c>
      <c r="BB285" s="6" t="str">
        <f t="array" ref="BB285">_xlfn.IFNA((INDEX('DMR 001C TIN &amp; TP'!$A$3:$M$10005,MATCH(('Reg 85'!$AQ$6&amp;'Reg 85'!BB$10&amp;'Reg 85'!$B285),('DMR 001C TIN &amp; TP'!$E$3:$E$10005&amp;'DMR 001C TIN &amp; TP'!$B$3:$B$10005&amp;'DMR 001C TIN &amp; TP'!$A$3:$A$10005),0),MATCH('Reg 85'!$AG$11,'DMR 001C TIN &amp; TP'!$A$2:$M$2,0))),"")</f>
        <v/>
      </c>
      <c r="BC285" s="6" t="str">
        <f t="array" ref="BC285">_xlfn.IFNA((INDEX('DMR 001C TIN &amp; TP'!$A$3:$M$10005,MATCH(('Reg 85'!$AQ$6&amp;'Reg 85'!BC$10&amp;'Reg 85'!$B285),('DMR 001C TIN &amp; TP'!$E$3:$E$10005&amp;'DMR 001C TIN &amp; TP'!$B$3:$B$10005&amp;'DMR 001C TIN &amp; TP'!$A$3:$A$10005),0),MATCH('Reg 85'!$AG$11,'DMR 001C TIN &amp; TP'!$A$2:$M$2,0))),"")</f>
        <v/>
      </c>
      <c r="BD285" s="6" t="str">
        <f t="array" ref="BD285">_xlfn.IFNA((INDEX('DMR 001C TIN &amp; TP'!$A$3:$M$10005,MATCH(('Reg 85'!$AQ$6&amp;'Reg 85'!BD$10&amp;'Reg 85'!$B285),('DMR 001C TIN &amp; TP'!$E$3:$E$10005&amp;'DMR 001C TIN &amp; TP'!$B$3:$B$10005&amp;'DMR 001C TIN &amp; TP'!$A$3:$A$10005),0),MATCH('Reg 85'!$AG$11,'DMR 001C TIN &amp; TP'!$A$2:$M$2,0))),"")</f>
        <v/>
      </c>
      <c r="BE285" s="6" t="str">
        <f t="array" ref="BE285">_xlfn.IFNA((INDEX('DMR 001C TIN &amp; TP'!$A$3:$M$10005,MATCH(('Reg 85'!$AQ$6&amp;'Reg 85'!BE$10&amp;'Reg 85'!$B285),('DMR 001C TIN &amp; TP'!$E$3:$E$10005&amp;'DMR 001C TIN &amp; TP'!$B$3:$B$10005&amp;'DMR 001C TIN &amp; TP'!$A$3:$A$10005),0),MATCH('Reg 85'!$AG$11,'DMR 001C TIN &amp; TP'!$A$2:$M$2,0))),"")</f>
        <v/>
      </c>
      <c r="BF285" s="6" t="str">
        <f t="array" ref="BF285">_xlfn.IFNA((INDEX('DMR 001C TIN &amp; TP'!$A$3:$M$10005,MATCH(('Reg 85'!$AQ$6&amp;'Reg 85'!BF$10&amp;'Reg 85'!$B285),('DMR 001C TIN &amp; TP'!$E$3:$E$10005&amp;'DMR 001C TIN &amp; TP'!$B$3:$B$10005&amp;'DMR 001C TIN &amp; TP'!$A$3:$A$10005),0),MATCH('Reg 85'!$AG$11,'DMR 001C TIN &amp; TP'!$A$2:$M$2,0))),"")</f>
        <v/>
      </c>
    </row>
    <row r="286" spans="1:58">
      <c r="A286" s="3" t="str">
        <f t="shared" si="105"/>
        <v>Sun</v>
      </c>
      <c r="B286" s="96">
        <f t="shared" si="121"/>
        <v>43618</v>
      </c>
      <c r="C286" s="96">
        <f t="shared" si="106"/>
        <v>43646</v>
      </c>
      <c r="D286" s="96">
        <f t="shared" si="107"/>
        <v>43617</v>
      </c>
      <c r="E286" s="95">
        <f t="shared" si="108"/>
        <v>30</v>
      </c>
      <c r="F286" s="7">
        <f t="array" ref="F286">_xlfn.IFNA(INDEX('DMR Flows-Effluent'!$A$3:$F$9999,MATCH(($F$10&amp;$B286),('DMR Flows-Effluent'!$B$3:$B$9999&amp;'DMR Flows-Effluent'!$A$3:$A$9999),0),MATCH($F$8,'DMR Flows-Effluent'!$A$2:$F$2,0)),"")</f>
        <v>74.839699999999993</v>
      </c>
      <c r="G286" s="7">
        <f t="array" ref="G286">_xlfn.IFNA(INDEX('DMR Flows-Effluent'!$A$3:$F$9999,MATCH(($G$10&amp;$B286),('DMR Flows-Effluent'!$B$3:$B$9999&amp;'DMR Flows-Effluent'!$A$3:$A$9999),0),MATCH($F$8,'DMR Flows-Effluent'!$A$2:$F$2,0)),"")</f>
        <v>59.6905</v>
      </c>
      <c r="H286" s="7">
        <f t="shared" si="109"/>
        <v>134.53019999999998</v>
      </c>
      <c r="I286" s="45" t="str">
        <f t="shared" si="110"/>
        <v/>
      </c>
      <c r="J286" s="6" t="str">
        <f t="array" ref="J286">_xlfn.IFNA((INDEX('DMR 001C TIN &amp; TP'!$A$3:$M$10005,MATCH(('Reg 85'!$I$6:$Q$6&amp;'Reg 85'!$I$10:$K$10&amp;'Reg 85'!$B286),('DMR 001C TIN &amp; TP'!$E$3:$E$10005&amp;'DMR 001C TIN &amp; TP'!$B$3:$B$10005&amp;'DMR 001C TIN &amp; TP'!$A$3:$A$10005),0),MATCH('Reg 85'!$J$11,'DMR 001C TIN &amp; TP'!$A$2:$M$2,0))),"")</f>
        <v/>
      </c>
      <c r="K286" s="6" t="str">
        <f t="array" ref="K286">_xlfn.IFNA((INDEX('DMR 001C TIN &amp; TP'!$A$3:$M$10005,MATCH(('Reg 85'!$I$6:$Q$6&amp;'Reg 85'!$I$10:$K$10&amp;'Reg 85'!$B286),('DMR 001C TIN &amp; TP'!$E$3:$E$10005&amp;'DMR 001C TIN &amp; TP'!$B$3:$B$10005&amp;'DMR 001C TIN &amp; TP'!$A$3:$A$10005),0),MATCH('Reg 85'!$K$11,'DMR 001C TIN &amp; TP'!$A$2:$M$2,0))),"")</f>
        <v/>
      </c>
      <c r="L286" s="53" t="str">
        <f t="shared" si="122"/>
        <v/>
      </c>
      <c r="M286" s="5" t="str">
        <f t="shared" si="111"/>
        <v/>
      </c>
      <c r="N286" s="6" t="str">
        <f t="array" ref="N286">_xlfn.IFNA((INDEX('DMR 001C TIN &amp; TP'!$A$3:$M$10005,MATCH(('Reg 85'!$I$6:$Q$6&amp;'Reg 85'!$M$10&amp;'Reg 85'!$B286),('DMR 001C TIN &amp; TP'!$E$3:$E$10005&amp;'DMR 001C TIN &amp; TP'!$B$3:$B$10005&amp;'DMR 001C TIN &amp; TP'!$A$3:$A$10005),0),MATCH('Reg 85'!$N$11,'DMR 001C TIN &amp; TP'!$A$2:$M$2,0))),"")</f>
        <v/>
      </c>
      <c r="O286" s="6" t="str">
        <f t="array" ref="O286">_xlfn.IFNA((INDEX('DMR 001C TIN &amp; TP'!$A$3:$M$10005,MATCH(('Reg 85'!$I$6:$Q$6&amp;'Reg 85'!$M$10&amp;'Reg 85'!$B286),('DMR 001C TIN &amp; TP'!$E$3:$E$10005&amp;'DMR 001C TIN &amp; TP'!$B$3:$B$10005&amp;'DMR 001C TIN &amp; TP'!$A$3:$A$10005),0),MATCH('Reg 85'!$O$11,'DMR 001C TIN &amp; TP'!$A$2:$M$2,0))),"")</f>
        <v/>
      </c>
      <c r="P286" s="53" t="str">
        <f t="shared" si="112"/>
        <v/>
      </c>
      <c r="Q286" s="73" t="str">
        <f t="array" ref="Q286">IFERROR(((L286*$F286)+(P286*$G286))/($H286),"")</f>
        <v/>
      </c>
      <c r="R286" s="6" t="str">
        <f t="array" ref="R286">_xlfn.IFNA((INDEX('DMR 001C TIN &amp; TP'!$A$3:$M$10005,MATCH(('Reg 85'!$I$6:$Q$6&amp;'Reg 85'!R$10&amp;'Reg 85'!$B286),('DMR 001C TIN &amp; TP'!$E$3:$E$10005&amp;'DMR 001C TIN &amp; TP'!$B$3:$B$10005&amp;'DMR 001C TIN &amp; TP'!$A$3:$A$10005),0),MATCH('Reg 85'!$O$11,'DMR 001C TIN &amp; TP'!$A$2:$M$2,0))),"")</f>
        <v/>
      </c>
      <c r="S286" s="6" t="str">
        <f t="array" ref="S286">_xlfn.IFNA((INDEX('DMR 001C TIN &amp; TP'!$A$3:$M$10005,MATCH(('Reg 85'!$I$6:$Q$6&amp;'Reg 85'!S$10&amp;'Reg 85'!$B286),('DMR 001C TIN &amp; TP'!$E$3:$E$10005&amp;'DMR 001C TIN &amp; TP'!$B$3:$B$10005&amp;'DMR 001C TIN &amp; TP'!$A$3:$A$10005),0),MATCH('Reg 85'!$O$11,'DMR 001C TIN &amp; TP'!$A$2:$M$2,0))),"")</f>
        <v/>
      </c>
      <c r="T286" s="6" t="str">
        <f t="array" ref="T286">_xlfn.IFNA((INDEX('DMR 001C TIN &amp; TP'!$A$3:$M$10005,MATCH(('Reg 85'!$I$6:$Q$6&amp;'Reg 85'!T$10&amp;'Reg 85'!$B286),('DMR 001C TIN &amp; TP'!$E$3:$E$10005&amp;'DMR 001C TIN &amp; TP'!$B$3:$B$10005&amp;'DMR 001C TIN &amp; TP'!$A$3:$A$10005),0),MATCH('Reg 85'!$O$11,'DMR 001C TIN &amp; TP'!$A$2:$M$2,0))),"")</f>
        <v/>
      </c>
      <c r="U286" s="6" t="str">
        <f t="array" ref="U286">_xlfn.IFNA((INDEX('DMR 001C TIN &amp; TP'!$A$3:$M$10005,MATCH(('Reg 85'!$I$6:$Q$6&amp;'Reg 85'!U$10&amp;'Reg 85'!$B286),('DMR 001C TIN &amp; TP'!$E$3:$E$10005&amp;'DMR 001C TIN &amp; TP'!$B$3:$B$10005&amp;'DMR 001C TIN &amp; TP'!$A$3:$A$10005),0),MATCH('Reg 85'!$O$11,'DMR 001C TIN &amp; TP'!$A$2:$M$2,0))),"")</f>
        <v/>
      </c>
      <c r="V286" s="6" t="str">
        <f t="array" ref="V286">_xlfn.IFNA((INDEX('DMR 001C TIN &amp; TP'!$A$3:$M$10005,MATCH(('Reg 85'!$I$6:$Q$6&amp;'Reg 85'!V$10&amp;'Reg 85'!$B286),('DMR 001C TIN &amp; TP'!$E$3:$E$10005&amp;'DMR 001C TIN &amp; TP'!$B$3:$B$10005&amp;'DMR 001C TIN &amp; TP'!$A$3:$A$10005),0),MATCH('Reg 85'!$O$11,'DMR 001C TIN &amp; TP'!$A$2:$M$2,0))),"")</f>
        <v/>
      </c>
      <c r="W286" s="6" t="str">
        <f t="array" ref="W286">_xlfn.IFNA((INDEX('DMR 001C TIN &amp; TP'!$A$3:$M$10005,MATCH(('Reg 85'!$I$6:$Q$6&amp;'Reg 85'!W$10&amp;'Reg 85'!$B286),('DMR 001C TIN &amp; TP'!$E$3:$E$10005&amp;'DMR 001C TIN &amp; TP'!$B$3:$B$10005&amp;'DMR 001C TIN &amp; TP'!$A$3:$A$10005),0),MATCH('Reg 85'!$O$11,'DMR 001C TIN &amp; TP'!$A$2:$M$2,0))),"")</f>
        <v/>
      </c>
      <c r="X286" s="5" t="str">
        <f t="shared" si="113"/>
        <v/>
      </c>
      <c r="Y286" s="6" t="str">
        <f t="array" ref="Y286">_xlfn.IFNA((INDEX('DMR 001C TIN &amp; TP'!$A$3:$M$10005,MATCH(('Reg 85'!$X$6&amp;'Reg 85'!$X$10&amp;'Reg 85'!$B286),('DMR 001C TIN &amp; TP'!$E$3:$E$10005&amp;'DMR 001C TIN &amp; TP'!$B$3:$B$10005&amp;'DMR 001C TIN &amp; TP'!$A$3:$A$10005),0),MATCH('Reg 85'!$Y$11,'DMR 001C TIN &amp; TP'!$A$2:$M$2,0))),"")</f>
        <v/>
      </c>
      <c r="Z286" s="6" t="str">
        <f t="array" ref="Z286">_xlfn.IFNA((INDEX('DMR 001C TIN &amp; TP'!$A$3:$M$10005,MATCH(('Reg 85'!$X$6&amp;'Reg 85'!$X$10&amp;'Reg 85'!$B286),('DMR 001C TIN &amp; TP'!$E$3:$E$10005&amp;'DMR 001C TIN &amp; TP'!$B$3:$B$10005&amp;'DMR 001C TIN &amp; TP'!$A$3:$A$10005),0),MATCH('Reg 85'!$Z$11,'DMR 001C TIN &amp; TP'!$A$2:$M$2,0))),"")</f>
        <v/>
      </c>
      <c r="AA286" s="53" t="str">
        <f t="shared" si="114"/>
        <v/>
      </c>
      <c r="AB286" s="5" t="str">
        <f t="shared" si="115"/>
        <v/>
      </c>
      <c r="AC286" s="6" t="str">
        <f t="array" ref="AC286">_xlfn.IFNA((INDEX('DMR 001C TIN &amp; TP'!$A$3:$M$10005,MATCH(('Reg 85'!$X$6&amp;'Reg 85'!$AB$10&amp;'Reg 85'!$B286),('DMR 001C TIN &amp; TP'!$E$3:$E$10005&amp;'DMR 001C TIN &amp; TP'!$B$3:$B$10005&amp;'DMR 001C TIN &amp; TP'!$A$3:$A$10005),0),MATCH('Reg 85'!$AC$11,'DMR 001C TIN &amp; TP'!$A$2:$M$2,0))),"")</f>
        <v/>
      </c>
      <c r="AD286" s="6" t="str">
        <f t="array" ref="AD286">_xlfn.IFNA((INDEX('DMR 001C TIN &amp; TP'!$A$3:$M$10005,MATCH(('Reg 85'!$X$6&amp;'Reg 85'!$AB$10&amp;'Reg 85'!$B286),('DMR 001C TIN &amp; TP'!$E$3:$E$10005&amp;'DMR 001C TIN &amp; TP'!$B$3:$B$10005&amp;'DMR 001C TIN &amp; TP'!$A$3:$A$10005),0),MATCH('Reg 85'!$AD$11,'DMR 001C TIN &amp; TP'!$A$2:$M$2,0))),"")</f>
        <v/>
      </c>
      <c r="AE286" s="53" t="str">
        <f t="shared" si="116"/>
        <v/>
      </c>
      <c r="AF286" s="7" t="str">
        <f t="shared" si="117"/>
        <v/>
      </c>
      <c r="AG286" s="6" t="str">
        <f t="array" ref="AG286">_xlfn.IFNA((INDEX('DMR 001C TIN &amp; TP'!$A$3:$M$10005,MATCH(('Reg 85'!$X$6&amp;'Reg 85'!AG$10&amp;'Reg 85'!$B286),('DMR 001C TIN &amp; TP'!$E$3:$E$10005&amp;'DMR 001C TIN &amp; TP'!$B$3:$B$10005&amp;'DMR 001C TIN &amp; TP'!$A$3:$A$10005),0),MATCH('Reg 85'!$AG$11,'DMR 001C TIN &amp; TP'!$A$2:$M$2,0))),"")</f>
        <v/>
      </c>
      <c r="AH286" s="6" t="str">
        <f t="array" ref="AH286">_xlfn.IFNA((INDEX('DMR 001C TIN &amp; TP'!$A$3:$M$10005,MATCH(('Reg 85'!$X$6&amp;'Reg 85'!AH$10&amp;'Reg 85'!$B286),('DMR 001C TIN &amp; TP'!$E$3:$E$10005&amp;'DMR 001C TIN &amp; TP'!$B$3:$B$10005&amp;'DMR 001C TIN &amp; TP'!$A$3:$A$10005),0),MATCH('Reg 85'!$AG$11,'DMR 001C TIN &amp; TP'!$A$2:$M$2,0))),"")</f>
        <v/>
      </c>
      <c r="AI286" s="6" t="str">
        <f t="array" ref="AI286">_xlfn.IFNA((INDEX('DMR 001C TIN &amp; TP'!$A$3:$M$10005,MATCH(('Reg 85'!$X$6&amp;'Reg 85'!AI$10&amp;'Reg 85'!$B286),('DMR 001C TIN &amp; TP'!$E$3:$E$10005&amp;'DMR 001C TIN &amp; TP'!$B$3:$B$10005&amp;'DMR 001C TIN &amp; TP'!$A$3:$A$10005),0),MATCH('Reg 85'!$AG$11,'DMR 001C TIN &amp; TP'!$A$2:$M$2,0))),"")</f>
        <v/>
      </c>
      <c r="AJ286" s="6" t="str">
        <f t="array" ref="AJ286">_xlfn.IFNA((INDEX('DMR 001C TIN &amp; TP'!$A$3:$M$10005,MATCH(('Reg 85'!$X$6&amp;'Reg 85'!AJ$10&amp;'Reg 85'!$B286),('DMR 001C TIN &amp; TP'!$E$3:$E$10005&amp;'DMR 001C TIN &amp; TP'!$B$3:$B$10005&amp;'DMR 001C TIN &amp; TP'!$A$3:$A$10005),0),MATCH('Reg 85'!$AG$11,'DMR 001C TIN &amp; TP'!$A$2:$M$2,0))),"")</f>
        <v/>
      </c>
      <c r="AK286" s="6" t="str">
        <f t="array" ref="AK286">_xlfn.IFNA((INDEX('DMR 001C TIN &amp; TP'!$A$3:$M$10005,MATCH(('Reg 85'!$X$6&amp;'Reg 85'!AK$10&amp;'Reg 85'!$B286),('DMR 001C TIN &amp; TP'!$E$3:$E$10005&amp;'DMR 001C TIN &amp; TP'!$B$3:$B$10005&amp;'DMR 001C TIN &amp; TP'!$A$3:$A$10005),0),MATCH('Reg 85'!$AG$11,'DMR 001C TIN &amp; TP'!$A$2:$M$2,0))),"")</f>
        <v/>
      </c>
      <c r="AL286" s="6" t="str">
        <f t="array" ref="AL286">_xlfn.IFNA((INDEX('DMR 001C TIN &amp; TP'!$A$3:$M$10005,MATCH(('Reg 85'!$X$6&amp;'Reg 85'!AL$10&amp;'Reg 85'!$B286),('DMR 001C TIN &amp; TP'!$E$3:$E$10005&amp;'DMR 001C TIN &amp; TP'!$B$3:$B$10005&amp;'DMR 001C TIN &amp; TP'!$A$3:$A$10005),0),MATCH('Reg 85'!$AG$11,'DMR 001C TIN &amp; TP'!$A$2:$M$2,0))),"")</f>
        <v/>
      </c>
      <c r="AM286" s="76"/>
      <c r="AN286" s="6"/>
      <c r="AO286" s="54" t="str">
        <f t="shared" si="104"/>
        <v/>
      </c>
      <c r="AP286" s="77" t="str">
        <f t="shared" si="102"/>
        <v/>
      </c>
      <c r="AQ286" s="47"/>
      <c r="AR286" s="6" t="str">
        <f t="array" ref="AR286">_xlfn.IFNA((INDEX('DMR 001C TIN &amp; TP'!$A$3:$M$10005,MATCH(('Reg 85'!$AQ$6&amp;'Reg 85'!$AQ$10&amp;'Reg 85'!$B286),('DMR 001C TIN &amp; TP'!$E$3:$E$10005&amp;'DMR 001C TIN &amp; TP'!$B$3:$B$10005&amp;'DMR 001C TIN &amp; TP'!$A$3:$A$10005),0),MATCH('Reg 85'!$AR$11,'DMR 001C TIN &amp; TP'!$A$2:$M$2,0))),"")</f>
        <v>0.03</v>
      </c>
      <c r="AS286" s="6">
        <f t="array" ref="AS286">_xlfn.IFNA((INDEX('DMR 001C TIN &amp; TP'!$A$3:$M$10005,MATCH(('Reg 85'!$AQ$6&amp;'Reg 85'!$AQ$10&amp;'Reg 85'!$B286),('DMR 001C TIN &amp; TP'!$E$3:$E$10005&amp;'DMR 001C TIN &amp; TP'!$B$3:$B$10005&amp;'DMR 001C TIN &amp; TP'!$A$3:$A$10005),0),MATCH('Reg 85'!$AS$11,'DMR 001C TIN &amp; TP'!$A$2:$M$2,0))),"")</f>
        <v>0.39</v>
      </c>
      <c r="AT286" s="53">
        <f t="shared" si="118"/>
        <v>0.39</v>
      </c>
      <c r="AV286" s="6" t="str">
        <f t="array" ref="AV286">_xlfn.IFNA((INDEX('DMR 001C TIN &amp; TP'!$A$3:$M$10005,MATCH(('Reg 85'!$AQ$6&amp;'Reg 85'!$AU$10&amp;'Reg 85'!$B286),('DMR 001C TIN &amp; TP'!$E$3:$E$10005&amp;'DMR 001C TIN &amp; TP'!$B$3:$B$10005&amp;'DMR 001C TIN &amp; TP'!$A$3:$A$10005),0),MATCH('Reg 85'!$AV$11,'DMR 001C TIN &amp; TP'!$A$2:$M$2,0))),"")</f>
        <v>0.15</v>
      </c>
      <c r="AW286" s="6">
        <f t="array" ref="AW286">_xlfn.IFNA((INDEX('DMR 001C TIN &amp; TP'!$A$3:$M$10005,MATCH(('Reg 85'!$AQ$6&amp;'Reg 85'!$AU$10&amp;'Reg 85'!$B286),('DMR 001C TIN &amp; TP'!$E$3:$E$10005&amp;'DMR 001C TIN &amp; TP'!$B$3:$B$10005&amp;'DMR 001C TIN &amp; TP'!$A$3:$A$10005),0),MATCH('Reg 85'!$AW$11,'DMR 001C TIN &amp; TP'!$A$2:$M$2,0))),"")</f>
        <v>3.15</v>
      </c>
      <c r="AX286" s="53">
        <f t="shared" si="119"/>
        <v>3.15</v>
      </c>
      <c r="AY286" s="55">
        <f t="shared" si="120"/>
        <v>1.614600721622357</v>
      </c>
      <c r="AZ286" s="77" t="str">
        <f t="shared" si="103"/>
        <v/>
      </c>
      <c r="BA286" s="6" t="str">
        <f t="array" ref="BA286">_xlfn.IFNA((INDEX('DMR 001C TIN &amp; TP'!$A$3:$M$10005,MATCH(('Reg 85'!$AQ$6&amp;'Reg 85'!BA$10&amp;'Reg 85'!$B286),('DMR 001C TIN &amp; TP'!$E$3:$E$10005&amp;'DMR 001C TIN &amp; TP'!$B$3:$B$10005&amp;'DMR 001C TIN &amp; TP'!$A$3:$A$10005),0),MATCH('Reg 85'!$AG$11,'DMR 001C TIN &amp; TP'!$A$2:$M$2,0))),"")</f>
        <v/>
      </c>
      <c r="BB286" s="6" t="str">
        <f t="array" ref="BB286">_xlfn.IFNA((INDEX('DMR 001C TIN &amp; TP'!$A$3:$M$10005,MATCH(('Reg 85'!$AQ$6&amp;'Reg 85'!BB$10&amp;'Reg 85'!$B286),('DMR 001C TIN &amp; TP'!$E$3:$E$10005&amp;'DMR 001C TIN &amp; TP'!$B$3:$B$10005&amp;'DMR 001C TIN &amp; TP'!$A$3:$A$10005),0),MATCH('Reg 85'!$AG$11,'DMR 001C TIN &amp; TP'!$A$2:$M$2,0))),"")</f>
        <v/>
      </c>
      <c r="BC286" s="6" t="str">
        <f t="array" ref="BC286">_xlfn.IFNA((INDEX('DMR 001C TIN &amp; TP'!$A$3:$M$10005,MATCH(('Reg 85'!$AQ$6&amp;'Reg 85'!BC$10&amp;'Reg 85'!$B286),('DMR 001C TIN &amp; TP'!$E$3:$E$10005&amp;'DMR 001C TIN &amp; TP'!$B$3:$B$10005&amp;'DMR 001C TIN &amp; TP'!$A$3:$A$10005),0),MATCH('Reg 85'!$AG$11,'DMR 001C TIN &amp; TP'!$A$2:$M$2,0))),"")</f>
        <v/>
      </c>
      <c r="BD286" s="6" t="str">
        <f t="array" ref="BD286">_xlfn.IFNA((INDEX('DMR 001C TIN &amp; TP'!$A$3:$M$10005,MATCH(('Reg 85'!$AQ$6&amp;'Reg 85'!BD$10&amp;'Reg 85'!$B286),('DMR 001C TIN &amp; TP'!$E$3:$E$10005&amp;'DMR 001C TIN &amp; TP'!$B$3:$B$10005&amp;'DMR 001C TIN &amp; TP'!$A$3:$A$10005),0),MATCH('Reg 85'!$AG$11,'DMR 001C TIN &amp; TP'!$A$2:$M$2,0))),"")</f>
        <v/>
      </c>
      <c r="BE286" s="6" t="str">
        <f t="array" ref="BE286">_xlfn.IFNA((INDEX('DMR 001C TIN &amp; TP'!$A$3:$M$10005,MATCH(('Reg 85'!$AQ$6&amp;'Reg 85'!BE$10&amp;'Reg 85'!$B286),('DMR 001C TIN &amp; TP'!$E$3:$E$10005&amp;'DMR 001C TIN &amp; TP'!$B$3:$B$10005&amp;'DMR 001C TIN &amp; TP'!$A$3:$A$10005),0),MATCH('Reg 85'!$AG$11,'DMR 001C TIN &amp; TP'!$A$2:$M$2,0))),"")</f>
        <v/>
      </c>
      <c r="BF286" s="6" t="str">
        <f t="array" ref="BF286">_xlfn.IFNA((INDEX('DMR 001C TIN &amp; TP'!$A$3:$M$10005,MATCH(('Reg 85'!$AQ$6&amp;'Reg 85'!BF$10&amp;'Reg 85'!$B286),('DMR 001C TIN &amp; TP'!$E$3:$E$10005&amp;'DMR 001C TIN &amp; TP'!$B$3:$B$10005&amp;'DMR 001C TIN &amp; TP'!$A$3:$A$10005),0),MATCH('Reg 85'!$AG$11,'DMR 001C TIN &amp; TP'!$A$2:$M$2,0))),"")</f>
        <v/>
      </c>
    </row>
    <row r="287" spans="1:58">
      <c r="A287" s="3" t="str">
        <f t="shared" si="105"/>
        <v>Mon</v>
      </c>
      <c r="B287" s="96">
        <f t="shared" si="121"/>
        <v>43619</v>
      </c>
      <c r="C287" s="96">
        <f t="shared" si="106"/>
        <v>43646</v>
      </c>
      <c r="D287" s="96">
        <f t="shared" si="107"/>
        <v>43617</v>
      </c>
      <c r="E287" s="95">
        <f t="shared" si="108"/>
        <v>30</v>
      </c>
      <c r="F287" s="7">
        <f t="array" ref="F287">_xlfn.IFNA(INDEX('DMR Flows-Effluent'!$A$3:$F$9999,MATCH(($F$10&amp;$B287),('DMR Flows-Effluent'!$B$3:$B$9999&amp;'DMR Flows-Effluent'!$A$3:$A$9999),0),MATCH($F$8,'DMR Flows-Effluent'!$A$2:$F$2,0)),"")</f>
        <v>78.994500000000002</v>
      </c>
      <c r="G287" s="7">
        <f t="array" ref="G287">_xlfn.IFNA(INDEX('DMR Flows-Effluent'!$A$3:$F$9999,MATCH(($G$10&amp;$B287),('DMR Flows-Effluent'!$B$3:$B$9999&amp;'DMR Flows-Effluent'!$A$3:$A$9999),0),MATCH($F$8,'DMR Flows-Effluent'!$A$2:$F$2,0)),"")</f>
        <v>58.350099999999998</v>
      </c>
      <c r="H287" s="7">
        <f t="shared" si="109"/>
        <v>137.34460000000001</v>
      </c>
      <c r="I287" s="45" t="str">
        <f t="shared" si="110"/>
        <v/>
      </c>
      <c r="J287" s="6" t="str">
        <f t="array" ref="J287">_xlfn.IFNA((INDEX('DMR 001C TIN &amp; TP'!$A$3:$M$10005,MATCH(('Reg 85'!$I$6:$Q$6&amp;'Reg 85'!$I$10:$K$10&amp;'Reg 85'!$B287),('DMR 001C TIN &amp; TP'!$E$3:$E$10005&amp;'DMR 001C TIN &amp; TP'!$B$3:$B$10005&amp;'DMR 001C TIN &amp; TP'!$A$3:$A$10005),0),MATCH('Reg 85'!$J$11,'DMR 001C TIN &amp; TP'!$A$2:$M$2,0))),"")</f>
        <v>0.15</v>
      </c>
      <c r="K287" s="6">
        <f t="array" ref="K287">_xlfn.IFNA((INDEX('DMR 001C TIN &amp; TP'!$A$3:$M$10005,MATCH(('Reg 85'!$I$6:$Q$6&amp;'Reg 85'!$I$10:$K$10&amp;'Reg 85'!$B287),('DMR 001C TIN &amp; TP'!$E$3:$E$10005&amp;'DMR 001C TIN &amp; TP'!$B$3:$B$10005&amp;'DMR 001C TIN &amp; TP'!$A$3:$A$10005),0),MATCH('Reg 85'!$K$11,'DMR 001C TIN &amp; TP'!$A$2:$M$2,0))),"")</f>
        <v>0.68</v>
      </c>
      <c r="L287" s="53">
        <f t="shared" si="122"/>
        <v>0.68</v>
      </c>
      <c r="M287" s="5" t="str">
        <f t="shared" si="111"/>
        <v/>
      </c>
      <c r="N287" s="6" t="str">
        <f t="array" ref="N287">_xlfn.IFNA((INDEX('DMR 001C TIN &amp; TP'!$A$3:$M$10005,MATCH(('Reg 85'!$I$6:$Q$6&amp;'Reg 85'!$M$10&amp;'Reg 85'!$B287),('DMR 001C TIN &amp; TP'!$E$3:$E$10005&amp;'DMR 001C TIN &amp; TP'!$B$3:$B$10005&amp;'DMR 001C TIN &amp; TP'!$A$3:$A$10005),0),MATCH('Reg 85'!$N$11,'DMR 001C TIN &amp; TP'!$A$2:$M$2,0))),"")</f>
        <v>0.15</v>
      </c>
      <c r="O287" s="6">
        <f t="array" ref="O287">_xlfn.IFNA((INDEX('DMR 001C TIN &amp; TP'!$A$3:$M$10005,MATCH(('Reg 85'!$I$6:$Q$6&amp;'Reg 85'!$M$10&amp;'Reg 85'!$B287),('DMR 001C TIN &amp; TP'!$E$3:$E$10005&amp;'DMR 001C TIN &amp; TP'!$B$3:$B$10005&amp;'DMR 001C TIN &amp; TP'!$A$3:$A$10005),0),MATCH('Reg 85'!$O$11,'DMR 001C TIN &amp; TP'!$A$2:$M$2,0))),"")</f>
        <v>1.24</v>
      </c>
      <c r="P287" s="53">
        <f t="shared" si="112"/>
        <v>1.24</v>
      </c>
      <c r="Q287" s="73">
        <f t="array" ref="Q287">IFERROR(((L287*$F287)+(P287*$G287))/($H287),"")</f>
        <v>0.91791292850246742</v>
      </c>
      <c r="R287" s="6" t="str">
        <f t="array" ref="R287">_xlfn.IFNA((INDEX('DMR 001C TIN &amp; TP'!$A$3:$M$10005,MATCH(('Reg 85'!$I$6:$Q$6&amp;'Reg 85'!R$10&amp;'Reg 85'!$B287),('DMR 001C TIN &amp; TP'!$E$3:$E$10005&amp;'DMR 001C TIN &amp; TP'!$B$3:$B$10005&amp;'DMR 001C TIN &amp; TP'!$A$3:$A$10005),0),MATCH('Reg 85'!$O$11,'DMR 001C TIN &amp; TP'!$A$2:$M$2,0))),"")</f>
        <v/>
      </c>
      <c r="S287" s="6" t="str">
        <f t="array" ref="S287">_xlfn.IFNA((INDEX('DMR 001C TIN &amp; TP'!$A$3:$M$10005,MATCH(('Reg 85'!$I$6:$Q$6&amp;'Reg 85'!S$10&amp;'Reg 85'!$B287),('DMR 001C TIN &amp; TP'!$E$3:$E$10005&amp;'DMR 001C TIN &amp; TP'!$B$3:$B$10005&amp;'DMR 001C TIN &amp; TP'!$A$3:$A$10005),0),MATCH('Reg 85'!$O$11,'DMR 001C TIN &amp; TP'!$A$2:$M$2,0))),"")</f>
        <v/>
      </c>
      <c r="T287" s="6" t="str">
        <f t="array" ref="T287">_xlfn.IFNA((INDEX('DMR 001C TIN &amp; TP'!$A$3:$M$10005,MATCH(('Reg 85'!$I$6:$Q$6&amp;'Reg 85'!T$10&amp;'Reg 85'!$B287),('DMR 001C TIN &amp; TP'!$E$3:$E$10005&amp;'DMR 001C TIN &amp; TP'!$B$3:$B$10005&amp;'DMR 001C TIN &amp; TP'!$A$3:$A$10005),0),MATCH('Reg 85'!$O$11,'DMR 001C TIN &amp; TP'!$A$2:$M$2,0))),"")</f>
        <v/>
      </c>
      <c r="U287" s="6" t="str">
        <f t="array" ref="U287">_xlfn.IFNA((INDEX('DMR 001C TIN &amp; TP'!$A$3:$M$10005,MATCH(('Reg 85'!$I$6:$Q$6&amp;'Reg 85'!U$10&amp;'Reg 85'!$B287),('DMR 001C TIN &amp; TP'!$E$3:$E$10005&amp;'DMR 001C TIN &amp; TP'!$B$3:$B$10005&amp;'DMR 001C TIN &amp; TP'!$A$3:$A$10005),0),MATCH('Reg 85'!$O$11,'DMR 001C TIN &amp; TP'!$A$2:$M$2,0))),"")</f>
        <v/>
      </c>
      <c r="V287" s="6" t="str">
        <f t="array" ref="V287">_xlfn.IFNA((INDEX('DMR 001C TIN &amp; TP'!$A$3:$M$10005,MATCH(('Reg 85'!$I$6:$Q$6&amp;'Reg 85'!V$10&amp;'Reg 85'!$B287),('DMR 001C TIN &amp; TP'!$E$3:$E$10005&amp;'DMR 001C TIN &amp; TP'!$B$3:$B$10005&amp;'DMR 001C TIN &amp; TP'!$A$3:$A$10005),0),MATCH('Reg 85'!$O$11,'DMR 001C TIN &amp; TP'!$A$2:$M$2,0))),"")</f>
        <v/>
      </c>
      <c r="W287" s="6" t="str">
        <f t="array" ref="W287">_xlfn.IFNA((INDEX('DMR 001C TIN &amp; TP'!$A$3:$M$10005,MATCH(('Reg 85'!$I$6:$Q$6&amp;'Reg 85'!W$10&amp;'Reg 85'!$B287),('DMR 001C TIN &amp; TP'!$E$3:$E$10005&amp;'DMR 001C TIN &amp; TP'!$B$3:$B$10005&amp;'DMR 001C TIN &amp; TP'!$A$3:$A$10005),0),MATCH('Reg 85'!$O$11,'DMR 001C TIN &amp; TP'!$A$2:$M$2,0))),"")</f>
        <v/>
      </c>
      <c r="X287" s="5" t="str">
        <f t="shared" si="113"/>
        <v/>
      </c>
      <c r="Y287" s="6" t="str">
        <f t="array" ref="Y287">_xlfn.IFNA((INDEX('DMR 001C TIN &amp; TP'!$A$3:$M$10005,MATCH(('Reg 85'!$X$6&amp;'Reg 85'!$X$10&amp;'Reg 85'!$B287),('DMR 001C TIN &amp; TP'!$E$3:$E$10005&amp;'DMR 001C TIN &amp; TP'!$B$3:$B$10005&amp;'DMR 001C TIN &amp; TP'!$A$3:$A$10005),0),MATCH('Reg 85'!$Y$11,'DMR 001C TIN &amp; TP'!$A$2:$M$2,0))),"")</f>
        <v>0.06</v>
      </c>
      <c r="Z287" s="6">
        <f t="array" ref="Z287">_xlfn.IFNA((INDEX('DMR 001C TIN &amp; TP'!$A$3:$M$10005,MATCH(('Reg 85'!$X$6&amp;'Reg 85'!$X$10&amp;'Reg 85'!$B287),('DMR 001C TIN &amp; TP'!$E$3:$E$10005&amp;'DMR 001C TIN &amp; TP'!$B$3:$B$10005&amp;'DMR 001C TIN &amp; TP'!$A$3:$A$10005),0),MATCH('Reg 85'!$Z$11,'DMR 001C TIN &amp; TP'!$A$2:$M$2,0))),"")</f>
        <v>4.93</v>
      </c>
      <c r="AA287" s="53">
        <f t="shared" si="114"/>
        <v>4.93</v>
      </c>
      <c r="AB287" s="5" t="str">
        <f t="shared" si="115"/>
        <v/>
      </c>
      <c r="AC287" s="6" t="str">
        <f t="array" ref="AC287">_xlfn.IFNA((INDEX('DMR 001C TIN &amp; TP'!$A$3:$M$10005,MATCH(('Reg 85'!$X$6&amp;'Reg 85'!$AB$10&amp;'Reg 85'!$B287),('DMR 001C TIN &amp; TP'!$E$3:$E$10005&amp;'DMR 001C TIN &amp; TP'!$B$3:$B$10005&amp;'DMR 001C TIN &amp; TP'!$A$3:$A$10005),0),MATCH('Reg 85'!$AC$11,'DMR 001C TIN &amp; TP'!$A$2:$M$2,0))),"")</f>
        <v>0.06</v>
      </c>
      <c r="AD287" s="6">
        <f t="array" ref="AD287">_xlfn.IFNA((INDEX('DMR 001C TIN &amp; TP'!$A$3:$M$10005,MATCH(('Reg 85'!$X$6&amp;'Reg 85'!$AB$10&amp;'Reg 85'!$B287),('DMR 001C TIN &amp; TP'!$E$3:$E$10005&amp;'DMR 001C TIN &amp; TP'!$B$3:$B$10005&amp;'DMR 001C TIN &amp; TP'!$A$3:$A$10005),0),MATCH('Reg 85'!$AD$11,'DMR 001C TIN &amp; TP'!$A$2:$M$2,0))),"")</f>
        <v>3.72</v>
      </c>
      <c r="AE287" s="53">
        <f t="shared" si="116"/>
        <v>3.72</v>
      </c>
      <c r="AF287" s="7">
        <f t="shared" si="117"/>
        <v>4.415938136628597</v>
      </c>
      <c r="AG287" s="6" t="str">
        <f t="array" ref="AG287">_xlfn.IFNA((INDEX('DMR 001C TIN &amp; TP'!$A$3:$M$10005,MATCH(('Reg 85'!$X$6&amp;'Reg 85'!AG$10&amp;'Reg 85'!$B287),('DMR 001C TIN &amp; TP'!$E$3:$E$10005&amp;'DMR 001C TIN &amp; TP'!$B$3:$B$10005&amp;'DMR 001C TIN &amp; TP'!$A$3:$A$10005),0),MATCH('Reg 85'!$AG$11,'DMR 001C TIN &amp; TP'!$A$2:$M$2,0))),"")</f>
        <v/>
      </c>
      <c r="AH287" s="6" t="str">
        <f t="array" ref="AH287">_xlfn.IFNA((INDEX('DMR 001C TIN &amp; TP'!$A$3:$M$10005,MATCH(('Reg 85'!$X$6&amp;'Reg 85'!AH$10&amp;'Reg 85'!$B287),('DMR 001C TIN &amp; TP'!$E$3:$E$10005&amp;'DMR 001C TIN &amp; TP'!$B$3:$B$10005&amp;'DMR 001C TIN &amp; TP'!$A$3:$A$10005),0),MATCH('Reg 85'!$AG$11,'DMR 001C TIN &amp; TP'!$A$2:$M$2,0))),"")</f>
        <v/>
      </c>
      <c r="AI287" s="6" t="str">
        <f t="array" ref="AI287">_xlfn.IFNA((INDEX('DMR 001C TIN &amp; TP'!$A$3:$M$10005,MATCH(('Reg 85'!$X$6&amp;'Reg 85'!AI$10&amp;'Reg 85'!$B287),('DMR 001C TIN &amp; TP'!$E$3:$E$10005&amp;'DMR 001C TIN &amp; TP'!$B$3:$B$10005&amp;'DMR 001C TIN &amp; TP'!$A$3:$A$10005),0),MATCH('Reg 85'!$AG$11,'DMR 001C TIN &amp; TP'!$A$2:$M$2,0))),"")</f>
        <v/>
      </c>
      <c r="AJ287" s="6" t="str">
        <f t="array" ref="AJ287">_xlfn.IFNA((INDEX('DMR 001C TIN &amp; TP'!$A$3:$M$10005,MATCH(('Reg 85'!$X$6&amp;'Reg 85'!AJ$10&amp;'Reg 85'!$B287),('DMR 001C TIN &amp; TP'!$E$3:$E$10005&amp;'DMR 001C TIN &amp; TP'!$B$3:$B$10005&amp;'DMR 001C TIN &amp; TP'!$A$3:$A$10005),0),MATCH('Reg 85'!$AG$11,'DMR 001C TIN &amp; TP'!$A$2:$M$2,0))),"")</f>
        <v/>
      </c>
      <c r="AK287" s="6" t="str">
        <f t="array" ref="AK287">_xlfn.IFNA((INDEX('DMR 001C TIN &amp; TP'!$A$3:$M$10005,MATCH(('Reg 85'!$X$6&amp;'Reg 85'!AK$10&amp;'Reg 85'!$B287),('DMR 001C TIN &amp; TP'!$E$3:$E$10005&amp;'DMR 001C TIN &amp; TP'!$B$3:$B$10005&amp;'DMR 001C TIN &amp; TP'!$A$3:$A$10005),0),MATCH('Reg 85'!$AG$11,'DMR 001C TIN &amp; TP'!$A$2:$M$2,0))),"")</f>
        <v/>
      </c>
      <c r="AL287" s="6" t="str">
        <f t="array" ref="AL287">_xlfn.IFNA((INDEX('DMR 001C TIN &amp; TP'!$A$3:$M$10005,MATCH(('Reg 85'!$X$6&amp;'Reg 85'!AL$10&amp;'Reg 85'!$B287),('DMR 001C TIN &amp; TP'!$E$3:$E$10005&amp;'DMR 001C TIN &amp; TP'!$B$3:$B$10005&amp;'DMR 001C TIN &amp; TP'!$A$3:$A$10005),0),MATCH('Reg 85'!$AG$11,'DMR 001C TIN &amp; TP'!$A$2:$M$2,0))),"")</f>
        <v/>
      </c>
      <c r="AM287" s="76"/>
      <c r="AN287" s="6"/>
      <c r="AO287" s="54">
        <f t="shared" si="104"/>
        <v>5.3338510651310642</v>
      </c>
      <c r="AP287" s="77" t="str">
        <f t="shared" si="102"/>
        <v/>
      </c>
      <c r="AQ287" s="47"/>
      <c r="AR287" s="6" t="str">
        <f t="array" ref="AR287">_xlfn.IFNA((INDEX('DMR 001C TIN &amp; TP'!$A$3:$M$10005,MATCH(('Reg 85'!$AQ$6&amp;'Reg 85'!$AQ$10&amp;'Reg 85'!$B287),('DMR 001C TIN &amp; TP'!$E$3:$E$10005&amp;'DMR 001C TIN &amp; TP'!$B$3:$B$10005&amp;'DMR 001C TIN &amp; TP'!$A$3:$A$10005),0),MATCH('Reg 85'!$AR$11,'DMR 001C TIN &amp; TP'!$A$2:$M$2,0))),"")</f>
        <v/>
      </c>
      <c r="AS287" s="6" t="str">
        <f t="array" ref="AS287">_xlfn.IFNA((INDEX('DMR 001C TIN &amp; TP'!$A$3:$M$10005,MATCH(('Reg 85'!$AQ$6&amp;'Reg 85'!$AQ$10&amp;'Reg 85'!$B287),('DMR 001C TIN &amp; TP'!$E$3:$E$10005&amp;'DMR 001C TIN &amp; TP'!$B$3:$B$10005&amp;'DMR 001C TIN &amp; TP'!$A$3:$A$10005),0),MATCH('Reg 85'!$AS$11,'DMR 001C TIN &amp; TP'!$A$2:$M$2,0))),"")</f>
        <v/>
      </c>
      <c r="AT287" s="53" t="str">
        <f t="shared" si="118"/>
        <v/>
      </c>
      <c r="AV287" s="6" t="str">
        <f t="array" ref="AV287">_xlfn.IFNA((INDEX('DMR 001C TIN &amp; TP'!$A$3:$M$10005,MATCH(('Reg 85'!$AQ$6&amp;'Reg 85'!$AU$10&amp;'Reg 85'!$B287),('DMR 001C TIN &amp; TP'!$E$3:$E$10005&amp;'DMR 001C TIN &amp; TP'!$B$3:$B$10005&amp;'DMR 001C TIN &amp; TP'!$A$3:$A$10005),0),MATCH('Reg 85'!$AV$11,'DMR 001C TIN &amp; TP'!$A$2:$M$2,0))),"")</f>
        <v/>
      </c>
      <c r="AW287" s="6" t="str">
        <f t="array" ref="AW287">_xlfn.IFNA((INDEX('DMR 001C TIN &amp; TP'!$A$3:$M$10005,MATCH(('Reg 85'!$AQ$6&amp;'Reg 85'!$AU$10&amp;'Reg 85'!$B287),('DMR 001C TIN &amp; TP'!$E$3:$E$10005&amp;'DMR 001C TIN &amp; TP'!$B$3:$B$10005&amp;'DMR 001C TIN &amp; TP'!$A$3:$A$10005),0),MATCH('Reg 85'!$AW$11,'DMR 001C TIN &amp; TP'!$A$2:$M$2,0))),"")</f>
        <v/>
      </c>
      <c r="AX287" s="53" t="str">
        <f t="shared" si="119"/>
        <v/>
      </c>
      <c r="AY287" s="55" t="str">
        <f t="shared" si="120"/>
        <v/>
      </c>
      <c r="AZ287" s="77" t="str">
        <f t="shared" si="103"/>
        <v/>
      </c>
      <c r="BA287" s="6" t="str">
        <f t="array" ref="BA287">_xlfn.IFNA((INDEX('DMR 001C TIN &amp; TP'!$A$3:$M$10005,MATCH(('Reg 85'!$AQ$6&amp;'Reg 85'!BA$10&amp;'Reg 85'!$B287),('DMR 001C TIN &amp; TP'!$E$3:$E$10005&amp;'DMR 001C TIN &amp; TP'!$B$3:$B$10005&amp;'DMR 001C TIN &amp; TP'!$A$3:$A$10005),0),MATCH('Reg 85'!$AG$11,'DMR 001C TIN &amp; TP'!$A$2:$M$2,0))),"")</f>
        <v/>
      </c>
      <c r="BB287" s="6" t="str">
        <f t="array" ref="BB287">_xlfn.IFNA((INDEX('DMR 001C TIN &amp; TP'!$A$3:$M$10005,MATCH(('Reg 85'!$AQ$6&amp;'Reg 85'!BB$10&amp;'Reg 85'!$B287),('DMR 001C TIN &amp; TP'!$E$3:$E$10005&amp;'DMR 001C TIN &amp; TP'!$B$3:$B$10005&amp;'DMR 001C TIN &amp; TP'!$A$3:$A$10005),0),MATCH('Reg 85'!$AG$11,'DMR 001C TIN &amp; TP'!$A$2:$M$2,0))),"")</f>
        <v/>
      </c>
      <c r="BC287" s="6" t="str">
        <f t="array" ref="BC287">_xlfn.IFNA((INDEX('DMR 001C TIN &amp; TP'!$A$3:$M$10005,MATCH(('Reg 85'!$AQ$6&amp;'Reg 85'!BC$10&amp;'Reg 85'!$B287),('DMR 001C TIN &amp; TP'!$E$3:$E$10005&amp;'DMR 001C TIN &amp; TP'!$B$3:$B$10005&amp;'DMR 001C TIN &amp; TP'!$A$3:$A$10005),0),MATCH('Reg 85'!$AG$11,'DMR 001C TIN &amp; TP'!$A$2:$M$2,0))),"")</f>
        <v/>
      </c>
      <c r="BD287" s="6" t="str">
        <f t="array" ref="BD287">_xlfn.IFNA((INDEX('DMR 001C TIN &amp; TP'!$A$3:$M$10005,MATCH(('Reg 85'!$AQ$6&amp;'Reg 85'!BD$10&amp;'Reg 85'!$B287),('DMR 001C TIN &amp; TP'!$E$3:$E$10005&amp;'DMR 001C TIN &amp; TP'!$B$3:$B$10005&amp;'DMR 001C TIN &amp; TP'!$A$3:$A$10005),0),MATCH('Reg 85'!$AG$11,'DMR 001C TIN &amp; TP'!$A$2:$M$2,0))),"")</f>
        <v/>
      </c>
      <c r="BE287" s="6" t="str">
        <f t="array" ref="BE287">_xlfn.IFNA((INDEX('DMR 001C TIN &amp; TP'!$A$3:$M$10005,MATCH(('Reg 85'!$AQ$6&amp;'Reg 85'!BE$10&amp;'Reg 85'!$B287),('DMR 001C TIN &amp; TP'!$E$3:$E$10005&amp;'DMR 001C TIN &amp; TP'!$B$3:$B$10005&amp;'DMR 001C TIN &amp; TP'!$A$3:$A$10005),0),MATCH('Reg 85'!$AG$11,'DMR 001C TIN &amp; TP'!$A$2:$M$2,0))),"")</f>
        <v/>
      </c>
      <c r="BF287" s="6" t="str">
        <f t="array" ref="BF287">_xlfn.IFNA((INDEX('DMR 001C TIN &amp; TP'!$A$3:$M$10005,MATCH(('Reg 85'!$AQ$6&amp;'Reg 85'!BF$10&amp;'Reg 85'!$B287),('DMR 001C TIN &amp; TP'!$E$3:$E$10005&amp;'DMR 001C TIN &amp; TP'!$B$3:$B$10005&amp;'DMR 001C TIN &amp; TP'!$A$3:$A$10005),0),MATCH('Reg 85'!$AG$11,'DMR 001C TIN &amp; TP'!$A$2:$M$2,0))),"")</f>
        <v/>
      </c>
    </row>
    <row r="288" spans="1:58">
      <c r="A288" s="3" t="str">
        <f t="shared" si="105"/>
        <v>Tue</v>
      </c>
      <c r="B288" s="96">
        <f t="shared" si="121"/>
        <v>43620</v>
      </c>
      <c r="C288" s="96">
        <f t="shared" si="106"/>
        <v>43646</v>
      </c>
      <c r="D288" s="96">
        <f t="shared" si="107"/>
        <v>43617</v>
      </c>
      <c r="E288" s="95">
        <f t="shared" si="108"/>
        <v>30</v>
      </c>
      <c r="F288" s="7">
        <f t="array" ref="F288">_xlfn.IFNA(INDEX('DMR Flows-Effluent'!$A$3:$F$9999,MATCH(($F$10&amp;$B288),('DMR Flows-Effluent'!$B$3:$B$9999&amp;'DMR Flows-Effluent'!$A$3:$A$9999),0),MATCH($F$8,'DMR Flows-Effluent'!$A$2:$F$2,0)),"")</f>
        <v>74.496899999999997</v>
      </c>
      <c r="G288" s="7">
        <f t="array" ref="G288">_xlfn.IFNA(INDEX('DMR Flows-Effluent'!$A$3:$F$9999,MATCH(($G$10&amp;$B288),('DMR Flows-Effluent'!$B$3:$B$9999&amp;'DMR Flows-Effluent'!$A$3:$A$9999),0),MATCH($F$8,'DMR Flows-Effluent'!$A$2:$F$2,0)),"")</f>
        <v>61.0655</v>
      </c>
      <c r="H288" s="7">
        <f t="shared" si="109"/>
        <v>135.5624</v>
      </c>
      <c r="I288" s="45" t="str">
        <f t="shared" si="110"/>
        <v/>
      </c>
      <c r="J288" s="6" t="str">
        <f t="array" ref="J288">_xlfn.IFNA((INDEX('DMR 001C TIN &amp; TP'!$A$3:$M$10005,MATCH(('Reg 85'!$I$6:$Q$6&amp;'Reg 85'!$I$10:$K$10&amp;'Reg 85'!$B288),('DMR 001C TIN &amp; TP'!$E$3:$E$10005&amp;'DMR 001C TIN &amp; TP'!$B$3:$B$10005&amp;'DMR 001C TIN &amp; TP'!$A$3:$A$10005),0),MATCH('Reg 85'!$J$11,'DMR 001C TIN &amp; TP'!$A$2:$M$2,0))),"")</f>
        <v/>
      </c>
      <c r="K288" s="6" t="str">
        <f t="array" ref="K288">_xlfn.IFNA((INDEX('DMR 001C TIN &amp; TP'!$A$3:$M$10005,MATCH(('Reg 85'!$I$6:$Q$6&amp;'Reg 85'!$I$10:$K$10&amp;'Reg 85'!$B288),('DMR 001C TIN &amp; TP'!$E$3:$E$10005&amp;'DMR 001C TIN &amp; TP'!$B$3:$B$10005&amp;'DMR 001C TIN &amp; TP'!$A$3:$A$10005),0),MATCH('Reg 85'!$K$11,'DMR 001C TIN &amp; TP'!$A$2:$M$2,0))),"")</f>
        <v/>
      </c>
      <c r="L288" s="53" t="str">
        <f t="shared" si="122"/>
        <v/>
      </c>
      <c r="M288" s="5" t="str">
        <f t="shared" si="111"/>
        <v/>
      </c>
      <c r="N288" s="6" t="str">
        <f t="array" ref="N288">_xlfn.IFNA((INDEX('DMR 001C TIN &amp; TP'!$A$3:$M$10005,MATCH(('Reg 85'!$I$6:$Q$6&amp;'Reg 85'!$M$10&amp;'Reg 85'!$B288),('DMR 001C TIN &amp; TP'!$E$3:$E$10005&amp;'DMR 001C TIN &amp; TP'!$B$3:$B$10005&amp;'DMR 001C TIN &amp; TP'!$A$3:$A$10005),0),MATCH('Reg 85'!$N$11,'DMR 001C TIN &amp; TP'!$A$2:$M$2,0))),"")</f>
        <v/>
      </c>
      <c r="O288" s="6" t="str">
        <f t="array" ref="O288">_xlfn.IFNA((INDEX('DMR 001C TIN &amp; TP'!$A$3:$M$10005,MATCH(('Reg 85'!$I$6:$Q$6&amp;'Reg 85'!$M$10&amp;'Reg 85'!$B288),('DMR 001C TIN &amp; TP'!$E$3:$E$10005&amp;'DMR 001C TIN &amp; TP'!$B$3:$B$10005&amp;'DMR 001C TIN &amp; TP'!$A$3:$A$10005),0),MATCH('Reg 85'!$O$11,'DMR 001C TIN &amp; TP'!$A$2:$M$2,0))),"")</f>
        <v/>
      </c>
      <c r="P288" s="53" t="str">
        <f t="shared" si="112"/>
        <v/>
      </c>
      <c r="Q288" s="73" t="str">
        <f t="array" ref="Q288">IFERROR(((L288*$F288)+(P288*$G288))/($H288),"")</f>
        <v/>
      </c>
      <c r="R288" s="6" t="str">
        <f t="array" ref="R288">_xlfn.IFNA((INDEX('DMR 001C TIN &amp; TP'!$A$3:$M$10005,MATCH(('Reg 85'!$I$6:$Q$6&amp;'Reg 85'!R$10&amp;'Reg 85'!$B288),('DMR 001C TIN &amp; TP'!$E$3:$E$10005&amp;'DMR 001C TIN &amp; TP'!$B$3:$B$10005&amp;'DMR 001C TIN &amp; TP'!$A$3:$A$10005),0),MATCH('Reg 85'!$O$11,'DMR 001C TIN &amp; TP'!$A$2:$M$2,0))),"")</f>
        <v/>
      </c>
      <c r="S288" s="6" t="str">
        <f t="array" ref="S288">_xlfn.IFNA((INDEX('DMR 001C TIN &amp; TP'!$A$3:$M$10005,MATCH(('Reg 85'!$I$6:$Q$6&amp;'Reg 85'!S$10&amp;'Reg 85'!$B288),('DMR 001C TIN &amp; TP'!$E$3:$E$10005&amp;'DMR 001C TIN &amp; TP'!$B$3:$B$10005&amp;'DMR 001C TIN &amp; TP'!$A$3:$A$10005),0),MATCH('Reg 85'!$O$11,'DMR 001C TIN &amp; TP'!$A$2:$M$2,0))),"")</f>
        <v/>
      </c>
      <c r="T288" s="6" t="str">
        <f t="array" ref="T288">_xlfn.IFNA((INDEX('DMR 001C TIN &amp; TP'!$A$3:$M$10005,MATCH(('Reg 85'!$I$6:$Q$6&amp;'Reg 85'!T$10&amp;'Reg 85'!$B288),('DMR 001C TIN &amp; TP'!$E$3:$E$10005&amp;'DMR 001C TIN &amp; TP'!$B$3:$B$10005&amp;'DMR 001C TIN &amp; TP'!$A$3:$A$10005),0),MATCH('Reg 85'!$O$11,'DMR 001C TIN &amp; TP'!$A$2:$M$2,0))),"")</f>
        <v/>
      </c>
      <c r="U288" s="6" t="str">
        <f t="array" ref="U288">_xlfn.IFNA((INDEX('DMR 001C TIN &amp; TP'!$A$3:$M$10005,MATCH(('Reg 85'!$I$6:$Q$6&amp;'Reg 85'!U$10&amp;'Reg 85'!$B288),('DMR 001C TIN &amp; TP'!$E$3:$E$10005&amp;'DMR 001C TIN &amp; TP'!$B$3:$B$10005&amp;'DMR 001C TIN &amp; TP'!$A$3:$A$10005),0),MATCH('Reg 85'!$O$11,'DMR 001C TIN &amp; TP'!$A$2:$M$2,0))),"")</f>
        <v/>
      </c>
      <c r="V288" s="6" t="str">
        <f t="array" ref="V288">_xlfn.IFNA((INDEX('DMR 001C TIN &amp; TP'!$A$3:$M$10005,MATCH(('Reg 85'!$I$6:$Q$6&amp;'Reg 85'!V$10&amp;'Reg 85'!$B288),('DMR 001C TIN &amp; TP'!$E$3:$E$10005&amp;'DMR 001C TIN &amp; TP'!$B$3:$B$10005&amp;'DMR 001C TIN &amp; TP'!$A$3:$A$10005),0),MATCH('Reg 85'!$O$11,'DMR 001C TIN &amp; TP'!$A$2:$M$2,0))),"")</f>
        <v/>
      </c>
      <c r="W288" s="6" t="str">
        <f t="array" ref="W288">_xlfn.IFNA((INDEX('DMR 001C TIN &amp; TP'!$A$3:$M$10005,MATCH(('Reg 85'!$I$6:$Q$6&amp;'Reg 85'!W$10&amp;'Reg 85'!$B288),('DMR 001C TIN &amp; TP'!$E$3:$E$10005&amp;'DMR 001C TIN &amp; TP'!$B$3:$B$10005&amp;'DMR 001C TIN &amp; TP'!$A$3:$A$10005),0),MATCH('Reg 85'!$O$11,'DMR 001C TIN &amp; TP'!$A$2:$M$2,0))),"")</f>
        <v/>
      </c>
      <c r="X288" s="5" t="str">
        <f t="shared" si="113"/>
        <v/>
      </c>
      <c r="Y288" s="6" t="str">
        <f t="array" ref="Y288">_xlfn.IFNA((INDEX('DMR 001C TIN &amp; TP'!$A$3:$M$10005,MATCH(('Reg 85'!$X$6&amp;'Reg 85'!$X$10&amp;'Reg 85'!$B288),('DMR 001C TIN &amp; TP'!$E$3:$E$10005&amp;'DMR 001C TIN &amp; TP'!$B$3:$B$10005&amp;'DMR 001C TIN &amp; TP'!$A$3:$A$10005),0),MATCH('Reg 85'!$Y$11,'DMR 001C TIN &amp; TP'!$A$2:$M$2,0))),"")</f>
        <v/>
      </c>
      <c r="Z288" s="6" t="str">
        <f t="array" ref="Z288">_xlfn.IFNA((INDEX('DMR 001C TIN &amp; TP'!$A$3:$M$10005,MATCH(('Reg 85'!$X$6&amp;'Reg 85'!$X$10&amp;'Reg 85'!$B288),('DMR 001C TIN &amp; TP'!$E$3:$E$10005&amp;'DMR 001C TIN &amp; TP'!$B$3:$B$10005&amp;'DMR 001C TIN &amp; TP'!$A$3:$A$10005),0),MATCH('Reg 85'!$Z$11,'DMR 001C TIN &amp; TP'!$A$2:$M$2,0))),"")</f>
        <v/>
      </c>
      <c r="AA288" s="53" t="str">
        <f t="shared" si="114"/>
        <v/>
      </c>
      <c r="AB288" s="5" t="str">
        <f t="shared" si="115"/>
        <v/>
      </c>
      <c r="AC288" s="6" t="str">
        <f t="array" ref="AC288">_xlfn.IFNA((INDEX('DMR 001C TIN &amp; TP'!$A$3:$M$10005,MATCH(('Reg 85'!$X$6&amp;'Reg 85'!$AB$10&amp;'Reg 85'!$B288),('DMR 001C TIN &amp; TP'!$E$3:$E$10005&amp;'DMR 001C TIN &amp; TP'!$B$3:$B$10005&amp;'DMR 001C TIN &amp; TP'!$A$3:$A$10005),0),MATCH('Reg 85'!$AC$11,'DMR 001C TIN &amp; TP'!$A$2:$M$2,0))),"")</f>
        <v/>
      </c>
      <c r="AD288" s="6" t="str">
        <f t="array" ref="AD288">_xlfn.IFNA((INDEX('DMR 001C TIN &amp; TP'!$A$3:$M$10005,MATCH(('Reg 85'!$X$6&amp;'Reg 85'!$AB$10&amp;'Reg 85'!$B288),('DMR 001C TIN &amp; TP'!$E$3:$E$10005&amp;'DMR 001C TIN &amp; TP'!$B$3:$B$10005&amp;'DMR 001C TIN &amp; TP'!$A$3:$A$10005),0),MATCH('Reg 85'!$AD$11,'DMR 001C TIN &amp; TP'!$A$2:$M$2,0))),"")</f>
        <v/>
      </c>
      <c r="AE288" s="53" t="str">
        <f t="shared" si="116"/>
        <v/>
      </c>
      <c r="AF288" s="7" t="str">
        <f t="shared" si="117"/>
        <v/>
      </c>
      <c r="AG288" s="6" t="str">
        <f t="array" ref="AG288">_xlfn.IFNA((INDEX('DMR 001C TIN &amp; TP'!$A$3:$M$10005,MATCH(('Reg 85'!$X$6&amp;'Reg 85'!AG$10&amp;'Reg 85'!$B288),('DMR 001C TIN &amp; TP'!$E$3:$E$10005&amp;'DMR 001C TIN &amp; TP'!$B$3:$B$10005&amp;'DMR 001C TIN &amp; TP'!$A$3:$A$10005),0),MATCH('Reg 85'!$AG$11,'DMR 001C TIN &amp; TP'!$A$2:$M$2,0))),"")</f>
        <v/>
      </c>
      <c r="AH288" s="6" t="str">
        <f t="array" ref="AH288">_xlfn.IFNA((INDEX('DMR 001C TIN &amp; TP'!$A$3:$M$10005,MATCH(('Reg 85'!$X$6&amp;'Reg 85'!AH$10&amp;'Reg 85'!$B288),('DMR 001C TIN &amp; TP'!$E$3:$E$10005&amp;'DMR 001C TIN &amp; TP'!$B$3:$B$10005&amp;'DMR 001C TIN &amp; TP'!$A$3:$A$10005),0),MATCH('Reg 85'!$AG$11,'DMR 001C TIN &amp; TP'!$A$2:$M$2,0))),"")</f>
        <v/>
      </c>
      <c r="AI288" s="6" t="str">
        <f t="array" ref="AI288">_xlfn.IFNA((INDEX('DMR 001C TIN &amp; TP'!$A$3:$M$10005,MATCH(('Reg 85'!$X$6&amp;'Reg 85'!AI$10&amp;'Reg 85'!$B288),('DMR 001C TIN &amp; TP'!$E$3:$E$10005&amp;'DMR 001C TIN &amp; TP'!$B$3:$B$10005&amp;'DMR 001C TIN &amp; TP'!$A$3:$A$10005),0),MATCH('Reg 85'!$AG$11,'DMR 001C TIN &amp; TP'!$A$2:$M$2,0))),"")</f>
        <v/>
      </c>
      <c r="AJ288" s="6" t="str">
        <f t="array" ref="AJ288">_xlfn.IFNA((INDEX('DMR 001C TIN &amp; TP'!$A$3:$M$10005,MATCH(('Reg 85'!$X$6&amp;'Reg 85'!AJ$10&amp;'Reg 85'!$B288),('DMR 001C TIN &amp; TP'!$E$3:$E$10005&amp;'DMR 001C TIN &amp; TP'!$B$3:$B$10005&amp;'DMR 001C TIN &amp; TP'!$A$3:$A$10005),0),MATCH('Reg 85'!$AG$11,'DMR 001C TIN &amp; TP'!$A$2:$M$2,0))),"")</f>
        <v/>
      </c>
      <c r="AK288" s="6" t="str">
        <f t="array" ref="AK288">_xlfn.IFNA((INDEX('DMR 001C TIN &amp; TP'!$A$3:$M$10005,MATCH(('Reg 85'!$X$6&amp;'Reg 85'!AK$10&amp;'Reg 85'!$B288),('DMR 001C TIN &amp; TP'!$E$3:$E$10005&amp;'DMR 001C TIN &amp; TP'!$B$3:$B$10005&amp;'DMR 001C TIN &amp; TP'!$A$3:$A$10005),0),MATCH('Reg 85'!$AG$11,'DMR 001C TIN &amp; TP'!$A$2:$M$2,0))),"")</f>
        <v/>
      </c>
      <c r="AL288" s="6" t="str">
        <f t="array" ref="AL288">_xlfn.IFNA((INDEX('DMR 001C TIN &amp; TP'!$A$3:$M$10005,MATCH(('Reg 85'!$X$6&amp;'Reg 85'!AL$10&amp;'Reg 85'!$B288),('DMR 001C TIN &amp; TP'!$E$3:$E$10005&amp;'DMR 001C TIN &amp; TP'!$B$3:$B$10005&amp;'DMR 001C TIN &amp; TP'!$A$3:$A$10005),0),MATCH('Reg 85'!$AG$11,'DMR 001C TIN &amp; TP'!$A$2:$M$2,0))),"")</f>
        <v/>
      </c>
      <c r="AM288" s="76"/>
      <c r="AN288" s="6"/>
      <c r="AO288" s="54" t="str">
        <f t="shared" si="104"/>
        <v/>
      </c>
      <c r="AP288" s="77" t="str">
        <f t="shared" si="102"/>
        <v/>
      </c>
      <c r="AQ288" s="47"/>
      <c r="AR288" s="6" t="str">
        <f t="array" ref="AR288">_xlfn.IFNA((INDEX('DMR 001C TIN &amp; TP'!$A$3:$M$10005,MATCH(('Reg 85'!$AQ$6&amp;'Reg 85'!$AQ$10&amp;'Reg 85'!$B288),('DMR 001C TIN &amp; TP'!$E$3:$E$10005&amp;'DMR 001C TIN &amp; TP'!$B$3:$B$10005&amp;'DMR 001C TIN &amp; TP'!$A$3:$A$10005),0),MATCH('Reg 85'!$AR$11,'DMR 001C TIN &amp; TP'!$A$2:$M$2,0))),"")</f>
        <v/>
      </c>
      <c r="AS288" s="6" t="str">
        <f t="array" ref="AS288">_xlfn.IFNA((INDEX('DMR 001C TIN &amp; TP'!$A$3:$M$10005,MATCH(('Reg 85'!$AQ$6&amp;'Reg 85'!$AQ$10&amp;'Reg 85'!$B288),('DMR 001C TIN &amp; TP'!$E$3:$E$10005&amp;'DMR 001C TIN &amp; TP'!$B$3:$B$10005&amp;'DMR 001C TIN &amp; TP'!$A$3:$A$10005),0),MATCH('Reg 85'!$AS$11,'DMR 001C TIN &amp; TP'!$A$2:$M$2,0))),"")</f>
        <v/>
      </c>
      <c r="AT288" s="53" t="str">
        <f t="shared" si="118"/>
        <v/>
      </c>
      <c r="AV288" s="6" t="str">
        <f t="array" ref="AV288">_xlfn.IFNA((INDEX('DMR 001C TIN &amp; TP'!$A$3:$M$10005,MATCH(('Reg 85'!$AQ$6&amp;'Reg 85'!$AU$10&amp;'Reg 85'!$B288),('DMR 001C TIN &amp; TP'!$E$3:$E$10005&amp;'DMR 001C TIN &amp; TP'!$B$3:$B$10005&amp;'DMR 001C TIN &amp; TP'!$A$3:$A$10005),0),MATCH('Reg 85'!$AV$11,'DMR 001C TIN &amp; TP'!$A$2:$M$2,0))),"")</f>
        <v/>
      </c>
      <c r="AW288" s="6" t="str">
        <f t="array" ref="AW288">_xlfn.IFNA((INDEX('DMR 001C TIN &amp; TP'!$A$3:$M$10005,MATCH(('Reg 85'!$AQ$6&amp;'Reg 85'!$AU$10&amp;'Reg 85'!$B288),('DMR 001C TIN &amp; TP'!$E$3:$E$10005&amp;'DMR 001C TIN &amp; TP'!$B$3:$B$10005&amp;'DMR 001C TIN &amp; TP'!$A$3:$A$10005),0),MATCH('Reg 85'!$AW$11,'DMR 001C TIN &amp; TP'!$A$2:$M$2,0))),"")</f>
        <v/>
      </c>
      <c r="AX288" s="53" t="str">
        <f t="shared" si="119"/>
        <v/>
      </c>
      <c r="AY288" s="55" t="str">
        <f t="shared" si="120"/>
        <v/>
      </c>
      <c r="AZ288" s="77" t="str">
        <f t="shared" si="103"/>
        <v/>
      </c>
      <c r="BA288" s="6" t="str">
        <f t="array" ref="BA288">_xlfn.IFNA((INDEX('DMR 001C TIN &amp; TP'!$A$3:$M$10005,MATCH(('Reg 85'!$AQ$6&amp;'Reg 85'!BA$10&amp;'Reg 85'!$B288),('DMR 001C TIN &amp; TP'!$E$3:$E$10005&amp;'DMR 001C TIN &amp; TP'!$B$3:$B$10005&amp;'DMR 001C TIN &amp; TP'!$A$3:$A$10005),0),MATCH('Reg 85'!$AG$11,'DMR 001C TIN &amp; TP'!$A$2:$M$2,0))),"")</f>
        <v/>
      </c>
      <c r="BB288" s="6" t="str">
        <f t="array" ref="BB288">_xlfn.IFNA((INDEX('DMR 001C TIN &amp; TP'!$A$3:$M$10005,MATCH(('Reg 85'!$AQ$6&amp;'Reg 85'!BB$10&amp;'Reg 85'!$B288),('DMR 001C TIN &amp; TP'!$E$3:$E$10005&amp;'DMR 001C TIN &amp; TP'!$B$3:$B$10005&amp;'DMR 001C TIN &amp; TP'!$A$3:$A$10005),0),MATCH('Reg 85'!$AG$11,'DMR 001C TIN &amp; TP'!$A$2:$M$2,0))),"")</f>
        <v/>
      </c>
      <c r="BC288" s="6" t="str">
        <f t="array" ref="BC288">_xlfn.IFNA((INDEX('DMR 001C TIN &amp; TP'!$A$3:$M$10005,MATCH(('Reg 85'!$AQ$6&amp;'Reg 85'!BC$10&amp;'Reg 85'!$B288),('DMR 001C TIN &amp; TP'!$E$3:$E$10005&amp;'DMR 001C TIN &amp; TP'!$B$3:$B$10005&amp;'DMR 001C TIN &amp; TP'!$A$3:$A$10005),0),MATCH('Reg 85'!$AG$11,'DMR 001C TIN &amp; TP'!$A$2:$M$2,0))),"")</f>
        <v/>
      </c>
      <c r="BD288" s="6" t="str">
        <f t="array" ref="BD288">_xlfn.IFNA((INDEX('DMR 001C TIN &amp; TP'!$A$3:$M$10005,MATCH(('Reg 85'!$AQ$6&amp;'Reg 85'!BD$10&amp;'Reg 85'!$B288),('DMR 001C TIN &amp; TP'!$E$3:$E$10005&amp;'DMR 001C TIN &amp; TP'!$B$3:$B$10005&amp;'DMR 001C TIN &amp; TP'!$A$3:$A$10005),0),MATCH('Reg 85'!$AG$11,'DMR 001C TIN &amp; TP'!$A$2:$M$2,0))),"")</f>
        <v/>
      </c>
      <c r="BE288" s="6" t="str">
        <f t="array" ref="BE288">_xlfn.IFNA((INDEX('DMR 001C TIN &amp; TP'!$A$3:$M$10005,MATCH(('Reg 85'!$AQ$6&amp;'Reg 85'!BE$10&amp;'Reg 85'!$B288),('DMR 001C TIN &amp; TP'!$E$3:$E$10005&amp;'DMR 001C TIN &amp; TP'!$B$3:$B$10005&amp;'DMR 001C TIN &amp; TP'!$A$3:$A$10005),0),MATCH('Reg 85'!$AG$11,'DMR 001C TIN &amp; TP'!$A$2:$M$2,0))),"")</f>
        <v/>
      </c>
      <c r="BF288" s="6" t="str">
        <f t="array" ref="BF288">_xlfn.IFNA((INDEX('DMR 001C TIN &amp; TP'!$A$3:$M$10005,MATCH(('Reg 85'!$AQ$6&amp;'Reg 85'!BF$10&amp;'Reg 85'!$B288),('DMR 001C TIN &amp; TP'!$E$3:$E$10005&amp;'DMR 001C TIN &amp; TP'!$B$3:$B$10005&amp;'DMR 001C TIN &amp; TP'!$A$3:$A$10005),0),MATCH('Reg 85'!$AG$11,'DMR 001C TIN &amp; TP'!$A$2:$M$2,0))),"")</f>
        <v/>
      </c>
    </row>
    <row r="289" spans="1:58">
      <c r="A289" s="3" t="str">
        <f t="shared" si="105"/>
        <v>Wed</v>
      </c>
      <c r="B289" s="96">
        <f t="shared" si="121"/>
        <v>43621</v>
      </c>
      <c r="C289" s="96">
        <f t="shared" si="106"/>
        <v>43646</v>
      </c>
      <c r="D289" s="96">
        <f t="shared" si="107"/>
        <v>43617</v>
      </c>
      <c r="E289" s="95">
        <f t="shared" si="108"/>
        <v>30</v>
      </c>
      <c r="F289" s="7">
        <f t="array" ref="F289">_xlfn.IFNA(INDEX('DMR Flows-Effluent'!$A$3:$F$9999,MATCH(($F$10&amp;$B289),('DMR Flows-Effluent'!$B$3:$B$9999&amp;'DMR Flows-Effluent'!$A$3:$A$9999),0),MATCH($F$8,'DMR Flows-Effluent'!$A$2:$F$2,0)),"")</f>
        <v>75.878500000000003</v>
      </c>
      <c r="G289" s="7">
        <f t="array" ref="G289">_xlfn.IFNA(INDEX('DMR Flows-Effluent'!$A$3:$F$9999,MATCH(($G$10&amp;$B289),('DMR Flows-Effluent'!$B$3:$B$9999&amp;'DMR Flows-Effluent'!$A$3:$A$9999),0),MATCH($F$8,'DMR Flows-Effluent'!$A$2:$F$2,0)),"")</f>
        <v>57.231900000000003</v>
      </c>
      <c r="H289" s="7">
        <f t="shared" si="109"/>
        <v>133.1104</v>
      </c>
      <c r="I289" s="45" t="str">
        <f t="shared" si="110"/>
        <v/>
      </c>
      <c r="J289" s="6" t="str">
        <f t="array" ref="J289">_xlfn.IFNA((INDEX('DMR 001C TIN &amp; TP'!$A$3:$M$10005,MATCH(('Reg 85'!$I$6:$Q$6&amp;'Reg 85'!$I$10:$K$10&amp;'Reg 85'!$B289),('DMR 001C TIN &amp; TP'!$E$3:$E$10005&amp;'DMR 001C TIN &amp; TP'!$B$3:$B$10005&amp;'DMR 001C TIN &amp; TP'!$A$3:$A$10005),0),MATCH('Reg 85'!$J$11,'DMR 001C TIN &amp; TP'!$A$2:$M$2,0))),"")</f>
        <v/>
      </c>
      <c r="K289" s="6" t="str">
        <f t="array" ref="K289">_xlfn.IFNA((INDEX('DMR 001C TIN &amp; TP'!$A$3:$M$10005,MATCH(('Reg 85'!$I$6:$Q$6&amp;'Reg 85'!$I$10:$K$10&amp;'Reg 85'!$B289),('DMR 001C TIN &amp; TP'!$E$3:$E$10005&amp;'DMR 001C TIN &amp; TP'!$B$3:$B$10005&amp;'DMR 001C TIN &amp; TP'!$A$3:$A$10005),0),MATCH('Reg 85'!$K$11,'DMR 001C TIN &amp; TP'!$A$2:$M$2,0))),"")</f>
        <v/>
      </c>
      <c r="L289" s="53" t="str">
        <f t="shared" si="122"/>
        <v/>
      </c>
      <c r="M289" s="5" t="str">
        <f t="shared" si="111"/>
        <v/>
      </c>
      <c r="N289" s="6" t="str">
        <f t="array" ref="N289">_xlfn.IFNA((INDEX('DMR 001C TIN &amp; TP'!$A$3:$M$10005,MATCH(('Reg 85'!$I$6:$Q$6&amp;'Reg 85'!$M$10&amp;'Reg 85'!$B289),('DMR 001C TIN &amp; TP'!$E$3:$E$10005&amp;'DMR 001C TIN &amp; TP'!$B$3:$B$10005&amp;'DMR 001C TIN &amp; TP'!$A$3:$A$10005),0),MATCH('Reg 85'!$N$11,'DMR 001C TIN &amp; TP'!$A$2:$M$2,0))),"")</f>
        <v/>
      </c>
      <c r="O289" s="6" t="str">
        <f t="array" ref="O289">_xlfn.IFNA((INDEX('DMR 001C TIN &amp; TP'!$A$3:$M$10005,MATCH(('Reg 85'!$I$6:$Q$6&amp;'Reg 85'!$M$10&amp;'Reg 85'!$B289),('DMR 001C TIN &amp; TP'!$E$3:$E$10005&amp;'DMR 001C TIN &amp; TP'!$B$3:$B$10005&amp;'DMR 001C TIN &amp; TP'!$A$3:$A$10005),0),MATCH('Reg 85'!$O$11,'DMR 001C TIN &amp; TP'!$A$2:$M$2,0))),"")</f>
        <v/>
      </c>
      <c r="P289" s="53" t="str">
        <f t="shared" si="112"/>
        <v/>
      </c>
      <c r="Q289" s="73" t="str">
        <f t="array" ref="Q289">IFERROR(((L289*$F289)+(P289*$G289))/($H289),"")</f>
        <v/>
      </c>
      <c r="R289" s="6" t="str">
        <f t="array" ref="R289">_xlfn.IFNA((INDEX('DMR 001C TIN &amp; TP'!$A$3:$M$10005,MATCH(('Reg 85'!$I$6:$Q$6&amp;'Reg 85'!R$10&amp;'Reg 85'!$B289),('DMR 001C TIN &amp; TP'!$E$3:$E$10005&amp;'DMR 001C TIN &amp; TP'!$B$3:$B$10005&amp;'DMR 001C TIN &amp; TP'!$A$3:$A$10005),0),MATCH('Reg 85'!$O$11,'DMR 001C TIN &amp; TP'!$A$2:$M$2,0))),"")</f>
        <v/>
      </c>
      <c r="S289" s="6" t="str">
        <f t="array" ref="S289">_xlfn.IFNA((INDEX('DMR 001C TIN &amp; TP'!$A$3:$M$10005,MATCH(('Reg 85'!$I$6:$Q$6&amp;'Reg 85'!S$10&amp;'Reg 85'!$B289),('DMR 001C TIN &amp; TP'!$E$3:$E$10005&amp;'DMR 001C TIN &amp; TP'!$B$3:$B$10005&amp;'DMR 001C TIN &amp; TP'!$A$3:$A$10005),0),MATCH('Reg 85'!$O$11,'DMR 001C TIN &amp; TP'!$A$2:$M$2,0))),"")</f>
        <v/>
      </c>
      <c r="T289" s="6" t="str">
        <f t="array" ref="T289">_xlfn.IFNA((INDEX('DMR 001C TIN &amp; TP'!$A$3:$M$10005,MATCH(('Reg 85'!$I$6:$Q$6&amp;'Reg 85'!T$10&amp;'Reg 85'!$B289),('DMR 001C TIN &amp; TP'!$E$3:$E$10005&amp;'DMR 001C TIN &amp; TP'!$B$3:$B$10005&amp;'DMR 001C TIN &amp; TP'!$A$3:$A$10005),0),MATCH('Reg 85'!$O$11,'DMR 001C TIN &amp; TP'!$A$2:$M$2,0))),"")</f>
        <v/>
      </c>
      <c r="U289" s="6" t="str">
        <f t="array" ref="U289">_xlfn.IFNA((INDEX('DMR 001C TIN &amp; TP'!$A$3:$M$10005,MATCH(('Reg 85'!$I$6:$Q$6&amp;'Reg 85'!U$10&amp;'Reg 85'!$B289),('DMR 001C TIN &amp; TP'!$E$3:$E$10005&amp;'DMR 001C TIN &amp; TP'!$B$3:$B$10005&amp;'DMR 001C TIN &amp; TP'!$A$3:$A$10005),0),MATCH('Reg 85'!$O$11,'DMR 001C TIN &amp; TP'!$A$2:$M$2,0))),"")</f>
        <v/>
      </c>
      <c r="V289" s="6" t="str">
        <f t="array" ref="V289">_xlfn.IFNA((INDEX('DMR 001C TIN &amp; TP'!$A$3:$M$10005,MATCH(('Reg 85'!$I$6:$Q$6&amp;'Reg 85'!V$10&amp;'Reg 85'!$B289),('DMR 001C TIN &amp; TP'!$E$3:$E$10005&amp;'DMR 001C TIN &amp; TP'!$B$3:$B$10005&amp;'DMR 001C TIN &amp; TP'!$A$3:$A$10005),0),MATCH('Reg 85'!$O$11,'DMR 001C TIN &amp; TP'!$A$2:$M$2,0))),"")</f>
        <v/>
      </c>
      <c r="W289" s="6" t="str">
        <f t="array" ref="W289">_xlfn.IFNA((INDEX('DMR 001C TIN &amp; TP'!$A$3:$M$10005,MATCH(('Reg 85'!$I$6:$Q$6&amp;'Reg 85'!W$10&amp;'Reg 85'!$B289),('DMR 001C TIN &amp; TP'!$E$3:$E$10005&amp;'DMR 001C TIN &amp; TP'!$B$3:$B$10005&amp;'DMR 001C TIN &amp; TP'!$A$3:$A$10005),0),MATCH('Reg 85'!$O$11,'DMR 001C TIN &amp; TP'!$A$2:$M$2,0))),"")</f>
        <v/>
      </c>
      <c r="X289" s="5" t="str">
        <f t="shared" si="113"/>
        <v/>
      </c>
      <c r="Y289" s="6" t="str">
        <f t="array" ref="Y289">_xlfn.IFNA((INDEX('DMR 001C TIN &amp; TP'!$A$3:$M$10005,MATCH(('Reg 85'!$X$6&amp;'Reg 85'!$X$10&amp;'Reg 85'!$B289),('DMR 001C TIN &amp; TP'!$E$3:$E$10005&amp;'DMR 001C TIN &amp; TP'!$B$3:$B$10005&amp;'DMR 001C TIN &amp; TP'!$A$3:$A$10005),0),MATCH('Reg 85'!$Y$11,'DMR 001C TIN &amp; TP'!$A$2:$M$2,0))),"")</f>
        <v/>
      </c>
      <c r="Z289" s="6" t="str">
        <f t="array" ref="Z289">_xlfn.IFNA((INDEX('DMR 001C TIN &amp; TP'!$A$3:$M$10005,MATCH(('Reg 85'!$X$6&amp;'Reg 85'!$X$10&amp;'Reg 85'!$B289),('DMR 001C TIN &amp; TP'!$E$3:$E$10005&amp;'DMR 001C TIN &amp; TP'!$B$3:$B$10005&amp;'DMR 001C TIN &amp; TP'!$A$3:$A$10005),0),MATCH('Reg 85'!$Z$11,'DMR 001C TIN &amp; TP'!$A$2:$M$2,0))),"")</f>
        <v/>
      </c>
      <c r="AA289" s="53" t="str">
        <f t="shared" si="114"/>
        <v/>
      </c>
      <c r="AB289" s="5" t="str">
        <f t="shared" si="115"/>
        <v/>
      </c>
      <c r="AC289" s="6" t="str">
        <f t="array" ref="AC289">_xlfn.IFNA((INDEX('DMR 001C TIN &amp; TP'!$A$3:$M$10005,MATCH(('Reg 85'!$X$6&amp;'Reg 85'!$AB$10&amp;'Reg 85'!$B289),('DMR 001C TIN &amp; TP'!$E$3:$E$10005&amp;'DMR 001C TIN &amp; TP'!$B$3:$B$10005&amp;'DMR 001C TIN &amp; TP'!$A$3:$A$10005),0),MATCH('Reg 85'!$AC$11,'DMR 001C TIN &amp; TP'!$A$2:$M$2,0))),"")</f>
        <v/>
      </c>
      <c r="AD289" s="6" t="str">
        <f t="array" ref="AD289">_xlfn.IFNA((INDEX('DMR 001C TIN &amp; TP'!$A$3:$M$10005,MATCH(('Reg 85'!$X$6&amp;'Reg 85'!$AB$10&amp;'Reg 85'!$B289),('DMR 001C TIN &amp; TP'!$E$3:$E$10005&amp;'DMR 001C TIN &amp; TP'!$B$3:$B$10005&amp;'DMR 001C TIN &amp; TP'!$A$3:$A$10005),0),MATCH('Reg 85'!$AD$11,'DMR 001C TIN &amp; TP'!$A$2:$M$2,0))),"")</f>
        <v/>
      </c>
      <c r="AE289" s="53" t="str">
        <f t="shared" si="116"/>
        <v/>
      </c>
      <c r="AF289" s="7" t="str">
        <f t="shared" si="117"/>
        <v/>
      </c>
      <c r="AG289" s="6" t="str">
        <f t="array" ref="AG289">_xlfn.IFNA((INDEX('DMR 001C TIN &amp; TP'!$A$3:$M$10005,MATCH(('Reg 85'!$X$6&amp;'Reg 85'!AG$10&amp;'Reg 85'!$B289),('DMR 001C TIN &amp; TP'!$E$3:$E$10005&amp;'DMR 001C TIN &amp; TP'!$B$3:$B$10005&amp;'DMR 001C TIN &amp; TP'!$A$3:$A$10005),0),MATCH('Reg 85'!$AG$11,'DMR 001C TIN &amp; TP'!$A$2:$M$2,0))),"")</f>
        <v/>
      </c>
      <c r="AH289" s="6" t="str">
        <f t="array" ref="AH289">_xlfn.IFNA((INDEX('DMR 001C TIN &amp; TP'!$A$3:$M$10005,MATCH(('Reg 85'!$X$6&amp;'Reg 85'!AH$10&amp;'Reg 85'!$B289),('DMR 001C TIN &amp; TP'!$E$3:$E$10005&amp;'DMR 001C TIN &amp; TP'!$B$3:$B$10005&amp;'DMR 001C TIN &amp; TP'!$A$3:$A$10005),0),MATCH('Reg 85'!$AG$11,'DMR 001C TIN &amp; TP'!$A$2:$M$2,0))),"")</f>
        <v/>
      </c>
      <c r="AI289" s="6" t="str">
        <f t="array" ref="AI289">_xlfn.IFNA((INDEX('DMR 001C TIN &amp; TP'!$A$3:$M$10005,MATCH(('Reg 85'!$X$6&amp;'Reg 85'!AI$10&amp;'Reg 85'!$B289),('DMR 001C TIN &amp; TP'!$E$3:$E$10005&amp;'DMR 001C TIN &amp; TP'!$B$3:$B$10005&amp;'DMR 001C TIN &amp; TP'!$A$3:$A$10005),0),MATCH('Reg 85'!$AG$11,'DMR 001C TIN &amp; TP'!$A$2:$M$2,0))),"")</f>
        <v/>
      </c>
      <c r="AJ289" s="6" t="str">
        <f t="array" ref="AJ289">_xlfn.IFNA((INDEX('DMR 001C TIN &amp; TP'!$A$3:$M$10005,MATCH(('Reg 85'!$X$6&amp;'Reg 85'!AJ$10&amp;'Reg 85'!$B289),('DMR 001C TIN &amp; TP'!$E$3:$E$10005&amp;'DMR 001C TIN &amp; TP'!$B$3:$B$10005&amp;'DMR 001C TIN &amp; TP'!$A$3:$A$10005),0),MATCH('Reg 85'!$AG$11,'DMR 001C TIN &amp; TP'!$A$2:$M$2,0))),"")</f>
        <v/>
      </c>
      <c r="AK289" s="6" t="str">
        <f t="array" ref="AK289">_xlfn.IFNA((INDEX('DMR 001C TIN &amp; TP'!$A$3:$M$10005,MATCH(('Reg 85'!$X$6&amp;'Reg 85'!AK$10&amp;'Reg 85'!$B289),('DMR 001C TIN &amp; TP'!$E$3:$E$10005&amp;'DMR 001C TIN &amp; TP'!$B$3:$B$10005&amp;'DMR 001C TIN &amp; TP'!$A$3:$A$10005),0),MATCH('Reg 85'!$AG$11,'DMR 001C TIN &amp; TP'!$A$2:$M$2,0))),"")</f>
        <v/>
      </c>
      <c r="AL289" s="6" t="str">
        <f t="array" ref="AL289">_xlfn.IFNA((INDEX('DMR 001C TIN &amp; TP'!$A$3:$M$10005,MATCH(('Reg 85'!$X$6&amp;'Reg 85'!AL$10&amp;'Reg 85'!$B289),('DMR 001C TIN &amp; TP'!$E$3:$E$10005&amp;'DMR 001C TIN &amp; TP'!$B$3:$B$10005&amp;'DMR 001C TIN &amp; TP'!$A$3:$A$10005),0),MATCH('Reg 85'!$AG$11,'DMR 001C TIN &amp; TP'!$A$2:$M$2,0))),"")</f>
        <v/>
      </c>
      <c r="AM289" s="76"/>
      <c r="AN289" s="6"/>
      <c r="AO289" s="54" t="str">
        <f t="shared" si="104"/>
        <v/>
      </c>
      <c r="AP289" s="77" t="str">
        <f t="shared" si="102"/>
        <v/>
      </c>
      <c r="AQ289" s="47"/>
      <c r="AR289" s="6" t="str">
        <f t="array" ref="AR289">_xlfn.IFNA((INDEX('DMR 001C TIN &amp; TP'!$A$3:$M$10005,MATCH(('Reg 85'!$AQ$6&amp;'Reg 85'!$AQ$10&amp;'Reg 85'!$B289),('DMR 001C TIN &amp; TP'!$E$3:$E$10005&amp;'DMR 001C TIN &amp; TP'!$B$3:$B$10005&amp;'DMR 001C TIN &amp; TP'!$A$3:$A$10005),0),MATCH('Reg 85'!$AR$11,'DMR 001C TIN &amp; TP'!$A$2:$M$2,0))),"")</f>
        <v>0.03</v>
      </c>
      <c r="AS289" s="6">
        <f t="array" ref="AS289">_xlfn.IFNA((INDEX('DMR 001C TIN &amp; TP'!$A$3:$M$10005,MATCH(('Reg 85'!$AQ$6&amp;'Reg 85'!$AQ$10&amp;'Reg 85'!$B289),('DMR 001C TIN &amp; TP'!$E$3:$E$10005&amp;'DMR 001C TIN &amp; TP'!$B$3:$B$10005&amp;'DMR 001C TIN &amp; TP'!$A$3:$A$10005),0),MATCH('Reg 85'!$AS$11,'DMR 001C TIN &amp; TP'!$A$2:$M$2,0))),"")</f>
        <v>0.35</v>
      </c>
      <c r="AT289" s="53">
        <f t="shared" si="118"/>
        <v>0.35</v>
      </c>
      <c r="AV289" s="6" t="str">
        <f t="array" ref="AV289">_xlfn.IFNA((INDEX('DMR 001C TIN &amp; TP'!$A$3:$M$10005,MATCH(('Reg 85'!$AQ$6&amp;'Reg 85'!$AU$10&amp;'Reg 85'!$B289),('DMR 001C TIN &amp; TP'!$E$3:$E$10005&amp;'DMR 001C TIN &amp; TP'!$B$3:$B$10005&amp;'DMR 001C TIN &amp; TP'!$A$3:$A$10005),0),MATCH('Reg 85'!$AV$11,'DMR 001C TIN &amp; TP'!$A$2:$M$2,0))),"")</f>
        <v>0.03</v>
      </c>
      <c r="AW289" s="6">
        <f t="array" ref="AW289">_xlfn.IFNA((INDEX('DMR 001C TIN &amp; TP'!$A$3:$M$10005,MATCH(('Reg 85'!$AQ$6&amp;'Reg 85'!$AU$10&amp;'Reg 85'!$B289),('DMR 001C TIN &amp; TP'!$E$3:$E$10005&amp;'DMR 001C TIN &amp; TP'!$B$3:$B$10005&amp;'DMR 001C TIN &amp; TP'!$A$3:$A$10005),0),MATCH('Reg 85'!$AW$11,'DMR 001C TIN &amp; TP'!$A$2:$M$2,0))),"")</f>
        <v>0.85</v>
      </c>
      <c r="AX289" s="53">
        <f t="shared" si="119"/>
        <v>0.85</v>
      </c>
      <c r="AY289" s="55">
        <f t="shared" si="120"/>
        <v>0.56497907000504843</v>
      </c>
      <c r="AZ289" s="77" t="str">
        <f t="shared" si="103"/>
        <v/>
      </c>
      <c r="BA289" s="6" t="str">
        <f t="array" ref="BA289">_xlfn.IFNA((INDEX('DMR 001C TIN &amp; TP'!$A$3:$M$10005,MATCH(('Reg 85'!$AQ$6&amp;'Reg 85'!BA$10&amp;'Reg 85'!$B289),('DMR 001C TIN &amp; TP'!$E$3:$E$10005&amp;'DMR 001C TIN &amp; TP'!$B$3:$B$10005&amp;'DMR 001C TIN &amp; TP'!$A$3:$A$10005),0),MATCH('Reg 85'!$AG$11,'DMR 001C TIN &amp; TP'!$A$2:$M$2,0))),"")</f>
        <v/>
      </c>
      <c r="BB289" s="6" t="str">
        <f t="array" ref="BB289">_xlfn.IFNA((INDEX('DMR 001C TIN &amp; TP'!$A$3:$M$10005,MATCH(('Reg 85'!$AQ$6&amp;'Reg 85'!BB$10&amp;'Reg 85'!$B289),('DMR 001C TIN &amp; TP'!$E$3:$E$10005&amp;'DMR 001C TIN &amp; TP'!$B$3:$B$10005&amp;'DMR 001C TIN &amp; TP'!$A$3:$A$10005),0),MATCH('Reg 85'!$AG$11,'DMR 001C TIN &amp; TP'!$A$2:$M$2,0))),"")</f>
        <v/>
      </c>
      <c r="BC289" s="6" t="str">
        <f t="array" ref="BC289">_xlfn.IFNA((INDEX('DMR 001C TIN &amp; TP'!$A$3:$M$10005,MATCH(('Reg 85'!$AQ$6&amp;'Reg 85'!BC$10&amp;'Reg 85'!$B289),('DMR 001C TIN &amp; TP'!$E$3:$E$10005&amp;'DMR 001C TIN &amp; TP'!$B$3:$B$10005&amp;'DMR 001C TIN &amp; TP'!$A$3:$A$10005),0),MATCH('Reg 85'!$AG$11,'DMR 001C TIN &amp; TP'!$A$2:$M$2,0))),"")</f>
        <v/>
      </c>
      <c r="BD289" s="6" t="str">
        <f t="array" ref="BD289">_xlfn.IFNA((INDEX('DMR 001C TIN &amp; TP'!$A$3:$M$10005,MATCH(('Reg 85'!$AQ$6&amp;'Reg 85'!BD$10&amp;'Reg 85'!$B289),('DMR 001C TIN &amp; TP'!$E$3:$E$10005&amp;'DMR 001C TIN &amp; TP'!$B$3:$B$10005&amp;'DMR 001C TIN &amp; TP'!$A$3:$A$10005),0),MATCH('Reg 85'!$AG$11,'DMR 001C TIN &amp; TP'!$A$2:$M$2,0))),"")</f>
        <v/>
      </c>
      <c r="BE289" s="6" t="str">
        <f t="array" ref="BE289">_xlfn.IFNA((INDEX('DMR 001C TIN &amp; TP'!$A$3:$M$10005,MATCH(('Reg 85'!$AQ$6&amp;'Reg 85'!BE$10&amp;'Reg 85'!$B289),('DMR 001C TIN &amp; TP'!$E$3:$E$10005&amp;'DMR 001C TIN &amp; TP'!$B$3:$B$10005&amp;'DMR 001C TIN &amp; TP'!$A$3:$A$10005),0),MATCH('Reg 85'!$AG$11,'DMR 001C TIN &amp; TP'!$A$2:$M$2,0))),"")</f>
        <v/>
      </c>
      <c r="BF289" s="6" t="str">
        <f t="array" ref="BF289">_xlfn.IFNA((INDEX('DMR 001C TIN &amp; TP'!$A$3:$M$10005,MATCH(('Reg 85'!$AQ$6&amp;'Reg 85'!BF$10&amp;'Reg 85'!$B289),('DMR 001C TIN &amp; TP'!$E$3:$E$10005&amp;'DMR 001C TIN &amp; TP'!$B$3:$B$10005&amp;'DMR 001C TIN &amp; TP'!$A$3:$A$10005),0),MATCH('Reg 85'!$AG$11,'DMR 001C TIN &amp; TP'!$A$2:$M$2,0))),"")</f>
        <v/>
      </c>
    </row>
    <row r="290" spans="1:58">
      <c r="A290" s="3" t="str">
        <f t="shared" si="105"/>
        <v>Thu</v>
      </c>
      <c r="B290" s="96">
        <f t="shared" si="121"/>
        <v>43622</v>
      </c>
      <c r="C290" s="96">
        <f t="shared" si="106"/>
        <v>43646</v>
      </c>
      <c r="D290" s="96">
        <f t="shared" si="107"/>
        <v>43617</v>
      </c>
      <c r="E290" s="95">
        <f t="shared" si="108"/>
        <v>30</v>
      </c>
      <c r="F290" s="7">
        <f t="array" ref="F290">_xlfn.IFNA(INDEX('DMR Flows-Effluent'!$A$3:$F$9999,MATCH(($F$10&amp;$B290),('DMR Flows-Effluent'!$B$3:$B$9999&amp;'DMR Flows-Effluent'!$A$3:$A$9999),0),MATCH($F$8,'DMR Flows-Effluent'!$A$2:$F$2,0)),"")</f>
        <v>76.352800000000002</v>
      </c>
      <c r="G290" s="7">
        <f t="array" ref="G290">_xlfn.IFNA(INDEX('DMR Flows-Effluent'!$A$3:$F$9999,MATCH(($G$10&amp;$B290),('DMR Flows-Effluent'!$B$3:$B$9999&amp;'DMR Flows-Effluent'!$A$3:$A$9999),0),MATCH($F$8,'DMR Flows-Effluent'!$A$2:$F$2,0)),"")</f>
        <v>56.2012</v>
      </c>
      <c r="H290" s="7">
        <f t="shared" si="109"/>
        <v>132.554</v>
      </c>
      <c r="I290" s="45" t="str">
        <f t="shared" si="110"/>
        <v/>
      </c>
      <c r="J290" s="6" t="str">
        <f t="array" ref="J290">_xlfn.IFNA((INDEX('DMR 001C TIN &amp; TP'!$A$3:$M$10005,MATCH(('Reg 85'!$I$6:$Q$6&amp;'Reg 85'!$I$10:$K$10&amp;'Reg 85'!$B290),('DMR 001C TIN &amp; TP'!$E$3:$E$10005&amp;'DMR 001C TIN &amp; TP'!$B$3:$B$10005&amp;'DMR 001C TIN &amp; TP'!$A$3:$A$10005),0),MATCH('Reg 85'!$J$11,'DMR 001C TIN &amp; TP'!$A$2:$M$2,0))),"")</f>
        <v/>
      </c>
      <c r="K290" s="6" t="str">
        <f t="array" ref="K290">_xlfn.IFNA((INDEX('DMR 001C TIN &amp; TP'!$A$3:$M$10005,MATCH(('Reg 85'!$I$6:$Q$6&amp;'Reg 85'!$I$10:$K$10&amp;'Reg 85'!$B290),('DMR 001C TIN &amp; TP'!$E$3:$E$10005&amp;'DMR 001C TIN &amp; TP'!$B$3:$B$10005&amp;'DMR 001C TIN &amp; TP'!$A$3:$A$10005),0),MATCH('Reg 85'!$K$11,'DMR 001C TIN &amp; TP'!$A$2:$M$2,0))),"")</f>
        <v/>
      </c>
      <c r="L290" s="53" t="str">
        <f t="shared" si="122"/>
        <v/>
      </c>
      <c r="M290" s="5" t="str">
        <f t="shared" si="111"/>
        <v/>
      </c>
      <c r="N290" s="6" t="str">
        <f t="array" ref="N290">_xlfn.IFNA((INDEX('DMR 001C TIN &amp; TP'!$A$3:$M$10005,MATCH(('Reg 85'!$I$6:$Q$6&amp;'Reg 85'!$M$10&amp;'Reg 85'!$B290),('DMR 001C TIN &amp; TP'!$E$3:$E$10005&amp;'DMR 001C TIN &amp; TP'!$B$3:$B$10005&amp;'DMR 001C TIN &amp; TP'!$A$3:$A$10005),0),MATCH('Reg 85'!$N$11,'DMR 001C TIN &amp; TP'!$A$2:$M$2,0))),"")</f>
        <v/>
      </c>
      <c r="O290" s="6" t="str">
        <f t="array" ref="O290">_xlfn.IFNA((INDEX('DMR 001C TIN &amp; TP'!$A$3:$M$10005,MATCH(('Reg 85'!$I$6:$Q$6&amp;'Reg 85'!$M$10&amp;'Reg 85'!$B290),('DMR 001C TIN &amp; TP'!$E$3:$E$10005&amp;'DMR 001C TIN &amp; TP'!$B$3:$B$10005&amp;'DMR 001C TIN &amp; TP'!$A$3:$A$10005),0),MATCH('Reg 85'!$O$11,'DMR 001C TIN &amp; TP'!$A$2:$M$2,0))),"")</f>
        <v/>
      </c>
      <c r="P290" s="53" t="str">
        <f t="shared" si="112"/>
        <v/>
      </c>
      <c r="Q290" s="73" t="str">
        <f t="array" ref="Q290">IFERROR(((L290*$F290)+(P290*$G290))/($H290),"")</f>
        <v/>
      </c>
      <c r="R290" s="6" t="str">
        <f t="array" ref="R290">_xlfn.IFNA((INDEX('DMR 001C TIN &amp; TP'!$A$3:$M$10005,MATCH(('Reg 85'!$I$6:$Q$6&amp;'Reg 85'!R$10&amp;'Reg 85'!$B290),('DMR 001C TIN &amp; TP'!$E$3:$E$10005&amp;'DMR 001C TIN &amp; TP'!$B$3:$B$10005&amp;'DMR 001C TIN &amp; TP'!$A$3:$A$10005),0),MATCH('Reg 85'!$O$11,'DMR 001C TIN &amp; TP'!$A$2:$M$2,0))),"")</f>
        <v/>
      </c>
      <c r="S290" s="6" t="str">
        <f t="array" ref="S290">_xlfn.IFNA((INDEX('DMR 001C TIN &amp; TP'!$A$3:$M$10005,MATCH(('Reg 85'!$I$6:$Q$6&amp;'Reg 85'!S$10&amp;'Reg 85'!$B290),('DMR 001C TIN &amp; TP'!$E$3:$E$10005&amp;'DMR 001C TIN &amp; TP'!$B$3:$B$10005&amp;'DMR 001C TIN &amp; TP'!$A$3:$A$10005),0),MATCH('Reg 85'!$O$11,'DMR 001C TIN &amp; TP'!$A$2:$M$2,0))),"")</f>
        <v/>
      </c>
      <c r="T290" s="6" t="str">
        <f t="array" ref="T290">_xlfn.IFNA((INDEX('DMR 001C TIN &amp; TP'!$A$3:$M$10005,MATCH(('Reg 85'!$I$6:$Q$6&amp;'Reg 85'!T$10&amp;'Reg 85'!$B290),('DMR 001C TIN &amp; TP'!$E$3:$E$10005&amp;'DMR 001C TIN &amp; TP'!$B$3:$B$10005&amp;'DMR 001C TIN &amp; TP'!$A$3:$A$10005),0),MATCH('Reg 85'!$O$11,'DMR 001C TIN &amp; TP'!$A$2:$M$2,0))),"")</f>
        <v/>
      </c>
      <c r="U290" s="6" t="str">
        <f t="array" ref="U290">_xlfn.IFNA((INDEX('DMR 001C TIN &amp; TP'!$A$3:$M$10005,MATCH(('Reg 85'!$I$6:$Q$6&amp;'Reg 85'!U$10&amp;'Reg 85'!$B290),('DMR 001C TIN &amp; TP'!$E$3:$E$10005&amp;'DMR 001C TIN &amp; TP'!$B$3:$B$10005&amp;'DMR 001C TIN &amp; TP'!$A$3:$A$10005),0),MATCH('Reg 85'!$O$11,'DMR 001C TIN &amp; TP'!$A$2:$M$2,0))),"")</f>
        <v/>
      </c>
      <c r="V290" s="6" t="str">
        <f t="array" ref="V290">_xlfn.IFNA((INDEX('DMR 001C TIN &amp; TP'!$A$3:$M$10005,MATCH(('Reg 85'!$I$6:$Q$6&amp;'Reg 85'!V$10&amp;'Reg 85'!$B290),('DMR 001C TIN &amp; TP'!$E$3:$E$10005&amp;'DMR 001C TIN &amp; TP'!$B$3:$B$10005&amp;'DMR 001C TIN &amp; TP'!$A$3:$A$10005),0),MATCH('Reg 85'!$O$11,'DMR 001C TIN &amp; TP'!$A$2:$M$2,0))),"")</f>
        <v/>
      </c>
      <c r="W290" s="6" t="str">
        <f t="array" ref="W290">_xlfn.IFNA((INDEX('DMR 001C TIN &amp; TP'!$A$3:$M$10005,MATCH(('Reg 85'!$I$6:$Q$6&amp;'Reg 85'!W$10&amp;'Reg 85'!$B290),('DMR 001C TIN &amp; TP'!$E$3:$E$10005&amp;'DMR 001C TIN &amp; TP'!$B$3:$B$10005&amp;'DMR 001C TIN &amp; TP'!$A$3:$A$10005),0),MATCH('Reg 85'!$O$11,'DMR 001C TIN &amp; TP'!$A$2:$M$2,0))),"")</f>
        <v/>
      </c>
      <c r="X290" s="5" t="str">
        <f t="shared" si="113"/>
        <v/>
      </c>
      <c r="Y290" s="6" t="str">
        <f t="array" ref="Y290">_xlfn.IFNA((INDEX('DMR 001C TIN &amp; TP'!$A$3:$M$10005,MATCH(('Reg 85'!$X$6&amp;'Reg 85'!$X$10&amp;'Reg 85'!$B290),('DMR 001C TIN &amp; TP'!$E$3:$E$10005&amp;'DMR 001C TIN &amp; TP'!$B$3:$B$10005&amp;'DMR 001C TIN &amp; TP'!$A$3:$A$10005),0),MATCH('Reg 85'!$Y$11,'DMR 001C TIN &amp; TP'!$A$2:$M$2,0))),"")</f>
        <v/>
      </c>
      <c r="Z290" s="6" t="str">
        <f t="array" ref="Z290">_xlfn.IFNA((INDEX('DMR 001C TIN &amp; TP'!$A$3:$M$10005,MATCH(('Reg 85'!$X$6&amp;'Reg 85'!$X$10&amp;'Reg 85'!$B290),('DMR 001C TIN &amp; TP'!$E$3:$E$10005&amp;'DMR 001C TIN &amp; TP'!$B$3:$B$10005&amp;'DMR 001C TIN &amp; TP'!$A$3:$A$10005),0),MATCH('Reg 85'!$Z$11,'DMR 001C TIN &amp; TP'!$A$2:$M$2,0))),"")</f>
        <v/>
      </c>
      <c r="AA290" s="53" t="str">
        <f t="shared" si="114"/>
        <v/>
      </c>
      <c r="AB290" s="5" t="str">
        <f t="shared" si="115"/>
        <v/>
      </c>
      <c r="AC290" s="6" t="str">
        <f t="array" ref="AC290">_xlfn.IFNA((INDEX('DMR 001C TIN &amp; TP'!$A$3:$M$10005,MATCH(('Reg 85'!$X$6&amp;'Reg 85'!$AB$10&amp;'Reg 85'!$B290),('DMR 001C TIN &amp; TP'!$E$3:$E$10005&amp;'DMR 001C TIN &amp; TP'!$B$3:$B$10005&amp;'DMR 001C TIN &amp; TP'!$A$3:$A$10005),0),MATCH('Reg 85'!$AC$11,'DMR 001C TIN &amp; TP'!$A$2:$M$2,0))),"")</f>
        <v/>
      </c>
      <c r="AD290" s="6" t="str">
        <f t="array" ref="AD290">_xlfn.IFNA((INDEX('DMR 001C TIN &amp; TP'!$A$3:$M$10005,MATCH(('Reg 85'!$X$6&amp;'Reg 85'!$AB$10&amp;'Reg 85'!$B290),('DMR 001C TIN &amp; TP'!$E$3:$E$10005&amp;'DMR 001C TIN &amp; TP'!$B$3:$B$10005&amp;'DMR 001C TIN &amp; TP'!$A$3:$A$10005),0),MATCH('Reg 85'!$AD$11,'DMR 001C TIN &amp; TP'!$A$2:$M$2,0))),"")</f>
        <v/>
      </c>
      <c r="AE290" s="53" t="str">
        <f t="shared" si="116"/>
        <v/>
      </c>
      <c r="AF290" s="7" t="str">
        <f t="shared" si="117"/>
        <v/>
      </c>
      <c r="AG290" s="6" t="str">
        <f t="array" ref="AG290">_xlfn.IFNA((INDEX('DMR 001C TIN &amp; TP'!$A$3:$M$10005,MATCH(('Reg 85'!$X$6&amp;'Reg 85'!AG$10&amp;'Reg 85'!$B290),('DMR 001C TIN &amp; TP'!$E$3:$E$10005&amp;'DMR 001C TIN &amp; TP'!$B$3:$B$10005&amp;'DMR 001C TIN &amp; TP'!$A$3:$A$10005),0),MATCH('Reg 85'!$AG$11,'DMR 001C TIN &amp; TP'!$A$2:$M$2,0))),"")</f>
        <v/>
      </c>
      <c r="AH290" s="6" t="str">
        <f t="array" ref="AH290">_xlfn.IFNA((INDEX('DMR 001C TIN &amp; TP'!$A$3:$M$10005,MATCH(('Reg 85'!$X$6&amp;'Reg 85'!AH$10&amp;'Reg 85'!$B290),('DMR 001C TIN &amp; TP'!$E$3:$E$10005&amp;'DMR 001C TIN &amp; TP'!$B$3:$B$10005&amp;'DMR 001C TIN &amp; TP'!$A$3:$A$10005),0),MATCH('Reg 85'!$AG$11,'DMR 001C TIN &amp; TP'!$A$2:$M$2,0))),"")</f>
        <v/>
      </c>
      <c r="AI290" s="6" t="str">
        <f t="array" ref="AI290">_xlfn.IFNA((INDEX('DMR 001C TIN &amp; TP'!$A$3:$M$10005,MATCH(('Reg 85'!$X$6&amp;'Reg 85'!AI$10&amp;'Reg 85'!$B290),('DMR 001C TIN &amp; TP'!$E$3:$E$10005&amp;'DMR 001C TIN &amp; TP'!$B$3:$B$10005&amp;'DMR 001C TIN &amp; TP'!$A$3:$A$10005),0),MATCH('Reg 85'!$AG$11,'DMR 001C TIN &amp; TP'!$A$2:$M$2,0))),"")</f>
        <v/>
      </c>
      <c r="AJ290" s="6" t="str">
        <f t="array" ref="AJ290">_xlfn.IFNA((INDEX('DMR 001C TIN &amp; TP'!$A$3:$M$10005,MATCH(('Reg 85'!$X$6&amp;'Reg 85'!AJ$10&amp;'Reg 85'!$B290),('DMR 001C TIN &amp; TP'!$E$3:$E$10005&amp;'DMR 001C TIN &amp; TP'!$B$3:$B$10005&amp;'DMR 001C TIN &amp; TP'!$A$3:$A$10005),0),MATCH('Reg 85'!$AG$11,'DMR 001C TIN &amp; TP'!$A$2:$M$2,0))),"")</f>
        <v/>
      </c>
      <c r="AK290" s="6" t="str">
        <f t="array" ref="AK290">_xlfn.IFNA((INDEX('DMR 001C TIN &amp; TP'!$A$3:$M$10005,MATCH(('Reg 85'!$X$6&amp;'Reg 85'!AK$10&amp;'Reg 85'!$B290),('DMR 001C TIN &amp; TP'!$E$3:$E$10005&amp;'DMR 001C TIN &amp; TP'!$B$3:$B$10005&amp;'DMR 001C TIN &amp; TP'!$A$3:$A$10005),0),MATCH('Reg 85'!$AG$11,'DMR 001C TIN &amp; TP'!$A$2:$M$2,0))),"")</f>
        <v/>
      </c>
      <c r="AL290" s="6" t="str">
        <f t="array" ref="AL290">_xlfn.IFNA((INDEX('DMR 001C TIN &amp; TP'!$A$3:$M$10005,MATCH(('Reg 85'!$X$6&amp;'Reg 85'!AL$10&amp;'Reg 85'!$B290),('DMR 001C TIN &amp; TP'!$E$3:$E$10005&amp;'DMR 001C TIN &amp; TP'!$B$3:$B$10005&amp;'DMR 001C TIN &amp; TP'!$A$3:$A$10005),0),MATCH('Reg 85'!$AG$11,'DMR 001C TIN &amp; TP'!$A$2:$M$2,0))),"")</f>
        <v/>
      </c>
      <c r="AM290" s="76"/>
      <c r="AN290" s="6"/>
      <c r="AO290" s="54" t="str">
        <f t="shared" si="104"/>
        <v/>
      </c>
      <c r="AP290" s="77" t="str">
        <f t="shared" si="102"/>
        <v/>
      </c>
      <c r="AQ290" s="47"/>
      <c r="AR290" s="6" t="str">
        <f t="array" ref="AR290">_xlfn.IFNA((INDEX('DMR 001C TIN &amp; TP'!$A$3:$M$10005,MATCH(('Reg 85'!$AQ$6&amp;'Reg 85'!$AQ$10&amp;'Reg 85'!$B290),('DMR 001C TIN &amp; TP'!$E$3:$E$10005&amp;'DMR 001C TIN &amp; TP'!$B$3:$B$10005&amp;'DMR 001C TIN &amp; TP'!$A$3:$A$10005),0),MATCH('Reg 85'!$AR$11,'DMR 001C TIN &amp; TP'!$A$2:$M$2,0))),"")</f>
        <v/>
      </c>
      <c r="AS290" s="6" t="str">
        <f t="array" ref="AS290">_xlfn.IFNA((INDEX('DMR 001C TIN &amp; TP'!$A$3:$M$10005,MATCH(('Reg 85'!$AQ$6&amp;'Reg 85'!$AQ$10&amp;'Reg 85'!$B290),('DMR 001C TIN &amp; TP'!$E$3:$E$10005&amp;'DMR 001C TIN &amp; TP'!$B$3:$B$10005&amp;'DMR 001C TIN &amp; TP'!$A$3:$A$10005),0),MATCH('Reg 85'!$AS$11,'DMR 001C TIN &amp; TP'!$A$2:$M$2,0))),"")</f>
        <v/>
      </c>
      <c r="AT290" s="53" t="str">
        <f t="shared" si="118"/>
        <v/>
      </c>
      <c r="AV290" s="6" t="str">
        <f t="array" ref="AV290">_xlfn.IFNA((INDEX('DMR 001C TIN &amp; TP'!$A$3:$M$10005,MATCH(('Reg 85'!$AQ$6&amp;'Reg 85'!$AU$10&amp;'Reg 85'!$B290),('DMR 001C TIN &amp; TP'!$E$3:$E$10005&amp;'DMR 001C TIN &amp; TP'!$B$3:$B$10005&amp;'DMR 001C TIN &amp; TP'!$A$3:$A$10005),0),MATCH('Reg 85'!$AV$11,'DMR 001C TIN &amp; TP'!$A$2:$M$2,0))),"")</f>
        <v/>
      </c>
      <c r="AW290" s="6" t="str">
        <f t="array" ref="AW290">_xlfn.IFNA((INDEX('DMR 001C TIN &amp; TP'!$A$3:$M$10005,MATCH(('Reg 85'!$AQ$6&amp;'Reg 85'!$AU$10&amp;'Reg 85'!$B290),('DMR 001C TIN &amp; TP'!$E$3:$E$10005&amp;'DMR 001C TIN &amp; TP'!$B$3:$B$10005&amp;'DMR 001C TIN &amp; TP'!$A$3:$A$10005),0),MATCH('Reg 85'!$AW$11,'DMR 001C TIN &amp; TP'!$A$2:$M$2,0))),"")</f>
        <v/>
      </c>
      <c r="AX290" s="53" t="str">
        <f t="shared" si="119"/>
        <v/>
      </c>
      <c r="AY290" s="55" t="str">
        <f t="shared" si="120"/>
        <v/>
      </c>
      <c r="AZ290" s="77" t="str">
        <f t="shared" si="103"/>
        <v/>
      </c>
      <c r="BA290" s="6" t="str">
        <f t="array" ref="BA290">_xlfn.IFNA((INDEX('DMR 001C TIN &amp; TP'!$A$3:$M$10005,MATCH(('Reg 85'!$AQ$6&amp;'Reg 85'!BA$10&amp;'Reg 85'!$B290),('DMR 001C TIN &amp; TP'!$E$3:$E$10005&amp;'DMR 001C TIN &amp; TP'!$B$3:$B$10005&amp;'DMR 001C TIN &amp; TP'!$A$3:$A$10005),0),MATCH('Reg 85'!$AG$11,'DMR 001C TIN &amp; TP'!$A$2:$M$2,0))),"")</f>
        <v/>
      </c>
      <c r="BB290" s="6" t="str">
        <f t="array" ref="BB290">_xlfn.IFNA((INDEX('DMR 001C TIN &amp; TP'!$A$3:$M$10005,MATCH(('Reg 85'!$AQ$6&amp;'Reg 85'!BB$10&amp;'Reg 85'!$B290),('DMR 001C TIN &amp; TP'!$E$3:$E$10005&amp;'DMR 001C TIN &amp; TP'!$B$3:$B$10005&amp;'DMR 001C TIN &amp; TP'!$A$3:$A$10005),0),MATCH('Reg 85'!$AG$11,'DMR 001C TIN &amp; TP'!$A$2:$M$2,0))),"")</f>
        <v/>
      </c>
      <c r="BC290" s="6" t="str">
        <f t="array" ref="BC290">_xlfn.IFNA((INDEX('DMR 001C TIN &amp; TP'!$A$3:$M$10005,MATCH(('Reg 85'!$AQ$6&amp;'Reg 85'!BC$10&amp;'Reg 85'!$B290),('DMR 001C TIN &amp; TP'!$E$3:$E$10005&amp;'DMR 001C TIN &amp; TP'!$B$3:$B$10005&amp;'DMR 001C TIN &amp; TP'!$A$3:$A$10005),0),MATCH('Reg 85'!$AG$11,'DMR 001C TIN &amp; TP'!$A$2:$M$2,0))),"")</f>
        <v/>
      </c>
      <c r="BD290" s="6" t="str">
        <f t="array" ref="BD290">_xlfn.IFNA((INDEX('DMR 001C TIN &amp; TP'!$A$3:$M$10005,MATCH(('Reg 85'!$AQ$6&amp;'Reg 85'!BD$10&amp;'Reg 85'!$B290),('DMR 001C TIN &amp; TP'!$E$3:$E$10005&amp;'DMR 001C TIN &amp; TP'!$B$3:$B$10005&amp;'DMR 001C TIN &amp; TP'!$A$3:$A$10005),0),MATCH('Reg 85'!$AG$11,'DMR 001C TIN &amp; TP'!$A$2:$M$2,0))),"")</f>
        <v/>
      </c>
      <c r="BE290" s="6" t="str">
        <f t="array" ref="BE290">_xlfn.IFNA((INDEX('DMR 001C TIN &amp; TP'!$A$3:$M$10005,MATCH(('Reg 85'!$AQ$6&amp;'Reg 85'!BE$10&amp;'Reg 85'!$B290),('DMR 001C TIN &amp; TP'!$E$3:$E$10005&amp;'DMR 001C TIN &amp; TP'!$B$3:$B$10005&amp;'DMR 001C TIN &amp; TP'!$A$3:$A$10005),0),MATCH('Reg 85'!$AG$11,'DMR 001C TIN &amp; TP'!$A$2:$M$2,0))),"")</f>
        <v/>
      </c>
      <c r="BF290" s="6" t="str">
        <f t="array" ref="BF290">_xlfn.IFNA((INDEX('DMR 001C TIN &amp; TP'!$A$3:$M$10005,MATCH(('Reg 85'!$AQ$6&amp;'Reg 85'!BF$10&amp;'Reg 85'!$B290),('DMR 001C TIN &amp; TP'!$E$3:$E$10005&amp;'DMR 001C TIN &amp; TP'!$B$3:$B$10005&amp;'DMR 001C TIN &amp; TP'!$A$3:$A$10005),0),MATCH('Reg 85'!$AG$11,'DMR 001C TIN &amp; TP'!$A$2:$M$2,0))),"")</f>
        <v/>
      </c>
    </row>
    <row r="291" spans="1:58">
      <c r="A291" s="3" t="str">
        <f t="shared" si="105"/>
        <v>Fri</v>
      </c>
      <c r="B291" s="96">
        <f t="shared" si="121"/>
        <v>43623</v>
      </c>
      <c r="C291" s="96">
        <f t="shared" si="106"/>
        <v>43646</v>
      </c>
      <c r="D291" s="96">
        <f t="shared" si="107"/>
        <v>43617</v>
      </c>
      <c r="E291" s="95">
        <f t="shared" si="108"/>
        <v>30</v>
      </c>
      <c r="F291" s="7">
        <f t="array" ref="F291">_xlfn.IFNA(INDEX('DMR Flows-Effluent'!$A$3:$F$9999,MATCH(($F$10&amp;$B291),('DMR Flows-Effluent'!$B$3:$B$9999&amp;'DMR Flows-Effluent'!$A$3:$A$9999),0),MATCH($F$8,'DMR Flows-Effluent'!$A$2:$F$2,0)),"")</f>
        <v>75.858500000000006</v>
      </c>
      <c r="G291" s="7">
        <f t="array" ref="G291">_xlfn.IFNA(INDEX('DMR Flows-Effluent'!$A$3:$F$9999,MATCH(($G$10&amp;$B291),('DMR Flows-Effluent'!$B$3:$B$9999&amp;'DMR Flows-Effluent'!$A$3:$A$9999),0),MATCH($F$8,'DMR Flows-Effluent'!$A$2:$F$2,0)),"")</f>
        <v>56.146000000000001</v>
      </c>
      <c r="H291" s="7">
        <f t="shared" si="109"/>
        <v>132.00450000000001</v>
      </c>
      <c r="I291" s="45" t="str">
        <f t="shared" si="110"/>
        <v/>
      </c>
      <c r="J291" s="6" t="str">
        <f t="array" ref="J291">_xlfn.IFNA((INDEX('DMR 001C TIN &amp; TP'!$A$3:$M$10005,MATCH(('Reg 85'!$I$6:$Q$6&amp;'Reg 85'!$I$10:$K$10&amp;'Reg 85'!$B291),('DMR 001C TIN &amp; TP'!$E$3:$E$10005&amp;'DMR 001C TIN &amp; TP'!$B$3:$B$10005&amp;'DMR 001C TIN &amp; TP'!$A$3:$A$10005),0),MATCH('Reg 85'!$J$11,'DMR 001C TIN &amp; TP'!$A$2:$M$2,0))),"")</f>
        <v>0.15</v>
      </c>
      <c r="K291" s="6">
        <f t="array" ref="K291">_xlfn.IFNA((INDEX('DMR 001C TIN &amp; TP'!$A$3:$M$10005,MATCH(('Reg 85'!$I$6:$Q$6&amp;'Reg 85'!$I$10:$K$10&amp;'Reg 85'!$B291),('DMR 001C TIN &amp; TP'!$E$3:$E$10005&amp;'DMR 001C TIN &amp; TP'!$B$3:$B$10005&amp;'DMR 001C TIN &amp; TP'!$A$3:$A$10005),0),MATCH('Reg 85'!$K$11,'DMR 001C TIN &amp; TP'!$A$2:$M$2,0))),"")</f>
        <v>0.9</v>
      </c>
      <c r="L291" s="53">
        <f t="shared" si="122"/>
        <v>0.9</v>
      </c>
      <c r="M291" s="5" t="str">
        <f t="shared" si="111"/>
        <v/>
      </c>
      <c r="N291" s="6" t="str">
        <f t="array" ref="N291">_xlfn.IFNA((INDEX('DMR 001C TIN &amp; TP'!$A$3:$M$10005,MATCH(('Reg 85'!$I$6:$Q$6&amp;'Reg 85'!$M$10&amp;'Reg 85'!$B291),('DMR 001C TIN &amp; TP'!$E$3:$E$10005&amp;'DMR 001C TIN &amp; TP'!$B$3:$B$10005&amp;'DMR 001C TIN &amp; TP'!$A$3:$A$10005),0),MATCH('Reg 85'!$N$11,'DMR 001C TIN &amp; TP'!$A$2:$M$2,0))),"")</f>
        <v>0.15</v>
      </c>
      <c r="O291" s="6">
        <f t="array" ref="O291">_xlfn.IFNA((INDEX('DMR 001C TIN &amp; TP'!$A$3:$M$10005,MATCH(('Reg 85'!$I$6:$Q$6&amp;'Reg 85'!$M$10&amp;'Reg 85'!$B291),('DMR 001C TIN &amp; TP'!$E$3:$E$10005&amp;'DMR 001C TIN &amp; TP'!$B$3:$B$10005&amp;'DMR 001C TIN &amp; TP'!$A$3:$A$10005),0),MATCH('Reg 85'!$O$11,'DMR 001C TIN &amp; TP'!$A$2:$M$2,0))),"")</f>
        <v>1.49</v>
      </c>
      <c r="P291" s="53">
        <f t="shared" si="112"/>
        <v>1.49</v>
      </c>
      <c r="Q291" s="73">
        <f t="array" ref="Q291">IFERROR(((L291*$F291)+(P291*$G291))/($H291),"")</f>
        <v>1.1509470510475022</v>
      </c>
      <c r="R291" s="6" t="str">
        <f t="array" ref="R291">_xlfn.IFNA((INDEX('DMR 001C TIN &amp; TP'!$A$3:$M$10005,MATCH(('Reg 85'!$I$6:$Q$6&amp;'Reg 85'!R$10&amp;'Reg 85'!$B291),('DMR 001C TIN &amp; TP'!$E$3:$E$10005&amp;'DMR 001C TIN &amp; TP'!$B$3:$B$10005&amp;'DMR 001C TIN &amp; TP'!$A$3:$A$10005),0),MATCH('Reg 85'!$O$11,'DMR 001C TIN &amp; TP'!$A$2:$M$2,0))),"")</f>
        <v/>
      </c>
      <c r="S291" s="6" t="str">
        <f t="array" ref="S291">_xlfn.IFNA((INDEX('DMR 001C TIN &amp; TP'!$A$3:$M$10005,MATCH(('Reg 85'!$I$6:$Q$6&amp;'Reg 85'!S$10&amp;'Reg 85'!$B291),('DMR 001C TIN &amp; TP'!$E$3:$E$10005&amp;'DMR 001C TIN &amp; TP'!$B$3:$B$10005&amp;'DMR 001C TIN &amp; TP'!$A$3:$A$10005),0),MATCH('Reg 85'!$O$11,'DMR 001C TIN &amp; TP'!$A$2:$M$2,0))),"")</f>
        <v/>
      </c>
      <c r="T291" s="6" t="str">
        <f t="array" ref="T291">_xlfn.IFNA((INDEX('DMR 001C TIN &amp; TP'!$A$3:$M$10005,MATCH(('Reg 85'!$I$6:$Q$6&amp;'Reg 85'!T$10&amp;'Reg 85'!$B291),('DMR 001C TIN &amp; TP'!$E$3:$E$10005&amp;'DMR 001C TIN &amp; TP'!$B$3:$B$10005&amp;'DMR 001C TIN &amp; TP'!$A$3:$A$10005),0),MATCH('Reg 85'!$O$11,'DMR 001C TIN &amp; TP'!$A$2:$M$2,0))),"")</f>
        <v/>
      </c>
      <c r="U291" s="6" t="str">
        <f t="array" ref="U291">_xlfn.IFNA((INDEX('DMR 001C TIN &amp; TP'!$A$3:$M$10005,MATCH(('Reg 85'!$I$6:$Q$6&amp;'Reg 85'!U$10&amp;'Reg 85'!$B291),('DMR 001C TIN &amp; TP'!$E$3:$E$10005&amp;'DMR 001C TIN &amp; TP'!$B$3:$B$10005&amp;'DMR 001C TIN &amp; TP'!$A$3:$A$10005),0),MATCH('Reg 85'!$O$11,'DMR 001C TIN &amp; TP'!$A$2:$M$2,0))),"")</f>
        <v/>
      </c>
      <c r="V291" s="6" t="str">
        <f t="array" ref="V291">_xlfn.IFNA((INDEX('DMR 001C TIN &amp; TP'!$A$3:$M$10005,MATCH(('Reg 85'!$I$6:$Q$6&amp;'Reg 85'!V$10&amp;'Reg 85'!$B291),('DMR 001C TIN &amp; TP'!$E$3:$E$10005&amp;'DMR 001C TIN &amp; TP'!$B$3:$B$10005&amp;'DMR 001C TIN &amp; TP'!$A$3:$A$10005),0),MATCH('Reg 85'!$O$11,'DMR 001C TIN &amp; TP'!$A$2:$M$2,0))),"")</f>
        <v/>
      </c>
      <c r="W291" s="6" t="str">
        <f t="array" ref="W291">_xlfn.IFNA((INDEX('DMR 001C TIN &amp; TP'!$A$3:$M$10005,MATCH(('Reg 85'!$I$6:$Q$6&amp;'Reg 85'!W$10&amp;'Reg 85'!$B291),('DMR 001C TIN &amp; TP'!$E$3:$E$10005&amp;'DMR 001C TIN &amp; TP'!$B$3:$B$10005&amp;'DMR 001C TIN &amp; TP'!$A$3:$A$10005),0),MATCH('Reg 85'!$O$11,'DMR 001C TIN &amp; TP'!$A$2:$M$2,0))),"")</f>
        <v/>
      </c>
      <c r="X291" s="5" t="str">
        <f t="shared" si="113"/>
        <v/>
      </c>
      <c r="Y291" s="6" t="str">
        <f t="array" ref="Y291">_xlfn.IFNA((INDEX('DMR 001C TIN &amp; TP'!$A$3:$M$10005,MATCH(('Reg 85'!$X$6&amp;'Reg 85'!$X$10&amp;'Reg 85'!$B291),('DMR 001C TIN &amp; TP'!$E$3:$E$10005&amp;'DMR 001C TIN &amp; TP'!$B$3:$B$10005&amp;'DMR 001C TIN &amp; TP'!$A$3:$A$10005),0),MATCH('Reg 85'!$Y$11,'DMR 001C TIN &amp; TP'!$A$2:$M$2,0))),"")</f>
        <v>0.06</v>
      </c>
      <c r="Z291" s="6">
        <f t="array" ref="Z291">_xlfn.IFNA((INDEX('DMR 001C TIN &amp; TP'!$A$3:$M$10005,MATCH(('Reg 85'!$X$6&amp;'Reg 85'!$X$10&amp;'Reg 85'!$B291),('DMR 001C TIN &amp; TP'!$E$3:$E$10005&amp;'DMR 001C TIN &amp; TP'!$B$3:$B$10005&amp;'DMR 001C TIN &amp; TP'!$A$3:$A$10005),0),MATCH('Reg 85'!$Z$11,'DMR 001C TIN &amp; TP'!$A$2:$M$2,0))),"")</f>
        <v>4.37</v>
      </c>
      <c r="AA291" s="53">
        <f t="shared" si="114"/>
        <v>4.37</v>
      </c>
      <c r="AB291" s="5" t="str">
        <f t="shared" si="115"/>
        <v/>
      </c>
      <c r="AC291" s="6" t="str">
        <f t="array" ref="AC291">_xlfn.IFNA((INDEX('DMR 001C TIN &amp; TP'!$A$3:$M$10005,MATCH(('Reg 85'!$X$6&amp;'Reg 85'!$AB$10&amp;'Reg 85'!$B291),('DMR 001C TIN &amp; TP'!$E$3:$E$10005&amp;'DMR 001C TIN &amp; TP'!$B$3:$B$10005&amp;'DMR 001C TIN &amp; TP'!$A$3:$A$10005),0),MATCH('Reg 85'!$AC$11,'DMR 001C TIN &amp; TP'!$A$2:$M$2,0))),"")</f>
        <v>0.06</v>
      </c>
      <c r="AD291" s="6">
        <f t="array" ref="AD291">_xlfn.IFNA((INDEX('DMR 001C TIN &amp; TP'!$A$3:$M$10005,MATCH(('Reg 85'!$X$6&amp;'Reg 85'!$AB$10&amp;'Reg 85'!$B291),('DMR 001C TIN &amp; TP'!$E$3:$E$10005&amp;'DMR 001C TIN &amp; TP'!$B$3:$B$10005&amp;'DMR 001C TIN &amp; TP'!$A$3:$A$10005),0),MATCH('Reg 85'!$AD$11,'DMR 001C TIN &amp; TP'!$A$2:$M$2,0))),"")</f>
        <v>5.23</v>
      </c>
      <c r="AE291" s="53">
        <f t="shared" si="116"/>
        <v>5.23</v>
      </c>
      <c r="AF291" s="7">
        <f t="shared" si="117"/>
        <v>4.7357872269505972</v>
      </c>
      <c r="AG291" s="6" t="str">
        <f t="array" ref="AG291">_xlfn.IFNA((INDEX('DMR 001C TIN &amp; TP'!$A$3:$M$10005,MATCH(('Reg 85'!$X$6&amp;'Reg 85'!AG$10&amp;'Reg 85'!$B291),('DMR 001C TIN &amp; TP'!$E$3:$E$10005&amp;'DMR 001C TIN &amp; TP'!$B$3:$B$10005&amp;'DMR 001C TIN &amp; TP'!$A$3:$A$10005),0),MATCH('Reg 85'!$AG$11,'DMR 001C TIN &amp; TP'!$A$2:$M$2,0))),"")</f>
        <v/>
      </c>
      <c r="AH291" s="6" t="str">
        <f t="array" ref="AH291">_xlfn.IFNA((INDEX('DMR 001C TIN &amp; TP'!$A$3:$M$10005,MATCH(('Reg 85'!$X$6&amp;'Reg 85'!AH$10&amp;'Reg 85'!$B291),('DMR 001C TIN &amp; TP'!$E$3:$E$10005&amp;'DMR 001C TIN &amp; TP'!$B$3:$B$10005&amp;'DMR 001C TIN &amp; TP'!$A$3:$A$10005),0),MATCH('Reg 85'!$AG$11,'DMR 001C TIN &amp; TP'!$A$2:$M$2,0))),"")</f>
        <v/>
      </c>
      <c r="AI291" s="6" t="str">
        <f t="array" ref="AI291">_xlfn.IFNA((INDEX('DMR 001C TIN &amp; TP'!$A$3:$M$10005,MATCH(('Reg 85'!$X$6&amp;'Reg 85'!AI$10&amp;'Reg 85'!$B291),('DMR 001C TIN &amp; TP'!$E$3:$E$10005&amp;'DMR 001C TIN &amp; TP'!$B$3:$B$10005&amp;'DMR 001C TIN &amp; TP'!$A$3:$A$10005),0),MATCH('Reg 85'!$AG$11,'DMR 001C TIN &amp; TP'!$A$2:$M$2,0))),"")</f>
        <v/>
      </c>
      <c r="AJ291" s="6" t="str">
        <f t="array" ref="AJ291">_xlfn.IFNA((INDEX('DMR 001C TIN &amp; TP'!$A$3:$M$10005,MATCH(('Reg 85'!$X$6&amp;'Reg 85'!AJ$10&amp;'Reg 85'!$B291),('DMR 001C TIN &amp; TP'!$E$3:$E$10005&amp;'DMR 001C TIN &amp; TP'!$B$3:$B$10005&amp;'DMR 001C TIN &amp; TP'!$A$3:$A$10005),0),MATCH('Reg 85'!$AG$11,'DMR 001C TIN &amp; TP'!$A$2:$M$2,0))),"")</f>
        <v/>
      </c>
      <c r="AK291" s="6" t="str">
        <f t="array" ref="AK291">_xlfn.IFNA((INDEX('DMR 001C TIN &amp; TP'!$A$3:$M$10005,MATCH(('Reg 85'!$X$6&amp;'Reg 85'!AK$10&amp;'Reg 85'!$B291),('DMR 001C TIN &amp; TP'!$E$3:$E$10005&amp;'DMR 001C TIN &amp; TP'!$B$3:$B$10005&amp;'DMR 001C TIN &amp; TP'!$A$3:$A$10005),0),MATCH('Reg 85'!$AG$11,'DMR 001C TIN &amp; TP'!$A$2:$M$2,0))),"")</f>
        <v/>
      </c>
      <c r="AL291" s="6" t="str">
        <f t="array" ref="AL291">_xlfn.IFNA((INDEX('DMR 001C TIN &amp; TP'!$A$3:$M$10005,MATCH(('Reg 85'!$X$6&amp;'Reg 85'!AL$10&amp;'Reg 85'!$B291),('DMR 001C TIN &amp; TP'!$E$3:$E$10005&amp;'DMR 001C TIN &amp; TP'!$B$3:$B$10005&amp;'DMR 001C TIN &amp; TP'!$A$3:$A$10005),0),MATCH('Reg 85'!$AG$11,'DMR 001C TIN &amp; TP'!$A$2:$M$2,0))),"")</f>
        <v/>
      </c>
      <c r="AM291" s="76"/>
      <c r="AN291" s="6"/>
      <c r="AO291" s="54">
        <f t="shared" si="104"/>
        <v>5.8867342779980998</v>
      </c>
      <c r="AP291" s="77" t="str">
        <f t="shared" si="102"/>
        <v/>
      </c>
      <c r="AQ291" s="47"/>
      <c r="AR291" s="6" t="str">
        <f t="array" ref="AR291">_xlfn.IFNA((INDEX('DMR 001C TIN &amp; TP'!$A$3:$M$10005,MATCH(('Reg 85'!$AQ$6&amp;'Reg 85'!$AQ$10&amp;'Reg 85'!$B291),('DMR 001C TIN &amp; TP'!$E$3:$E$10005&amp;'DMR 001C TIN &amp; TP'!$B$3:$B$10005&amp;'DMR 001C TIN &amp; TP'!$A$3:$A$10005),0),MATCH('Reg 85'!$AR$11,'DMR 001C TIN &amp; TP'!$A$2:$M$2,0))),"")</f>
        <v/>
      </c>
      <c r="AS291" s="6" t="str">
        <f t="array" ref="AS291">_xlfn.IFNA((INDEX('DMR 001C TIN &amp; TP'!$A$3:$M$10005,MATCH(('Reg 85'!$AQ$6&amp;'Reg 85'!$AQ$10&amp;'Reg 85'!$B291),('DMR 001C TIN &amp; TP'!$E$3:$E$10005&amp;'DMR 001C TIN &amp; TP'!$B$3:$B$10005&amp;'DMR 001C TIN &amp; TP'!$A$3:$A$10005),0),MATCH('Reg 85'!$AS$11,'DMR 001C TIN &amp; TP'!$A$2:$M$2,0))),"")</f>
        <v/>
      </c>
      <c r="AT291" s="53" t="str">
        <f t="shared" si="118"/>
        <v/>
      </c>
      <c r="AV291" s="6" t="str">
        <f t="array" ref="AV291">_xlfn.IFNA((INDEX('DMR 001C TIN &amp; TP'!$A$3:$M$10005,MATCH(('Reg 85'!$AQ$6&amp;'Reg 85'!$AU$10&amp;'Reg 85'!$B291),('DMR 001C TIN &amp; TP'!$E$3:$E$10005&amp;'DMR 001C TIN &amp; TP'!$B$3:$B$10005&amp;'DMR 001C TIN &amp; TP'!$A$3:$A$10005),0),MATCH('Reg 85'!$AV$11,'DMR 001C TIN &amp; TP'!$A$2:$M$2,0))),"")</f>
        <v/>
      </c>
      <c r="AW291" s="6" t="str">
        <f t="array" ref="AW291">_xlfn.IFNA((INDEX('DMR 001C TIN &amp; TP'!$A$3:$M$10005,MATCH(('Reg 85'!$AQ$6&amp;'Reg 85'!$AU$10&amp;'Reg 85'!$B291),('DMR 001C TIN &amp; TP'!$E$3:$E$10005&amp;'DMR 001C TIN &amp; TP'!$B$3:$B$10005&amp;'DMR 001C TIN &amp; TP'!$A$3:$A$10005),0),MATCH('Reg 85'!$AW$11,'DMR 001C TIN &amp; TP'!$A$2:$M$2,0))),"")</f>
        <v/>
      </c>
      <c r="AX291" s="53" t="str">
        <f t="shared" si="119"/>
        <v/>
      </c>
      <c r="AY291" s="55" t="str">
        <f t="shared" si="120"/>
        <v/>
      </c>
      <c r="AZ291" s="77" t="str">
        <f t="shared" si="103"/>
        <v/>
      </c>
      <c r="BA291" s="6" t="str">
        <f t="array" ref="BA291">_xlfn.IFNA((INDEX('DMR 001C TIN &amp; TP'!$A$3:$M$10005,MATCH(('Reg 85'!$AQ$6&amp;'Reg 85'!BA$10&amp;'Reg 85'!$B291),('DMR 001C TIN &amp; TP'!$E$3:$E$10005&amp;'DMR 001C TIN &amp; TP'!$B$3:$B$10005&amp;'DMR 001C TIN &amp; TP'!$A$3:$A$10005),0),MATCH('Reg 85'!$AG$11,'DMR 001C TIN &amp; TP'!$A$2:$M$2,0))),"")</f>
        <v/>
      </c>
      <c r="BB291" s="6" t="str">
        <f t="array" ref="BB291">_xlfn.IFNA((INDEX('DMR 001C TIN &amp; TP'!$A$3:$M$10005,MATCH(('Reg 85'!$AQ$6&amp;'Reg 85'!BB$10&amp;'Reg 85'!$B291),('DMR 001C TIN &amp; TP'!$E$3:$E$10005&amp;'DMR 001C TIN &amp; TP'!$B$3:$B$10005&amp;'DMR 001C TIN &amp; TP'!$A$3:$A$10005),0),MATCH('Reg 85'!$AG$11,'DMR 001C TIN &amp; TP'!$A$2:$M$2,0))),"")</f>
        <v/>
      </c>
      <c r="BC291" s="6" t="str">
        <f t="array" ref="BC291">_xlfn.IFNA((INDEX('DMR 001C TIN &amp; TP'!$A$3:$M$10005,MATCH(('Reg 85'!$AQ$6&amp;'Reg 85'!BC$10&amp;'Reg 85'!$B291),('DMR 001C TIN &amp; TP'!$E$3:$E$10005&amp;'DMR 001C TIN &amp; TP'!$B$3:$B$10005&amp;'DMR 001C TIN &amp; TP'!$A$3:$A$10005),0),MATCH('Reg 85'!$AG$11,'DMR 001C TIN &amp; TP'!$A$2:$M$2,0))),"")</f>
        <v/>
      </c>
      <c r="BD291" s="6" t="str">
        <f t="array" ref="BD291">_xlfn.IFNA((INDEX('DMR 001C TIN &amp; TP'!$A$3:$M$10005,MATCH(('Reg 85'!$AQ$6&amp;'Reg 85'!BD$10&amp;'Reg 85'!$B291),('DMR 001C TIN &amp; TP'!$E$3:$E$10005&amp;'DMR 001C TIN &amp; TP'!$B$3:$B$10005&amp;'DMR 001C TIN &amp; TP'!$A$3:$A$10005),0),MATCH('Reg 85'!$AG$11,'DMR 001C TIN &amp; TP'!$A$2:$M$2,0))),"")</f>
        <v/>
      </c>
      <c r="BE291" s="6" t="str">
        <f t="array" ref="BE291">_xlfn.IFNA((INDEX('DMR 001C TIN &amp; TP'!$A$3:$M$10005,MATCH(('Reg 85'!$AQ$6&amp;'Reg 85'!BE$10&amp;'Reg 85'!$B291),('DMR 001C TIN &amp; TP'!$E$3:$E$10005&amp;'DMR 001C TIN &amp; TP'!$B$3:$B$10005&amp;'DMR 001C TIN &amp; TP'!$A$3:$A$10005),0),MATCH('Reg 85'!$AG$11,'DMR 001C TIN &amp; TP'!$A$2:$M$2,0))),"")</f>
        <v/>
      </c>
      <c r="BF291" s="6" t="str">
        <f t="array" ref="BF291">_xlfn.IFNA((INDEX('DMR 001C TIN &amp; TP'!$A$3:$M$10005,MATCH(('Reg 85'!$AQ$6&amp;'Reg 85'!BF$10&amp;'Reg 85'!$B291),('DMR 001C TIN &amp; TP'!$E$3:$E$10005&amp;'DMR 001C TIN &amp; TP'!$B$3:$B$10005&amp;'DMR 001C TIN &amp; TP'!$A$3:$A$10005),0),MATCH('Reg 85'!$AG$11,'DMR 001C TIN &amp; TP'!$A$2:$M$2,0))),"")</f>
        <v/>
      </c>
    </row>
    <row r="292" spans="1:58">
      <c r="A292" s="3" t="str">
        <f t="shared" si="105"/>
        <v>Sat</v>
      </c>
      <c r="B292" s="96">
        <f t="shared" si="121"/>
        <v>43624</v>
      </c>
      <c r="C292" s="96">
        <f t="shared" si="106"/>
        <v>43646</v>
      </c>
      <c r="D292" s="96">
        <f t="shared" si="107"/>
        <v>43617</v>
      </c>
      <c r="E292" s="95">
        <f t="shared" si="108"/>
        <v>30</v>
      </c>
      <c r="F292" s="7">
        <f t="array" ref="F292">_xlfn.IFNA(INDEX('DMR Flows-Effluent'!$A$3:$F$9999,MATCH(($F$10&amp;$B292),('DMR Flows-Effluent'!$B$3:$B$9999&amp;'DMR Flows-Effluent'!$A$3:$A$9999),0),MATCH($F$8,'DMR Flows-Effluent'!$A$2:$F$2,0)),"")</f>
        <v>70.3</v>
      </c>
      <c r="G292" s="7">
        <f t="array" ref="G292">_xlfn.IFNA(INDEX('DMR Flows-Effluent'!$A$3:$F$9999,MATCH(($G$10&amp;$B292),('DMR Flows-Effluent'!$B$3:$B$9999&amp;'DMR Flows-Effluent'!$A$3:$A$9999),0),MATCH($F$8,'DMR Flows-Effluent'!$A$2:$F$2,0)),"")</f>
        <v>62.117600000000003</v>
      </c>
      <c r="H292" s="7">
        <f t="shared" si="109"/>
        <v>132.41759999999999</v>
      </c>
      <c r="I292" s="45" t="str">
        <f t="shared" si="110"/>
        <v/>
      </c>
      <c r="J292" s="6" t="str">
        <f t="array" ref="J292">_xlfn.IFNA((INDEX('DMR 001C TIN &amp; TP'!$A$3:$M$10005,MATCH(('Reg 85'!$I$6:$Q$6&amp;'Reg 85'!$I$10:$K$10&amp;'Reg 85'!$B292),('DMR 001C TIN &amp; TP'!$E$3:$E$10005&amp;'DMR 001C TIN &amp; TP'!$B$3:$B$10005&amp;'DMR 001C TIN &amp; TP'!$A$3:$A$10005),0),MATCH('Reg 85'!$J$11,'DMR 001C TIN &amp; TP'!$A$2:$M$2,0))),"")</f>
        <v>0.15</v>
      </c>
      <c r="K292" s="6">
        <f t="array" ref="K292">_xlfn.IFNA((INDEX('DMR 001C TIN &amp; TP'!$A$3:$M$10005,MATCH(('Reg 85'!$I$6:$Q$6&amp;'Reg 85'!$I$10:$K$10&amp;'Reg 85'!$B292),('DMR 001C TIN &amp; TP'!$E$3:$E$10005&amp;'DMR 001C TIN &amp; TP'!$B$3:$B$10005&amp;'DMR 001C TIN &amp; TP'!$A$3:$A$10005),0),MATCH('Reg 85'!$K$11,'DMR 001C TIN &amp; TP'!$A$2:$M$2,0))),"")</f>
        <v>0.38</v>
      </c>
      <c r="L292" s="53">
        <f t="shared" si="122"/>
        <v>0.38</v>
      </c>
      <c r="M292" s="5" t="str">
        <f t="shared" si="111"/>
        <v/>
      </c>
      <c r="N292" s="6" t="str">
        <f t="array" ref="N292">_xlfn.IFNA((INDEX('DMR 001C TIN &amp; TP'!$A$3:$M$10005,MATCH(('Reg 85'!$I$6:$Q$6&amp;'Reg 85'!$M$10&amp;'Reg 85'!$B292),('DMR 001C TIN &amp; TP'!$E$3:$E$10005&amp;'DMR 001C TIN &amp; TP'!$B$3:$B$10005&amp;'DMR 001C TIN &amp; TP'!$A$3:$A$10005),0),MATCH('Reg 85'!$N$11,'DMR 001C TIN &amp; TP'!$A$2:$M$2,0))),"")</f>
        <v>0.15</v>
      </c>
      <c r="O292" s="6">
        <f t="array" ref="O292">_xlfn.IFNA((INDEX('DMR 001C TIN &amp; TP'!$A$3:$M$10005,MATCH(('Reg 85'!$I$6:$Q$6&amp;'Reg 85'!$M$10&amp;'Reg 85'!$B292),('DMR 001C TIN &amp; TP'!$E$3:$E$10005&amp;'DMR 001C TIN &amp; TP'!$B$3:$B$10005&amp;'DMR 001C TIN &amp; TP'!$A$3:$A$10005),0),MATCH('Reg 85'!$O$11,'DMR 001C TIN &amp; TP'!$A$2:$M$2,0))),"")</f>
        <v>1.5</v>
      </c>
      <c r="P292" s="53">
        <f t="shared" si="112"/>
        <v>1.5</v>
      </c>
      <c r="Q292" s="73">
        <f t="array" ref="Q292">IFERROR(((L292*$F292)+(P292*$G292))/($H292),"")</f>
        <v>0.90539626152414787</v>
      </c>
      <c r="R292" s="6" t="str">
        <f t="array" ref="R292">_xlfn.IFNA((INDEX('DMR 001C TIN &amp; TP'!$A$3:$M$10005,MATCH(('Reg 85'!$I$6:$Q$6&amp;'Reg 85'!R$10&amp;'Reg 85'!$B292),('DMR 001C TIN &amp; TP'!$E$3:$E$10005&amp;'DMR 001C TIN &amp; TP'!$B$3:$B$10005&amp;'DMR 001C TIN &amp; TP'!$A$3:$A$10005),0),MATCH('Reg 85'!$O$11,'DMR 001C TIN &amp; TP'!$A$2:$M$2,0))),"")</f>
        <v/>
      </c>
      <c r="S292" s="6" t="str">
        <f t="array" ref="S292">_xlfn.IFNA((INDEX('DMR 001C TIN &amp; TP'!$A$3:$M$10005,MATCH(('Reg 85'!$I$6:$Q$6&amp;'Reg 85'!S$10&amp;'Reg 85'!$B292),('DMR 001C TIN &amp; TP'!$E$3:$E$10005&amp;'DMR 001C TIN &amp; TP'!$B$3:$B$10005&amp;'DMR 001C TIN &amp; TP'!$A$3:$A$10005),0),MATCH('Reg 85'!$O$11,'DMR 001C TIN &amp; TP'!$A$2:$M$2,0))),"")</f>
        <v/>
      </c>
      <c r="T292" s="6" t="str">
        <f t="array" ref="T292">_xlfn.IFNA((INDEX('DMR 001C TIN &amp; TP'!$A$3:$M$10005,MATCH(('Reg 85'!$I$6:$Q$6&amp;'Reg 85'!T$10&amp;'Reg 85'!$B292),('DMR 001C TIN &amp; TP'!$E$3:$E$10005&amp;'DMR 001C TIN &amp; TP'!$B$3:$B$10005&amp;'DMR 001C TIN &amp; TP'!$A$3:$A$10005),0),MATCH('Reg 85'!$O$11,'DMR 001C TIN &amp; TP'!$A$2:$M$2,0))),"")</f>
        <v/>
      </c>
      <c r="U292" s="6" t="str">
        <f t="array" ref="U292">_xlfn.IFNA((INDEX('DMR 001C TIN &amp; TP'!$A$3:$M$10005,MATCH(('Reg 85'!$I$6:$Q$6&amp;'Reg 85'!U$10&amp;'Reg 85'!$B292),('DMR 001C TIN &amp; TP'!$E$3:$E$10005&amp;'DMR 001C TIN &amp; TP'!$B$3:$B$10005&amp;'DMR 001C TIN &amp; TP'!$A$3:$A$10005),0),MATCH('Reg 85'!$O$11,'DMR 001C TIN &amp; TP'!$A$2:$M$2,0))),"")</f>
        <v/>
      </c>
      <c r="V292" s="6" t="str">
        <f t="array" ref="V292">_xlfn.IFNA((INDEX('DMR 001C TIN &amp; TP'!$A$3:$M$10005,MATCH(('Reg 85'!$I$6:$Q$6&amp;'Reg 85'!V$10&amp;'Reg 85'!$B292),('DMR 001C TIN &amp; TP'!$E$3:$E$10005&amp;'DMR 001C TIN &amp; TP'!$B$3:$B$10005&amp;'DMR 001C TIN &amp; TP'!$A$3:$A$10005),0),MATCH('Reg 85'!$O$11,'DMR 001C TIN &amp; TP'!$A$2:$M$2,0))),"")</f>
        <v/>
      </c>
      <c r="W292" s="6" t="str">
        <f t="array" ref="W292">_xlfn.IFNA((INDEX('DMR 001C TIN &amp; TP'!$A$3:$M$10005,MATCH(('Reg 85'!$I$6:$Q$6&amp;'Reg 85'!W$10&amp;'Reg 85'!$B292),('DMR 001C TIN &amp; TP'!$E$3:$E$10005&amp;'DMR 001C TIN &amp; TP'!$B$3:$B$10005&amp;'DMR 001C TIN &amp; TP'!$A$3:$A$10005),0),MATCH('Reg 85'!$O$11,'DMR 001C TIN &amp; TP'!$A$2:$M$2,0))),"")</f>
        <v/>
      </c>
      <c r="X292" s="5" t="str">
        <f t="shared" si="113"/>
        <v/>
      </c>
      <c r="Y292" s="6" t="str">
        <f t="array" ref="Y292">_xlfn.IFNA((INDEX('DMR 001C TIN &amp; TP'!$A$3:$M$10005,MATCH(('Reg 85'!$X$6&amp;'Reg 85'!$X$10&amp;'Reg 85'!$B292),('DMR 001C TIN &amp; TP'!$E$3:$E$10005&amp;'DMR 001C TIN &amp; TP'!$B$3:$B$10005&amp;'DMR 001C TIN &amp; TP'!$A$3:$A$10005),0),MATCH('Reg 85'!$Y$11,'DMR 001C TIN &amp; TP'!$A$2:$M$2,0))),"")</f>
        <v>0.06</v>
      </c>
      <c r="Z292" s="6">
        <f t="array" ref="Z292">_xlfn.IFNA((INDEX('DMR 001C TIN &amp; TP'!$A$3:$M$10005,MATCH(('Reg 85'!$X$6&amp;'Reg 85'!$X$10&amp;'Reg 85'!$B292),('DMR 001C TIN &amp; TP'!$E$3:$E$10005&amp;'DMR 001C TIN &amp; TP'!$B$3:$B$10005&amp;'DMR 001C TIN &amp; TP'!$A$3:$A$10005),0),MATCH('Reg 85'!$Z$11,'DMR 001C TIN &amp; TP'!$A$2:$M$2,0))),"")</f>
        <v>4.6500000000000004</v>
      </c>
      <c r="AA292" s="53">
        <f t="shared" si="114"/>
        <v>4.6500000000000004</v>
      </c>
      <c r="AB292" s="5" t="str">
        <f t="shared" si="115"/>
        <v/>
      </c>
      <c r="AC292" s="6" t="str">
        <f t="array" ref="AC292">_xlfn.IFNA((INDEX('DMR 001C TIN &amp; TP'!$A$3:$M$10005,MATCH(('Reg 85'!$X$6&amp;'Reg 85'!$AB$10&amp;'Reg 85'!$B292),('DMR 001C TIN &amp; TP'!$E$3:$E$10005&amp;'DMR 001C TIN &amp; TP'!$B$3:$B$10005&amp;'DMR 001C TIN &amp; TP'!$A$3:$A$10005),0),MATCH('Reg 85'!$AC$11,'DMR 001C TIN &amp; TP'!$A$2:$M$2,0))),"")</f>
        <v>0.06</v>
      </c>
      <c r="AD292" s="6">
        <f t="array" ref="AD292">_xlfn.IFNA((INDEX('DMR 001C TIN &amp; TP'!$A$3:$M$10005,MATCH(('Reg 85'!$X$6&amp;'Reg 85'!$AB$10&amp;'Reg 85'!$B292),('DMR 001C TIN &amp; TP'!$E$3:$E$10005&amp;'DMR 001C TIN &amp; TP'!$B$3:$B$10005&amp;'DMR 001C TIN &amp; TP'!$A$3:$A$10005),0),MATCH('Reg 85'!$AD$11,'DMR 001C TIN &amp; TP'!$A$2:$M$2,0))),"")</f>
        <v>6.16</v>
      </c>
      <c r="AE292" s="53">
        <f t="shared" si="116"/>
        <v>6.16</v>
      </c>
      <c r="AF292" s="7">
        <f t="shared" si="117"/>
        <v>5.3583467454477356</v>
      </c>
      <c r="AG292" s="6" t="str">
        <f t="array" ref="AG292">_xlfn.IFNA((INDEX('DMR 001C TIN &amp; TP'!$A$3:$M$10005,MATCH(('Reg 85'!$X$6&amp;'Reg 85'!AG$10&amp;'Reg 85'!$B292),('DMR 001C TIN &amp; TP'!$E$3:$E$10005&amp;'DMR 001C TIN &amp; TP'!$B$3:$B$10005&amp;'DMR 001C TIN &amp; TP'!$A$3:$A$10005),0),MATCH('Reg 85'!$AG$11,'DMR 001C TIN &amp; TP'!$A$2:$M$2,0))),"")</f>
        <v/>
      </c>
      <c r="AH292" s="6" t="str">
        <f t="array" ref="AH292">_xlfn.IFNA((INDEX('DMR 001C TIN &amp; TP'!$A$3:$M$10005,MATCH(('Reg 85'!$X$6&amp;'Reg 85'!AH$10&amp;'Reg 85'!$B292),('DMR 001C TIN &amp; TP'!$E$3:$E$10005&amp;'DMR 001C TIN &amp; TP'!$B$3:$B$10005&amp;'DMR 001C TIN &amp; TP'!$A$3:$A$10005),0),MATCH('Reg 85'!$AG$11,'DMR 001C TIN &amp; TP'!$A$2:$M$2,0))),"")</f>
        <v/>
      </c>
      <c r="AI292" s="6" t="str">
        <f t="array" ref="AI292">_xlfn.IFNA((INDEX('DMR 001C TIN &amp; TP'!$A$3:$M$10005,MATCH(('Reg 85'!$X$6&amp;'Reg 85'!AI$10&amp;'Reg 85'!$B292),('DMR 001C TIN &amp; TP'!$E$3:$E$10005&amp;'DMR 001C TIN &amp; TP'!$B$3:$B$10005&amp;'DMR 001C TIN &amp; TP'!$A$3:$A$10005),0),MATCH('Reg 85'!$AG$11,'DMR 001C TIN &amp; TP'!$A$2:$M$2,0))),"")</f>
        <v/>
      </c>
      <c r="AJ292" s="6" t="str">
        <f t="array" ref="AJ292">_xlfn.IFNA((INDEX('DMR 001C TIN &amp; TP'!$A$3:$M$10005,MATCH(('Reg 85'!$X$6&amp;'Reg 85'!AJ$10&amp;'Reg 85'!$B292),('DMR 001C TIN &amp; TP'!$E$3:$E$10005&amp;'DMR 001C TIN &amp; TP'!$B$3:$B$10005&amp;'DMR 001C TIN &amp; TP'!$A$3:$A$10005),0),MATCH('Reg 85'!$AG$11,'DMR 001C TIN &amp; TP'!$A$2:$M$2,0))),"")</f>
        <v/>
      </c>
      <c r="AK292" s="6" t="str">
        <f t="array" ref="AK292">_xlfn.IFNA((INDEX('DMR 001C TIN &amp; TP'!$A$3:$M$10005,MATCH(('Reg 85'!$X$6&amp;'Reg 85'!AK$10&amp;'Reg 85'!$B292),('DMR 001C TIN &amp; TP'!$E$3:$E$10005&amp;'DMR 001C TIN &amp; TP'!$B$3:$B$10005&amp;'DMR 001C TIN &amp; TP'!$A$3:$A$10005),0),MATCH('Reg 85'!$AG$11,'DMR 001C TIN &amp; TP'!$A$2:$M$2,0))),"")</f>
        <v/>
      </c>
      <c r="AL292" s="6" t="str">
        <f t="array" ref="AL292">_xlfn.IFNA((INDEX('DMR 001C TIN &amp; TP'!$A$3:$M$10005,MATCH(('Reg 85'!$X$6&amp;'Reg 85'!AL$10&amp;'Reg 85'!$B292),('DMR 001C TIN &amp; TP'!$E$3:$E$10005&amp;'DMR 001C TIN &amp; TP'!$B$3:$B$10005&amp;'DMR 001C TIN &amp; TP'!$A$3:$A$10005),0),MATCH('Reg 85'!$AG$11,'DMR 001C TIN &amp; TP'!$A$2:$M$2,0))),"")</f>
        <v/>
      </c>
      <c r="AM292" s="76"/>
      <c r="AN292" s="6"/>
      <c r="AO292" s="54">
        <f t="shared" si="104"/>
        <v>6.2637430069718834</v>
      </c>
      <c r="AP292" s="77" t="str">
        <f t="shared" si="102"/>
        <v/>
      </c>
      <c r="AQ292" s="47"/>
      <c r="AR292" s="6" t="str">
        <f t="array" ref="AR292">_xlfn.IFNA((INDEX('DMR 001C TIN &amp; TP'!$A$3:$M$10005,MATCH(('Reg 85'!$AQ$6&amp;'Reg 85'!$AQ$10&amp;'Reg 85'!$B292),('DMR 001C TIN &amp; TP'!$E$3:$E$10005&amp;'DMR 001C TIN &amp; TP'!$B$3:$B$10005&amp;'DMR 001C TIN &amp; TP'!$A$3:$A$10005),0),MATCH('Reg 85'!$AR$11,'DMR 001C TIN &amp; TP'!$A$2:$M$2,0))),"")</f>
        <v/>
      </c>
      <c r="AS292" s="6" t="str">
        <f t="array" ref="AS292">_xlfn.IFNA((INDEX('DMR 001C TIN &amp; TP'!$A$3:$M$10005,MATCH(('Reg 85'!$AQ$6&amp;'Reg 85'!$AQ$10&amp;'Reg 85'!$B292),('DMR 001C TIN &amp; TP'!$E$3:$E$10005&amp;'DMR 001C TIN &amp; TP'!$B$3:$B$10005&amp;'DMR 001C TIN &amp; TP'!$A$3:$A$10005),0),MATCH('Reg 85'!$AS$11,'DMR 001C TIN &amp; TP'!$A$2:$M$2,0))),"")</f>
        <v/>
      </c>
      <c r="AT292" s="53" t="str">
        <f t="shared" si="118"/>
        <v/>
      </c>
      <c r="AV292" s="6" t="str">
        <f t="array" ref="AV292">_xlfn.IFNA((INDEX('DMR 001C TIN &amp; TP'!$A$3:$M$10005,MATCH(('Reg 85'!$AQ$6&amp;'Reg 85'!$AU$10&amp;'Reg 85'!$B292),('DMR 001C TIN &amp; TP'!$E$3:$E$10005&amp;'DMR 001C TIN &amp; TP'!$B$3:$B$10005&amp;'DMR 001C TIN &amp; TP'!$A$3:$A$10005),0),MATCH('Reg 85'!$AV$11,'DMR 001C TIN &amp; TP'!$A$2:$M$2,0))),"")</f>
        <v/>
      </c>
      <c r="AW292" s="6" t="str">
        <f t="array" ref="AW292">_xlfn.IFNA((INDEX('DMR 001C TIN &amp; TP'!$A$3:$M$10005,MATCH(('Reg 85'!$AQ$6&amp;'Reg 85'!$AU$10&amp;'Reg 85'!$B292),('DMR 001C TIN &amp; TP'!$E$3:$E$10005&amp;'DMR 001C TIN &amp; TP'!$B$3:$B$10005&amp;'DMR 001C TIN &amp; TP'!$A$3:$A$10005),0),MATCH('Reg 85'!$AW$11,'DMR 001C TIN &amp; TP'!$A$2:$M$2,0))),"")</f>
        <v/>
      </c>
      <c r="AX292" s="53" t="str">
        <f t="shared" si="119"/>
        <v/>
      </c>
      <c r="AY292" s="55" t="str">
        <f t="shared" si="120"/>
        <v/>
      </c>
      <c r="AZ292" s="77" t="str">
        <f t="shared" si="103"/>
        <v/>
      </c>
      <c r="BA292" s="6" t="str">
        <f t="array" ref="BA292">_xlfn.IFNA((INDEX('DMR 001C TIN &amp; TP'!$A$3:$M$10005,MATCH(('Reg 85'!$AQ$6&amp;'Reg 85'!BA$10&amp;'Reg 85'!$B292),('DMR 001C TIN &amp; TP'!$E$3:$E$10005&amp;'DMR 001C TIN &amp; TP'!$B$3:$B$10005&amp;'DMR 001C TIN &amp; TP'!$A$3:$A$10005),0),MATCH('Reg 85'!$AG$11,'DMR 001C TIN &amp; TP'!$A$2:$M$2,0))),"")</f>
        <v/>
      </c>
      <c r="BB292" s="6" t="str">
        <f t="array" ref="BB292">_xlfn.IFNA((INDEX('DMR 001C TIN &amp; TP'!$A$3:$M$10005,MATCH(('Reg 85'!$AQ$6&amp;'Reg 85'!BB$10&amp;'Reg 85'!$B292),('DMR 001C TIN &amp; TP'!$E$3:$E$10005&amp;'DMR 001C TIN &amp; TP'!$B$3:$B$10005&amp;'DMR 001C TIN &amp; TP'!$A$3:$A$10005),0),MATCH('Reg 85'!$AG$11,'DMR 001C TIN &amp; TP'!$A$2:$M$2,0))),"")</f>
        <v/>
      </c>
      <c r="BC292" s="6" t="str">
        <f t="array" ref="BC292">_xlfn.IFNA((INDEX('DMR 001C TIN &amp; TP'!$A$3:$M$10005,MATCH(('Reg 85'!$AQ$6&amp;'Reg 85'!BC$10&amp;'Reg 85'!$B292),('DMR 001C TIN &amp; TP'!$E$3:$E$10005&amp;'DMR 001C TIN &amp; TP'!$B$3:$B$10005&amp;'DMR 001C TIN &amp; TP'!$A$3:$A$10005),0),MATCH('Reg 85'!$AG$11,'DMR 001C TIN &amp; TP'!$A$2:$M$2,0))),"")</f>
        <v/>
      </c>
      <c r="BD292" s="6" t="str">
        <f t="array" ref="BD292">_xlfn.IFNA((INDEX('DMR 001C TIN &amp; TP'!$A$3:$M$10005,MATCH(('Reg 85'!$AQ$6&amp;'Reg 85'!BD$10&amp;'Reg 85'!$B292),('DMR 001C TIN &amp; TP'!$E$3:$E$10005&amp;'DMR 001C TIN &amp; TP'!$B$3:$B$10005&amp;'DMR 001C TIN &amp; TP'!$A$3:$A$10005),0),MATCH('Reg 85'!$AG$11,'DMR 001C TIN &amp; TP'!$A$2:$M$2,0))),"")</f>
        <v/>
      </c>
      <c r="BE292" s="6" t="str">
        <f t="array" ref="BE292">_xlfn.IFNA((INDEX('DMR 001C TIN &amp; TP'!$A$3:$M$10005,MATCH(('Reg 85'!$AQ$6&amp;'Reg 85'!BE$10&amp;'Reg 85'!$B292),('DMR 001C TIN &amp; TP'!$E$3:$E$10005&amp;'DMR 001C TIN &amp; TP'!$B$3:$B$10005&amp;'DMR 001C TIN &amp; TP'!$A$3:$A$10005),0),MATCH('Reg 85'!$AG$11,'DMR 001C TIN &amp; TP'!$A$2:$M$2,0))),"")</f>
        <v/>
      </c>
      <c r="BF292" s="6" t="str">
        <f t="array" ref="BF292">_xlfn.IFNA((INDEX('DMR 001C TIN &amp; TP'!$A$3:$M$10005,MATCH(('Reg 85'!$AQ$6&amp;'Reg 85'!BF$10&amp;'Reg 85'!$B292),('DMR 001C TIN &amp; TP'!$E$3:$E$10005&amp;'DMR 001C TIN &amp; TP'!$B$3:$B$10005&amp;'DMR 001C TIN &amp; TP'!$A$3:$A$10005),0),MATCH('Reg 85'!$AG$11,'DMR 001C TIN &amp; TP'!$A$2:$M$2,0))),"")</f>
        <v/>
      </c>
    </row>
    <row r="293" spans="1:58">
      <c r="A293" s="3" t="str">
        <f t="shared" si="105"/>
        <v>Sun</v>
      </c>
      <c r="B293" s="96">
        <f t="shared" si="121"/>
        <v>43625</v>
      </c>
      <c r="C293" s="96">
        <f t="shared" si="106"/>
        <v>43646</v>
      </c>
      <c r="D293" s="96">
        <f t="shared" si="107"/>
        <v>43617</v>
      </c>
      <c r="E293" s="95">
        <f t="shared" si="108"/>
        <v>30</v>
      </c>
      <c r="F293" s="7">
        <f t="array" ref="F293">_xlfn.IFNA(INDEX('DMR Flows-Effluent'!$A$3:$F$9999,MATCH(($F$10&amp;$B293),('DMR Flows-Effluent'!$B$3:$B$9999&amp;'DMR Flows-Effluent'!$A$3:$A$9999),0),MATCH($F$8,'DMR Flows-Effluent'!$A$2:$F$2,0)),"")</f>
        <v>71.561700000000002</v>
      </c>
      <c r="G293" s="7">
        <f t="array" ref="G293">_xlfn.IFNA(INDEX('DMR Flows-Effluent'!$A$3:$F$9999,MATCH(($G$10&amp;$B293),('DMR Flows-Effluent'!$B$3:$B$9999&amp;'DMR Flows-Effluent'!$A$3:$A$9999),0),MATCH($F$8,'DMR Flows-Effluent'!$A$2:$F$2,0)),"")</f>
        <v>58.753799999999998</v>
      </c>
      <c r="H293" s="7">
        <f t="shared" si="109"/>
        <v>130.31549999999999</v>
      </c>
      <c r="I293" s="45" t="str">
        <f t="shared" si="110"/>
        <v/>
      </c>
      <c r="J293" s="6" t="str">
        <f t="array" ref="J293">_xlfn.IFNA((INDEX('DMR 001C TIN &amp; TP'!$A$3:$M$10005,MATCH(('Reg 85'!$I$6:$Q$6&amp;'Reg 85'!$I$10:$K$10&amp;'Reg 85'!$B293),('DMR 001C TIN &amp; TP'!$E$3:$E$10005&amp;'DMR 001C TIN &amp; TP'!$B$3:$B$10005&amp;'DMR 001C TIN &amp; TP'!$A$3:$A$10005),0),MATCH('Reg 85'!$J$11,'DMR 001C TIN &amp; TP'!$A$2:$M$2,0))),"")</f>
        <v/>
      </c>
      <c r="K293" s="6" t="str">
        <f t="array" ref="K293">_xlfn.IFNA((INDEX('DMR 001C TIN &amp; TP'!$A$3:$M$10005,MATCH(('Reg 85'!$I$6:$Q$6&amp;'Reg 85'!$I$10:$K$10&amp;'Reg 85'!$B293),('DMR 001C TIN &amp; TP'!$E$3:$E$10005&amp;'DMR 001C TIN &amp; TP'!$B$3:$B$10005&amp;'DMR 001C TIN &amp; TP'!$A$3:$A$10005),0),MATCH('Reg 85'!$K$11,'DMR 001C TIN &amp; TP'!$A$2:$M$2,0))),"")</f>
        <v/>
      </c>
      <c r="L293" s="53" t="str">
        <f t="shared" si="122"/>
        <v/>
      </c>
      <c r="M293" s="5" t="str">
        <f t="shared" si="111"/>
        <v/>
      </c>
      <c r="N293" s="6" t="str">
        <f t="array" ref="N293">_xlfn.IFNA((INDEX('DMR 001C TIN &amp; TP'!$A$3:$M$10005,MATCH(('Reg 85'!$I$6:$Q$6&amp;'Reg 85'!$M$10&amp;'Reg 85'!$B293),('DMR 001C TIN &amp; TP'!$E$3:$E$10005&amp;'DMR 001C TIN &amp; TP'!$B$3:$B$10005&amp;'DMR 001C TIN &amp; TP'!$A$3:$A$10005),0),MATCH('Reg 85'!$N$11,'DMR 001C TIN &amp; TP'!$A$2:$M$2,0))),"")</f>
        <v/>
      </c>
      <c r="O293" s="6" t="str">
        <f t="array" ref="O293">_xlfn.IFNA((INDEX('DMR 001C TIN &amp; TP'!$A$3:$M$10005,MATCH(('Reg 85'!$I$6:$Q$6&amp;'Reg 85'!$M$10&amp;'Reg 85'!$B293),('DMR 001C TIN &amp; TP'!$E$3:$E$10005&amp;'DMR 001C TIN &amp; TP'!$B$3:$B$10005&amp;'DMR 001C TIN &amp; TP'!$A$3:$A$10005),0),MATCH('Reg 85'!$O$11,'DMR 001C TIN &amp; TP'!$A$2:$M$2,0))),"")</f>
        <v/>
      </c>
      <c r="P293" s="53" t="str">
        <f t="shared" si="112"/>
        <v/>
      </c>
      <c r="Q293" s="73" t="str">
        <f t="array" ref="Q293">IFERROR(((L293*$F293)+(P293*$G293))/($H293),"")</f>
        <v/>
      </c>
      <c r="R293" s="6" t="str">
        <f t="array" ref="R293">_xlfn.IFNA((INDEX('DMR 001C TIN &amp; TP'!$A$3:$M$10005,MATCH(('Reg 85'!$I$6:$Q$6&amp;'Reg 85'!R$10&amp;'Reg 85'!$B293),('DMR 001C TIN &amp; TP'!$E$3:$E$10005&amp;'DMR 001C TIN &amp; TP'!$B$3:$B$10005&amp;'DMR 001C TIN &amp; TP'!$A$3:$A$10005),0),MATCH('Reg 85'!$O$11,'DMR 001C TIN &amp; TP'!$A$2:$M$2,0))),"")</f>
        <v/>
      </c>
      <c r="S293" s="6" t="str">
        <f t="array" ref="S293">_xlfn.IFNA((INDEX('DMR 001C TIN &amp; TP'!$A$3:$M$10005,MATCH(('Reg 85'!$I$6:$Q$6&amp;'Reg 85'!S$10&amp;'Reg 85'!$B293),('DMR 001C TIN &amp; TP'!$E$3:$E$10005&amp;'DMR 001C TIN &amp; TP'!$B$3:$B$10005&amp;'DMR 001C TIN &amp; TP'!$A$3:$A$10005),0),MATCH('Reg 85'!$O$11,'DMR 001C TIN &amp; TP'!$A$2:$M$2,0))),"")</f>
        <v/>
      </c>
      <c r="T293" s="6" t="str">
        <f t="array" ref="T293">_xlfn.IFNA((INDEX('DMR 001C TIN &amp; TP'!$A$3:$M$10005,MATCH(('Reg 85'!$I$6:$Q$6&amp;'Reg 85'!T$10&amp;'Reg 85'!$B293),('DMR 001C TIN &amp; TP'!$E$3:$E$10005&amp;'DMR 001C TIN &amp; TP'!$B$3:$B$10005&amp;'DMR 001C TIN &amp; TP'!$A$3:$A$10005),0),MATCH('Reg 85'!$O$11,'DMR 001C TIN &amp; TP'!$A$2:$M$2,0))),"")</f>
        <v/>
      </c>
      <c r="U293" s="6" t="str">
        <f t="array" ref="U293">_xlfn.IFNA((INDEX('DMR 001C TIN &amp; TP'!$A$3:$M$10005,MATCH(('Reg 85'!$I$6:$Q$6&amp;'Reg 85'!U$10&amp;'Reg 85'!$B293),('DMR 001C TIN &amp; TP'!$E$3:$E$10005&amp;'DMR 001C TIN &amp; TP'!$B$3:$B$10005&amp;'DMR 001C TIN &amp; TP'!$A$3:$A$10005),0),MATCH('Reg 85'!$O$11,'DMR 001C TIN &amp; TP'!$A$2:$M$2,0))),"")</f>
        <v/>
      </c>
      <c r="V293" s="6" t="str">
        <f t="array" ref="V293">_xlfn.IFNA((INDEX('DMR 001C TIN &amp; TP'!$A$3:$M$10005,MATCH(('Reg 85'!$I$6:$Q$6&amp;'Reg 85'!V$10&amp;'Reg 85'!$B293),('DMR 001C TIN &amp; TP'!$E$3:$E$10005&amp;'DMR 001C TIN &amp; TP'!$B$3:$B$10005&amp;'DMR 001C TIN &amp; TP'!$A$3:$A$10005),0),MATCH('Reg 85'!$O$11,'DMR 001C TIN &amp; TP'!$A$2:$M$2,0))),"")</f>
        <v/>
      </c>
      <c r="W293" s="6" t="str">
        <f t="array" ref="W293">_xlfn.IFNA((INDEX('DMR 001C TIN &amp; TP'!$A$3:$M$10005,MATCH(('Reg 85'!$I$6:$Q$6&amp;'Reg 85'!W$10&amp;'Reg 85'!$B293),('DMR 001C TIN &amp; TP'!$E$3:$E$10005&amp;'DMR 001C TIN &amp; TP'!$B$3:$B$10005&amp;'DMR 001C TIN &amp; TP'!$A$3:$A$10005),0),MATCH('Reg 85'!$O$11,'DMR 001C TIN &amp; TP'!$A$2:$M$2,0))),"")</f>
        <v/>
      </c>
      <c r="X293" s="5" t="str">
        <f t="shared" si="113"/>
        <v/>
      </c>
      <c r="Y293" s="6" t="str">
        <f t="array" ref="Y293">_xlfn.IFNA((INDEX('DMR 001C TIN &amp; TP'!$A$3:$M$10005,MATCH(('Reg 85'!$X$6&amp;'Reg 85'!$X$10&amp;'Reg 85'!$B293),('DMR 001C TIN &amp; TP'!$E$3:$E$10005&amp;'DMR 001C TIN &amp; TP'!$B$3:$B$10005&amp;'DMR 001C TIN &amp; TP'!$A$3:$A$10005),0),MATCH('Reg 85'!$Y$11,'DMR 001C TIN &amp; TP'!$A$2:$M$2,0))),"")</f>
        <v/>
      </c>
      <c r="Z293" s="6" t="str">
        <f t="array" ref="Z293">_xlfn.IFNA((INDEX('DMR 001C TIN &amp; TP'!$A$3:$M$10005,MATCH(('Reg 85'!$X$6&amp;'Reg 85'!$X$10&amp;'Reg 85'!$B293),('DMR 001C TIN &amp; TP'!$E$3:$E$10005&amp;'DMR 001C TIN &amp; TP'!$B$3:$B$10005&amp;'DMR 001C TIN &amp; TP'!$A$3:$A$10005),0),MATCH('Reg 85'!$Z$11,'DMR 001C TIN &amp; TP'!$A$2:$M$2,0))),"")</f>
        <v/>
      </c>
      <c r="AA293" s="53" t="str">
        <f t="shared" si="114"/>
        <v/>
      </c>
      <c r="AB293" s="5" t="str">
        <f t="shared" si="115"/>
        <v/>
      </c>
      <c r="AC293" s="6" t="str">
        <f t="array" ref="AC293">_xlfn.IFNA((INDEX('DMR 001C TIN &amp; TP'!$A$3:$M$10005,MATCH(('Reg 85'!$X$6&amp;'Reg 85'!$AB$10&amp;'Reg 85'!$B293),('DMR 001C TIN &amp; TP'!$E$3:$E$10005&amp;'DMR 001C TIN &amp; TP'!$B$3:$B$10005&amp;'DMR 001C TIN &amp; TP'!$A$3:$A$10005),0),MATCH('Reg 85'!$AC$11,'DMR 001C TIN &amp; TP'!$A$2:$M$2,0))),"")</f>
        <v/>
      </c>
      <c r="AD293" s="6" t="str">
        <f t="array" ref="AD293">_xlfn.IFNA((INDEX('DMR 001C TIN &amp; TP'!$A$3:$M$10005,MATCH(('Reg 85'!$X$6&amp;'Reg 85'!$AB$10&amp;'Reg 85'!$B293),('DMR 001C TIN &amp; TP'!$E$3:$E$10005&amp;'DMR 001C TIN &amp; TP'!$B$3:$B$10005&amp;'DMR 001C TIN &amp; TP'!$A$3:$A$10005),0),MATCH('Reg 85'!$AD$11,'DMR 001C TIN &amp; TP'!$A$2:$M$2,0))),"")</f>
        <v/>
      </c>
      <c r="AE293" s="53" t="str">
        <f t="shared" si="116"/>
        <v/>
      </c>
      <c r="AF293" s="7" t="str">
        <f t="shared" si="117"/>
        <v/>
      </c>
      <c r="AG293" s="6" t="str">
        <f t="array" ref="AG293">_xlfn.IFNA((INDEX('DMR 001C TIN &amp; TP'!$A$3:$M$10005,MATCH(('Reg 85'!$X$6&amp;'Reg 85'!AG$10&amp;'Reg 85'!$B293),('DMR 001C TIN &amp; TP'!$E$3:$E$10005&amp;'DMR 001C TIN &amp; TP'!$B$3:$B$10005&amp;'DMR 001C TIN &amp; TP'!$A$3:$A$10005),0),MATCH('Reg 85'!$AG$11,'DMR 001C TIN &amp; TP'!$A$2:$M$2,0))),"")</f>
        <v/>
      </c>
      <c r="AH293" s="6" t="str">
        <f t="array" ref="AH293">_xlfn.IFNA((INDEX('DMR 001C TIN &amp; TP'!$A$3:$M$10005,MATCH(('Reg 85'!$X$6&amp;'Reg 85'!AH$10&amp;'Reg 85'!$B293),('DMR 001C TIN &amp; TP'!$E$3:$E$10005&amp;'DMR 001C TIN &amp; TP'!$B$3:$B$10005&amp;'DMR 001C TIN &amp; TP'!$A$3:$A$10005),0),MATCH('Reg 85'!$AG$11,'DMR 001C TIN &amp; TP'!$A$2:$M$2,0))),"")</f>
        <v/>
      </c>
      <c r="AI293" s="6" t="str">
        <f t="array" ref="AI293">_xlfn.IFNA((INDEX('DMR 001C TIN &amp; TP'!$A$3:$M$10005,MATCH(('Reg 85'!$X$6&amp;'Reg 85'!AI$10&amp;'Reg 85'!$B293),('DMR 001C TIN &amp; TP'!$E$3:$E$10005&amp;'DMR 001C TIN &amp; TP'!$B$3:$B$10005&amp;'DMR 001C TIN &amp; TP'!$A$3:$A$10005),0),MATCH('Reg 85'!$AG$11,'DMR 001C TIN &amp; TP'!$A$2:$M$2,0))),"")</f>
        <v/>
      </c>
      <c r="AJ293" s="6" t="str">
        <f t="array" ref="AJ293">_xlfn.IFNA((INDEX('DMR 001C TIN &amp; TP'!$A$3:$M$10005,MATCH(('Reg 85'!$X$6&amp;'Reg 85'!AJ$10&amp;'Reg 85'!$B293),('DMR 001C TIN &amp; TP'!$E$3:$E$10005&amp;'DMR 001C TIN &amp; TP'!$B$3:$B$10005&amp;'DMR 001C TIN &amp; TP'!$A$3:$A$10005),0),MATCH('Reg 85'!$AG$11,'DMR 001C TIN &amp; TP'!$A$2:$M$2,0))),"")</f>
        <v/>
      </c>
      <c r="AK293" s="6" t="str">
        <f t="array" ref="AK293">_xlfn.IFNA((INDEX('DMR 001C TIN &amp; TP'!$A$3:$M$10005,MATCH(('Reg 85'!$X$6&amp;'Reg 85'!AK$10&amp;'Reg 85'!$B293),('DMR 001C TIN &amp; TP'!$E$3:$E$10005&amp;'DMR 001C TIN &amp; TP'!$B$3:$B$10005&amp;'DMR 001C TIN &amp; TP'!$A$3:$A$10005),0),MATCH('Reg 85'!$AG$11,'DMR 001C TIN &amp; TP'!$A$2:$M$2,0))),"")</f>
        <v/>
      </c>
      <c r="AL293" s="6" t="str">
        <f t="array" ref="AL293">_xlfn.IFNA((INDEX('DMR 001C TIN &amp; TP'!$A$3:$M$10005,MATCH(('Reg 85'!$X$6&amp;'Reg 85'!AL$10&amp;'Reg 85'!$B293),('DMR 001C TIN &amp; TP'!$E$3:$E$10005&amp;'DMR 001C TIN &amp; TP'!$B$3:$B$10005&amp;'DMR 001C TIN &amp; TP'!$A$3:$A$10005),0),MATCH('Reg 85'!$AG$11,'DMR 001C TIN &amp; TP'!$A$2:$M$2,0))),"")</f>
        <v/>
      </c>
      <c r="AM293" s="76"/>
      <c r="AN293" s="6"/>
      <c r="AO293" s="54" t="str">
        <f t="shared" si="104"/>
        <v/>
      </c>
      <c r="AP293" s="77" t="str">
        <f t="shared" si="102"/>
        <v/>
      </c>
      <c r="AQ293" s="47"/>
      <c r="AR293" s="6" t="str">
        <f t="array" ref="AR293">_xlfn.IFNA((INDEX('DMR 001C TIN &amp; TP'!$A$3:$M$10005,MATCH(('Reg 85'!$AQ$6&amp;'Reg 85'!$AQ$10&amp;'Reg 85'!$B293),('DMR 001C TIN &amp; TP'!$E$3:$E$10005&amp;'DMR 001C TIN &amp; TP'!$B$3:$B$10005&amp;'DMR 001C TIN &amp; TP'!$A$3:$A$10005),0),MATCH('Reg 85'!$AR$11,'DMR 001C TIN &amp; TP'!$A$2:$M$2,0))),"")</f>
        <v>0.03</v>
      </c>
      <c r="AS293" s="6">
        <f t="array" ref="AS293">_xlfn.IFNA((INDEX('DMR 001C TIN &amp; TP'!$A$3:$M$10005,MATCH(('Reg 85'!$AQ$6&amp;'Reg 85'!$AQ$10&amp;'Reg 85'!$B293),('DMR 001C TIN &amp; TP'!$E$3:$E$10005&amp;'DMR 001C TIN &amp; TP'!$B$3:$B$10005&amp;'DMR 001C TIN &amp; TP'!$A$3:$A$10005),0),MATCH('Reg 85'!$AS$11,'DMR 001C TIN &amp; TP'!$A$2:$M$2,0))),"")</f>
        <v>0.34</v>
      </c>
      <c r="AT293" s="53">
        <f t="shared" si="118"/>
        <v>0.34</v>
      </c>
      <c r="AV293" s="6" t="str">
        <f t="array" ref="AV293">_xlfn.IFNA((INDEX('DMR 001C TIN &amp; TP'!$A$3:$M$10005,MATCH(('Reg 85'!$AQ$6&amp;'Reg 85'!$AU$10&amp;'Reg 85'!$B293),('DMR 001C TIN &amp; TP'!$E$3:$E$10005&amp;'DMR 001C TIN &amp; TP'!$B$3:$B$10005&amp;'DMR 001C TIN &amp; TP'!$A$3:$A$10005),0),MATCH('Reg 85'!$AV$11,'DMR 001C TIN &amp; TP'!$A$2:$M$2,0))),"")</f>
        <v>0.06</v>
      </c>
      <c r="AW293" s="6">
        <f t="array" ref="AW293">_xlfn.IFNA((INDEX('DMR 001C TIN &amp; TP'!$A$3:$M$10005,MATCH(('Reg 85'!$AQ$6&amp;'Reg 85'!$AU$10&amp;'Reg 85'!$B293),('DMR 001C TIN &amp; TP'!$E$3:$E$10005&amp;'DMR 001C TIN &amp; TP'!$B$3:$B$10005&amp;'DMR 001C TIN &amp; TP'!$A$3:$A$10005),0),MATCH('Reg 85'!$AW$11,'DMR 001C TIN &amp; TP'!$A$2:$M$2,0))),"")</f>
        <v>4.71</v>
      </c>
      <c r="AX293" s="53">
        <f t="shared" si="119"/>
        <v>4.71</v>
      </c>
      <c r="AY293" s="55">
        <f t="shared" si="120"/>
        <v>2.3102499395697369</v>
      </c>
      <c r="AZ293" s="77" t="str">
        <f t="shared" si="103"/>
        <v/>
      </c>
      <c r="BA293" s="6" t="str">
        <f t="array" ref="BA293">_xlfn.IFNA((INDEX('DMR 001C TIN &amp; TP'!$A$3:$M$10005,MATCH(('Reg 85'!$AQ$6&amp;'Reg 85'!BA$10&amp;'Reg 85'!$B293),('DMR 001C TIN &amp; TP'!$E$3:$E$10005&amp;'DMR 001C TIN &amp; TP'!$B$3:$B$10005&amp;'DMR 001C TIN &amp; TP'!$A$3:$A$10005),0),MATCH('Reg 85'!$AG$11,'DMR 001C TIN &amp; TP'!$A$2:$M$2,0))),"")</f>
        <v/>
      </c>
      <c r="BB293" s="6" t="str">
        <f t="array" ref="BB293">_xlfn.IFNA((INDEX('DMR 001C TIN &amp; TP'!$A$3:$M$10005,MATCH(('Reg 85'!$AQ$6&amp;'Reg 85'!BB$10&amp;'Reg 85'!$B293),('DMR 001C TIN &amp; TP'!$E$3:$E$10005&amp;'DMR 001C TIN &amp; TP'!$B$3:$B$10005&amp;'DMR 001C TIN &amp; TP'!$A$3:$A$10005),0),MATCH('Reg 85'!$AG$11,'DMR 001C TIN &amp; TP'!$A$2:$M$2,0))),"")</f>
        <v/>
      </c>
      <c r="BC293" s="6" t="str">
        <f t="array" ref="BC293">_xlfn.IFNA((INDEX('DMR 001C TIN &amp; TP'!$A$3:$M$10005,MATCH(('Reg 85'!$AQ$6&amp;'Reg 85'!BC$10&amp;'Reg 85'!$B293),('DMR 001C TIN &amp; TP'!$E$3:$E$10005&amp;'DMR 001C TIN &amp; TP'!$B$3:$B$10005&amp;'DMR 001C TIN &amp; TP'!$A$3:$A$10005),0),MATCH('Reg 85'!$AG$11,'DMR 001C TIN &amp; TP'!$A$2:$M$2,0))),"")</f>
        <v/>
      </c>
      <c r="BD293" s="6" t="str">
        <f t="array" ref="BD293">_xlfn.IFNA((INDEX('DMR 001C TIN &amp; TP'!$A$3:$M$10005,MATCH(('Reg 85'!$AQ$6&amp;'Reg 85'!BD$10&amp;'Reg 85'!$B293),('DMR 001C TIN &amp; TP'!$E$3:$E$10005&amp;'DMR 001C TIN &amp; TP'!$B$3:$B$10005&amp;'DMR 001C TIN &amp; TP'!$A$3:$A$10005),0),MATCH('Reg 85'!$AG$11,'DMR 001C TIN &amp; TP'!$A$2:$M$2,0))),"")</f>
        <v/>
      </c>
      <c r="BE293" s="6" t="str">
        <f t="array" ref="BE293">_xlfn.IFNA((INDEX('DMR 001C TIN &amp; TP'!$A$3:$M$10005,MATCH(('Reg 85'!$AQ$6&amp;'Reg 85'!BE$10&amp;'Reg 85'!$B293),('DMR 001C TIN &amp; TP'!$E$3:$E$10005&amp;'DMR 001C TIN &amp; TP'!$B$3:$B$10005&amp;'DMR 001C TIN &amp; TP'!$A$3:$A$10005),0),MATCH('Reg 85'!$AG$11,'DMR 001C TIN &amp; TP'!$A$2:$M$2,0))),"")</f>
        <v/>
      </c>
      <c r="BF293" s="6" t="str">
        <f t="array" ref="BF293">_xlfn.IFNA((INDEX('DMR 001C TIN &amp; TP'!$A$3:$M$10005,MATCH(('Reg 85'!$AQ$6&amp;'Reg 85'!BF$10&amp;'Reg 85'!$B293),('DMR 001C TIN &amp; TP'!$E$3:$E$10005&amp;'DMR 001C TIN &amp; TP'!$B$3:$B$10005&amp;'DMR 001C TIN &amp; TP'!$A$3:$A$10005),0),MATCH('Reg 85'!$AG$11,'DMR 001C TIN &amp; TP'!$A$2:$M$2,0))),"")</f>
        <v/>
      </c>
    </row>
    <row r="294" spans="1:58">
      <c r="A294" s="3" t="str">
        <f t="shared" si="105"/>
        <v>Mon</v>
      </c>
      <c r="B294" s="96">
        <f t="shared" si="121"/>
        <v>43626</v>
      </c>
      <c r="C294" s="96">
        <f t="shared" si="106"/>
        <v>43646</v>
      </c>
      <c r="D294" s="96">
        <f t="shared" si="107"/>
        <v>43617</v>
      </c>
      <c r="E294" s="95">
        <f t="shared" si="108"/>
        <v>30</v>
      </c>
      <c r="F294" s="7">
        <f t="array" ref="F294">_xlfn.IFNA(INDEX('DMR Flows-Effluent'!$A$3:$F$9999,MATCH(($F$10&amp;$B294),('DMR Flows-Effluent'!$B$3:$B$9999&amp;'DMR Flows-Effluent'!$A$3:$A$9999),0),MATCH($F$8,'DMR Flows-Effluent'!$A$2:$F$2,0)),"")</f>
        <v>76.087800000000001</v>
      </c>
      <c r="G294" s="7">
        <f t="array" ref="G294">_xlfn.IFNA(INDEX('DMR Flows-Effluent'!$A$3:$F$9999,MATCH(($G$10&amp;$B294),('DMR Flows-Effluent'!$B$3:$B$9999&amp;'DMR Flows-Effluent'!$A$3:$A$9999),0),MATCH($F$8,'DMR Flows-Effluent'!$A$2:$F$2,0)),"")</f>
        <v>57.101900000000001</v>
      </c>
      <c r="H294" s="7">
        <f t="shared" si="109"/>
        <v>133.18970000000002</v>
      </c>
      <c r="I294" s="45" t="str">
        <f t="shared" si="110"/>
        <v/>
      </c>
      <c r="J294" s="6" t="str">
        <f t="array" ref="J294">_xlfn.IFNA((INDEX('DMR 001C TIN &amp; TP'!$A$3:$M$10005,MATCH(('Reg 85'!$I$6:$Q$6&amp;'Reg 85'!$I$10:$K$10&amp;'Reg 85'!$B294),('DMR 001C TIN &amp; TP'!$E$3:$E$10005&amp;'DMR 001C TIN &amp; TP'!$B$3:$B$10005&amp;'DMR 001C TIN &amp; TP'!$A$3:$A$10005),0),MATCH('Reg 85'!$J$11,'DMR 001C TIN &amp; TP'!$A$2:$M$2,0))),"")</f>
        <v>0.15</v>
      </c>
      <c r="K294" s="6">
        <f t="array" ref="K294">_xlfn.IFNA((INDEX('DMR 001C TIN &amp; TP'!$A$3:$M$10005,MATCH(('Reg 85'!$I$6:$Q$6&amp;'Reg 85'!$I$10:$K$10&amp;'Reg 85'!$B294),('DMR 001C TIN &amp; TP'!$E$3:$E$10005&amp;'DMR 001C TIN &amp; TP'!$B$3:$B$10005&amp;'DMR 001C TIN &amp; TP'!$A$3:$A$10005),0),MATCH('Reg 85'!$K$11,'DMR 001C TIN &amp; TP'!$A$2:$M$2,0))),"")</f>
        <v>0.88</v>
      </c>
      <c r="L294" s="53">
        <f t="shared" si="122"/>
        <v>0.88</v>
      </c>
      <c r="M294" s="5" t="str">
        <f t="shared" si="111"/>
        <v/>
      </c>
      <c r="N294" s="6" t="str">
        <f t="array" ref="N294">_xlfn.IFNA((INDEX('DMR 001C TIN &amp; TP'!$A$3:$M$10005,MATCH(('Reg 85'!$I$6:$Q$6&amp;'Reg 85'!$M$10&amp;'Reg 85'!$B294),('DMR 001C TIN &amp; TP'!$E$3:$E$10005&amp;'DMR 001C TIN &amp; TP'!$B$3:$B$10005&amp;'DMR 001C TIN &amp; TP'!$A$3:$A$10005),0),MATCH('Reg 85'!$N$11,'DMR 001C TIN &amp; TP'!$A$2:$M$2,0))),"")</f>
        <v>0.15</v>
      </c>
      <c r="O294" s="6">
        <f t="array" ref="O294">_xlfn.IFNA((INDEX('DMR 001C TIN &amp; TP'!$A$3:$M$10005,MATCH(('Reg 85'!$I$6:$Q$6&amp;'Reg 85'!$M$10&amp;'Reg 85'!$B294),('DMR 001C TIN &amp; TP'!$E$3:$E$10005&amp;'DMR 001C TIN &amp; TP'!$B$3:$B$10005&amp;'DMR 001C TIN &amp; TP'!$A$3:$A$10005),0),MATCH('Reg 85'!$O$11,'DMR 001C TIN &amp; TP'!$A$2:$M$2,0))),"")</f>
        <v>1.51</v>
      </c>
      <c r="P294" s="53">
        <f t="shared" si="112"/>
        <v>1.51</v>
      </c>
      <c r="Q294" s="73">
        <f t="array" ref="Q294">IFERROR(((L294*$F294)+(P294*$G294))/($H294),"")</f>
        <v>1.1500974399672044</v>
      </c>
      <c r="R294" s="6" t="str">
        <f t="array" ref="R294">_xlfn.IFNA((INDEX('DMR 001C TIN &amp; TP'!$A$3:$M$10005,MATCH(('Reg 85'!$I$6:$Q$6&amp;'Reg 85'!R$10&amp;'Reg 85'!$B294),('DMR 001C TIN &amp; TP'!$E$3:$E$10005&amp;'DMR 001C TIN &amp; TP'!$B$3:$B$10005&amp;'DMR 001C TIN &amp; TP'!$A$3:$A$10005),0),MATCH('Reg 85'!$O$11,'DMR 001C TIN &amp; TP'!$A$2:$M$2,0))),"")</f>
        <v/>
      </c>
      <c r="S294" s="6" t="str">
        <f t="array" ref="S294">_xlfn.IFNA((INDEX('DMR 001C TIN &amp; TP'!$A$3:$M$10005,MATCH(('Reg 85'!$I$6:$Q$6&amp;'Reg 85'!S$10&amp;'Reg 85'!$B294),('DMR 001C TIN &amp; TP'!$E$3:$E$10005&amp;'DMR 001C TIN &amp; TP'!$B$3:$B$10005&amp;'DMR 001C TIN &amp; TP'!$A$3:$A$10005),0),MATCH('Reg 85'!$O$11,'DMR 001C TIN &amp; TP'!$A$2:$M$2,0))),"")</f>
        <v/>
      </c>
      <c r="T294" s="6" t="str">
        <f t="array" ref="T294">_xlfn.IFNA((INDEX('DMR 001C TIN &amp; TP'!$A$3:$M$10005,MATCH(('Reg 85'!$I$6:$Q$6&amp;'Reg 85'!T$10&amp;'Reg 85'!$B294),('DMR 001C TIN &amp; TP'!$E$3:$E$10005&amp;'DMR 001C TIN &amp; TP'!$B$3:$B$10005&amp;'DMR 001C TIN &amp; TP'!$A$3:$A$10005),0),MATCH('Reg 85'!$O$11,'DMR 001C TIN &amp; TP'!$A$2:$M$2,0))),"")</f>
        <v/>
      </c>
      <c r="U294" s="6" t="str">
        <f t="array" ref="U294">_xlfn.IFNA((INDEX('DMR 001C TIN &amp; TP'!$A$3:$M$10005,MATCH(('Reg 85'!$I$6:$Q$6&amp;'Reg 85'!U$10&amp;'Reg 85'!$B294),('DMR 001C TIN &amp; TP'!$E$3:$E$10005&amp;'DMR 001C TIN &amp; TP'!$B$3:$B$10005&amp;'DMR 001C TIN &amp; TP'!$A$3:$A$10005),0),MATCH('Reg 85'!$O$11,'DMR 001C TIN &amp; TP'!$A$2:$M$2,0))),"")</f>
        <v/>
      </c>
      <c r="V294" s="6" t="str">
        <f t="array" ref="V294">_xlfn.IFNA((INDEX('DMR 001C TIN &amp; TP'!$A$3:$M$10005,MATCH(('Reg 85'!$I$6:$Q$6&amp;'Reg 85'!V$10&amp;'Reg 85'!$B294),('DMR 001C TIN &amp; TP'!$E$3:$E$10005&amp;'DMR 001C TIN &amp; TP'!$B$3:$B$10005&amp;'DMR 001C TIN &amp; TP'!$A$3:$A$10005),0),MATCH('Reg 85'!$O$11,'DMR 001C TIN &amp; TP'!$A$2:$M$2,0))),"")</f>
        <v/>
      </c>
      <c r="W294" s="6" t="str">
        <f t="array" ref="W294">_xlfn.IFNA((INDEX('DMR 001C TIN &amp; TP'!$A$3:$M$10005,MATCH(('Reg 85'!$I$6:$Q$6&amp;'Reg 85'!W$10&amp;'Reg 85'!$B294),('DMR 001C TIN &amp; TP'!$E$3:$E$10005&amp;'DMR 001C TIN &amp; TP'!$B$3:$B$10005&amp;'DMR 001C TIN &amp; TP'!$A$3:$A$10005),0),MATCH('Reg 85'!$O$11,'DMR 001C TIN &amp; TP'!$A$2:$M$2,0))),"")</f>
        <v/>
      </c>
      <c r="X294" s="5" t="str">
        <f t="shared" si="113"/>
        <v/>
      </c>
      <c r="Y294" s="6" t="str">
        <f t="array" ref="Y294">_xlfn.IFNA((INDEX('DMR 001C TIN &amp; TP'!$A$3:$M$10005,MATCH(('Reg 85'!$X$6&amp;'Reg 85'!$X$10&amp;'Reg 85'!$B294),('DMR 001C TIN &amp; TP'!$E$3:$E$10005&amp;'DMR 001C TIN &amp; TP'!$B$3:$B$10005&amp;'DMR 001C TIN &amp; TP'!$A$3:$A$10005),0),MATCH('Reg 85'!$Y$11,'DMR 001C TIN &amp; TP'!$A$2:$M$2,0))),"")</f>
        <v>0.06</v>
      </c>
      <c r="Z294" s="6">
        <f t="array" ref="Z294">_xlfn.IFNA((INDEX('DMR 001C TIN &amp; TP'!$A$3:$M$10005,MATCH(('Reg 85'!$X$6&amp;'Reg 85'!$X$10&amp;'Reg 85'!$B294),('DMR 001C TIN &amp; TP'!$E$3:$E$10005&amp;'DMR 001C TIN &amp; TP'!$B$3:$B$10005&amp;'DMR 001C TIN &amp; TP'!$A$3:$A$10005),0),MATCH('Reg 85'!$Z$11,'DMR 001C TIN &amp; TP'!$A$2:$M$2,0))),"")</f>
        <v>4.8499999999999996</v>
      </c>
      <c r="AA294" s="53">
        <f t="shared" si="114"/>
        <v>4.8499999999999996</v>
      </c>
      <c r="AB294" s="5" t="str">
        <f t="shared" si="115"/>
        <v/>
      </c>
      <c r="AC294" s="6" t="str">
        <f t="array" ref="AC294">_xlfn.IFNA((INDEX('DMR 001C TIN &amp; TP'!$A$3:$M$10005,MATCH(('Reg 85'!$X$6&amp;'Reg 85'!$AB$10&amp;'Reg 85'!$B294),('DMR 001C TIN &amp; TP'!$E$3:$E$10005&amp;'DMR 001C TIN &amp; TP'!$B$3:$B$10005&amp;'DMR 001C TIN &amp; TP'!$A$3:$A$10005),0),MATCH('Reg 85'!$AC$11,'DMR 001C TIN &amp; TP'!$A$2:$M$2,0))),"")</f>
        <v>0.06</v>
      </c>
      <c r="AD294" s="6">
        <f t="array" ref="AD294">_xlfn.IFNA((INDEX('DMR 001C TIN &amp; TP'!$A$3:$M$10005,MATCH(('Reg 85'!$X$6&amp;'Reg 85'!$AB$10&amp;'Reg 85'!$B294),('DMR 001C TIN &amp; TP'!$E$3:$E$10005&amp;'DMR 001C TIN &amp; TP'!$B$3:$B$10005&amp;'DMR 001C TIN &amp; TP'!$A$3:$A$10005),0),MATCH('Reg 85'!$AD$11,'DMR 001C TIN &amp; TP'!$A$2:$M$2,0))),"")</f>
        <v>5.78</v>
      </c>
      <c r="AE294" s="53">
        <f t="shared" si="116"/>
        <v>5.78</v>
      </c>
      <c r="AF294" s="7">
        <f t="shared" si="117"/>
        <v>5.2487152685230161</v>
      </c>
      <c r="AG294" s="6" t="str">
        <f t="array" ref="AG294">_xlfn.IFNA((INDEX('DMR 001C TIN &amp; TP'!$A$3:$M$10005,MATCH(('Reg 85'!$X$6&amp;'Reg 85'!AG$10&amp;'Reg 85'!$B294),('DMR 001C TIN &amp; TP'!$E$3:$E$10005&amp;'DMR 001C TIN &amp; TP'!$B$3:$B$10005&amp;'DMR 001C TIN &amp; TP'!$A$3:$A$10005),0),MATCH('Reg 85'!$AG$11,'DMR 001C TIN &amp; TP'!$A$2:$M$2,0))),"")</f>
        <v/>
      </c>
      <c r="AH294" s="6" t="str">
        <f t="array" ref="AH294">_xlfn.IFNA((INDEX('DMR 001C TIN &amp; TP'!$A$3:$M$10005,MATCH(('Reg 85'!$X$6&amp;'Reg 85'!AH$10&amp;'Reg 85'!$B294),('DMR 001C TIN &amp; TP'!$E$3:$E$10005&amp;'DMR 001C TIN &amp; TP'!$B$3:$B$10005&amp;'DMR 001C TIN &amp; TP'!$A$3:$A$10005),0),MATCH('Reg 85'!$AG$11,'DMR 001C TIN &amp; TP'!$A$2:$M$2,0))),"")</f>
        <v/>
      </c>
      <c r="AI294" s="6" t="str">
        <f t="array" ref="AI294">_xlfn.IFNA((INDEX('DMR 001C TIN &amp; TP'!$A$3:$M$10005,MATCH(('Reg 85'!$X$6&amp;'Reg 85'!AI$10&amp;'Reg 85'!$B294),('DMR 001C TIN &amp; TP'!$E$3:$E$10005&amp;'DMR 001C TIN &amp; TP'!$B$3:$B$10005&amp;'DMR 001C TIN &amp; TP'!$A$3:$A$10005),0),MATCH('Reg 85'!$AG$11,'DMR 001C TIN &amp; TP'!$A$2:$M$2,0))),"")</f>
        <v/>
      </c>
      <c r="AJ294" s="6" t="str">
        <f t="array" ref="AJ294">_xlfn.IFNA((INDEX('DMR 001C TIN &amp; TP'!$A$3:$M$10005,MATCH(('Reg 85'!$X$6&amp;'Reg 85'!AJ$10&amp;'Reg 85'!$B294),('DMR 001C TIN &amp; TP'!$E$3:$E$10005&amp;'DMR 001C TIN &amp; TP'!$B$3:$B$10005&amp;'DMR 001C TIN &amp; TP'!$A$3:$A$10005),0),MATCH('Reg 85'!$AG$11,'DMR 001C TIN &amp; TP'!$A$2:$M$2,0))),"")</f>
        <v/>
      </c>
      <c r="AK294" s="6" t="str">
        <f t="array" ref="AK294">_xlfn.IFNA((INDEX('DMR 001C TIN &amp; TP'!$A$3:$M$10005,MATCH(('Reg 85'!$X$6&amp;'Reg 85'!AK$10&amp;'Reg 85'!$B294),('DMR 001C TIN &amp; TP'!$E$3:$E$10005&amp;'DMR 001C TIN &amp; TP'!$B$3:$B$10005&amp;'DMR 001C TIN &amp; TP'!$A$3:$A$10005),0),MATCH('Reg 85'!$AG$11,'DMR 001C TIN &amp; TP'!$A$2:$M$2,0))),"")</f>
        <v/>
      </c>
      <c r="AL294" s="6" t="str">
        <f t="array" ref="AL294">_xlfn.IFNA((INDEX('DMR 001C TIN &amp; TP'!$A$3:$M$10005,MATCH(('Reg 85'!$X$6&amp;'Reg 85'!AL$10&amp;'Reg 85'!$B294),('DMR 001C TIN &amp; TP'!$E$3:$E$10005&amp;'DMR 001C TIN &amp; TP'!$B$3:$B$10005&amp;'DMR 001C TIN &amp; TP'!$A$3:$A$10005),0),MATCH('Reg 85'!$AG$11,'DMR 001C TIN &amp; TP'!$A$2:$M$2,0))),"")</f>
        <v/>
      </c>
      <c r="AM294" s="76"/>
      <c r="AN294" s="6"/>
      <c r="AO294" s="54">
        <f t="shared" si="104"/>
        <v>6.3988127084902207</v>
      </c>
      <c r="AP294" s="77" t="str">
        <f t="shared" si="102"/>
        <v/>
      </c>
      <c r="AQ294" s="47"/>
      <c r="AR294" s="6" t="str">
        <f t="array" ref="AR294">_xlfn.IFNA((INDEX('DMR 001C TIN &amp; TP'!$A$3:$M$10005,MATCH(('Reg 85'!$AQ$6&amp;'Reg 85'!$AQ$10&amp;'Reg 85'!$B294),('DMR 001C TIN &amp; TP'!$E$3:$E$10005&amp;'DMR 001C TIN &amp; TP'!$B$3:$B$10005&amp;'DMR 001C TIN &amp; TP'!$A$3:$A$10005),0),MATCH('Reg 85'!$AR$11,'DMR 001C TIN &amp; TP'!$A$2:$M$2,0))),"")</f>
        <v/>
      </c>
      <c r="AS294" s="6" t="str">
        <f t="array" ref="AS294">_xlfn.IFNA((INDEX('DMR 001C TIN &amp; TP'!$A$3:$M$10005,MATCH(('Reg 85'!$AQ$6&amp;'Reg 85'!$AQ$10&amp;'Reg 85'!$B294),('DMR 001C TIN &amp; TP'!$E$3:$E$10005&amp;'DMR 001C TIN &amp; TP'!$B$3:$B$10005&amp;'DMR 001C TIN &amp; TP'!$A$3:$A$10005),0),MATCH('Reg 85'!$AS$11,'DMR 001C TIN &amp; TP'!$A$2:$M$2,0))),"")</f>
        <v/>
      </c>
      <c r="AT294" s="53" t="str">
        <f t="shared" si="118"/>
        <v/>
      </c>
      <c r="AV294" s="6" t="str">
        <f t="array" ref="AV294">_xlfn.IFNA((INDEX('DMR 001C TIN &amp; TP'!$A$3:$M$10005,MATCH(('Reg 85'!$AQ$6&amp;'Reg 85'!$AU$10&amp;'Reg 85'!$B294),('DMR 001C TIN &amp; TP'!$E$3:$E$10005&amp;'DMR 001C TIN &amp; TP'!$B$3:$B$10005&amp;'DMR 001C TIN &amp; TP'!$A$3:$A$10005),0),MATCH('Reg 85'!$AV$11,'DMR 001C TIN &amp; TP'!$A$2:$M$2,0))),"")</f>
        <v/>
      </c>
      <c r="AW294" s="6" t="str">
        <f t="array" ref="AW294">_xlfn.IFNA((INDEX('DMR 001C TIN &amp; TP'!$A$3:$M$10005,MATCH(('Reg 85'!$AQ$6&amp;'Reg 85'!$AU$10&amp;'Reg 85'!$B294),('DMR 001C TIN &amp; TP'!$E$3:$E$10005&amp;'DMR 001C TIN &amp; TP'!$B$3:$B$10005&amp;'DMR 001C TIN &amp; TP'!$A$3:$A$10005),0),MATCH('Reg 85'!$AW$11,'DMR 001C TIN &amp; TP'!$A$2:$M$2,0))),"")</f>
        <v/>
      </c>
      <c r="AX294" s="53" t="str">
        <f t="shared" si="119"/>
        <v/>
      </c>
      <c r="AY294" s="55" t="str">
        <f t="shared" si="120"/>
        <v/>
      </c>
      <c r="AZ294" s="77" t="str">
        <f t="shared" si="103"/>
        <v/>
      </c>
      <c r="BA294" s="6" t="str">
        <f t="array" ref="BA294">_xlfn.IFNA((INDEX('DMR 001C TIN &amp; TP'!$A$3:$M$10005,MATCH(('Reg 85'!$AQ$6&amp;'Reg 85'!BA$10&amp;'Reg 85'!$B294),('DMR 001C TIN &amp; TP'!$E$3:$E$10005&amp;'DMR 001C TIN &amp; TP'!$B$3:$B$10005&amp;'DMR 001C TIN &amp; TP'!$A$3:$A$10005),0),MATCH('Reg 85'!$AG$11,'DMR 001C TIN &amp; TP'!$A$2:$M$2,0))),"")</f>
        <v/>
      </c>
      <c r="BB294" s="6" t="str">
        <f t="array" ref="BB294">_xlfn.IFNA((INDEX('DMR 001C TIN &amp; TP'!$A$3:$M$10005,MATCH(('Reg 85'!$AQ$6&amp;'Reg 85'!BB$10&amp;'Reg 85'!$B294),('DMR 001C TIN &amp; TP'!$E$3:$E$10005&amp;'DMR 001C TIN &amp; TP'!$B$3:$B$10005&amp;'DMR 001C TIN &amp; TP'!$A$3:$A$10005),0),MATCH('Reg 85'!$AG$11,'DMR 001C TIN &amp; TP'!$A$2:$M$2,0))),"")</f>
        <v/>
      </c>
      <c r="BC294" s="6" t="str">
        <f t="array" ref="BC294">_xlfn.IFNA((INDEX('DMR 001C TIN &amp; TP'!$A$3:$M$10005,MATCH(('Reg 85'!$AQ$6&amp;'Reg 85'!BC$10&amp;'Reg 85'!$B294),('DMR 001C TIN &amp; TP'!$E$3:$E$10005&amp;'DMR 001C TIN &amp; TP'!$B$3:$B$10005&amp;'DMR 001C TIN &amp; TP'!$A$3:$A$10005),0),MATCH('Reg 85'!$AG$11,'DMR 001C TIN &amp; TP'!$A$2:$M$2,0))),"")</f>
        <v/>
      </c>
      <c r="BD294" s="6" t="str">
        <f t="array" ref="BD294">_xlfn.IFNA((INDEX('DMR 001C TIN &amp; TP'!$A$3:$M$10005,MATCH(('Reg 85'!$AQ$6&amp;'Reg 85'!BD$10&amp;'Reg 85'!$B294),('DMR 001C TIN &amp; TP'!$E$3:$E$10005&amp;'DMR 001C TIN &amp; TP'!$B$3:$B$10005&amp;'DMR 001C TIN &amp; TP'!$A$3:$A$10005),0),MATCH('Reg 85'!$AG$11,'DMR 001C TIN &amp; TP'!$A$2:$M$2,0))),"")</f>
        <v/>
      </c>
      <c r="BE294" s="6" t="str">
        <f t="array" ref="BE294">_xlfn.IFNA((INDEX('DMR 001C TIN &amp; TP'!$A$3:$M$10005,MATCH(('Reg 85'!$AQ$6&amp;'Reg 85'!BE$10&amp;'Reg 85'!$B294),('DMR 001C TIN &amp; TP'!$E$3:$E$10005&amp;'DMR 001C TIN &amp; TP'!$B$3:$B$10005&amp;'DMR 001C TIN &amp; TP'!$A$3:$A$10005),0),MATCH('Reg 85'!$AG$11,'DMR 001C TIN &amp; TP'!$A$2:$M$2,0))),"")</f>
        <v/>
      </c>
      <c r="BF294" s="6" t="str">
        <f t="array" ref="BF294">_xlfn.IFNA((INDEX('DMR 001C TIN &amp; TP'!$A$3:$M$10005,MATCH(('Reg 85'!$AQ$6&amp;'Reg 85'!BF$10&amp;'Reg 85'!$B294),('DMR 001C TIN &amp; TP'!$E$3:$E$10005&amp;'DMR 001C TIN &amp; TP'!$B$3:$B$10005&amp;'DMR 001C TIN &amp; TP'!$A$3:$A$10005),0),MATCH('Reg 85'!$AG$11,'DMR 001C TIN &amp; TP'!$A$2:$M$2,0))),"")</f>
        <v/>
      </c>
    </row>
    <row r="295" spans="1:58">
      <c r="A295" s="3" t="str">
        <f t="shared" si="105"/>
        <v>Tue</v>
      </c>
      <c r="B295" s="96">
        <f t="shared" si="121"/>
        <v>43627</v>
      </c>
      <c r="C295" s="96">
        <f t="shared" si="106"/>
        <v>43646</v>
      </c>
      <c r="D295" s="96">
        <f t="shared" si="107"/>
        <v>43617</v>
      </c>
      <c r="E295" s="95">
        <f t="shared" si="108"/>
        <v>30</v>
      </c>
      <c r="F295" s="7">
        <f t="array" ref="F295">_xlfn.IFNA(INDEX('DMR Flows-Effluent'!$A$3:$F$9999,MATCH(($F$10&amp;$B295),('DMR Flows-Effluent'!$B$3:$B$9999&amp;'DMR Flows-Effluent'!$A$3:$A$9999),0),MATCH($F$8,'DMR Flows-Effluent'!$A$2:$F$2,0)),"")</f>
        <v>74.159400000000005</v>
      </c>
      <c r="G295" s="7">
        <f t="array" ref="G295">_xlfn.IFNA(INDEX('DMR Flows-Effluent'!$A$3:$F$9999,MATCH(($G$10&amp;$B295),('DMR Flows-Effluent'!$B$3:$B$9999&amp;'DMR Flows-Effluent'!$A$3:$A$9999),0),MATCH($F$8,'DMR Flows-Effluent'!$A$2:$F$2,0)),"")</f>
        <v>55.585299999999997</v>
      </c>
      <c r="H295" s="7">
        <f t="shared" si="109"/>
        <v>129.74469999999999</v>
      </c>
      <c r="I295" s="45" t="str">
        <f t="shared" si="110"/>
        <v/>
      </c>
      <c r="J295" s="6" t="str">
        <f t="array" ref="J295">_xlfn.IFNA((INDEX('DMR 001C TIN &amp; TP'!$A$3:$M$10005,MATCH(('Reg 85'!$I$6:$Q$6&amp;'Reg 85'!$I$10:$K$10&amp;'Reg 85'!$B295),('DMR 001C TIN &amp; TP'!$E$3:$E$10005&amp;'DMR 001C TIN &amp; TP'!$B$3:$B$10005&amp;'DMR 001C TIN &amp; TP'!$A$3:$A$10005),0),MATCH('Reg 85'!$J$11,'DMR 001C TIN &amp; TP'!$A$2:$M$2,0))),"")</f>
        <v/>
      </c>
      <c r="K295" s="6" t="str">
        <f t="array" ref="K295">_xlfn.IFNA((INDEX('DMR 001C TIN &amp; TP'!$A$3:$M$10005,MATCH(('Reg 85'!$I$6:$Q$6&amp;'Reg 85'!$I$10:$K$10&amp;'Reg 85'!$B295),('DMR 001C TIN &amp; TP'!$E$3:$E$10005&amp;'DMR 001C TIN &amp; TP'!$B$3:$B$10005&amp;'DMR 001C TIN &amp; TP'!$A$3:$A$10005),0),MATCH('Reg 85'!$K$11,'DMR 001C TIN &amp; TP'!$A$2:$M$2,0))),"")</f>
        <v/>
      </c>
      <c r="L295" s="53" t="str">
        <f t="shared" si="122"/>
        <v/>
      </c>
      <c r="M295" s="5" t="str">
        <f t="shared" si="111"/>
        <v/>
      </c>
      <c r="N295" s="6" t="str">
        <f t="array" ref="N295">_xlfn.IFNA((INDEX('DMR 001C TIN &amp; TP'!$A$3:$M$10005,MATCH(('Reg 85'!$I$6:$Q$6&amp;'Reg 85'!$M$10&amp;'Reg 85'!$B295),('DMR 001C TIN &amp; TP'!$E$3:$E$10005&amp;'DMR 001C TIN &amp; TP'!$B$3:$B$10005&amp;'DMR 001C TIN &amp; TP'!$A$3:$A$10005),0),MATCH('Reg 85'!$N$11,'DMR 001C TIN &amp; TP'!$A$2:$M$2,0))),"")</f>
        <v/>
      </c>
      <c r="O295" s="6" t="str">
        <f t="array" ref="O295">_xlfn.IFNA((INDEX('DMR 001C TIN &amp; TP'!$A$3:$M$10005,MATCH(('Reg 85'!$I$6:$Q$6&amp;'Reg 85'!$M$10&amp;'Reg 85'!$B295),('DMR 001C TIN &amp; TP'!$E$3:$E$10005&amp;'DMR 001C TIN &amp; TP'!$B$3:$B$10005&amp;'DMR 001C TIN &amp; TP'!$A$3:$A$10005),0),MATCH('Reg 85'!$O$11,'DMR 001C TIN &amp; TP'!$A$2:$M$2,0))),"")</f>
        <v/>
      </c>
      <c r="P295" s="53" t="str">
        <f t="shared" si="112"/>
        <v/>
      </c>
      <c r="Q295" s="73" t="str">
        <f t="array" ref="Q295">IFERROR(((L295*$F295)+(P295*$G295))/($H295),"")</f>
        <v/>
      </c>
      <c r="R295" s="6" t="str">
        <f t="array" ref="R295">_xlfn.IFNA((INDEX('DMR 001C TIN &amp; TP'!$A$3:$M$10005,MATCH(('Reg 85'!$I$6:$Q$6&amp;'Reg 85'!R$10&amp;'Reg 85'!$B295),('DMR 001C TIN &amp; TP'!$E$3:$E$10005&amp;'DMR 001C TIN &amp; TP'!$B$3:$B$10005&amp;'DMR 001C TIN &amp; TP'!$A$3:$A$10005),0),MATCH('Reg 85'!$O$11,'DMR 001C TIN &amp; TP'!$A$2:$M$2,0))),"")</f>
        <v/>
      </c>
      <c r="S295" s="6" t="str">
        <f t="array" ref="S295">_xlfn.IFNA((INDEX('DMR 001C TIN &amp; TP'!$A$3:$M$10005,MATCH(('Reg 85'!$I$6:$Q$6&amp;'Reg 85'!S$10&amp;'Reg 85'!$B295),('DMR 001C TIN &amp; TP'!$E$3:$E$10005&amp;'DMR 001C TIN &amp; TP'!$B$3:$B$10005&amp;'DMR 001C TIN &amp; TP'!$A$3:$A$10005),0),MATCH('Reg 85'!$O$11,'DMR 001C TIN &amp; TP'!$A$2:$M$2,0))),"")</f>
        <v/>
      </c>
      <c r="T295" s="6" t="str">
        <f t="array" ref="T295">_xlfn.IFNA((INDEX('DMR 001C TIN &amp; TP'!$A$3:$M$10005,MATCH(('Reg 85'!$I$6:$Q$6&amp;'Reg 85'!T$10&amp;'Reg 85'!$B295),('DMR 001C TIN &amp; TP'!$E$3:$E$10005&amp;'DMR 001C TIN &amp; TP'!$B$3:$B$10005&amp;'DMR 001C TIN &amp; TP'!$A$3:$A$10005),0),MATCH('Reg 85'!$O$11,'DMR 001C TIN &amp; TP'!$A$2:$M$2,0))),"")</f>
        <v/>
      </c>
      <c r="U295" s="6" t="str">
        <f t="array" ref="U295">_xlfn.IFNA((INDEX('DMR 001C TIN &amp; TP'!$A$3:$M$10005,MATCH(('Reg 85'!$I$6:$Q$6&amp;'Reg 85'!U$10&amp;'Reg 85'!$B295),('DMR 001C TIN &amp; TP'!$E$3:$E$10005&amp;'DMR 001C TIN &amp; TP'!$B$3:$B$10005&amp;'DMR 001C TIN &amp; TP'!$A$3:$A$10005),0),MATCH('Reg 85'!$O$11,'DMR 001C TIN &amp; TP'!$A$2:$M$2,0))),"")</f>
        <v/>
      </c>
      <c r="V295" s="6" t="str">
        <f t="array" ref="V295">_xlfn.IFNA((INDEX('DMR 001C TIN &amp; TP'!$A$3:$M$10005,MATCH(('Reg 85'!$I$6:$Q$6&amp;'Reg 85'!V$10&amp;'Reg 85'!$B295),('DMR 001C TIN &amp; TP'!$E$3:$E$10005&amp;'DMR 001C TIN &amp; TP'!$B$3:$B$10005&amp;'DMR 001C TIN &amp; TP'!$A$3:$A$10005),0),MATCH('Reg 85'!$O$11,'DMR 001C TIN &amp; TP'!$A$2:$M$2,0))),"")</f>
        <v/>
      </c>
      <c r="W295" s="6" t="str">
        <f t="array" ref="W295">_xlfn.IFNA((INDEX('DMR 001C TIN &amp; TP'!$A$3:$M$10005,MATCH(('Reg 85'!$I$6:$Q$6&amp;'Reg 85'!W$10&amp;'Reg 85'!$B295),('DMR 001C TIN &amp; TP'!$E$3:$E$10005&amp;'DMR 001C TIN &amp; TP'!$B$3:$B$10005&amp;'DMR 001C TIN &amp; TP'!$A$3:$A$10005),0),MATCH('Reg 85'!$O$11,'DMR 001C TIN &amp; TP'!$A$2:$M$2,0))),"")</f>
        <v/>
      </c>
      <c r="X295" s="5" t="str">
        <f t="shared" si="113"/>
        <v/>
      </c>
      <c r="Y295" s="6" t="str">
        <f t="array" ref="Y295">_xlfn.IFNA((INDEX('DMR 001C TIN &amp; TP'!$A$3:$M$10005,MATCH(('Reg 85'!$X$6&amp;'Reg 85'!$X$10&amp;'Reg 85'!$B295),('DMR 001C TIN &amp; TP'!$E$3:$E$10005&amp;'DMR 001C TIN &amp; TP'!$B$3:$B$10005&amp;'DMR 001C TIN &amp; TP'!$A$3:$A$10005),0),MATCH('Reg 85'!$Y$11,'DMR 001C TIN &amp; TP'!$A$2:$M$2,0))),"")</f>
        <v/>
      </c>
      <c r="Z295" s="6" t="str">
        <f t="array" ref="Z295">_xlfn.IFNA((INDEX('DMR 001C TIN &amp; TP'!$A$3:$M$10005,MATCH(('Reg 85'!$X$6&amp;'Reg 85'!$X$10&amp;'Reg 85'!$B295),('DMR 001C TIN &amp; TP'!$E$3:$E$10005&amp;'DMR 001C TIN &amp; TP'!$B$3:$B$10005&amp;'DMR 001C TIN &amp; TP'!$A$3:$A$10005),0),MATCH('Reg 85'!$Z$11,'DMR 001C TIN &amp; TP'!$A$2:$M$2,0))),"")</f>
        <v/>
      </c>
      <c r="AA295" s="53" t="str">
        <f t="shared" si="114"/>
        <v/>
      </c>
      <c r="AB295" s="5" t="str">
        <f t="shared" si="115"/>
        <v/>
      </c>
      <c r="AC295" s="6" t="str">
        <f t="array" ref="AC295">_xlfn.IFNA((INDEX('DMR 001C TIN &amp; TP'!$A$3:$M$10005,MATCH(('Reg 85'!$X$6&amp;'Reg 85'!$AB$10&amp;'Reg 85'!$B295),('DMR 001C TIN &amp; TP'!$E$3:$E$10005&amp;'DMR 001C TIN &amp; TP'!$B$3:$B$10005&amp;'DMR 001C TIN &amp; TP'!$A$3:$A$10005),0),MATCH('Reg 85'!$AC$11,'DMR 001C TIN &amp; TP'!$A$2:$M$2,0))),"")</f>
        <v/>
      </c>
      <c r="AD295" s="6" t="str">
        <f t="array" ref="AD295">_xlfn.IFNA((INDEX('DMR 001C TIN &amp; TP'!$A$3:$M$10005,MATCH(('Reg 85'!$X$6&amp;'Reg 85'!$AB$10&amp;'Reg 85'!$B295),('DMR 001C TIN &amp; TP'!$E$3:$E$10005&amp;'DMR 001C TIN &amp; TP'!$B$3:$B$10005&amp;'DMR 001C TIN &amp; TP'!$A$3:$A$10005),0),MATCH('Reg 85'!$AD$11,'DMR 001C TIN &amp; TP'!$A$2:$M$2,0))),"")</f>
        <v/>
      </c>
      <c r="AE295" s="53" t="str">
        <f t="shared" si="116"/>
        <v/>
      </c>
      <c r="AF295" s="7" t="str">
        <f t="shared" si="117"/>
        <v/>
      </c>
      <c r="AG295" s="6" t="str">
        <f t="array" ref="AG295">_xlfn.IFNA((INDEX('DMR 001C TIN &amp; TP'!$A$3:$M$10005,MATCH(('Reg 85'!$X$6&amp;'Reg 85'!AG$10&amp;'Reg 85'!$B295),('DMR 001C TIN &amp; TP'!$E$3:$E$10005&amp;'DMR 001C TIN &amp; TP'!$B$3:$B$10005&amp;'DMR 001C TIN &amp; TP'!$A$3:$A$10005),0),MATCH('Reg 85'!$AG$11,'DMR 001C TIN &amp; TP'!$A$2:$M$2,0))),"")</f>
        <v/>
      </c>
      <c r="AH295" s="6" t="str">
        <f t="array" ref="AH295">_xlfn.IFNA((INDEX('DMR 001C TIN &amp; TP'!$A$3:$M$10005,MATCH(('Reg 85'!$X$6&amp;'Reg 85'!AH$10&amp;'Reg 85'!$B295),('DMR 001C TIN &amp; TP'!$E$3:$E$10005&amp;'DMR 001C TIN &amp; TP'!$B$3:$B$10005&amp;'DMR 001C TIN &amp; TP'!$A$3:$A$10005),0),MATCH('Reg 85'!$AG$11,'DMR 001C TIN &amp; TP'!$A$2:$M$2,0))),"")</f>
        <v/>
      </c>
      <c r="AI295" s="6" t="str">
        <f t="array" ref="AI295">_xlfn.IFNA((INDEX('DMR 001C TIN &amp; TP'!$A$3:$M$10005,MATCH(('Reg 85'!$X$6&amp;'Reg 85'!AI$10&amp;'Reg 85'!$B295),('DMR 001C TIN &amp; TP'!$E$3:$E$10005&amp;'DMR 001C TIN &amp; TP'!$B$3:$B$10005&amp;'DMR 001C TIN &amp; TP'!$A$3:$A$10005),0),MATCH('Reg 85'!$AG$11,'DMR 001C TIN &amp; TP'!$A$2:$M$2,0))),"")</f>
        <v/>
      </c>
      <c r="AJ295" s="6" t="str">
        <f t="array" ref="AJ295">_xlfn.IFNA((INDEX('DMR 001C TIN &amp; TP'!$A$3:$M$10005,MATCH(('Reg 85'!$X$6&amp;'Reg 85'!AJ$10&amp;'Reg 85'!$B295),('DMR 001C TIN &amp; TP'!$E$3:$E$10005&amp;'DMR 001C TIN &amp; TP'!$B$3:$B$10005&amp;'DMR 001C TIN &amp; TP'!$A$3:$A$10005),0),MATCH('Reg 85'!$AG$11,'DMR 001C TIN &amp; TP'!$A$2:$M$2,0))),"")</f>
        <v/>
      </c>
      <c r="AK295" s="6" t="str">
        <f t="array" ref="AK295">_xlfn.IFNA((INDEX('DMR 001C TIN &amp; TP'!$A$3:$M$10005,MATCH(('Reg 85'!$X$6&amp;'Reg 85'!AK$10&amp;'Reg 85'!$B295),('DMR 001C TIN &amp; TP'!$E$3:$E$10005&amp;'DMR 001C TIN &amp; TP'!$B$3:$B$10005&amp;'DMR 001C TIN &amp; TP'!$A$3:$A$10005),0),MATCH('Reg 85'!$AG$11,'DMR 001C TIN &amp; TP'!$A$2:$M$2,0))),"")</f>
        <v/>
      </c>
      <c r="AL295" s="6" t="str">
        <f t="array" ref="AL295">_xlfn.IFNA((INDEX('DMR 001C TIN &amp; TP'!$A$3:$M$10005,MATCH(('Reg 85'!$X$6&amp;'Reg 85'!AL$10&amp;'Reg 85'!$B295),('DMR 001C TIN &amp; TP'!$E$3:$E$10005&amp;'DMR 001C TIN &amp; TP'!$B$3:$B$10005&amp;'DMR 001C TIN &amp; TP'!$A$3:$A$10005),0),MATCH('Reg 85'!$AG$11,'DMR 001C TIN &amp; TP'!$A$2:$M$2,0))),"")</f>
        <v/>
      </c>
      <c r="AM295" s="76"/>
      <c r="AN295" s="6"/>
      <c r="AO295" s="54" t="str">
        <f t="shared" si="104"/>
        <v/>
      </c>
      <c r="AP295" s="77" t="str">
        <f t="shared" si="102"/>
        <v/>
      </c>
      <c r="AQ295" s="47"/>
      <c r="AR295" s="6" t="str">
        <f t="array" ref="AR295">_xlfn.IFNA((INDEX('DMR 001C TIN &amp; TP'!$A$3:$M$10005,MATCH(('Reg 85'!$AQ$6&amp;'Reg 85'!$AQ$10&amp;'Reg 85'!$B295),('DMR 001C TIN &amp; TP'!$E$3:$E$10005&amp;'DMR 001C TIN &amp; TP'!$B$3:$B$10005&amp;'DMR 001C TIN &amp; TP'!$A$3:$A$10005),0),MATCH('Reg 85'!$AR$11,'DMR 001C TIN &amp; TP'!$A$2:$M$2,0))),"")</f>
        <v/>
      </c>
      <c r="AS295" s="6" t="str">
        <f t="array" ref="AS295">_xlfn.IFNA((INDEX('DMR 001C TIN &amp; TP'!$A$3:$M$10005,MATCH(('Reg 85'!$AQ$6&amp;'Reg 85'!$AQ$10&amp;'Reg 85'!$B295),('DMR 001C TIN &amp; TP'!$E$3:$E$10005&amp;'DMR 001C TIN &amp; TP'!$B$3:$B$10005&amp;'DMR 001C TIN &amp; TP'!$A$3:$A$10005),0),MATCH('Reg 85'!$AS$11,'DMR 001C TIN &amp; TP'!$A$2:$M$2,0))),"")</f>
        <v/>
      </c>
      <c r="AT295" s="53" t="str">
        <f t="shared" si="118"/>
        <v/>
      </c>
      <c r="AV295" s="6" t="str">
        <f t="array" ref="AV295">_xlfn.IFNA((INDEX('DMR 001C TIN &amp; TP'!$A$3:$M$10005,MATCH(('Reg 85'!$AQ$6&amp;'Reg 85'!$AU$10&amp;'Reg 85'!$B295),('DMR 001C TIN &amp; TP'!$E$3:$E$10005&amp;'DMR 001C TIN &amp; TP'!$B$3:$B$10005&amp;'DMR 001C TIN &amp; TP'!$A$3:$A$10005),0),MATCH('Reg 85'!$AV$11,'DMR 001C TIN &amp; TP'!$A$2:$M$2,0))),"")</f>
        <v/>
      </c>
      <c r="AW295" s="6" t="str">
        <f t="array" ref="AW295">_xlfn.IFNA((INDEX('DMR 001C TIN &amp; TP'!$A$3:$M$10005,MATCH(('Reg 85'!$AQ$6&amp;'Reg 85'!$AU$10&amp;'Reg 85'!$B295),('DMR 001C TIN &amp; TP'!$E$3:$E$10005&amp;'DMR 001C TIN &amp; TP'!$B$3:$B$10005&amp;'DMR 001C TIN &amp; TP'!$A$3:$A$10005),0),MATCH('Reg 85'!$AW$11,'DMR 001C TIN &amp; TP'!$A$2:$M$2,0))),"")</f>
        <v/>
      </c>
      <c r="AX295" s="53" t="str">
        <f t="shared" si="119"/>
        <v/>
      </c>
      <c r="AY295" s="55" t="str">
        <f t="shared" si="120"/>
        <v/>
      </c>
      <c r="AZ295" s="77" t="str">
        <f t="shared" si="103"/>
        <v/>
      </c>
      <c r="BA295" s="6" t="str">
        <f t="array" ref="BA295">_xlfn.IFNA((INDEX('DMR 001C TIN &amp; TP'!$A$3:$M$10005,MATCH(('Reg 85'!$AQ$6&amp;'Reg 85'!BA$10&amp;'Reg 85'!$B295),('DMR 001C TIN &amp; TP'!$E$3:$E$10005&amp;'DMR 001C TIN &amp; TP'!$B$3:$B$10005&amp;'DMR 001C TIN &amp; TP'!$A$3:$A$10005),0),MATCH('Reg 85'!$AG$11,'DMR 001C TIN &amp; TP'!$A$2:$M$2,0))),"")</f>
        <v/>
      </c>
      <c r="BB295" s="6" t="str">
        <f t="array" ref="BB295">_xlfn.IFNA((INDEX('DMR 001C TIN &amp; TP'!$A$3:$M$10005,MATCH(('Reg 85'!$AQ$6&amp;'Reg 85'!BB$10&amp;'Reg 85'!$B295),('DMR 001C TIN &amp; TP'!$E$3:$E$10005&amp;'DMR 001C TIN &amp; TP'!$B$3:$B$10005&amp;'DMR 001C TIN &amp; TP'!$A$3:$A$10005),0),MATCH('Reg 85'!$AG$11,'DMR 001C TIN &amp; TP'!$A$2:$M$2,0))),"")</f>
        <v/>
      </c>
      <c r="BC295" s="6" t="str">
        <f t="array" ref="BC295">_xlfn.IFNA((INDEX('DMR 001C TIN &amp; TP'!$A$3:$M$10005,MATCH(('Reg 85'!$AQ$6&amp;'Reg 85'!BC$10&amp;'Reg 85'!$B295),('DMR 001C TIN &amp; TP'!$E$3:$E$10005&amp;'DMR 001C TIN &amp; TP'!$B$3:$B$10005&amp;'DMR 001C TIN &amp; TP'!$A$3:$A$10005),0),MATCH('Reg 85'!$AG$11,'DMR 001C TIN &amp; TP'!$A$2:$M$2,0))),"")</f>
        <v/>
      </c>
      <c r="BD295" s="6" t="str">
        <f t="array" ref="BD295">_xlfn.IFNA((INDEX('DMR 001C TIN &amp; TP'!$A$3:$M$10005,MATCH(('Reg 85'!$AQ$6&amp;'Reg 85'!BD$10&amp;'Reg 85'!$B295),('DMR 001C TIN &amp; TP'!$E$3:$E$10005&amp;'DMR 001C TIN &amp; TP'!$B$3:$B$10005&amp;'DMR 001C TIN &amp; TP'!$A$3:$A$10005),0),MATCH('Reg 85'!$AG$11,'DMR 001C TIN &amp; TP'!$A$2:$M$2,0))),"")</f>
        <v/>
      </c>
      <c r="BE295" s="6" t="str">
        <f t="array" ref="BE295">_xlfn.IFNA((INDEX('DMR 001C TIN &amp; TP'!$A$3:$M$10005,MATCH(('Reg 85'!$AQ$6&amp;'Reg 85'!BE$10&amp;'Reg 85'!$B295),('DMR 001C TIN &amp; TP'!$E$3:$E$10005&amp;'DMR 001C TIN &amp; TP'!$B$3:$B$10005&amp;'DMR 001C TIN &amp; TP'!$A$3:$A$10005),0),MATCH('Reg 85'!$AG$11,'DMR 001C TIN &amp; TP'!$A$2:$M$2,0))),"")</f>
        <v/>
      </c>
      <c r="BF295" s="6" t="str">
        <f t="array" ref="BF295">_xlfn.IFNA((INDEX('DMR 001C TIN &amp; TP'!$A$3:$M$10005,MATCH(('Reg 85'!$AQ$6&amp;'Reg 85'!BF$10&amp;'Reg 85'!$B295),('DMR 001C TIN &amp; TP'!$E$3:$E$10005&amp;'DMR 001C TIN &amp; TP'!$B$3:$B$10005&amp;'DMR 001C TIN &amp; TP'!$A$3:$A$10005),0),MATCH('Reg 85'!$AG$11,'DMR 001C TIN &amp; TP'!$A$2:$M$2,0))),"")</f>
        <v/>
      </c>
    </row>
    <row r="296" spans="1:58">
      <c r="A296" s="3" t="str">
        <f t="shared" si="105"/>
        <v>Wed</v>
      </c>
      <c r="B296" s="96">
        <f t="shared" si="121"/>
        <v>43628</v>
      </c>
      <c r="C296" s="96">
        <f t="shared" si="106"/>
        <v>43646</v>
      </c>
      <c r="D296" s="96">
        <f t="shared" si="107"/>
        <v>43617</v>
      </c>
      <c r="E296" s="95">
        <f t="shared" si="108"/>
        <v>30</v>
      </c>
      <c r="F296" s="7">
        <f t="array" ref="F296">_xlfn.IFNA(INDEX('DMR Flows-Effluent'!$A$3:$F$9999,MATCH(($F$10&amp;$B296),('DMR Flows-Effluent'!$B$3:$B$9999&amp;'DMR Flows-Effluent'!$A$3:$A$9999),0),MATCH($F$8,'DMR Flows-Effluent'!$A$2:$F$2,0)),"")</f>
        <v>71.376499999999993</v>
      </c>
      <c r="G296" s="7">
        <f t="array" ref="G296">_xlfn.IFNA(INDEX('DMR Flows-Effluent'!$A$3:$F$9999,MATCH(($G$10&amp;$B296),('DMR Flows-Effluent'!$B$3:$B$9999&amp;'DMR Flows-Effluent'!$A$3:$A$9999),0),MATCH($F$8,'DMR Flows-Effluent'!$A$2:$F$2,0)),"")</f>
        <v>57.426600000000001</v>
      </c>
      <c r="H296" s="7">
        <f t="shared" si="109"/>
        <v>128.8031</v>
      </c>
      <c r="I296" s="45" t="str">
        <f t="shared" si="110"/>
        <v/>
      </c>
      <c r="J296" s="6" t="str">
        <f t="array" ref="J296">_xlfn.IFNA((INDEX('DMR 001C TIN &amp; TP'!$A$3:$M$10005,MATCH(('Reg 85'!$I$6:$Q$6&amp;'Reg 85'!$I$10:$K$10&amp;'Reg 85'!$B296),('DMR 001C TIN &amp; TP'!$E$3:$E$10005&amp;'DMR 001C TIN &amp; TP'!$B$3:$B$10005&amp;'DMR 001C TIN &amp; TP'!$A$3:$A$10005),0),MATCH('Reg 85'!$J$11,'DMR 001C TIN &amp; TP'!$A$2:$M$2,0))),"")</f>
        <v/>
      </c>
      <c r="K296" s="6" t="str">
        <f t="array" ref="K296">_xlfn.IFNA((INDEX('DMR 001C TIN &amp; TP'!$A$3:$M$10005,MATCH(('Reg 85'!$I$6:$Q$6&amp;'Reg 85'!$I$10:$K$10&amp;'Reg 85'!$B296),('DMR 001C TIN &amp; TP'!$E$3:$E$10005&amp;'DMR 001C TIN &amp; TP'!$B$3:$B$10005&amp;'DMR 001C TIN &amp; TP'!$A$3:$A$10005),0),MATCH('Reg 85'!$K$11,'DMR 001C TIN &amp; TP'!$A$2:$M$2,0))),"")</f>
        <v/>
      </c>
      <c r="L296" s="53" t="str">
        <f t="shared" si="122"/>
        <v/>
      </c>
      <c r="M296" s="5" t="str">
        <f t="shared" si="111"/>
        <v/>
      </c>
      <c r="N296" s="6" t="str">
        <f t="array" ref="N296">_xlfn.IFNA((INDEX('DMR 001C TIN &amp; TP'!$A$3:$M$10005,MATCH(('Reg 85'!$I$6:$Q$6&amp;'Reg 85'!$M$10&amp;'Reg 85'!$B296),('DMR 001C TIN &amp; TP'!$E$3:$E$10005&amp;'DMR 001C TIN &amp; TP'!$B$3:$B$10005&amp;'DMR 001C TIN &amp; TP'!$A$3:$A$10005),0),MATCH('Reg 85'!$N$11,'DMR 001C TIN &amp; TP'!$A$2:$M$2,0))),"")</f>
        <v/>
      </c>
      <c r="O296" s="6" t="str">
        <f t="array" ref="O296">_xlfn.IFNA((INDEX('DMR 001C TIN &amp; TP'!$A$3:$M$10005,MATCH(('Reg 85'!$I$6:$Q$6&amp;'Reg 85'!$M$10&amp;'Reg 85'!$B296),('DMR 001C TIN &amp; TP'!$E$3:$E$10005&amp;'DMR 001C TIN &amp; TP'!$B$3:$B$10005&amp;'DMR 001C TIN &amp; TP'!$A$3:$A$10005),0),MATCH('Reg 85'!$O$11,'DMR 001C TIN &amp; TP'!$A$2:$M$2,0))),"")</f>
        <v/>
      </c>
      <c r="P296" s="53" t="str">
        <f t="shared" si="112"/>
        <v/>
      </c>
      <c r="Q296" s="73" t="str">
        <f t="array" ref="Q296">IFERROR(((L296*$F296)+(P296*$G296))/($H296),"")</f>
        <v/>
      </c>
      <c r="R296" s="6" t="str">
        <f t="array" ref="R296">_xlfn.IFNA((INDEX('DMR 001C TIN &amp; TP'!$A$3:$M$10005,MATCH(('Reg 85'!$I$6:$Q$6&amp;'Reg 85'!R$10&amp;'Reg 85'!$B296),('DMR 001C TIN &amp; TP'!$E$3:$E$10005&amp;'DMR 001C TIN &amp; TP'!$B$3:$B$10005&amp;'DMR 001C TIN &amp; TP'!$A$3:$A$10005),0),MATCH('Reg 85'!$O$11,'DMR 001C TIN &amp; TP'!$A$2:$M$2,0))),"")</f>
        <v/>
      </c>
      <c r="S296" s="6" t="str">
        <f t="array" ref="S296">_xlfn.IFNA((INDEX('DMR 001C TIN &amp; TP'!$A$3:$M$10005,MATCH(('Reg 85'!$I$6:$Q$6&amp;'Reg 85'!S$10&amp;'Reg 85'!$B296),('DMR 001C TIN &amp; TP'!$E$3:$E$10005&amp;'DMR 001C TIN &amp; TP'!$B$3:$B$10005&amp;'DMR 001C TIN &amp; TP'!$A$3:$A$10005),0),MATCH('Reg 85'!$O$11,'DMR 001C TIN &amp; TP'!$A$2:$M$2,0))),"")</f>
        <v/>
      </c>
      <c r="T296" s="6" t="str">
        <f t="array" ref="T296">_xlfn.IFNA((INDEX('DMR 001C TIN &amp; TP'!$A$3:$M$10005,MATCH(('Reg 85'!$I$6:$Q$6&amp;'Reg 85'!T$10&amp;'Reg 85'!$B296),('DMR 001C TIN &amp; TP'!$E$3:$E$10005&amp;'DMR 001C TIN &amp; TP'!$B$3:$B$10005&amp;'DMR 001C TIN &amp; TP'!$A$3:$A$10005),0),MATCH('Reg 85'!$O$11,'DMR 001C TIN &amp; TP'!$A$2:$M$2,0))),"")</f>
        <v/>
      </c>
      <c r="U296" s="6" t="str">
        <f t="array" ref="U296">_xlfn.IFNA((INDEX('DMR 001C TIN &amp; TP'!$A$3:$M$10005,MATCH(('Reg 85'!$I$6:$Q$6&amp;'Reg 85'!U$10&amp;'Reg 85'!$B296),('DMR 001C TIN &amp; TP'!$E$3:$E$10005&amp;'DMR 001C TIN &amp; TP'!$B$3:$B$10005&amp;'DMR 001C TIN &amp; TP'!$A$3:$A$10005),0),MATCH('Reg 85'!$O$11,'DMR 001C TIN &amp; TP'!$A$2:$M$2,0))),"")</f>
        <v/>
      </c>
      <c r="V296" s="6" t="str">
        <f t="array" ref="V296">_xlfn.IFNA((INDEX('DMR 001C TIN &amp; TP'!$A$3:$M$10005,MATCH(('Reg 85'!$I$6:$Q$6&amp;'Reg 85'!V$10&amp;'Reg 85'!$B296),('DMR 001C TIN &amp; TP'!$E$3:$E$10005&amp;'DMR 001C TIN &amp; TP'!$B$3:$B$10005&amp;'DMR 001C TIN &amp; TP'!$A$3:$A$10005),0),MATCH('Reg 85'!$O$11,'DMR 001C TIN &amp; TP'!$A$2:$M$2,0))),"")</f>
        <v/>
      </c>
      <c r="W296" s="6" t="str">
        <f t="array" ref="W296">_xlfn.IFNA((INDEX('DMR 001C TIN &amp; TP'!$A$3:$M$10005,MATCH(('Reg 85'!$I$6:$Q$6&amp;'Reg 85'!W$10&amp;'Reg 85'!$B296),('DMR 001C TIN &amp; TP'!$E$3:$E$10005&amp;'DMR 001C TIN &amp; TP'!$B$3:$B$10005&amp;'DMR 001C TIN &amp; TP'!$A$3:$A$10005),0),MATCH('Reg 85'!$O$11,'DMR 001C TIN &amp; TP'!$A$2:$M$2,0))),"")</f>
        <v/>
      </c>
      <c r="X296" s="5" t="str">
        <f t="shared" si="113"/>
        <v/>
      </c>
      <c r="Y296" s="6" t="str">
        <f t="array" ref="Y296">_xlfn.IFNA((INDEX('DMR 001C TIN &amp; TP'!$A$3:$M$10005,MATCH(('Reg 85'!$X$6&amp;'Reg 85'!$X$10&amp;'Reg 85'!$B296),('DMR 001C TIN &amp; TP'!$E$3:$E$10005&amp;'DMR 001C TIN &amp; TP'!$B$3:$B$10005&amp;'DMR 001C TIN &amp; TP'!$A$3:$A$10005),0),MATCH('Reg 85'!$Y$11,'DMR 001C TIN &amp; TP'!$A$2:$M$2,0))),"")</f>
        <v/>
      </c>
      <c r="Z296" s="6" t="str">
        <f t="array" ref="Z296">_xlfn.IFNA((INDEX('DMR 001C TIN &amp; TP'!$A$3:$M$10005,MATCH(('Reg 85'!$X$6&amp;'Reg 85'!$X$10&amp;'Reg 85'!$B296),('DMR 001C TIN &amp; TP'!$E$3:$E$10005&amp;'DMR 001C TIN &amp; TP'!$B$3:$B$10005&amp;'DMR 001C TIN &amp; TP'!$A$3:$A$10005),0),MATCH('Reg 85'!$Z$11,'DMR 001C TIN &amp; TP'!$A$2:$M$2,0))),"")</f>
        <v/>
      </c>
      <c r="AA296" s="53" t="str">
        <f t="shared" si="114"/>
        <v/>
      </c>
      <c r="AB296" s="5" t="str">
        <f t="shared" si="115"/>
        <v/>
      </c>
      <c r="AC296" s="6" t="str">
        <f t="array" ref="AC296">_xlfn.IFNA((INDEX('DMR 001C TIN &amp; TP'!$A$3:$M$10005,MATCH(('Reg 85'!$X$6&amp;'Reg 85'!$AB$10&amp;'Reg 85'!$B296),('DMR 001C TIN &amp; TP'!$E$3:$E$10005&amp;'DMR 001C TIN &amp; TP'!$B$3:$B$10005&amp;'DMR 001C TIN &amp; TP'!$A$3:$A$10005),0),MATCH('Reg 85'!$AC$11,'DMR 001C TIN &amp; TP'!$A$2:$M$2,0))),"")</f>
        <v/>
      </c>
      <c r="AD296" s="6" t="str">
        <f t="array" ref="AD296">_xlfn.IFNA((INDEX('DMR 001C TIN &amp; TP'!$A$3:$M$10005,MATCH(('Reg 85'!$X$6&amp;'Reg 85'!$AB$10&amp;'Reg 85'!$B296),('DMR 001C TIN &amp; TP'!$E$3:$E$10005&amp;'DMR 001C TIN &amp; TP'!$B$3:$B$10005&amp;'DMR 001C TIN &amp; TP'!$A$3:$A$10005),0),MATCH('Reg 85'!$AD$11,'DMR 001C TIN &amp; TP'!$A$2:$M$2,0))),"")</f>
        <v/>
      </c>
      <c r="AE296" s="53" t="str">
        <f t="shared" si="116"/>
        <v/>
      </c>
      <c r="AF296" s="7" t="str">
        <f t="shared" si="117"/>
        <v/>
      </c>
      <c r="AG296" s="6" t="str">
        <f t="array" ref="AG296">_xlfn.IFNA((INDEX('DMR 001C TIN &amp; TP'!$A$3:$M$10005,MATCH(('Reg 85'!$X$6&amp;'Reg 85'!AG$10&amp;'Reg 85'!$B296),('DMR 001C TIN &amp; TP'!$E$3:$E$10005&amp;'DMR 001C TIN &amp; TP'!$B$3:$B$10005&amp;'DMR 001C TIN &amp; TP'!$A$3:$A$10005),0),MATCH('Reg 85'!$AG$11,'DMR 001C TIN &amp; TP'!$A$2:$M$2,0))),"")</f>
        <v/>
      </c>
      <c r="AH296" s="6" t="str">
        <f t="array" ref="AH296">_xlfn.IFNA((INDEX('DMR 001C TIN &amp; TP'!$A$3:$M$10005,MATCH(('Reg 85'!$X$6&amp;'Reg 85'!AH$10&amp;'Reg 85'!$B296),('DMR 001C TIN &amp; TP'!$E$3:$E$10005&amp;'DMR 001C TIN &amp; TP'!$B$3:$B$10005&amp;'DMR 001C TIN &amp; TP'!$A$3:$A$10005),0),MATCH('Reg 85'!$AG$11,'DMR 001C TIN &amp; TP'!$A$2:$M$2,0))),"")</f>
        <v/>
      </c>
      <c r="AI296" s="6" t="str">
        <f t="array" ref="AI296">_xlfn.IFNA((INDEX('DMR 001C TIN &amp; TP'!$A$3:$M$10005,MATCH(('Reg 85'!$X$6&amp;'Reg 85'!AI$10&amp;'Reg 85'!$B296),('DMR 001C TIN &amp; TP'!$E$3:$E$10005&amp;'DMR 001C TIN &amp; TP'!$B$3:$B$10005&amp;'DMR 001C TIN &amp; TP'!$A$3:$A$10005),0),MATCH('Reg 85'!$AG$11,'DMR 001C TIN &amp; TP'!$A$2:$M$2,0))),"")</f>
        <v/>
      </c>
      <c r="AJ296" s="6" t="str">
        <f t="array" ref="AJ296">_xlfn.IFNA((INDEX('DMR 001C TIN &amp; TP'!$A$3:$M$10005,MATCH(('Reg 85'!$X$6&amp;'Reg 85'!AJ$10&amp;'Reg 85'!$B296),('DMR 001C TIN &amp; TP'!$E$3:$E$10005&amp;'DMR 001C TIN &amp; TP'!$B$3:$B$10005&amp;'DMR 001C TIN &amp; TP'!$A$3:$A$10005),0),MATCH('Reg 85'!$AG$11,'DMR 001C TIN &amp; TP'!$A$2:$M$2,0))),"")</f>
        <v/>
      </c>
      <c r="AK296" s="6" t="str">
        <f t="array" ref="AK296">_xlfn.IFNA((INDEX('DMR 001C TIN &amp; TP'!$A$3:$M$10005,MATCH(('Reg 85'!$X$6&amp;'Reg 85'!AK$10&amp;'Reg 85'!$B296),('DMR 001C TIN &amp; TP'!$E$3:$E$10005&amp;'DMR 001C TIN &amp; TP'!$B$3:$B$10005&amp;'DMR 001C TIN &amp; TP'!$A$3:$A$10005),0),MATCH('Reg 85'!$AG$11,'DMR 001C TIN &amp; TP'!$A$2:$M$2,0))),"")</f>
        <v/>
      </c>
      <c r="AL296" s="6" t="str">
        <f t="array" ref="AL296">_xlfn.IFNA((INDEX('DMR 001C TIN &amp; TP'!$A$3:$M$10005,MATCH(('Reg 85'!$X$6&amp;'Reg 85'!AL$10&amp;'Reg 85'!$B296),('DMR 001C TIN &amp; TP'!$E$3:$E$10005&amp;'DMR 001C TIN &amp; TP'!$B$3:$B$10005&amp;'DMR 001C TIN &amp; TP'!$A$3:$A$10005),0),MATCH('Reg 85'!$AG$11,'DMR 001C TIN &amp; TP'!$A$2:$M$2,0))),"")</f>
        <v/>
      </c>
      <c r="AM296" s="76"/>
      <c r="AN296" s="6"/>
      <c r="AO296" s="54" t="str">
        <f t="shared" si="104"/>
        <v/>
      </c>
      <c r="AP296" s="77" t="str">
        <f t="shared" si="102"/>
        <v/>
      </c>
      <c r="AQ296" s="47"/>
      <c r="AR296" s="6" t="str">
        <f t="array" ref="AR296">_xlfn.IFNA((INDEX('DMR 001C TIN &amp; TP'!$A$3:$M$10005,MATCH(('Reg 85'!$AQ$6&amp;'Reg 85'!$AQ$10&amp;'Reg 85'!$B296),('DMR 001C TIN &amp; TP'!$E$3:$E$10005&amp;'DMR 001C TIN &amp; TP'!$B$3:$B$10005&amp;'DMR 001C TIN &amp; TP'!$A$3:$A$10005),0),MATCH('Reg 85'!$AR$11,'DMR 001C TIN &amp; TP'!$A$2:$M$2,0))),"")</f>
        <v>0.03</v>
      </c>
      <c r="AS296" s="6">
        <f t="array" ref="AS296">_xlfn.IFNA((INDEX('DMR 001C TIN &amp; TP'!$A$3:$M$10005,MATCH(('Reg 85'!$AQ$6&amp;'Reg 85'!$AQ$10&amp;'Reg 85'!$B296),('DMR 001C TIN &amp; TP'!$E$3:$E$10005&amp;'DMR 001C TIN &amp; TP'!$B$3:$B$10005&amp;'DMR 001C TIN &amp; TP'!$A$3:$A$10005),0),MATCH('Reg 85'!$AS$11,'DMR 001C TIN &amp; TP'!$A$2:$M$2,0))),"")</f>
        <v>0.36</v>
      </c>
      <c r="AT296" s="53">
        <f t="shared" si="118"/>
        <v>0.36</v>
      </c>
      <c r="AV296" s="6" t="str">
        <f t="array" ref="AV296">_xlfn.IFNA((INDEX('DMR 001C TIN &amp; TP'!$A$3:$M$10005,MATCH(('Reg 85'!$AQ$6&amp;'Reg 85'!$AU$10&amp;'Reg 85'!$B296),('DMR 001C TIN &amp; TP'!$E$3:$E$10005&amp;'DMR 001C TIN &amp; TP'!$B$3:$B$10005&amp;'DMR 001C TIN &amp; TP'!$A$3:$A$10005),0),MATCH('Reg 85'!$AV$11,'DMR 001C TIN &amp; TP'!$A$2:$M$2,0))),"")</f>
        <v>0.03</v>
      </c>
      <c r="AW296" s="6">
        <f t="array" ref="AW296">_xlfn.IFNA((INDEX('DMR 001C TIN &amp; TP'!$A$3:$M$10005,MATCH(('Reg 85'!$AQ$6&amp;'Reg 85'!$AU$10&amp;'Reg 85'!$B296),('DMR 001C TIN &amp; TP'!$E$3:$E$10005&amp;'DMR 001C TIN &amp; TP'!$B$3:$B$10005&amp;'DMR 001C TIN &amp; TP'!$A$3:$A$10005),0),MATCH('Reg 85'!$AW$11,'DMR 001C TIN &amp; TP'!$A$2:$M$2,0))),"")</f>
        <v>2.94</v>
      </c>
      <c r="AX296" s="53">
        <f t="shared" si="119"/>
        <v>2.94</v>
      </c>
      <c r="AY296" s="55">
        <f t="shared" si="120"/>
        <v>1.5102877492855373</v>
      </c>
      <c r="AZ296" s="77" t="str">
        <f t="shared" si="103"/>
        <v/>
      </c>
      <c r="BA296" s="6" t="str">
        <f t="array" ref="BA296">_xlfn.IFNA((INDEX('DMR 001C TIN &amp; TP'!$A$3:$M$10005,MATCH(('Reg 85'!$AQ$6&amp;'Reg 85'!BA$10&amp;'Reg 85'!$B296),('DMR 001C TIN &amp; TP'!$E$3:$E$10005&amp;'DMR 001C TIN &amp; TP'!$B$3:$B$10005&amp;'DMR 001C TIN &amp; TP'!$A$3:$A$10005),0),MATCH('Reg 85'!$AG$11,'DMR 001C TIN &amp; TP'!$A$2:$M$2,0))),"")</f>
        <v/>
      </c>
      <c r="BB296" s="6" t="str">
        <f t="array" ref="BB296">_xlfn.IFNA((INDEX('DMR 001C TIN &amp; TP'!$A$3:$M$10005,MATCH(('Reg 85'!$AQ$6&amp;'Reg 85'!BB$10&amp;'Reg 85'!$B296),('DMR 001C TIN &amp; TP'!$E$3:$E$10005&amp;'DMR 001C TIN &amp; TP'!$B$3:$B$10005&amp;'DMR 001C TIN &amp; TP'!$A$3:$A$10005),0),MATCH('Reg 85'!$AG$11,'DMR 001C TIN &amp; TP'!$A$2:$M$2,0))),"")</f>
        <v/>
      </c>
      <c r="BC296" s="6" t="str">
        <f t="array" ref="BC296">_xlfn.IFNA((INDEX('DMR 001C TIN &amp; TP'!$A$3:$M$10005,MATCH(('Reg 85'!$AQ$6&amp;'Reg 85'!BC$10&amp;'Reg 85'!$B296),('DMR 001C TIN &amp; TP'!$E$3:$E$10005&amp;'DMR 001C TIN &amp; TP'!$B$3:$B$10005&amp;'DMR 001C TIN &amp; TP'!$A$3:$A$10005),0),MATCH('Reg 85'!$AG$11,'DMR 001C TIN &amp; TP'!$A$2:$M$2,0))),"")</f>
        <v/>
      </c>
      <c r="BD296" s="6" t="str">
        <f t="array" ref="BD296">_xlfn.IFNA((INDEX('DMR 001C TIN &amp; TP'!$A$3:$M$10005,MATCH(('Reg 85'!$AQ$6&amp;'Reg 85'!BD$10&amp;'Reg 85'!$B296),('DMR 001C TIN &amp; TP'!$E$3:$E$10005&amp;'DMR 001C TIN &amp; TP'!$B$3:$B$10005&amp;'DMR 001C TIN &amp; TP'!$A$3:$A$10005),0),MATCH('Reg 85'!$AG$11,'DMR 001C TIN &amp; TP'!$A$2:$M$2,0))),"")</f>
        <v/>
      </c>
      <c r="BE296" s="6" t="str">
        <f t="array" ref="BE296">_xlfn.IFNA((INDEX('DMR 001C TIN &amp; TP'!$A$3:$M$10005,MATCH(('Reg 85'!$AQ$6&amp;'Reg 85'!BE$10&amp;'Reg 85'!$B296),('DMR 001C TIN &amp; TP'!$E$3:$E$10005&amp;'DMR 001C TIN &amp; TP'!$B$3:$B$10005&amp;'DMR 001C TIN &amp; TP'!$A$3:$A$10005),0),MATCH('Reg 85'!$AG$11,'DMR 001C TIN &amp; TP'!$A$2:$M$2,0))),"")</f>
        <v/>
      </c>
      <c r="BF296" s="6" t="str">
        <f t="array" ref="BF296">_xlfn.IFNA((INDEX('DMR 001C TIN &amp; TP'!$A$3:$M$10005,MATCH(('Reg 85'!$AQ$6&amp;'Reg 85'!BF$10&amp;'Reg 85'!$B296),('DMR 001C TIN &amp; TP'!$E$3:$E$10005&amp;'DMR 001C TIN &amp; TP'!$B$3:$B$10005&amp;'DMR 001C TIN &amp; TP'!$A$3:$A$10005),0),MATCH('Reg 85'!$AG$11,'DMR 001C TIN &amp; TP'!$A$2:$M$2,0))),"")</f>
        <v/>
      </c>
    </row>
    <row r="297" spans="1:58">
      <c r="A297" s="3" t="str">
        <f t="shared" si="105"/>
        <v>Thu</v>
      </c>
      <c r="B297" s="96">
        <f t="shared" si="121"/>
        <v>43629</v>
      </c>
      <c r="C297" s="96">
        <f t="shared" si="106"/>
        <v>43646</v>
      </c>
      <c r="D297" s="96">
        <f t="shared" si="107"/>
        <v>43617</v>
      </c>
      <c r="E297" s="95">
        <f t="shared" si="108"/>
        <v>30</v>
      </c>
      <c r="F297" s="7">
        <f t="array" ref="F297">_xlfn.IFNA(INDEX('DMR Flows-Effluent'!$A$3:$F$9999,MATCH(($F$10&amp;$B297),('DMR Flows-Effluent'!$B$3:$B$9999&amp;'DMR Flows-Effluent'!$A$3:$A$9999),0),MATCH($F$8,'DMR Flows-Effluent'!$A$2:$F$2,0)),"")</f>
        <v>73.829599999999999</v>
      </c>
      <c r="G297" s="7">
        <f t="array" ref="G297">_xlfn.IFNA(INDEX('DMR Flows-Effluent'!$A$3:$F$9999,MATCH(($G$10&amp;$B297),('DMR Flows-Effluent'!$B$3:$B$9999&amp;'DMR Flows-Effluent'!$A$3:$A$9999),0),MATCH($F$8,'DMR Flows-Effluent'!$A$2:$F$2,0)),"")</f>
        <v>57.1327</v>
      </c>
      <c r="H297" s="7">
        <f t="shared" si="109"/>
        <v>130.9623</v>
      </c>
      <c r="I297" s="45" t="str">
        <f t="shared" si="110"/>
        <v/>
      </c>
      <c r="J297" s="6" t="str">
        <f t="array" ref="J297">_xlfn.IFNA((INDEX('DMR 001C TIN &amp; TP'!$A$3:$M$10005,MATCH(('Reg 85'!$I$6:$Q$6&amp;'Reg 85'!$I$10:$K$10&amp;'Reg 85'!$B297),('DMR 001C TIN &amp; TP'!$E$3:$E$10005&amp;'DMR 001C TIN &amp; TP'!$B$3:$B$10005&amp;'DMR 001C TIN &amp; TP'!$A$3:$A$10005),0),MATCH('Reg 85'!$J$11,'DMR 001C TIN &amp; TP'!$A$2:$M$2,0))),"")</f>
        <v/>
      </c>
      <c r="K297" s="6" t="str">
        <f t="array" ref="K297">_xlfn.IFNA((INDEX('DMR 001C TIN &amp; TP'!$A$3:$M$10005,MATCH(('Reg 85'!$I$6:$Q$6&amp;'Reg 85'!$I$10:$K$10&amp;'Reg 85'!$B297),('DMR 001C TIN &amp; TP'!$E$3:$E$10005&amp;'DMR 001C TIN &amp; TP'!$B$3:$B$10005&amp;'DMR 001C TIN &amp; TP'!$A$3:$A$10005),0),MATCH('Reg 85'!$K$11,'DMR 001C TIN &amp; TP'!$A$2:$M$2,0))),"")</f>
        <v/>
      </c>
      <c r="L297" s="53" t="str">
        <f t="shared" si="122"/>
        <v/>
      </c>
      <c r="M297" s="5" t="str">
        <f t="shared" si="111"/>
        <v/>
      </c>
      <c r="N297" s="6" t="str">
        <f t="array" ref="N297">_xlfn.IFNA((INDEX('DMR 001C TIN &amp; TP'!$A$3:$M$10005,MATCH(('Reg 85'!$I$6:$Q$6&amp;'Reg 85'!$M$10&amp;'Reg 85'!$B297),('DMR 001C TIN &amp; TP'!$E$3:$E$10005&amp;'DMR 001C TIN &amp; TP'!$B$3:$B$10005&amp;'DMR 001C TIN &amp; TP'!$A$3:$A$10005),0),MATCH('Reg 85'!$N$11,'DMR 001C TIN &amp; TP'!$A$2:$M$2,0))),"")</f>
        <v/>
      </c>
      <c r="O297" s="6" t="str">
        <f t="array" ref="O297">_xlfn.IFNA((INDEX('DMR 001C TIN &amp; TP'!$A$3:$M$10005,MATCH(('Reg 85'!$I$6:$Q$6&amp;'Reg 85'!$M$10&amp;'Reg 85'!$B297),('DMR 001C TIN &amp; TP'!$E$3:$E$10005&amp;'DMR 001C TIN &amp; TP'!$B$3:$B$10005&amp;'DMR 001C TIN &amp; TP'!$A$3:$A$10005),0),MATCH('Reg 85'!$O$11,'DMR 001C TIN &amp; TP'!$A$2:$M$2,0))),"")</f>
        <v/>
      </c>
      <c r="P297" s="53" t="str">
        <f t="shared" si="112"/>
        <v/>
      </c>
      <c r="Q297" s="73" t="str">
        <f t="array" ref="Q297">IFERROR(((L297*$F297)+(P297*$G297))/($H297),"")</f>
        <v/>
      </c>
      <c r="R297" s="6" t="str">
        <f t="array" ref="R297">_xlfn.IFNA((INDEX('DMR 001C TIN &amp; TP'!$A$3:$M$10005,MATCH(('Reg 85'!$I$6:$Q$6&amp;'Reg 85'!R$10&amp;'Reg 85'!$B297),('DMR 001C TIN &amp; TP'!$E$3:$E$10005&amp;'DMR 001C TIN &amp; TP'!$B$3:$B$10005&amp;'DMR 001C TIN &amp; TP'!$A$3:$A$10005),0),MATCH('Reg 85'!$O$11,'DMR 001C TIN &amp; TP'!$A$2:$M$2,0))),"")</f>
        <v/>
      </c>
      <c r="S297" s="6" t="str">
        <f t="array" ref="S297">_xlfn.IFNA((INDEX('DMR 001C TIN &amp; TP'!$A$3:$M$10005,MATCH(('Reg 85'!$I$6:$Q$6&amp;'Reg 85'!S$10&amp;'Reg 85'!$B297),('DMR 001C TIN &amp; TP'!$E$3:$E$10005&amp;'DMR 001C TIN &amp; TP'!$B$3:$B$10005&amp;'DMR 001C TIN &amp; TP'!$A$3:$A$10005),0),MATCH('Reg 85'!$O$11,'DMR 001C TIN &amp; TP'!$A$2:$M$2,0))),"")</f>
        <v/>
      </c>
      <c r="T297" s="6" t="str">
        <f t="array" ref="T297">_xlfn.IFNA((INDEX('DMR 001C TIN &amp; TP'!$A$3:$M$10005,MATCH(('Reg 85'!$I$6:$Q$6&amp;'Reg 85'!T$10&amp;'Reg 85'!$B297),('DMR 001C TIN &amp; TP'!$E$3:$E$10005&amp;'DMR 001C TIN &amp; TP'!$B$3:$B$10005&amp;'DMR 001C TIN &amp; TP'!$A$3:$A$10005),0),MATCH('Reg 85'!$O$11,'DMR 001C TIN &amp; TP'!$A$2:$M$2,0))),"")</f>
        <v/>
      </c>
      <c r="U297" s="6" t="str">
        <f t="array" ref="U297">_xlfn.IFNA((INDEX('DMR 001C TIN &amp; TP'!$A$3:$M$10005,MATCH(('Reg 85'!$I$6:$Q$6&amp;'Reg 85'!U$10&amp;'Reg 85'!$B297),('DMR 001C TIN &amp; TP'!$E$3:$E$10005&amp;'DMR 001C TIN &amp; TP'!$B$3:$B$10005&amp;'DMR 001C TIN &amp; TP'!$A$3:$A$10005),0),MATCH('Reg 85'!$O$11,'DMR 001C TIN &amp; TP'!$A$2:$M$2,0))),"")</f>
        <v/>
      </c>
      <c r="V297" s="6" t="str">
        <f t="array" ref="V297">_xlfn.IFNA((INDEX('DMR 001C TIN &amp; TP'!$A$3:$M$10005,MATCH(('Reg 85'!$I$6:$Q$6&amp;'Reg 85'!V$10&amp;'Reg 85'!$B297),('DMR 001C TIN &amp; TP'!$E$3:$E$10005&amp;'DMR 001C TIN &amp; TP'!$B$3:$B$10005&amp;'DMR 001C TIN &amp; TP'!$A$3:$A$10005),0),MATCH('Reg 85'!$O$11,'DMR 001C TIN &amp; TP'!$A$2:$M$2,0))),"")</f>
        <v/>
      </c>
      <c r="W297" s="6" t="str">
        <f t="array" ref="W297">_xlfn.IFNA((INDEX('DMR 001C TIN &amp; TP'!$A$3:$M$10005,MATCH(('Reg 85'!$I$6:$Q$6&amp;'Reg 85'!W$10&amp;'Reg 85'!$B297),('DMR 001C TIN &amp; TP'!$E$3:$E$10005&amp;'DMR 001C TIN &amp; TP'!$B$3:$B$10005&amp;'DMR 001C TIN &amp; TP'!$A$3:$A$10005),0),MATCH('Reg 85'!$O$11,'DMR 001C TIN &amp; TP'!$A$2:$M$2,0))),"")</f>
        <v/>
      </c>
      <c r="X297" s="5" t="str">
        <f t="shared" si="113"/>
        <v/>
      </c>
      <c r="Y297" s="6" t="str">
        <f t="array" ref="Y297">_xlfn.IFNA((INDEX('DMR 001C TIN &amp; TP'!$A$3:$M$10005,MATCH(('Reg 85'!$X$6&amp;'Reg 85'!$X$10&amp;'Reg 85'!$B297),('DMR 001C TIN &amp; TP'!$E$3:$E$10005&amp;'DMR 001C TIN &amp; TP'!$B$3:$B$10005&amp;'DMR 001C TIN &amp; TP'!$A$3:$A$10005),0),MATCH('Reg 85'!$Y$11,'DMR 001C TIN &amp; TP'!$A$2:$M$2,0))),"")</f>
        <v/>
      </c>
      <c r="Z297" s="6" t="str">
        <f t="array" ref="Z297">_xlfn.IFNA((INDEX('DMR 001C TIN &amp; TP'!$A$3:$M$10005,MATCH(('Reg 85'!$X$6&amp;'Reg 85'!$X$10&amp;'Reg 85'!$B297),('DMR 001C TIN &amp; TP'!$E$3:$E$10005&amp;'DMR 001C TIN &amp; TP'!$B$3:$B$10005&amp;'DMR 001C TIN &amp; TP'!$A$3:$A$10005),0),MATCH('Reg 85'!$Z$11,'DMR 001C TIN &amp; TP'!$A$2:$M$2,0))),"")</f>
        <v/>
      </c>
      <c r="AA297" s="53" t="str">
        <f t="shared" si="114"/>
        <v/>
      </c>
      <c r="AB297" s="5" t="str">
        <f t="shared" si="115"/>
        <v/>
      </c>
      <c r="AC297" s="6" t="str">
        <f t="array" ref="AC297">_xlfn.IFNA((INDEX('DMR 001C TIN &amp; TP'!$A$3:$M$10005,MATCH(('Reg 85'!$X$6&amp;'Reg 85'!$AB$10&amp;'Reg 85'!$B297),('DMR 001C TIN &amp; TP'!$E$3:$E$10005&amp;'DMR 001C TIN &amp; TP'!$B$3:$B$10005&amp;'DMR 001C TIN &amp; TP'!$A$3:$A$10005),0),MATCH('Reg 85'!$AC$11,'DMR 001C TIN &amp; TP'!$A$2:$M$2,0))),"")</f>
        <v/>
      </c>
      <c r="AD297" s="6" t="str">
        <f t="array" ref="AD297">_xlfn.IFNA((INDEX('DMR 001C TIN &amp; TP'!$A$3:$M$10005,MATCH(('Reg 85'!$X$6&amp;'Reg 85'!$AB$10&amp;'Reg 85'!$B297),('DMR 001C TIN &amp; TP'!$E$3:$E$10005&amp;'DMR 001C TIN &amp; TP'!$B$3:$B$10005&amp;'DMR 001C TIN &amp; TP'!$A$3:$A$10005),0),MATCH('Reg 85'!$AD$11,'DMR 001C TIN &amp; TP'!$A$2:$M$2,0))),"")</f>
        <v/>
      </c>
      <c r="AE297" s="53" t="str">
        <f t="shared" si="116"/>
        <v/>
      </c>
      <c r="AF297" s="7" t="str">
        <f t="shared" si="117"/>
        <v/>
      </c>
      <c r="AG297" s="6" t="str">
        <f t="array" ref="AG297">_xlfn.IFNA((INDEX('DMR 001C TIN &amp; TP'!$A$3:$M$10005,MATCH(('Reg 85'!$X$6&amp;'Reg 85'!AG$10&amp;'Reg 85'!$B297),('DMR 001C TIN &amp; TP'!$E$3:$E$10005&amp;'DMR 001C TIN &amp; TP'!$B$3:$B$10005&amp;'DMR 001C TIN &amp; TP'!$A$3:$A$10005),0),MATCH('Reg 85'!$AG$11,'DMR 001C TIN &amp; TP'!$A$2:$M$2,0))),"")</f>
        <v/>
      </c>
      <c r="AH297" s="6" t="str">
        <f t="array" ref="AH297">_xlfn.IFNA((INDEX('DMR 001C TIN &amp; TP'!$A$3:$M$10005,MATCH(('Reg 85'!$X$6&amp;'Reg 85'!AH$10&amp;'Reg 85'!$B297),('DMR 001C TIN &amp; TP'!$E$3:$E$10005&amp;'DMR 001C TIN &amp; TP'!$B$3:$B$10005&amp;'DMR 001C TIN &amp; TP'!$A$3:$A$10005),0),MATCH('Reg 85'!$AG$11,'DMR 001C TIN &amp; TP'!$A$2:$M$2,0))),"")</f>
        <v/>
      </c>
      <c r="AI297" s="6" t="str">
        <f t="array" ref="AI297">_xlfn.IFNA((INDEX('DMR 001C TIN &amp; TP'!$A$3:$M$10005,MATCH(('Reg 85'!$X$6&amp;'Reg 85'!AI$10&amp;'Reg 85'!$B297),('DMR 001C TIN &amp; TP'!$E$3:$E$10005&amp;'DMR 001C TIN &amp; TP'!$B$3:$B$10005&amp;'DMR 001C TIN &amp; TP'!$A$3:$A$10005),0),MATCH('Reg 85'!$AG$11,'DMR 001C TIN &amp; TP'!$A$2:$M$2,0))),"")</f>
        <v/>
      </c>
      <c r="AJ297" s="6" t="str">
        <f t="array" ref="AJ297">_xlfn.IFNA((INDEX('DMR 001C TIN &amp; TP'!$A$3:$M$10005,MATCH(('Reg 85'!$X$6&amp;'Reg 85'!AJ$10&amp;'Reg 85'!$B297),('DMR 001C TIN &amp; TP'!$E$3:$E$10005&amp;'DMR 001C TIN &amp; TP'!$B$3:$B$10005&amp;'DMR 001C TIN &amp; TP'!$A$3:$A$10005),0),MATCH('Reg 85'!$AG$11,'DMR 001C TIN &amp; TP'!$A$2:$M$2,0))),"")</f>
        <v/>
      </c>
      <c r="AK297" s="6" t="str">
        <f t="array" ref="AK297">_xlfn.IFNA((INDEX('DMR 001C TIN &amp; TP'!$A$3:$M$10005,MATCH(('Reg 85'!$X$6&amp;'Reg 85'!AK$10&amp;'Reg 85'!$B297),('DMR 001C TIN &amp; TP'!$E$3:$E$10005&amp;'DMR 001C TIN &amp; TP'!$B$3:$B$10005&amp;'DMR 001C TIN &amp; TP'!$A$3:$A$10005),0),MATCH('Reg 85'!$AG$11,'DMR 001C TIN &amp; TP'!$A$2:$M$2,0))),"")</f>
        <v/>
      </c>
      <c r="AL297" s="6" t="str">
        <f t="array" ref="AL297">_xlfn.IFNA((INDEX('DMR 001C TIN &amp; TP'!$A$3:$M$10005,MATCH(('Reg 85'!$X$6&amp;'Reg 85'!AL$10&amp;'Reg 85'!$B297),('DMR 001C TIN &amp; TP'!$E$3:$E$10005&amp;'DMR 001C TIN &amp; TP'!$B$3:$B$10005&amp;'DMR 001C TIN &amp; TP'!$A$3:$A$10005),0),MATCH('Reg 85'!$AG$11,'DMR 001C TIN &amp; TP'!$A$2:$M$2,0))),"")</f>
        <v/>
      </c>
      <c r="AM297" s="76"/>
      <c r="AN297" s="6"/>
      <c r="AO297" s="54" t="str">
        <f t="shared" si="104"/>
        <v/>
      </c>
      <c r="AP297" s="77" t="str">
        <f t="shared" si="102"/>
        <v/>
      </c>
      <c r="AQ297" s="47"/>
      <c r="AR297" s="6" t="str">
        <f t="array" ref="AR297">_xlfn.IFNA((INDEX('DMR 001C TIN &amp; TP'!$A$3:$M$10005,MATCH(('Reg 85'!$AQ$6&amp;'Reg 85'!$AQ$10&amp;'Reg 85'!$B297),('DMR 001C TIN &amp; TP'!$E$3:$E$10005&amp;'DMR 001C TIN &amp; TP'!$B$3:$B$10005&amp;'DMR 001C TIN &amp; TP'!$A$3:$A$10005),0),MATCH('Reg 85'!$AR$11,'DMR 001C TIN &amp; TP'!$A$2:$M$2,0))),"")</f>
        <v/>
      </c>
      <c r="AS297" s="6" t="str">
        <f t="array" ref="AS297">_xlfn.IFNA((INDEX('DMR 001C TIN &amp; TP'!$A$3:$M$10005,MATCH(('Reg 85'!$AQ$6&amp;'Reg 85'!$AQ$10&amp;'Reg 85'!$B297),('DMR 001C TIN &amp; TP'!$E$3:$E$10005&amp;'DMR 001C TIN &amp; TP'!$B$3:$B$10005&amp;'DMR 001C TIN &amp; TP'!$A$3:$A$10005),0),MATCH('Reg 85'!$AS$11,'DMR 001C TIN &amp; TP'!$A$2:$M$2,0))),"")</f>
        <v/>
      </c>
      <c r="AT297" s="53" t="str">
        <f t="shared" si="118"/>
        <v/>
      </c>
      <c r="AV297" s="6" t="str">
        <f t="array" ref="AV297">_xlfn.IFNA((INDEX('DMR 001C TIN &amp; TP'!$A$3:$M$10005,MATCH(('Reg 85'!$AQ$6&amp;'Reg 85'!$AU$10&amp;'Reg 85'!$B297),('DMR 001C TIN &amp; TP'!$E$3:$E$10005&amp;'DMR 001C TIN &amp; TP'!$B$3:$B$10005&amp;'DMR 001C TIN &amp; TP'!$A$3:$A$10005),0),MATCH('Reg 85'!$AV$11,'DMR 001C TIN &amp; TP'!$A$2:$M$2,0))),"")</f>
        <v/>
      </c>
      <c r="AW297" s="6" t="str">
        <f t="array" ref="AW297">_xlfn.IFNA((INDEX('DMR 001C TIN &amp; TP'!$A$3:$M$10005,MATCH(('Reg 85'!$AQ$6&amp;'Reg 85'!$AU$10&amp;'Reg 85'!$B297),('DMR 001C TIN &amp; TP'!$E$3:$E$10005&amp;'DMR 001C TIN &amp; TP'!$B$3:$B$10005&amp;'DMR 001C TIN &amp; TP'!$A$3:$A$10005),0),MATCH('Reg 85'!$AW$11,'DMR 001C TIN &amp; TP'!$A$2:$M$2,0))),"")</f>
        <v/>
      </c>
      <c r="AX297" s="53" t="str">
        <f t="shared" si="119"/>
        <v/>
      </c>
      <c r="AY297" s="55" t="str">
        <f t="shared" si="120"/>
        <v/>
      </c>
      <c r="AZ297" s="77" t="str">
        <f t="shared" si="103"/>
        <v/>
      </c>
      <c r="BA297" s="6" t="str">
        <f t="array" ref="BA297">_xlfn.IFNA((INDEX('DMR 001C TIN &amp; TP'!$A$3:$M$10005,MATCH(('Reg 85'!$AQ$6&amp;'Reg 85'!BA$10&amp;'Reg 85'!$B297),('DMR 001C TIN &amp; TP'!$E$3:$E$10005&amp;'DMR 001C TIN &amp; TP'!$B$3:$B$10005&amp;'DMR 001C TIN &amp; TP'!$A$3:$A$10005),0),MATCH('Reg 85'!$AG$11,'DMR 001C TIN &amp; TP'!$A$2:$M$2,0))),"")</f>
        <v/>
      </c>
      <c r="BB297" s="6" t="str">
        <f t="array" ref="BB297">_xlfn.IFNA((INDEX('DMR 001C TIN &amp; TP'!$A$3:$M$10005,MATCH(('Reg 85'!$AQ$6&amp;'Reg 85'!BB$10&amp;'Reg 85'!$B297),('DMR 001C TIN &amp; TP'!$E$3:$E$10005&amp;'DMR 001C TIN &amp; TP'!$B$3:$B$10005&amp;'DMR 001C TIN &amp; TP'!$A$3:$A$10005),0),MATCH('Reg 85'!$AG$11,'DMR 001C TIN &amp; TP'!$A$2:$M$2,0))),"")</f>
        <v/>
      </c>
      <c r="BC297" s="6" t="str">
        <f t="array" ref="BC297">_xlfn.IFNA((INDEX('DMR 001C TIN &amp; TP'!$A$3:$M$10005,MATCH(('Reg 85'!$AQ$6&amp;'Reg 85'!BC$10&amp;'Reg 85'!$B297),('DMR 001C TIN &amp; TP'!$E$3:$E$10005&amp;'DMR 001C TIN &amp; TP'!$B$3:$B$10005&amp;'DMR 001C TIN &amp; TP'!$A$3:$A$10005),0),MATCH('Reg 85'!$AG$11,'DMR 001C TIN &amp; TP'!$A$2:$M$2,0))),"")</f>
        <v/>
      </c>
      <c r="BD297" s="6" t="str">
        <f t="array" ref="BD297">_xlfn.IFNA((INDEX('DMR 001C TIN &amp; TP'!$A$3:$M$10005,MATCH(('Reg 85'!$AQ$6&amp;'Reg 85'!BD$10&amp;'Reg 85'!$B297),('DMR 001C TIN &amp; TP'!$E$3:$E$10005&amp;'DMR 001C TIN &amp; TP'!$B$3:$B$10005&amp;'DMR 001C TIN &amp; TP'!$A$3:$A$10005),0),MATCH('Reg 85'!$AG$11,'DMR 001C TIN &amp; TP'!$A$2:$M$2,0))),"")</f>
        <v/>
      </c>
      <c r="BE297" s="6" t="str">
        <f t="array" ref="BE297">_xlfn.IFNA((INDEX('DMR 001C TIN &amp; TP'!$A$3:$M$10005,MATCH(('Reg 85'!$AQ$6&amp;'Reg 85'!BE$10&amp;'Reg 85'!$B297),('DMR 001C TIN &amp; TP'!$E$3:$E$10005&amp;'DMR 001C TIN &amp; TP'!$B$3:$B$10005&amp;'DMR 001C TIN &amp; TP'!$A$3:$A$10005),0),MATCH('Reg 85'!$AG$11,'DMR 001C TIN &amp; TP'!$A$2:$M$2,0))),"")</f>
        <v/>
      </c>
      <c r="BF297" s="6" t="str">
        <f t="array" ref="BF297">_xlfn.IFNA((INDEX('DMR 001C TIN &amp; TP'!$A$3:$M$10005,MATCH(('Reg 85'!$AQ$6&amp;'Reg 85'!BF$10&amp;'Reg 85'!$B297),('DMR 001C TIN &amp; TP'!$E$3:$E$10005&amp;'DMR 001C TIN &amp; TP'!$B$3:$B$10005&amp;'DMR 001C TIN &amp; TP'!$A$3:$A$10005),0),MATCH('Reg 85'!$AG$11,'DMR 001C TIN &amp; TP'!$A$2:$M$2,0))),"")</f>
        <v/>
      </c>
    </row>
    <row r="298" spans="1:58">
      <c r="A298" s="3" t="str">
        <f t="shared" si="105"/>
        <v>Fri</v>
      </c>
      <c r="B298" s="96">
        <f t="shared" si="121"/>
        <v>43630</v>
      </c>
      <c r="C298" s="96">
        <f t="shared" si="106"/>
        <v>43646</v>
      </c>
      <c r="D298" s="96">
        <f t="shared" si="107"/>
        <v>43617</v>
      </c>
      <c r="E298" s="95">
        <f t="shared" si="108"/>
        <v>30</v>
      </c>
      <c r="F298" s="7">
        <f t="array" ref="F298">_xlfn.IFNA(INDEX('DMR Flows-Effluent'!$A$3:$F$9999,MATCH(($F$10&amp;$B298),('DMR Flows-Effluent'!$B$3:$B$9999&amp;'DMR Flows-Effluent'!$A$3:$A$9999),0),MATCH($F$8,'DMR Flows-Effluent'!$A$2:$F$2,0)),"")</f>
        <v>76.150199999999998</v>
      </c>
      <c r="G298" s="7">
        <f t="array" ref="G298">_xlfn.IFNA(INDEX('DMR Flows-Effluent'!$A$3:$F$9999,MATCH(($G$10&amp;$B298),('DMR Flows-Effluent'!$B$3:$B$9999&amp;'DMR Flows-Effluent'!$A$3:$A$9999),0),MATCH($F$8,'DMR Flows-Effluent'!$A$2:$F$2,0)),"")</f>
        <v>53.190100000000001</v>
      </c>
      <c r="H298" s="7">
        <f t="shared" si="109"/>
        <v>129.34030000000001</v>
      </c>
      <c r="I298" s="45" t="str">
        <f t="shared" si="110"/>
        <v/>
      </c>
      <c r="J298" s="6" t="str">
        <f t="array" ref="J298">_xlfn.IFNA((INDEX('DMR 001C TIN &amp; TP'!$A$3:$M$10005,MATCH(('Reg 85'!$I$6:$Q$6&amp;'Reg 85'!$I$10:$K$10&amp;'Reg 85'!$B298),('DMR 001C TIN &amp; TP'!$E$3:$E$10005&amp;'DMR 001C TIN &amp; TP'!$B$3:$B$10005&amp;'DMR 001C TIN &amp; TP'!$A$3:$A$10005),0),MATCH('Reg 85'!$J$11,'DMR 001C TIN &amp; TP'!$A$2:$M$2,0))),"")</f>
        <v>0.15</v>
      </c>
      <c r="K298" s="6">
        <f t="array" ref="K298">_xlfn.IFNA((INDEX('DMR 001C TIN &amp; TP'!$A$3:$M$10005,MATCH(('Reg 85'!$I$6:$Q$6&amp;'Reg 85'!$I$10:$K$10&amp;'Reg 85'!$B298),('DMR 001C TIN &amp; TP'!$E$3:$E$10005&amp;'DMR 001C TIN &amp; TP'!$B$3:$B$10005&amp;'DMR 001C TIN &amp; TP'!$A$3:$A$10005),0),MATCH('Reg 85'!$K$11,'DMR 001C TIN &amp; TP'!$A$2:$M$2,0))),"")</f>
        <v>1.07</v>
      </c>
      <c r="L298" s="53">
        <f t="shared" si="122"/>
        <v>1.07</v>
      </c>
      <c r="M298" s="5" t="str">
        <f t="shared" si="111"/>
        <v/>
      </c>
      <c r="N298" s="6" t="str">
        <f t="array" ref="N298">_xlfn.IFNA((INDEX('DMR 001C TIN &amp; TP'!$A$3:$M$10005,MATCH(('Reg 85'!$I$6:$Q$6&amp;'Reg 85'!$M$10&amp;'Reg 85'!$B298),('DMR 001C TIN &amp; TP'!$E$3:$E$10005&amp;'DMR 001C TIN &amp; TP'!$B$3:$B$10005&amp;'DMR 001C TIN &amp; TP'!$A$3:$A$10005),0),MATCH('Reg 85'!$N$11,'DMR 001C TIN &amp; TP'!$A$2:$M$2,0))),"")</f>
        <v>0.15</v>
      </c>
      <c r="O298" s="6">
        <f t="array" ref="O298">_xlfn.IFNA((INDEX('DMR 001C TIN &amp; TP'!$A$3:$M$10005,MATCH(('Reg 85'!$I$6:$Q$6&amp;'Reg 85'!$M$10&amp;'Reg 85'!$B298),('DMR 001C TIN &amp; TP'!$E$3:$E$10005&amp;'DMR 001C TIN &amp; TP'!$B$3:$B$10005&amp;'DMR 001C TIN &amp; TP'!$A$3:$A$10005),0),MATCH('Reg 85'!$O$11,'DMR 001C TIN &amp; TP'!$A$2:$M$2,0))),"")</f>
        <v>1.08</v>
      </c>
      <c r="P298" s="53">
        <f t="shared" si="112"/>
        <v>1.08</v>
      </c>
      <c r="Q298" s="73">
        <f t="array" ref="Q298">IFERROR(((L298*$F298)+(P298*$G298))/($H298),"")</f>
        <v>1.0741124150786723</v>
      </c>
      <c r="R298" s="6" t="str">
        <f t="array" ref="R298">_xlfn.IFNA((INDEX('DMR 001C TIN &amp; TP'!$A$3:$M$10005,MATCH(('Reg 85'!$I$6:$Q$6&amp;'Reg 85'!R$10&amp;'Reg 85'!$B298),('DMR 001C TIN &amp; TP'!$E$3:$E$10005&amp;'DMR 001C TIN &amp; TP'!$B$3:$B$10005&amp;'DMR 001C TIN &amp; TP'!$A$3:$A$10005),0),MATCH('Reg 85'!$O$11,'DMR 001C TIN &amp; TP'!$A$2:$M$2,0))),"")</f>
        <v/>
      </c>
      <c r="S298" s="6" t="str">
        <f t="array" ref="S298">_xlfn.IFNA((INDEX('DMR 001C TIN &amp; TP'!$A$3:$M$10005,MATCH(('Reg 85'!$I$6:$Q$6&amp;'Reg 85'!S$10&amp;'Reg 85'!$B298),('DMR 001C TIN &amp; TP'!$E$3:$E$10005&amp;'DMR 001C TIN &amp; TP'!$B$3:$B$10005&amp;'DMR 001C TIN &amp; TP'!$A$3:$A$10005),0),MATCH('Reg 85'!$O$11,'DMR 001C TIN &amp; TP'!$A$2:$M$2,0))),"")</f>
        <v/>
      </c>
      <c r="T298" s="6" t="str">
        <f t="array" ref="T298">_xlfn.IFNA((INDEX('DMR 001C TIN &amp; TP'!$A$3:$M$10005,MATCH(('Reg 85'!$I$6:$Q$6&amp;'Reg 85'!T$10&amp;'Reg 85'!$B298),('DMR 001C TIN &amp; TP'!$E$3:$E$10005&amp;'DMR 001C TIN &amp; TP'!$B$3:$B$10005&amp;'DMR 001C TIN &amp; TP'!$A$3:$A$10005),0),MATCH('Reg 85'!$O$11,'DMR 001C TIN &amp; TP'!$A$2:$M$2,0))),"")</f>
        <v/>
      </c>
      <c r="U298" s="6" t="str">
        <f t="array" ref="U298">_xlfn.IFNA((INDEX('DMR 001C TIN &amp; TP'!$A$3:$M$10005,MATCH(('Reg 85'!$I$6:$Q$6&amp;'Reg 85'!U$10&amp;'Reg 85'!$B298),('DMR 001C TIN &amp; TP'!$E$3:$E$10005&amp;'DMR 001C TIN &amp; TP'!$B$3:$B$10005&amp;'DMR 001C TIN &amp; TP'!$A$3:$A$10005),0),MATCH('Reg 85'!$O$11,'DMR 001C TIN &amp; TP'!$A$2:$M$2,0))),"")</f>
        <v/>
      </c>
      <c r="V298" s="6" t="str">
        <f t="array" ref="V298">_xlfn.IFNA((INDEX('DMR 001C TIN &amp; TP'!$A$3:$M$10005,MATCH(('Reg 85'!$I$6:$Q$6&amp;'Reg 85'!V$10&amp;'Reg 85'!$B298),('DMR 001C TIN &amp; TP'!$E$3:$E$10005&amp;'DMR 001C TIN &amp; TP'!$B$3:$B$10005&amp;'DMR 001C TIN &amp; TP'!$A$3:$A$10005),0),MATCH('Reg 85'!$O$11,'DMR 001C TIN &amp; TP'!$A$2:$M$2,0))),"")</f>
        <v/>
      </c>
      <c r="W298" s="6" t="str">
        <f t="array" ref="W298">_xlfn.IFNA((INDEX('DMR 001C TIN &amp; TP'!$A$3:$M$10005,MATCH(('Reg 85'!$I$6:$Q$6&amp;'Reg 85'!W$10&amp;'Reg 85'!$B298),('DMR 001C TIN &amp; TP'!$E$3:$E$10005&amp;'DMR 001C TIN &amp; TP'!$B$3:$B$10005&amp;'DMR 001C TIN &amp; TP'!$A$3:$A$10005),0),MATCH('Reg 85'!$O$11,'DMR 001C TIN &amp; TP'!$A$2:$M$2,0))),"")</f>
        <v/>
      </c>
      <c r="X298" s="5" t="str">
        <f t="shared" si="113"/>
        <v/>
      </c>
      <c r="Y298" s="6" t="str">
        <f t="array" ref="Y298">_xlfn.IFNA((INDEX('DMR 001C TIN &amp; TP'!$A$3:$M$10005,MATCH(('Reg 85'!$X$6&amp;'Reg 85'!$X$10&amp;'Reg 85'!$B298),('DMR 001C TIN &amp; TP'!$E$3:$E$10005&amp;'DMR 001C TIN &amp; TP'!$B$3:$B$10005&amp;'DMR 001C TIN &amp; TP'!$A$3:$A$10005),0),MATCH('Reg 85'!$Y$11,'DMR 001C TIN &amp; TP'!$A$2:$M$2,0))),"")</f>
        <v>0.06</v>
      </c>
      <c r="Z298" s="6">
        <f t="array" ref="Z298">_xlfn.IFNA((INDEX('DMR 001C TIN &amp; TP'!$A$3:$M$10005,MATCH(('Reg 85'!$X$6&amp;'Reg 85'!$X$10&amp;'Reg 85'!$B298),('DMR 001C TIN &amp; TP'!$E$3:$E$10005&amp;'DMR 001C TIN &amp; TP'!$B$3:$B$10005&amp;'DMR 001C TIN &amp; TP'!$A$3:$A$10005),0),MATCH('Reg 85'!$Z$11,'DMR 001C TIN &amp; TP'!$A$2:$M$2,0))),"")</f>
        <v>4.34</v>
      </c>
      <c r="AA298" s="53">
        <f t="shared" si="114"/>
        <v>4.34</v>
      </c>
      <c r="AB298" s="5" t="str">
        <f t="shared" si="115"/>
        <v/>
      </c>
      <c r="AC298" s="6" t="str">
        <f t="array" ref="AC298">_xlfn.IFNA((INDEX('DMR 001C TIN &amp; TP'!$A$3:$M$10005,MATCH(('Reg 85'!$X$6&amp;'Reg 85'!$AB$10&amp;'Reg 85'!$B298),('DMR 001C TIN &amp; TP'!$E$3:$E$10005&amp;'DMR 001C TIN &amp; TP'!$B$3:$B$10005&amp;'DMR 001C TIN &amp; TP'!$A$3:$A$10005),0),MATCH('Reg 85'!$AC$11,'DMR 001C TIN &amp; TP'!$A$2:$M$2,0))),"")</f>
        <v>0.06</v>
      </c>
      <c r="AD298" s="6">
        <f t="array" ref="AD298">_xlfn.IFNA((INDEX('DMR 001C TIN &amp; TP'!$A$3:$M$10005,MATCH(('Reg 85'!$X$6&amp;'Reg 85'!$AB$10&amp;'Reg 85'!$B298),('DMR 001C TIN &amp; TP'!$E$3:$E$10005&amp;'DMR 001C TIN &amp; TP'!$B$3:$B$10005&amp;'DMR 001C TIN &amp; TP'!$A$3:$A$10005),0),MATCH('Reg 85'!$AD$11,'DMR 001C TIN &amp; TP'!$A$2:$M$2,0))),"")</f>
        <v>6.09</v>
      </c>
      <c r="AE298" s="53">
        <f t="shared" si="116"/>
        <v>6.09</v>
      </c>
      <c r="AF298" s="7">
        <f t="shared" si="117"/>
        <v>5.0596726387676529</v>
      </c>
      <c r="AG298" s="6" t="str">
        <f t="array" ref="AG298">_xlfn.IFNA((INDEX('DMR 001C TIN &amp; TP'!$A$3:$M$10005,MATCH(('Reg 85'!$X$6&amp;'Reg 85'!AG$10&amp;'Reg 85'!$B298),('DMR 001C TIN &amp; TP'!$E$3:$E$10005&amp;'DMR 001C TIN &amp; TP'!$B$3:$B$10005&amp;'DMR 001C TIN &amp; TP'!$A$3:$A$10005),0),MATCH('Reg 85'!$AG$11,'DMR 001C TIN &amp; TP'!$A$2:$M$2,0))),"")</f>
        <v/>
      </c>
      <c r="AH298" s="6" t="str">
        <f t="array" ref="AH298">_xlfn.IFNA((INDEX('DMR 001C TIN &amp; TP'!$A$3:$M$10005,MATCH(('Reg 85'!$X$6&amp;'Reg 85'!AH$10&amp;'Reg 85'!$B298),('DMR 001C TIN &amp; TP'!$E$3:$E$10005&amp;'DMR 001C TIN &amp; TP'!$B$3:$B$10005&amp;'DMR 001C TIN &amp; TP'!$A$3:$A$10005),0),MATCH('Reg 85'!$AG$11,'DMR 001C TIN &amp; TP'!$A$2:$M$2,0))),"")</f>
        <v/>
      </c>
      <c r="AI298" s="6" t="str">
        <f t="array" ref="AI298">_xlfn.IFNA((INDEX('DMR 001C TIN &amp; TP'!$A$3:$M$10005,MATCH(('Reg 85'!$X$6&amp;'Reg 85'!AI$10&amp;'Reg 85'!$B298),('DMR 001C TIN &amp; TP'!$E$3:$E$10005&amp;'DMR 001C TIN &amp; TP'!$B$3:$B$10005&amp;'DMR 001C TIN &amp; TP'!$A$3:$A$10005),0),MATCH('Reg 85'!$AG$11,'DMR 001C TIN &amp; TP'!$A$2:$M$2,0))),"")</f>
        <v/>
      </c>
      <c r="AJ298" s="6" t="str">
        <f t="array" ref="AJ298">_xlfn.IFNA((INDEX('DMR 001C TIN &amp; TP'!$A$3:$M$10005,MATCH(('Reg 85'!$X$6&amp;'Reg 85'!AJ$10&amp;'Reg 85'!$B298),('DMR 001C TIN &amp; TP'!$E$3:$E$10005&amp;'DMR 001C TIN &amp; TP'!$B$3:$B$10005&amp;'DMR 001C TIN &amp; TP'!$A$3:$A$10005),0),MATCH('Reg 85'!$AG$11,'DMR 001C TIN &amp; TP'!$A$2:$M$2,0))),"")</f>
        <v/>
      </c>
      <c r="AK298" s="6" t="str">
        <f t="array" ref="AK298">_xlfn.IFNA((INDEX('DMR 001C TIN &amp; TP'!$A$3:$M$10005,MATCH(('Reg 85'!$X$6&amp;'Reg 85'!AK$10&amp;'Reg 85'!$B298),('DMR 001C TIN &amp; TP'!$E$3:$E$10005&amp;'DMR 001C TIN &amp; TP'!$B$3:$B$10005&amp;'DMR 001C TIN &amp; TP'!$A$3:$A$10005),0),MATCH('Reg 85'!$AG$11,'DMR 001C TIN &amp; TP'!$A$2:$M$2,0))),"")</f>
        <v/>
      </c>
      <c r="AL298" s="6" t="str">
        <f t="array" ref="AL298">_xlfn.IFNA((INDEX('DMR 001C TIN &amp; TP'!$A$3:$M$10005,MATCH(('Reg 85'!$X$6&amp;'Reg 85'!AL$10&amp;'Reg 85'!$B298),('DMR 001C TIN &amp; TP'!$E$3:$E$10005&amp;'DMR 001C TIN &amp; TP'!$B$3:$B$10005&amp;'DMR 001C TIN &amp; TP'!$A$3:$A$10005),0),MATCH('Reg 85'!$AG$11,'DMR 001C TIN &amp; TP'!$A$2:$M$2,0))),"")</f>
        <v/>
      </c>
      <c r="AM298" s="76"/>
      <c r="AN298" s="6"/>
      <c r="AO298" s="54">
        <f t="shared" si="104"/>
        <v>6.1337850538463252</v>
      </c>
      <c r="AP298" s="77" t="str">
        <f t="shared" ref="AP298:AP361" si="123">IF(COUNT(IF((B269:B298&lt;=C298)*(B269:B298&gt;=D298)*(B298=EOMONTH(B298,0)),AO269:AO298,""))=0,"",COUNT(IF((B269:B298&lt;=C298)*(B269:B298&gt;=D298)*(B298=EOMONTH(B298,0)),AO269:AO298,"")))</f>
        <v/>
      </c>
      <c r="AQ298" s="47"/>
      <c r="AR298" s="6" t="str">
        <f t="array" ref="AR298">_xlfn.IFNA((INDEX('DMR 001C TIN &amp; TP'!$A$3:$M$10005,MATCH(('Reg 85'!$AQ$6&amp;'Reg 85'!$AQ$10&amp;'Reg 85'!$B298),('DMR 001C TIN &amp; TP'!$E$3:$E$10005&amp;'DMR 001C TIN &amp; TP'!$B$3:$B$10005&amp;'DMR 001C TIN &amp; TP'!$A$3:$A$10005),0),MATCH('Reg 85'!$AR$11,'DMR 001C TIN &amp; TP'!$A$2:$M$2,0))),"")</f>
        <v/>
      </c>
      <c r="AS298" s="6" t="str">
        <f t="array" ref="AS298">_xlfn.IFNA((INDEX('DMR 001C TIN &amp; TP'!$A$3:$M$10005,MATCH(('Reg 85'!$AQ$6&amp;'Reg 85'!$AQ$10&amp;'Reg 85'!$B298),('DMR 001C TIN &amp; TP'!$E$3:$E$10005&amp;'DMR 001C TIN &amp; TP'!$B$3:$B$10005&amp;'DMR 001C TIN &amp; TP'!$A$3:$A$10005),0),MATCH('Reg 85'!$AS$11,'DMR 001C TIN &amp; TP'!$A$2:$M$2,0))),"")</f>
        <v/>
      </c>
      <c r="AT298" s="53" t="str">
        <f t="shared" si="118"/>
        <v/>
      </c>
      <c r="AV298" s="6" t="str">
        <f t="array" ref="AV298">_xlfn.IFNA((INDEX('DMR 001C TIN &amp; TP'!$A$3:$M$10005,MATCH(('Reg 85'!$AQ$6&amp;'Reg 85'!$AU$10&amp;'Reg 85'!$B298),('DMR 001C TIN &amp; TP'!$E$3:$E$10005&amp;'DMR 001C TIN &amp; TP'!$B$3:$B$10005&amp;'DMR 001C TIN &amp; TP'!$A$3:$A$10005),0),MATCH('Reg 85'!$AV$11,'DMR 001C TIN &amp; TP'!$A$2:$M$2,0))),"")</f>
        <v/>
      </c>
      <c r="AW298" s="6" t="str">
        <f t="array" ref="AW298">_xlfn.IFNA((INDEX('DMR 001C TIN &amp; TP'!$A$3:$M$10005,MATCH(('Reg 85'!$AQ$6&amp;'Reg 85'!$AU$10&amp;'Reg 85'!$B298),('DMR 001C TIN &amp; TP'!$E$3:$E$10005&amp;'DMR 001C TIN &amp; TP'!$B$3:$B$10005&amp;'DMR 001C TIN &amp; TP'!$A$3:$A$10005),0),MATCH('Reg 85'!$AW$11,'DMR 001C TIN &amp; TP'!$A$2:$M$2,0))),"")</f>
        <v/>
      </c>
      <c r="AX298" s="53" t="str">
        <f t="shared" si="119"/>
        <v/>
      </c>
      <c r="AY298" s="55" t="str">
        <f t="shared" si="120"/>
        <v/>
      </c>
      <c r="AZ298" s="77" t="str">
        <f t="shared" si="103"/>
        <v/>
      </c>
      <c r="BA298" s="6" t="str">
        <f t="array" ref="BA298">_xlfn.IFNA((INDEX('DMR 001C TIN &amp; TP'!$A$3:$M$10005,MATCH(('Reg 85'!$AQ$6&amp;'Reg 85'!BA$10&amp;'Reg 85'!$B298),('DMR 001C TIN &amp; TP'!$E$3:$E$10005&amp;'DMR 001C TIN &amp; TP'!$B$3:$B$10005&amp;'DMR 001C TIN &amp; TP'!$A$3:$A$10005),0),MATCH('Reg 85'!$AG$11,'DMR 001C TIN &amp; TP'!$A$2:$M$2,0))),"")</f>
        <v/>
      </c>
      <c r="BB298" s="6" t="str">
        <f t="array" ref="BB298">_xlfn.IFNA((INDEX('DMR 001C TIN &amp; TP'!$A$3:$M$10005,MATCH(('Reg 85'!$AQ$6&amp;'Reg 85'!BB$10&amp;'Reg 85'!$B298),('DMR 001C TIN &amp; TP'!$E$3:$E$10005&amp;'DMR 001C TIN &amp; TP'!$B$3:$B$10005&amp;'DMR 001C TIN &amp; TP'!$A$3:$A$10005),0),MATCH('Reg 85'!$AG$11,'DMR 001C TIN &amp; TP'!$A$2:$M$2,0))),"")</f>
        <v/>
      </c>
      <c r="BC298" s="6" t="str">
        <f t="array" ref="BC298">_xlfn.IFNA((INDEX('DMR 001C TIN &amp; TP'!$A$3:$M$10005,MATCH(('Reg 85'!$AQ$6&amp;'Reg 85'!BC$10&amp;'Reg 85'!$B298),('DMR 001C TIN &amp; TP'!$E$3:$E$10005&amp;'DMR 001C TIN &amp; TP'!$B$3:$B$10005&amp;'DMR 001C TIN &amp; TP'!$A$3:$A$10005),0),MATCH('Reg 85'!$AG$11,'DMR 001C TIN &amp; TP'!$A$2:$M$2,0))),"")</f>
        <v/>
      </c>
      <c r="BD298" s="6" t="str">
        <f t="array" ref="BD298">_xlfn.IFNA((INDEX('DMR 001C TIN &amp; TP'!$A$3:$M$10005,MATCH(('Reg 85'!$AQ$6&amp;'Reg 85'!BD$10&amp;'Reg 85'!$B298),('DMR 001C TIN &amp; TP'!$E$3:$E$10005&amp;'DMR 001C TIN &amp; TP'!$B$3:$B$10005&amp;'DMR 001C TIN &amp; TP'!$A$3:$A$10005),0),MATCH('Reg 85'!$AG$11,'DMR 001C TIN &amp; TP'!$A$2:$M$2,0))),"")</f>
        <v/>
      </c>
      <c r="BE298" s="6" t="str">
        <f t="array" ref="BE298">_xlfn.IFNA((INDEX('DMR 001C TIN &amp; TP'!$A$3:$M$10005,MATCH(('Reg 85'!$AQ$6&amp;'Reg 85'!BE$10&amp;'Reg 85'!$B298),('DMR 001C TIN &amp; TP'!$E$3:$E$10005&amp;'DMR 001C TIN &amp; TP'!$B$3:$B$10005&amp;'DMR 001C TIN &amp; TP'!$A$3:$A$10005),0),MATCH('Reg 85'!$AG$11,'DMR 001C TIN &amp; TP'!$A$2:$M$2,0))),"")</f>
        <v/>
      </c>
      <c r="BF298" s="6" t="str">
        <f t="array" ref="BF298">_xlfn.IFNA((INDEX('DMR 001C TIN &amp; TP'!$A$3:$M$10005,MATCH(('Reg 85'!$AQ$6&amp;'Reg 85'!BF$10&amp;'Reg 85'!$B298),('DMR 001C TIN &amp; TP'!$E$3:$E$10005&amp;'DMR 001C TIN &amp; TP'!$B$3:$B$10005&amp;'DMR 001C TIN &amp; TP'!$A$3:$A$10005),0),MATCH('Reg 85'!$AG$11,'DMR 001C TIN &amp; TP'!$A$2:$M$2,0))),"")</f>
        <v/>
      </c>
    </row>
    <row r="299" spans="1:58">
      <c r="A299" s="3" t="str">
        <f t="shared" si="105"/>
        <v>Sat</v>
      </c>
      <c r="B299" s="96">
        <f t="shared" si="121"/>
        <v>43631</v>
      </c>
      <c r="C299" s="96">
        <f t="shared" si="106"/>
        <v>43646</v>
      </c>
      <c r="D299" s="96">
        <f t="shared" si="107"/>
        <v>43617</v>
      </c>
      <c r="E299" s="95">
        <f t="shared" si="108"/>
        <v>30</v>
      </c>
      <c r="F299" s="7">
        <f t="array" ref="F299">_xlfn.IFNA(INDEX('DMR Flows-Effluent'!$A$3:$F$9999,MATCH(($F$10&amp;$B299),('DMR Flows-Effluent'!$B$3:$B$9999&amp;'DMR Flows-Effluent'!$A$3:$A$9999),0),MATCH($F$8,'DMR Flows-Effluent'!$A$2:$F$2,0)),"")</f>
        <v>68.995999999999995</v>
      </c>
      <c r="G299" s="7">
        <f t="array" ref="G299">_xlfn.IFNA(INDEX('DMR Flows-Effluent'!$A$3:$F$9999,MATCH(($G$10&amp;$B299),('DMR Flows-Effluent'!$B$3:$B$9999&amp;'DMR Flows-Effluent'!$A$3:$A$9999),0),MATCH($F$8,'DMR Flows-Effluent'!$A$2:$F$2,0)),"")</f>
        <v>58.573700000000002</v>
      </c>
      <c r="H299" s="7">
        <f t="shared" si="109"/>
        <v>127.5697</v>
      </c>
      <c r="I299" s="45" t="str">
        <f t="shared" si="110"/>
        <v/>
      </c>
      <c r="J299" s="6" t="str">
        <f t="array" ref="J299">_xlfn.IFNA((INDEX('DMR 001C TIN &amp; TP'!$A$3:$M$10005,MATCH(('Reg 85'!$I$6:$Q$6&amp;'Reg 85'!$I$10:$K$10&amp;'Reg 85'!$B299),('DMR 001C TIN &amp; TP'!$E$3:$E$10005&amp;'DMR 001C TIN &amp; TP'!$B$3:$B$10005&amp;'DMR 001C TIN &amp; TP'!$A$3:$A$10005),0),MATCH('Reg 85'!$J$11,'DMR 001C TIN &amp; TP'!$A$2:$M$2,0))),"")</f>
        <v>0.15</v>
      </c>
      <c r="K299" s="6">
        <f t="array" ref="K299">_xlfn.IFNA((INDEX('DMR 001C TIN &amp; TP'!$A$3:$M$10005,MATCH(('Reg 85'!$I$6:$Q$6&amp;'Reg 85'!$I$10:$K$10&amp;'Reg 85'!$B299),('DMR 001C TIN &amp; TP'!$E$3:$E$10005&amp;'DMR 001C TIN &amp; TP'!$B$3:$B$10005&amp;'DMR 001C TIN &amp; TP'!$A$3:$A$10005),0),MATCH('Reg 85'!$K$11,'DMR 001C TIN &amp; TP'!$A$2:$M$2,0))),"")</f>
        <v>1.23</v>
      </c>
      <c r="L299" s="53">
        <f t="shared" si="122"/>
        <v>1.23</v>
      </c>
      <c r="M299" s="5" t="str">
        <f t="shared" si="111"/>
        <v/>
      </c>
      <c r="N299" s="6" t="str">
        <f t="array" ref="N299">_xlfn.IFNA((INDEX('DMR 001C TIN &amp; TP'!$A$3:$M$10005,MATCH(('Reg 85'!$I$6:$Q$6&amp;'Reg 85'!$M$10&amp;'Reg 85'!$B299),('DMR 001C TIN &amp; TP'!$E$3:$E$10005&amp;'DMR 001C TIN &amp; TP'!$B$3:$B$10005&amp;'DMR 001C TIN &amp; TP'!$A$3:$A$10005),0),MATCH('Reg 85'!$N$11,'DMR 001C TIN &amp; TP'!$A$2:$M$2,0))),"")</f>
        <v>0.15</v>
      </c>
      <c r="O299" s="6">
        <f t="array" ref="O299">_xlfn.IFNA((INDEX('DMR 001C TIN &amp; TP'!$A$3:$M$10005,MATCH(('Reg 85'!$I$6:$Q$6&amp;'Reg 85'!$M$10&amp;'Reg 85'!$B299),('DMR 001C TIN &amp; TP'!$E$3:$E$10005&amp;'DMR 001C TIN &amp; TP'!$B$3:$B$10005&amp;'DMR 001C TIN &amp; TP'!$A$3:$A$10005),0),MATCH('Reg 85'!$O$11,'DMR 001C TIN &amp; TP'!$A$2:$M$2,0))),"")</f>
        <v>1.3</v>
      </c>
      <c r="P299" s="53">
        <f t="shared" si="112"/>
        <v>1.3</v>
      </c>
      <c r="Q299" s="73">
        <f t="array" ref="Q299">IFERROR(((L299*$F299)+(P299*$G299))/($H299),"")</f>
        <v>1.2621405396422507</v>
      </c>
      <c r="R299" s="6" t="str">
        <f t="array" ref="R299">_xlfn.IFNA((INDEX('DMR 001C TIN &amp; TP'!$A$3:$M$10005,MATCH(('Reg 85'!$I$6:$Q$6&amp;'Reg 85'!R$10&amp;'Reg 85'!$B299),('DMR 001C TIN &amp; TP'!$E$3:$E$10005&amp;'DMR 001C TIN &amp; TP'!$B$3:$B$10005&amp;'DMR 001C TIN &amp; TP'!$A$3:$A$10005),0),MATCH('Reg 85'!$O$11,'DMR 001C TIN &amp; TP'!$A$2:$M$2,0))),"")</f>
        <v/>
      </c>
      <c r="S299" s="6" t="str">
        <f t="array" ref="S299">_xlfn.IFNA((INDEX('DMR 001C TIN &amp; TP'!$A$3:$M$10005,MATCH(('Reg 85'!$I$6:$Q$6&amp;'Reg 85'!S$10&amp;'Reg 85'!$B299),('DMR 001C TIN &amp; TP'!$E$3:$E$10005&amp;'DMR 001C TIN &amp; TP'!$B$3:$B$10005&amp;'DMR 001C TIN &amp; TP'!$A$3:$A$10005),0),MATCH('Reg 85'!$O$11,'DMR 001C TIN &amp; TP'!$A$2:$M$2,0))),"")</f>
        <v/>
      </c>
      <c r="T299" s="6" t="str">
        <f t="array" ref="T299">_xlfn.IFNA((INDEX('DMR 001C TIN &amp; TP'!$A$3:$M$10005,MATCH(('Reg 85'!$I$6:$Q$6&amp;'Reg 85'!T$10&amp;'Reg 85'!$B299),('DMR 001C TIN &amp; TP'!$E$3:$E$10005&amp;'DMR 001C TIN &amp; TP'!$B$3:$B$10005&amp;'DMR 001C TIN &amp; TP'!$A$3:$A$10005),0),MATCH('Reg 85'!$O$11,'DMR 001C TIN &amp; TP'!$A$2:$M$2,0))),"")</f>
        <v/>
      </c>
      <c r="U299" s="6" t="str">
        <f t="array" ref="U299">_xlfn.IFNA((INDEX('DMR 001C TIN &amp; TP'!$A$3:$M$10005,MATCH(('Reg 85'!$I$6:$Q$6&amp;'Reg 85'!U$10&amp;'Reg 85'!$B299),('DMR 001C TIN &amp; TP'!$E$3:$E$10005&amp;'DMR 001C TIN &amp; TP'!$B$3:$B$10005&amp;'DMR 001C TIN &amp; TP'!$A$3:$A$10005),0),MATCH('Reg 85'!$O$11,'DMR 001C TIN &amp; TP'!$A$2:$M$2,0))),"")</f>
        <v/>
      </c>
      <c r="V299" s="6" t="str">
        <f t="array" ref="V299">_xlfn.IFNA((INDEX('DMR 001C TIN &amp; TP'!$A$3:$M$10005,MATCH(('Reg 85'!$I$6:$Q$6&amp;'Reg 85'!V$10&amp;'Reg 85'!$B299),('DMR 001C TIN &amp; TP'!$E$3:$E$10005&amp;'DMR 001C TIN &amp; TP'!$B$3:$B$10005&amp;'DMR 001C TIN &amp; TP'!$A$3:$A$10005),0),MATCH('Reg 85'!$O$11,'DMR 001C TIN &amp; TP'!$A$2:$M$2,0))),"")</f>
        <v/>
      </c>
      <c r="W299" s="6" t="str">
        <f t="array" ref="W299">_xlfn.IFNA((INDEX('DMR 001C TIN &amp; TP'!$A$3:$M$10005,MATCH(('Reg 85'!$I$6:$Q$6&amp;'Reg 85'!W$10&amp;'Reg 85'!$B299),('DMR 001C TIN &amp; TP'!$E$3:$E$10005&amp;'DMR 001C TIN &amp; TP'!$B$3:$B$10005&amp;'DMR 001C TIN &amp; TP'!$A$3:$A$10005),0),MATCH('Reg 85'!$O$11,'DMR 001C TIN &amp; TP'!$A$2:$M$2,0))),"")</f>
        <v/>
      </c>
      <c r="X299" s="5" t="str">
        <f t="shared" si="113"/>
        <v/>
      </c>
      <c r="Y299" s="6" t="str">
        <f t="array" ref="Y299">_xlfn.IFNA((INDEX('DMR 001C TIN &amp; TP'!$A$3:$M$10005,MATCH(('Reg 85'!$X$6&amp;'Reg 85'!$X$10&amp;'Reg 85'!$B299),('DMR 001C TIN &amp; TP'!$E$3:$E$10005&amp;'DMR 001C TIN &amp; TP'!$B$3:$B$10005&amp;'DMR 001C TIN &amp; TP'!$A$3:$A$10005),0),MATCH('Reg 85'!$Y$11,'DMR 001C TIN &amp; TP'!$A$2:$M$2,0))),"")</f>
        <v>0.06</v>
      </c>
      <c r="Z299" s="6">
        <f t="array" ref="Z299">_xlfn.IFNA((INDEX('DMR 001C TIN &amp; TP'!$A$3:$M$10005,MATCH(('Reg 85'!$X$6&amp;'Reg 85'!$X$10&amp;'Reg 85'!$B299),('DMR 001C TIN &amp; TP'!$E$3:$E$10005&amp;'DMR 001C TIN &amp; TP'!$B$3:$B$10005&amp;'DMR 001C TIN &amp; TP'!$A$3:$A$10005),0),MATCH('Reg 85'!$Z$11,'DMR 001C TIN &amp; TP'!$A$2:$M$2,0))),"")</f>
        <v>4.62</v>
      </c>
      <c r="AA299" s="53">
        <f t="shared" si="114"/>
        <v>4.62</v>
      </c>
      <c r="AB299" s="5" t="str">
        <f t="shared" si="115"/>
        <v/>
      </c>
      <c r="AC299" s="6" t="str">
        <f t="array" ref="AC299">_xlfn.IFNA((INDEX('DMR 001C TIN &amp; TP'!$A$3:$M$10005,MATCH(('Reg 85'!$X$6&amp;'Reg 85'!$AB$10&amp;'Reg 85'!$B299),('DMR 001C TIN &amp; TP'!$E$3:$E$10005&amp;'DMR 001C TIN &amp; TP'!$B$3:$B$10005&amp;'DMR 001C TIN &amp; TP'!$A$3:$A$10005),0),MATCH('Reg 85'!$AC$11,'DMR 001C TIN &amp; TP'!$A$2:$M$2,0))),"")</f>
        <v>0.06</v>
      </c>
      <c r="AD299" s="6">
        <f t="array" ref="AD299">_xlfn.IFNA((INDEX('DMR 001C TIN &amp; TP'!$A$3:$M$10005,MATCH(('Reg 85'!$X$6&amp;'Reg 85'!$AB$10&amp;'Reg 85'!$B299),('DMR 001C TIN &amp; TP'!$E$3:$E$10005&amp;'DMR 001C TIN &amp; TP'!$B$3:$B$10005&amp;'DMR 001C TIN &amp; TP'!$A$3:$A$10005),0),MATCH('Reg 85'!$AD$11,'DMR 001C TIN &amp; TP'!$A$2:$M$2,0))),"")</f>
        <v>6.8</v>
      </c>
      <c r="AE299" s="53">
        <f t="shared" si="116"/>
        <v>6.8</v>
      </c>
      <c r="AF299" s="7">
        <f t="shared" si="117"/>
        <v>5.6209482345729436</v>
      </c>
      <c r="AG299" s="6" t="str">
        <f t="array" ref="AG299">_xlfn.IFNA((INDEX('DMR 001C TIN &amp; TP'!$A$3:$M$10005,MATCH(('Reg 85'!$X$6&amp;'Reg 85'!AG$10&amp;'Reg 85'!$B299),('DMR 001C TIN &amp; TP'!$E$3:$E$10005&amp;'DMR 001C TIN &amp; TP'!$B$3:$B$10005&amp;'DMR 001C TIN &amp; TP'!$A$3:$A$10005),0),MATCH('Reg 85'!$AG$11,'DMR 001C TIN &amp; TP'!$A$2:$M$2,0))),"")</f>
        <v/>
      </c>
      <c r="AH299" s="6" t="str">
        <f t="array" ref="AH299">_xlfn.IFNA((INDEX('DMR 001C TIN &amp; TP'!$A$3:$M$10005,MATCH(('Reg 85'!$X$6&amp;'Reg 85'!AH$10&amp;'Reg 85'!$B299),('DMR 001C TIN &amp; TP'!$E$3:$E$10005&amp;'DMR 001C TIN &amp; TP'!$B$3:$B$10005&amp;'DMR 001C TIN &amp; TP'!$A$3:$A$10005),0),MATCH('Reg 85'!$AG$11,'DMR 001C TIN &amp; TP'!$A$2:$M$2,0))),"")</f>
        <v/>
      </c>
      <c r="AI299" s="6" t="str">
        <f t="array" ref="AI299">_xlfn.IFNA((INDEX('DMR 001C TIN &amp; TP'!$A$3:$M$10005,MATCH(('Reg 85'!$X$6&amp;'Reg 85'!AI$10&amp;'Reg 85'!$B299),('DMR 001C TIN &amp; TP'!$E$3:$E$10005&amp;'DMR 001C TIN &amp; TP'!$B$3:$B$10005&amp;'DMR 001C TIN &amp; TP'!$A$3:$A$10005),0),MATCH('Reg 85'!$AG$11,'DMR 001C TIN &amp; TP'!$A$2:$M$2,0))),"")</f>
        <v/>
      </c>
      <c r="AJ299" s="6" t="str">
        <f t="array" ref="AJ299">_xlfn.IFNA((INDEX('DMR 001C TIN &amp; TP'!$A$3:$M$10005,MATCH(('Reg 85'!$X$6&amp;'Reg 85'!AJ$10&amp;'Reg 85'!$B299),('DMR 001C TIN &amp; TP'!$E$3:$E$10005&amp;'DMR 001C TIN &amp; TP'!$B$3:$B$10005&amp;'DMR 001C TIN &amp; TP'!$A$3:$A$10005),0),MATCH('Reg 85'!$AG$11,'DMR 001C TIN &amp; TP'!$A$2:$M$2,0))),"")</f>
        <v/>
      </c>
      <c r="AK299" s="6" t="str">
        <f t="array" ref="AK299">_xlfn.IFNA((INDEX('DMR 001C TIN &amp; TP'!$A$3:$M$10005,MATCH(('Reg 85'!$X$6&amp;'Reg 85'!AK$10&amp;'Reg 85'!$B299),('DMR 001C TIN &amp; TP'!$E$3:$E$10005&amp;'DMR 001C TIN &amp; TP'!$B$3:$B$10005&amp;'DMR 001C TIN &amp; TP'!$A$3:$A$10005),0),MATCH('Reg 85'!$AG$11,'DMR 001C TIN &amp; TP'!$A$2:$M$2,0))),"")</f>
        <v/>
      </c>
      <c r="AL299" s="6" t="str">
        <f t="array" ref="AL299">_xlfn.IFNA((INDEX('DMR 001C TIN &amp; TP'!$A$3:$M$10005,MATCH(('Reg 85'!$X$6&amp;'Reg 85'!AL$10&amp;'Reg 85'!$B299),('DMR 001C TIN &amp; TP'!$E$3:$E$10005&amp;'DMR 001C TIN &amp; TP'!$B$3:$B$10005&amp;'DMR 001C TIN &amp; TP'!$A$3:$A$10005),0),MATCH('Reg 85'!$AG$11,'DMR 001C TIN &amp; TP'!$A$2:$M$2,0))),"")</f>
        <v/>
      </c>
      <c r="AM299" s="76"/>
      <c r="AN299" s="6"/>
      <c r="AO299" s="54">
        <f t="shared" si="104"/>
        <v>6.8830887742151941</v>
      </c>
      <c r="AP299" s="77" t="str">
        <f t="shared" si="123"/>
        <v/>
      </c>
      <c r="AQ299" s="47"/>
      <c r="AR299" s="6" t="str">
        <f t="array" ref="AR299">_xlfn.IFNA((INDEX('DMR 001C TIN &amp; TP'!$A$3:$M$10005,MATCH(('Reg 85'!$AQ$6&amp;'Reg 85'!$AQ$10&amp;'Reg 85'!$B299),('DMR 001C TIN &amp; TP'!$E$3:$E$10005&amp;'DMR 001C TIN &amp; TP'!$B$3:$B$10005&amp;'DMR 001C TIN &amp; TP'!$A$3:$A$10005),0),MATCH('Reg 85'!$AR$11,'DMR 001C TIN &amp; TP'!$A$2:$M$2,0))),"")</f>
        <v/>
      </c>
      <c r="AS299" s="6" t="str">
        <f t="array" ref="AS299">_xlfn.IFNA((INDEX('DMR 001C TIN &amp; TP'!$A$3:$M$10005,MATCH(('Reg 85'!$AQ$6&amp;'Reg 85'!$AQ$10&amp;'Reg 85'!$B299),('DMR 001C TIN &amp; TP'!$E$3:$E$10005&amp;'DMR 001C TIN &amp; TP'!$B$3:$B$10005&amp;'DMR 001C TIN &amp; TP'!$A$3:$A$10005),0),MATCH('Reg 85'!$AS$11,'DMR 001C TIN &amp; TP'!$A$2:$M$2,0))),"")</f>
        <v/>
      </c>
      <c r="AT299" s="53" t="str">
        <f t="shared" si="118"/>
        <v/>
      </c>
      <c r="AV299" s="6" t="str">
        <f t="array" ref="AV299">_xlfn.IFNA((INDEX('DMR 001C TIN &amp; TP'!$A$3:$M$10005,MATCH(('Reg 85'!$AQ$6&amp;'Reg 85'!$AU$10&amp;'Reg 85'!$B299),('DMR 001C TIN &amp; TP'!$E$3:$E$10005&amp;'DMR 001C TIN &amp; TP'!$B$3:$B$10005&amp;'DMR 001C TIN &amp; TP'!$A$3:$A$10005),0),MATCH('Reg 85'!$AV$11,'DMR 001C TIN &amp; TP'!$A$2:$M$2,0))),"")</f>
        <v/>
      </c>
      <c r="AW299" s="6" t="str">
        <f t="array" ref="AW299">_xlfn.IFNA((INDEX('DMR 001C TIN &amp; TP'!$A$3:$M$10005,MATCH(('Reg 85'!$AQ$6&amp;'Reg 85'!$AU$10&amp;'Reg 85'!$B299),('DMR 001C TIN &amp; TP'!$E$3:$E$10005&amp;'DMR 001C TIN &amp; TP'!$B$3:$B$10005&amp;'DMR 001C TIN &amp; TP'!$A$3:$A$10005),0),MATCH('Reg 85'!$AW$11,'DMR 001C TIN &amp; TP'!$A$2:$M$2,0))),"")</f>
        <v/>
      </c>
      <c r="AX299" s="53" t="str">
        <f t="shared" si="119"/>
        <v/>
      </c>
      <c r="AY299" s="55" t="str">
        <f t="shared" si="120"/>
        <v/>
      </c>
      <c r="AZ299" s="77" t="str">
        <f t="shared" ref="AZ299:AZ362" si="124">IF(COUNT(IF((B269:B299&lt;=C299)*(B269:B299&gt;=D299)*(B299=EOMONTH(B299,0)),AY269:AY299,""))=0,"",COUNT(IF((B269:B299&lt;=C299)*(B269:B299&gt;=D299)*(B299=EOMONTH(B299,0)),AY269:AY299,"")))</f>
        <v/>
      </c>
      <c r="BA299" s="6" t="str">
        <f t="array" ref="BA299">_xlfn.IFNA((INDEX('DMR 001C TIN &amp; TP'!$A$3:$M$10005,MATCH(('Reg 85'!$AQ$6&amp;'Reg 85'!BA$10&amp;'Reg 85'!$B299),('DMR 001C TIN &amp; TP'!$E$3:$E$10005&amp;'DMR 001C TIN &amp; TP'!$B$3:$B$10005&amp;'DMR 001C TIN &amp; TP'!$A$3:$A$10005),0),MATCH('Reg 85'!$AG$11,'DMR 001C TIN &amp; TP'!$A$2:$M$2,0))),"")</f>
        <v/>
      </c>
      <c r="BB299" s="6" t="str">
        <f t="array" ref="BB299">_xlfn.IFNA((INDEX('DMR 001C TIN &amp; TP'!$A$3:$M$10005,MATCH(('Reg 85'!$AQ$6&amp;'Reg 85'!BB$10&amp;'Reg 85'!$B299),('DMR 001C TIN &amp; TP'!$E$3:$E$10005&amp;'DMR 001C TIN &amp; TP'!$B$3:$B$10005&amp;'DMR 001C TIN &amp; TP'!$A$3:$A$10005),0),MATCH('Reg 85'!$AG$11,'DMR 001C TIN &amp; TP'!$A$2:$M$2,0))),"")</f>
        <v/>
      </c>
      <c r="BC299" s="6" t="str">
        <f t="array" ref="BC299">_xlfn.IFNA((INDEX('DMR 001C TIN &amp; TP'!$A$3:$M$10005,MATCH(('Reg 85'!$AQ$6&amp;'Reg 85'!BC$10&amp;'Reg 85'!$B299),('DMR 001C TIN &amp; TP'!$E$3:$E$10005&amp;'DMR 001C TIN &amp; TP'!$B$3:$B$10005&amp;'DMR 001C TIN &amp; TP'!$A$3:$A$10005),0),MATCH('Reg 85'!$AG$11,'DMR 001C TIN &amp; TP'!$A$2:$M$2,0))),"")</f>
        <v/>
      </c>
      <c r="BD299" s="6" t="str">
        <f t="array" ref="BD299">_xlfn.IFNA((INDEX('DMR 001C TIN &amp; TP'!$A$3:$M$10005,MATCH(('Reg 85'!$AQ$6&amp;'Reg 85'!BD$10&amp;'Reg 85'!$B299),('DMR 001C TIN &amp; TP'!$E$3:$E$10005&amp;'DMR 001C TIN &amp; TP'!$B$3:$B$10005&amp;'DMR 001C TIN &amp; TP'!$A$3:$A$10005),0),MATCH('Reg 85'!$AG$11,'DMR 001C TIN &amp; TP'!$A$2:$M$2,0))),"")</f>
        <v/>
      </c>
      <c r="BE299" s="6" t="str">
        <f t="array" ref="BE299">_xlfn.IFNA((INDEX('DMR 001C TIN &amp; TP'!$A$3:$M$10005,MATCH(('Reg 85'!$AQ$6&amp;'Reg 85'!BE$10&amp;'Reg 85'!$B299),('DMR 001C TIN &amp; TP'!$E$3:$E$10005&amp;'DMR 001C TIN &amp; TP'!$B$3:$B$10005&amp;'DMR 001C TIN &amp; TP'!$A$3:$A$10005),0),MATCH('Reg 85'!$AG$11,'DMR 001C TIN &amp; TP'!$A$2:$M$2,0))),"")</f>
        <v/>
      </c>
      <c r="BF299" s="6" t="str">
        <f t="array" ref="BF299">_xlfn.IFNA((INDEX('DMR 001C TIN &amp; TP'!$A$3:$M$10005,MATCH(('Reg 85'!$AQ$6&amp;'Reg 85'!BF$10&amp;'Reg 85'!$B299),('DMR 001C TIN &amp; TP'!$E$3:$E$10005&amp;'DMR 001C TIN &amp; TP'!$B$3:$B$10005&amp;'DMR 001C TIN &amp; TP'!$A$3:$A$10005),0),MATCH('Reg 85'!$AG$11,'DMR 001C TIN &amp; TP'!$A$2:$M$2,0))),"")</f>
        <v/>
      </c>
    </row>
    <row r="300" spans="1:58">
      <c r="A300" s="3" t="str">
        <f t="shared" si="105"/>
        <v>Sun</v>
      </c>
      <c r="B300" s="96">
        <f t="shared" si="121"/>
        <v>43632</v>
      </c>
      <c r="C300" s="96">
        <f t="shared" si="106"/>
        <v>43646</v>
      </c>
      <c r="D300" s="96">
        <f t="shared" si="107"/>
        <v>43617</v>
      </c>
      <c r="E300" s="95">
        <f t="shared" si="108"/>
        <v>30</v>
      </c>
      <c r="F300" s="7">
        <f t="array" ref="F300">_xlfn.IFNA(INDEX('DMR Flows-Effluent'!$A$3:$F$9999,MATCH(($F$10&amp;$B300),('DMR Flows-Effluent'!$B$3:$B$9999&amp;'DMR Flows-Effluent'!$A$3:$A$9999),0),MATCH($F$8,'DMR Flows-Effluent'!$A$2:$F$2,0)),"")</f>
        <v>67.215299999999999</v>
      </c>
      <c r="G300" s="7">
        <f t="array" ref="G300">_xlfn.IFNA(INDEX('DMR Flows-Effluent'!$A$3:$F$9999,MATCH(($G$10&amp;$B300),('DMR Flows-Effluent'!$B$3:$B$9999&amp;'DMR Flows-Effluent'!$A$3:$A$9999),0),MATCH($F$8,'DMR Flows-Effluent'!$A$2:$F$2,0)),"")</f>
        <v>64.702200000000005</v>
      </c>
      <c r="H300" s="7">
        <f t="shared" si="109"/>
        <v>131.91750000000002</v>
      </c>
      <c r="I300" s="45" t="str">
        <f t="shared" si="110"/>
        <v/>
      </c>
      <c r="J300" s="6" t="str">
        <f t="array" ref="J300">_xlfn.IFNA((INDEX('DMR 001C TIN &amp; TP'!$A$3:$M$10005,MATCH(('Reg 85'!$I$6:$Q$6&amp;'Reg 85'!$I$10:$K$10&amp;'Reg 85'!$B300),('DMR 001C TIN &amp; TP'!$E$3:$E$10005&amp;'DMR 001C TIN &amp; TP'!$B$3:$B$10005&amp;'DMR 001C TIN &amp; TP'!$A$3:$A$10005),0),MATCH('Reg 85'!$J$11,'DMR 001C TIN &amp; TP'!$A$2:$M$2,0))),"")</f>
        <v/>
      </c>
      <c r="K300" s="6" t="str">
        <f t="array" ref="K300">_xlfn.IFNA((INDEX('DMR 001C TIN &amp; TP'!$A$3:$M$10005,MATCH(('Reg 85'!$I$6:$Q$6&amp;'Reg 85'!$I$10:$K$10&amp;'Reg 85'!$B300),('DMR 001C TIN &amp; TP'!$E$3:$E$10005&amp;'DMR 001C TIN &amp; TP'!$B$3:$B$10005&amp;'DMR 001C TIN &amp; TP'!$A$3:$A$10005),0),MATCH('Reg 85'!$K$11,'DMR 001C TIN &amp; TP'!$A$2:$M$2,0))),"")</f>
        <v/>
      </c>
      <c r="L300" s="53" t="str">
        <f t="shared" si="122"/>
        <v/>
      </c>
      <c r="M300" s="5" t="str">
        <f t="shared" si="111"/>
        <v/>
      </c>
      <c r="N300" s="6" t="str">
        <f t="array" ref="N300">_xlfn.IFNA((INDEX('DMR 001C TIN &amp; TP'!$A$3:$M$10005,MATCH(('Reg 85'!$I$6:$Q$6&amp;'Reg 85'!$M$10&amp;'Reg 85'!$B300),('DMR 001C TIN &amp; TP'!$E$3:$E$10005&amp;'DMR 001C TIN &amp; TP'!$B$3:$B$10005&amp;'DMR 001C TIN &amp; TP'!$A$3:$A$10005),0),MATCH('Reg 85'!$N$11,'DMR 001C TIN &amp; TP'!$A$2:$M$2,0))),"")</f>
        <v/>
      </c>
      <c r="O300" s="6" t="str">
        <f t="array" ref="O300">_xlfn.IFNA((INDEX('DMR 001C TIN &amp; TP'!$A$3:$M$10005,MATCH(('Reg 85'!$I$6:$Q$6&amp;'Reg 85'!$M$10&amp;'Reg 85'!$B300),('DMR 001C TIN &amp; TP'!$E$3:$E$10005&amp;'DMR 001C TIN &amp; TP'!$B$3:$B$10005&amp;'DMR 001C TIN &amp; TP'!$A$3:$A$10005),0),MATCH('Reg 85'!$O$11,'DMR 001C TIN &amp; TP'!$A$2:$M$2,0))),"")</f>
        <v/>
      </c>
      <c r="P300" s="53" t="str">
        <f t="shared" si="112"/>
        <v/>
      </c>
      <c r="Q300" s="73" t="str">
        <f t="array" ref="Q300">IFERROR(((L300*$F300)+(P300*$G300))/($H300),"")</f>
        <v/>
      </c>
      <c r="R300" s="6" t="str">
        <f t="array" ref="R300">_xlfn.IFNA((INDEX('DMR 001C TIN &amp; TP'!$A$3:$M$10005,MATCH(('Reg 85'!$I$6:$Q$6&amp;'Reg 85'!R$10&amp;'Reg 85'!$B300),('DMR 001C TIN &amp; TP'!$E$3:$E$10005&amp;'DMR 001C TIN &amp; TP'!$B$3:$B$10005&amp;'DMR 001C TIN &amp; TP'!$A$3:$A$10005),0),MATCH('Reg 85'!$O$11,'DMR 001C TIN &amp; TP'!$A$2:$M$2,0))),"")</f>
        <v/>
      </c>
      <c r="S300" s="6" t="str">
        <f t="array" ref="S300">_xlfn.IFNA((INDEX('DMR 001C TIN &amp; TP'!$A$3:$M$10005,MATCH(('Reg 85'!$I$6:$Q$6&amp;'Reg 85'!S$10&amp;'Reg 85'!$B300),('DMR 001C TIN &amp; TP'!$E$3:$E$10005&amp;'DMR 001C TIN &amp; TP'!$B$3:$B$10005&amp;'DMR 001C TIN &amp; TP'!$A$3:$A$10005),0),MATCH('Reg 85'!$O$11,'DMR 001C TIN &amp; TP'!$A$2:$M$2,0))),"")</f>
        <v/>
      </c>
      <c r="T300" s="6" t="str">
        <f t="array" ref="T300">_xlfn.IFNA((INDEX('DMR 001C TIN &amp; TP'!$A$3:$M$10005,MATCH(('Reg 85'!$I$6:$Q$6&amp;'Reg 85'!T$10&amp;'Reg 85'!$B300),('DMR 001C TIN &amp; TP'!$E$3:$E$10005&amp;'DMR 001C TIN &amp; TP'!$B$3:$B$10005&amp;'DMR 001C TIN &amp; TP'!$A$3:$A$10005),0),MATCH('Reg 85'!$O$11,'DMR 001C TIN &amp; TP'!$A$2:$M$2,0))),"")</f>
        <v/>
      </c>
      <c r="U300" s="6" t="str">
        <f t="array" ref="U300">_xlfn.IFNA((INDEX('DMR 001C TIN &amp; TP'!$A$3:$M$10005,MATCH(('Reg 85'!$I$6:$Q$6&amp;'Reg 85'!U$10&amp;'Reg 85'!$B300),('DMR 001C TIN &amp; TP'!$E$3:$E$10005&amp;'DMR 001C TIN &amp; TP'!$B$3:$B$10005&amp;'DMR 001C TIN &amp; TP'!$A$3:$A$10005),0),MATCH('Reg 85'!$O$11,'DMR 001C TIN &amp; TP'!$A$2:$M$2,0))),"")</f>
        <v/>
      </c>
      <c r="V300" s="6" t="str">
        <f t="array" ref="V300">_xlfn.IFNA((INDEX('DMR 001C TIN &amp; TP'!$A$3:$M$10005,MATCH(('Reg 85'!$I$6:$Q$6&amp;'Reg 85'!V$10&amp;'Reg 85'!$B300),('DMR 001C TIN &amp; TP'!$E$3:$E$10005&amp;'DMR 001C TIN &amp; TP'!$B$3:$B$10005&amp;'DMR 001C TIN &amp; TP'!$A$3:$A$10005),0),MATCH('Reg 85'!$O$11,'DMR 001C TIN &amp; TP'!$A$2:$M$2,0))),"")</f>
        <v/>
      </c>
      <c r="W300" s="6" t="str">
        <f t="array" ref="W300">_xlfn.IFNA((INDEX('DMR 001C TIN &amp; TP'!$A$3:$M$10005,MATCH(('Reg 85'!$I$6:$Q$6&amp;'Reg 85'!W$10&amp;'Reg 85'!$B300),('DMR 001C TIN &amp; TP'!$E$3:$E$10005&amp;'DMR 001C TIN &amp; TP'!$B$3:$B$10005&amp;'DMR 001C TIN &amp; TP'!$A$3:$A$10005),0),MATCH('Reg 85'!$O$11,'DMR 001C TIN &amp; TP'!$A$2:$M$2,0))),"")</f>
        <v/>
      </c>
      <c r="X300" s="5" t="str">
        <f t="shared" si="113"/>
        <v/>
      </c>
      <c r="Y300" s="6" t="str">
        <f t="array" ref="Y300">_xlfn.IFNA((INDEX('DMR 001C TIN &amp; TP'!$A$3:$M$10005,MATCH(('Reg 85'!$X$6&amp;'Reg 85'!$X$10&amp;'Reg 85'!$B300),('DMR 001C TIN &amp; TP'!$E$3:$E$10005&amp;'DMR 001C TIN &amp; TP'!$B$3:$B$10005&amp;'DMR 001C TIN &amp; TP'!$A$3:$A$10005),0),MATCH('Reg 85'!$Y$11,'DMR 001C TIN &amp; TP'!$A$2:$M$2,0))),"")</f>
        <v/>
      </c>
      <c r="Z300" s="6" t="str">
        <f t="array" ref="Z300">_xlfn.IFNA((INDEX('DMR 001C TIN &amp; TP'!$A$3:$M$10005,MATCH(('Reg 85'!$X$6&amp;'Reg 85'!$X$10&amp;'Reg 85'!$B300),('DMR 001C TIN &amp; TP'!$E$3:$E$10005&amp;'DMR 001C TIN &amp; TP'!$B$3:$B$10005&amp;'DMR 001C TIN &amp; TP'!$A$3:$A$10005),0),MATCH('Reg 85'!$Z$11,'DMR 001C TIN &amp; TP'!$A$2:$M$2,0))),"")</f>
        <v/>
      </c>
      <c r="AA300" s="53" t="str">
        <f t="shared" si="114"/>
        <v/>
      </c>
      <c r="AB300" s="5" t="str">
        <f t="shared" si="115"/>
        <v/>
      </c>
      <c r="AC300" s="6" t="str">
        <f t="array" ref="AC300">_xlfn.IFNA((INDEX('DMR 001C TIN &amp; TP'!$A$3:$M$10005,MATCH(('Reg 85'!$X$6&amp;'Reg 85'!$AB$10&amp;'Reg 85'!$B300),('DMR 001C TIN &amp; TP'!$E$3:$E$10005&amp;'DMR 001C TIN &amp; TP'!$B$3:$B$10005&amp;'DMR 001C TIN &amp; TP'!$A$3:$A$10005),0),MATCH('Reg 85'!$AC$11,'DMR 001C TIN &amp; TP'!$A$2:$M$2,0))),"")</f>
        <v/>
      </c>
      <c r="AD300" s="6" t="str">
        <f t="array" ref="AD300">_xlfn.IFNA((INDEX('DMR 001C TIN &amp; TP'!$A$3:$M$10005,MATCH(('Reg 85'!$X$6&amp;'Reg 85'!$AB$10&amp;'Reg 85'!$B300),('DMR 001C TIN &amp; TP'!$E$3:$E$10005&amp;'DMR 001C TIN &amp; TP'!$B$3:$B$10005&amp;'DMR 001C TIN &amp; TP'!$A$3:$A$10005),0),MATCH('Reg 85'!$AD$11,'DMR 001C TIN &amp; TP'!$A$2:$M$2,0))),"")</f>
        <v/>
      </c>
      <c r="AE300" s="53" t="str">
        <f t="shared" si="116"/>
        <v/>
      </c>
      <c r="AF300" s="7" t="str">
        <f t="shared" si="117"/>
        <v/>
      </c>
      <c r="AG300" s="6" t="str">
        <f t="array" ref="AG300">_xlfn.IFNA((INDEX('DMR 001C TIN &amp; TP'!$A$3:$M$10005,MATCH(('Reg 85'!$X$6&amp;'Reg 85'!AG$10&amp;'Reg 85'!$B300),('DMR 001C TIN &amp; TP'!$E$3:$E$10005&amp;'DMR 001C TIN &amp; TP'!$B$3:$B$10005&amp;'DMR 001C TIN &amp; TP'!$A$3:$A$10005),0),MATCH('Reg 85'!$AG$11,'DMR 001C TIN &amp; TP'!$A$2:$M$2,0))),"")</f>
        <v/>
      </c>
      <c r="AH300" s="6" t="str">
        <f t="array" ref="AH300">_xlfn.IFNA((INDEX('DMR 001C TIN &amp; TP'!$A$3:$M$10005,MATCH(('Reg 85'!$X$6&amp;'Reg 85'!AH$10&amp;'Reg 85'!$B300),('DMR 001C TIN &amp; TP'!$E$3:$E$10005&amp;'DMR 001C TIN &amp; TP'!$B$3:$B$10005&amp;'DMR 001C TIN &amp; TP'!$A$3:$A$10005),0),MATCH('Reg 85'!$AG$11,'DMR 001C TIN &amp; TP'!$A$2:$M$2,0))),"")</f>
        <v/>
      </c>
      <c r="AI300" s="6" t="str">
        <f t="array" ref="AI300">_xlfn.IFNA((INDEX('DMR 001C TIN &amp; TP'!$A$3:$M$10005,MATCH(('Reg 85'!$X$6&amp;'Reg 85'!AI$10&amp;'Reg 85'!$B300),('DMR 001C TIN &amp; TP'!$E$3:$E$10005&amp;'DMR 001C TIN &amp; TP'!$B$3:$B$10005&amp;'DMR 001C TIN &amp; TP'!$A$3:$A$10005),0),MATCH('Reg 85'!$AG$11,'DMR 001C TIN &amp; TP'!$A$2:$M$2,0))),"")</f>
        <v/>
      </c>
      <c r="AJ300" s="6" t="str">
        <f t="array" ref="AJ300">_xlfn.IFNA((INDEX('DMR 001C TIN &amp; TP'!$A$3:$M$10005,MATCH(('Reg 85'!$X$6&amp;'Reg 85'!AJ$10&amp;'Reg 85'!$B300),('DMR 001C TIN &amp; TP'!$E$3:$E$10005&amp;'DMR 001C TIN &amp; TP'!$B$3:$B$10005&amp;'DMR 001C TIN &amp; TP'!$A$3:$A$10005),0),MATCH('Reg 85'!$AG$11,'DMR 001C TIN &amp; TP'!$A$2:$M$2,0))),"")</f>
        <v/>
      </c>
      <c r="AK300" s="6" t="str">
        <f t="array" ref="AK300">_xlfn.IFNA((INDEX('DMR 001C TIN &amp; TP'!$A$3:$M$10005,MATCH(('Reg 85'!$X$6&amp;'Reg 85'!AK$10&amp;'Reg 85'!$B300),('DMR 001C TIN &amp; TP'!$E$3:$E$10005&amp;'DMR 001C TIN &amp; TP'!$B$3:$B$10005&amp;'DMR 001C TIN &amp; TP'!$A$3:$A$10005),0),MATCH('Reg 85'!$AG$11,'DMR 001C TIN &amp; TP'!$A$2:$M$2,0))),"")</f>
        <v/>
      </c>
      <c r="AL300" s="6" t="str">
        <f t="array" ref="AL300">_xlfn.IFNA((INDEX('DMR 001C TIN &amp; TP'!$A$3:$M$10005,MATCH(('Reg 85'!$X$6&amp;'Reg 85'!AL$10&amp;'Reg 85'!$B300),('DMR 001C TIN &amp; TP'!$E$3:$E$10005&amp;'DMR 001C TIN &amp; TP'!$B$3:$B$10005&amp;'DMR 001C TIN &amp; TP'!$A$3:$A$10005),0),MATCH('Reg 85'!$AG$11,'DMR 001C TIN &amp; TP'!$A$2:$M$2,0))),"")</f>
        <v/>
      </c>
      <c r="AM300" s="76"/>
      <c r="AN300" s="6"/>
      <c r="AO300" s="54" t="str">
        <f t="shared" si="104"/>
        <v/>
      </c>
      <c r="AP300" s="77" t="str">
        <f t="shared" si="123"/>
        <v/>
      </c>
      <c r="AQ300" s="47"/>
      <c r="AR300" s="6" t="str">
        <f t="array" ref="AR300">_xlfn.IFNA((INDEX('DMR 001C TIN &amp; TP'!$A$3:$M$10005,MATCH(('Reg 85'!$AQ$6&amp;'Reg 85'!$AQ$10&amp;'Reg 85'!$B300),('DMR 001C TIN &amp; TP'!$E$3:$E$10005&amp;'DMR 001C TIN &amp; TP'!$B$3:$B$10005&amp;'DMR 001C TIN &amp; TP'!$A$3:$A$10005),0),MATCH('Reg 85'!$AR$11,'DMR 001C TIN &amp; TP'!$A$2:$M$2,0))),"")</f>
        <v>0.03</v>
      </c>
      <c r="AS300" s="6">
        <f t="array" ref="AS300">_xlfn.IFNA((INDEX('DMR 001C TIN &amp; TP'!$A$3:$M$10005,MATCH(('Reg 85'!$AQ$6&amp;'Reg 85'!$AQ$10&amp;'Reg 85'!$B300),('DMR 001C TIN &amp; TP'!$E$3:$E$10005&amp;'DMR 001C TIN &amp; TP'!$B$3:$B$10005&amp;'DMR 001C TIN &amp; TP'!$A$3:$A$10005),0),MATCH('Reg 85'!$AS$11,'DMR 001C TIN &amp; TP'!$A$2:$M$2,0))),"")</f>
        <v>0.36</v>
      </c>
      <c r="AT300" s="53">
        <f t="shared" si="118"/>
        <v>0.36</v>
      </c>
      <c r="AV300" s="6" t="str">
        <f t="array" ref="AV300">_xlfn.IFNA((INDEX('DMR 001C TIN &amp; TP'!$A$3:$M$10005,MATCH(('Reg 85'!$AQ$6&amp;'Reg 85'!$AU$10&amp;'Reg 85'!$B300),('DMR 001C TIN &amp; TP'!$E$3:$E$10005&amp;'DMR 001C TIN &amp; TP'!$B$3:$B$10005&amp;'DMR 001C TIN &amp; TP'!$A$3:$A$10005),0),MATCH('Reg 85'!$AV$11,'DMR 001C TIN &amp; TP'!$A$2:$M$2,0))),"")</f>
        <v>0.06</v>
      </c>
      <c r="AW300" s="6">
        <f t="array" ref="AW300">_xlfn.IFNA((INDEX('DMR 001C TIN &amp; TP'!$A$3:$M$10005,MATCH(('Reg 85'!$AQ$6&amp;'Reg 85'!$AU$10&amp;'Reg 85'!$B300),('DMR 001C TIN &amp; TP'!$E$3:$E$10005&amp;'DMR 001C TIN &amp; TP'!$B$3:$B$10005&amp;'DMR 001C TIN &amp; TP'!$A$3:$A$10005),0),MATCH('Reg 85'!$AW$11,'DMR 001C TIN &amp; TP'!$A$2:$M$2,0))),"")</f>
        <v>6.94</v>
      </c>
      <c r="AX300" s="53">
        <f t="shared" si="119"/>
        <v>6.94</v>
      </c>
      <c r="AY300" s="55">
        <f t="shared" si="120"/>
        <v>3.5873237136846896</v>
      </c>
      <c r="AZ300" s="77" t="str">
        <f t="shared" si="124"/>
        <v/>
      </c>
      <c r="BA300" s="6" t="str">
        <f t="array" ref="BA300">_xlfn.IFNA((INDEX('DMR 001C TIN &amp; TP'!$A$3:$M$10005,MATCH(('Reg 85'!$AQ$6&amp;'Reg 85'!BA$10&amp;'Reg 85'!$B300),('DMR 001C TIN &amp; TP'!$E$3:$E$10005&amp;'DMR 001C TIN &amp; TP'!$B$3:$B$10005&amp;'DMR 001C TIN &amp; TP'!$A$3:$A$10005),0),MATCH('Reg 85'!$AG$11,'DMR 001C TIN &amp; TP'!$A$2:$M$2,0))),"")</f>
        <v/>
      </c>
      <c r="BB300" s="6" t="str">
        <f t="array" ref="BB300">_xlfn.IFNA((INDEX('DMR 001C TIN &amp; TP'!$A$3:$M$10005,MATCH(('Reg 85'!$AQ$6&amp;'Reg 85'!BB$10&amp;'Reg 85'!$B300),('DMR 001C TIN &amp; TP'!$E$3:$E$10005&amp;'DMR 001C TIN &amp; TP'!$B$3:$B$10005&amp;'DMR 001C TIN &amp; TP'!$A$3:$A$10005),0),MATCH('Reg 85'!$AG$11,'DMR 001C TIN &amp; TP'!$A$2:$M$2,0))),"")</f>
        <v/>
      </c>
      <c r="BC300" s="6" t="str">
        <f t="array" ref="BC300">_xlfn.IFNA((INDEX('DMR 001C TIN &amp; TP'!$A$3:$M$10005,MATCH(('Reg 85'!$AQ$6&amp;'Reg 85'!BC$10&amp;'Reg 85'!$B300),('DMR 001C TIN &amp; TP'!$E$3:$E$10005&amp;'DMR 001C TIN &amp; TP'!$B$3:$B$10005&amp;'DMR 001C TIN &amp; TP'!$A$3:$A$10005),0),MATCH('Reg 85'!$AG$11,'DMR 001C TIN &amp; TP'!$A$2:$M$2,0))),"")</f>
        <v/>
      </c>
      <c r="BD300" s="6" t="str">
        <f t="array" ref="BD300">_xlfn.IFNA((INDEX('DMR 001C TIN &amp; TP'!$A$3:$M$10005,MATCH(('Reg 85'!$AQ$6&amp;'Reg 85'!BD$10&amp;'Reg 85'!$B300),('DMR 001C TIN &amp; TP'!$E$3:$E$10005&amp;'DMR 001C TIN &amp; TP'!$B$3:$B$10005&amp;'DMR 001C TIN &amp; TP'!$A$3:$A$10005),0),MATCH('Reg 85'!$AG$11,'DMR 001C TIN &amp; TP'!$A$2:$M$2,0))),"")</f>
        <v/>
      </c>
      <c r="BE300" s="6" t="str">
        <f t="array" ref="BE300">_xlfn.IFNA((INDEX('DMR 001C TIN &amp; TP'!$A$3:$M$10005,MATCH(('Reg 85'!$AQ$6&amp;'Reg 85'!BE$10&amp;'Reg 85'!$B300),('DMR 001C TIN &amp; TP'!$E$3:$E$10005&amp;'DMR 001C TIN &amp; TP'!$B$3:$B$10005&amp;'DMR 001C TIN &amp; TP'!$A$3:$A$10005),0),MATCH('Reg 85'!$AG$11,'DMR 001C TIN &amp; TP'!$A$2:$M$2,0))),"")</f>
        <v/>
      </c>
      <c r="BF300" s="6" t="str">
        <f t="array" ref="BF300">_xlfn.IFNA((INDEX('DMR 001C TIN &amp; TP'!$A$3:$M$10005,MATCH(('Reg 85'!$AQ$6&amp;'Reg 85'!BF$10&amp;'Reg 85'!$B300),('DMR 001C TIN &amp; TP'!$E$3:$E$10005&amp;'DMR 001C TIN &amp; TP'!$B$3:$B$10005&amp;'DMR 001C TIN &amp; TP'!$A$3:$A$10005),0),MATCH('Reg 85'!$AG$11,'DMR 001C TIN &amp; TP'!$A$2:$M$2,0))),"")</f>
        <v/>
      </c>
    </row>
    <row r="301" spans="1:58">
      <c r="A301" s="3" t="str">
        <f t="shared" si="105"/>
        <v>Mon</v>
      </c>
      <c r="B301" s="96">
        <f t="shared" si="121"/>
        <v>43633</v>
      </c>
      <c r="C301" s="96">
        <f t="shared" si="106"/>
        <v>43646</v>
      </c>
      <c r="D301" s="96">
        <f t="shared" si="107"/>
        <v>43617</v>
      </c>
      <c r="E301" s="95">
        <f t="shared" si="108"/>
        <v>30</v>
      </c>
      <c r="F301" s="7">
        <f t="array" ref="F301">_xlfn.IFNA(INDEX('DMR Flows-Effluent'!$A$3:$F$9999,MATCH(($F$10&amp;$B301),('DMR Flows-Effluent'!$B$3:$B$9999&amp;'DMR Flows-Effluent'!$A$3:$A$9999),0),MATCH($F$8,'DMR Flows-Effluent'!$A$2:$F$2,0)),"")</f>
        <v>72.793199999999999</v>
      </c>
      <c r="G301" s="7">
        <f t="array" ref="G301">_xlfn.IFNA(INDEX('DMR Flows-Effluent'!$A$3:$F$9999,MATCH(($G$10&amp;$B301),('DMR Flows-Effluent'!$B$3:$B$9999&amp;'DMR Flows-Effluent'!$A$3:$A$9999),0),MATCH($F$8,'DMR Flows-Effluent'!$A$2:$F$2,0)),"")</f>
        <v>58.701099999999997</v>
      </c>
      <c r="H301" s="7">
        <f t="shared" si="109"/>
        <v>131.49430000000001</v>
      </c>
      <c r="I301" s="45" t="str">
        <f t="shared" si="110"/>
        <v/>
      </c>
      <c r="J301" s="6" t="str">
        <f t="array" ref="J301">_xlfn.IFNA((INDEX('DMR 001C TIN &amp; TP'!$A$3:$M$10005,MATCH(('Reg 85'!$I$6:$Q$6&amp;'Reg 85'!$I$10:$K$10&amp;'Reg 85'!$B301),('DMR 001C TIN &amp; TP'!$E$3:$E$10005&amp;'DMR 001C TIN &amp; TP'!$B$3:$B$10005&amp;'DMR 001C TIN &amp; TP'!$A$3:$A$10005),0),MATCH('Reg 85'!$J$11,'DMR 001C TIN &amp; TP'!$A$2:$M$2,0))),"")</f>
        <v>0.15</v>
      </c>
      <c r="K301" s="6">
        <f t="array" ref="K301">_xlfn.IFNA((INDEX('DMR 001C TIN &amp; TP'!$A$3:$M$10005,MATCH(('Reg 85'!$I$6:$Q$6&amp;'Reg 85'!$I$10:$K$10&amp;'Reg 85'!$B301),('DMR 001C TIN &amp; TP'!$E$3:$E$10005&amp;'DMR 001C TIN &amp; TP'!$B$3:$B$10005&amp;'DMR 001C TIN &amp; TP'!$A$3:$A$10005),0),MATCH('Reg 85'!$K$11,'DMR 001C TIN &amp; TP'!$A$2:$M$2,0))),"")</f>
        <v>1.88</v>
      </c>
      <c r="L301" s="53">
        <f t="shared" si="122"/>
        <v>1.88</v>
      </c>
      <c r="M301" s="5" t="str">
        <f t="shared" si="111"/>
        <v/>
      </c>
      <c r="N301" s="6" t="str">
        <f t="array" ref="N301">_xlfn.IFNA((INDEX('DMR 001C TIN &amp; TP'!$A$3:$M$10005,MATCH(('Reg 85'!$I$6:$Q$6&amp;'Reg 85'!$M$10&amp;'Reg 85'!$B301),('DMR 001C TIN &amp; TP'!$E$3:$E$10005&amp;'DMR 001C TIN &amp; TP'!$B$3:$B$10005&amp;'DMR 001C TIN &amp; TP'!$A$3:$A$10005),0),MATCH('Reg 85'!$N$11,'DMR 001C TIN &amp; TP'!$A$2:$M$2,0))),"")</f>
        <v>0.15</v>
      </c>
      <c r="O301" s="6">
        <f t="array" ref="O301">_xlfn.IFNA((INDEX('DMR 001C TIN &amp; TP'!$A$3:$M$10005,MATCH(('Reg 85'!$I$6:$Q$6&amp;'Reg 85'!$M$10&amp;'Reg 85'!$B301),('DMR 001C TIN &amp; TP'!$E$3:$E$10005&amp;'DMR 001C TIN &amp; TP'!$B$3:$B$10005&amp;'DMR 001C TIN &amp; TP'!$A$3:$A$10005),0),MATCH('Reg 85'!$O$11,'DMR 001C TIN &amp; TP'!$A$2:$M$2,0))),"")</f>
        <v>1.02</v>
      </c>
      <c r="P301" s="53">
        <f t="shared" si="112"/>
        <v>1.02</v>
      </c>
      <c r="Q301" s="73">
        <f t="array" ref="Q301">IFERROR(((L301*$F301)+(P301*$G301))/($H301),"")</f>
        <v>1.4960826286766802</v>
      </c>
      <c r="R301" s="6" t="str">
        <f t="array" ref="R301">_xlfn.IFNA((INDEX('DMR 001C TIN &amp; TP'!$A$3:$M$10005,MATCH(('Reg 85'!$I$6:$Q$6&amp;'Reg 85'!R$10&amp;'Reg 85'!$B301),('DMR 001C TIN &amp; TP'!$E$3:$E$10005&amp;'DMR 001C TIN &amp; TP'!$B$3:$B$10005&amp;'DMR 001C TIN &amp; TP'!$A$3:$A$10005),0),MATCH('Reg 85'!$O$11,'DMR 001C TIN &amp; TP'!$A$2:$M$2,0))),"")</f>
        <v/>
      </c>
      <c r="S301" s="6" t="str">
        <f t="array" ref="S301">_xlfn.IFNA((INDEX('DMR 001C TIN &amp; TP'!$A$3:$M$10005,MATCH(('Reg 85'!$I$6:$Q$6&amp;'Reg 85'!S$10&amp;'Reg 85'!$B301),('DMR 001C TIN &amp; TP'!$E$3:$E$10005&amp;'DMR 001C TIN &amp; TP'!$B$3:$B$10005&amp;'DMR 001C TIN &amp; TP'!$A$3:$A$10005),0),MATCH('Reg 85'!$O$11,'DMR 001C TIN &amp; TP'!$A$2:$M$2,0))),"")</f>
        <v/>
      </c>
      <c r="T301" s="6" t="str">
        <f t="array" ref="T301">_xlfn.IFNA((INDEX('DMR 001C TIN &amp; TP'!$A$3:$M$10005,MATCH(('Reg 85'!$I$6:$Q$6&amp;'Reg 85'!T$10&amp;'Reg 85'!$B301),('DMR 001C TIN &amp; TP'!$E$3:$E$10005&amp;'DMR 001C TIN &amp; TP'!$B$3:$B$10005&amp;'DMR 001C TIN &amp; TP'!$A$3:$A$10005),0),MATCH('Reg 85'!$O$11,'DMR 001C TIN &amp; TP'!$A$2:$M$2,0))),"")</f>
        <v/>
      </c>
      <c r="U301" s="6" t="str">
        <f t="array" ref="U301">_xlfn.IFNA((INDEX('DMR 001C TIN &amp; TP'!$A$3:$M$10005,MATCH(('Reg 85'!$I$6:$Q$6&amp;'Reg 85'!U$10&amp;'Reg 85'!$B301),('DMR 001C TIN &amp; TP'!$E$3:$E$10005&amp;'DMR 001C TIN &amp; TP'!$B$3:$B$10005&amp;'DMR 001C TIN &amp; TP'!$A$3:$A$10005),0),MATCH('Reg 85'!$O$11,'DMR 001C TIN &amp; TP'!$A$2:$M$2,0))),"")</f>
        <v/>
      </c>
      <c r="V301" s="6" t="str">
        <f t="array" ref="V301">_xlfn.IFNA((INDEX('DMR 001C TIN &amp; TP'!$A$3:$M$10005,MATCH(('Reg 85'!$I$6:$Q$6&amp;'Reg 85'!V$10&amp;'Reg 85'!$B301),('DMR 001C TIN &amp; TP'!$E$3:$E$10005&amp;'DMR 001C TIN &amp; TP'!$B$3:$B$10005&amp;'DMR 001C TIN &amp; TP'!$A$3:$A$10005),0),MATCH('Reg 85'!$O$11,'DMR 001C TIN &amp; TP'!$A$2:$M$2,0))),"")</f>
        <v/>
      </c>
      <c r="W301" s="6" t="str">
        <f t="array" ref="W301">_xlfn.IFNA((INDEX('DMR 001C TIN &amp; TP'!$A$3:$M$10005,MATCH(('Reg 85'!$I$6:$Q$6&amp;'Reg 85'!W$10&amp;'Reg 85'!$B301),('DMR 001C TIN &amp; TP'!$E$3:$E$10005&amp;'DMR 001C TIN &amp; TP'!$B$3:$B$10005&amp;'DMR 001C TIN &amp; TP'!$A$3:$A$10005),0),MATCH('Reg 85'!$O$11,'DMR 001C TIN &amp; TP'!$A$2:$M$2,0))),"")</f>
        <v/>
      </c>
      <c r="X301" s="5" t="str">
        <f t="shared" si="113"/>
        <v/>
      </c>
      <c r="Y301" s="6" t="str">
        <f t="array" ref="Y301">_xlfn.IFNA((INDEX('DMR 001C TIN &amp; TP'!$A$3:$M$10005,MATCH(('Reg 85'!$X$6&amp;'Reg 85'!$X$10&amp;'Reg 85'!$B301),('DMR 001C TIN &amp; TP'!$E$3:$E$10005&amp;'DMR 001C TIN &amp; TP'!$B$3:$B$10005&amp;'DMR 001C TIN &amp; TP'!$A$3:$A$10005),0),MATCH('Reg 85'!$Y$11,'DMR 001C TIN &amp; TP'!$A$2:$M$2,0))),"")</f>
        <v>0.06</v>
      </c>
      <c r="Z301" s="6">
        <f t="array" ref="Z301">_xlfn.IFNA((INDEX('DMR 001C TIN &amp; TP'!$A$3:$M$10005,MATCH(('Reg 85'!$X$6&amp;'Reg 85'!$X$10&amp;'Reg 85'!$B301),('DMR 001C TIN &amp; TP'!$E$3:$E$10005&amp;'DMR 001C TIN &amp; TP'!$B$3:$B$10005&amp;'DMR 001C TIN &amp; TP'!$A$3:$A$10005),0),MATCH('Reg 85'!$Z$11,'DMR 001C TIN &amp; TP'!$A$2:$M$2,0))),"")</f>
        <v>5.44</v>
      </c>
      <c r="AA301" s="53">
        <f t="shared" si="114"/>
        <v>5.44</v>
      </c>
      <c r="AB301" s="5" t="str">
        <f t="shared" si="115"/>
        <v/>
      </c>
      <c r="AC301" s="6" t="str">
        <f t="array" ref="AC301">_xlfn.IFNA((INDEX('DMR 001C TIN &amp; TP'!$A$3:$M$10005,MATCH(('Reg 85'!$X$6&amp;'Reg 85'!$AB$10&amp;'Reg 85'!$B301),('DMR 001C TIN &amp; TP'!$E$3:$E$10005&amp;'DMR 001C TIN &amp; TP'!$B$3:$B$10005&amp;'DMR 001C TIN &amp; TP'!$A$3:$A$10005),0),MATCH('Reg 85'!$AC$11,'DMR 001C TIN &amp; TP'!$A$2:$M$2,0))),"")</f>
        <v>0.06</v>
      </c>
      <c r="AD301" s="6">
        <f t="array" ref="AD301">_xlfn.IFNA((INDEX('DMR 001C TIN &amp; TP'!$A$3:$M$10005,MATCH(('Reg 85'!$X$6&amp;'Reg 85'!$AB$10&amp;'Reg 85'!$B301),('DMR 001C TIN &amp; TP'!$E$3:$E$10005&amp;'DMR 001C TIN &amp; TP'!$B$3:$B$10005&amp;'DMR 001C TIN &amp; TP'!$A$3:$A$10005),0),MATCH('Reg 85'!$AD$11,'DMR 001C TIN &amp; TP'!$A$2:$M$2,0))),"")</f>
        <v>5.74</v>
      </c>
      <c r="AE301" s="53">
        <f t="shared" si="116"/>
        <v>5.74</v>
      </c>
      <c r="AF301" s="7">
        <f t="shared" si="117"/>
        <v>5.5739246644151113</v>
      </c>
      <c r="AG301" s="6" t="str">
        <f t="array" ref="AG301">_xlfn.IFNA((INDEX('DMR 001C TIN &amp; TP'!$A$3:$M$10005,MATCH(('Reg 85'!$X$6&amp;'Reg 85'!AG$10&amp;'Reg 85'!$B301),('DMR 001C TIN &amp; TP'!$E$3:$E$10005&amp;'DMR 001C TIN &amp; TP'!$B$3:$B$10005&amp;'DMR 001C TIN &amp; TP'!$A$3:$A$10005),0),MATCH('Reg 85'!$AG$11,'DMR 001C TIN &amp; TP'!$A$2:$M$2,0))),"")</f>
        <v/>
      </c>
      <c r="AH301" s="6" t="str">
        <f t="array" ref="AH301">_xlfn.IFNA((INDEX('DMR 001C TIN &amp; TP'!$A$3:$M$10005,MATCH(('Reg 85'!$X$6&amp;'Reg 85'!AH$10&amp;'Reg 85'!$B301),('DMR 001C TIN &amp; TP'!$E$3:$E$10005&amp;'DMR 001C TIN &amp; TP'!$B$3:$B$10005&amp;'DMR 001C TIN &amp; TP'!$A$3:$A$10005),0),MATCH('Reg 85'!$AG$11,'DMR 001C TIN &amp; TP'!$A$2:$M$2,0))),"")</f>
        <v/>
      </c>
      <c r="AI301" s="6" t="str">
        <f t="array" ref="AI301">_xlfn.IFNA((INDEX('DMR 001C TIN &amp; TP'!$A$3:$M$10005,MATCH(('Reg 85'!$X$6&amp;'Reg 85'!AI$10&amp;'Reg 85'!$B301),('DMR 001C TIN &amp; TP'!$E$3:$E$10005&amp;'DMR 001C TIN &amp; TP'!$B$3:$B$10005&amp;'DMR 001C TIN &amp; TP'!$A$3:$A$10005),0),MATCH('Reg 85'!$AG$11,'DMR 001C TIN &amp; TP'!$A$2:$M$2,0))),"")</f>
        <v/>
      </c>
      <c r="AJ301" s="6" t="str">
        <f t="array" ref="AJ301">_xlfn.IFNA((INDEX('DMR 001C TIN &amp; TP'!$A$3:$M$10005,MATCH(('Reg 85'!$X$6&amp;'Reg 85'!AJ$10&amp;'Reg 85'!$B301),('DMR 001C TIN &amp; TP'!$E$3:$E$10005&amp;'DMR 001C TIN &amp; TP'!$B$3:$B$10005&amp;'DMR 001C TIN &amp; TP'!$A$3:$A$10005),0),MATCH('Reg 85'!$AG$11,'DMR 001C TIN &amp; TP'!$A$2:$M$2,0))),"")</f>
        <v/>
      </c>
      <c r="AK301" s="6" t="str">
        <f t="array" ref="AK301">_xlfn.IFNA((INDEX('DMR 001C TIN &amp; TP'!$A$3:$M$10005,MATCH(('Reg 85'!$X$6&amp;'Reg 85'!AK$10&amp;'Reg 85'!$B301),('DMR 001C TIN &amp; TP'!$E$3:$E$10005&amp;'DMR 001C TIN &amp; TP'!$B$3:$B$10005&amp;'DMR 001C TIN &amp; TP'!$A$3:$A$10005),0),MATCH('Reg 85'!$AG$11,'DMR 001C TIN &amp; TP'!$A$2:$M$2,0))),"")</f>
        <v/>
      </c>
      <c r="AL301" s="6" t="str">
        <f t="array" ref="AL301">_xlfn.IFNA((INDEX('DMR 001C TIN &amp; TP'!$A$3:$M$10005,MATCH(('Reg 85'!$X$6&amp;'Reg 85'!AL$10&amp;'Reg 85'!$B301),('DMR 001C TIN &amp; TP'!$E$3:$E$10005&amp;'DMR 001C TIN &amp; TP'!$B$3:$B$10005&amp;'DMR 001C TIN &amp; TP'!$A$3:$A$10005),0),MATCH('Reg 85'!$AG$11,'DMR 001C TIN &amp; TP'!$A$2:$M$2,0))),"")</f>
        <v/>
      </c>
      <c r="AM301" s="76"/>
      <c r="AN301" s="6"/>
      <c r="AO301" s="54">
        <f t="shared" si="104"/>
        <v>7.0700072930917912</v>
      </c>
      <c r="AP301" s="77" t="str">
        <f t="shared" si="123"/>
        <v/>
      </c>
      <c r="AQ301" s="47"/>
      <c r="AR301" s="6" t="str">
        <f t="array" ref="AR301">_xlfn.IFNA((INDEX('DMR 001C TIN &amp; TP'!$A$3:$M$10005,MATCH(('Reg 85'!$AQ$6&amp;'Reg 85'!$AQ$10&amp;'Reg 85'!$B301),('DMR 001C TIN &amp; TP'!$E$3:$E$10005&amp;'DMR 001C TIN &amp; TP'!$B$3:$B$10005&amp;'DMR 001C TIN &amp; TP'!$A$3:$A$10005),0),MATCH('Reg 85'!$AR$11,'DMR 001C TIN &amp; TP'!$A$2:$M$2,0))),"")</f>
        <v/>
      </c>
      <c r="AS301" s="6" t="str">
        <f t="array" ref="AS301">_xlfn.IFNA((INDEX('DMR 001C TIN &amp; TP'!$A$3:$M$10005,MATCH(('Reg 85'!$AQ$6&amp;'Reg 85'!$AQ$10&amp;'Reg 85'!$B301),('DMR 001C TIN &amp; TP'!$E$3:$E$10005&amp;'DMR 001C TIN &amp; TP'!$B$3:$B$10005&amp;'DMR 001C TIN &amp; TP'!$A$3:$A$10005),0),MATCH('Reg 85'!$AS$11,'DMR 001C TIN &amp; TP'!$A$2:$M$2,0))),"")</f>
        <v/>
      </c>
      <c r="AT301" s="53" t="str">
        <f t="shared" si="118"/>
        <v/>
      </c>
      <c r="AV301" s="6" t="str">
        <f t="array" ref="AV301">_xlfn.IFNA((INDEX('DMR 001C TIN &amp; TP'!$A$3:$M$10005,MATCH(('Reg 85'!$AQ$6&amp;'Reg 85'!$AU$10&amp;'Reg 85'!$B301),('DMR 001C TIN &amp; TP'!$E$3:$E$10005&amp;'DMR 001C TIN &amp; TP'!$B$3:$B$10005&amp;'DMR 001C TIN &amp; TP'!$A$3:$A$10005),0),MATCH('Reg 85'!$AV$11,'DMR 001C TIN &amp; TP'!$A$2:$M$2,0))),"")</f>
        <v/>
      </c>
      <c r="AW301" s="6" t="str">
        <f t="array" ref="AW301">_xlfn.IFNA((INDEX('DMR 001C TIN &amp; TP'!$A$3:$M$10005,MATCH(('Reg 85'!$AQ$6&amp;'Reg 85'!$AU$10&amp;'Reg 85'!$B301),('DMR 001C TIN &amp; TP'!$E$3:$E$10005&amp;'DMR 001C TIN &amp; TP'!$B$3:$B$10005&amp;'DMR 001C TIN &amp; TP'!$A$3:$A$10005),0),MATCH('Reg 85'!$AW$11,'DMR 001C TIN &amp; TP'!$A$2:$M$2,0))),"")</f>
        <v/>
      </c>
      <c r="AX301" s="53" t="str">
        <f t="shared" si="119"/>
        <v/>
      </c>
      <c r="AY301" s="55" t="str">
        <f t="shared" si="120"/>
        <v/>
      </c>
      <c r="AZ301" s="77" t="str">
        <f t="shared" si="124"/>
        <v/>
      </c>
      <c r="BA301" s="6" t="str">
        <f t="array" ref="BA301">_xlfn.IFNA((INDEX('DMR 001C TIN &amp; TP'!$A$3:$M$10005,MATCH(('Reg 85'!$AQ$6&amp;'Reg 85'!BA$10&amp;'Reg 85'!$B301),('DMR 001C TIN &amp; TP'!$E$3:$E$10005&amp;'DMR 001C TIN &amp; TP'!$B$3:$B$10005&amp;'DMR 001C TIN &amp; TP'!$A$3:$A$10005),0),MATCH('Reg 85'!$AG$11,'DMR 001C TIN &amp; TP'!$A$2:$M$2,0))),"")</f>
        <v/>
      </c>
      <c r="BB301" s="6" t="str">
        <f t="array" ref="BB301">_xlfn.IFNA((INDEX('DMR 001C TIN &amp; TP'!$A$3:$M$10005,MATCH(('Reg 85'!$AQ$6&amp;'Reg 85'!BB$10&amp;'Reg 85'!$B301),('DMR 001C TIN &amp; TP'!$E$3:$E$10005&amp;'DMR 001C TIN &amp; TP'!$B$3:$B$10005&amp;'DMR 001C TIN &amp; TP'!$A$3:$A$10005),0),MATCH('Reg 85'!$AG$11,'DMR 001C TIN &amp; TP'!$A$2:$M$2,0))),"")</f>
        <v/>
      </c>
      <c r="BC301" s="6" t="str">
        <f t="array" ref="BC301">_xlfn.IFNA((INDEX('DMR 001C TIN &amp; TP'!$A$3:$M$10005,MATCH(('Reg 85'!$AQ$6&amp;'Reg 85'!BC$10&amp;'Reg 85'!$B301),('DMR 001C TIN &amp; TP'!$E$3:$E$10005&amp;'DMR 001C TIN &amp; TP'!$B$3:$B$10005&amp;'DMR 001C TIN &amp; TP'!$A$3:$A$10005),0),MATCH('Reg 85'!$AG$11,'DMR 001C TIN &amp; TP'!$A$2:$M$2,0))),"")</f>
        <v/>
      </c>
      <c r="BD301" s="6" t="str">
        <f t="array" ref="BD301">_xlfn.IFNA((INDEX('DMR 001C TIN &amp; TP'!$A$3:$M$10005,MATCH(('Reg 85'!$AQ$6&amp;'Reg 85'!BD$10&amp;'Reg 85'!$B301),('DMR 001C TIN &amp; TP'!$E$3:$E$10005&amp;'DMR 001C TIN &amp; TP'!$B$3:$B$10005&amp;'DMR 001C TIN &amp; TP'!$A$3:$A$10005),0),MATCH('Reg 85'!$AG$11,'DMR 001C TIN &amp; TP'!$A$2:$M$2,0))),"")</f>
        <v/>
      </c>
      <c r="BE301" s="6" t="str">
        <f t="array" ref="BE301">_xlfn.IFNA((INDEX('DMR 001C TIN &amp; TP'!$A$3:$M$10005,MATCH(('Reg 85'!$AQ$6&amp;'Reg 85'!BE$10&amp;'Reg 85'!$B301),('DMR 001C TIN &amp; TP'!$E$3:$E$10005&amp;'DMR 001C TIN &amp; TP'!$B$3:$B$10005&amp;'DMR 001C TIN &amp; TP'!$A$3:$A$10005),0),MATCH('Reg 85'!$AG$11,'DMR 001C TIN &amp; TP'!$A$2:$M$2,0))),"")</f>
        <v/>
      </c>
      <c r="BF301" s="6" t="str">
        <f t="array" ref="BF301">_xlfn.IFNA((INDEX('DMR 001C TIN &amp; TP'!$A$3:$M$10005,MATCH(('Reg 85'!$AQ$6&amp;'Reg 85'!BF$10&amp;'Reg 85'!$B301),('DMR 001C TIN &amp; TP'!$E$3:$E$10005&amp;'DMR 001C TIN &amp; TP'!$B$3:$B$10005&amp;'DMR 001C TIN &amp; TP'!$A$3:$A$10005),0),MATCH('Reg 85'!$AG$11,'DMR 001C TIN &amp; TP'!$A$2:$M$2,0))),"")</f>
        <v/>
      </c>
    </row>
    <row r="302" spans="1:58">
      <c r="A302" s="3" t="str">
        <f t="shared" si="105"/>
        <v>Tue</v>
      </c>
      <c r="B302" s="96">
        <f t="shared" si="121"/>
        <v>43634</v>
      </c>
      <c r="C302" s="96">
        <f t="shared" si="106"/>
        <v>43646</v>
      </c>
      <c r="D302" s="96">
        <f t="shared" si="107"/>
        <v>43617</v>
      </c>
      <c r="E302" s="95">
        <f t="shared" si="108"/>
        <v>30</v>
      </c>
      <c r="F302" s="7">
        <f t="array" ref="F302">_xlfn.IFNA(INDEX('DMR Flows-Effluent'!$A$3:$F$9999,MATCH(($F$10&amp;$B302),('DMR Flows-Effluent'!$B$3:$B$9999&amp;'DMR Flows-Effluent'!$A$3:$A$9999),0),MATCH($F$8,'DMR Flows-Effluent'!$A$2:$F$2,0)),"")</f>
        <v>72.853499999999997</v>
      </c>
      <c r="G302" s="7">
        <f t="array" ref="G302">_xlfn.IFNA(INDEX('DMR Flows-Effluent'!$A$3:$F$9999,MATCH(($G$10&amp;$B302),('DMR Flows-Effluent'!$B$3:$B$9999&amp;'DMR Flows-Effluent'!$A$3:$A$9999),0),MATCH($F$8,'DMR Flows-Effluent'!$A$2:$F$2,0)),"")</f>
        <v>59.5259</v>
      </c>
      <c r="H302" s="7">
        <f t="shared" si="109"/>
        <v>132.3794</v>
      </c>
      <c r="I302" s="45" t="str">
        <f t="shared" si="110"/>
        <v/>
      </c>
      <c r="J302" s="6" t="str">
        <f t="array" ref="J302">_xlfn.IFNA((INDEX('DMR 001C TIN &amp; TP'!$A$3:$M$10005,MATCH(('Reg 85'!$I$6:$Q$6&amp;'Reg 85'!$I$10:$K$10&amp;'Reg 85'!$B302),('DMR 001C TIN &amp; TP'!$E$3:$E$10005&amp;'DMR 001C TIN &amp; TP'!$B$3:$B$10005&amp;'DMR 001C TIN &amp; TP'!$A$3:$A$10005),0),MATCH('Reg 85'!$J$11,'DMR 001C TIN &amp; TP'!$A$2:$M$2,0))),"")</f>
        <v/>
      </c>
      <c r="K302" s="6" t="str">
        <f t="array" ref="K302">_xlfn.IFNA((INDEX('DMR 001C TIN &amp; TP'!$A$3:$M$10005,MATCH(('Reg 85'!$I$6:$Q$6&amp;'Reg 85'!$I$10:$K$10&amp;'Reg 85'!$B302),('DMR 001C TIN &amp; TP'!$E$3:$E$10005&amp;'DMR 001C TIN &amp; TP'!$B$3:$B$10005&amp;'DMR 001C TIN &amp; TP'!$A$3:$A$10005),0),MATCH('Reg 85'!$K$11,'DMR 001C TIN &amp; TP'!$A$2:$M$2,0))),"")</f>
        <v/>
      </c>
      <c r="L302" s="53" t="str">
        <f t="shared" si="122"/>
        <v/>
      </c>
      <c r="M302" s="5" t="str">
        <f t="shared" si="111"/>
        <v/>
      </c>
      <c r="N302" s="6" t="str">
        <f t="array" ref="N302">_xlfn.IFNA((INDEX('DMR 001C TIN &amp; TP'!$A$3:$M$10005,MATCH(('Reg 85'!$I$6:$Q$6&amp;'Reg 85'!$M$10&amp;'Reg 85'!$B302),('DMR 001C TIN &amp; TP'!$E$3:$E$10005&amp;'DMR 001C TIN &amp; TP'!$B$3:$B$10005&amp;'DMR 001C TIN &amp; TP'!$A$3:$A$10005),0),MATCH('Reg 85'!$N$11,'DMR 001C TIN &amp; TP'!$A$2:$M$2,0))),"")</f>
        <v/>
      </c>
      <c r="O302" s="6" t="str">
        <f t="array" ref="O302">_xlfn.IFNA((INDEX('DMR 001C TIN &amp; TP'!$A$3:$M$10005,MATCH(('Reg 85'!$I$6:$Q$6&amp;'Reg 85'!$M$10&amp;'Reg 85'!$B302),('DMR 001C TIN &amp; TP'!$E$3:$E$10005&amp;'DMR 001C TIN &amp; TP'!$B$3:$B$10005&amp;'DMR 001C TIN &amp; TP'!$A$3:$A$10005),0),MATCH('Reg 85'!$O$11,'DMR 001C TIN &amp; TP'!$A$2:$M$2,0))),"")</f>
        <v/>
      </c>
      <c r="P302" s="53" t="str">
        <f t="shared" si="112"/>
        <v/>
      </c>
      <c r="Q302" s="73" t="str">
        <f t="array" ref="Q302">IFERROR(((L302*$F302)+(P302*$G302))/($H302),"")</f>
        <v/>
      </c>
      <c r="R302" s="6" t="str">
        <f t="array" ref="R302">_xlfn.IFNA((INDEX('DMR 001C TIN &amp; TP'!$A$3:$M$10005,MATCH(('Reg 85'!$I$6:$Q$6&amp;'Reg 85'!R$10&amp;'Reg 85'!$B302),('DMR 001C TIN &amp; TP'!$E$3:$E$10005&amp;'DMR 001C TIN &amp; TP'!$B$3:$B$10005&amp;'DMR 001C TIN &amp; TP'!$A$3:$A$10005),0),MATCH('Reg 85'!$O$11,'DMR 001C TIN &amp; TP'!$A$2:$M$2,0))),"")</f>
        <v/>
      </c>
      <c r="S302" s="6" t="str">
        <f t="array" ref="S302">_xlfn.IFNA((INDEX('DMR 001C TIN &amp; TP'!$A$3:$M$10005,MATCH(('Reg 85'!$I$6:$Q$6&amp;'Reg 85'!S$10&amp;'Reg 85'!$B302),('DMR 001C TIN &amp; TP'!$E$3:$E$10005&amp;'DMR 001C TIN &amp; TP'!$B$3:$B$10005&amp;'DMR 001C TIN &amp; TP'!$A$3:$A$10005),0),MATCH('Reg 85'!$O$11,'DMR 001C TIN &amp; TP'!$A$2:$M$2,0))),"")</f>
        <v/>
      </c>
      <c r="T302" s="6" t="str">
        <f t="array" ref="T302">_xlfn.IFNA((INDEX('DMR 001C TIN &amp; TP'!$A$3:$M$10005,MATCH(('Reg 85'!$I$6:$Q$6&amp;'Reg 85'!T$10&amp;'Reg 85'!$B302),('DMR 001C TIN &amp; TP'!$E$3:$E$10005&amp;'DMR 001C TIN &amp; TP'!$B$3:$B$10005&amp;'DMR 001C TIN &amp; TP'!$A$3:$A$10005),0),MATCH('Reg 85'!$O$11,'DMR 001C TIN &amp; TP'!$A$2:$M$2,0))),"")</f>
        <v/>
      </c>
      <c r="U302" s="6" t="str">
        <f t="array" ref="U302">_xlfn.IFNA((INDEX('DMR 001C TIN &amp; TP'!$A$3:$M$10005,MATCH(('Reg 85'!$I$6:$Q$6&amp;'Reg 85'!U$10&amp;'Reg 85'!$B302),('DMR 001C TIN &amp; TP'!$E$3:$E$10005&amp;'DMR 001C TIN &amp; TP'!$B$3:$B$10005&amp;'DMR 001C TIN &amp; TP'!$A$3:$A$10005),0),MATCH('Reg 85'!$O$11,'DMR 001C TIN &amp; TP'!$A$2:$M$2,0))),"")</f>
        <v/>
      </c>
      <c r="V302" s="6" t="str">
        <f t="array" ref="V302">_xlfn.IFNA((INDEX('DMR 001C TIN &amp; TP'!$A$3:$M$10005,MATCH(('Reg 85'!$I$6:$Q$6&amp;'Reg 85'!V$10&amp;'Reg 85'!$B302),('DMR 001C TIN &amp; TP'!$E$3:$E$10005&amp;'DMR 001C TIN &amp; TP'!$B$3:$B$10005&amp;'DMR 001C TIN &amp; TP'!$A$3:$A$10005),0),MATCH('Reg 85'!$O$11,'DMR 001C TIN &amp; TP'!$A$2:$M$2,0))),"")</f>
        <v/>
      </c>
      <c r="W302" s="6" t="str">
        <f t="array" ref="W302">_xlfn.IFNA((INDEX('DMR 001C TIN &amp; TP'!$A$3:$M$10005,MATCH(('Reg 85'!$I$6:$Q$6&amp;'Reg 85'!W$10&amp;'Reg 85'!$B302),('DMR 001C TIN &amp; TP'!$E$3:$E$10005&amp;'DMR 001C TIN &amp; TP'!$B$3:$B$10005&amp;'DMR 001C TIN &amp; TP'!$A$3:$A$10005),0),MATCH('Reg 85'!$O$11,'DMR 001C TIN &amp; TP'!$A$2:$M$2,0))),"")</f>
        <v/>
      </c>
      <c r="X302" s="5" t="str">
        <f t="shared" si="113"/>
        <v/>
      </c>
      <c r="Y302" s="6" t="str">
        <f t="array" ref="Y302">_xlfn.IFNA((INDEX('DMR 001C TIN &amp; TP'!$A$3:$M$10005,MATCH(('Reg 85'!$X$6&amp;'Reg 85'!$X$10&amp;'Reg 85'!$B302),('DMR 001C TIN &amp; TP'!$E$3:$E$10005&amp;'DMR 001C TIN &amp; TP'!$B$3:$B$10005&amp;'DMR 001C TIN &amp; TP'!$A$3:$A$10005),0),MATCH('Reg 85'!$Y$11,'DMR 001C TIN &amp; TP'!$A$2:$M$2,0))),"")</f>
        <v/>
      </c>
      <c r="Z302" s="6" t="str">
        <f t="array" ref="Z302">_xlfn.IFNA((INDEX('DMR 001C TIN &amp; TP'!$A$3:$M$10005,MATCH(('Reg 85'!$X$6&amp;'Reg 85'!$X$10&amp;'Reg 85'!$B302),('DMR 001C TIN &amp; TP'!$E$3:$E$10005&amp;'DMR 001C TIN &amp; TP'!$B$3:$B$10005&amp;'DMR 001C TIN &amp; TP'!$A$3:$A$10005),0),MATCH('Reg 85'!$Z$11,'DMR 001C TIN &amp; TP'!$A$2:$M$2,0))),"")</f>
        <v/>
      </c>
      <c r="AA302" s="53" t="str">
        <f t="shared" si="114"/>
        <v/>
      </c>
      <c r="AB302" s="5" t="str">
        <f t="shared" si="115"/>
        <v/>
      </c>
      <c r="AC302" s="6" t="str">
        <f t="array" ref="AC302">_xlfn.IFNA((INDEX('DMR 001C TIN &amp; TP'!$A$3:$M$10005,MATCH(('Reg 85'!$X$6&amp;'Reg 85'!$AB$10&amp;'Reg 85'!$B302),('DMR 001C TIN &amp; TP'!$E$3:$E$10005&amp;'DMR 001C TIN &amp; TP'!$B$3:$B$10005&amp;'DMR 001C TIN &amp; TP'!$A$3:$A$10005),0),MATCH('Reg 85'!$AC$11,'DMR 001C TIN &amp; TP'!$A$2:$M$2,0))),"")</f>
        <v/>
      </c>
      <c r="AD302" s="6" t="str">
        <f t="array" ref="AD302">_xlfn.IFNA((INDEX('DMR 001C TIN &amp; TP'!$A$3:$M$10005,MATCH(('Reg 85'!$X$6&amp;'Reg 85'!$AB$10&amp;'Reg 85'!$B302),('DMR 001C TIN &amp; TP'!$E$3:$E$10005&amp;'DMR 001C TIN &amp; TP'!$B$3:$B$10005&amp;'DMR 001C TIN &amp; TP'!$A$3:$A$10005),0),MATCH('Reg 85'!$AD$11,'DMR 001C TIN &amp; TP'!$A$2:$M$2,0))),"")</f>
        <v/>
      </c>
      <c r="AE302" s="53" t="str">
        <f t="shared" si="116"/>
        <v/>
      </c>
      <c r="AF302" s="7" t="str">
        <f t="shared" si="117"/>
        <v/>
      </c>
      <c r="AG302" s="6" t="str">
        <f t="array" ref="AG302">_xlfn.IFNA((INDEX('DMR 001C TIN &amp; TP'!$A$3:$M$10005,MATCH(('Reg 85'!$X$6&amp;'Reg 85'!AG$10&amp;'Reg 85'!$B302),('DMR 001C TIN &amp; TP'!$E$3:$E$10005&amp;'DMR 001C TIN &amp; TP'!$B$3:$B$10005&amp;'DMR 001C TIN &amp; TP'!$A$3:$A$10005),0),MATCH('Reg 85'!$AG$11,'DMR 001C TIN &amp; TP'!$A$2:$M$2,0))),"")</f>
        <v/>
      </c>
      <c r="AH302" s="6" t="str">
        <f t="array" ref="AH302">_xlfn.IFNA((INDEX('DMR 001C TIN &amp; TP'!$A$3:$M$10005,MATCH(('Reg 85'!$X$6&amp;'Reg 85'!AH$10&amp;'Reg 85'!$B302),('DMR 001C TIN &amp; TP'!$E$3:$E$10005&amp;'DMR 001C TIN &amp; TP'!$B$3:$B$10005&amp;'DMR 001C TIN &amp; TP'!$A$3:$A$10005),0),MATCH('Reg 85'!$AG$11,'DMR 001C TIN &amp; TP'!$A$2:$M$2,0))),"")</f>
        <v/>
      </c>
      <c r="AI302" s="6" t="str">
        <f t="array" ref="AI302">_xlfn.IFNA((INDEX('DMR 001C TIN &amp; TP'!$A$3:$M$10005,MATCH(('Reg 85'!$X$6&amp;'Reg 85'!AI$10&amp;'Reg 85'!$B302),('DMR 001C TIN &amp; TP'!$E$3:$E$10005&amp;'DMR 001C TIN &amp; TP'!$B$3:$B$10005&amp;'DMR 001C TIN &amp; TP'!$A$3:$A$10005),0),MATCH('Reg 85'!$AG$11,'DMR 001C TIN &amp; TP'!$A$2:$M$2,0))),"")</f>
        <v/>
      </c>
      <c r="AJ302" s="6" t="str">
        <f t="array" ref="AJ302">_xlfn.IFNA((INDEX('DMR 001C TIN &amp; TP'!$A$3:$M$10005,MATCH(('Reg 85'!$X$6&amp;'Reg 85'!AJ$10&amp;'Reg 85'!$B302),('DMR 001C TIN &amp; TP'!$E$3:$E$10005&amp;'DMR 001C TIN &amp; TP'!$B$3:$B$10005&amp;'DMR 001C TIN &amp; TP'!$A$3:$A$10005),0),MATCH('Reg 85'!$AG$11,'DMR 001C TIN &amp; TP'!$A$2:$M$2,0))),"")</f>
        <v/>
      </c>
      <c r="AK302" s="6" t="str">
        <f t="array" ref="AK302">_xlfn.IFNA((INDEX('DMR 001C TIN &amp; TP'!$A$3:$M$10005,MATCH(('Reg 85'!$X$6&amp;'Reg 85'!AK$10&amp;'Reg 85'!$B302),('DMR 001C TIN &amp; TP'!$E$3:$E$10005&amp;'DMR 001C TIN &amp; TP'!$B$3:$B$10005&amp;'DMR 001C TIN &amp; TP'!$A$3:$A$10005),0),MATCH('Reg 85'!$AG$11,'DMR 001C TIN &amp; TP'!$A$2:$M$2,0))),"")</f>
        <v/>
      </c>
      <c r="AL302" s="6" t="str">
        <f t="array" ref="AL302">_xlfn.IFNA((INDEX('DMR 001C TIN &amp; TP'!$A$3:$M$10005,MATCH(('Reg 85'!$X$6&amp;'Reg 85'!AL$10&amp;'Reg 85'!$B302),('DMR 001C TIN &amp; TP'!$E$3:$E$10005&amp;'DMR 001C TIN &amp; TP'!$B$3:$B$10005&amp;'DMR 001C TIN &amp; TP'!$A$3:$A$10005),0),MATCH('Reg 85'!$AG$11,'DMR 001C TIN &amp; TP'!$A$2:$M$2,0))),"")</f>
        <v/>
      </c>
      <c r="AM302" s="76"/>
      <c r="AN302" s="6"/>
      <c r="AO302" s="54" t="str">
        <f t="shared" si="104"/>
        <v/>
      </c>
      <c r="AP302" s="77" t="str">
        <f t="shared" si="123"/>
        <v/>
      </c>
      <c r="AQ302" s="47"/>
      <c r="AR302" s="6" t="str">
        <f t="array" ref="AR302">_xlfn.IFNA((INDEX('DMR 001C TIN &amp; TP'!$A$3:$M$10005,MATCH(('Reg 85'!$AQ$6&amp;'Reg 85'!$AQ$10&amp;'Reg 85'!$B302),('DMR 001C TIN &amp; TP'!$E$3:$E$10005&amp;'DMR 001C TIN &amp; TP'!$B$3:$B$10005&amp;'DMR 001C TIN &amp; TP'!$A$3:$A$10005),0),MATCH('Reg 85'!$AR$11,'DMR 001C TIN &amp; TP'!$A$2:$M$2,0))),"")</f>
        <v/>
      </c>
      <c r="AS302" s="6" t="str">
        <f t="array" ref="AS302">_xlfn.IFNA((INDEX('DMR 001C TIN &amp; TP'!$A$3:$M$10005,MATCH(('Reg 85'!$AQ$6&amp;'Reg 85'!$AQ$10&amp;'Reg 85'!$B302),('DMR 001C TIN &amp; TP'!$E$3:$E$10005&amp;'DMR 001C TIN &amp; TP'!$B$3:$B$10005&amp;'DMR 001C TIN &amp; TP'!$A$3:$A$10005),0),MATCH('Reg 85'!$AS$11,'DMR 001C TIN &amp; TP'!$A$2:$M$2,0))),"")</f>
        <v/>
      </c>
      <c r="AT302" s="53" t="str">
        <f t="shared" si="118"/>
        <v/>
      </c>
      <c r="AV302" s="6" t="str">
        <f t="array" ref="AV302">_xlfn.IFNA((INDEX('DMR 001C TIN &amp; TP'!$A$3:$M$10005,MATCH(('Reg 85'!$AQ$6&amp;'Reg 85'!$AU$10&amp;'Reg 85'!$B302),('DMR 001C TIN &amp; TP'!$E$3:$E$10005&amp;'DMR 001C TIN &amp; TP'!$B$3:$B$10005&amp;'DMR 001C TIN &amp; TP'!$A$3:$A$10005),0),MATCH('Reg 85'!$AV$11,'DMR 001C TIN &amp; TP'!$A$2:$M$2,0))),"")</f>
        <v/>
      </c>
      <c r="AW302" s="6" t="str">
        <f t="array" ref="AW302">_xlfn.IFNA((INDEX('DMR 001C TIN &amp; TP'!$A$3:$M$10005,MATCH(('Reg 85'!$AQ$6&amp;'Reg 85'!$AU$10&amp;'Reg 85'!$B302),('DMR 001C TIN &amp; TP'!$E$3:$E$10005&amp;'DMR 001C TIN &amp; TP'!$B$3:$B$10005&amp;'DMR 001C TIN &amp; TP'!$A$3:$A$10005),0),MATCH('Reg 85'!$AW$11,'DMR 001C TIN &amp; TP'!$A$2:$M$2,0))),"")</f>
        <v/>
      </c>
      <c r="AX302" s="53" t="str">
        <f t="shared" si="119"/>
        <v/>
      </c>
      <c r="AY302" s="55" t="str">
        <f t="shared" si="120"/>
        <v/>
      </c>
      <c r="AZ302" s="77" t="str">
        <f t="shared" si="124"/>
        <v/>
      </c>
      <c r="BA302" s="6" t="str">
        <f t="array" ref="BA302">_xlfn.IFNA((INDEX('DMR 001C TIN &amp; TP'!$A$3:$M$10005,MATCH(('Reg 85'!$AQ$6&amp;'Reg 85'!BA$10&amp;'Reg 85'!$B302),('DMR 001C TIN &amp; TP'!$E$3:$E$10005&amp;'DMR 001C TIN &amp; TP'!$B$3:$B$10005&amp;'DMR 001C TIN &amp; TP'!$A$3:$A$10005),0),MATCH('Reg 85'!$AG$11,'DMR 001C TIN &amp; TP'!$A$2:$M$2,0))),"")</f>
        <v/>
      </c>
      <c r="BB302" s="6" t="str">
        <f t="array" ref="BB302">_xlfn.IFNA((INDEX('DMR 001C TIN &amp; TP'!$A$3:$M$10005,MATCH(('Reg 85'!$AQ$6&amp;'Reg 85'!BB$10&amp;'Reg 85'!$B302),('DMR 001C TIN &amp; TP'!$E$3:$E$10005&amp;'DMR 001C TIN &amp; TP'!$B$3:$B$10005&amp;'DMR 001C TIN &amp; TP'!$A$3:$A$10005),0),MATCH('Reg 85'!$AG$11,'DMR 001C TIN &amp; TP'!$A$2:$M$2,0))),"")</f>
        <v/>
      </c>
      <c r="BC302" s="6" t="str">
        <f t="array" ref="BC302">_xlfn.IFNA((INDEX('DMR 001C TIN &amp; TP'!$A$3:$M$10005,MATCH(('Reg 85'!$AQ$6&amp;'Reg 85'!BC$10&amp;'Reg 85'!$B302),('DMR 001C TIN &amp; TP'!$E$3:$E$10005&amp;'DMR 001C TIN &amp; TP'!$B$3:$B$10005&amp;'DMR 001C TIN &amp; TP'!$A$3:$A$10005),0),MATCH('Reg 85'!$AG$11,'DMR 001C TIN &amp; TP'!$A$2:$M$2,0))),"")</f>
        <v/>
      </c>
      <c r="BD302" s="6" t="str">
        <f t="array" ref="BD302">_xlfn.IFNA((INDEX('DMR 001C TIN &amp; TP'!$A$3:$M$10005,MATCH(('Reg 85'!$AQ$6&amp;'Reg 85'!BD$10&amp;'Reg 85'!$B302),('DMR 001C TIN &amp; TP'!$E$3:$E$10005&amp;'DMR 001C TIN &amp; TP'!$B$3:$B$10005&amp;'DMR 001C TIN &amp; TP'!$A$3:$A$10005),0),MATCH('Reg 85'!$AG$11,'DMR 001C TIN &amp; TP'!$A$2:$M$2,0))),"")</f>
        <v/>
      </c>
      <c r="BE302" s="6" t="str">
        <f t="array" ref="BE302">_xlfn.IFNA((INDEX('DMR 001C TIN &amp; TP'!$A$3:$M$10005,MATCH(('Reg 85'!$AQ$6&amp;'Reg 85'!BE$10&amp;'Reg 85'!$B302),('DMR 001C TIN &amp; TP'!$E$3:$E$10005&amp;'DMR 001C TIN &amp; TP'!$B$3:$B$10005&amp;'DMR 001C TIN &amp; TP'!$A$3:$A$10005),0),MATCH('Reg 85'!$AG$11,'DMR 001C TIN &amp; TP'!$A$2:$M$2,0))),"")</f>
        <v/>
      </c>
      <c r="BF302" s="6" t="str">
        <f t="array" ref="BF302">_xlfn.IFNA((INDEX('DMR 001C TIN &amp; TP'!$A$3:$M$10005,MATCH(('Reg 85'!$AQ$6&amp;'Reg 85'!BF$10&amp;'Reg 85'!$B302),('DMR 001C TIN &amp; TP'!$E$3:$E$10005&amp;'DMR 001C TIN &amp; TP'!$B$3:$B$10005&amp;'DMR 001C TIN &amp; TP'!$A$3:$A$10005),0),MATCH('Reg 85'!$AG$11,'DMR 001C TIN &amp; TP'!$A$2:$M$2,0))),"")</f>
        <v/>
      </c>
    </row>
    <row r="303" spans="1:58">
      <c r="A303" s="3" t="str">
        <f t="shared" si="105"/>
        <v>Wed</v>
      </c>
      <c r="B303" s="96">
        <f t="shared" si="121"/>
        <v>43635</v>
      </c>
      <c r="C303" s="96">
        <f t="shared" si="106"/>
        <v>43646</v>
      </c>
      <c r="D303" s="96">
        <f t="shared" si="107"/>
        <v>43617</v>
      </c>
      <c r="E303" s="95">
        <f t="shared" si="108"/>
        <v>30</v>
      </c>
      <c r="F303" s="7">
        <f t="array" ref="F303">_xlfn.IFNA(INDEX('DMR Flows-Effluent'!$A$3:$F$9999,MATCH(($F$10&amp;$B303),('DMR Flows-Effluent'!$B$3:$B$9999&amp;'DMR Flows-Effluent'!$A$3:$A$9999),0),MATCH($F$8,'DMR Flows-Effluent'!$A$2:$F$2,0)),"")</f>
        <v>73.256600000000006</v>
      </c>
      <c r="G303" s="7">
        <f t="array" ref="G303">_xlfn.IFNA(INDEX('DMR Flows-Effluent'!$A$3:$F$9999,MATCH(($G$10&amp;$B303),('DMR Flows-Effluent'!$B$3:$B$9999&amp;'DMR Flows-Effluent'!$A$3:$A$9999),0),MATCH($F$8,'DMR Flows-Effluent'!$A$2:$F$2,0)),"")</f>
        <v>59.822699999999998</v>
      </c>
      <c r="H303" s="7">
        <f t="shared" si="109"/>
        <v>133.07929999999999</v>
      </c>
      <c r="I303" s="45" t="str">
        <f t="shared" si="110"/>
        <v/>
      </c>
      <c r="J303" s="6" t="str">
        <f t="array" ref="J303">_xlfn.IFNA((INDEX('DMR 001C TIN &amp; TP'!$A$3:$M$10005,MATCH(('Reg 85'!$I$6:$Q$6&amp;'Reg 85'!$I$10:$K$10&amp;'Reg 85'!$B303),('DMR 001C TIN &amp; TP'!$E$3:$E$10005&amp;'DMR 001C TIN &amp; TP'!$B$3:$B$10005&amp;'DMR 001C TIN &amp; TP'!$A$3:$A$10005),0),MATCH('Reg 85'!$J$11,'DMR 001C TIN &amp; TP'!$A$2:$M$2,0))),"")</f>
        <v/>
      </c>
      <c r="K303" s="6" t="str">
        <f t="array" ref="K303">_xlfn.IFNA((INDEX('DMR 001C TIN &amp; TP'!$A$3:$M$10005,MATCH(('Reg 85'!$I$6:$Q$6&amp;'Reg 85'!$I$10:$K$10&amp;'Reg 85'!$B303),('DMR 001C TIN &amp; TP'!$E$3:$E$10005&amp;'DMR 001C TIN &amp; TP'!$B$3:$B$10005&amp;'DMR 001C TIN &amp; TP'!$A$3:$A$10005),0),MATCH('Reg 85'!$K$11,'DMR 001C TIN &amp; TP'!$A$2:$M$2,0))),"")</f>
        <v/>
      </c>
      <c r="L303" s="53" t="str">
        <f t="shared" si="122"/>
        <v/>
      </c>
      <c r="M303" s="5" t="str">
        <f t="shared" si="111"/>
        <v/>
      </c>
      <c r="N303" s="6" t="str">
        <f t="array" ref="N303">_xlfn.IFNA((INDEX('DMR 001C TIN &amp; TP'!$A$3:$M$10005,MATCH(('Reg 85'!$I$6:$Q$6&amp;'Reg 85'!$M$10&amp;'Reg 85'!$B303),('DMR 001C TIN &amp; TP'!$E$3:$E$10005&amp;'DMR 001C TIN &amp; TP'!$B$3:$B$10005&amp;'DMR 001C TIN &amp; TP'!$A$3:$A$10005),0),MATCH('Reg 85'!$N$11,'DMR 001C TIN &amp; TP'!$A$2:$M$2,0))),"")</f>
        <v/>
      </c>
      <c r="O303" s="6" t="str">
        <f t="array" ref="O303">_xlfn.IFNA((INDEX('DMR 001C TIN &amp; TP'!$A$3:$M$10005,MATCH(('Reg 85'!$I$6:$Q$6&amp;'Reg 85'!$M$10&amp;'Reg 85'!$B303),('DMR 001C TIN &amp; TP'!$E$3:$E$10005&amp;'DMR 001C TIN &amp; TP'!$B$3:$B$10005&amp;'DMR 001C TIN &amp; TP'!$A$3:$A$10005),0),MATCH('Reg 85'!$O$11,'DMR 001C TIN &amp; TP'!$A$2:$M$2,0))),"")</f>
        <v/>
      </c>
      <c r="P303" s="53" t="str">
        <f t="shared" si="112"/>
        <v/>
      </c>
      <c r="Q303" s="73" t="str">
        <f t="array" ref="Q303">IFERROR(((L303*$F303)+(P303*$G303))/($H303),"")</f>
        <v/>
      </c>
      <c r="R303" s="6" t="str">
        <f t="array" ref="R303">_xlfn.IFNA((INDEX('DMR 001C TIN &amp; TP'!$A$3:$M$10005,MATCH(('Reg 85'!$I$6:$Q$6&amp;'Reg 85'!R$10&amp;'Reg 85'!$B303),('DMR 001C TIN &amp; TP'!$E$3:$E$10005&amp;'DMR 001C TIN &amp; TP'!$B$3:$B$10005&amp;'DMR 001C TIN &amp; TP'!$A$3:$A$10005),0),MATCH('Reg 85'!$O$11,'DMR 001C TIN &amp; TP'!$A$2:$M$2,0))),"")</f>
        <v/>
      </c>
      <c r="S303" s="6" t="str">
        <f t="array" ref="S303">_xlfn.IFNA((INDEX('DMR 001C TIN &amp; TP'!$A$3:$M$10005,MATCH(('Reg 85'!$I$6:$Q$6&amp;'Reg 85'!S$10&amp;'Reg 85'!$B303),('DMR 001C TIN &amp; TP'!$E$3:$E$10005&amp;'DMR 001C TIN &amp; TP'!$B$3:$B$10005&amp;'DMR 001C TIN &amp; TP'!$A$3:$A$10005),0),MATCH('Reg 85'!$O$11,'DMR 001C TIN &amp; TP'!$A$2:$M$2,0))),"")</f>
        <v/>
      </c>
      <c r="T303" s="6" t="str">
        <f t="array" ref="T303">_xlfn.IFNA((INDEX('DMR 001C TIN &amp; TP'!$A$3:$M$10005,MATCH(('Reg 85'!$I$6:$Q$6&amp;'Reg 85'!T$10&amp;'Reg 85'!$B303),('DMR 001C TIN &amp; TP'!$E$3:$E$10005&amp;'DMR 001C TIN &amp; TP'!$B$3:$B$10005&amp;'DMR 001C TIN &amp; TP'!$A$3:$A$10005),0),MATCH('Reg 85'!$O$11,'DMR 001C TIN &amp; TP'!$A$2:$M$2,0))),"")</f>
        <v/>
      </c>
      <c r="U303" s="6" t="str">
        <f t="array" ref="U303">_xlfn.IFNA((INDEX('DMR 001C TIN &amp; TP'!$A$3:$M$10005,MATCH(('Reg 85'!$I$6:$Q$6&amp;'Reg 85'!U$10&amp;'Reg 85'!$B303),('DMR 001C TIN &amp; TP'!$E$3:$E$10005&amp;'DMR 001C TIN &amp; TP'!$B$3:$B$10005&amp;'DMR 001C TIN &amp; TP'!$A$3:$A$10005),0),MATCH('Reg 85'!$O$11,'DMR 001C TIN &amp; TP'!$A$2:$M$2,0))),"")</f>
        <v/>
      </c>
      <c r="V303" s="6" t="str">
        <f t="array" ref="V303">_xlfn.IFNA((INDEX('DMR 001C TIN &amp; TP'!$A$3:$M$10005,MATCH(('Reg 85'!$I$6:$Q$6&amp;'Reg 85'!V$10&amp;'Reg 85'!$B303),('DMR 001C TIN &amp; TP'!$E$3:$E$10005&amp;'DMR 001C TIN &amp; TP'!$B$3:$B$10005&amp;'DMR 001C TIN &amp; TP'!$A$3:$A$10005),0),MATCH('Reg 85'!$O$11,'DMR 001C TIN &amp; TP'!$A$2:$M$2,0))),"")</f>
        <v/>
      </c>
      <c r="W303" s="6" t="str">
        <f t="array" ref="W303">_xlfn.IFNA((INDEX('DMR 001C TIN &amp; TP'!$A$3:$M$10005,MATCH(('Reg 85'!$I$6:$Q$6&amp;'Reg 85'!W$10&amp;'Reg 85'!$B303),('DMR 001C TIN &amp; TP'!$E$3:$E$10005&amp;'DMR 001C TIN &amp; TP'!$B$3:$B$10005&amp;'DMR 001C TIN &amp; TP'!$A$3:$A$10005),0),MATCH('Reg 85'!$O$11,'DMR 001C TIN &amp; TP'!$A$2:$M$2,0))),"")</f>
        <v/>
      </c>
      <c r="X303" s="5" t="str">
        <f t="shared" si="113"/>
        <v/>
      </c>
      <c r="Y303" s="6" t="str">
        <f t="array" ref="Y303">_xlfn.IFNA((INDEX('DMR 001C TIN &amp; TP'!$A$3:$M$10005,MATCH(('Reg 85'!$X$6&amp;'Reg 85'!$X$10&amp;'Reg 85'!$B303),('DMR 001C TIN &amp; TP'!$E$3:$E$10005&amp;'DMR 001C TIN &amp; TP'!$B$3:$B$10005&amp;'DMR 001C TIN &amp; TP'!$A$3:$A$10005),0),MATCH('Reg 85'!$Y$11,'DMR 001C TIN &amp; TP'!$A$2:$M$2,0))),"")</f>
        <v/>
      </c>
      <c r="Z303" s="6" t="str">
        <f t="array" ref="Z303">_xlfn.IFNA((INDEX('DMR 001C TIN &amp; TP'!$A$3:$M$10005,MATCH(('Reg 85'!$X$6&amp;'Reg 85'!$X$10&amp;'Reg 85'!$B303),('DMR 001C TIN &amp; TP'!$E$3:$E$10005&amp;'DMR 001C TIN &amp; TP'!$B$3:$B$10005&amp;'DMR 001C TIN &amp; TP'!$A$3:$A$10005),0),MATCH('Reg 85'!$Z$11,'DMR 001C TIN &amp; TP'!$A$2:$M$2,0))),"")</f>
        <v/>
      </c>
      <c r="AA303" s="53" t="str">
        <f t="shared" si="114"/>
        <v/>
      </c>
      <c r="AB303" s="5" t="str">
        <f t="shared" si="115"/>
        <v/>
      </c>
      <c r="AC303" s="6" t="str">
        <f t="array" ref="AC303">_xlfn.IFNA((INDEX('DMR 001C TIN &amp; TP'!$A$3:$M$10005,MATCH(('Reg 85'!$X$6&amp;'Reg 85'!$AB$10&amp;'Reg 85'!$B303),('DMR 001C TIN &amp; TP'!$E$3:$E$10005&amp;'DMR 001C TIN &amp; TP'!$B$3:$B$10005&amp;'DMR 001C TIN &amp; TP'!$A$3:$A$10005),0),MATCH('Reg 85'!$AC$11,'DMR 001C TIN &amp; TP'!$A$2:$M$2,0))),"")</f>
        <v/>
      </c>
      <c r="AD303" s="6" t="str">
        <f t="array" ref="AD303">_xlfn.IFNA((INDEX('DMR 001C TIN &amp; TP'!$A$3:$M$10005,MATCH(('Reg 85'!$X$6&amp;'Reg 85'!$AB$10&amp;'Reg 85'!$B303),('DMR 001C TIN &amp; TP'!$E$3:$E$10005&amp;'DMR 001C TIN &amp; TP'!$B$3:$B$10005&amp;'DMR 001C TIN &amp; TP'!$A$3:$A$10005),0),MATCH('Reg 85'!$AD$11,'DMR 001C TIN &amp; TP'!$A$2:$M$2,0))),"")</f>
        <v/>
      </c>
      <c r="AE303" s="53" t="str">
        <f t="shared" si="116"/>
        <v/>
      </c>
      <c r="AF303" s="7" t="str">
        <f t="shared" si="117"/>
        <v/>
      </c>
      <c r="AG303" s="6" t="str">
        <f t="array" ref="AG303">_xlfn.IFNA((INDEX('DMR 001C TIN &amp; TP'!$A$3:$M$10005,MATCH(('Reg 85'!$X$6&amp;'Reg 85'!AG$10&amp;'Reg 85'!$B303),('DMR 001C TIN &amp; TP'!$E$3:$E$10005&amp;'DMR 001C TIN &amp; TP'!$B$3:$B$10005&amp;'DMR 001C TIN &amp; TP'!$A$3:$A$10005),0),MATCH('Reg 85'!$AG$11,'DMR 001C TIN &amp; TP'!$A$2:$M$2,0))),"")</f>
        <v/>
      </c>
      <c r="AH303" s="6" t="str">
        <f t="array" ref="AH303">_xlfn.IFNA((INDEX('DMR 001C TIN &amp; TP'!$A$3:$M$10005,MATCH(('Reg 85'!$X$6&amp;'Reg 85'!AH$10&amp;'Reg 85'!$B303),('DMR 001C TIN &amp; TP'!$E$3:$E$10005&amp;'DMR 001C TIN &amp; TP'!$B$3:$B$10005&amp;'DMR 001C TIN &amp; TP'!$A$3:$A$10005),0),MATCH('Reg 85'!$AG$11,'DMR 001C TIN &amp; TP'!$A$2:$M$2,0))),"")</f>
        <v/>
      </c>
      <c r="AI303" s="6" t="str">
        <f t="array" ref="AI303">_xlfn.IFNA((INDEX('DMR 001C TIN &amp; TP'!$A$3:$M$10005,MATCH(('Reg 85'!$X$6&amp;'Reg 85'!AI$10&amp;'Reg 85'!$B303),('DMR 001C TIN &amp; TP'!$E$3:$E$10005&amp;'DMR 001C TIN &amp; TP'!$B$3:$B$10005&amp;'DMR 001C TIN &amp; TP'!$A$3:$A$10005),0),MATCH('Reg 85'!$AG$11,'DMR 001C TIN &amp; TP'!$A$2:$M$2,0))),"")</f>
        <v/>
      </c>
      <c r="AJ303" s="6" t="str">
        <f t="array" ref="AJ303">_xlfn.IFNA((INDEX('DMR 001C TIN &amp; TP'!$A$3:$M$10005,MATCH(('Reg 85'!$X$6&amp;'Reg 85'!AJ$10&amp;'Reg 85'!$B303),('DMR 001C TIN &amp; TP'!$E$3:$E$10005&amp;'DMR 001C TIN &amp; TP'!$B$3:$B$10005&amp;'DMR 001C TIN &amp; TP'!$A$3:$A$10005),0),MATCH('Reg 85'!$AG$11,'DMR 001C TIN &amp; TP'!$A$2:$M$2,0))),"")</f>
        <v/>
      </c>
      <c r="AK303" s="6" t="str">
        <f t="array" ref="AK303">_xlfn.IFNA((INDEX('DMR 001C TIN &amp; TP'!$A$3:$M$10005,MATCH(('Reg 85'!$X$6&amp;'Reg 85'!AK$10&amp;'Reg 85'!$B303),('DMR 001C TIN &amp; TP'!$E$3:$E$10005&amp;'DMR 001C TIN &amp; TP'!$B$3:$B$10005&amp;'DMR 001C TIN &amp; TP'!$A$3:$A$10005),0),MATCH('Reg 85'!$AG$11,'DMR 001C TIN &amp; TP'!$A$2:$M$2,0))),"")</f>
        <v/>
      </c>
      <c r="AL303" s="6" t="str">
        <f t="array" ref="AL303">_xlfn.IFNA((INDEX('DMR 001C TIN &amp; TP'!$A$3:$M$10005,MATCH(('Reg 85'!$X$6&amp;'Reg 85'!AL$10&amp;'Reg 85'!$B303),('DMR 001C TIN &amp; TP'!$E$3:$E$10005&amp;'DMR 001C TIN &amp; TP'!$B$3:$B$10005&amp;'DMR 001C TIN &amp; TP'!$A$3:$A$10005),0),MATCH('Reg 85'!$AG$11,'DMR 001C TIN &amp; TP'!$A$2:$M$2,0))),"")</f>
        <v/>
      </c>
      <c r="AM303" s="76"/>
      <c r="AN303" s="6"/>
      <c r="AO303" s="54" t="str">
        <f t="shared" si="104"/>
        <v/>
      </c>
      <c r="AP303" s="77" t="str">
        <f t="shared" si="123"/>
        <v/>
      </c>
      <c r="AQ303" s="47"/>
      <c r="AR303" s="6" t="str">
        <f t="array" ref="AR303">_xlfn.IFNA((INDEX('DMR 001C TIN &amp; TP'!$A$3:$M$10005,MATCH(('Reg 85'!$AQ$6&amp;'Reg 85'!$AQ$10&amp;'Reg 85'!$B303),('DMR 001C TIN &amp; TP'!$E$3:$E$10005&amp;'DMR 001C TIN &amp; TP'!$B$3:$B$10005&amp;'DMR 001C TIN &amp; TP'!$A$3:$A$10005),0),MATCH('Reg 85'!$AR$11,'DMR 001C TIN &amp; TP'!$A$2:$M$2,0))),"")</f>
        <v>0.03</v>
      </c>
      <c r="AS303" s="6">
        <f t="array" ref="AS303">_xlfn.IFNA((INDEX('DMR 001C TIN &amp; TP'!$A$3:$M$10005,MATCH(('Reg 85'!$AQ$6&amp;'Reg 85'!$AQ$10&amp;'Reg 85'!$B303),('DMR 001C TIN &amp; TP'!$E$3:$E$10005&amp;'DMR 001C TIN &amp; TP'!$B$3:$B$10005&amp;'DMR 001C TIN &amp; TP'!$A$3:$A$10005),0),MATCH('Reg 85'!$AS$11,'DMR 001C TIN &amp; TP'!$A$2:$M$2,0))),"")</f>
        <v>0.34</v>
      </c>
      <c r="AT303" s="53">
        <f t="shared" si="118"/>
        <v>0.34</v>
      </c>
      <c r="AV303" s="6" t="str">
        <f t="array" ref="AV303">_xlfn.IFNA((INDEX('DMR 001C TIN &amp; TP'!$A$3:$M$10005,MATCH(('Reg 85'!$AQ$6&amp;'Reg 85'!$AU$10&amp;'Reg 85'!$B303),('DMR 001C TIN &amp; TP'!$E$3:$E$10005&amp;'DMR 001C TIN &amp; TP'!$B$3:$B$10005&amp;'DMR 001C TIN &amp; TP'!$A$3:$A$10005),0),MATCH('Reg 85'!$AV$11,'DMR 001C TIN &amp; TP'!$A$2:$M$2,0))),"")</f>
        <v>0.03</v>
      </c>
      <c r="AW303" s="6">
        <f t="array" ref="AW303">_xlfn.IFNA((INDEX('DMR 001C TIN &amp; TP'!$A$3:$M$10005,MATCH(('Reg 85'!$AQ$6&amp;'Reg 85'!$AU$10&amp;'Reg 85'!$B303),('DMR 001C TIN &amp; TP'!$E$3:$E$10005&amp;'DMR 001C TIN &amp; TP'!$B$3:$B$10005&amp;'DMR 001C TIN &amp; TP'!$A$3:$A$10005),0),MATCH('Reg 85'!$AW$11,'DMR 001C TIN &amp; TP'!$A$2:$M$2,0))),"")</f>
        <v>3.65</v>
      </c>
      <c r="AX303" s="53">
        <f t="shared" si="119"/>
        <v>3.65</v>
      </c>
      <c r="AY303" s="55">
        <f t="shared" si="120"/>
        <v>1.8279334126344216</v>
      </c>
      <c r="AZ303" s="77" t="str">
        <f t="shared" si="124"/>
        <v/>
      </c>
      <c r="BA303" s="6" t="str">
        <f t="array" ref="BA303">_xlfn.IFNA((INDEX('DMR 001C TIN &amp; TP'!$A$3:$M$10005,MATCH(('Reg 85'!$AQ$6&amp;'Reg 85'!BA$10&amp;'Reg 85'!$B303),('DMR 001C TIN &amp; TP'!$E$3:$E$10005&amp;'DMR 001C TIN &amp; TP'!$B$3:$B$10005&amp;'DMR 001C TIN &amp; TP'!$A$3:$A$10005),0),MATCH('Reg 85'!$AG$11,'DMR 001C TIN &amp; TP'!$A$2:$M$2,0))),"")</f>
        <v/>
      </c>
      <c r="BB303" s="6" t="str">
        <f t="array" ref="BB303">_xlfn.IFNA((INDEX('DMR 001C TIN &amp; TP'!$A$3:$M$10005,MATCH(('Reg 85'!$AQ$6&amp;'Reg 85'!BB$10&amp;'Reg 85'!$B303),('DMR 001C TIN &amp; TP'!$E$3:$E$10005&amp;'DMR 001C TIN &amp; TP'!$B$3:$B$10005&amp;'DMR 001C TIN &amp; TP'!$A$3:$A$10005),0),MATCH('Reg 85'!$AG$11,'DMR 001C TIN &amp; TP'!$A$2:$M$2,0))),"")</f>
        <v/>
      </c>
      <c r="BC303" s="6" t="str">
        <f t="array" ref="BC303">_xlfn.IFNA((INDEX('DMR 001C TIN &amp; TP'!$A$3:$M$10005,MATCH(('Reg 85'!$AQ$6&amp;'Reg 85'!BC$10&amp;'Reg 85'!$B303),('DMR 001C TIN &amp; TP'!$E$3:$E$10005&amp;'DMR 001C TIN &amp; TP'!$B$3:$B$10005&amp;'DMR 001C TIN &amp; TP'!$A$3:$A$10005),0),MATCH('Reg 85'!$AG$11,'DMR 001C TIN &amp; TP'!$A$2:$M$2,0))),"")</f>
        <v/>
      </c>
      <c r="BD303" s="6" t="str">
        <f t="array" ref="BD303">_xlfn.IFNA((INDEX('DMR 001C TIN &amp; TP'!$A$3:$M$10005,MATCH(('Reg 85'!$AQ$6&amp;'Reg 85'!BD$10&amp;'Reg 85'!$B303),('DMR 001C TIN &amp; TP'!$E$3:$E$10005&amp;'DMR 001C TIN &amp; TP'!$B$3:$B$10005&amp;'DMR 001C TIN &amp; TP'!$A$3:$A$10005),0),MATCH('Reg 85'!$AG$11,'DMR 001C TIN &amp; TP'!$A$2:$M$2,0))),"")</f>
        <v/>
      </c>
      <c r="BE303" s="6" t="str">
        <f t="array" ref="BE303">_xlfn.IFNA((INDEX('DMR 001C TIN &amp; TP'!$A$3:$M$10005,MATCH(('Reg 85'!$AQ$6&amp;'Reg 85'!BE$10&amp;'Reg 85'!$B303),('DMR 001C TIN &amp; TP'!$E$3:$E$10005&amp;'DMR 001C TIN &amp; TP'!$B$3:$B$10005&amp;'DMR 001C TIN &amp; TP'!$A$3:$A$10005),0),MATCH('Reg 85'!$AG$11,'DMR 001C TIN &amp; TP'!$A$2:$M$2,0))),"")</f>
        <v/>
      </c>
      <c r="BF303" s="6" t="str">
        <f t="array" ref="BF303">_xlfn.IFNA((INDEX('DMR 001C TIN &amp; TP'!$A$3:$M$10005,MATCH(('Reg 85'!$AQ$6&amp;'Reg 85'!BF$10&amp;'Reg 85'!$B303),('DMR 001C TIN &amp; TP'!$E$3:$E$10005&amp;'DMR 001C TIN &amp; TP'!$B$3:$B$10005&amp;'DMR 001C TIN &amp; TP'!$A$3:$A$10005),0),MATCH('Reg 85'!$AG$11,'DMR 001C TIN &amp; TP'!$A$2:$M$2,0))),"")</f>
        <v/>
      </c>
    </row>
    <row r="304" spans="1:58">
      <c r="A304" s="3" t="str">
        <f t="shared" si="105"/>
        <v>Thu</v>
      </c>
      <c r="B304" s="96">
        <f t="shared" si="121"/>
        <v>43636</v>
      </c>
      <c r="C304" s="96">
        <f t="shared" si="106"/>
        <v>43646</v>
      </c>
      <c r="D304" s="96">
        <f t="shared" si="107"/>
        <v>43617</v>
      </c>
      <c r="E304" s="95">
        <f t="shared" si="108"/>
        <v>30</v>
      </c>
      <c r="F304" s="7">
        <f t="array" ref="F304">_xlfn.IFNA(INDEX('DMR Flows-Effluent'!$A$3:$F$9999,MATCH(($F$10&amp;$B304),('DMR Flows-Effluent'!$B$3:$B$9999&amp;'DMR Flows-Effluent'!$A$3:$A$9999),0),MATCH($F$8,'DMR Flows-Effluent'!$A$2:$F$2,0)),"")</f>
        <v>70.818899999999999</v>
      </c>
      <c r="G304" s="7">
        <f t="array" ref="G304">_xlfn.IFNA(INDEX('DMR Flows-Effluent'!$A$3:$F$9999,MATCH(($G$10&amp;$B304),('DMR Flows-Effluent'!$B$3:$B$9999&amp;'DMR Flows-Effluent'!$A$3:$A$9999),0),MATCH($F$8,'DMR Flows-Effluent'!$A$2:$F$2,0)),"")</f>
        <v>58.329099999999997</v>
      </c>
      <c r="H304" s="7">
        <f t="shared" si="109"/>
        <v>129.148</v>
      </c>
      <c r="I304" s="45" t="str">
        <f t="shared" si="110"/>
        <v/>
      </c>
      <c r="J304" s="6" t="str">
        <f t="array" ref="J304">_xlfn.IFNA((INDEX('DMR 001C TIN &amp; TP'!$A$3:$M$10005,MATCH(('Reg 85'!$I$6:$Q$6&amp;'Reg 85'!$I$10:$K$10&amp;'Reg 85'!$B304),('DMR 001C TIN &amp; TP'!$E$3:$E$10005&amp;'DMR 001C TIN &amp; TP'!$B$3:$B$10005&amp;'DMR 001C TIN &amp; TP'!$A$3:$A$10005),0),MATCH('Reg 85'!$J$11,'DMR 001C TIN &amp; TP'!$A$2:$M$2,0))),"")</f>
        <v/>
      </c>
      <c r="K304" s="6" t="str">
        <f t="array" ref="K304">_xlfn.IFNA((INDEX('DMR 001C TIN &amp; TP'!$A$3:$M$10005,MATCH(('Reg 85'!$I$6:$Q$6&amp;'Reg 85'!$I$10:$K$10&amp;'Reg 85'!$B304),('DMR 001C TIN &amp; TP'!$E$3:$E$10005&amp;'DMR 001C TIN &amp; TP'!$B$3:$B$10005&amp;'DMR 001C TIN &amp; TP'!$A$3:$A$10005),0),MATCH('Reg 85'!$K$11,'DMR 001C TIN &amp; TP'!$A$2:$M$2,0))),"")</f>
        <v/>
      </c>
      <c r="L304" s="53" t="str">
        <f t="shared" si="122"/>
        <v/>
      </c>
      <c r="M304" s="5" t="str">
        <f t="shared" si="111"/>
        <v/>
      </c>
      <c r="N304" s="6" t="str">
        <f t="array" ref="N304">_xlfn.IFNA((INDEX('DMR 001C TIN &amp; TP'!$A$3:$M$10005,MATCH(('Reg 85'!$I$6:$Q$6&amp;'Reg 85'!$M$10&amp;'Reg 85'!$B304),('DMR 001C TIN &amp; TP'!$E$3:$E$10005&amp;'DMR 001C TIN &amp; TP'!$B$3:$B$10005&amp;'DMR 001C TIN &amp; TP'!$A$3:$A$10005),0),MATCH('Reg 85'!$N$11,'DMR 001C TIN &amp; TP'!$A$2:$M$2,0))),"")</f>
        <v/>
      </c>
      <c r="O304" s="6" t="str">
        <f t="array" ref="O304">_xlfn.IFNA((INDEX('DMR 001C TIN &amp; TP'!$A$3:$M$10005,MATCH(('Reg 85'!$I$6:$Q$6&amp;'Reg 85'!$M$10&amp;'Reg 85'!$B304),('DMR 001C TIN &amp; TP'!$E$3:$E$10005&amp;'DMR 001C TIN &amp; TP'!$B$3:$B$10005&amp;'DMR 001C TIN &amp; TP'!$A$3:$A$10005),0),MATCH('Reg 85'!$O$11,'DMR 001C TIN &amp; TP'!$A$2:$M$2,0))),"")</f>
        <v/>
      </c>
      <c r="P304" s="53" t="str">
        <f t="shared" si="112"/>
        <v/>
      </c>
      <c r="Q304" s="73" t="str">
        <f t="array" ref="Q304">IFERROR(((L304*$F304)+(P304*$G304))/($H304),"")</f>
        <v/>
      </c>
      <c r="R304" s="6" t="str">
        <f t="array" ref="R304">_xlfn.IFNA((INDEX('DMR 001C TIN &amp; TP'!$A$3:$M$10005,MATCH(('Reg 85'!$I$6:$Q$6&amp;'Reg 85'!R$10&amp;'Reg 85'!$B304),('DMR 001C TIN &amp; TP'!$E$3:$E$10005&amp;'DMR 001C TIN &amp; TP'!$B$3:$B$10005&amp;'DMR 001C TIN &amp; TP'!$A$3:$A$10005),0),MATCH('Reg 85'!$O$11,'DMR 001C TIN &amp; TP'!$A$2:$M$2,0))),"")</f>
        <v/>
      </c>
      <c r="S304" s="6" t="str">
        <f t="array" ref="S304">_xlfn.IFNA((INDEX('DMR 001C TIN &amp; TP'!$A$3:$M$10005,MATCH(('Reg 85'!$I$6:$Q$6&amp;'Reg 85'!S$10&amp;'Reg 85'!$B304),('DMR 001C TIN &amp; TP'!$E$3:$E$10005&amp;'DMR 001C TIN &amp; TP'!$B$3:$B$10005&amp;'DMR 001C TIN &amp; TP'!$A$3:$A$10005),0),MATCH('Reg 85'!$O$11,'DMR 001C TIN &amp; TP'!$A$2:$M$2,0))),"")</f>
        <v/>
      </c>
      <c r="T304" s="6" t="str">
        <f t="array" ref="T304">_xlfn.IFNA((INDEX('DMR 001C TIN &amp; TP'!$A$3:$M$10005,MATCH(('Reg 85'!$I$6:$Q$6&amp;'Reg 85'!T$10&amp;'Reg 85'!$B304),('DMR 001C TIN &amp; TP'!$E$3:$E$10005&amp;'DMR 001C TIN &amp; TP'!$B$3:$B$10005&amp;'DMR 001C TIN &amp; TP'!$A$3:$A$10005),0),MATCH('Reg 85'!$O$11,'DMR 001C TIN &amp; TP'!$A$2:$M$2,0))),"")</f>
        <v/>
      </c>
      <c r="U304" s="6" t="str">
        <f t="array" ref="U304">_xlfn.IFNA((INDEX('DMR 001C TIN &amp; TP'!$A$3:$M$10005,MATCH(('Reg 85'!$I$6:$Q$6&amp;'Reg 85'!U$10&amp;'Reg 85'!$B304),('DMR 001C TIN &amp; TP'!$E$3:$E$10005&amp;'DMR 001C TIN &amp; TP'!$B$3:$B$10005&amp;'DMR 001C TIN &amp; TP'!$A$3:$A$10005),0),MATCH('Reg 85'!$O$11,'DMR 001C TIN &amp; TP'!$A$2:$M$2,0))),"")</f>
        <v/>
      </c>
      <c r="V304" s="6" t="str">
        <f t="array" ref="V304">_xlfn.IFNA((INDEX('DMR 001C TIN &amp; TP'!$A$3:$M$10005,MATCH(('Reg 85'!$I$6:$Q$6&amp;'Reg 85'!V$10&amp;'Reg 85'!$B304),('DMR 001C TIN &amp; TP'!$E$3:$E$10005&amp;'DMR 001C TIN &amp; TP'!$B$3:$B$10005&amp;'DMR 001C TIN &amp; TP'!$A$3:$A$10005),0),MATCH('Reg 85'!$O$11,'DMR 001C TIN &amp; TP'!$A$2:$M$2,0))),"")</f>
        <v/>
      </c>
      <c r="W304" s="6" t="str">
        <f t="array" ref="W304">_xlfn.IFNA((INDEX('DMR 001C TIN &amp; TP'!$A$3:$M$10005,MATCH(('Reg 85'!$I$6:$Q$6&amp;'Reg 85'!W$10&amp;'Reg 85'!$B304),('DMR 001C TIN &amp; TP'!$E$3:$E$10005&amp;'DMR 001C TIN &amp; TP'!$B$3:$B$10005&amp;'DMR 001C TIN &amp; TP'!$A$3:$A$10005),0),MATCH('Reg 85'!$O$11,'DMR 001C TIN &amp; TP'!$A$2:$M$2,0))),"")</f>
        <v/>
      </c>
      <c r="X304" s="5" t="str">
        <f t="shared" si="113"/>
        <v/>
      </c>
      <c r="Y304" s="6" t="str">
        <f t="array" ref="Y304">_xlfn.IFNA((INDEX('DMR 001C TIN &amp; TP'!$A$3:$M$10005,MATCH(('Reg 85'!$X$6&amp;'Reg 85'!$X$10&amp;'Reg 85'!$B304),('DMR 001C TIN &amp; TP'!$E$3:$E$10005&amp;'DMR 001C TIN &amp; TP'!$B$3:$B$10005&amp;'DMR 001C TIN &amp; TP'!$A$3:$A$10005),0),MATCH('Reg 85'!$Y$11,'DMR 001C TIN &amp; TP'!$A$2:$M$2,0))),"")</f>
        <v/>
      </c>
      <c r="Z304" s="6" t="str">
        <f t="array" ref="Z304">_xlfn.IFNA((INDEX('DMR 001C TIN &amp; TP'!$A$3:$M$10005,MATCH(('Reg 85'!$X$6&amp;'Reg 85'!$X$10&amp;'Reg 85'!$B304),('DMR 001C TIN &amp; TP'!$E$3:$E$10005&amp;'DMR 001C TIN &amp; TP'!$B$3:$B$10005&amp;'DMR 001C TIN &amp; TP'!$A$3:$A$10005),0),MATCH('Reg 85'!$Z$11,'DMR 001C TIN &amp; TP'!$A$2:$M$2,0))),"")</f>
        <v/>
      </c>
      <c r="AA304" s="53" t="str">
        <f t="shared" si="114"/>
        <v/>
      </c>
      <c r="AB304" s="5" t="str">
        <f t="shared" si="115"/>
        <v/>
      </c>
      <c r="AC304" s="6" t="str">
        <f t="array" ref="AC304">_xlfn.IFNA((INDEX('DMR 001C TIN &amp; TP'!$A$3:$M$10005,MATCH(('Reg 85'!$X$6&amp;'Reg 85'!$AB$10&amp;'Reg 85'!$B304),('DMR 001C TIN &amp; TP'!$E$3:$E$10005&amp;'DMR 001C TIN &amp; TP'!$B$3:$B$10005&amp;'DMR 001C TIN &amp; TP'!$A$3:$A$10005),0),MATCH('Reg 85'!$AC$11,'DMR 001C TIN &amp; TP'!$A$2:$M$2,0))),"")</f>
        <v/>
      </c>
      <c r="AD304" s="6" t="str">
        <f t="array" ref="AD304">_xlfn.IFNA((INDEX('DMR 001C TIN &amp; TP'!$A$3:$M$10005,MATCH(('Reg 85'!$X$6&amp;'Reg 85'!$AB$10&amp;'Reg 85'!$B304),('DMR 001C TIN &amp; TP'!$E$3:$E$10005&amp;'DMR 001C TIN &amp; TP'!$B$3:$B$10005&amp;'DMR 001C TIN &amp; TP'!$A$3:$A$10005),0),MATCH('Reg 85'!$AD$11,'DMR 001C TIN &amp; TP'!$A$2:$M$2,0))),"")</f>
        <v/>
      </c>
      <c r="AE304" s="53" t="str">
        <f t="shared" si="116"/>
        <v/>
      </c>
      <c r="AF304" s="7" t="str">
        <f t="shared" si="117"/>
        <v/>
      </c>
      <c r="AG304" s="6" t="str">
        <f t="array" ref="AG304">_xlfn.IFNA((INDEX('DMR 001C TIN &amp; TP'!$A$3:$M$10005,MATCH(('Reg 85'!$X$6&amp;'Reg 85'!AG$10&amp;'Reg 85'!$B304),('DMR 001C TIN &amp; TP'!$E$3:$E$10005&amp;'DMR 001C TIN &amp; TP'!$B$3:$B$10005&amp;'DMR 001C TIN &amp; TP'!$A$3:$A$10005),0),MATCH('Reg 85'!$AG$11,'DMR 001C TIN &amp; TP'!$A$2:$M$2,0))),"")</f>
        <v/>
      </c>
      <c r="AH304" s="6" t="str">
        <f t="array" ref="AH304">_xlfn.IFNA((INDEX('DMR 001C TIN &amp; TP'!$A$3:$M$10005,MATCH(('Reg 85'!$X$6&amp;'Reg 85'!AH$10&amp;'Reg 85'!$B304),('DMR 001C TIN &amp; TP'!$E$3:$E$10005&amp;'DMR 001C TIN &amp; TP'!$B$3:$B$10005&amp;'DMR 001C TIN &amp; TP'!$A$3:$A$10005),0),MATCH('Reg 85'!$AG$11,'DMR 001C TIN &amp; TP'!$A$2:$M$2,0))),"")</f>
        <v/>
      </c>
      <c r="AI304" s="6" t="str">
        <f t="array" ref="AI304">_xlfn.IFNA((INDEX('DMR 001C TIN &amp; TP'!$A$3:$M$10005,MATCH(('Reg 85'!$X$6&amp;'Reg 85'!AI$10&amp;'Reg 85'!$B304),('DMR 001C TIN &amp; TP'!$E$3:$E$10005&amp;'DMR 001C TIN &amp; TP'!$B$3:$B$10005&amp;'DMR 001C TIN &amp; TP'!$A$3:$A$10005),0),MATCH('Reg 85'!$AG$11,'DMR 001C TIN &amp; TP'!$A$2:$M$2,0))),"")</f>
        <v/>
      </c>
      <c r="AJ304" s="6" t="str">
        <f t="array" ref="AJ304">_xlfn.IFNA((INDEX('DMR 001C TIN &amp; TP'!$A$3:$M$10005,MATCH(('Reg 85'!$X$6&amp;'Reg 85'!AJ$10&amp;'Reg 85'!$B304),('DMR 001C TIN &amp; TP'!$E$3:$E$10005&amp;'DMR 001C TIN &amp; TP'!$B$3:$B$10005&amp;'DMR 001C TIN &amp; TP'!$A$3:$A$10005),0),MATCH('Reg 85'!$AG$11,'DMR 001C TIN &amp; TP'!$A$2:$M$2,0))),"")</f>
        <v/>
      </c>
      <c r="AK304" s="6" t="str">
        <f t="array" ref="AK304">_xlfn.IFNA((INDEX('DMR 001C TIN &amp; TP'!$A$3:$M$10005,MATCH(('Reg 85'!$X$6&amp;'Reg 85'!AK$10&amp;'Reg 85'!$B304),('DMR 001C TIN &amp; TP'!$E$3:$E$10005&amp;'DMR 001C TIN &amp; TP'!$B$3:$B$10005&amp;'DMR 001C TIN &amp; TP'!$A$3:$A$10005),0),MATCH('Reg 85'!$AG$11,'DMR 001C TIN &amp; TP'!$A$2:$M$2,0))),"")</f>
        <v/>
      </c>
      <c r="AL304" s="6" t="str">
        <f t="array" ref="AL304">_xlfn.IFNA((INDEX('DMR 001C TIN &amp; TP'!$A$3:$M$10005,MATCH(('Reg 85'!$X$6&amp;'Reg 85'!AL$10&amp;'Reg 85'!$B304),('DMR 001C TIN &amp; TP'!$E$3:$E$10005&amp;'DMR 001C TIN &amp; TP'!$B$3:$B$10005&amp;'DMR 001C TIN &amp; TP'!$A$3:$A$10005),0),MATCH('Reg 85'!$AG$11,'DMR 001C TIN &amp; TP'!$A$2:$M$2,0))),"")</f>
        <v/>
      </c>
      <c r="AM304" s="76"/>
      <c r="AN304" s="6"/>
      <c r="AO304" s="54" t="str">
        <f t="shared" si="104"/>
        <v/>
      </c>
      <c r="AP304" s="77" t="str">
        <f t="shared" si="123"/>
        <v/>
      </c>
      <c r="AQ304" s="47"/>
      <c r="AR304" s="6" t="str">
        <f t="array" ref="AR304">_xlfn.IFNA((INDEX('DMR 001C TIN &amp; TP'!$A$3:$M$10005,MATCH(('Reg 85'!$AQ$6&amp;'Reg 85'!$AQ$10&amp;'Reg 85'!$B304),('DMR 001C TIN &amp; TP'!$E$3:$E$10005&amp;'DMR 001C TIN &amp; TP'!$B$3:$B$10005&amp;'DMR 001C TIN &amp; TP'!$A$3:$A$10005),0),MATCH('Reg 85'!$AR$11,'DMR 001C TIN &amp; TP'!$A$2:$M$2,0))),"")</f>
        <v/>
      </c>
      <c r="AS304" s="6" t="str">
        <f t="array" ref="AS304">_xlfn.IFNA((INDEX('DMR 001C TIN &amp; TP'!$A$3:$M$10005,MATCH(('Reg 85'!$AQ$6&amp;'Reg 85'!$AQ$10&amp;'Reg 85'!$B304),('DMR 001C TIN &amp; TP'!$E$3:$E$10005&amp;'DMR 001C TIN &amp; TP'!$B$3:$B$10005&amp;'DMR 001C TIN &amp; TP'!$A$3:$A$10005),0),MATCH('Reg 85'!$AS$11,'DMR 001C TIN &amp; TP'!$A$2:$M$2,0))),"")</f>
        <v/>
      </c>
      <c r="AT304" s="53" t="str">
        <f t="shared" si="118"/>
        <v/>
      </c>
      <c r="AV304" s="6" t="str">
        <f t="array" ref="AV304">_xlfn.IFNA((INDEX('DMR 001C TIN &amp; TP'!$A$3:$M$10005,MATCH(('Reg 85'!$AQ$6&amp;'Reg 85'!$AU$10&amp;'Reg 85'!$B304),('DMR 001C TIN &amp; TP'!$E$3:$E$10005&amp;'DMR 001C TIN &amp; TP'!$B$3:$B$10005&amp;'DMR 001C TIN &amp; TP'!$A$3:$A$10005),0),MATCH('Reg 85'!$AV$11,'DMR 001C TIN &amp; TP'!$A$2:$M$2,0))),"")</f>
        <v/>
      </c>
      <c r="AW304" s="6" t="str">
        <f t="array" ref="AW304">_xlfn.IFNA((INDEX('DMR 001C TIN &amp; TP'!$A$3:$M$10005,MATCH(('Reg 85'!$AQ$6&amp;'Reg 85'!$AU$10&amp;'Reg 85'!$B304),('DMR 001C TIN &amp; TP'!$E$3:$E$10005&amp;'DMR 001C TIN &amp; TP'!$B$3:$B$10005&amp;'DMR 001C TIN &amp; TP'!$A$3:$A$10005),0),MATCH('Reg 85'!$AW$11,'DMR 001C TIN &amp; TP'!$A$2:$M$2,0))),"")</f>
        <v/>
      </c>
      <c r="AX304" s="53" t="str">
        <f t="shared" si="119"/>
        <v/>
      </c>
      <c r="AY304" s="55" t="str">
        <f t="shared" si="120"/>
        <v/>
      </c>
      <c r="AZ304" s="77" t="str">
        <f t="shared" si="124"/>
        <v/>
      </c>
      <c r="BA304" s="6" t="str">
        <f t="array" ref="BA304">_xlfn.IFNA((INDEX('DMR 001C TIN &amp; TP'!$A$3:$M$10005,MATCH(('Reg 85'!$AQ$6&amp;'Reg 85'!BA$10&amp;'Reg 85'!$B304),('DMR 001C TIN &amp; TP'!$E$3:$E$10005&amp;'DMR 001C TIN &amp; TP'!$B$3:$B$10005&amp;'DMR 001C TIN &amp; TP'!$A$3:$A$10005),0),MATCH('Reg 85'!$AG$11,'DMR 001C TIN &amp; TP'!$A$2:$M$2,0))),"")</f>
        <v/>
      </c>
      <c r="BB304" s="6" t="str">
        <f t="array" ref="BB304">_xlfn.IFNA((INDEX('DMR 001C TIN &amp; TP'!$A$3:$M$10005,MATCH(('Reg 85'!$AQ$6&amp;'Reg 85'!BB$10&amp;'Reg 85'!$B304),('DMR 001C TIN &amp; TP'!$E$3:$E$10005&amp;'DMR 001C TIN &amp; TP'!$B$3:$B$10005&amp;'DMR 001C TIN &amp; TP'!$A$3:$A$10005),0),MATCH('Reg 85'!$AG$11,'DMR 001C TIN &amp; TP'!$A$2:$M$2,0))),"")</f>
        <v/>
      </c>
      <c r="BC304" s="6" t="str">
        <f t="array" ref="BC304">_xlfn.IFNA((INDEX('DMR 001C TIN &amp; TP'!$A$3:$M$10005,MATCH(('Reg 85'!$AQ$6&amp;'Reg 85'!BC$10&amp;'Reg 85'!$B304),('DMR 001C TIN &amp; TP'!$E$3:$E$10005&amp;'DMR 001C TIN &amp; TP'!$B$3:$B$10005&amp;'DMR 001C TIN &amp; TP'!$A$3:$A$10005),0),MATCH('Reg 85'!$AG$11,'DMR 001C TIN &amp; TP'!$A$2:$M$2,0))),"")</f>
        <v/>
      </c>
      <c r="BD304" s="6" t="str">
        <f t="array" ref="BD304">_xlfn.IFNA((INDEX('DMR 001C TIN &amp; TP'!$A$3:$M$10005,MATCH(('Reg 85'!$AQ$6&amp;'Reg 85'!BD$10&amp;'Reg 85'!$B304),('DMR 001C TIN &amp; TP'!$E$3:$E$10005&amp;'DMR 001C TIN &amp; TP'!$B$3:$B$10005&amp;'DMR 001C TIN &amp; TP'!$A$3:$A$10005),0),MATCH('Reg 85'!$AG$11,'DMR 001C TIN &amp; TP'!$A$2:$M$2,0))),"")</f>
        <v/>
      </c>
      <c r="BE304" s="6" t="str">
        <f t="array" ref="BE304">_xlfn.IFNA((INDEX('DMR 001C TIN &amp; TP'!$A$3:$M$10005,MATCH(('Reg 85'!$AQ$6&amp;'Reg 85'!BE$10&amp;'Reg 85'!$B304),('DMR 001C TIN &amp; TP'!$E$3:$E$10005&amp;'DMR 001C TIN &amp; TP'!$B$3:$B$10005&amp;'DMR 001C TIN &amp; TP'!$A$3:$A$10005),0),MATCH('Reg 85'!$AG$11,'DMR 001C TIN &amp; TP'!$A$2:$M$2,0))),"")</f>
        <v/>
      </c>
      <c r="BF304" s="6" t="str">
        <f t="array" ref="BF304">_xlfn.IFNA((INDEX('DMR 001C TIN &amp; TP'!$A$3:$M$10005,MATCH(('Reg 85'!$AQ$6&amp;'Reg 85'!BF$10&amp;'Reg 85'!$B304),('DMR 001C TIN &amp; TP'!$E$3:$E$10005&amp;'DMR 001C TIN &amp; TP'!$B$3:$B$10005&amp;'DMR 001C TIN &amp; TP'!$A$3:$A$10005),0),MATCH('Reg 85'!$AG$11,'DMR 001C TIN &amp; TP'!$A$2:$M$2,0))),"")</f>
        <v/>
      </c>
    </row>
    <row r="305" spans="1:58">
      <c r="A305" s="3" t="str">
        <f t="shared" si="105"/>
        <v>Fri</v>
      </c>
      <c r="B305" s="96">
        <f t="shared" si="121"/>
        <v>43637</v>
      </c>
      <c r="C305" s="96">
        <f t="shared" si="106"/>
        <v>43646</v>
      </c>
      <c r="D305" s="96">
        <f t="shared" si="107"/>
        <v>43617</v>
      </c>
      <c r="E305" s="95">
        <f t="shared" si="108"/>
        <v>30</v>
      </c>
      <c r="F305" s="7">
        <f t="array" ref="F305">_xlfn.IFNA(INDEX('DMR Flows-Effluent'!$A$3:$F$9999,MATCH(($F$10&amp;$B305),('DMR Flows-Effluent'!$B$3:$B$9999&amp;'DMR Flows-Effluent'!$A$3:$A$9999),0),MATCH($F$8,'DMR Flows-Effluent'!$A$2:$F$2,0)),"")</f>
        <v>72.1477</v>
      </c>
      <c r="G305" s="7">
        <f t="array" ref="G305">_xlfn.IFNA(INDEX('DMR Flows-Effluent'!$A$3:$F$9999,MATCH(($G$10&amp;$B305),('DMR Flows-Effluent'!$B$3:$B$9999&amp;'DMR Flows-Effluent'!$A$3:$A$9999),0),MATCH($F$8,'DMR Flows-Effluent'!$A$2:$F$2,0)),"")</f>
        <v>59.747599999999998</v>
      </c>
      <c r="H305" s="7">
        <f t="shared" si="109"/>
        <v>131.89529999999999</v>
      </c>
      <c r="I305" s="45" t="str">
        <f t="shared" si="110"/>
        <v/>
      </c>
      <c r="J305" s="6" t="str">
        <f t="array" ref="J305">_xlfn.IFNA((INDEX('DMR 001C TIN &amp; TP'!$A$3:$M$10005,MATCH(('Reg 85'!$I$6:$Q$6&amp;'Reg 85'!$I$10:$K$10&amp;'Reg 85'!$B305),('DMR 001C TIN &amp; TP'!$E$3:$E$10005&amp;'DMR 001C TIN &amp; TP'!$B$3:$B$10005&amp;'DMR 001C TIN &amp; TP'!$A$3:$A$10005),0),MATCH('Reg 85'!$J$11,'DMR 001C TIN &amp; TP'!$A$2:$M$2,0))),"")</f>
        <v>0.15</v>
      </c>
      <c r="K305" s="6">
        <f t="array" ref="K305">_xlfn.IFNA((INDEX('DMR 001C TIN &amp; TP'!$A$3:$M$10005,MATCH(('Reg 85'!$I$6:$Q$6&amp;'Reg 85'!$I$10:$K$10&amp;'Reg 85'!$B305),('DMR 001C TIN &amp; TP'!$E$3:$E$10005&amp;'DMR 001C TIN &amp; TP'!$B$3:$B$10005&amp;'DMR 001C TIN &amp; TP'!$A$3:$A$10005),0),MATCH('Reg 85'!$K$11,'DMR 001C TIN &amp; TP'!$A$2:$M$2,0))),"")</f>
        <v>1.46</v>
      </c>
      <c r="L305" s="53">
        <f t="shared" si="122"/>
        <v>1.46</v>
      </c>
      <c r="M305" s="5" t="str">
        <f t="shared" si="111"/>
        <v/>
      </c>
      <c r="N305" s="6" t="str">
        <f t="array" ref="N305">_xlfn.IFNA((INDEX('DMR 001C TIN &amp; TP'!$A$3:$M$10005,MATCH(('Reg 85'!$I$6:$Q$6&amp;'Reg 85'!$M$10&amp;'Reg 85'!$B305),('DMR 001C TIN &amp; TP'!$E$3:$E$10005&amp;'DMR 001C TIN &amp; TP'!$B$3:$B$10005&amp;'DMR 001C TIN &amp; TP'!$A$3:$A$10005),0),MATCH('Reg 85'!$N$11,'DMR 001C TIN &amp; TP'!$A$2:$M$2,0))),"")</f>
        <v>0.15</v>
      </c>
      <c r="O305" s="6">
        <f t="array" ref="O305">_xlfn.IFNA((INDEX('DMR 001C TIN &amp; TP'!$A$3:$M$10005,MATCH(('Reg 85'!$I$6:$Q$6&amp;'Reg 85'!$M$10&amp;'Reg 85'!$B305),('DMR 001C TIN &amp; TP'!$E$3:$E$10005&amp;'DMR 001C TIN &amp; TP'!$B$3:$B$10005&amp;'DMR 001C TIN &amp; TP'!$A$3:$A$10005),0),MATCH('Reg 85'!$O$11,'DMR 001C TIN &amp; TP'!$A$2:$M$2,0))),"")</f>
        <v>2.2799999999999998</v>
      </c>
      <c r="P305" s="53">
        <f t="shared" si="112"/>
        <v>2.2799999999999998</v>
      </c>
      <c r="Q305" s="73">
        <f t="array" ref="Q305">IFERROR(((L305*$F305)+(P305*$G305))/($H305),"")</f>
        <v>1.8314539638637615</v>
      </c>
      <c r="R305" s="6" t="str">
        <f t="array" ref="R305">_xlfn.IFNA((INDEX('DMR 001C TIN &amp; TP'!$A$3:$M$10005,MATCH(('Reg 85'!$I$6:$Q$6&amp;'Reg 85'!R$10&amp;'Reg 85'!$B305),('DMR 001C TIN &amp; TP'!$E$3:$E$10005&amp;'DMR 001C TIN &amp; TP'!$B$3:$B$10005&amp;'DMR 001C TIN &amp; TP'!$A$3:$A$10005),0),MATCH('Reg 85'!$O$11,'DMR 001C TIN &amp; TP'!$A$2:$M$2,0))),"")</f>
        <v/>
      </c>
      <c r="S305" s="6" t="str">
        <f t="array" ref="S305">_xlfn.IFNA((INDEX('DMR 001C TIN &amp; TP'!$A$3:$M$10005,MATCH(('Reg 85'!$I$6:$Q$6&amp;'Reg 85'!S$10&amp;'Reg 85'!$B305),('DMR 001C TIN &amp; TP'!$E$3:$E$10005&amp;'DMR 001C TIN &amp; TP'!$B$3:$B$10005&amp;'DMR 001C TIN &amp; TP'!$A$3:$A$10005),0),MATCH('Reg 85'!$O$11,'DMR 001C TIN &amp; TP'!$A$2:$M$2,0))),"")</f>
        <v/>
      </c>
      <c r="T305" s="6" t="str">
        <f t="array" ref="T305">_xlfn.IFNA((INDEX('DMR 001C TIN &amp; TP'!$A$3:$M$10005,MATCH(('Reg 85'!$I$6:$Q$6&amp;'Reg 85'!T$10&amp;'Reg 85'!$B305),('DMR 001C TIN &amp; TP'!$E$3:$E$10005&amp;'DMR 001C TIN &amp; TP'!$B$3:$B$10005&amp;'DMR 001C TIN &amp; TP'!$A$3:$A$10005),0),MATCH('Reg 85'!$O$11,'DMR 001C TIN &amp; TP'!$A$2:$M$2,0))),"")</f>
        <v/>
      </c>
      <c r="U305" s="6" t="str">
        <f t="array" ref="U305">_xlfn.IFNA((INDEX('DMR 001C TIN &amp; TP'!$A$3:$M$10005,MATCH(('Reg 85'!$I$6:$Q$6&amp;'Reg 85'!U$10&amp;'Reg 85'!$B305),('DMR 001C TIN &amp; TP'!$E$3:$E$10005&amp;'DMR 001C TIN &amp; TP'!$B$3:$B$10005&amp;'DMR 001C TIN &amp; TP'!$A$3:$A$10005),0),MATCH('Reg 85'!$O$11,'DMR 001C TIN &amp; TP'!$A$2:$M$2,0))),"")</f>
        <v/>
      </c>
      <c r="V305" s="6" t="str">
        <f t="array" ref="V305">_xlfn.IFNA((INDEX('DMR 001C TIN &amp; TP'!$A$3:$M$10005,MATCH(('Reg 85'!$I$6:$Q$6&amp;'Reg 85'!V$10&amp;'Reg 85'!$B305),('DMR 001C TIN &amp; TP'!$E$3:$E$10005&amp;'DMR 001C TIN &amp; TP'!$B$3:$B$10005&amp;'DMR 001C TIN &amp; TP'!$A$3:$A$10005),0),MATCH('Reg 85'!$O$11,'DMR 001C TIN &amp; TP'!$A$2:$M$2,0))),"")</f>
        <v/>
      </c>
      <c r="W305" s="6" t="str">
        <f t="array" ref="W305">_xlfn.IFNA((INDEX('DMR 001C TIN &amp; TP'!$A$3:$M$10005,MATCH(('Reg 85'!$I$6:$Q$6&amp;'Reg 85'!W$10&amp;'Reg 85'!$B305),('DMR 001C TIN &amp; TP'!$E$3:$E$10005&amp;'DMR 001C TIN &amp; TP'!$B$3:$B$10005&amp;'DMR 001C TIN &amp; TP'!$A$3:$A$10005),0),MATCH('Reg 85'!$O$11,'DMR 001C TIN &amp; TP'!$A$2:$M$2,0))),"")</f>
        <v/>
      </c>
      <c r="X305" s="5" t="str">
        <f t="shared" si="113"/>
        <v/>
      </c>
      <c r="Y305" s="6" t="str">
        <f t="array" ref="Y305">_xlfn.IFNA((INDEX('DMR 001C TIN &amp; TP'!$A$3:$M$10005,MATCH(('Reg 85'!$X$6&amp;'Reg 85'!$X$10&amp;'Reg 85'!$B305),('DMR 001C TIN &amp; TP'!$E$3:$E$10005&amp;'DMR 001C TIN &amp; TP'!$B$3:$B$10005&amp;'DMR 001C TIN &amp; TP'!$A$3:$A$10005),0),MATCH('Reg 85'!$Y$11,'DMR 001C TIN &amp; TP'!$A$2:$M$2,0))),"")</f>
        <v>0.06</v>
      </c>
      <c r="Z305" s="6">
        <f t="array" ref="Z305">_xlfn.IFNA((INDEX('DMR 001C TIN &amp; TP'!$A$3:$M$10005,MATCH(('Reg 85'!$X$6&amp;'Reg 85'!$X$10&amp;'Reg 85'!$B305),('DMR 001C TIN &amp; TP'!$E$3:$E$10005&amp;'DMR 001C TIN &amp; TP'!$B$3:$B$10005&amp;'DMR 001C TIN &amp; TP'!$A$3:$A$10005),0),MATCH('Reg 85'!$Z$11,'DMR 001C TIN &amp; TP'!$A$2:$M$2,0))),"")</f>
        <v>4.96</v>
      </c>
      <c r="AA305" s="53">
        <f t="shared" si="114"/>
        <v>4.96</v>
      </c>
      <c r="AB305" s="5" t="str">
        <f t="shared" si="115"/>
        <v/>
      </c>
      <c r="AC305" s="6" t="str">
        <f t="array" ref="AC305">_xlfn.IFNA((INDEX('DMR 001C TIN &amp; TP'!$A$3:$M$10005,MATCH(('Reg 85'!$X$6&amp;'Reg 85'!$AB$10&amp;'Reg 85'!$B305),('DMR 001C TIN &amp; TP'!$E$3:$E$10005&amp;'DMR 001C TIN &amp; TP'!$B$3:$B$10005&amp;'DMR 001C TIN &amp; TP'!$A$3:$A$10005),0),MATCH('Reg 85'!$AC$11,'DMR 001C TIN &amp; TP'!$A$2:$M$2,0))),"")</f>
        <v>0.06</v>
      </c>
      <c r="AD305" s="6">
        <f t="array" ref="AD305">_xlfn.IFNA((INDEX('DMR 001C TIN &amp; TP'!$A$3:$M$10005,MATCH(('Reg 85'!$X$6&amp;'Reg 85'!$AB$10&amp;'Reg 85'!$B305),('DMR 001C TIN &amp; TP'!$E$3:$E$10005&amp;'DMR 001C TIN &amp; TP'!$B$3:$B$10005&amp;'DMR 001C TIN &amp; TP'!$A$3:$A$10005),0),MATCH('Reg 85'!$AD$11,'DMR 001C TIN &amp; TP'!$A$2:$M$2,0))),"")</f>
        <v>5.47</v>
      </c>
      <c r="AE305" s="53">
        <f t="shared" si="116"/>
        <v>5.47</v>
      </c>
      <c r="AF305" s="7">
        <f t="shared" si="117"/>
        <v>5.1910262458177057</v>
      </c>
      <c r="AG305" s="6" t="str">
        <f t="array" ref="AG305">_xlfn.IFNA((INDEX('DMR 001C TIN &amp; TP'!$A$3:$M$10005,MATCH(('Reg 85'!$X$6&amp;'Reg 85'!AG$10&amp;'Reg 85'!$B305),('DMR 001C TIN &amp; TP'!$E$3:$E$10005&amp;'DMR 001C TIN &amp; TP'!$B$3:$B$10005&amp;'DMR 001C TIN &amp; TP'!$A$3:$A$10005),0),MATCH('Reg 85'!$AG$11,'DMR 001C TIN &amp; TP'!$A$2:$M$2,0))),"")</f>
        <v/>
      </c>
      <c r="AH305" s="6" t="str">
        <f t="array" ref="AH305">_xlfn.IFNA((INDEX('DMR 001C TIN &amp; TP'!$A$3:$M$10005,MATCH(('Reg 85'!$X$6&amp;'Reg 85'!AH$10&amp;'Reg 85'!$B305),('DMR 001C TIN &amp; TP'!$E$3:$E$10005&amp;'DMR 001C TIN &amp; TP'!$B$3:$B$10005&amp;'DMR 001C TIN &amp; TP'!$A$3:$A$10005),0),MATCH('Reg 85'!$AG$11,'DMR 001C TIN &amp; TP'!$A$2:$M$2,0))),"")</f>
        <v/>
      </c>
      <c r="AI305" s="6" t="str">
        <f t="array" ref="AI305">_xlfn.IFNA((INDEX('DMR 001C TIN &amp; TP'!$A$3:$M$10005,MATCH(('Reg 85'!$X$6&amp;'Reg 85'!AI$10&amp;'Reg 85'!$B305),('DMR 001C TIN &amp; TP'!$E$3:$E$10005&amp;'DMR 001C TIN &amp; TP'!$B$3:$B$10005&amp;'DMR 001C TIN &amp; TP'!$A$3:$A$10005),0),MATCH('Reg 85'!$AG$11,'DMR 001C TIN &amp; TP'!$A$2:$M$2,0))),"")</f>
        <v/>
      </c>
      <c r="AJ305" s="6" t="str">
        <f t="array" ref="AJ305">_xlfn.IFNA((INDEX('DMR 001C TIN &amp; TP'!$A$3:$M$10005,MATCH(('Reg 85'!$X$6&amp;'Reg 85'!AJ$10&amp;'Reg 85'!$B305),('DMR 001C TIN &amp; TP'!$E$3:$E$10005&amp;'DMR 001C TIN &amp; TP'!$B$3:$B$10005&amp;'DMR 001C TIN &amp; TP'!$A$3:$A$10005),0),MATCH('Reg 85'!$AG$11,'DMR 001C TIN &amp; TP'!$A$2:$M$2,0))),"")</f>
        <v/>
      </c>
      <c r="AK305" s="6" t="str">
        <f t="array" ref="AK305">_xlfn.IFNA((INDEX('DMR 001C TIN &amp; TP'!$A$3:$M$10005,MATCH(('Reg 85'!$X$6&amp;'Reg 85'!AK$10&amp;'Reg 85'!$B305),('DMR 001C TIN &amp; TP'!$E$3:$E$10005&amp;'DMR 001C TIN &amp; TP'!$B$3:$B$10005&amp;'DMR 001C TIN &amp; TP'!$A$3:$A$10005),0),MATCH('Reg 85'!$AG$11,'DMR 001C TIN &amp; TP'!$A$2:$M$2,0))),"")</f>
        <v/>
      </c>
      <c r="AL305" s="6" t="str">
        <f t="array" ref="AL305">_xlfn.IFNA((INDEX('DMR 001C TIN &amp; TP'!$A$3:$M$10005,MATCH(('Reg 85'!$X$6&amp;'Reg 85'!AL$10&amp;'Reg 85'!$B305),('DMR 001C TIN &amp; TP'!$E$3:$E$10005&amp;'DMR 001C TIN &amp; TP'!$B$3:$B$10005&amp;'DMR 001C TIN &amp; TP'!$A$3:$A$10005),0),MATCH('Reg 85'!$AG$11,'DMR 001C TIN &amp; TP'!$A$2:$M$2,0))),"")</f>
        <v/>
      </c>
      <c r="AM305" s="76"/>
      <c r="AN305" s="6"/>
      <c r="AO305" s="54">
        <f t="shared" si="104"/>
        <v>7.0224802096814667</v>
      </c>
      <c r="AP305" s="77" t="str">
        <f t="shared" si="123"/>
        <v/>
      </c>
      <c r="AQ305" s="47"/>
      <c r="AR305" s="6" t="str">
        <f t="array" ref="AR305">_xlfn.IFNA((INDEX('DMR 001C TIN &amp; TP'!$A$3:$M$10005,MATCH(('Reg 85'!$AQ$6&amp;'Reg 85'!$AQ$10&amp;'Reg 85'!$B305),('DMR 001C TIN &amp; TP'!$E$3:$E$10005&amp;'DMR 001C TIN &amp; TP'!$B$3:$B$10005&amp;'DMR 001C TIN &amp; TP'!$A$3:$A$10005),0),MATCH('Reg 85'!$AR$11,'DMR 001C TIN &amp; TP'!$A$2:$M$2,0))),"")</f>
        <v/>
      </c>
      <c r="AS305" s="6" t="str">
        <f t="array" ref="AS305">_xlfn.IFNA((INDEX('DMR 001C TIN &amp; TP'!$A$3:$M$10005,MATCH(('Reg 85'!$AQ$6&amp;'Reg 85'!$AQ$10&amp;'Reg 85'!$B305),('DMR 001C TIN &amp; TP'!$E$3:$E$10005&amp;'DMR 001C TIN &amp; TP'!$B$3:$B$10005&amp;'DMR 001C TIN &amp; TP'!$A$3:$A$10005),0),MATCH('Reg 85'!$AS$11,'DMR 001C TIN &amp; TP'!$A$2:$M$2,0))),"")</f>
        <v/>
      </c>
      <c r="AT305" s="53" t="str">
        <f t="shared" si="118"/>
        <v/>
      </c>
      <c r="AV305" s="6" t="str">
        <f t="array" ref="AV305">_xlfn.IFNA((INDEX('DMR 001C TIN &amp; TP'!$A$3:$M$10005,MATCH(('Reg 85'!$AQ$6&amp;'Reg 85'!$AU$10&amp;'Reg 85'!$B305),('DMR 001C TIN &amp; TP'!$E$3:$E$10005&amp;'DMR 001C TIN &amp; TP'!$B$3:$B$10005&amp;'DMR 001C TIN &amp; TP'!$A$3:$A$10005),0),MATCH('Reg 85'!$AV$11,'DMR 001C TIN &amp; TP'!$A$2:$M$2,0))),"")</f>
        <v/>
      </c>
      <c r="AW305" s="6" t="str">
        <f t="array" ref="AW305">_xlfn.IFNA((INDEX('DMR 001C TIN &amp; TP'!$A$3:$M$10005,MATCH(('Reg 85'!$AQ$6&amp;'Reg 85'!$AU$10&amp;'Reg 85'!$B305),('DMR 001C TIN &amp; TP'!$E$3:$E$10005&amp;'DMR 001C TIN &amp; TP'!$B$3:$B$10005&amp;'DMR 001C TIN &amp; TP'!$A$3:$A$10005),0),MATCH('Reg 85'!$AW$11,'DMR 001C TIN &amp; TP'!$A$2:$M$2,0))),"")</f>
        <v/>
      </c>
      <c r="AX305" s="53" t="str">
        <f t="shared" si="119"/>
        <v/>
      </c>
      <c r="AY305" s="55" t="str">
        <f t="shared" si="120"/>
        <v/>
      </c>
      <c r="AZ305" s="77" t="str">
        <f t="shared" si="124"/>
        <v/>
      </c>
      <c r="BA305" s="6" t="str">
        <f t="array" ref="BA305">_xlfn.IFNA((INDEX('DMR 001C TIN &amp; TP'!$A$3:$M$10005,MATCH(('Reg 85'!$AQ$6&amp;'Reg 85'!BA$10&amp;'Reg 85'!$B305),('DMR 001C TIN &amp; TP'!$E$3:$E$10005&amp;'DMR 001C TIN &amp; TP'!$B$3:$B$10005&amp;'DMR 001C TIN &amp; TP'!$A$3:$A$10005),0),MATCH('Reg 85'!$AG$11,'DMR 001C TIN &amp; TP'!$A$2:$M$2,0))),"")</f>
        <v/>
      </c>
      <c r="BB305" s="6" t="str">
        <f t="array" ref="BB305">_xlfn.IFNA((INDEX('DMR 001C TIN &amp; TP'!$A$3:$M$10005,MATCH(('Reg 85'!$AQ$6&amp;'Reg 85'!BB$10&amp;'Reg 85'!$B305),('DMR 001C TIN &amp; TP'!$E$3:$E$10005&amp;'DMR 001C TIN &amp; TP'!$B$3:$B$10005&amp;'DMR 001C TIN &amp; TP'!$A$3:$A$10005),0),MATCH('Reg 85'!$AG$11,'DMR 001C TIN &amp; TP'!$A$2:$M$2,0))),"")</f>
        <v/>
      </c>
      <c r="BC305" s="6" t="str">
        <f t="array" ref="BC305">_xlfn.IFNA((INDEX('DMR 001C TIN &amp; TP'!$A$3:$M$10005,MATCH(('Reg 85'!$AQ$6&amp;'Reg 85'!BC$10&amp;'Reg 85'!$B305),('DMR 001C TIN &amp; TP'!$E$3:$E$10005&amp;'DMR 001C TIN &amp; TP'!$B$3:$B$10005&amp;'DMR 001C TIN &amp; TP'!$A$3:$A$10005),0),MATCH('Reg 85'!$AG$11,'DMR 001C TIN &amp; TP'!$A$2:$M$2,0))),"")</f>
        <v/>
      </c>
      <c r="BD305" s="6" t="str">
        <f t="array" ref="BD305">_xlfn.IFNA((INDEX('DMR 001C TIN &amp; TP'!$A$3:$M$10005,MATCH(('Reg 85'!$AQ$6&amp;'Reg 85'!BD$10&amp;'Reg 85'!$B305),('DMR 001C TIN &amp; TP'!$E$3:$E$10005&amp;'DMR 001C TIN &amp; TP'!$B$3:$B$10005&amp;'DMR 001C TIN &amp; TP'!$A$3:$A$10005),0),MATCH('Reg 85'!$AG$11,'DMR 001C TIN &amp; TP'!$A$2:$M$2,0))),"")</f>
        <v/>
      </c>
      <c r="BE305" s="6" t="str">
        <f t="array" ref="BE305">_xlfn.IFNA((INDEX('DMR 001C TIN &amp; TP'!$A$3:$M$10005,MATCH(('Reg 85'!$AQ$6&amp;'Reg 85'!BE$10&amp;'Reg 85'!$B305),('DMR 001C TIN &amp; TP'!$E$3:$E$10005&amp;'DMR 001C TIN &amp; TP'!$B$3:$B$10005&amp;'DMR 001C TIN &amp; TP'!$A$3:$A$10005),0),MATCH('Reg 85'!$AG$11,'DMR 001C TIN &amp; TP'!$A$2:$M$2,0))),"")</f>
        <v/>
      </c>
      <c r="BF305" s="6" t="str">
        <f t="array" ref="BF305">_xlfn.IFNA((INDEX('DMR 001C TIN &amp; TP'!$A$3:$M$10005,MATCH(('Reg 85'!$AQ$6&amp;'Reg 85'!BF$10&amp;'Reg 85'!$B305),('DMR 001C TIN &amp; TP'!$E$3:$E$10005&amp;'DMR 001C TIN &amp; TP'!$B$3:$B$10005&amp;'DMR 001C TIN &amp; TP'!$A$3:$A$10005),0),MATCH('Reg 85'!$AG$11,'DMR 001C TIN &amp; TP'!$A$2:$M$2,0))),"")</f>
        <v/>
      </c>
    </row>
    <row r="306" spans="1:58">
      <c r="A306" s="3" t="str">
        <f t="shared" si="105"/>
        <v>Sat</v>
      </c>
      <c r="B306" s="96">
        <f t="shared" si="121"/>
        <v>43638</v>
      </c>
      <c r="C306" s="96">
        <f t="shared" si="106"/>
        <v>43646</v>
      </c>
      <c r="D306" s="96">
        <f t="shared" si="107"/>
        <v>43617</v>
      </c>
      <c r="E306" s="95">
        <f t="shared" si="108"/>
        <v>30</v>
      </c>
      <c r="F306" s="7">
        <f t="array" ref="F306">_xlfn.IFNA(INDEX('DMR Flows-Effluent'!$A$3:$F$9999,MATCH(($F$10&amp;$B306),('DMR Flows-Effluent'!$B$3:$B$9999&amp;'DMR Flows-Effluent'!$A$3:$A$9999),0),MATCH($F$8,'DMR Flows-Effluent'!$A$2:$F$2,0)),"")</f>
        <v>71.214699999999993</v>
      </c>
      <c r="G306" s="7">
        <f t="array" ref="G306">_xlfn.IFNA(INDEX('DMR Flows-Effluent'!$A$3:$F$9999,MATCH(($G$10&amp;$B306),('DMR Flows-Effluent'!$B$3:$B$9999&amp;'DMR Flows-Effluent'!$A$3:$A$9999),0),MATCH($F$8,'DMR Flows-Effluent'!$A$2:$F$2,0)),"")</f>
        <v>65.283900000000003</v>
      </c>
      <c r="H306" s="7">
        <f t="shared" si="109"/>
        <v>136.49860000000001</v>
      </c>
      <c r="I306" s="45" t="str">
        <f t="shared" si="110"/>
        <v/>
      </c>
      <c r="J306" s="6" t="str">
        <f t="array" ref="J306">_xlfn.IFNA((INDEX('DMR 001C TIN &amp; TP'!$A$3:$M$10005,MATCH(('Reg 85'!$I$6:$Q$6&amp;'Reg 85'!$I$10:$K$10&amp;'Reg 85'!$B306),('DMR 001C TIN &amp; TP'!$E$3:$E$10005&amp;'DMR 001C TIN &amp; TP'!$B$3:$B$10005&amp;'DMR 001C TIN &amp; TP'!$A$3:$A$10005),0),MATCH('Reg 85'!$J$11,'DMR 001C TIN &amp; TP'!$A$2:$M$2,0))),"")</f>
        <v>0.15</v>
      </c>
      <c r="K306" s="6">
        <f t="array" ref="K306">_xlfn.IFNA((INDEX('DMR 001C TIN &amp; TP'!$A$3:$M$10005,MATCH(('Reg 85'!$I$6:$Q$6&amp;'Reg 85'!$I$10:$K$10&amp;'Reg 85'!$B306),('DMR 001C TIN &amp; TP'!$E$3:$E$10005&amp;'DMR 001C TIN &amp; TP'!$B$3:$B$10005&amp;'DMR 001C TIN &amp; TP'!$A$3:$A$10005),0),MATCH('Reg 85'!$K$11,'DMR 001C TIN &amp; TP'!$A$2:$M$2,0))),"")</f>
        <v>0.76</v>
      </c>
      <c r="L306" s="53">
        <f t="shared" si="122"/>
        <v>0.76</v>
      </c>
      <c r="M306" s="5" t="str">
        <f t="shared" si="111"/>
        <v/>
      </c>
      <c r="N306" s="6" t="str">
        <f t="array" ref="N306">_xlfn.IFNA((INDEX('DMR 001C TIN &amp; TP'!$A$3:$M$10005,MATCH(('Reg 85'!$I$6:$Q$6&amp;'Reg 85'!$M$10&amp;'Reg 85'!$B306),('DMR 001C TIN &amp; TP'!$E$3:$E$10005&amp;'DMR 001C TIN &amp; TP'!$B$3:$B$10005&amp;'DMR 001C TIN &amp; TP'!$A$3:$A$10005),0),MATCH('Reg 85'!$N$11,'DMR 001C TIN &amp; TP'!$A$2:$M$2,0))),"")</f>
        <v>0.15</v>
      </c>
      <c r="O306" s="6">
        <f t="array" ref="O306">_xlfn.IFNA((INDEX('DMR 001C TIN &amp; TP'!$A$3:$M$10005,MATCH(('Reg 85'!$I$6:$Q$6&amp;'Reg 85'!$M$10&amp;'Reg 85'!$B306),('DMR 001C TIN &amp; TP'!$E$3:$E$10005&amp;'DMR 001C TIN &amp; TP'!$B$3:$B$10005&amp;'DMR 001C TIN &amp; TP'!$A$3:$A$10005),0),MATCH('Reg 85'!$O$11,'DMR 001C TIN &amp; TP'!$A$2:$M$2,0))),"")</f>
        <v>1.51</v>
      </c>
      <c r="P306" s="53">
        <f t="shared" si="112"/>
        <v>1.51</v>
      </c>
      <c r="Q306" s="73">
        <f t="array" ref="Q306">IFERROR(((L306*$F306)+(P306*$G306))/($H306),"")</f>
        <v>1.1187064262930169</v>
      </c>
      <c r="R306" s="6" t="str">
        <f t="array" ref="R306">_xlfn.IFNA((INDEX('DMR 001C TIN &amp; TP'!$A$3:$M$10005,MATCH(('Reg 85'!$I$6:$Q$6&amp;'Reg 85'!R$10&amp;'Reg 85'!$B306),('DMR 001C TIN &amp; TP'!$E$3:$E$10005&amp;'DMR 001C TIN &amp; TP'!$B$3:$B$10005&amp;'DMR 001C TIN &amp; TP'!$A$3:$A$10005),0),MATCH('Reg 85'!$O$11,'DMR 001C TIN &amp; TP'!$A$2:$M$2,0))),"")</f>
        <v/>
      </c>
      <c r="S306" s="6" t="str">
        <f t="array" ref="S306">_xlfn.IFNA((INDEX('DMR 001C TIN &amp; TP'!$A$3:$M$10005,MATCH(('Reg 85'!$I$6:$Q$6&amp;'Reg 85'!S$10&amp;'Reg 85'!$B306),('DMR 001C TIN &amp; TP'!$E$3:$E$10005&amp;'DMR 001C TIN &amp; TP'!$B$3:$B$10005&amp;'DMR 001C TIN &amp; TP'!$A$3:$A$10005),0),MATCH('Reg 85'!$O$11,'DMR 001C TIN &amp; TP'!$A$2:$M$2,0))),"")</f>
        <v/>
      </c>
      <c r="T306" s="6" t="str">
        <f t="array" ref="T306">_xlfn.IFNA((INDEX('DMR 001C TIN &amp; TP'!$A$3:$M$10005,MATCH(('Reg 85'!$I$6:$Q$6&amp;'Reg 85'!T$10&amp;'Reg 85'!$B306),('DMR 001C TIN &amp; TP'!$E$3:$E$10005&amp;'DMR 001C TIN &amp; TP'!$B$3:$B$10005&amp;'DMR 001C TIN &amp; TP'!$A$3:$A$10005),0),MATCH('Reg 85'!$O$11,'DMR 001C TIN &amp; TP'!$A$2:$M$2,0))),"")</f>
        <v/>
      </c>
      <c r="U306" s="6" t="str">
        <f t="array" ref="U306">_xlfn.IFNA((INDEX('DMR 001C TIN &amp; TP'!$A$3:$M$10005,MATCH(('Reg 85'!$I$6:$Q$6&amp;'Reg 85'!U$10&amp;'Reg 85'!$B306),('DMR 001C TIN &amp; TP'!$E$3:$E$10005&amp;'DMR 001C TIN &amp; TP'!$B$3:$B$10005&amp;'DMR 001C TIN &amp; TP'!$A$3:$A$10005),0),MATCH('Reg 85'!$O$11,'DMR 001C TIN &amp; TP'!$A$2:$M$2,0))),"")</f>
        <v/>
      </c>
      <c r="V306" s="6" t="str">
        <f t="array" ref="V306">_xlfn.IFNA((INDEX('DMR 001C TIN &amp; TP'!$A$3:$M$10005,MATCH(('Reg 85'!$I$6:$Q$6&amp;'Reg 85'!V$10&amp;'Reg 85'!$B306),('DMR 001C TIN &amp; TP'!$E$3:$E$10005&amp;'DMR 001C TIN &amp; TP'!$B$3:$B$10005&amp;'DMR 001C TIN &amp; TP'!$A$3:$A$10005),0),MATCH('Reg 85'!$O$11,'DMR 001C TIN &amp; TP'!$A$2:$M$2,0))),"")</f>
        <v/>
      </c>
      <c r="W306" s="6" t="str">
        <f t="array" ref="W306">_xlfn.IFNA((INDEX('DMR 001C TIN &amp; TP'!$A$3:$M$10005,MATCH(('Reg 85'!$I$6:$Q$6&amp;'Reg 85'!W$10&amp;'Reg 85'!$B306),('DMR 001C TIN &amp; TP'!$E$3:$E$10005&amp;'DMR 001C TIN &amp; TP'!$B$3:$B$10005&amp;'DMR 001C TIN &amp; TP'!$A$3:$A$10005),0),MATCH('Reg 85'!$O$11,'DMR 001C TIN &amp; TP'!$A$2:$M$2,0))),"")</f>
        <v/>
      </c>
      <c r="X306" s="5" t="str">
        <f t="shared" si="113"/>
        <v/>
      </c>
      <c r="Y306" s="6" t="str">
        <f t="array" ref="Y306">_xlfn.IFNA((INDEX('DMR 001C TIN &amp; TP'!$A$3:$M$10005,MATCH(('Reg 85'!$X$6&amp;'Reg 85'!$X$10&amp;'Reg 85'!$B306),('DMR 001C TIN &amp; TP'!$E$3:$E$10005&amp;'DMR 001C TIN &amp; TP'!$B$3:$B$10005&amp;'DMR 001C TIN &amp; TP'!$A$3:$A$10005),0),MATCH('Reg 85'!$Y$11,'DMR 001C TIN &amp; TP'!$A$2:$M$2,0))),"")</f>
        <v>0.06</v>
      </c>
      <c r="Z306" s="6">
        <f t="array" ref="Z306">_xlfn.IFNA((INDEX('DMR 001C TIN &amp; TP'!$A$3:$M$10005,MATCH(('Reg 85'!$X$6&amp;'Reg 85'!$X$10&amp;'Reg 85'!$B306),('DMR 001C TIN &amp; TP'!$E$3:$E$10005&amp;'DMR 001C TIN &amp; TP'!$B$3:$B$10005&amp;'DMR 001C TIN &amp; TP'!$A$3:$A$10005),0),MATCH('Reg 85'!$Z$11,'DMR 001C TIN &amp; TP'!$A$2:$M$2,0))),"")</f>
        <v>5.23</v>
      </c>
      <c r="AA306" s="53">
        <f t="shared" si="114"/>
        <v>5.23</v>
      </c>
      <c r="AB306" s="5" t="str">
        <f t="shared" si="115"/>
        <v/>
      </c>
      <c r="AC306" s="6" t="str">
        <f t="array" ref="AC306">_xlfn.IFNA((INDEX('DMR 001C TIN &amp; TP'!$A$3:$M$10005,MATCH(('Reg 85'!$X$6&amp;'Reg 85'!$AB$10&amp;'Reg 85'!$B306),('DMR 001C TIN &amp; TP'!$E$3:$E$10005&amp;'DMR 001C TIN &amp; TP'!$B$3:$B$10005&amp;'DMR 001C TIN &amp; TP'!$A$3:$A$10005),0),MATCH('Reg 85'!$AC$11,'DMR 001C TIN &amp; TP'!$A$2:$M$2,0))),"")</f>
        <v>0.06</v>
      </c>
      <c r="AD306" s="6">
        <f t="array" ref="AD306">_xlfn.IFNA((INDEX('DMR 001C TIN &amp; TP'!$A$3:$M$10005,MATCH(('Reg 85'!$X$6&amp;'Reg 85'!$AB$10&amp;'Reg 85'!$B306),('DMR 001C TIN &amp; TP'!$E$3:$E$10005&amp;'DMR 001C TIN &amp; TP'!$B$3:$B$10005&amp;'DMR 001C TIN &amp; TP'!$A$3:$A$10005),0),MATCH('Reg 85'!$AD$11,'DMR 001C TIN &amp; TP'!$A$2:$M$2,0))),"")</f>
        <v>5.73</v>
      </c>
      <c r="AE306" s="53">
        <f t="shared" si="116"/>
        <v>5.73</v>
      </c>
      <c r="AF306" s="7">
        <f t="shared" si="117"/>
        <v>5.4691376175286779</v>
      </c>
      <c r="AG306" s="6" t="str">
        <f t="array" ref="AG306">_xlfn.IFNA((INDEX('DMR 001C TIN &amp; TP'!$A$3:$M$10005,MATCH(('Reg 85'!$X$6&amp;'Reg 85'!AG$10&amp;'Reg 85'!$B306),('DMR 001C TIN &amp; TP'!$E$3:$E$10005&amp;'DMR 001C TIN &amp; TP'!$B$3:$B$10005&amp;'DMR 001C TIN &amp; TP'!$A$3:$A$10005),0),MATCH('Reg 85'!$AG$11,'DMR 001C TIN &amp; TP'!$A$2:$M$2,0))),"")</f>
        <v/>
      </c>
      <c r="AH306" s="6" t="str">
        <f t="array" ref="AH306">_xlfn.IFNA((INDEX('DMR 001C TIN &amp; TP'!$A$3:$M$10005,MATCH(('Reg 85'!$X$6&amp;'Reg 85'!AH$10&amp;'Reg 85'!$B306),('DMR 001C TIN &amp; TP'!$E$3:$E$10005&amp;'DMR 001C TIN &amp; TP'!$B$3:$B$10005&amp;'DMR 001C TIN &amp; TP'!$A$3:$A$10005),0),MATCH('Reg 85'!$AG$11,'DMR 001C TIN &amp; TP'!$A$2:$M$2,0))),"")</f>
        <v/>
      </c>
      <c r="AI306" s="6" t="str">
        <f t="array" ref="AI306">_xlfn.IFNA((INDEX('DMR 001C TIN &amp; TP'!$A$3:$M$10005,MATCH(('Reg 85'!$X$6&amp;'Reg 85'!AI$10&amp;'Reg 85'!$B306),('DMR 001C TIN &amp; TP'!$E$3:$E$10005&amp;'DMR 001C TIN &amp; TP'!$B$3:$B$10005&amp;'DMR 001C TIN &amp; TP'!$A$3:$A$10005),0),MATCH('Reg 85'!$AG$11,'DMR 001C TIN &amp; TP'!$A$2:$M$2,0))),"")</f>
        <v/>
      </c>
      <c r="AJ306" s="6" t="str">
        <f t="array" ref="AJ306">_xlfn.IFNA((INDEX('DMR 001C TIN &amp; TP'!$A$3:$M$10005,MATCH(('Reg 85'!$X$6&amp;'Reg 85'!AJ$10&amp;'Reg 85'!$B306),('DMR 001C TIN &amp; TP'!$E$3:$E$10005&amp;'DMR 001C TIN &amp; TP'!$B$3:$B$10005&amp;'DMR 001C TIN &amp; TP'!$A$3:$A$10005),0),MATCH('Reg 85'!$AG$11,'DMR 001C TIN &amp; TP'!$A$2:$M$2,0))),"")</f>
        <v/>
      </c>
      <c r="AK306" s="6" t="str">
        <f t="array" ref="AK306">_xlfn.IFNA((INDEX('DMR 001C TIN &amp; TP'!$A$3:$M$10005,MATCH(('Reg 85'!$X$6&amp;'Reg 85'!AK$10&amp;'Reg 85'!$B306),('DMR 001C TIN &amp; TP'!$E$3:$E$10005&amp;'DMR 001C TIN &amp; TP'!$B$3:$B$10005&amp;'DMR 001C TIN &amp; TP'!$A$3:$A$10005),0),MATCH('Reg 85'!$AG$11,'DMR 001C TIN &amp; TP'!$A$2:$M$2,0))),"")</f>
        <v/>
      </c>
      <c r="AL306" s="6" t="str">
        <f t="array" ref="AL306">_xlfn.IFNA((INDEX('DMR 001C TIN &amp; TP'!$A$3:$M$10005,MATCH(('Reg 85'!$X$6&amp;'Reg 85'!AL$10&amp;'Reg 85'!$B306),('DMR 001C TIN &amp; TP'!$E$3:$E$10005&amp;'DMR 001C TIN &amp; TP'!$B$3:$B$10005&amp;'DMR 001C TIN &amp; TP'!$A$3:$A$10005),0),MATCH('Reg 85'!$AG$11,'DMR 001C TIN &amp; TP'!$A$2:$M$2,0))),"")</f>
        <v/>
      </c>
      <c r="AM306" s="76"/>
      <c r="AN306" s="6"/>
      <c r="AO306" s="54">
        <f t="shared" si="104"/>
        <v>6.5878440438216952</v>
      </c>
      <c r="AP306" s="77" t="str">
        <f t="shared" si="123"/>
        <v/>
      </c>
      <c r="AQ306" s="47"/>
      <c r="AR306" s="6" t="str">
        <f t="array" ref="AR306">_xlfn.IFNA((INDEX('DMR 001C TIN &amp; TP'!$A$3:$M$10005,MATCH(('Reg 85'!$AQ$6&amp;'Reg 85'!$AQ$10&amp;'Reg 85'!$B306),('DMR 001C TIN &amp; TP'!$E$3:$E$10005&amp;'DMR 001C TIN &amp; TP'!$B$3:$B$10005&amp;'DMR 001C TIN &amp; TP'!$A$3:$A$10005),0),MATCH('Reg 85'!$AR$11,'DMR 001C TIN &amp; TP'!$A$2:$M$2,0))),"")</f>
        <v/>
      </c>
      <c r="AS306" s="6" t="str">
        <f t="array" ref="AS306">_xlfn.IFNA((INDEX('DMR 001C TIN &amp; TP'!$A$3:$M$10005,MATCH(('Reg 85'!$AQ$6&amp;'Reg 85'!$AQ$10&amp;'Reg 85'!$B306),('DMR 001C TIN &amp; TP'!$E$3:$E$10005&amp;'DMR 001C TIN &amp; TP'!$B$3:$B$10005&amp;'DMR 001C TIN &amp; TP'!$A$3:$A$10005),0),MATCH('Reg 85'!$AS$11,'DMR 001C TIN &amp; TP'!$A$2:$M$2,0))),"")</f>
        <v/>
      </c>
      <c r="AT306" s="53" t="str">
        <f t="shared" si="118"/>
        <v/>
      </c>
      <c r="AV306" s="6" t="str">
        <f t="array" ref="AV306">_xlfn.IFNA((INDEX('DMR 001C TIN &amp; TP'!$A$3:$M$10005,MATCH(('Reg 85'!$AQ$6&amp;'Reg 85'!$AU$10&amp;'Reg 85'!$B306),('DMR 001C TIN &amp; TP'!$E$3:$E$10005&amp;'DMR 001C TIN &amp; TP'!$B$3:$B$10005&amp;'DMR 001C TIN &amp; TP'!$A$3:$A$10005),0),MATCH('Reg 85'!$AV$11,'DMR 001C TIN &amp; TP'!$A$2:$M$2,0))),"")</f>
        <v/>
      </c>
      <c r="AW306" s="6" t="str">
        <f t="array" ref="AW306">_xlfn.IFNA((INDEX('DMR 001C TIN &amp; TP'!$A$3:$M$10005,MATCH(('Reg 85'!$AQ$6&amp;'Reg 85'!$AU$10&amp;'Reg 85'!$B306),('DMR 001C TIN &amp; TP'!$E$3:$E$10005&amp;'DMR 001C TIN &amp; TP'!$B$3:$B$10005&amp;'DMR 001C TIN &amp; TP'!$A$3:$A$10005),0),MATCH('Reg 85'!$AW$11,'DMR 001C TIN &amp; TP'!$A$2:$M$2,0))),"")</f>
        <v/>
      </c>
      <c r="AX306" s="53" t="str">
        <f t="shared" si="119"/>
        <v/>
      </c>
      <c r="AY306" s="55" t="str">
        <f t="shared" si="120"/>
        <v/>
      </c>
      <c r="AZ306" s="77" t="str">
        <f t="shared" si="124"/>
        <v/>
      </c>
      <c r="BA306" s="6" t="str">
        <f t="array" ref="BA306">_xlfn.IFNA((INDEX('DMR 001C TIN &amp; TP'!$A$3:$M$10005,MATCH(('Reg 85'!$AQ$6&amp;'Reg 85'!BA$10&amp;'Reg 85'!$B306),('DMR 001C TIN &amp; TP'!$E$3:$E$10005&amp;'DMR 001C TIN &amp; TP'!$B$3:$B$10005&amp;'DMR 001C TIN &amp; TP'!$A$3:$A$10005),0),MATCH('Reg 85'!$AG$11,'DMR 001C TIN &amp; TP'!$A$2:$M$2,0))),"")</f>
        <v/>
      </c>
      <c r="BB306" s="6" t="str">
        <f t="array" ref="BB306">_xlfn.IFNA((INDEX('DMR 001C TIN &amp; TP'!$A$3:$M$10005,MATCH(('Reg 85'!$AQ$6&amp;'Reg 85'!BB$10&amp;'Reg 85'!$B306),('DMR 001C TIN &amp; TP'!$E$3:$E$10005&amp;'DMR 001C TIN &amp; TP'!$B$3:$B$10005&amp;'DMR 001C TIN &amp; TP'!$A$3:$A$10005),0),MATCH('Reg 85'!$AG$11,'DMR 001C TIN &amp; TP'!$A$2:$M$2,0))),"")</f>
        <v/>
      </c>
      <c r="BC306" s="6" t="str">
        <f t="array" ref="BC306">_xlfn.IFNA((INDEX('DMR 001C TIN &amp; TP'!$A$3:$M$10005,MATCH(('Reg 85'!$AQ$6&amp;'Reg 85'!BC$10&amp;'Reg 85'!$B306),('DMR 001C TIN &amp; TP'!$E$3:$E$10005&amp;'DMR 001C TIN &amp; TP'!$B$3:$B$10005&amp;'DMR 001C TIN &amp; TP'!$A$3:$A$10005),0),MATCH('Reg 85'!$AG$11,'DMR 001C TIN &amp; TP'!$A$2:$M$2,0))),"")</f>
        <v/>
      </c>
      <c r="BD306" s="6" t="str">
        <f t="array" ref="BD306">_xlfn.IFNA((INDEX('DMR 001C TIN &amp; TP'!$A$3:$M$10005,MATCH(('Reg 85'!$AQ$6&amp;'Reg 85'!BD$10&amp;'Reg 85'!$B306),('DMR 001C TIN &amp; TP'!$E$3:$E$10005&amp;'DMR 001C TIN &amp; TP'!$B$3:$B$10005&amp;'DMR 001C TIN &amp; TP'!$A$3:$A$10005),0),MATCH('Reg 85'!$AG$11,'DMR 001C TIN &amp; TP'!$A$2:$M$2,0))),"")</f>
        <v/>
      </c>
      <c r="BE306" s="6" t="str">
        <f t="array" ref="BE306">_xlfn.IFNA((INDEX('DMR 001C TIN &amp; TP'!$A$3:$M$10005,MATCH(('Reg 85'!$AQ$6&amp;'Reg 85'!BE$10&amp;'Reg 85'!$B306),('DMR 001C TIN &amp; TP'!$E$3:$E$10005&amp;'DMR 001C TIN &amp; TP'!$B$3:$B$10005&amp;'DMR 001C TIN &amp; TP'!$A$3:$A$10005),0),MATCH('Reg 85'!$AG$11,'DMR 001C TIN &amp; TP'!$A$2:$M$2,0))),"")</f>
        <v/>
      </c>
      <c r="BF306" s="6" t="str">
        <f t="array" ref="BF306">_xlfn.IFNA((INDEX('DMR 001C TIN &amp; TP'!$A$3:$M$10005,MATCH(('Reg 85'!$AQ$6&amp;'Reg 85'!BF$10&amp;'Reg 85'!$B306),('DMR 001C TIN &amp; TP'!$E$3:$E$10005&amp;'DMR 001C TIN &amp; TP'!$B$3:$B$10005&amp;'DMR 001C TIN &amp; TP'!$A$3:$A$10005),0),MATCH('Reg 85'!$AG$11,'DMR 001C TIN &amp; TP'!$A$2:$M$2,0))),"")</f>
        <v/>
      </c>
    </row>
    <row r="307" spans="1:58">
      <c r="A307" s="3" t="str">
        <f t="shared" si="105"/>
        <v>Sun</v>
      </c>
      <c r="B307" s="96">
        <f t="shared" si="121"/>
        <v>43639</v>
      </c>
      <c r="C307" s="96">
        <f t="shared" si="106"/>
        <v>43646</v>
      </c>
      <c r="D307" s="96">
        <f t="shared" si="107"/>
        <v>43617</v>
      </c>
      <c r="E307" s="95">
        <f t="shared" si="108"/>
        <v>30</v>
      </c>
      <c r="F307" s="7">
        <f t="array" ref="F307">_xlfn.IFNA(INDEX('DMR Flows-Effluent'!$A$3:$F$9999,MATCH(($F$10&amp;$B307),('DMR Flows-Effluent'!$B$3:$B$9999&amp;'DMR Flows-Effluent'!$A$3:$A$9999),0),MATCH($F$8,'DMR Flows-Effluent'!$A$2:$F$2,0)),"")</f>
        <v>69.442999999999998</v>
      </c>
      <c r="G307" s="7">
        <f t="array" ref="G307">_xlfn.IFNA(INDEX('DMR Flows-Effluent'!$A$3:$F$9999,MATCH(($G$10&amp;$B307),('DMR Flows-Effluent'!$B$3:$B$9999&amp;'DMR Flows-Effluent'!$A$3:$A$9999),0),MATCH($F$8,'DMR Flows-Effluent'!$A$2:$F$2,0)),"")</f>
        <v>64.485100000000003</v>
      </c>
      <c r="H307" s="7">
        <f t="shared" si="109"/>
        <v>133.9281</v>
      </c>
      <c r="I307" s="45" t="str">
        <f t="shared" si="110"/>
        <v/>
      </c>
      <c r="J307" s="6" t="str">
        <f t="array" ref="J307">_xlfn.IFNA((INDEX('DMR 001C TIN &amp; TP'!$A$3:$M$10005,MATCH(('Reg 85'!$I$6:$Q$6&amp;'Reg 85'!$I$10:$K$10&amp;'Reg 85'!$B307),('DMR 001C TIN &amp; TP'!$E$3:$E$10005&amp;'DMR 001C TIN &amp; TP'!$B$3:$B$10005&amp;'DMR 001C TIN &amp; TP'!$A$3:$A$10005),0),MATCH('Reg 85'!$J$11,'DMR 001C TIN &amp; TP'!$A$2:$M$2,0))),"")</f>
        <v/>
      </c>
      <c r="K307" s="6" t="str">
        <f t="array" ref="K307">_xlfn.IFNA((INDEX('DMR 001C TIN &amp; TP'!$A$3:$M$10005,MATCH(('Reg 85'!$I$6:$Q$6&amp;'Reg 85'!$I$10:$K$10&amp;'Reg 85'!$B307),('DMR 001C TIN &amp; TP'!$E$3:$E$10005&amp;'DMR 001C TIN &amp; TP'!$B$3:$B$10005&amp;'DMR 001C TIN &amp; TP'!$A$3:$A$10005),0),MATCH('Reg 85'!$K$11,'DMR 001C TIN &amp; TP'!$A$2:$M$2,0))),"")</f>
        <v/>
      </c>
      <c r="L307" s="53" t="str">
        <f t="shared" si="122"/>
        <v/>
      </c>
      <c r="M307" s="5" t="str">
        <f t="shared" si="111"/>
        <v/>
      </c>
      <c r="N307" s="6" t="str">
        <f t="array" ref="N307">_xlfn.IFNA((INDEX('DMR 001C TIN &amp; TP'!$A$3:$M$10005,MATCH(('Reg 85'!$I$6:$Q$6&amp;'Reg 85'!$M$10&amp;'Reg 85'!$B307),('DMR 001C TIN &amp; TP'!$E$3:$E$10005&amp;'DMR 001C TIN &amp; TP'!$B$3:$B$10005&amp;'DMR 001C TIN &amp; TP'!$A$3:$A$10005),0),MATCH('Reg 85'!$N$11,'DMR 001C TIN &amp; TP'!$A$2:$M$2,0))),"")</f>
        <v/>
      </c>
      <c r="O307" s="6" t="str">
        <f t="array" ref="O307">_xlfn.IFNA((INDEX('DMR 001C TIN &amp; TP'!$A$3:$M$10005,MATCH(('Reg 85'!$I$6:$Q$6&amp;'Reg 85'!$M$10&amp;'Reg 85'!$B307),('DMR 001C TIN &amp; TP'!$E$3:$E$10005&amp;'DMR 001C TIN &amp; TP'!$B$3:$B$10005&amp;'DMR 001C TIN &amp; TP'!$A$3:$A$10005),0),MATCH('Reg 85'!$O$11,'DMR 001C TIN &amp; TP'!$A$2:$M$2,0))),"")</f>
        <v/>
      </c>
      <c r="P307" s="53" t="str">
        <f t="shared" si="112"/>
        <v/>
      </c>
      <c r="Q307" s="73" t="str">
        <f t="array" ref="Q307">IFERROR(((L307*$F307)+(P307*$G307))/($H307),"")</f>
        <v/>
      </c>
      <c r="R307" s="6" t="str">
        <f t="array" ref="R307">_xlfn.IFNA((INDEX('DMR 001C TIN &amp; TP'!$A$3:$M$10005,MATCH(('Reg 85'!$I$6:$Q$6&amp;'Reg 85'!R$10&amp;'Reg 85'!$B307),('DMR 001C TIN &amp; TP'!$E$3:$E$10005&amp;'DMR 001C TIN &amp; TP'!$B$3:$B$10005&amp;'DMR 001C TIN &amp; TP'!$A$3:$A$10005),0),MATCH('Reg 85'!$O$11,'DMR 001C TIN &amp; TP'!$A$2:$M$2,0))),"")</f>
        <v/>
      </c>
      <c r="S307" s="6" t="str">
        <f t="array" ref="S307">_xlfn.IFNA((INDEX('DMR 001C TIN &amp; TP'!$A$3:$M$10005,MATCH(('Reg 85'!$I$6:$Q$6&amp;'Reg 85'!S$10&amp;'Reg 85'!$B307),('DMR 001C TIN &amp; TP'!$E$3:$E$10005&amp;'DMR 001C TIN &amp; TP'!$B$3:$B$10005&amp;'DMR 001C TIN &amp; TP'!$A$3:$A$10005),0),MATCH('Reg 85'!$O$11,'DMR 001C TIN &amp; TP'!$A$2:$M$2,0))),"")</f>
        <v/>
      </c>
      <c r="T307" s="6" t="str">
        <f t="array" ref="T307">_xlfn.IFNA((INDEX('DMR 001C TIN &amp; TP'!$A$3:$M$10005,MATCH(('Reg 85'!$I$6:$Q$6&amp;'Reg 85'!T$10&amp;'Reg 85'!$B307),('DMR 001C TIN &amp; TP'!$E$3:$E$10005&amp;'DMR 001C TIN &amp; TP'!$B$3:$B$10005&amp;'DMR 001C TIN &amp; TP'!$A$3:$A$10005),0),MATCH('Reg 85'!$O$11,'DMR 001C TIN &amp; TP'!$A$2:$M$2,0))),"")</f>
        <v/>
      </c>
      <c r="U307" s="6" t="str">
        <f t="array" ref="U307">_xlfn.IFNA((INDEX('DMR 001C TIN &amp; TP'!$A$3:$M$10005,MATCH(('Reg 85'!$I$6:$Q$6&amp;'Reg 85'!U$10&amp;'Reg 85'!$B307),('DMR 001C TIN &amp; TP'!$E$3:$E$10005&amp;'DMR 001C TIN &amp; TP'!$B$3:$B$10005&amp;'DMR 001C TIN &amp; TP'!$A$3:$A$10005),0),MATCH('Reg 85'!$O$11,'DMR 001C TIN &amp; TP'!$A$2:$M$2,0))),"")</f>
        <v/>
      </c>
      <c r="V307" s="6" t="str">
        <f t="array" ref="V307">_xlfn.IFNA((INDEX('DMR 001C TIN &amp; TP'!$A$3:$M$10005,MATCH(('Reg 85'!$I$6:$Q$6&amp;'Reg 85'!V$10&amp;'Reg 85'!$B307),('DMR 001C TIN &amp; TP'!$E$3:$E$10005&amp;'DMR 001C TIN &amp; TP'!$B$3:$B$10005&amp;'DMR 001C TIN &amp; TP'!$A$3:$A$10005),0),MATCH('Reg 85'!$O$11,'DMR 001C TIN &amp; TP'!$A$2:$M$2,0))),"")</f>
        <v/>
      </c>
      <c r="W307" s="6" t="str">
        <f t="array" ref="W307">_xlfn.IFNA((INDEX('DMR 001C TIN &amp; TP'!$A$3:$M$10005,MATCH(('Reg 85'!$I$6:$Q$6&amp;'Reg 85'!W$10&amp;'Reg 85'!$B307),('DMR 001C TIN &amp; TP'!$E$3:$E$10005&amp;'DMR 001C TIN &amp; TP'!$B$3:$B$10005&amp;'DMR 001C TIN &amp; TP'!$A$3:$A$10005),0),MATCH('Reg 85'!$O$11,'DMR 001C TIN &amp; TP'!$A$2:$M$2,0))),"")</f>
        <v/>
      </c>
      <c r="X307" s="5" t="str">
        <f t="shared" si="113"/>
        <v/>
      </c>
      <c r="Y307" s="6" t="str">
        <f t="array" ref="Y307">_xlfn.IFNA((INDEX('DMR 001C TIN &amp; TP'!$A$3:$M$10005,MATCH(('Reg 85'!$X$6&amp;'Reg 85'!$X$10&amp;'Reg 85'!$B307),('DMR 001C TIN &amp; TP'!$E$3:$E$10005&amp;'DMR 001C TIN &amp; TP'!$B$3:$B$10005&amp;'DMR 001C TIN &amp; TP'!$A$3:$A$10005),0),MATCH('Reg 85'!$Y$11,'DMR 001C TIN &amp; TP'!$A$2:$M$2,0))),"")</f>
        <v/>
      </c>
      <c r="Z307" s="6" t="str">
        <f t="array" ref="Z307">_xlfn.IFNA((INDEX('DMR 001C TIN &amp; TP'!$A$3:$M$10005,MATCH(('Reg 85'!$X$6&amp;'Reg 85'!$X$10&amp;'Reg 85'!$B307),('DMR 001C TIN &amp; TP'!$E$3:$E$10005&amp;'DMR 001C TIN &amp; TP'!$B$3:$B$10005&amp;'DMR 001C TIN &amp; TP'!$A$3:$A$10005),0),MATCH('Reg 85'!$Z$11,'DMR 001C TIN &amp; TP'!$A$2:$M$2,0))),"")</f>
        <v/>
      </c>
      <c r="AA307" s="53" t="str">
        <f t="shared" si="114"/>
        <v/>
      </c>
      <c r="AB307" s="5" t="str">
        <f t="shared" si="115"/>
        <v/>
      </c>
      <c r="AC307" s="6" t="str">
        <f t="array" ref="AC307">_xlfn.IFNA((INDEX('DMR 001C TIN &amp; TP'!$A$3:$M$10005,MATCH(('Reg 85'!$X$6&amp;'Reg 85'!$AB$10&amp;'Reg 85'!$B307),('DMR 001C TIN &amp; TP'!$E$3:$E$10005&amp;'DMR 001C TIN &amp; TP'!$B$3:$B$10005&amp;'DMR 001C TIN &amp; TP'!$A$3:$A$10005),0),MATCH('Reg 85'!$AC$11,'DMR 001C TIN &amp; TP'!$A$2:$M$2,0))),"")</f>
        <v/>
      </c>
      <c r="AD307" s="6" t="str">
        <f t="array" ref="AD307">_xlfn.IFNA((INDEX('DMR 001C TIN &amp; TP'!$A$3:$M$10005,MATCH(('Reg 85'!$X$6&amp;'Reg 85'!$AB$10&amp;'Reg 85'!$B307),('DMR 001C TIN &amp; TP'!$E$3:$E$10005&amp;'DMR 001C TIN &amp; TP'!$B$3:$B$10005&amp;'DMR 001C TIN &amp; TP'!$A$3:$A$10005),0),MATCH('Reg 85'!$AD$11,'DMR 001C TIN &amp; TP'!$A$2:$M$2,0))),"")</f>
        <v/>
      </c>
      <c r="AE307" s="53" t="str">
        <f t="shared" si="116"/>
        <v/>
      </c>
      <c r="AF307" s="7" t="str">
        <f t="shared" si="117"/>
        <v/>
      </c>
      <c r="AG307" s="6" t="str">
        <f t="array" ref="AG307">_xlfn.IFNA((INDEX('DMR 001C TIN &amp; TP'!$A$3:$M$10005,MATCH(('Reg 85'!$X$6&amp;'Reg 85'!AG$10&amp;'Reg 85'!$B307),('DMR 001C TIN &amp; TP'!$E$3:$E$10005&amp;'DMR 001C TIN &amp; TP'!$B$3:$B$10005&amp;'DMR 001C TIN &amp; TP'!$A$3:$A$10005),0),MATCH('Reg 85'!$AG$11,'DMR 001C TIN &amp; TP'!$A$2:$M$2,0))),"")</f>
        <v/>
      </c>
      <c r="AH307" s="6" t="str">
        <f t="array" ref="AH307">_xlfn.IFNA((INDEX('DMR 001C TIN &amp; TP'!$A$3:$M$10005,MATCH(('Reg 85'!$X$6&amp;'Reg 85'!AH$10&amp;'Reg 85'!$B307),('DMR 001C TIN &amp; TP'!$E$3:$E$10005&amp;'DMR 001C TIN &amp; TP'!$B$3:$B$10005&amp;'DMR 001C TIN &amp; TP'!$A$3:$A$10005),0),MATCH('Reg 85'!$AG$11,'DMR 001C TIN &amp; TP'!$A$2:$M$2,0))),"")</f>
        <v/>
      </c>
      <c r="AI307" s="6" t="str">
        <f t="array" ref="AI307">_xlfn.IFNA((INDEX('DMR 001C TIN &amp; TP'!$A$3:$M$10005,MATCH(('Reg 85'!$X$6&amp;'Reg 85'!AI$10&amp;'Reg 85'!$B307),('DMR 001C TIN &amp; TP'!$E$3:$E$10005&amp;'DMR 001C TIN &amp; TP'!$B$3:$B$10005&amp;'DMR 001C TIN &amp; TP'!$A$3:$A$10005),0),MATCH('Reg 85'!$AG$11,'DMR 001C TIN &amp; TP'!$A$2:$M$2,0))),"")</f>
        <v/>
      </c>
      <c r="AJ307" s="6" t="str">
        <f t="array" ref="AJ307">_xlfn.IFNA((INDEX('DMR 001C TIN &amp; TP'!$A$3:$M$10005,MATCH(('Reg 85'!$X$6&amp;'Reg 85'!AJ$10&amp;'Reg 85'!$B307),('DMR 001C TIN &amp; TP'!$E$3:$E$10005&amp;'DMR 001C TIN &amp; TP'!$B$3:$B$10005&amp;'DMR 001C TIN &amp; TP'!$A$3:$A$10005),0),MATCH('Reg 85'!$AG$11,'DMR 001C TIN &amp; TP'!$A$2:$M$2,0))),"")</f>
        <v/>
      </c>
      <c r="AK307" s="6" t="str">
        <f t="array" ref="AK307">_xlfn.IFNA((INDEX('DMR 001C TIN &amp; TP'!$A$3:$M$10005,MATCH(('Reg 85'!$X$6&amp;'Reg 85'!AK$10&amp;'Reg 85'!$B307),('DMR 001C TIN &amp; TP'!$E$3:$E$10005&amp;'DMR 001C TIN &amp; TP'!$B$3:$B$10005&amp;'DMR 001C TIN &amp; TP'!$A$3:$A$10005),0),MATCH('Reg 85'!$AG$11,'DMR 001C TIN &amp; TP'!$A$2:$M$2,0))),"")</f>
        <v/>
      </c>
      <c r="AL307" s="6" t="str">
        <f t="array" ref="AL307">_xlfn.IFNA((INDEX('DMR 001C TIN &amp; TP'!$A$3:$M$10005,MATCH(('Reg 85'!$X$6&amp;'Reg 85'!AL$10&amp;'Reg 85'!$B307),('DMR 001C TIN &amp; TP'!$E$3:$E$10005&amp;'DMR 001C TIN &amp; TP'!$B$3:$B$10005&amp;'DMR 001C TIN &amp; TP'!$A$3:$A$10005),0),MATCH('Reg 85'!$AG$11,'DMR 001C TIN &amp; TP'!$A$2:$M$2,0))),"")</f>
        <v/>
      </c>
      <c r="AM307" s="76"/>
      <c r="AN307" s="6"/>
      <c r="AO307" s="54" t="str">
        <f t="shared" si="104"/>
        <v/>
      </c>
      <c r="AP307" s="77" t="str">
        <f t="shared" si="123"/>
        <v/>
      </c>
      <c r="AQ307" s="47"/>
      <c r="AR307" s="6" t="str">
        <f t="array" ref="AR307">_xlfn.IFNA((INDEX('DMR 001C TIN &amp; TP'!$A$3:$M$10005,MATCH(('Reg 85'!$AQ$6&amp;'Reg 85'!$AQ$10&amp;'Reg 85'!$B307),('DMR 001C TIN &amp; TP'!$E$3:$E$10005&amp;'DMR 001C TIN &amp; TP'!$B$3:$B$10005&amp;'DMR 001C TIN &amp; TP'!$A$3:$A$10005),0),MATCH('Reg 85'!$AR$11,'DMR 001C TIN &amp; TP'!$A$2:$M$2,0))),"")</f>
        <v>0.03</v>
      </c>
      <c r="AS307" s="6">
        <f t="array" ref="AS307">_xlfn.IFNA((INDEX('DMR 001C TIN &amp; TP'!$A$3:$M$10005,MATCH(('Reg 85'!$AQ$6&amp;'Reg 85'!$AQ$10&amp;'Reg 85'!$B307),('DMR 001C TIN &amp; TP'!$E$3:$E$10005&amp;'DMR 001C TIN &amp; TP'!$B$3:$B$10005&amp;'DMR 001C TIN &amp; TP'!$A$3:$A$10005),0),MATCH('Reg 85'!$AS$11,'DMR 001C TIN &amp; TP'!$A$2:$M$2,0))),"")</f>
        <v>0.34</v>
      </c>
      <c r="AT307" s="53">
        <f t="shared" si="118"/>
        <v>0.34</v>
      </c>
      <c r="AV307" s="6" t="str">
        <f t="array" ref="AV307">_xlfn.IFNA((INDEX('DMR 001C TIN &amp; TP'!$A$3:$M$10005,MATCH(('Reg 85'!$AQ$6&amp;'Reg 85'!$AU$10&amp;'Reg 85'!$B307),('DMR 001C TIN &amp; TP'!$E$3:$E$10005&amp;'DMR 001C TIN &amp; TP'!$B$3:$B$10005&amp;'DMR 001C TIN &amp; TP'!$A$3:$A$10005),0),MATCH('Reg 85'!$AV$11,'DMR 001C TIN &amp; TP'!$A$2:$M$2,0))),"")</f>
        <v>0.15</v>
      </c>
      <c r="AW307" s="6">
        <f t="array" ref="AW307">_xlfn.IFNA((INDEX('DMR 001C TIN &amp; TP'!$A$3:$M$10005,MATCH(('Reg 85'!$AQ$6&amp;'Reg 85'!$AU$10&amp;'Reg 85'!$B307),('DMR 001C TIN &amp; TP'!$E$3:$E$10005&amp;'DMR 001C TIN &amp; TP'!$B$3:$B$10005&amp;'DMR 001C TIN &amp; TP'!$A$3:$A$10005),0),MATCH('Reg 85'!$AW$11,'DMR 001C TIN &amp; TP'!$A$2:$M$2,0))),"")</f>
        <v>2.4900000000000002</v>
      </c>
      <c r="AX307" s="53">
        <f t="shared" si="119"/>
        <v>2.4900000000000002</v>
      </c>
      <c r="AY307" s="55">
        <f t="shared" si="120"/>
        <v>1.3752044492529949</v>
      </c>
      <c r="AZ307" s="77" t="str">
        <f t="shared" si="124"/>
        <v/>
      </c>
      <c r="BA307" s="6" t="str">
        <f t="array" ref="BA307">_xlfn.IFNA((INDEX('DMR 001C TIN &amp; TP'!$A$3:$M$10005,MATCH(('Reg 85'!$AQ$6&amp;'Reg 85'!BA$10&amp;'Reg 85'!$B307),('DMR 001C TIN &amp; TP'!$E$3:$E$10005&amp;'DMR 001C TIN &amp; TP'!$B$3:$B$10005&amp;'DMR 001C TIN &amp; TP'!$A$3:$A$10005),0),MATCH('Reg 85'!$AG$11,'DMR 001C TIN &amp; TP'!$A$2:$M$2,0))),"")</f>
        <v/>
      </c>
      <c r="BB307" s="6" t="str">
        <f t="array" ref="BB307">_xlfn.IFNA((INDEX('DMR 001C TIN &amp; TP'!$A$3:$M$10005,MATCH(('Reg 85'!$AQ$6&amp;'Reg 85'!BB$10&amp;'Reg 85'!$B307),('DMR 001C TIN &amp; TP'!$E$3:$E$10005&amp;'DMR 001C TIN &amp; TP'!$B$3:$B$10005&amp;'DMR 001C TIN &amp; TP'!$A$3:$A$10005),0),MATCH('Reg 85'!$AG$11,'DMR 001C TIN &amp; TP'!$A$2:$M$2,0))),"")</f>
        <v/>
      </c>
      <c r="BC307" s="6" t="str">
        <f t="array" ref="BC307">_xlfn.IFNA((INDEX('DMR 001C TIN &amp; TP'!$A$3:$M$10005,MATCH(('Reg 85'!$AQ$6&amp;'Reg 85'!BC$10&amp;'Reg 85'!$B307),('DMR 001C TIN &amp; TP'!$E$3:$E$10005&amp;'DMR 001C TIN &amp; TP'!$B$3:$B$10005&amp;'DMR 001C TIN &amp; TP'!$A$3:$A$10005),0),MATCH('Reg 85'!$AG$11,'DMR 001C TIN &amp; TP'!$A$2:$M$2,0))),"")</f>
        <v/>
      </c>
      <c r="BD307" s="6" t="str">
        <f t="array" ref="BD307">_xlfn.IFNA((INDEX('DMR 001C TIN &amp; TP'!$A$3:$M$10005,MATCH(('Reg 85'!$AQ$6&amp;'Reg 85'!BD$10&amp;'Reg 85'!$B307),('DMR 001C TIN &amp; TP'!$E$3:$E$10005&amp;'DMR 001C TIN &amp; TP'!$B$3:$B$10005&amp;'DMR 001C TIN &amp; TP'!$A$3:$A$10005),0),MATCH('Reg 85'!$AG$11,'DMR 001C TIN &amp; TP'!$A$2:$M$2,0))),"")</f>
        <v/>
      </c>
      <c r="BE307" s="6" t="str">
        <f t="array" ref="BE307">_xlfn.IFNA((INDEX('DMR 001C TIN &amp; TP'!$A$3:$M$10005,MATCH(('Reg 85'!$AQ$6&amp;'Reg 85'!BE$10&amp;'Reg 85'!$B307),('DMR 001C TIN &amp; TP'!$E$3:$E$10005&amp;'DMR 001C TIN &amp; TP'!$B$3:$B$10005&amp;'DMR 001C TIN &amp; TP'!$A$3:$A$10005),0),MATCH('Reg 85'!$AG$11,'DMR 001C TIN &amp; TP'!$A$2:$M$2,0))),"")</f>
        <v/>
      </c>
      <c r="BF307" s="6" t="str">
        <f t="array" ref="BF307">_xlfn.IFNA((INDEX('DMR 001C TIN &amp; TP'!$A$3:$M$10005,MATCH(('Reg 85'!$AQ$6&amp;'Reg 85'!BF$10&amp;'Reg 85'!$B307),('DMR 001C TIN &amp; TP'!$E$3:$E$10005&amp;'DMR 001C TIN &amp; TP'!$B$3:$B$10005&amp;'DMR 001C TIN &amp; TP'!$A$3:$A$10005),0),MATCH('Reg 85'!$AG$11,'DMR 001C TIN &amp; TP'!$A$2:$M$2,0))),"")</f>
        <v/>
      </c>
    </row>
    <row r="308" spans="1:58">
      <c r="A308" s="3" t="str">
        <f t="shared" si="105"/>
        <v>Mon</v>
      </c>
      <c r="B308" s="96">
        <f t="shared" si="121"/>
        <v>43640</v>
      </c>
      <c r="C308" s="96">
        <f t="shared" si="106"/>
        <v>43646</v>
      </c>
      <c r="D308" s="96">
        <f t="shared" si="107"/>
        <v>43617</v>
      </c>
      <c r="E308" s="95">
        <f t="shared" si="108"/>
        <v>30</v>
      </c>
      <c r="F308" s="7">
        <f t="array" ref="F308">_xlfn.IFNA(INDEX('DMR Flows-Effluent'!$A$3:$F$9999,MATCH(($F$10&amp;$B308),('DMR Flows-Effluent'!$B$3:$B$9999&amp;'DMR Flows-Effluent'!$A$3:$A$9999),0),MATCH($F$8,'DMR Flows-Effluent'!$A$2:$F$2,0)),"")</f>
        <v>76.094099999999997</v>
      </c>
      <c r="G308" s="7">
        <f t="array" ref="G308">_xlfn.IFNA(INDEX('DMR Flows-Effluent'!$A$3:$F$9999,MATCH(($G$10&amp;$B308),('DMR Flows-Effluent'!$B$3:$B$9999&amp;'DMR Flows-Effluent'!$A$3:$A$9999),0),MATCH($F$8,'DMR Flows-Effluent'!$A$2:$F$2,0)),"")</f>
        <v>61.266399999999997</v>
      </c>
      <c r="H308" s="7">
        <f t="shared" si="109"/>
        <v>137.3605</v>
      </c>
      <c r="I308" s="45" t="str">
        <f t="shared" si="110"/>
        <v/>
      </c>
      <c r="J308" s="6" t="str">
        <f t="array" ref="J308">_xlfn.IFNA((INDEX('DMR 001C TIN &amp; TP'!$A$3:$M$10005,MATCH(('Reg 85'!$I$6:$Q$6&amp;'Reg 85'!$I$10:$K$10&amp;'Reg 85'!$B308),('DMR 001C TIN &amp; TP'!$E$3:$E$10005&amp;'DMR 001C TIN &amp; TP'!$B$3:$B$10005&amp;'DMR 001C TIN &amp; TP'!$A$3:$A$10005),0),MATCH('Reg 85'!$J$11,'DMR 001C TIN &amp; TP'!$A$2:$M$2,0))),"")</f>
        <v>0.15</v>
      </c>
      <c r="K308" s="6">
        <f t="array" ref="K308">_xlfn.IFNA((INDEX('DMR 001C TIN &amp; TP'!$A$3:$M$10005,MATCH(('Reg 85'!$I$6:$Q$6&amp;'Reg 85'!$I$10:$K$10&amp;'Reg 85'!$B308),('DMR 001C TIN &amp; TP'!$E$3:$E$10005&amp;'DMR 001C TIN &amp; TP'!$B$3:$B$10005&amp;'DMR 001C TIN &amp; TP'!$A$3:$A$10005),0),MATCH('Reg 85'!$K$11,'DMR 001C TIN &amp; TP'!$A$2:$M$2,0))),"")</f>
        <v>0.81</v>
      </c>
      <c r="L308" s="53">
        <f t="shared" si="122"/>
        <v>0.81</v>
      </c>
      <c r="M308" s="5" t="str">
        <f t="shared" si="111"/>
        <v/>
      </c>
      <c r="N308" s="6" t="str">
        <f t="array" ref="N308">_xlfn.IFNA((INDEX('DMR 001C TIN &amp; TP'!$A$3:$M$10005,MATCH(('Reg 85'!$I$6:$Q$6&amp;'Reg 85'!$M$10&amp;'Reg 85'!$B308),('DMR 001C TIN &amp; TP'!$E$3:$E$10005&amp;'DMR 001C TIN &amp; TP'!$B$3:$B$10005&amp;'DMR 001C TIN &amp; TP'!$A$3:$A$10005),0),MATCH('Reg 85'!$N$11,'DMR 001C TIN &amp; TP'!$A$2:$M$2,0))),"")</f>
        <v>0.15</v>
      </c>
      <c r="O308" s="6">
        <f t="array" ref="O308">_xlfn.IFNA((INDEX('DMR 001C TIN &amp; TP'!$A$3:$M$10005,MATCH(('Reg 85'!$I$6:$Q$6&amp;'Reg 85'!$M$10&amp;'Reg 85'!$B308),('DMR 001C TIN &amp; TP'!$E$3:$E$10005&amp;'DMR 001C TIN &amp; TP'!$B$3:$B$10005&amp;'DMR 001C TIN &amp; TP'!$A$3:$A$10005),0),MATCH('Reg 85'!$O$11,'DMR 001C TIN &amp; TP'!$A$2:$M$2,0))),"")</f>
        <v>2.23</v>
      </c>
      <c r="P308" s="53">
        <f t="shared" si="112"/>
        <v>2.23</v>
      </c>
      <c r="Q308" s="73">
        <f t="array" ref="Q308">IFERROR(((L308*$F308)+(P308*$G308))/($H308),"")</f>
        <v>1.4433573916810145</v>
      </c>
      <c r="R308" s="6" t="str">
        <f t="array" ref="R308">_xlfn.IFNA((INDEX('DMR 001C TIN &amp; TP'!$A$3:$M$10005,MATCH(('Reg 85'!$I$6:$Q$6&amp;'Reg 85'!R$10&amp;'Reg 85'!$B308),('DMR 001C TIN &amp; TP'!$E$3:$E$10005&amp;'DMR 001C TIN &amp; TP'!$B$3:$B$10005&amp;'DMR 001C TIN &amp; TP'!$A$3:$A$10005),0),MATCH('Reg 85'!$O$11,'DMR 001C TIN &amp; TP'!$A$2:$M$2,0))),"")</f>
        <v/>
      </c>
      <c r="S308" s="6" t="str">
        <f t="array" ref="S308">_xlfn.IFNA((INDEX('DMR 001C TIN &amp; TP'!$A$3:$M$10005,MATCH(('Reg 85'!$I$6:$Q$6&amp;'Reg 85'!S$10&amp;'Reg 85'!$B308),('DMR 001C TIN &amp; TP'!$E$3:$E$10005&amp;'DMR 001C TIN &amp; TP'!$B$3:$B$10005&amp;'DMR 001C TIN &amp; TP'!$A$3:$A$10005),0),MATCH('Reg 85'!$O$11,'DMR 001C TIN &amp; TP'!$A$2:$M$2,0))),"")</f>
        <v/>
      </c>
      <c r="T308" s="6" t="str">
        <f t="array" ref="T308">_xlfn.IFNA((INDEX('DMR 001C TIN &amp; TP'!$A$3:$M$10005,MATCH(('Reg 85'!$I$6:$Q$6&amp;'Reg 85'!T$10&amp;'Reg 85'!$B308),('DMR 001C TIN &amp; TP'!$E$3:$E$10005&amp;'DMR 001C TIN &amp; TP'!$B$3:$B$10005&amp;'DMR 001C TIN &amp; TP'!$A$3:$A$10005),0),MATCH('Reg 85'!$O$11,'DMR 001C TIN &amp; TP'!$A$2:$M$2,0))),"")</f>
        <v/>
      </c>
      <c r="U308" s="6" t="str">
        <f t="array" ref="U308">_xlfn.IFNA((INDEX('DMR 001C TIN &amp; TP'!$A$3:$M$10005,MATCH(('Reg 85'!$I$6:$Q$6&amp;'Reg 85'!U$10&amp;'Reg 85'!$B308),('DMR 001C TIN &amp; TP'!$E$3:$E$10005&amp;'DMR 001C TIN &amp; TP'!$B$3:$B$10005&amp;'DMR 001C TIN &amp; TP'!$A$3:$A$10005),0),MATCH('Reg 85'!$O$11,'DMR 001C TIN &amp; TP'!$A$2:$M$2,0))),"")</f>
        <v/>
      </c>
      <c r="V308" s="6" t="str">
        <f t="array" ref="V308">_xlfn.IFNA((INDEX('DMR 001C TIN &amp; TP'!$A$3:$M$10005,MATCH(('Reg 85'!$I$6:$Q$6&amp;'Reg 85'!V$10&amp;'Reg 85'!$B308),('DMR 001C TIN &amp; TP'!$E$3:$E$10005&amp;'DMR 001C TIN &amp; TP'!$B$3:$B$10005&amp;'DMR 001C TIN &amp; TP'!$A$3:$A$10005),0),MATCH('Reg 85'!$O$11,'DMR 001C TIN &amp; TP'!$A$2:$M$2,0))),"")</f>
        <v/>
      </c>
      <c r="W308" s="6" t="str">
        <f t="array" ref="W308">_xlfn.IFNA((INDEX('DMR 001C TIN &amp; TP'!$A$3:$M$10005,MATCH(('Reg 85'!$I$6:$Q$6&amp;'Reg 85'!W$10&amp;'Reg 85'!$B308),('DMR 001C TIN &amp; TP'!$E$3:$E$10005&amp;'DMR 001C TIN &amp; TP'!$B$3:$B$10005&amp;'DMR 001C TIN &amp; TP'!$A$3:$A$10005),0),MATCH('Reg 85'!$O$11,'DMR 001C TIN &amp; TP'!$A$2:$M$2,0))),"")</f>
        <v/>
      </c>
      <c r="X308" s="5" t="str">
        <f t="shared" si="113"/>
        <v/>
      </c>
      <c r="Y308" s="6" t="str">
        <f t="array" ref="Y308">_xlfn.IFNA((INDEX('DMR 001C TIN &amp; TP'!$A$3:$M$10005,MATCH(('Reg 85'!$X$6&amp;'Reg 85'!$X$10&amp;'Reg 85'!$B308),('DMR 001C TIN &amp; TP'!$E$3:$E$10005&amp;'DMR 001C TIN &amp; TP'!$B$3:$B$10005&amp;'DMR 001C TIN &amp; TP'!$A$3:$A$10005),0),MATCH('Reg 85'!$Y$11,'DMR 001C TIN &amp; TP'!$A$2:$M$2,0))),"")</f>
        <v>0.06</v>
      </c>
      <c r="Z308" s="6">
        <f t="array" ref="Z308">_xlfn.IFNA((INDEX('DMR 001C TIN &amp; TP'!$A$3:$M$10005,MATCH(('Reg 85'!$X$6&amp;'Reg 85'!$X$10&amp;'Reg 85'!$B308),('DMR 001C TIN &amp; TP'!$E$3:$E$10005&amp;'DMR 001C TIN &amp; TP'!$B$3:$B$10005&amp;'DMR 001C TIN &amp; TP'!$A$3:$A$10005),0),MATCH('Reg 85'!$Z$11,'DMR 001C TIN &amp; TP'!$A$2:$M$2,0))),"")</f>
        <v>5.24</v>
      </c>
      <c r="AA308" s="53">
        <f t="shared" si="114"/>
        <v>5.24</v>
      </c>
      <c r="AB308" s="5" t="str">
        <f t="shared" si="115"/>
        <v/>
      </c>
      <c r="AC308" s="6" t="str">
        <f t="array" ref="AC308">_xlfn.IFNA((INDEX('DMR 001C TIN &amp; TP'!$A$3:$M$10005,MATCH(('Reg 85'!$X$6&amp;'Reg 85'!$AB$10&amp;'Reg 85'!$B308),('DMR 001C TIN &amp; TP'!$E$3:$E$10005&amp;'DMR 001C TIN &amp; TP'!$B$3:$B$10005&amp;'DMR 001C TIN &amp; TP'!$A$3:$A$10005),0),MATCH('Reg 85'!$AC$11,'DMR 001C TIN &amp; TP'!$A$2:$M$2,0))),"")</f>
        <v>0.06</v>
      </c>
      <c r="AD308" s="6">
        <f t="array" ref="AD308">_xlfn.IFNA((INDEX('DMR 001C TIN &amp; TP'!$A$3:$M$10005,MATCH(('Reg 85'!$X$6&amp;'Reg 85'!$AB$10&amp;'Reg 85'!$B308),('DMR 001C TIN &amp; TP'!$E$3:$E$10005&amp;'DMR 001C TIN &amp; TP'!$B$3:$B$10005&amp;'DMR 001C TIN &amp; TP'!$A$3:$A$10005),0),MATCH('Reg 85'!$AD$11,'DMR 001C TIN &amp; TP'!$A$2:$M$2,0))),"")</f>
        <v>5.13</v>
      </c>
      <c r="AE308" s="53">
        <f t="shared" si="116"/>
        <v>5.13</v>
      </c>
      <c r="AF308" s="7">
        <f t="shared" si="117"/>
        <v>5.1909371034613301</v>
      </c>
      <c r="AG308" s="6" t="str">
        <f t="array" ref="AG308">_xlfn.IFNA((INDEX('DMR 001C TIN &amp; TP'!$A$3:$M$10005,MATCH(('Reg 85'!$X$6&amp;'Reg 85'!AG$10&amp;'Reg 85'!$B308),('DMR 001C TIN &amp; TP'!$E$3:$E$10005&amp;'DMR 001C TIN &amp; TP'!$B$3:$B$10005&amp;'DMR 001C TIN &amp; TP'!$A$3:$A$10005),0),MATCH('Reg 85'!$AG$11,'DMR 001C TIN &amp; TP'!$A$2:$M$2,0))),"")</f>
        <v/>
      </c>
      <c r="AH308" s="6" t="str">
        <f t="array" ref="AH308">_xlfn.IFNA((INDEX('DMR 001C TIN &amp; TP'!$A$3:$M$10005,MATCH(('Reg 85'!$X$6&amp;'Reg 85'!AH$10&amp;'Reg 85'!$B308),('DMR 001C TIN &amp; TP'!$E$3:$E$10005&amp;'DMR 001C TIN &amp; TP'!$B$3:$B$10005&amp;'DMR 001C TIN &amp; TP'!$A$3:$A$10005),0),MATCH('Reg 85'!$AG$11,'DMR 001C TIN &amp; TP'!$A$2:$M$2,0))),"")</f>
        <v/>
      </c>
      <c r="AI308" s="6" t="str">
        <f t="array" ref="AI308">_xlfn.IFNA((INDEX('DMR 001C TIN &amp; TP'!$A$3:$M$10005,MATCH(('Reg 85'!$X$6&amp;'Reg 85'!AI$10&amp;'Reg 85'!$B308),('DMR 001C TIN &amp; TP'!$E$3:$E$10005&amp;'DMR 001C TIN &amp; TP'!$B$3:$B$10005&amp;'DMR 001C TIN &amp; TP'!$A$3:$A$10005),0),MATCH('Reg 85'!$AG$11,'DMR 001C TIN &amp; TP'!$A$2:$M$2,0))),"")</f>
        <v/>
      </c>
      <c r="AJ308" s="6" t="str">
        <f t="array" ref="AJ308">_xlfn.IFNA((INDEX('DMR 001C TIN &amp; TP'!$A$3:$M$10005,MATCH(('Reg 85'!$X$6&amp;'Reg 85'!AJ$10&amp;'Reg 85'!$B308),('DMR 001C TIN &amp; TP'!$E$3:$E$10005&amp;'DMR 001C TIN &amp; TP'!$B$3:$B$10005&amp;'DMR 001C TIN &amp; TP'!$A$3:$A$10005),0),MATCH('Reg 85'!$AG$11,'DMR 001C TIN &amp; TP'!$A$2:$M$2,0))),"")</f>
        <v/>
      </c>
      <c r="AK308" s="6" t="str">
        <f t="array" ref="AK308">_xlfn.IFNA((INDEX('DMR 001C TIN &amp; TP'!$A$3:$M$10005,MATCH(('Reg 85'!$X$6&amp;'Reg 85'!AK$10&amp;'Reg 85'!$B308),('DMR 001C TIN &amp; TP'!$E$3:$E$10005&amp;'DMR 001C TIN &amp; TP'!$B$3:$B$10005&amp;'DMR 001C TIN &amp; TP'!$A$3:$A$10005),0),MATCH('Reg 85'!$AG$11,'DMR 001C TIN &amp; TP'!$A$2:$M$2,0))),"")</f>
        <v/>
      </c>
      <c r="AL308" s="6" t="str">
        <f t="array" ref="AL308">_xlfn.IFNA((INDEX('DMR 001C TIN &amp; TP'!$A$3:$M$10005,MATCH(('Reg 85'!$X$6&amp;'Reg 85'!AL$10&amp;'Reg 85'!$B308),('DMR 001C TIN &amp; TP'!$E$3:$E$10005&amp;'DMR 001C TIN &amp; TP'!$B$3:$B$10005&amp;'DMR 001C TIN &amp; TP'!$A$3:$A$10005),0),MATCH('Reg 85'!$AG$11,'DMR 001C TIN &amp; TP'!$A$2:$M$2,0))),"")</f>
        <v/>
      </c>
      <c r="AM308" s="76"/>
      <c r="AN308" s="6"/>
      <c r="AO308" s="54">
        <f t="shared" si="104"/>
        <v>6.6342944951423446</v>
      </c>
      <c r="AP308" s="77" t="str">
        <f t="shared" si="123"/>
        <v/>
      </c>
      <c r="AQ308" s="47"/>
      <c r="AR308" s="6" t="str">
        <f t="array" ref="AR308">_xlfn.IFNA((INDEX('DMR 001C TIN &amp; TP'!$A$3:$M$10005,MATCH(('Reg 85'!$AQ$6&amp;'Reg 85'!$AQ$10&amp;'Reg 85'!$B308),('DMR 001C TIN &amp; TP'!$E$3:$E$10005&amp;'DMR 001C TIN &amp; TP'!$B$3:$B$10005&amp;'DMR 001C TIN &amp; TP'!$A$3:$A$10005),0),MATCH('Reg 85'!$AR$11,'DMR 001C TIN &amp; TP'!$A$2:$M$2,0))),"")</f>
        <v/>
      </c>
      <c r="AS308" s="6" t="str">
        <f t="array" ref="AS308">_xlfn.IFNA((INDEX('DMR 001C TIN &amp; TP'!$A$3:$M$10005,MATCH(('Reg 85'!$AQ$6&amp;'Reg 85'!$AQ$10&amp;'Reg 85'!$B308),('DMR 001C TIN &amp; TP'!$E$3:$E$10005&amp;'DMR 001C TIN &amp; TP'!$B$3:$B$10005&amp;'DMR 001C TIN &amp; TP'!$A$3:$A$10005),0),MATCH('Reg 85'!$AS$11,'DMR 001C TIN &amp; TP'!$A$2:$M$2,0))),"")</f>
        <v/>
      </c>
      <c r="AT308" s="53" t="str">
        <f t="shared" si="118"/>
        <v/>
      </c>
      <c r="AV308" s="6" t="str">
        <f t="array" ref="AV308">_xlfn.IFNA((INDEX('DMR 001C TIN &amp; TP'!$A$3:$M$10005,MATCH(('Reg 85'!$AQ$6&amp;'Reg 85'!$AU$10&amp;'Reg 85'!$B308),('DMR 001C TIN &amp; TP'!$E$3:$E$10005&amp;'DMR 001C TIN &amp; TP'!$B$3:$B$10005&amp;'DMR 001C TIN &amp; TP'!$A$3:$A$10005),0),MATCH('Reg 85'!$AV$11,'DMR 001C TIN &amp; TP'!$A$2:$M$2,0))),"")</f>
        <v/>
      </c>
      <c r="AW308" s="6" t="str">
        <f t="array" ref="AW308">_xlfn.IFNA((INDEX('DMR 001C TIN &amp; TP'!$A$3:$M$10005,MATCH(('Reg 85'!$AQ$6&amp;'Reg 85'!$AU$10&amp;'Reg 85'!$B308),('DMR 001C TIN &amp; TP'!$E$3:$E$10005&amp;'DMR 001C TIN &amp; TP'!$B$3:$B$10005&amp;'DMR 001C TIN &amp; TP'!$A$3:$A$10005),0),MATCH('Reg 85'!$AW$11,'DMR 001C TIN &amp; TP'!$A$2:$M$2,0))),"")</f>
        <v/>
      </c>
      <c r="AX308" s="53" t="str">
        <f t="shared" si="119"/>
        <v/>
      </c>
      <c r="AY308" s="55" t="str">
        <f t="shared" si="120"/>
        <v/>
      </c>
      <c r="AZ308" s="77" t="str">
        <f t="shared" si="124"/>
        <v/>
      </c>
      <c r="BA308" s="6" t="str">
        <f t="array" ref="BA308">_xlfn.IFNA((INDEX('DMR 001C TIN &amp; TP'!$A$3:$M$10005,MATCH(('Reg 85'!$AQ$6&amp;'Reg 85'!BA$10&amp;'Reg 85'!$B308),('DMR 001C TIN &amp; TP'!$E$3:$E$10005&amp;'DMR 001C TIN &amp; TP'!$B$3:$B$10005&amp;'DMR 001C TIN &amp; TP'!$A$3:$A$10005),0),MATCH('Reg 85'!$AG$11,'DMR 001C TIN &amp; TP'!$A$2:$M$2,0))),"")</f>
        <v/>
      </c>
      <c r="BB308" s="6" t="str">
        <f t="array" ref="BB308">_xlfn.IFNA((INDEX('DMR 001C TIN &amp; TP'!$A$3:$M$10005,MATCH(('Reg 85'!$AQ$6&amp;'Reg 85'!BB$10&amp;'Reg 85'!$B308),('DMR 001C TIN &amp; TP'!$E$3:$E$10005&amp;'DMR 001C TIN &amp; TP'!$B$3:$B$10005&amp;'DMR 001C TIN &amp; TP'!$A$3:$A$10005),0),MATCH('Reg 85'!$AG$11,'DMR 001C TIN &amp; TP'!$A$2:$M$2,0))),"")</f>
        <v/>
      </c>
      <c r="BC308" s="6" t="str">
        <f t="array" ref="BC308">_xlfn.IFNA((INDEX('DMR 001C TIN &amp; TP'!$A$3:$M$10005,MATCH(('Reg 85'!$AQ$6&amp;'Reg 85'!BC$10&amp;'Reg 85'!$B308),('DMR 001C TIN &amp; TP'!$E$3:$E$10005&amp;'DMR 001C TIN &amp; TP'!$B$3:$B$10005&amp;'DMR 001C TIN &amp; TP'!$A$3:$A$10005),0),MATCH('Reg 85'!$AG$11,'DMR 001C TIN &amp; TP'!$A$2:$M$2,0))),"")</f>
        <v/>
      </c>
      <c r="BD308" s="6" t="str">
        <f t="array" ref="BD308">_xlfn.IFNA((INDEX('DMR 001C TIN &amp; TP'!$A$3:$M$10005,MATCH(('Reg 85'!$AQ$6&amp;'Reg 85'!BD$10&amp;'Reg 85'!$B308),('DMR 001C TIN &amp; TP'!$E$3:$E$10005&amp;'DMR 001C TIN &amp; TP'!$B$3:$B$10005&amp;'DMR 001C TIN &amp; TP'!$A$3:$A$10005),0),MATCH('Reg 85'!$AG$11,'DMR 001C TIN &amp; TP'!$A$2:$M$2,0))),"")</f>
        <v/>
      </c>
      <c r="BE308" s="6" t="str">
        <f t="array" ref="BE308">_xlfn.IFNA((INDEX('DMR 001C TIN &amp; TP'!$A$3:$M$10005,MATCH(('Reg 85'!$AQ$6&amp;'Reg 85'!BE$10&amp;'Reg 85'!$B308),('DMR 001C TIN &amp; TP'!$E$3:$E$10005&amp;'DMR 001C TIN &amp; TP'!$B$3:$B$10005&amp;'DMR 001C TIN &amp; TP'!$A$3:$A$10005),0),MATCH('Reg 85'!$AG$11,'DMR 001C TIN &amp; TP'!$A$2:$M$2,0))),"")</f>
        <v/>
      </c>
      <c r="BF308" s="6" t="str">
        <f t="array" ref="BF308">_xlfn.IFNA((INDEX('DMR 001C TIN &amp; TP'!$A$3:$M$10005,MATCH(('Reg 85'!$AQ$6&amp;'Reg 85'!BF$10&amp;'Reg 85'!$B308),('DMR 001C TIN &amp; TP'!$E$3:$E$10005&amp;'DMR 001C TIN &amp; TP'!$B$3:$B$10005&amp;'DMR 001C TIN &amp; TP'!$A$3:$A$10005),0),MATCH('Reg 85'!$AG$11,'DMR 001C TIN &amp; TP'!$A$2:$M$2,0))),"")</f>
        <v/>
      </c>
    </row>
    <row r="309" spans="1:58">
      <c r="A309" s="3" t="str">
        <f t="shared" si="105"/>
        <v>Tue</v>
      </c>
      <c r="B309" s="96">
        <f t="shared" si="121"/>
        <v>43641</v>
      </c>
      <c r="C309" s="96">
        <f t="shared" si="106"/>
        <v>43646</v>
      </c>
      <c r="D309" s="96">
        <f t="shared" si="107"/>
        <v>43617</v>
      </c>
      <c r="E309" s="95">
        <f t="shared" si="108"/>
        <v>30</v>
      </c>
      <c r="F309" s="7">
        <f t="array" ref="F309">_xlfn.IFNA(INDEX('DMR Flows-Effluent'!$A$3:$F$9999,MATCH(($F$10&amp;$B309),('DMR Flows-Effluent'!$B$3:$B$9999&amp;'DMR Flows-Effluent'!$A$3:$A$9999),0),MATCH($F$8,'DMR Flows-Effluent'!$A$2:$F$2,0)),"")</f>
        <v>73.072100000000006</v>
      </c>
      <c r="G309" s="7">
        <f t="array" ref="G309">_xlfn.IFNA(INDEX('DMR Flows-Effluent'!$A$3:$F$9999,MATCH(($G$10&amp;$B309),('DMR Flows-Effluent'!$B$3:$B$9999&amp;'DMR Flows-Effluent'!$A$3:$A$9999),0),MATCH($F$8,'DMR Flows-Effluent'!$A$2:$F$2,0)),"")</f>
        <v>58.607700000000001</v>
      </c>
      <c r="H309" s="7">
        <f t="shared" si="109"/>
        <v>131.6798</v>
      </c>
      <c r="I309" s="45" t="str">
        <f t="shared" si="110"/>
        <v/>
      </c>
      <c r="J309" s="6" t="str">
        <f t="array" ref="J309">_xlfn.IFNA((INDEX('DMR 001C TIN &amp; TP'!$A$3:$M$10005,MATCH(('Reg 85'!$I$6:$Q$6&amp;'Reg 85'!$I$10:$K$10&amp;'Reg 85'!$B309),('DMR 001C TIN &amp; TP'!$E$3:$E$10005&amp;'DMR 001C TIN &amp; TP'!$B$3:$B$10005&amp;'DMR 001C TIN &amp; TP'!$A$3:$A$10005),0),MATCH('Reg 85'!$J$11,'DMR 001C TIN &amp; TP'!$A$2:$M$2,0))),"")</f>
        <v/>
      </c>
      <c r="K309" s="6" t="str">
        <f t="array" ref="K309">_xlfn.IFNA((INDEX('DMR 001C TIN &amp; TP'!$A$3:$M$10005,MATCH(('Reg 85'!$I$6:$Q$6&amp;'Reg 85'!$I$10:$K$10&amp;'Reg 85'!$B309),('DMR 001C TIN &amp; TP'!$E$3:$E$10005&amp;'DMR 001C TIN &amp; TP'!$B$3:$B$10005&amp;'DMR 001C TIN &amp; TP'!$A$3:$A$10005),0),MATCH('Reg 85'!$K$11,'DMR 001C TIN &amp; TP'!$A$2:$M$2,0))),"")</f>
        <v/>
      </c>
      <c r="L309" s="53" t="str">
        <f t="shared" si="122"/>
        <v/>
      </c>
      <c r="M309" s="5" t="str">
        <f t="shared" si="111"/>
        <v/>
      </c>
      <c r="N309" s="6" t="str">
        <f t="array" ref="N309">_xlfn.IFNA((INDEX('DMR 001C TIN &amp; TP'!$A$3:$M$10005,MATCH(('Reg 85'!$I$6:$Q$6&amp;'Reg 85'!$M$10&amp;'Reg 85'!$B309),('DMR 001C TIN &amp; TP'!$E$3:$E$10005&amp;'DMR 001C TIN &amp; TP'!$B$3:$B$10005&amp;'DMR 001C TIN &amp; TP'!$A$3:$A$10005),0),MATCH('Reg 85'!$N$11,'DMR 001C TIN &amp; TP'!$A$2:$M$2,0))),"")</f>
        <v/>
      </c>
      <c r="O309" s="6" t="str">
        <f t="array" ref="O309">_xlfn.IFNA((INDEX('DMR 001C TIN &amp; TP'!$A$3:$M$10005,MATCH(('Reg 85'!$I$6:$Q$6&amp;'Reg 85'!$M$10&amp;'Reg 85'!$B309),('DMR 001C TIN &amp; TP'!$E$3:$E$10005&amp;'DMR 001C TIN &amp; TP'!$B$3:$B$10005&amp;'DMR 001C TIN &amp; TP'!$A$3:$A$10005),0),MATCH('Reg 85'!$O$11,'DMR 001C TIN &amp; TP'!$A$2:$M$2,0))),"")</f>
        <v/>
      </c>
      <c r="P309" s="53" t="str">
        <f t="shared" si="112"/>
        <v/>
      </c>
      <c r="Q309" s="73" t="str">
        <f t="array" ref="Q309">IFERROR(((L309*$F309)+(P309*$G309))/($H309),"")</f>
        <v/>
      </c>
      <c r="R309" s="6" t="str">
        <f t="array" ref="R309">_xlfn.IFNA((INDEX('DMR 001C TIN &amp; TP'!$A$3:$M$10005,MATCH(('Reg 85'!$I$6:$Q$6&amp;'Reg 85'!R$10&amp;'Reg 85'!$B309),('DMR 001C TIN &amp; TP'!$E$3:$E$10005&amp;'DMR 001C TIN &amp; TP'!$B$3:$B$10005&amp;'DMR 001C TIN &amp; TP'!$A$3:$A$10005),0),MATCH('Reg 85'!$O$11,'DMR 001C TIN &amp; TP'!$A$2:$M$2,0))),"")</f>
        <v/>
      </c>
      <c r="S309" s="6" t="str">
        <f t="array" ref="S309">_xlfn.IFNA((INDEX('DMR 001C TIN &amp; TP'!$A$3:$M$10005,MATCH(('Reg 85'!$I$6:$Q$6&amp;'Reg 85'!S$10&amp;'Reg 85'!$B309),('DMR 001C TIN &amp; TP'!$E$3:$E$10005&amp;'DMR 001C TIN &amp; TP'!$B$3:$B$10005&amp;'DMR 001C TIN &amp; TP'!$A$3:$A$10005),0),MATCH('Reg 85'!$O$11,'DMR 001C TIN &amp; TP'!$A$2:$M$2,0))),"")</f>
        <v/>
      </c>
      <c r="T309" s="6" t="str">
        <f t="array" ref="T309">_xlfn.IFNA((INDEX('DMR 001C TIN &amp; TP'!$A$3:$M$10005,MATCH(('Reg 85'!$I$6:$Q$6&amp;'Reg 85'!T$10&amp;'Reg 85'!$B309),('DMR 001C TIN &amp; TP'!$E$3:$E$10005&amp;'DMR 001C TIN &amp; TP'!$B$3:$B$10005&amp;'DMR 001C TIN &amp; TP'!$A$3:$A$10005),0),MATCH('Reg 85'!$O$11,'DMR 001C TIN &amp; TP'!$A$2:$M$2,0))),"")</f>
        <v/>
      </c>
      <c r="U309" s="6" t="str">
        <f t="array" ref="U309">_xlfn.IFNA((INDEX('DMR 001C TIN &amp; TP'!$A$3:$M$10005,MATCH(('Reg 85'!$I$6:$Q$6&amp;'Reg 85'!U$10&amp;'Reg 85'!$B309),('DMR 001C TIN &amp; TP'!$E$3:$E$10005&amp;'DMR 001C TIN &amp; TP'!$B$3:$B$10005&amp;'DMR 001C TIN &amp; TP'!$A$3:$A$10005),0),MATCH('Reg 85'!$O$11,'DMR 001C TIN &amp; TP'!$A$2:$M$2,0))),"")</f>
        <v/>
      </c>
      <c r="V309" s="6" t="str">
        <f t="array" ref="V309">_xlfn.IFNA((INDEX('DMR 001C TIN &amp; TP'!$A$3:$M$10005,MATCH(('Reg 85'!$I$6:$Q$6&amp;'Reg 85'!V$10&amp;'Reg 85'!$B309),('DMR 001C TIN &amp; TP'!$E$3:$E$10005&amp;'DMR 001C TIN &amp; TP'!$B$3:$B$10005&amp;'DMR 001C TIN &amp; TP'!$A$3:$A$10005),0),MATCH('Reg 85'!$O$11,'DMR 001C TIN &amp; TP'!$A$2:$M$2,0))),"")</f>
        <v/>
      </c>
      <c r="W309" s="6" t="str">
        <f t="array" ref="W309">_xlfn.IFNA((INDEX('DMR 001C TIN &amp; TP'!$A$3:$M$10005,MATCH(('Reg 85'!$I$6:$Q$6&amp;'Reg 85'!W$10&amp;'Reg 85'!$B309),('DMR 001C TIN &amp; TP'!$E$3:$E$10005&amp;'DMR 001C TIN &amp; TP'!$B$3:$B$10005&amp;'DMR 001C TIN &amp; TP'!$A$3:$A$10005),0),MATCH('Reg 85'!$O$11,'DMR 001C TIN &amp; TP'!$A$2:$M$2,0))),"")</f>
        <v/>
      </c>
      <c r="X309" s="5" t="str">
        <f t="shared" si="113"/>
        <v/>
      </c>
      <c r="Y309" s="6" t="str">
        <f t="array" ref="Y309">_xlfn.IFNA((INDEX('DMR 001C TIN &amp; TP'!$A$3:$M$10005,MATCH(('Reg 85'!$X$6&amp;'Reg 85'!$X$10&amp;'Reg 85'!$B309),('DMR 001C TIN &amp; TP'!$E$3:$E$10005&amp;'DMR 001C TIN &amp; TP'!$B$3:$B$10005&amp;'DMR 001C TIN &amp; TP'!$A$3:$A$10005),0),MATCH('Reg 85'!$Y$11,'DMR 001C TIN &amp; TP'!$A$2:$M$2,0))),"")</f>
        <v/>
      </c>
      <c r="Z309" s="6" t="str">
        <f t="array" ref="Z309">_xlfn.IFNA((INDEX('DMR 001C TIN &amp; TP'!$A$3:$M$10005,MATCH(('Reg 85'!$X$6&amp;'Reg 85'!$X$10&amp;'Reg 85'!$B309),('DMR 001C TIN &amp; TP'!$E$3:$E$10005&amp;'DMR 001C TIN &amp; TP'!$B$3:$B$10005&amp;'DMR 001C TIN &amp; TP'!$A$3:$A$10005),0),MATCH('Reg 85'!$Z$11,'DMR 001C TIN &amp; TP'!$A$2:$M$2,0))),"")</f>
        <v/>
      </c>
      <c r="AA309" s="53" t="str">
        <f t="shared" si="114"/>
        <v/>
      </c>
      <c r="AB309" s="5" t="str">
        <f t="shared" si="115"/>
        <v/>
      </c>
      <c r="AC309" s="6" t="str">
        <f t="array" ref="AC309">_xlfn.IFNA((INDEX('DMR 001C TIN &amp; TP'!$A$3:$M$10005,MATCH(('Reg 85'!$X$6&amp;'Reg 85'!$AB$10&amp;'Reg 85'!$B309),('DMR 001C TIN &amp; TP'!$E$3:$E$10005&amp;'DMR 001C TIN &amp; TP'!$B$3:$B$10005&amp;'DMR 001C TIN &amp; TP'!$A$3:$A$10005),0),MATCH('Reg 85'!$AC$11,'DMR 001C TIN &amp; TP'!$A$2:$M$2,0))),"")</f>
        <v/>
      </c>
      <c r="AD309" s="6" t="str">
        <f t="array" ref="AD309">_xlfn.IFNA((INDEX('DMR 001C TIN &amp; TP'!$A$3:$M$10005,MATCH(('Reg 85'!$X$6&amp;'Reg 85'!$AB$10&amp;'Reg 85'!$B309),('DMR 001C TIN &amp; TP'!$E$3:$E$10005&amp;'DMR 001C TIN &amp; TP'!$B$3:$B$10005&amp;'DMR 001C TIN &amp; TP'!$A$3:$A$10005),0),MATCH('Reg 85'!$AD$11,'DMR 001C TIN &amp; TP'!$A$2:$M$2,0))),"")</f>
        <v/>
      </c>
      <c r="AE309" s="53" t="str">
        <f t="shared" si="116"/>
        <v/>
      </c>
      <c r="AF309" s="7" t="str">
        <f t="shared" si="117"/>
        <v/>
      </c>
      <c r="AG309" s="6" t="str">
        <f t="array" ref="AG309">_xlfn.IFNA((INDEX('DMR 001C TIN &amp; TP'!$A$3:$M$10005,MATCH(('Reg 85'!$X$6&amp;'Reg 85'!AG$10&amp;'Reg 85'!$B309),('DMR 001C TIN &amp; TP'!$E$3:$E$10005&amp;'DMR 001C TIN &amp; TP'!$B$3:$B$10005&amp;'DMR 001C TIN &amp; TP'!$A$3:$A$10005),0),MATCH('Reg 85'!$AG$11,'DMR 001C TIN &amp; TP'!$A$2:$M$2,0))),"")</f>
        <v/>
      </c>
      <c r="AH309" s="6" t="str">
        <f t="array" ref="AH309">_xlfn.IFNA((INDEX('DMR 001C TIN &amp; TP'!$A$3:$M$10005,MATCH(('Reg 85'!$X$6&amp;'Reg 85'!AH$10&amp;'Reg 85'!$B309),('DMR 001C TIN &amp; TP'!$E$3:$E$10005&amp;'DMR 001C TIN &amp; TP'!$B$3:$B$10005&amp;'DMR 001C TIN &amp; TP'!$A$3:$A$10005),0),MATCH('Reg 85'!$AG$11,'DMR 001C TIN &amp; TP'!$A$2:$M$2,0))),"")</f>
        <v/>
      </c>
      <c r="AI309" s="6" t="str">
        <f t="array" ref="AI309">_xlfn.IFNA((INDEX('DMR 001C TIN &amp; TP'!$A$3:$M$10005,MATCH(('Reg 85'!$X$6&amp;'Reg 85'!AI$10&amp;'Reg 85'!$B309),('DMR 001C TIN &amp; TP'!$E$3:$E$10005&amp;'DMR 001C TIN &amp; TP'!$B$3:$B$10005&amp;'DMR 001C TIN &amp; TP'!$A$3:$A$10005),0),MATCH('Reg 85'!$AG$11,'DMR 001C TIN &amp; TP'!$A$2:$M$2,0))),"")</f>
        <v/>
      </c>
      <c r="AJ309" s="6" t="str">
        <f t="array" ref="AJ309">_xlfn.IFNA((INDEX('DMR 001C TIN &amp; TP'!$A$3:$M$10005,MATCH(('Reg 85'!$X$6&amp;'Reg 85'!AJ$10&amp;'Reg 85'!$B309),('DMR 001C TIN &amp; TP'!$E$3:$E$10005&amp;'DMR 001C TIN &amp; TP'!$B$3:$B$10005&amp;'DMR 001C TIN &amp; TP'!$A$3:$A$10005),0),MATCH('Reg 85'!$AG$11,'DMR 001C TIN &amp; TP'!$A$2:$M$2,0))),"")</f>
        <v/>
      </c>
      <c r="AK309" s="6" t="str">
        <f t="array" ref="AK309">_xlfn.IFNA((INDEX('DMR 001C TIN &amp; TP'!$A$3:$M$10005,MATCH(('Reg 85'!$X$6&amp;'Reg 85'!AK$10&amp;'Reg 85'!$B309),('DMR 001C TIN &amp; TP'!$E$3:$E$10005&amp;'DMR 001C TIN &amp; TP'!$B$3:$B$10005&amp;'DMR 001C TIN &amp; TP'!$A$3:$A$10005),0),MATCH('Reg 85'!$AG$11,'DMR 001C TIN &amp; TP'!$A$2:$M$2,0))),"")</f>
        <v/>
      </c>
      <c r="AL309" s="6" t="str">
        <f t="array" ref="AL309">_xlfn.IFNA((INDEX('DMR 001C TIN &amp; TP'!$A$3:$M$10005,MATCH(('Reg 85'!$X$6&amp;'Reg 85'!AL$10&amp;'Reg 85'!$B309),('DMR 001C TIN &amp; TP'!$E$3:$E$10005&amp;'DMR 001C TIN &amp; TP'!$B$3:$B$10005&amp;'DMR 001C TIN &amp; TP'!$A$3:$A$10005),0),MATCH('Reg 85'!$AG$11,'DMR 001C TIN &amp; TP'!$A$2:$M$2,0))),"")</f>
        <v/>
      </c>
      <c r="AM309" s="76"/>
      <c r="AN309" s="6"/>
      <c r="AO309" s="54" t="str">
        <f t="shared" si="104"/>
        <v/>
      </c>
      <c r="AP309" s="77" t="str">
        <f t="shared" si="123"/>
        <v/>
      </c>
      <c r="AQ309" s="47"/>
      <c r="AR309" s="6" t="str">
        <f t="array" ref="AR309">_xlfn.IFNA((INDEX('DMR 001C TIN &amp; TP'!$A$3:$M$10005,MATCH(('Reg 85'!$AQ$6&amp;'Reg 85'!$AQ$10&amp;'Reg 85'!$B309),('DMR 001C TIN &amp; TP'!$E$3:$E$10005&amp;'DMR 001C TIN &amp; TP'!$B$3:$B$10005&amp;'DMR 001C TIN &amp; TP'!$A$3:$A$10005),0),MATCH('Reg 85'!$AR$11,'DMR 001C TIN &amp; TP'!$A$2:$M$2,0))),"")</f>
        <v/>
      </c>
      <c r="AS309" s="6" t="str">
        <f t="array" ref="AS309">_xlfn.IFNA((INDEX('DMR 001C TIN &amp; TP'!$A$3:$M$10005,MATCH(('Reg 85'!$AQ$6&amp;'Reg 85'!$AQ$10&amp;'Reg 85'!$B309),('DMR 001C TIN &amp; TP'!$E$3:$E$10005&amp;'DMR 001C TIN &amp; TP'!$B$3:$B$10005&amp;'DMR 001C TIN &amp; TP'!$A$3:$A$10005),0),MATCH('Reg 85'!$AS$11,'DMR 001C TIN &amp; TP'!$A$2:$M$2,0))),"")</f>
        <v/>
      </c>
      <c r="AT309" s="53" t="str">
        <f t="shared" si="118"/>
        <v/>
      </c>
      <c r="AV309" s="6" t="str">
        <f t="array" ref="AV309">_xlfn.IFNA((INDEX('DMR 001C TIN &amp; TP'!$A$3:$M$10005,MATCH(('Reg 85'!$AQ$6&amp;'Reg 85'!$AU$10&amp;'Reg 85'!$B309),('DMR 001C TIN &amp; TP'!$E$3:$E$10005&amp;'DMR 001C TIN &amp; TP'!$B$3:$B$10005&amp;'DMR 001C TIN &amp; TP'!$A$3:$A$10005),0),MATCH('Reg 85'!$AV$11,'DMR 001C TIN &amp; TP'!$A$2:$M$2,0))),"")</f>
        <v/>
      </c>
      <c r="AW309" s="6" t="str">
        <f t="array" ref="AW309">_xlfn.IFNA((INDEX('DMR 001C TIN &amp; TP'!$A$3:$M$10005,MATCH(('Reg 85'!$AQ$6&amp;'Reg 85'!$AU$10&amp;'Reg 85'!$B309),('DMR 001C TIN &amp; TP'!$E$3:$E$10005&amp;'DMR 001C TIN &amp; TP'!$B$3:$B$10005&amp;'DMR 001C TIN &amp; TP'!$A$3:$A$10005),0),MATCH('Reg 85'!$AW$11,'DMR 001C TIN &amp; TP'!$A$2:$M$2,0))),"")</f>
        <v/>
      </c>
      <c r="AX309" s="53" t="str">
        <f t="shared" si="119"/>
        <v/>
      </c>
      <c r="AY309" s="55" t="str">
        <f t="shared" si="120"/>
        <v/>
      </c>
      <c r="AZ309" s="77" t="str">
        <f t="shared" si="124"/>
        <v/>
      </c>
      <c r="BA309" s="6" t="str">
        <f t="array" ref="BA309">_xlfn.IFNA((INDEX('DMR 001C TIN &amp; TP'!$A$3:$M$10005,MATCH(('Reg 85'!$AQ$6&amp;'Reg 85'!BA$10&amp;'Reg 85'!$B309),('DMR 001C TIN &amp; TP'!$E$3:$E$10005&amp;'DMR 001C TIN &amp; TP'!$B$3:$B$10005&amp;'DMR 001C TIN &amp; TP'!$A$3:$A$10005),0),MATCH('Reg 85'!$AG$11,'DMR 001C TIN &amp; TP'!$A$2:$M$2,0))),"")</f>
        <v/>
      </c>
      <c r="BB309" s="6" t="str">
        <f t="array" ref="BB309">_xlfn.IFNA((INDEX('DMR 001C TIN &amp; TP'!$A$3:$M$10005,MATCH(('Reg 85'!$AQ$6&amp;'Reg 85'!BB$10&amp;'Reg 85'!$B309),('DMR 001C TIN &amp; TP'!$E$3:$E$10005&amp;'DMR 001C TIN &amp; TP'!$B$3:$B$10005&amp;'DMR 001C TIN &amp; TP'!$A$3:$A$10005),0),MATCH('Reg 85'!$AG$11,'DMR 001C TIN &amp; TP'!$A$2:$M$2,0))),"")</f>
        <v/>
      </c>
      <c r="BC309" s="6" t="str">
        <f t="array" ref="BC309">_xlfn.IFNA((INDEX('DMR 001C TIN &amp; TP'!$A$3:$M$10005,MATCH(('Reg 85'!$AQ$6&amp;'Reg 85'!BC$10&amp;'Reg 85'!$B309),('DMR 001C TIN &amp; TP'!$E$3:$E$10005&amp;'DMR 001C TIN &amp; TP'!$B$3:$B$10005&amp;'DMR 001C TIN &amp; TP'!$A$3:$A$10005),0),MATCH('Reg 85'!$AG$11,'DMR 001C TIN &amp; TP'!$A$2:$M$2,0))),"")</f>
        <v/>
      </c>
      <c r="BD309" s="6" t="str">
        <f t="array" ref="BD309">_xlfn.IFNA((INDEX('DMR 001C TIN &amp; TP'!$A$3:$M$10005,MATCH(('Reg 85'!$AQ$6&amp;'Reg 85'!BD$10&amp;'Reg 85'!$B309),('DMR 001C TIN &amp; TP'!$E$3:$E$10005&amp;'DMR 001C TIN &amp; TP'!$B$3:$B$10005&amp;'DMR 001C TIN &amp; TP'!$A$3:$A$10005),0),MATCH('Reg 85'!$AG$11,'DMR 001C TIN &amp; TP'!$A$2:$M$2,0))),"")</f>
        <v/>
      </c>
      <c r="BE309" s="6" t="str">
        <f t="array" ref="BE309">_xlfn.IFNA((INDEX('DMR 001C TIN &amp; TP'!$A$3:$M$10005,MATCH(('Reg 85'!$AQ$6&amp;'Reg 85'!BE$10&amp;'Reg 85'!$B309),('DMR 001C TIN &amp; TP'!$E$3:$E$10005&amp;'DMR 001C TIN &amp; TP'!$B$3:$B$10005&amp;'DMR 001C TIN &amp; TP'!$A$3:$A$10005),0),MATCH('Reg 85'!$AG$11,'DMR 001C TIN &amp; TP'!$A$2:$M$2,0))),"")</f>
        <v/>
      </c>
      <c r="BF309" s="6" t="str">
        <f t="array" ref="BF309">_xlfn.IFNA((INDEX('DMR 001C TIN &amp; TP'!$A$3:$M$10005,MATCH(('Reg 85'!$AQ$6&amp;'Reg 85'!BF$10&amp;'Reg 85'!$B309),('DMR 001C TIN &amp; TP'!$E$3:$E$10005&amp;'DMR 001C TIN &amp; TP'!$B$3:$B$10005&amp;'DMR 001C TIN &amp; TP'!$A$3:$A$10005),0),MATCH('Reg 85'!$AG$11,'DMR 001C TIN &amp; TP'!$A$2:$M$2,0))),"")</f>
        <v/>
      </c>
    </row>
    <row r="310" spans="1:58">
      <c r="A310" s="3" t="str">
        <f t="shared" si="105"/>
        <v>Wed</v>
      </c>
      <c r="B310" s="96">
        <f t="shared" si="121"/>
        <v>43642</v>
      </c>
      <c r="C310" s="96">
        <f t="shared" si="106"/>
        <v>43646</v>
      </c>
      <c r="D310" s="96">
        <f t="shared" si="107"/>
        <v>43617</v>
      </c>
      <c r="E310" s="95">
        <f t="shared" si="108"/>
        <v>30</v>
      </c>
      <c r="F310" s="7">
        <f t="array" ref="F310">_xlfn.IFNA(INDEX('DMR Flows-Effluent'!$A$3:$F$9999,MATCH(($F$10&amp;$B310),('DMR Flows-Effluent'!$B$3:$B$9999&amp;'DMR Flows-Effluent'!$A$3:$A$9999),0),MATCH($F$8,'DMR Flows-Effluent'!$A$2:$F$2,0)),"")</f>
        <v>72.292100000000005</v>
      </c>
      <c r="G310" s="7">
        <f t="array" ref="G310">_xlfn.IFNA(INDEX('DMR Flows-Effluent'!$A$3:$F$9999,MATCH(($G$10&amp;$B310),('DMR Flows-Effluent'!$B$3:$B$9999&amp;'DMR Flows-Effluent'!$A$3:$A$9999),0),MATCH($F$8,'DMR Flows-Effluent'!$A$2:$F$2,0)),"")</f>
        <v>56.749099999999999</v>
      </c>
      <c r="H310" s="7">
        <f t="shared" si="109"/>
        <v>129.0412</v>
      </c>
      <c r="I310" s="45" t="str">
        <f t="shared" si="110"/>
        <v/>
      </c>
      <c r="J310" s="6" t="str">
        <f t="array" ref="J310">_xlfn.IFNA((INDEX('DMR 001C TIN &amp; TP'!$A$3:$M$10005,MATCH(('Reg 85'!$I$6:$Q$6&amp;'Reg 85'!$I$10:$K$10&amp;'Reg 85'!$B310),('DMR 001C TIN &amp; TP'!$E$3:$E$10005&amp;'DMR 001C TIN &amp; TP'!$B$3:$B$10005&amp;'DMR 001C TIN &amp; TP'!$A$3:$A$10005),0),MATCH('Reg 85'!$J$11,'DMR 001C TIN &amp; TP'!$A$2:$M$2,0))),"")</f>
        <v/>
      </c>
      <c r="K310" s="6" t="str">
        <f t="array" ref="K310">_xlfn.IFNA((INDEX('DMR 001C TIN &amp; TP'!$A$3:$M$10005,MATCH(('Reg 85'!$I$6:$Q$6&amp;'Reg 85'!$I$10:$K$10&amp;'Reg 85'!$B310),('DMR 001C TIN &amp; TP'!$E$3:$E$10005&amp;'DMR 001C TIN &amp; TP'!$B$3:$B$10005&amp;'DMR 001C TIN &amp; TP'!$A$3:$A$10005),0),MATCH('Reg 85'!$K$11,'DMR 001C TIN &amp; TP'!$A$2:$M$2,0))),"")</f>
        <v/>
      </c>
      <c r="L310" s="53" t="str">
        <f t="shared" si="122"/>
        <v/>
      </c>
      <c r="M310" s="5" t="str">
        <f t="shared" si="111"/>
        <v/>
      </c>
      <c r="N310" s="6" t="str">
        <f t="array" ref="N310">_xlfn.IFNA((INDEX('DMR 001C TIN &amp; TP'!$A$3:$M$10005,MATCH(('Reg 85'!$I$6:$Q$6&amp;'Reg 85'!$M$10&amp;'Reg 85'!$B310),('DMR 001C TIN &amp; TP'!$E$3:$E$10005&amp;'DMR 001C TIN &amp; TP'!$B$3:$B$10005&amp;'DMR 001C TIN &amp; TP'!$A$3:$A$10005),0),MATCH('Reg 85'!$N$11,'DMR 001C TIN &amp; TP'!$A$2:$M$2,0))),"")</f>
        <v/>
      </c>
      <c r="O310" s="6" t="str">
        <f t="array" ref="O310">_xlfn.IFNA((INDEX('DMR 001C TIN &amp; TP'!$A$3:$M$10005,MATCH(('Reg 85'!$I$6:$Q$6&amp;'Reg 85'!$M$10&amp;'Reg 85'!$B310),('DMR 001C TIN &amp; TP'!$E$3:$E$10005&amp;'DMR 001C TIN &amp; TP'!$B$3:$B$10005&amp;'DMR 001C TIN &amp; TP'!$A$3:$A$10005),0),MATCH('Reg 85'!$O$11,'DMR 001C TIN &amp; TP'!$A$2:$M$2,0))),"")</f>
        <v/>
      </c>
      <c r="P310" s="53" t="str">
        <f t="shared" si="112"/>
        <v/>
      </c>
      <c r="Q310" s="73" t="str">
        <f t="array" ref="Q310">IFERROR(((L310*$F310)+(P310*$G310))/($H310),"")</f>
        <v/>
      </c>
      <c r="R310" s="6" t="str">
        <f t="array" ref="R310">_xlfn.IFNA((INDEX('DMR 001C TIN &amp; TP'!$A$3:$M$10005,MATCH(('Reg 85'!$I$6:$Q$6&amp;'Reg 85'!R$10&amp;'Reg 85'!$B310),('DMR 001C TIN &amp; TP'!$E$3:$E$10005&amp;'DMR 001C TIN &amp; TP'!$B$3:$B$10005&amp;'DMR 001C TIN &amp; TP'!$A$3:$A$10005),0),MATCH('Reg 85'!$O$11,'DMR 001C TIN &amp; TP'!$A$2:$M$2,0))),"")</f>
        <v/>
      </c>
      <c r="S310" s="6" t="str">
        <f t="array" ref="S310">_xlfn.IFNA((INDEX('DMR 001C TIN &amp; TP'!$A$3:$M$10005,MATCH(('Reg 85'!$I$6:$Q$6&amp;'Reg 85'!S$10&amp;'Reg 85'!$B310),('DMR 001C TIN &amp; TP'!$E$3:$E$10005&amp;'DMR 001C TIN &amp; TP'!$B$3:$B$10005&amp;'DMR 001C TIN &amp; TP'!$A$3:$A$10005),0),MATCH('Reg 85'!$O$11,'DMR 001C TIN &amp; TP'!$A$2:$M$2,0))),"")</f>
        <v/>
      </c>
      <c r="T310" s="6" t="str">
        <f t="array" ref="T310">_xlfn.IFNA((INDEX('DMR 001C TIN &amp; TP'!$A$3:$M$10005,MATCH(('Reg 85'!$I$6:$Q$6&amp;'Reg 85'!T$10&amp;'Reg 85'!$B310),('DMR 001C TIN &amp; TP'!$E$3:$E$10005&amp;'DMR 001C TIN &amp; TP'!$B$3:$B$10005&amp;'DMR 001C TIN &amp; TP'!$A$3:$A$10005),0),MATCH('Reg 85'!$O$11,'DMR 001C TIN &amp; TP'!$A$2:$M$2,0))),"")</f>
        <v/>
      </c>
      <c r="U310" s="6" t="str">
        <f t="array" ref="U310">_xlfn.IFNA((INDEX('DMR 001C TIN &amp; TP'!$A$3:$M$10005,MATCH(('Reg 85'!$I$6:$Q$6&amp;'Reg 85'!U$10&amp;'Reg 85'!$B310),('DMR 001C TIN &amp; TP'!$E$3:$E$10005&amp;'DMR 001C TIN &amp; TP'!$B$3:$B$10005&amp;'DMR 001C TIN &amp; TP'!$A$3:$A$10005),0),MATCH('Reg 85'!$O$11,'DMR 001C TIN &amp; TP'!$A$2:$M$2,0))),"")</f>
        <v/>
      </c>
      <c r="V310" s="6" t="str">
        <f t="array" ref="V310">_xlfn.IFNA((INDEX('DMR 001C TIN &amp; TP'!$A$3:$M$10005,MATCH(('Reg 85'!$I$6:$Q$6&amp;'Reg 85'!V$10&amp;'Reg 85'!$B310),('DMR 001C TIN &amp; TP'!$E$3:$E$10005&amp;'DMR 001C TIN &amp; TP'!$B$3:$B$10005&amp;'DMR 001C TIN &amp; TP'!$A$3:$A$10005),0),MATCH('Reg 85'!$O$11,'DMR 001C TIN &amp; TP'!$A$2:$M$2,0))),"")</f>
        <v/>
      </c>
      <c r="W310" s="6" t="str">
        <f t="array" ref="W310">_xlfn.IFNA((INDEX('DMR 001C TIN &amp; TP'!$A$3:$M$10005,MATCH(('Reg 85'!$I$6:$Q$6&amp;'Reg 85'!W$10&amp;'Reg 85'!$B310),('DMR 001C TIN &amp; TP'!$E$3:$E$10005&amp;'DMR 001C TIN &amp; TP'!$B$3:$B$10005&amp;'DMR 001C TIN &amp; TP'!$A$3:$A$10005),0),MATCH('Reg 85'!$O$11,'DMR 001C TIN &amp; TP'!$A$2:$M$2,0))),"")</f>
        <v/>
      </c>
      <c r="X310" s="5" t="str">
        <f t="shared" si="113"/>
        <v/>
      </c>
      <c r="Y310" s="6" t="str">
        <f t="array" ref="Y310">_xlfn.IFNA((INDEX('DMR 001C TIN &amp; TP'!$A$3:$M$10005,MATCH(('Reg 85'!$X$6&amp;'Reg 85'!$X$10&amp;'Reg 85'!$B310),('DMR 001C TIN &amp; TP'!$E$3:$E$10005&amp;'DMR 001C TIN &amp; TP'!$B$3:$B$10005&amp;'DMR 001C TIN &amp; TP'!$A$3:$A$10005),0),MATCH('Reg 85'!$Y$11,'DMR 001C TIN &amp; TP'!$A$2:$M$2,0))),"")</f>
        <v/>
      </c>
      <c r="Z310" s="6" t="str">
        <f t="array" ref="Z310">_xlfn.IFNA((INDEX('DMR 001C TIN &amp; TP'!$A$3:$M$10005,MATCH(('Reg 85'!$X$6&amp;'Reg 85'!$X$10&amp;'Reg 85'!$B310),('DMR 001C TIN &amp; TP'!$E$3:$E$10005&amp;'DMR 001C TIN &amp; TP'!$B$3:$B$10005&amp;'DMR 001C TIN &amp; TP'!$A$3:$A$10005),0),MATCH('Reg 85'!$Z$11,'DMR 001C TIN &amp; TP'!$A$2:$M$2,0))),"")</f>
        <v/>
      </c>
      <c r="AA310" s="53" t="str">
        <f t="shared" si="114"/>
        <v/>
      </c>
      <c r="AB310" s="5" t="str">
        <f t="shared" si="115"/>
        <v/>
      </c>
      <c r="AC310" s="6" t="str">
        <f t="array" ref="AC310">_xlfn.IFNA((INDEX('DMR 001C TIN &amp; TP'!$A$3:$M$10005,MATCH(('Reg 85'!$X$6&amp;'Reg 85'!$AB$10&amp;'Reg 85'!$B310),('DMR 001C TIN &amp; TP'!$E$3:$E$10005&amp;'DMR 001C TIN &amp; TP'!$B$3:$B$10005&amp;'DMR 001C TIN &amp; TP'!$A$3:$A$10005),0),MATCH('Reg 85'!$AC$11,'DMR 001C TIN &amp; TP'!$A$2:$M$2,0))),"")</f>
        <v/>
      </c>
      <c r="AD310" s="6" t="str">
        <f t="array" ref="AD310">_xlfn.IFNA((INDEX('DMR 001C TIN &amp; TP'!$A$3:$M$10005,MATCH(('Reg 85'!$X$6&amp;'Reg 85'!$AB$10&amp;'Reg 85'!$B310),('DMR 001C TIN &amp; TP'!$E$3:$E$10005&amp;'DMR 001C TIN &amp; TP'!$B$3:$B$10005&amp;'DMR 001C TIN &amp; TP'!$A$3:$A$10005),0),MATCH('Reg 85'!$AD$11,'DMR 001C TIN &amp; TP'!$A$2:$M$2,0))),"")</f>
        <v/>
      </c>
      <c r="AE310" s="53" t="str">
        <f t="shared" si="116"/>
        <v/>
      </c>
      <c r="AF310" s="7" t="str">
        <f t="shared" si="117"/>
        <v/>
      </c>
      <c r="AG310" s="6" t="str">
        <f t="array" ref="AG310">_xlfn.IFNA((INDEX('DMR 001C TIN &amp; TP'!$A$3:$M$10005,MATCH(('Reg 85'!$X$6&amp;'Reg 85'!AG$10&amp;'Reg 85'!$B310),('DMR 001C TIN &amp; TP'!$E$3:$E$10005&amp;'DMR 001C TIN &amp; TP'!$B$3:$B$10005&amp;'DMR 001C TIN &amp; TP'!$A$3:$A$10005),0),MATCH('Reg 85'!$AG$11,'DMR 001C TIN &amp; TP'!$A$2:$M$2,0))),"")</f>
        <v/>
      </c>
      <c r="AH310" s="6" t="str">
        <f t="array" ref="AH310">_xlfn.IFNA((INDEX('DMR 001C TIN &amp; TP'!$A$3:$M$10005,MATCH(('Reg 85'!$X$6&amp;'Reg 85'!AH$10&amp;'Reg 85'!$B310),('DMR 001C TIN &amp; TP'!$E$3:$E$10005&amp;'DMR 001C TIN &amp; TP'!$B$3:$B$10005&amp;'DMR 001C TIN &amp; TP'!$A$3:$A$10005),0),MATCH('Reg 85'!$AG$11,'DMR 001C TIN &amp; TP'!$A$2:$M$2,0))),"")</f>
        <v/>
      </c>
      <c r="AI310" s="6" t="str">
        <f t="array" ref="AI310">_xlfn.IFNA((INDEX('DMR 001C TIN &amp; TP'!$A$3:$M$10005,MATCH(('Reg 85'!$X$6&amp;'Reg 85'!AI$10&amp;'Reg 85'!$B310),('DMR 001C TIN &amp; TP'!$E$3:$E$10005&amp;'DMR 001C TIN &amp; TP'!$B$3:$B$10005&amp;'DMR 001C TIN &amp; TP'!$A$3:$A$10005),0),MATCH('Reg 85'!$AG$11,'DMR 001C TIN &amp; TP'!$A$2:$M$2,0))),"")</f>
        <v/>
      </c>
      <c r="AJ310" s="6" t="str">
        <f t="array" ref="AJ310">_xlfn.IFNA((INDEX('DMR 001C TIN &amp; TP'!$A$3:$M$10005,MATCH(('Reg 85'!$X$6&amp;'Reg 85'!AJ$10&amp;'Reg 85'!$B310),('DMR 001C TIN &amp; TP'!$E$3:$E$10005&amp;'DMR 001C TIN &amp; TP'!$B$3:$B$10005&amp;'DMR 001C TIN &amp; TP'!$A$3:$A$10005),0),MATCH('Reg 85'!$AG$11,'DMR 001C TIN &amp; TP'!$A$2:$M$2,0))),"")</f>
        <v/>
      </c>
      <c r="AK310" s="6" t="str">
        <f t="array" ref="AK310">_xlfn.IFNA((INDEX('DMR 001C TIN &amp; TP'!$A$3:$M$10005,MATCH(('Reg 85'!$X$6&amp;'Reg 85'!AK$10&amp;'Reg 85'!$B310),('DMR 001C TIN &amp; TP'!$E$3:$E$10005&amp;'DMR 001C TIN &amp; TP'!$B$3:$B$10005&amp;'DMR 001C TIN &amp; TP'!$A$3:$A$10005),0),MATCH('Reg 85'!$AG$11,'DMR 001C TIN &amp; TP'!$A$2:$M$2,0))),"")</f>
        <v/>
      </c>
      <c r="AL310" s="6" t="str">
        <f t="array" ref="AL310">_xlfn.IFNA((INDEX('DMR 001C TIN &amp; TP'!$A$3:$M$10005,MATCH(('Reg 85'!$X$6&amp;'Reg 85'!AL$10&amp;'Reg 85'!$B310),('DMR 001C TIN &amp; TP'!$E$3:$E$10005&amp;'DMR 001C TIN &amp; TP'!$B$3:$B$10005&amp;'DMR 001C TIN &amp; TP'!$A$3:$A$10005),0),MATCH('Reg 85'!$AG$11,'DMR 001C TIN &amp; TP'!$A$2:$M$2,0))),"")</f>
        <v/>
      </c>
      <c r="AM310" s="76"/>
      <c r="AN310" s="6"/>
      <c r="AO310" s="54" t="str">
        <f t="shared" si="104"/>
        <v/>
      </c>
      <c r="AP310" s="77" t="str">
        <f t="shared" si="123"/>
        <v/>
      </c>
      <c r="AQ310" s="47"/>
      <c r="AR310" s="6" t="str">
        <f t="array" ref="AR310">_xlfn.IFNA((INDEX('DMR 001C TIN &amp; TP'!$A$3:$M$10005,MATCH(('Reg 85'!$AQ$6&amp;'Reg 85'!$AQ$10&amp;'Reg 85'!$B310),('DMR 001C TIN &amp; TP'!$E$3:$E$10005&amp;'DMR 001C TIN &amp; TP'!$B$3:$B$10005&amp;'DMR 001C TIN &amp; TP'!$A$3:$A$10005),0),MATCH('Reg 85'!$AR$11,'DMR 001C TIN &amp; TP'!$A$2:$M$2,0))),"")</f>
        <v>0.03</v>
      </c>
      <c r="AS310" s="6">
        <f t="array" ref="AS310">_xlfn.IFNA((INDEX('DMR 001C TIN &amp; TP'!$A$3:$M$10005,MATCH(('Reg 85'!$AQ$6&amp;'Reg 85'!$AQ$10&amp;'Reg 85'!$B310),('DMR 001C TIN &amp; TP'!$E$3:$E$10005&amp;'DMR 001C TIN &amp; TP'!$B$3:$B$10005&amp;'DMR 001C TIN &amp; TP'!$A$3:$A$10005),0),MATCH('Reg 85'!$AS$11,'DMR 001C TIN &amp; TP'!$A$2:$M$2,0))),"")</f>
        <v>0.4</v>
      </c>
      <c r="AT310" s="53">
        <f t="shared" si="118"/>
        <v>0.4</v>
      </c>
      <c r="AV310" s="6" t="str">
        <f t="array" ref="AV310">_xlfn.IFNA((INDEX('DMR 001C TIN &amp; TP'!$A$3:$M$10005,MATCH(('Reg 85'!$AQ$6&amp;'Reg 85'!$AU$10&amp;'Reg 85'!$B310),('DMR 001C TIN &amp; TP'!$E$3:$E$10005&amp;'DMR 001C TIN &amp; TP'!$B$3:$B$10005&amp;'DMR 001C TIN &amp; TP'!$A$3:$A$10005),0),MATCH('Reg 85'!$AV$11,'DMR 001C TIN &amp; TP'!$A$2:$M$2,0))),"")</f>
        <v>0.06</v>
      </c>
      <c r="AW310" s="6">
        <f t="array" ref="AW310">_xlfn.IFNA((INDEX('DMR 001C TIN &amp; TP'!$A$3:$M$10005,MATCH(('Reg 85'!$AQ$6&amp;'Reg 85'!$AU$10&amp;'Reg 85'!$B310),('DMR 001C TIN &amp; TP'!$E$3:$E$10005&amp;'DMR 001C TIN &amp; TP'!$B$3:$B$10005&amp;'DMR 001C TIN &amp; TP'!$A$3:$A$10005),0),MATCH('Reg 85'!$AW$11,'DMR 001C TIN &amp; TP'!$A$2:$M$2,0))),"")</f>
        <v>3.74</v>
      </c>
      <c r="AX310" s="53">
        <f t="shared" si="119"/>
        <v>3.74</v>
      </c>
      <c r="AY310" s="55">
        <f t="shared" si="120"/>
        <v>1.8688486622877034</v>
      </c>
      <c r="AZ310" s="77" t="str">
        <f t="shared" si="124"/>
        <v/>
      </c>
      <c r="BA310" s="6" t="str">
        <f t="array" ref="BA310">_xlfn.IFNA((INDEX('DMR 001C TIN &amp; TP'!$A$3:$M$10005,MATCH(('Reg 85'!$AQ$6&amp;'Reg 85'!BA$10&amp;'Reg 85'!$B310),('DMR 001C TIN &amp; TP'!$E$3:$E$10005&amp;'DMR 001C TIN &amp; TP'!$B$3:$B$10005&amp;'DMR 001C TIN &amp; TP'!$A$3:$A$10005),0),MATCH('Reg 85'!$AG$11,'DMR 001C TIN &amp; TP'!$A$2:$M$2,0))),"")</f>
        <v/>
      </c>
      <c r="BB310" s="6" t="str">
        <f t="array" ref="BB310">_xlfn.IFNA((INDEX('DMR 001C TIN &amp; TP'!$A$3:$M$10005,MATCH(('Reg 85'!$AQ$6&amp;'Reg 85'!BB$10&amp;'Reg 85'!$B310),('DMR 001C TIN &amp; TP'!$E$3:$E$10005&amp;'DMR 001C TIN &amp; TP'!$B$3:$B$10005&amp;'DMR 001C TIN &amp; TP'!$A$3:$A$10005),0),MATCH('Reg 85'!$AG$11,'DMR 001C TIN &amp; TP'!$A$2:$M$2,0))),"")</f>
        <v/>
      </c>
      <c r="BC310" s="6" t="str">
        <f t="array" ref="BC310">_xlfn.IFNA((INDEX('DMR 001C TIN &amp; TP'!$A$3:$M$10005,MATCH(('Reg 85'!$AQ$6&amp;'Reg 85'!BC$10&amp;'Reg 85'!$B310),('DMR 001C TIN &amp; TP'!$E$3:$E$10005&amp;'DMR 001C TIN &amp; TP'!$B$3:$B$10005&amp;'DMR 001C TIN &amp; TP'!$A$3:$A$10005),0),MATCH('Reg 85'!$AG$11,'DMR 001C TIN &amp; TP'!$A$2:$M$2,0))),"")</f>
        <v/>
      </c>
      <c r="BD310" s="6" t="str">
        <f t="array" ref="BD310">_xlfn.IFNA((INDEX('DMR 001C TIN &amp; TP'!$A$3:$M$10005,MATCH(('Reg 85'!$AQ$6&amp;'Reg 85'!BD$10&amp;'Reg 85'!$B310),('DMR 001C TIN &amp; TP'!$E$3:$E$10005&amp;'DMR 001C TIN &amp; TP'!$B$3:$B$10005&amp;'DMR 001C TIN &amp; TP'!$A$3:$A$10005),0),MATCH('Reg 85'!$AG$11,'DMR 001C TIN &amp; TP'!$A$2:$M$2,0))),"")</f>
        <v/>
      </c>
      <c r="BE310" s="6" t="str">
        <f t="array" ref="BE310">_xlfn.IFNA((INDEX('DMR 001C TIN &amp; TP'!$A$3:$M$10005,MATCH(('Reg 85'!$AQ$6&amp;'Reg 85'!BE$10&amp;'Reg 85'!$B310),('DMR 001C TIN &amp; TP'!$E$3:$E$10005&amp;'DMR 001C TIN &amp; TP'!$B$3:$B$10005&amp;'DMR 001C TIN &amp; TP'!$A$3:$A$10005),0),MATCH('Reg 85'!$AG$11,'DMR 001C TIN &amp; TP'!$A$2:$M$2,0))),"")</f>
        <v/>
      </c>
      <c r="BF310" s="6" t="str">
        <f t="array" ref="BF310">_xlfn.IFNA((INDEX('DMR 001C TIN &amp; TP'!$A$3:$M$10005,MATCH(('Reg 85'!$AQ$6&amp;'Reg 85'!BF$10&amp;'Reg 85'!$B310),('DMR 001C TIN &amp; TP'!$E$3:$E$10005&amp;'DMR 001C TIN &amp; TP'!$B$3:$B$10005&amp;'DMR 001C TIN &amp; TP'!$A$3:$A$10005),0),MATCH('Reg 85'!$AG$11,'DMR 001C TIN &amp; TP'!$A$2:$M$2,0))),"")</f>
        <v/>
      </c>
    </row>
    <row r="311" spans="1:58">
      <c r="A311" s="3" t="str">
        <f t="shared" si="105"/>
        <v>Thu</v>
      </c>
      <c r="B311" s="96">
        <f t="shared" si="121"/>
        <v>43643</v>
      </c>
      <c r="C311" s="96">
        <f t="shared" si="106"/>
        <v>43646</v>
      </c>
      <c r="D311" s="96">
        <f t="shared" si="107"/>
        <v>43617</v>
      </c>
      <c r="E311" s="95">
        <f t="shared" si="108"/>
        <v>30</v>
      </c>
      <c r="F311" s="7">
        <f t="array" ref="F311">_xlfn.IFNA(INDEX('DMR Flows-Effluent'!$A$3:$F$9999,MATCH(($F$10&amp;$B311),('DMR Flows-Effluent'!$B$3:$B$9999&amp;'DMR Flows-Effluent'!$A$3:$A$9999),0),MATCH($F$8,'DMR Flows-Effluent'!$A$2:$F$2,0)),"")</f>
        <v>69.782799999999995</v>
      </c>
      <c r="G311" s="7">
        <f t="array" ref="G311">_xlfn.IFNA(INDEX('DMR Flows-Effluent'!$A$3:$F$9999,MATCH(($G$10&amp;$B311),('DMR Flows-Effluent'!$B$3:$B$9999&amp;'DMR Flows-Effluent'!$A$3:$A$9999),0),MATCH($F$8,'DMR Flows-Effluent'!$A$2:$F$2,0)),"")</f>
        <v>57.849600000000002</v>
      </c>
      <c r="H311" s="7">
        <f t="shared" si="109"/>
        <v>127.63239999999999</v>
      </c>
      <c r="I311" s="45" t="str">
        <f t="shared" si="110"/>
        <v/>
      </c>
      <c r="J311" s="6" t="str">
        <f t="array" ref="J311">_xlfn.IFNA((INDEX('DMR 001C TIN &amp; TP'!$A$3:$M$10005,MATCH(('Reg 85'!$I$6:$Q$6&amp;'Reg 85'!$I$10:$K$10&amp;'Reg 85'!$B311),('DMR 001C TIN &amp; TP'!$E$3:$E$10005&amp;'DMR 001C TIN &amp; TP'!$B$3:$B$10005&amp;'DMR 001C TIN &amp; TP'!$A$3:$A$10005),0),MATCH('Reg 85'!$J$11,'DMR 001C TIN &amp; TP'!$A$2:$M$2,0))),"")</f>
        <v/>
      </c>
      <c r="K311" s="6" t="str">
        <f t="array" ref="K311">_xlfn.IFNA((INDEX('DMR 001C TIN &amp; TP'!$A$3:$M$10005,MATCH(('Reg 85'!$I$6:$Q$6&amp;'Reg 85'!$I$10:$K$10&amp;'Reg 85'!$B311),('DMR 001C TIN &amp; TP'!$E$3:$E$10005&amp;'DMR 001C TIN &amp; TP'!$B$3:$B$10005&amp;'DMR 001C TIN &amp; TP'!$A$3:$A$10005),0),MATCH('Reg 85'!$K$11,'DMR 001C TIN &amp; TP'!$A$2:$M$2,0))),"")</f>
        <v/>
      </c>
      <c r="L311" s="53" t="str">
        <f t="shared" si="122"/>
        <v/>
      </c>
      <c r="M311" s="5" t="str">
        <f t="shared" si="111"/>
        <v/>
      </c>
      <c r="N311" s="6" t="str">
        <f t="array" ref="N311">_xlfn.IFNA((INDEX('DMR 001C TIN &amp; TP'!$A$3:$M$10005,MATCH(('Reg 85'!$I$6:$Q$6&amp;'Reg 85'!$M$10&amp;'Reg 85'!$B311),('DMR 001C TIN &amp; TP'!$E$3:$E$10005&amp;'DMR 001C TIN &amp; TP'!$B$3:$B$10005&amp;'DMR 001C TIN &amp; TP'!$A$3:$A$10005),0),MATCH('Reg 85'!$N$11,'DMR 001C TIN &amp; TP'!$A$2:$M$2,0))),"")</f>
        <v/>
      </c>
      <c r="O311" s="6" t="str">
        <f t="array" ref="O311">_xlfn.IFNA((INDEX('DMR 001C TIN &amp; TP'!$A$3:$M$10005,MATCH(('Reg 85'!$I$6:$Q$6&amp;'Reg 85'!$M$10&amp;'Reg 85'!$B311),('DMR 001C TIN &amp; TP'!$E$3:$E$10005&amp;'DMR 001C TIN &amp; TP'!$B$3:$B$10005&amp;'DMR 001C TIN &amp; TP'!$A$3:$A$10005),0),MATCH('Reg 85'!$O$11,'DMR 001C TIN &amp; TP'!$A$2:$M$2,0))),"")</f>
        <v/>
      </c>
      <c r="P311" s="53" t="str">
        <f t="shared" si="112"/>
        <v/>
      </c>
      <c r="Q311" s="73" t="str">
        <f t="array" ref="Q311">IFERROR(((L311*$F311)+(P311*$G311))/($H311),"")</f>
        <v/>
      </c>
      <c r="R311" s="6" t="str">
        <f t="array" ref="R311">_xlfn.IFNA((INDEX('DMR 001C TIN &amp; TP'!$A$3:$M$10005,MATCH(('Reg 85'!$I$6:$Q$6&amp;'Reg 85'!R$10&amp;'Reg 85'!$B311),('DMR 001C TIN &amp; TP'!$E$3:$E$10005&amp;'DMR 001C TIN &amp; TP'!$B$3:$B$10005&amp;'DMR 001C TIN &amp; TP'!$A$3:$A$10005),0),MATCH('Reg 85'!$O$11,'DMR 001C TIN &amp; TP'!$A$2:$M$2,0))),"")</f>
        <v/>
      </c>
      <c r="S311" s="6" t="str">
        <f t="array" ref="S311">_xlfn.IFNA((INDEX('DMR 001C TIN &amp; TP'!$A$3:$M$10005,MATCH(('Reg 85'!$I$6:$Q$6&amp;'Reg 85'!S$10&amp;'Reg 85'!$B311),('DMR 001C TIN &amp; TP'!$E$3:$E$10005&amp;'DMR 001C TIN &amp; TP'!$B$3:$B$10005&amp;'DMR 001C TIN &amp; TP'!$A$3:$A$10005),0),MATCH('Reg 85'!$O$11,'DMR 001C TIN &amp; TP'!$A$2:$M$2,0))),"")</f>
        <v/>
      </c>
      <c r="T311" s="6" t="str">
        <f t="array" ref="T311">_xlfn.IFNA((INDEX('DMR 001C TIN &amp; TP'!$A$3:$M$10005,MATCH(('Reg 85'!$I$6:$Q$6&amp;'Reg 85'!T$10&amp;'Reg 85'!$B311),('DMR 001C TIN &amp; TP'!$E$3:$E$10005&amp;'DMR 001C TIN &amp; TP'!$B$3:$B$10005&amp;'DMR 001C TIN &amp; TP'!$A$3:$A$10005),0),MATCH('Reg 85'!$O$11,'DMR 001C TIN &amp; TP'!$A$2:$M$2,0))),"")</f>
        <v/>
      </c>
      <c r="U311" s="6" t="str">
        <f t="array" ref="U311">_xlfn.IFNA((INDEX('DMR 001C TIN &amp; TP'!$A$3:$M$10005,MATCH(('Reg 85'!$I$6:$Q$6&amp;'Reg 85'!U$10&amp;'Reg 85'!$B311),('DMR 001C TIN &amp; TP'!$E$3:$E$10005&amp;'DMR 001C TIN &amp; TP'!$B$3:$B$10005&amp;'DMR 001C TIN &amp; TP'!$A$3:$A$10005),0),MATCH('Reg 85'!$O$11,'DMR 001C TIN &amp; TP'!$A$2:$M$2,0))),"")</f>
        <v/>
      </c>
      <c r="V311" s="6" t="str">
        <f t="array" ref="V311">_xlfn.IFNA((INDEX('DMR 001C TIN &amp; TP'!$A$3:$M$10005,MATCH(('Reg 85'!$I$6:$Q$6&amp;'Reg 85'!V$10&amp;'Reg 85'!$B311),('DMR 001C TIN &amp; TP'!$E$3:$E$10005&amp;'DMR 001C TIN &amp; TP'!$B$3:$B$10005&amp;'DMR 001C TIN &amp; TP'!$A$3:$A$10005),0),MATCH('Reg 85'!$O$11,'DMR 001C TIN &amp; TP'!$A$2:$M$2,0))),"")</f>
        <v/>
      </c>
      <c r="W311" s="6" t="str">
        <f t="array" ref="W311">_xlfn.IFNA((INDEX('DMR 001C TIN &amp; TP'!$A$3:$M$10005,MATCH(('Reg 85'!$I$6:$Q$6&amp;'Reg 85'!W$10&amp;'Reg 85'!$B311),('DMR 001C TIN &amp; TP'!$E$3:$E$10005&amp;'DMR 001C TIN &amp; TP'!$B$3:$B$10005&amp;'DMR 001C TIN &amp; TP'!$A$3:$A$10005),0),MATCH('Reg 85'!$O$11,'DMR 001C TIN &amp; TP'!$A$2:$M$2,0))),"")</f>
        <v/>
      </c>
      <c r="X311" s="5" t="str">
        <f t="shared" si="113"/>
        <v/>
      </c>
      <c r="Y311" s="6" t="str">
        <f t="array" ref="Y311">_xlfn.IFNA((INDEX('DMR 001C TIN &amp; TP'!$A$3:$M$10005,MATCH(('Reg 85'!$X$6&amp;'Reg 85'!$X$10&amp;'Reg 85'!$B311),('DMR 001C TIN &amp; TP'!$E$3:$E$10005&amp;'DMR 001C TIN &amp; TP'!$B$3:$B$10005&amp;'DMR 001C TIN &amp; TP'!$A$3:$A$10005),0),MATCH('Reg 85'!$Y$11,'DMR 001C TIN &amp; TP'!$A$2:$M$2,0))),"")</f>
        <v/>
      </c>
      <c r="Z311" s="6" t="str">
        <f t="array" ref="Z311">_xlfn.IFNA((INDEX('DMR 001C TIN &amp; TP'!$A$3:$M$10005,MATCH(('Reg 85'!$X$6&amp;'Reg 85'!$X$10&amp;'Reg 85'!$B311),('DMR 001C TIN &amp; TP'!$E$3:$E$10005&amp;'DMR 001C TIN &amp; TP'!$B$3:$B$10005&amp;'DMR 001C TIN &amp; TP'!$A$3:$A$10005),0),MATCH('Reg 85'!$Z$11,'DMR 001C TIN &amp; TP'!$A$2:$M$2,0))),"")</f>
        <v/>
      </c>
      <c r="AA311" s="53" t="str">
        <f t="shared" si="114"/>
        <v/>
      </c>
      <c r="AB311" s="5" t="str">
        <f t="shared" si="115"/>
        <v/>
      </c>
      <c r="AC311" s="6" t="str">
        <f t="array" ref="AC311">_xlfn.IFNA((INDEX('DMR 001C TIN &amp; TP'!$A$3:$M$10005,MATCH(('Reg 85'!$X$6&amp;'Reg 85'!$AB$10&amp;'Reg 85'!$B311),('DMR 001C TIN &amp; TP'!$E$3:$E$10005&amp;'DMR 001C TIN &amp; TP'!$B$3:$B$10005&amp;'DMR 001C TIN &amp; TP'!$A$3:$A$10005),0),MATCH('Reg 85'!$AC$11,'DMR 001C TIN &amp; TP'!$A$2:$M$2,0))),"")</f>
        <v/>
      </c>
      <c r="AD311" s="6" t="str">
        <f t="array" ref="AD311">_xlfn.IFNA((INDEX('DMR 001C TIN &amp; TP'!$A$3:$M$10005,MATCH(('Reg 85'!$X$6&amp;'Reg 85'!$AB$10&amp;'Reg 85'!$B311),('DMR 001C TIN &amp; TP'!$E$3:$E$10005&amp;'DMR 001C TIN &amp; TP'!$B$3:$B$10005&amp;'DMR 001C TIN &amp; TP'!$A$3:$A$10005),0),MATCH('Reg 85'!$AD$11,'DMR 001C TIN &amp; TP'!$A$2:$M$2,0))),"")</f>
        <v/>
      </c>
      <c r="AE311" s="53" t="str">
        <f t="shared" si="116"/>
        <v/>
      </c>
      <c r="AF311" s="7" t="str">
        <f t="shared" si="117"/>
        <v/>
      </c>
      <c r="AG311" s="6" t="str">
        <f t="array" ref="AG311">_xlfn.IFNA((INDEX('DMR 001C TIN &amp; TP'!$A$3:$M$10005,MATCH(('Reg 85'!$X$6&amp;'Reg 85'!AG$10&amp;'Reg 85'!$B311),('DMR 001C TIN &amp; TP'!$E$3:$E$10005&amp;'DMR 001C TIN &amp; TP'!$B$3:$B$10005&amp;'DMR 001C TIN &amp; TP'!$A$3:$A$10005),0),MATCH('Reg 85'!$AG$11,'DMR 001C TIN &amp; TP'!$A$2:$M$2,0))),"")</f>
        <v/>
      </c>
      <c r="AH311" s="6" t="str">
        <f t="array" ref="AH311">_xlfn.IFNA((INDEX('DMR 001C TIN &amp; TP'!$A$3:$M$10005,MATCH(('Reg 85'!$X$6&amp;'Reg 85'!AH$10&amp;'Reg 85'!$B311),('DMR 001C TIN &amp; TP'!$E$3:$E$10005&amp;'DMR 001C TIN &amp; TP'!$B$3:$B$10005&amp;'DMR 001C TIN &amp; TP'!$A$3:$A$10005),0),MATCH('Reg 85'!$AG$11,'DMR 001C TIN &amp; TP'!$A$2:$M$2,0))),"")</f>
        <v/>
      </c>
      <c r="AI311" s="6" t="str">
        <f t="array" ref="AI311">_xlfn.IFNA((INDEX('DMR 001C TIN &amp; TP'!$A$3:$M$10005,MATCH(('Reg 85'!$X$6&amp;'Reg 85'!AI$10&amp;'Reg 85'!$B311),('DMR 001C TIN &amp; TP'!$E$3:$E$10005&amp;'DMR 001C TIN &amp; TP'!$B$3:$B$10005&amp;'DMR 001C TIN &amp; TP'!$A$3:$A$10005),0),MATCH('Reg 85'!$AG$11,'DMR 001C TIN &amp; TP'!$A$2:$M$2,0))),"")</f>
        <v/>
      </c>
      <c r="AJ311" s="6" t="str">
        <f t="array" ref="AJ311">_xlfn.IFNA((INDEX('DMR 001C TIN &amp; TP'!$A$3:$M$10005,MATCH(('Reg 85'!$X$6&amp;'Reg 85'!AJ$10&amp;'Reg 85'!$B311),('DMR 001C TIN &amp; TP'!$E$3:$E$10005&amp;'DMR 001C TIN &amp; TP'!$B$3:$B$10005&amp;'DMR 001C TIN &amp; TP'!$A$3:$A$10005),0),MATCH('Reg 85'!$AG$11,'DMR 001C TIN &amp; TP'!$A$2:$M$2,0))),"")</f>
        <v/>
      </c>
      <c r="AK311" s="6" t="str">
        <f t="array" ref="AK311">_xlfn.IFNA((INDEX('DMR 001C TIN &amp; TP'!$A$3:$M$10005,MATCH(('Reg 85'!$X$6&amp;'Reg 85'!AK$10&amp;'Reg 85'!$B311),('DMR 001C TIN &amp; TP'!$E$3:$E$10005&amp;'DMR 001C TIN &amp; TP'!$B$3:$B$10005&amp;'DMR 001C TIN &amp; TP'!$A$3:$A$10005),0),MATCH('Reg 85'!$AG$11,'DMR 001C TIN &amp; TP'!$A$2:$M$2,0))),"")</f>
        <v/>
      </c>
      <c r="AL311" s="6" t="str">
        <f t="array" ref="AL311">_xlfn.IFNA((INDEX('DMR 001C TIN &amp; TP'!$A$3:$M$10005,MATCH(('Reg 85'!$X$6&amp;'Reg 85'!AL$10&amp;'Reg 85'!$B311),('DMR 001C TIN &amp; TP'!$E$3:$E$10005&amp;'DMR 001C TIN &amp; TP'!$B$3:$B$10005&amp;'DMR 001C TIN &amp; TP'!$A$3:$A$10005),0),MATCH('Reg 85'!$AG$11,'DMR 001C TIN &amp; TP'!$A$2:$M$2,0))),"")</f>
        <v/>
      </c>
      <c r="AM311" s="76"/>
      <c r="AN311" s="6"/>
      <c r="AO311" s="54" t="str">
        <f t="shared" si="104"/>
        <v/>
      </c>
      <c r="AP311" s="77" t="str">
        <f t="shared" si="123"/>
        <v/>
      </c>
      <c r="AQ311" s="47"/>
      <c r="AR311" s="6" t="str">
        <f t="array" ref="AR311">_xlfn.IFNA((INDEX('DMR 001C TIN &amp; TP'!$A$3:$M$10005,MATCH(('Reg 85'!$AQ$6&amp;'Reg 85'!$AQ$10&amp;'Reg 85'!$B311),('DMR 001C TIN &amp; TP'!$E$3:$E$10005&amp;'DMR 001C TIN &amp; TP'!$B$3:$B$10005&amp;'DMR 001C TIN &amp; TP'!$A$3:$A$10005),0),MATCH('Reg 85'!$AR$11,'DMR 001C TIN &amp; TP'!$A$2:$M$2,0))),"")</f>
        <v/>
      </c>
      <c r="AS311" s="6" t="str">
        <f t="array" ref="AS311">_xlfn.IFNA((INDEX('DMR 001C TIN &amp; TP'!$A$3:$M$10005,MATCH(('Reg 85'!$AQ$6&amp;'Reg 85'!$AQ$10&amp;'Reg 85'!$B311),('DMR 001C TIN &amp; TP'!$E$3:$E$10005&amp;'DMR 001C TIN &amp; TP'!$B$3:$B$10005&amp;'DMR 001C TIN &amp; TP'!$A$3:$A$10005),0),MATCH('Reg 85'!$AS$11,'DMR 001C TIN &amp; TP'!$A$2:$M$2,0))),"")</f>
        <v/>
      </c>
      <c r="AT311" s="53" t="str">
        <f t="shared" si="118"/>
        <v/>
      </c>
      <c r="AV311" s="6" t="str">
        <f t="array" ref="AV311">_xlfn.IFNA((INDEX('DMR 001C TIN &amp; TP'!$A$3:$M$10005,MATCH(('Reg 85'!$AQ$6&amp;'Reg 85'!$AU$10&amp;'Reg 85'!$B311),('DMR 001C TIN &amp; TP'!$E$3:$E$10005&amp;'DMR 001C TIN &amp; TP'!$B$3:$B$10005&amp;'DMR 001C TIN &amp; TP'!$A$3:$A$10005),0),MATCH('Reg 85'!$AV$11,'DMR 001C TIN &amp; TP'!$A$2:$M$2,0))),"")</f>
        <v/>
      </c>
      <c r="AW311" s="6" t="str">
        <f t="array" ref="AW311">_xlfn.IFNA((INDEX('DMR 001C TIN &amp; TP'!$A$3:$M$10005,MATCH(('Reg 85'!$AQ$6&amp;'Reg 85'!$AU$10&amp;'Reg 85'!$B311),('DMR 001C TIN &amp; TP'!$E$3:$E$10005&amp;'DMR 001C TIN &amp; TP'!$B$3:$B$10005&amp;'DMR 001C TIN &amp; TP'!$A$3:$A$10005),0),MATCH('Reg 85'!$AW$11,'DMR 001C TIN &amp; TP'!$A$2:$M$2,0))),"")</f>
        <v/>
      </c>
      <c r="AX311" s="53" t="str">
        <f t="shared" si="119"/>
        <v/>
      </c>
      <c r="AY311" s="55" t="str">
        <f t="shared" si="120"/>
        <v/>
      </c>
      <c r="AZ311" s="77" t="str">
        <f t="shared" si="124"/>
        <v/>
      </c>
      <c r="BA311" s="6" t="str">
        <f t="array" ref="BA311">_xlfn.IFNA((INDEX('DMR 001C TIN &amp; TP'!$A$3:$M$10005,MATCH(('Reg 85'!$AQ$6&amp;'Reg 85'!BA$10&amp;'Reg 85'!$B311),('DMR 001C TIN &amp; TP'!$E$3:$E$10005&amp;'DMR 001C TIN &amp; TP'!$B$3:$B$10005&amp;'DMR 001C TIN &amp; TP'!$A$3:$A$10005),0),MATCH('Reg 85'!$AG$11,'DMR 001C TIN &amp; TP'!$A$2:$M$2,0))),"")</f>
        <v/>
      </c>
      <c r="BB311" s="6" t="str">
        <f t="array" ref="BB311">_xlfn.IFNA((INDEX('DMR 001C TIN &amp; TP'!$A$3:$M$10005,MATCH(('Reg 85'!$AQ$6&amp;'Reg 85'!BB$10&amp;'Reg 85'!$B311),('DMR 001C TIN &amp; TP'!$E$3:$E$10005&amp;'DMR 001C TIN &amp; TP'!$B$3:$B$10005&amp;'DMR 001C TIN &amp; TP'!$A$3:$A$10005),0),MATCH('Reg 85'!$AG$11,'DMR 001C TIN &amp; TP'!$A$2:$M$2,0))),"")</f>
        <v/>
      </c>
      <c r="BC311" s="6" t="str">
        <f t="array" ref="BC311">_xlfn.IFNA((INDEX('DMR 001C TIN &amp; TP'!$A$3:$M$10005,MATCH(('Reg 85'!$AQ$6&amp;'Reg 85'!BC$10&amp;'Reg 85'!$B311),('DMR 001C TIN &amp; TP'!$E$3:$E$10005&amp;'DMR 001C TIN &amp; TP'!$B$3:$B$10005&amp;'DMR 001C TIN &amp; TP'!$A$3:$A$10005),0),MATCH('Reg 85'!$AG$11,'DMR 001C TIN &amp; TP'!$A$2:$M$2,0))),"")</f>
        <v/>
      </c>
      <c r="BD311" s="6" t="str">
        <f t="array" ref="BD311">_xlfn.IFNA((INDEX('DMR 001C TIN &amp; TP'!$A$3:$M$10005,MATCH(('Reg 85'!$AQ$6&amp;'Reg 85'!BD$10&amp;'Reg 85'!$B311),('DMR 001C TIN &amp; TP'!$E$3:$E$10005&amp;'DMR 001C TIN &amp; TP'!$B$3:$B$10005&amp;'DMR 001C TIN &amp; TP'!$A$3:$A$10005),0),MATCH('Reg 85'!$AG$11,'DMR 001C TIN &amp; TP'!$A$2:$M$2,0))),"")</f>
        <v/>
      </c>
      <c r="BE311" s="6" t="str">
        <f t="array" ref="BE311">_xlfn.IFNA((INDEX('DMR 001C TIN &amp; TP'!$A$3:$M$10005,MATCH(('Reg 85'!$AQ$6&amp;'Reg 85'!BE$10&amp;'Reg 85'!$B311),('DMR 001C TIN &amp; TP'!$E$3:$E$10005&amp;'DMR 001C TIN &amp; TP'!$B$3:$B$10005&amp;'DMR 001C TIN &amp; TP'!$A$3:$A$10005),0),MATCH('Reg 85'!$AG$11,'DMR 001C TIN &amp; TP'!$A$2:$M$2,0))),"")</f>
        <v/>
      </c>
      <c r="BF311" s="6" t="str">
        <f t="array" ref="BF311">_xlfn.IFNA((INDEX('DMR 001C TIN &amp; TP'!$A$3:$M$10005,MATCH(('Reg 85'!$AQ$6&amp;'Reg 85'!BF$10&amp;'Reg 85'!$B311),('DMR 001C TIN &amp; TP'!$E$3:$E$10005&amp;'DMR 001C TIN &amp; TP'!$B$3:$B$10005&amp;'DMR 001C TIN &amp; TP'!$A$3:$A$10005),0),MATCH('Reg 85'!$AG$11,'DMR 001C TIN &amp; TP'!$A$2:$M$2,0))),"")</f>
        <v/>
      </c>
    </row>
    <row r="312" spans="1:58">
      <c r="A312" s="3" t="str">
        <f t="shared" si="105"/>
        <v>Fri</v>
      </c>
      <c r="B312" s="96">
        <f t="shared" si="121"/>
        <v>43644</v>
      </c>
      <c r="C312" s="96">
        <f t="shared" si="106"/>
        <v>43646</v>
      </c>
      <c r="D312" s="96">
        <f t="shared" si="107"/>
        <v>43617</v>
      </c>
      <c r="E312" s="95">
        <f t="shared" si="108"/>
        <v>30</v>
      </c>
      <c r="F312" s="7">
        <f t="array" ref="F312">_xlfn.IFNA(INDEX('DMR Flows-Effluent'!$A$3:$F$9999,MATCH(($F$10&amp;$B312),('DMR Flows-Effluent'!$B$3:$B$9999&amp;'DMR Flows-Effluent'!$A$3:$A$9999),0),MATCH($F$8,'DMR Flows-Effluent'!$A$2:$F$2,0)),"")</f>
        <v>71.429100000000005</v>
      </c>
      <c r="G312" s="7">
        <f t="array" ref="G312">_xlfn.IFNA(INDEX('DMR Flows-Effluent'!$A$3:$F$9999,MATCH(($G$10&amp;$B312),('DMR Flows-Effluent'!$B$3:$B$9999&amp;'DMR Flows-Effluent'!$A$3:$A$9999),0),MATCH($F$8,'DMR Flows-Effluent'!$A$2:$F$2,0)),"")</f>
        <v>56.000900000000001</v>
      </c>
      <c r="H312" s="7">
        <f t="shared" si="109"/>
        <v>127.43</v>
      </c>
      <c r="I312" s="45" t="str">
        <f t="shared" si="110"/>
        <v/>
      </c>
      <c r="J312" s="6" t="str">
        <f t="array" ref="J312">_xlfn.IFNA((INDEX('DMR 001C TIN &amp; TP'!$A$3:$M$10005,MATCH(('Reg 85'!$I$6:$Q$6&amp;'Reg 85'!$I$10:$K$10&amp;'Reg 85'!$B312),('DMR 001C TIN &amp; TP'!$E$3:$E$10005&amp;'DMR 001C TIN &amp; TP'!$B$3:$B$10005&amp;'DMR 001C TIN &amp; TP'!$A$3:$A$10005),0),MATCH('Reg 85'!$J$11,'DMR 001C TIN &amp; TP'!$A$2:$M$2,0))),"")</f>
        <v>0.15</v>
      </c>
      <c r="K312" s="6">
        <f t="array" ref="K312">_xlfn.IFNA((INDEX('DMR 001C TIN &amp; TP'!$A$3:$M$10005,MATCH(('Reg 85'!$I$6:$Q$6&amp;'Reg 85'!$I$10:$K$10&amp;'Reg 85'!$B312),('DMR 001C TIN &amp; TP'!$E$3:$E$10005&amp;'DMR 001C TIN &amp; TP'!$B$3:$B$10005&amp;'DMR 001C TIN &amp; TP'!$A$3:$A$10005),0),MATCH('Reg 85'!$K$11,'DMR 001C TIN &amp; TP'!$A$2:$M$2,0))),"")</f>
        <v>1.86</v>
      </c>
      <c r="L312" s="53">
        <f t="shared" si="122"/>
        <v>1.86</v>
      </c>
      <c r="M312" s="5" t="str">
        <f t="shared" si="111"/>
        <v/>
      </c>
      <c r="N312" s="6" t="str">
        <f t="array" ref="N312">_xlfn.IFNA((INDEX('DMR 001C TIN &amp; TP'!$A$3:$M$10005,MATCH(('Reg 85'!$I$6:$Q$6&amp;'Reg 85'!$M$10&amp;'Reg 85'!$B312),('DMR 001C TIN &amp; TP'!$E$3:$E$10005&amp;'DMR 001C TIN &amp; TP'!$B$3:$B$10005&amp;'DMR 001C TIN &amp; TP'!$A$3:$A$10005),0),MATCH('Reg 85'!$N$11,'DMR 001C TIN &amp; TP'!$A$2:$M$2,0))),"")</f>
        <v>0.15</v>
      </c>
      <c r="O312" s="6">
        <f t="array" ref="O312">_xlfn.IFNA((INDEX('DMR 001C TIN &amp; TP'!$A$3:$M$10005,MATCH(('Reg 85'!$I$6:$Q$6&amp;'Reg 85'!$M$10&amp;'Reg 85'!$B312),('DMR 001C TIN &amp; TP'!$E$3:$E$10005&amp;'DMR 001C TIN &amp; TP'!$B$3:$B$10005&amp;'DMR 001C TIN &amp; TP'!$A$3:$A$10005),0),MATCH('Reg 85'!$O$11,'DMR 001C TIN &amp; TP'!$A$2:$M$2,0))),"")</f>
        <v>2.86</v>
      </c>
      <c r="P312" s="53">
        <f t="shared" si="112"/>
        <v>2.86</v>
      </c>
      <c r="Q312" s="73">
        <f t="array" ref="Q312">IFERROR(((L312*$F312)+(P312*$G312))/($H312),"")</f>
        <v>2.2994640194616656</v>
      </c>
      <c r="R312" s="6" t="str">
        <f t="array" ref="R312">_xlfn.IFNA((INDEX('DMR 001C TIN &amp; TP'!$A$3:$M$10005,MATCH(('Reg 85'!$I$6:$Q$6&amp;'Reg 85'!R$10&amp;'Reg 85'!$B312),('DMR 001C TIN &amp; TP'!$E$3:$E$10005&amp;'DMR 001C TIN &amp; TP'!$B$3:$B$10005&amp;'DMR 001C TIN &amp; TP'!$A$3:$A$10005),0),MATCH('Reg 85'!$O$11,'DMR 001C TIN &amp; TP'!$A$2:$M$2,0))),"")</f>
        <v/>
      </c>
      <c r="S312" s="6" t="str">
        <f t="array" ref="S312">_xlfn.IFNA((INDEX('DMR 001C TIN &amp; TP'!$A$3:$M$10005,MATCH(('Reg 85'!$I$6:$Q$6&amp;'Reg 85'!S$10&amp;'Reg 85'!$B312),('DMR 001C TIN &amp; TP'!$E$3:$E$10005&amp;'DMR 001C TIN &amp; TP'!$B$3:$B$10005&amp;'DMR 001C TIN &amp; TP'!$A$3:$A$10005),0),MATCH('Reg 85'!$O$11,'DMR 001C TIN &amp; TP'!$A$2:$M$2,0))),"")</f>
        <v/>
      </c>
      <c r="T312" s="6" t="str">
        <f t="array" ref="T312">_xlfn.IFNA((INDEX('DMR 001C TIN &amp; TP'!$A$3:$M$10005,MATCH(('Reg 85'!$I$6:$Q$6&amp;'Reg 85'!T$10&amp;'Reg 85'!$B312),('DMR 001C TIN &amp; TP'!$E$3:$E$10005&amp;'DMR 001C TIN &amp; TP'!$B$3:$B$10005&amp;'DMR 001C TIN &amp; TP'!$A$3:$A$10005),0),MATCH('Reg 85'!$O$11,'DMR 001C TIN &amp; TP'!$A$2:$M$2,0))),"")</f>
        <v/>
      </c>
      <c r="U312" s="6" t="str">
        <f t="array" ref="U312">_xlfn.IFNA((INDEX('DMR 001C TIN &amp; TP'!$A$3:$M$10005,MATCH(('Reg 85'!$I$6:$Q$6&amp;'Reg 85'!U$10&amp;'Reg 85'!$B312),('DMR 001C TIN &amp; TP'!$E$3:$E$10005&amp;'DMR 001C TIN &amp; TP'!$B$3:$B$10005&amp;'DMR 001C TIN &amp; TP'!$A$3:$A$10005),0),MATCH('Reg 85'!$O$11,'DMR 001C TIN &amp; TP'!$A$2:$M$2,0))),"")</f>
        <v/>
      </c>
      <c r="V312" s="6" t="str">
        <f t="array" ref="V312">_xlfn.IFNA((INDEX('DMR 001C TIN &amp; TP'!$A$3:$M$10005,MATCH(('Reg 85'!$I$6:$Q$6&amp;'Reg 85'!V$10&amp;'Reg 85'!$B312),('DMR 001C TIN &amp; TP'!$E$3:$E$10005&amp;'DMR 001C TIN &amp; TP'!$B$3:$B$10005&amp;'DMR 001C TIN &amp; TP'!$A$3:$A$10005),0),MATCH('Reg 85'!$O$11,'DMR 001C TIN &amp; TP'!$A$2:$M$2,0))),"")</f>
        <v/>
      </c>
      <c r="W312" s="6" t="str">
        <f t="array" ref="W312">_xlfn.IFNA((INDEX('DMR 001C TIN &amp; TP'!$A$3:$M$10005,MATCH(('Reg 85'!$I$6:$Q$6&amp;'Reg 85'!W$10&amp;'Reg 85'!$B312),('DMR 001C TIN &amp; TP'!$E$3:$E$10005&amp;'DMR 001C TIN &amp; TP'!$B$3:$B$10005&amp;'DMR 001C TIN &amp; TP'!$A$3:$A$10005),0),MATCH('Reg 85'!$O$11,'DMR 001C TIN &amp; TP'!$A$2:$M$2,0))),"")</f>
        <v/>
      </c>
      <c r="X312" s="5" t="str">
        <f t="shared" si="113"/>
        <v/>
      </c>
      <c r="Y312" s="6" t="str">
        <f t="array" ref="Y312">_xlfn.IFNA((INDEX('DMR 001C TIN &amp; TP'!$A$3:$M$10005,MATCH(('Reg 85'!$X$6&amp;'Reg 85'!$X$10&amp;'Reg 85'!$B312),('DMR 001C TIN &amp; TP'!$E$3:$E$10005&amp;'DMR 001C TIN &amp; TP'!$B$3:$B$10005&amp;'DMR 001C TIN &amp; TP'!$A$3:$A$10005),0),MATCH('Reg 85'!$Y$11,'DMR 001C TIN &amp; TP'!$A$2:$M$2,0))),"")</f>
        <v>0.06</v>
      </c>
      <c r="Z312" s="6">
        <f t="array" ref="Z312">_xlfn.IFNA((INDEX('DMR 001C TIN &amp; TP'!$A$3:$M$10005,MATCH(('Reg 85'!$X$6&amp;'Reg 85'!$X$10&amp;'Reg 85'!$B312),('DMR 001C TIN &amp; TP'!$E$3:$E$10005&amp;'DMR 001C TIN &amp; TP'!$B$3:$B$10005&amp;'DMR 001C TIN &amp; TP'!$A$3:$A$10005),0),MATCH('Reg 85'!$Z$11,'DMR 001C TIN &amp; TP'!$A$2:$M$2,0))),"")</f>
        <v>4.07</v>
      </c>
      <c r="AA312" s="53">
        <f t="shared" si="114"/>
        <v>4.07</v>
      </c>
      <c r="AB312" s="5" t="str">
        <f t="shared" si="115"/>
        <v/>
      </c>
      <c r="AC312" s="6" t="str">
        <f t="array" ref="AC312">_xlfn.IFNA((INDEX('DMR 001C TIN &amp; TP'!$A$3:$M$10005,MATCH(('Reg 85'!$X$6&amp;'Reg 85'!$AB$10&amp;'Reg 85'!$B312),('DMR 001C TIN &amp; TP'!$E$3:$E$10005&amp;'DMR 001C TIN &amp; TP'!$B$3:$B$10005&amp;'DMR 001C TIN &amp; TP'!$A$3:$A$10005),0),MATCH('Reg 85'!$AC$11,'DMR 001C TIN &amp; TP'!$A$2:$M$2,0))),"")</f>
        <v>0.06</v>
      </c>
      <c r="AD312" s="6">
        <f t="array" ref="AD312">_xlfn.IFNA((INDEX('DMR 001C TIN &amp; TP'!$A$3:$M$10005,MATCH(('Reg 85'!$X$6&amp;'Reg 85'!$AB$10&amp;'Reg 85'!$B312),('DMR 001C TIN &amp; TP'!$E$3:$E$10005&amp;'DMR 001C TIN &amp; TP'!$B$3:$B$10005&amp;'DMR 001C TIN &amp; TP'!$A$3:$A$10005),0),MATCH('Reg 85'!$AD$11,'DMR 001C TIN &amp; TP'!$A$2:$M$2,0))),"")</f>
        <v>4.5</v>
      </c>
      <c r="AE312" s="53">
        <f t="shared" si="116"/>
        <v>4.5</v>
      </c>
      <c r="AF312" s="7">
        <f t="shared" si="117"/>
        <v>4.2589695283685165</v>
      </c>
      <c r="AG312" s="6" t="str">
        <f t="array" ref="AG312">_xlfn.IFNA((INDEX('DMR 001C TIN &amp; TP'!$A$3:$M$10005,MATCH(('Reg 85'!$X$6&amp;'Reg 85'!AG$10&amp;'Reg 85'!$B312),('DMR 001C TIN &amp; TP'!$E$3:$E$10005&amp;'DMR 001C TIN &amp; TP'!$B$3:$B$10005&amp;'DMR 001C TIN &amp; TP'!$A$3:$A$10005),0),MATCH('Reg 85'!$AG$11,'DMR 001C TIN &amp; TP'!$A$2:$M$2,0))),"")</f>
        <v/>
      </c>
      <c r="AH312" s="6" t="str">
        <f t="array" ref="AH312">_xlfn.IFNA((INDEX('DMR 001C TIN &amp; TP'!$A$3:$M$10005,MATCH(('Reg 85'!$X$6&amp;'Reg 85'!AH$10&amp;'Reg 85'!$B312),('DMR 001C TIN &amp; TP'!$E$3:$E$10005&amp;'DMR 001C TIN &amp; TP'!$B$3:$B$10005&amp;'DMR 001C TIN &amp; TP'!$A$3:$A$10005),0),MATCH('Reg 85'!$AG$11,'DMR 001C TIN &amp; TP'!$A$2:$M$2,0))),"")</f>
        <v/>
      </c>
      <c r="AI312" s="6" t="str">
        <f t="array" ref="AI312">_xlfn.IFNA((INDEX('DMR 001C TIN &amp; TP'!$A$3:$M$10005,MATCH(('Reg 85'!$X$6&amp;'Reg 85'!AI$10&amp;'Reg 85'!$B312),('DMR 001C TIN &amp; TP'!$E$3:$E$10005&amp;'DMR 001C TIN &amp; TP'!$B$3:$B$10005&amp;'DMR 001C TIN &amp; TP'!$A$3:$A$10005),0),MATCH('Reg 85'!$AG$11,'DMR 001C TIN &amp; TP'!$A$2:$M$2,0))),"")</f>
        <v/>
      </c>
      <c r="AJ312" s="6" t="str">
        <f t="array" ref="AJ312">_xlfn.IFNA((INDEX('DMR 001C TIN &amp; TP'!$A$3:$M$10005,MATCH(('Reg 85'!$X$6&amp;'Reg 85'!AJ$10&amp;'Reg 85'!$B312),('DMR 001C TIN &amp; TP'!$E$3:$E$10005&amp;'DMR 001C TIN &amp; TP'!$B$3:$B$10005&amp;'DMR 001C TIN &amp; TP'!$A$3:$A$10005),0),MATCH('Reg 85'!$AG$11,'DMR 001C TIN &amp; TP'!$A$2:$M$2,0))),"")</f>
        <v/>
      </c>
      <c r="AK312" s="6" t="str">
        <f t="array" ref="AK312">_xlfn.IFNA((INDEX('DMR 001C TIN &amp; TP'!$A$3:$M$10005,MATCH(('Reg 85'!$X$6&amp;'Reg 85'!AK$10&amp;'Reg 85'!$B312),('DMR 001C TIN &amp; TP'!$E$3:$E$10005&amp;'DMR 001C TIN &amp; TP'!$B$3:$B$10005&amp;'DMR 001C TIN &amp; TP'!$A$3:$A$10005),0),MATCH('Reg 85'!$AG$11,'DMR 001C TIN &amp; TP'!$A$2:$M$2,0))),"")</f>
        <v/>
      </c>
      <c r="AL312" s="6" t="str">
        <f t="array" ref="AL312">_xlfn.IFNA((INDEX('DMR 001C TIN &amp; TP'!$A$3:$M$10005,MATCH(('Reg 85'!$X$6&amp;'Reg 85'!AL$10&amp;'Reg 85'!$B312),('DMR 001C TIN &amp; TP'!$E$3:$E$10005&amp;'DMR 001C TIN &amp; TP'!$B$3:$B$10005&amp;'DMR 001C TIN &amp; TP'!$A$3:$A$10005),0),MATCH('Reg 85'!$AG$11,'DMR 001C TIN &amp; TP'!$A$2:$M$2,0))),"")</f>
        <v/>
      </c>
      <c r="AM312" s="76"/>
      <c r="AN312" s="6"/>
      <c r="AO312" s="54">
        <f t="shared" si="104"/>
        <v>6.5584335478301821</v>
      </c>
      <c r="AP312" s="77" t="str">
        <f t="shared" si="123"/>
        <v/>
      </c>
      <c r="AQ312" s="47"/>
      <c r="AR312" s="6" t="str">
        <f t="array" ref="AR312">_xlfn.IFNA((INDEX('DMR 001C TIN &amp; TP'!$A$3:$M$10005,MATCH(('Reg 85'!$AQ$6&amp;'Reg 85'!$AQ$10&amp;'Reg 85'!$B312),('DMR 001C TIN &amp; TP'!$E$3:$E$10005&amp;'DMR 001C TIN &amp; TP'!$B$3:$B$10005&amp;'DMR 001C TIN &amp; TP'!$A$3:$A$10005),0),MATCH('Reg 85'!$AR$11,'DMR 001C TIN &amp; TP'!$A$2:$M$2,0))),"")</f>
        <v/>
      </c>
      <c r="AS312" s="6" t="str">
        <f t="array" ref="AS312">_xlfn.IFNA((INDEX('DMR 001C TIN &amp; TP'!$A$3:$M$10005,MATCH(('Reg 85'!$AQ$6&amp;'Reg 85'!$AQ$10&amp;'Reg 85'!$B312),('DMR 001C TIN &amp; TP'!$E$3:$E$10005&amp;'DMR 001C TIN &amp; TP'!$B$3:$B$10005&amp;'DMR 001C TIN &amp; TP'!$A$3:$A$10005),0),MATCH('Reg 85'!$AS$11,'DMR 001C TIN &amp; TP'!$A$2:$M$2,0))),"")</f>
        <v/>
      </c>
      <c r="AT312" s="53" t="str">
        <f t="shared" si="118"/>
        <v/>
      </c>
      <c r="AV312" s="6" t="str">
        <f t="array" ref="AV312">_xlfn.IFNA((INDEX('DMR 001C TIN &amp; TP'!$A$3:$M$10005,MATCH(('Reg 85'!$AQ$6&amp;'Reg 85'!$AU$10&amp;'Reg 85'!$B312),('DMR 001C TIN &amp; TP'!$E$3:$E$10005&amp;'DMR 001C TIN &amp; TP'!$B$3:$B$10005&amp;'DMR 001C TIN &amp; TP'!$A$3:$A$10005),0),MATCH('Reg 85'!$AV$11,'DMR 001C TIN &amp; TP'!$A$2:$M$2,0))),"")</f>
        <v/>
      </c>
      <c r="AW312" s="6" t="str">
        <f t="array" ref="AW312">_xlfn.IFNA((INDEX('DMR 001C TIN &amp; TP'!$A$3:$M$10005,MATCH(('Reg 85'!$AQ$6&amp;'Reg 85'!$AU$10&amp;'Reg 85'!$B312),('DMR 001C TIN &amp; TP'!$E$3:$E$10005&amp;'DMR 001C TIN &amp; TP'!$B$3:$B$10005&amp;'DMR 001C TIN &amp; TP'!$A$3:$A$10005),0),MATCH('Reg 85'!$AW$11,'DMR 001C TIN &amp; TP'!$A$2:$M$2,0))),"")</f>
        <v/>
      </c>
      <c r="AX312" s="53" t="str">
        <f t="shared" si="119"/>
        <v/>
      </c>
      <c r="AY312" s="55" t="str">
        <f t="shared" si="120"/>
        <v/>
      </c>
      <c r="AZ312" s="77" t="str">
        <f t="shared" si="124"/>
        <v/>
      </c>
      <c r="BA312" s="6" t="str">
        <f t="array" ref="BA312">_xlfn.IFNA((INDEX('DMR 001C TIN &amp; TP'!$A$3:$M$10005,MATCH(('Reg 85'!$AQ$6&amp;'Reg 85'!BA$10&amp;'Reg 85'!$B312),('DMR 001C TIN &amp; TP'!$E$3:$E$10005&amp;'DMR 001C TIN &amp; TP'!$B$3:$B$10005&amp;'DMR 001C TIN &amp; TP'!$A$3:$A$10005),0),MATCH('Reg 85'!$AG$11,'DMR 001C TIN &amp; TP'!$A$2:$M$2,0))),"")</f>
        <v/>
      </c>
      <c r="BB312" s="6" t="str">
        <f t="array" ref="BB312">_xlfn.IFNA((INDEX('DMR 001C TIN &amp; TP'!$A$3:$M$10005,MATCH(('Reg 85'!$AQ$6&amp;'Reg 85'!BB$10&amp;'Reg 85'!$B312),('DMR 001C TIN &amp; TP'!$E$3:$E$10005&amp;'DMR 001C TIN &amp; TP'!$B$3:$B$10005&amp;'DMR 001C TIN &amp; TP'!$A$3:$A$10005),0),MATCH('Reg 85'!$AG$11,'DMR 001C TIN &amp; TP'!$A$2:$M$2,0))),"")</f>
        <v/>
      </c>
      <c r="BC312" s="6" t="str">
        <f t="array" ref="BC312">_xlfn.IFNA((INDEX('DMR 001C TIN &amp; TP'!$A$3:$M$10005,MATCH(('Reg 85'!$AQ$6&amp;'Reg 85'!BC$10&amp;'Reg 85'!$B312),('DMR 001C TIN &amp; TP'!$E$3:$E$10005&amp;'DMR 001C TIN &amp; TP'!$B$3:$B$10005&amp;'DMR 001C TIN &amp; TP'!$A$3:$A$10005),0),MATCH('Reg 85'!$AG$11,'DMR 001C TIN &amp; TP'!$A$2:$M$2,0))),"")</f>
        <v/>
      </c>
      <c r="BD312" s="6" t="str">
        <f t="array" ref="BD312">_xlfn.IFNA((INDEX('DMR 001C TIN &amp; TP'!$A$3:$M$10005,MATCH(('Reg 85'!$AQ$6&amp;'Reg 85'!BD$10&amp;'Reg 85'!$B312),('DMR 001C TIN &amp; TP'!$E$3:$E$10005&amp;'DMR 001C TIN &amp; TP'!$B$3:$B$10005&amp;'DMR 001C TIN &amp; TP'!$A$3:$A$10005),0),MATCH('Reg 85'!$AG$11,'DMR 001C TIN &amp; TP'!$A$2:$M$2,0))),"")</f>
        <v/>
      </c>
      <c r="BE312" s="6" t="str">
        <f t="array" ref="BE312">_xlfn.IFNA((INDEX('DMR 001C TIN &amp; TP'!$A$3:$M$10005,MATCH(('Reg 85'!$AQ$6&amp;'Reg 85'!BE$10&amp;'Reg 85'!$B312),('DMR 001C TIN &amp; TP'!$E$3:$E$10005&amp;'DMR 001C TIN &amp; TP'!$B$3:$B$10005&amp;'DMR 001C TIN &amp; TP'!$A$3:$A$10005),0),MATCH('Reg 85'!$AG$11,'DMR 001C TIN &amp; TP'!$A$2:$M$2,0))),"")</f>
        <v/>
      </c>
      <c r="BF312" s="6" t="str">
        <f t="array" ref="BF312">_xlfn.IFNA((INDEX('DMR 001C TIN &amp; TP'!$A$3:$M$10005,MATCH(('Reg 85'!$AQ$6&amp;'Reg 85'!BF$10&amp;'Reg 85'!$B312),('DMR 001C TIN &amp; TP'!$E$3:$E$10005&amp;'DMR 001C TIN &amp; TP'!$B$3:$B$10005&amp;'DMR 001C TIN &amp; TP'!$A$3:$A$10005),0),MATCH('Reg 85'!$AG$11,'DMR 001C TIN &amp; TP'!$A$2:$M$2,0))),"")</f>
        <v/>
      </c>
    </row>
    <row r="313" spans="1:58">
      <c r="A313" s="3" t="str">
        <f t="shared" si="105"/>
        <v>Sat</v>
      </c>
      <c r="B313" s="96">
        <f t="shared" si="121"/>
        <v>43645</v>
      </c>
      <c r="C313" s="96">
        <f t="shared" si="106"/>
        <v>43646</v>
      </c>
      <c r="D313" s="96">
        <f t="shared" si="107"/>
        <v>43617</v>
      </c>
      <c r="E313" s="95">
        <f t="shared" si="108"/>
        <v>30</v>
      </c>
      <c r="F313" s="7">
        <f t="array" ref="F313">_xlfn.IFNA(INDEX('DMR Flows-Effluent'!$A$3:$F$9999,MATCH(($F$10&amp;$B313),('DMR Flows-Effluent'!$B$3:$B$9999&amp;'DMR Flows-Effluent'!$A$3:$A$9999),0),MATCH($F$8,'DMR Flows-Effluent'!$A$2:$F$2,0)),"")</f>
        <v>68.974100000000007</v>
      </c>
      <c r="G313" s="7">
        <f t="array" ref="G313">_xlfn.IFNA(INDEX('DMR Flows-Effluent'!$A$3:$F$9999,MATCH(($G$10&amp;$B313),('DMR Flows-Effluent'!$B$3:$B$9999&amp;'DMR Flows-Effluent'!$A$3:$A$9999),0),MATCH($F$8,'DMR Flows-Effluent'!$A$2:$F$2,0)),"")</f>
        <v>56.922400000000003</v>
      </c>
      <c r="H313" s="7">
        <f t="shared" si="109"/>
        <v>125.8965</v>
      </c>
      <c r="I313" s="45" t="str">
        <f t="shared" si="110"/>
        <v/>
      </c>
      <c r="J313" s="6" t="str">
        <f t="array" ref="J313">_xlfn.IFNA((INDEX('DMR 001C TIN &amp; TP'!$A$3:$M$10005,MATCH(('Reg 85'!$I$6:$Q$6&amp;'Reg 85'!$I$10:$K$10&amp;'Reg 85'!$B313),('DMR 001C TIN &amp; TP'!$E$3:$E$10005&amp;'DMR 001C TIN &amp; TP'!$B$3:$B$10005&amp;'DMR 001C TIN &amp; TP'!$A$3:$A$10005),0),MATCH('Reg 85'!$J$11,'DMR 001C TIN &amp; TP'!$A$2:$M$2,0))),"")</f>
        <v>0.15</v>
      </c>
      <c r="K313" s="6">
        <f t="array" ref="K313">_xlfn.IFNA((INDEX('DMR 001C TIN &amp; TP'!$A$3:$M$10005,MATCH(('Reg 85'!$I$6:$Q$6&amp;'Reg 85'!$I$10:$K$10&amp;'Reg 85'!$B313),('DMR 001C TIN &amp; TP'!$E$3:$E$10005&amp;'DMR 001C TIN &amp; TP'!$B$3:$B$10005&amp;'DMR 001C TIN &amp; TP'!$A$3:$A$10005),0),MATCH('Reg 85'!$K$11,'DMR 001C TIN &amp; TP'!$A$2:$M$2,0))),"")</f>
        <v>1.48</v>
      </c>
      <c r="L313" s="53">
        <f t="shared" si="122"/>
        <v>1.48</v>
      </c>
      <c r="M313" s="5" t="str">
        <f t="shared" si="111"/>
        <v/>
      </c>
      <c r="N313" s="6" t="str">
        <f t="array" ref="N313">_xlfn.IFNA((INDEX('DMR 001C TIN &amp; TP'!$A$3:$M$10005,MATCH(('Reg 85'!$I$6:$Q$6&amp;'Reg 85'!$M$10&amp;'Reg 85'!$B313),('DMR 001C TIN &amp; TP'!$E$3:$E$10005&amp;'DMR 001C TIN &amp; TP'!$B$3:$B$10005&amp;'DMR 001C TIN &amp; TP'!$A$3:$A$10005),0),MATCH('Reg 85'!$N$11,'DMR 001C TIN &amp; TP'!$A$2:$M$2,0))),"")</f>
        <v>0.15</v>
      </c>
      <c r="O313" s="6">
        <f t="array" ref="O313">_xlfn.IFNA((INDEX('DMR 001C TIN &amp; TP'!$A$3:$M$10005,MATCH(('Reg 85'!$I$6:$Q$6&amp;'Reg 85'!$M$10&amp;'Reg 85'!$B313),('DMR 001C TIN &amp; TP'!$E$3:$E$10005&amp;'DMR 001C TIN &amp; TP'!$B$3:$B$10005&amp;'DMR 001C TIN &amp; TP'!$A$3:$A$10005),0),MATCH('Reg 85'!$O$11,'DMR 001C TIN &amp; TP'!$A$2:$M$2,0))),"")</f>
        <v>2.74</v>
      </c>
      <c r="P313" s="53">
        <f t="shared" si="112"/>
        <v>2.74</v>
      </c>
      <c r="Q313" s="73">
        <f t="array" ref="Q313">IFERROR(((L313*$F313)+(P313*$G313))/($H313),"")</f>
        <v>2.0496919612538873</v>
      </c>
      <c r="R313" s="6" t="str">
        <f t="array" ref="R313">_xlfn.IFNA((INDEX('DMR 001C TIN &amp; TP'!$A$3:$M$10005,MATCH(('Reg 85'!$I$6:$Q$6&amp;'Reg 85'!R$10&amp;'Reg 85'!$B313),('DMR 001C TIN &amp; TP'!$E$3:$E$10005&amp;'DMR 001C TIN &amp; TP'!$B$3:$B$10005&amp;'DMR 001C TIN &amp; TP'!$A$3:$A$10005),0),MATCH('Reg 85'!$O$11,'DMR 001C TIN &amp; TP'!$A$2:$M$2,0))),"")</f>
        <v/>
      </c>
      <c r="S313" s="6" t="str">
        <f t="array" ref="S313">_xlfn.IFNA((INDEX('DMR 001C TIN &amp; TP'!$A$3:$M$10005,MATCH(('Reg 85'!$I$6:$Q$6&amp;'Reg 85'!S$10&amp;'Reg 85'!$B313),('DMR 001C TIN &amp; TP'!$E$3:$E$10005&amp;'DMR 001C TIN &amp; TP'!$B$3:$B$10005&amp;'DMR 001C TIN &amp; TP'!$A$3:$A$10005),0),MATCH('Reg 85'!$O$11,'DMR 001C TIN &amp; TP'!$A$2:$M$2,0))),"")</f>
        <v/>
      </c>
      <c r="T313" s="6" t="str">
        <f t="array" ref="T313">_xlfn.IFNA((INDEX('DMR 001C TIN &amp; TP'!$A$3:$M$10005,MATCH(('Reg 85'!$I$6:$Q$6&amp;'Reg 85'!T$10&amp;'Reg 85'!$B313),('DMR 001C TIN &amp; TP'!$E$3:$E$10005&amp;'DMR 001C TIN &amp; TP'!$B$3:$B$10005&amp;'DMR 001C TIN &amp; TP'!$A$3:$A$10005),0),MATCH('Reg 85'!$O$11,'DMR 001C TIN &amp; TP'!$A$2:$M$2,0))),"")</f>
        <v/>
      </c>
      <c r="U313" s="6" t="str">
        <f t="array" ref="U313">_xlfn.IFNA((INDEX('DMR 001C TIN &amp; TP'!$A$3:$M$10005,MATCH(('Reg 85'!$I$6:$Q$6&amp;'Reg 85'!U$10&amp;'Reg 85'!$B313),('DMR 001C TIN &amp; TP'!$E$3:$E$10005&amp;'DMR 001C TIN &amp; TP'!$B$3:$B$10005&amp;'DMR 001C TIN &amp; TP'!$A$3:$A$10005),0),MATCH('Reg 85'!$O$11,'DMR 001C TIN &amp; TP'!$A$2:$M$2,0))),"")</f>
        <v/>
      </c>
      <c r="V313" s="6" t="str">
        <f t="array" ref="V313">_xlfn.IFNA((INDEX('DMR 001C TIN &amp; TP'!$A$3:$M$10005,MATCH(('Reg 85'!$I$6:$Q$6&amp;'Reg 85'!V$10&amp;'Reg 85'!$B313),('DMR 001C TIN &amp; TP'!$E$3:$E$10005&amp;'DMR 001C TIN &amp; TP'!$B$3:$B$10005&amp;'DMR 001C TIN &amp; TP'!$A$3:$A$10005),0),MATCH('Reg 85'!$O$11,'DMR 001C TIN &amp; TP'!$A$2:$M$2,0))),"")</f>
        <v/>
      </c>
      <c r="W313" s="6" t="str">
        <f t="array" ref="W313">_xlfn.IFNA((INDEX('DMR 001C TIN &amp; TP'!$A$3:$M$10005,MATCH(('Reg 85'!$I$6:$Q$6&amp;'Reg 85'!W$10&amp;'Reg 85'!$B313),('DMR 001C TIN &amp; TP'!$E$3:$E$10005&amp;'DMR 001C TIN &amp; TP'!$B$3:$B$10005&amp;'DMR 001C TIN &amp; TP'!$A$3:$A$10005),0),MATCH('Reg 85'!$O$11,'DMR 001C TIN &amp; TP'!$A$2:$M$2,0))),"")</f>
        <v/>
      </c>
      <c r="X313" s="5" t="str">
        <f t="shared" si="113"/>
        <v/>
      </c>
      <c r="Y313" s="6" t="str">
        <f t="array" ref="Y313">_xlfn.IFNA((INDEX('DMR 001C TIN &amp; TP'!$A$3:$M$10005,MATCH(('Reg 85'!$X$6&amp;'Reg 85'!$X$10&amp;'Reg 85'!$B313),('DMR 001C TIN &amp; TP'!$E$3:$E$10005&amp;'DMR 001C TIN &amp; TP'!$B$3:$B$10005&amp;'DMR 001C TIN &amp; TP'!$A$3:$A$10005),0),MATCH('Reg 85'!$Y$11,'DMR 001C TIN &amp; TP'!$A$2:$M$2,0))),"")</f>
        <v>0.06</v>
      </c>
      <c r="Z313" s="6">
        <f t="array" ref="Z313">_xlfn.IFNA((INDEX('DMR 001C TIN &amp; TP'!$A$3:$M$10005,MATCH(('Reg 85'!$X$6&amp;'Reg 85'!$X$10&amp;'Reg 85'!$B313),('DMR 001C TIN &amp; TP'!$E$3:$E$10005&amp;'DMR 001C TIN &amp; TP'!$B$3:$B$10005&amp;'DMR 001C TIN &amp; TP'!$A$3:$A$10005),0),MATCH('Reg 85'!$Z$11,'DMR 001C TIN &amp; TP'!$A$2:$M$2,0))),"")</f>
        <v>4.38</v>
      </c>
      <c r="AA313" s="53">
        <f t="shared" si="114"/>
        <v>4.38</v>
      </c>
      <c r="AB313" s="5" t="str">
        <f t="shared" si="115"/>
        <v/>
      </c>
      <c r="AC313" s="6" t="str">
        <f t="array" ref="AC313">_xlfn.IFNA((INDEX('DMR 001C TIN &amp; TP'!$A$3:$M$10005,MATCH(('Reg 85'!$X$6&amp;'Reg 85'!$AB$10&amp;'Reg 85'!$B313),('DMR 001C TIN &amp; TP'!$E$3:$E$10005&amp;'DMR 001C TIN &amp; TP'!$B$3:$B$10005&amp;'DMR 001C TIN &amp; TP'!$A$3:$A$10005),0),MATCH('Reg 85'!$AC$11,'DMR 001C TIN &amp; TP'!$A$2:$M$2,0))),"")</f>
        <v>0.06</v>
      </c>
      <c r="AD313" s="6">
        <f t="array" ref="AD313">_xlfn.IFNA((INDEX('DMR 001C TIN &amp; TP'!$A$3:$M$10005,MATCH(('Reg 85'!$X$6&amp;'Reg 85'!$AB$10&amp;'Reg 85'!$B313),('DMR 001C TIN &amp; TP'!$E$3:$E$10005&amp;'DMR 001C TIN &amp; TP'!$B$3:$B$10005&amp;'DMR 001C TIN &amp; TP'!$A$3:$A$10005),0),MATCH('Reg 85'!$AD$11,'DMR 001C TIN &amp; TP'!$A$2:$M$2,0))),"")</f>
        <v>4.62</v>
      </c>
      <c r="AE313" s="53">
        <f t="shared" si="116"/>
        <v>4.62</v>
      </c>
      <c r="AF313" s="7">
        <f t="shared" si="117"/>
        <v>4.4885127545245505</v>
      </c>
      <c r="AG313" s="6" t="str">
        <f t="array" ref="AG313">_xlfn.IFNA((INDEX('DMR 001C TIN &amp; TP'!$A$3:$M$10005,MATCH(('Reg 85'!$X$6&amp;'Reg 85'!AG$10&amp;'Reg 85'!$B313),('DMR 001C TIN &amp; TP'!$E$3:$E$10005&amp;'DMR 001C TIN &amp; TP'!$B$3:$B$10005&amp;'DMR 001C TIN &amp; TP'!$A$3:$A$10005),0),MATCH('Reg 85'!$AG$11,'DMR 001C TIN &amp; TP'!$A$2:$M$2,0))),"")</f>
        <v/>
      </c>
      <c r="AH313" s="6" t="str">
        <f t="array" ref="AH313">_xlfn.IFNA((INDEX('DMR 001C TIN &amp; TP'!$A$3:$M$10005,MATCH(('Reg 85'!$X$6&amp;'Reg 85'!AH$10&amp;'Reg 85'!$B313),('DMR 001C TIN &amp; TP'!$E$3:$E$10005&amp;'DMR 001C TIN &amp; TP'!$B$3:$B$10005&amp;'DMR 001C TIN &amp; TP'!$A$3:$A$10005),0),MATCH('Reg 85'!$AG$11,'DMR 001C TIN &amp; TP'!$A$2:$M$2,0))),"")</f>
        <v/>
      </c>
      <c r="AI313" s="6" t="str">
        <f t="array" ref="AI313">_xlfn.IFNA((INDEX('DMR 001C TIN &amp; TP'!$A$3:$M$10005,MATCH(('Reg 85'!$X$6&amp;'Reg 85'!AI$10&amp;'Reg 85'!$B313),('DMR 001C TIN &amp; TP'!$E$3:$E$10005&amp;'DMR 001C TIN &amp; TP'!$B$3:$B$10005&amp;'DMR 001C TIN &amp; TP'!$A$3:$A$10005),0),MATCH('Reg 85'!$AG$11,'DMR 001C TIN &amp; TP'!$A$2:$M$2,0))),"")</f>
        <v/>
      </c>
      <c r="AJ313" s="6" t="str">
        <f t="array" ref="AJ313">_xlfn.IFNA((INDEX('DMR 001C TIN &amp; TP'!$A$3:$M$10005,MATCH(('Reg 85'!$X$6&amp;'Reg 85'!AJ$10&amp;'Reg 85'!$B313),('DMR 001C TIN &amp; TP'!$E$3:$E$10005&amp;'DMR 001C TIN &amp; TP'!$B$3:$B$10005&amp;'DMR 001C TIN &amp; TP'!$A$3:$A$10005),0),MATCH('Reg 85'!$AG$11,'DMR 001C TIN &amp; TP'!$A$2:$M$2,0))),"")</f>
        <v/>
      </c>
      <c r="AK313" s="6" t="str">
        <f t="array" ref="AK313">_xlfn.IFNA((INDEX('DMR 001C TIN &amp; TP'!$A$3:$M$10005,MATCH(('Reg 85'!$X$6&amp;'Reg 85'!AK$10&amp;'Reg 85'!$B313),('DMR 001C TIN &amp; TP'!$E$3:$E$10005&amp;'DMR 001C TIN &amp; TP'!$B$3:$B$10005&amp;'DMR 001C TIN &amp; TP'!$A$3:$A$10005),0),MATCH('Reg 85'!$AG$11,'DMR 001C TIN &amp; TP'!$A$2:$M$2,0))),"")</f>
        <v/>
      </c>
      <c r="AL313" s="6" t="str">
        <f t="array" ref="AL313">_xlfn.IFNA((INDEX('DMR 001C TIN &amp; TP'!$A$3:$M$10005,MATCH(('Reg 85'!$X$6&amp;'Reg 85'!AL$10&amp;'Reg 85'!$B313),('DMR 001C TIN &amp; TP'!$E$3:$E$10005&amp;'DMR 001C TIN &amp; TP'!$B$3:$B$10005&amp;'DMR 001C TIN &amp; TP'!$A$3:$A$10005),0),MATCH('Reg 85'!$AG$11,'DMR 001C TIN &amp; TP'!$A$2:$M$2,0))),"")</f>
        <v/>
      </c>
      <c r="AM313" s="76"/>
      <c r="AN313" s="6"/>
      <c r="AO313" s="54">
        <f t="shared" si="104"/>
        <v>6.5382047157784378</v>
      </c>
      <c r="AP313" s="77" t="str">
        <f t="shared" si="123"/>
        <v/>
      </c>
      <c r="AQ313" s="47"/>
      <c r="AR313" s="6" t="str">
        <f t="array" ref="AR313">_xlfn.IFNA((INDEX('DMR 001C TIN &amp; TP'!$A$3:$M$10005,MATCH(('Reg 85'!$AQ$6&amp;'Reg 85'!$AQ$10&amp;'Reg 85'!$B313),('DMR 001C TIN &amp; TP'!$E$3:$E$10005&amp;'DMR 001C TIN &amp; TP'!$B$3:$B$10005&amp;'DMR 001C TIN &amp; TP'!$A$3:$A$10005),0),MATCH('Reg 85'!$AR$11,'DMR 001C TIN &amp; TP'!$A$2:$M$2,0))),"")</f>
        <v/>
      </c>
      <c r="AS313" s="6" t="str">
        <f t="array" ref="AS313">_xlfn.IFNA((INDEX('DMR 001C TIN &amp; TP'!$A$3:$M$10005,MATCH(('Reg 85'!$AQ$6&amp;'Reg 85'!$AQ$10&amp;'Reg 85'!$B313),('DMR 001C TIN &amp; TP'!$E$3:$E$10005&amp;'DMR 001C TIN &amp; TP'!$B$3:$B$10005&amp;'DMR 001C TIN &amp; TP'!$A$3:$A$10005),0),MATCH('Reg 85'!$AS$11,'DMR 001C TIN &amp; TP'!$A$2:$M$2,0))),"")</f>
        <v/>
      </c>
      <c r="AT313" s="53" t="str">
        <f t="shared" si="118"/>
        <v/>
      </c>
      <c r="AV313" s="6" t="str">
        <f t="array" ref="AV313">_xlfn.IFNA((INDEX('DMR 001C TIN &amp; TP'!$A$3:$M$10005,MATCH(('Reg 85'!$AQ$6&amp;'Reg 85'!$AU$10&amp;'Reg 85'!$B313),('DMR 001C TIN &amp; TP'!$E$3:$E$10005&amp;'DMR 001C TIN &amp; TP'!$B$3:$B$10005&amp;'DMR 001C TIN &amp; TP'!$A$3:$A$10005),0),MATCH('Reg 85'!$AV$11,'DMR 001C TIN &amp; TP'!$A$2:$M$2,0))),"")</f>
        <v/>
      </c>
      <c r="AW313" s="6" t="str">
        <f t="array" ref="AW313">_xlfn.IFNA((INDEX('DMR 001C TIN &amp; TP'!$A$3:$M$10005,MATCH(('Reg 85'!$AQ$6&amp;'Reg 85'!$AU$10&amp;'Reg 85'!$B313),('DMR 001C TIN &amp; TP'!$E$3:$E$10005&amp;'DMR 001C TIN &amp; TP'!$B$3:$B$10005&amp;'DMR 001C TIN &amp; TP'!$A$3:$A$10005),0),MATCH('Reg 85'!$AW$11,'DMR 001C TIN &amp; TP'!$A$2:$M$2,0))),"")</f>
        <v/>
      </c>
      <c r="AX313" s="53" t="str">
        <f t="shared" si="119"/>
        <v/>
      </c>
      <c r="AY313" s="55" t="str">
        <f t="shared" si="120"/>
        <v/>
      </c>
      <c r="AZ313" s="77" t="str">
        <f t="shared" si="124"/>
        <v/>
      </c>
      <c r="BA313" s="6" t="str">
        <f t="array" ref="BA313">_xlfn.IFNA((INDEX('DMR 001C TIN &amp; TP'!$A$3:$M$10005,MATCH(('Reg 85'!$AQ$6&amp;'Reg 85'!BA$10&amp;'Reg 85'!$B313),('DMR 001C TIN &amp; TP'!$E$3:$E$10005&amp;'DMR 001C TIN &amp; TP'!$B$3:$B$10005&amp;'DMR 001C TIN &amp; TP'!$A$3:$A$10005),0),MATCH('Reg 85'!$AG$11,'DMR 001C TIN &amp; TP'!$A$2:$M$2,0))),"")</f>
        <v/>
      </c>
      <c r="BB313" s="6" t="str">
        <f t="array" ref="BB313">_xlfn.IFNA((INDEX('DMR 001C TIN &amp; TP'!$A$3:$M$10005,MATCH(('Reg 85'!$AQ$6&amp;'Reg 85'!BB$10&amp;'Reg 85'!$B313),('DMR 001C TIN &amp; TP'!$E$3:$E$10005&amp;'DMR 001C TIN &amp; TP'!$B$3:$B$10005&amp;'DMR 001C TIN &amp; TP'!$A$3:$A$10005),0),MATCH('Reg 85'!$AG$11,'DMR 001C TIN &amp; TP'!$A$2:$M$2,0))),"")</f>
        <v/>
      </c>
      <c r="BC313" s="6" t="str">
        <f t="array" ref="BC313">_xlfn.IFNA((INDEX('DMR 001C TIN &amp; TP'!$A$3:$M$10005,MATCH(('Reg 85'!$AQ$6&amp;'Reg 85'!BC$10&amp;'Reg 85'!$B313),('DMR 001C TIN &amp; TP'!$E$3:$E$10005&amp;'DMR 001C TIN &amp; TP'!$B$3:$B$10005&amp;'DMR 001C TIN &amp; TP'!$A$3:$A$10005),0),MATCH('Reg 85'!$AG$11,'DMR 001C TIN &amp; TP'!$A$2:$M$2,0))),"")</f>
        <v/>
      </c>
      <c r="BD313" s="6" t="str">
        <f t="array" ref="BD313">_xlfn.IFNA((INDEX('DMR 001C TIN &amp; TP'!$A$3:$M$10005,MATCH(('Reg 85'!$AQ$6&amp;'Reg 85'!BD$10&amp;'Reg 85'!$B313),('DMR 001C TIN &amp; TP'!$E$3:$E$10005&amp;'DMR 001C TIN &amp; TP'!$B$3:$B$10005&amp;'DMR 001C TIN &amp; TP'!$A$3:$A$10005),0),MATCH('Reg 85'!$AG$11,'DMR 001C TIN &amp; TP'!$A$2:$M$2,0))),"")</f>
        <v/>
      </c>
      <c r="BE313" s="6" t="str">
        <f t="array" ref="BE313">_xlfn.IFNA((INDEX('DMR 001C TIN &amp; TP'!$A$3:$M$10005,MATCH(('Reg 85'!$AQ$6&amp;'Reg 85'!BE$10&amp;'Reg 85'!$B313),('DMR 001C TIN &amp; TP'!$E$3:$E$10005&amp;'DMR 001C TIN &amp; TP'!$B$3:$B$10005&amp;'DMR 001C TIN &amp; TP'!$A$3:$A$10005),0),MATCH('Reg 85'!$AG$11,'DMR 001C TIN &amp; TP'!$A$2:$M$2,0))),"")</f>
        <v/>
      </c>
      <c r="BF313" s="6" t="str">
        <f t="array" ref="BF313">_xlfn.IFNA((INDEX('DMR 001C TIN &amp; TP'!$A$3:$M$10005,MATCH(('Reg 85'!$AQ$6&amp;'Reg 85'!BF$10&amp;'Reg 85'!$B313),('DMR 001C TIN &amp; TP'!$E$3:$E$10005&amp;'DMR 001C TIN &amp; TP'!$B$3:$B$10005&amp;'DMR 001C TIN &amp; TP'!$A$3:$A$10005),0),MATCH('Reg 85'!$AG$11,'DMR 001C TIN &amp; TP'!$A$2:$M$2,0))),"")</f>
        <v/>
      </c>
    </row>
    <row r="314" spans="1:58">
      <c r="A314" s="3" t="str">
        <f t="shared" si="105"/>
        <v>Sun</v>
      </c>
      <c r="B314" s="96">
        <f t="shared" si="121"/>
        <v>43646</v>
      </c>
      <c r="C314" s="96">
        <f t="shared" si="106"/>
        <v>43646</v>
      </c>
      <c r="D314" s="96">
        <f t="shared" si="107"/>
        <v>43617</v>
      </c>
      <c r="E314" s="95">
        <f t="shared" si="108"/>
        <v>30</v>
      </c>
      <c r="F314" s="7">
        <f t="array" ref="F314">_xlfn.IFNA(INDEX('DMR Flows-Effluent'!$A$3:$F$9999,MATCH(($F$10&amp;$B314),('DMR Flows-Effluent'!$B$3:$B$9999&amp;'DMR Flows-Effluent'!$A$3:$A$9999),0),MATCH($F$8,'DMR Flows-Effluent'!$A$2:$F$2,0)),"")</f>
        <v>70.637200000000007</v>
      </c>
      <c r="G314" s="7">
        <f t="array" ref="G314">_xlfn.IFNA(INDEX('DMR Flows-Effluent'!$A$3:$F$9999,MATCH(($G$10&amp;$B314),('DMR Flows-Effluent'!$B$3:$B$9999&amp;'DMR Flows-Effluent'!$A$3:$A$9999),0),MATCH($F$8,'DMR Flows-Effluent'!$A$2:$F$2,0)),"")</f>
        <v>56.923000000000002</v>
      </c>
      <c r="H314" s="7">
        <f t="shared" si="109"/>
        <v>127.56020000000001</v>
      </c>
      <c r="I314" s="45" t="str">
        <f t="shared" si="110"/>
        <v/>
      </c>
      <c r="J314" s="6" t="str">
        <f t="array" ref="J314">_xlfn.IFNA((INDEX('DMR 001C TIN &amp; TP'!$A$3:$M$10005,MATCH(('Reg 85'!$I$6:$Q$6&amp;'Reg 85'!$I$10:$K$10&amp;'Reg 85'!$B314),('DMR 001C TIN &amp; TP'!$E$3:$E$10005&amp;'DMR 001C TIN &amp; TP'!$B$3:$B$10005&amp;'DMR 001C TIN &amp; TP'!$A$3:$A$10005),0),MATCH('Reg 85'!$J$11,'DMR 001C TIN &amp; TP'!$A$2:$M$2,0))),"")</f>
        <v/>
      </c>
      <c r="K314" s="6" t="str">
        <f t="array" ref="K314">_xlfn.IFNA((INDEX('DMR 001C TIN &amp; TP'!$A$3:$M$10005,MATCH(('Reg 85'!$I$6:$Q$6&amp;'Reg 85'!$I$10:$K$10&amp;'Reg 85'!$B314),('DMR 001C TIN &amp; TP'!$E$3:$E$10005&amp;'DMR 001C TIN &amp; TP'!$B$3:$B$10005&amp;'DMR 001C TIN &amp; TP'!$A$3:$A$10005),0),MATCH('Reg 85'!$K$11,'DMR 001C TIN &amp; TP'!$A$2:$M$2,0))),"")</f>
        <v/>
      </c>
      <c r="L314" s="53" t="str">
        <f t="shared" si="122"/>
        <v/>
      </c>
      <c r="M314" s="5" t="str">
        <f t="shared" si="111"/>
        <v/>
      </c>
      <c r="N314" s="6" t="str">
        <f t="array" ref="N314">_xlfn.IFNA((INDEX('DMR 001C TIN &amp; TP'!$A$3:$M$10005,MATCH(('Reg 85'!$I$6:$Q$6&amp;'Reg 85'!$M$10&amp;'Reg 85'!$B314),('DMR 001C TIN &amp; TP'!$E$3:$E$10005&amp;'DMR 001C TIN &amp; TP'!$B$3:$B$10005&amp;'DMR 001C TIN &amp; TP'!$A$3:$A$10005),0),MATCH('Reg 85'!$N$11,'DMR 001C TIN &amp; TP'!$A$2:$M$2,0))),"")</f>
        <v/>
      </c>
      <c r="O314" s="6" t="str">
        <f t="array" ref="O314">_xlfn.IFNA((INDEX('DMR 001C TIN &amp; TP'!$A$3:$M$10005,MATCH(('Reg 85'!$I$6:$Q$6&amp;'Reg 85'!$M$10&amp;'Reg 85'!$B314),('DMR 001C TIN &amp; TP'!$E$3:$E$10005&amp;'DMR 001C TIN &amp; TP'!$B$3:$B$10005&amp;'DMR 001C TIN &amp; TP'!$A$3:$A$10005),0),MATCH('Reg 85'!$O$11,'DMR 001C TIN &amp; TP'!$A$2:$M$2,0))),"")</f>
        <v/>
      </c>
      <c r="P314" s="53" t="str">
        <f t="shared" si="112"/>
        <v/>
      </c>
      <c r="Q314" s="73" t="str">
        <f t="array" ref="Q314">IFERROR(((L314*$F314)+(P314*$G314))/($H314),"")</f>
        <v/>
      </c>
      <c r="R314" s="6" t="str">
        <f t="array" ref="R314">_xlfn.IFNA((INDEX('DMR 001C TIN &amp; TP'!$A$3:$M$10005,MATCH(('Reg 85'!$I$6:$Q$6&amp;'Reg 85'!R$10&amp;'Reg 85'!$B314),('DMR 001C TIN &amp; TP'!$E$3:$E$10005&amp;'DMR 001C TIN &amp; TP'!$B$3:$B$10005&amp;'DMR 001C TIN &amp; TP'!$A$3:$A$10005),0),MATCH('Reg 85'!$O$11,'DMR 001C TIN &amp; TP'!$A$2:$M$2,0))),"")</f>
        <v/>
      </c>
      <c r="S314" s="6" t="str">
        <f t="array" ref="S314">_xlfn.IFNA((INDEX('DMR 001C TIN &amp; TP'!$A$3:$M$10005,MATCH(('Reg 85'!$I$6:$Q$6&amp;'Reg 85'!S$10&amp;'Reg 85'!$B314),('DMR 001C TIN &amp; TP'!$E$3:$E$10005&amp;'DMR 001C TIN &amp; TP'!$B$3:$B$10005&amp;'DMR 001C TIN &amp; TP'!$A$3:$A$10005),0),MATCH('Reg 85'!$O$11,'DMR 001C TIN &amp; TP'!$A$2:$M$2,0))),"")</f>
        <v/>
      </c>
      <c r="T314" s="6" t="str">
        <f t="array" ref="T314">_xlfn.IFNA((INDEX('DMR 001C TIN &amp; TP'!$A$3:$M$10005,MATCH(('Reg 85'!$I$6:$Q$6&amp;'Reg 85'!T$10&amp;'Reg 85'!$B314),('DMR 001C TIN &amp; TP'!$E$3:$E$10005&amp;'DMR 001C TIN &amp; TP'!$B$3:$B$10005&amp;'DMR 001C TIN &amp; TP'!$A$3:$A$10005),0),MATCH('Reg 85'!$O$11,'DMR 001C TIN &amp; TP'!$A$2:$M$2,0))),"")</f>
        <v/>
      </c>
      <c r="U314" s="6" t="str">
        <f t="array" ref="U314">_xlfn.IFNA((INDEX('DMR 001C TIN &amp; TP'!$A$3:$M$10005,MATCH(('Reg 85'!$I$6:$Q$6&amp;'Reg 85'!U$10&amp;'Reg 85'!$B314),('DMR 001C TIN &amp; TP'!$E$3:$E$10005&amp;'DMR 001C TIN &amp; TP'!$B$3:$B$10005&amp;'DMR 001C TIN &amp; TP'!$A$3:$A$10005),0),MATCH('Reg 85'!$O$11,'DMR 001C TIN &amp; TP'!$A$2:$M$2,0))),"")</f>
        <v/>
      </c>
      <c r="V314" s="6" t="str">
        <f t="array" ref="V314">_xlfn.IFNA((INDEX('DMR 001C TIN &amp; TP'!$A$3:$M$10005,MATCH(('Reg 85'!$I$6:$Q$6&amp;'Reg 85'!V$10&amp;'Reg 85'!$B314),('DMR 001C TIN &amp; TP'!$E$3:$E$10005&amp;'DMR 001C TIN &amp; TP'!$B$3:$B$10005&amp;'DMR 001C TIN &amp; TP'!$A$3:$A$10005),0),MATCH('Reg 85'!$O$11,'DMR 001C TIN &amp; TP'!$A$2:$M$2,0))),"")</f>
        <v/>
      </c>
      <c r="W314" s="6" t="str">
        <f t="array" ref="W314">_xlfn.IFNA((INDEX('DMR 001C TIN &amp; TP'!$A$3:$M$10005,MATCH(('Reg 85'!$I$6:$Q$6&amp;'Reg 85'!W$10&amp;'Reg 85'!$B314),('DMR 001C TIN &amp; TP'!$E$3:$E$10005&amp;'DMR 001C TIN &amp; TP'!$B$3:$B$10005&amp;'DMR 001C TIN &amp; TP'!$A$3:$A$10005),0),MATCH('Reg 85'!$O$11,'DMR 001C TIN &amp; TP'!$A$2:$M$2,0))),"")</f>
        <v/>
      </c>
      <c r="X314" s="5" t="str">
        <f t="shared" si="113"/>
        <v/>
      </c>
      <c r="Y314" s="6" t="str">
        <f t="array" ref="Y314">_xlfn.IFNA((INDEX('DMR 001C TIN &amp; TP'!$A$3:$M$10005,MATCH(('Reg 85'!$X$6&amp;'Reg 85'!$X$10&amp;'Reg 85'!$B314),('DMR 001C TIN &amp; TP'!$E$3:$E$10005&amp;'DMR 001C TIN &amp; TP'!$B$3:$B$10005&amp;'DMR 001C TIN &amp; TP'!$A$3:$A$10005),0),MATCH('Reg 85'!$Y$11,'DMR 001C TIN &amp; TP'!$A$2:$M$2,0))),"")</f>
        <v/>
      </c>
      <c r="Z314" s="6" t="str">
        <f t="array" ref="Z314">_xlfn.IFNA((INDEX('DMR 001C TIN &amp; TP'!$A$3:$M$10005,MATCH(('Reg 85'!$X$6&amp;'Reg 85'!$X$10&amp;'Reg 85'!$B314),('DMR 001C TIN &amp; TP'!$E$3:$E$10005&amp;'DMR 001C TIN &amp; TP'!$B$3:$B$10005&amp;'DMR 001C TIN &amp; TP'!$A$3:$A$10005),0),MATCH('Reg 85'!$Z$11,'DMR 001C TIN &amp; TP'!$A$2:$M$2,0))),"")</f>
        <v/>
      </c>
      <c r="AA314" s="53" t="str">
        <f t="shared" si="114"/>
        <v/>
      </c>
      <c r="AB314" s="5" t="str">
        <f t="shared" si="115"/>
        <v/>
      </c>
      <c r="AC314" s="6" t="str">
        <f t="array" ref="AC314">_xlfn.IFNA((INDEX('DMR 001C TIN &amp; TP'!$A$3:$M$10005,MATCH(('Reg 85'!$X$6&amp;'Reg 85'!$AB$10&amp;'Reg 85'!$B314),('DMR 001C TIN &amp; TP'!$E$3:$E$10005&amp;'DMR 001C TIN &amp; TP'!$B$3:$B$10005&amp;'DMR 001C TIN &amp; TP'!$A$3:$A$10005),0),MATCH('Reg 85'!$AC$11,'DMR 001C TIN &amp; TP'!$A$2:$M$2,0))),"")</f>
        <v/>
      </c>
      <c r="AD314" s="6" t="str">
        <f t="array" ref="AD314">_xlfn.IFNA((INDEX('DMR 001C TIN &amp; TP'!$A$3:$M$10005,MATCH(('Reg 85'!$X$6&amp;'Reg 85'!$AB$10&amp;'Reg 85'!$B314),('DMR 001C TIN &amp; TP'!$E$3:$E$10005&amp;'DMR 001C TIN &amp; TP'!$B$3:$B$10005&amp;'DMR 001C TIN &amp; TP'!$A$3:$A$10005),0),MATCH('Reg 85'!$AD$11,'DMR 001C TIN &amp; TP'!$A$2:$M$2,0))),"")</f>
        <v/>
      </c>
      <c r="AE314" s="53" t="str">
        <f t="shared" si="116"/>
        <v/>
      </c>
      <c r="AF314" s="7" t="str">
        <f t="shared" si="117"/>
        <v/>
      </c>
      <c r="AG314" s="6" t="str">
        <f t="array" ref="AG314">_xlfn.IFNA((INDEX('DMR 001C TIN &amp; TP'!$A$3:$M$10005,MATCH(('Reg 85'!$X$6&amp;'Reg 85'!AG$10&amp;'Reg 85'!$B314),('DMR 001C TIN &amp; TP'!$E$3:$E$10005&amp;'DMR 001C TIN &amp; TP'!$B$3:$B$10005&amp;'DMR 001C TIN &amp; TP'!$A$3:$A$10005),0),MATCH('Reg 85'!$AG$11,'DMR 001C TIN &amp; TP'!$A$2:$M$2,0))),"")</f>
        <v/>
      </c>
      <c r="AH314" s="6" t="str">
        <f t="array" ref="AH314">_xlfn.IFNA((INDEX('DMR 001C TIN &amp; TP'!$A$3:$M$10005,MATCH(('Reg 85'!$X$6&amp;'Reg 85'!AH$10&amp;'Reg 85'!$B314),('DMR 001C TIN &amp; TP'!$E$3:$E$10005&amp;'DMR 001C TIN &amp; TP'!$B$3:$B$10005&amp;'DMR 001C TIN &amp; TP'!$A$3:$A$10005),0),MATCH('Reg 85'!$AG$11,'DMR 001C TIN &amp; TP'!$A$2:$M$2,0))),"")</f>
        <v/>
      </c>
      <c r="AI314" s="6" t="str">
        <f t="array" ref="AI314">_xlfn.IFNA((INDEX('DMR 001C TIN &amp; TP'!$A$3:$M$10005,MATCH(('Reg 85'!$X$6&amp;'Reg 85'!AI$10&amp;'Reg 85'!$B314),('DMR 001C TIN &amp; TP'!$E$3:$E$10005&amp;'DMR 001C TIN &amp; TP'!$B$3:$B$10005&amp;'DMR 001C TIN &amp; TP'!$A$3:$A$10005),0),MATCH('Reg 85'!$AG$11,'DMR 001C TIN &amp; TP'!$A$2:$M$2,0))),"")</f>
        <v/>
      </c>
      <c r="AJ314" s="6" t="str">
        <f t="array" ref="AJ314">_xlfn.IFNA((INDEX('DMR 001C TIN &amp; TP'!$A$3:$M$10005,MATCH(('Reg 85'!$X$6&amp;'Reg 85'!AJ$10&amp;'Reg 85'!$B314),('DMR 001C TIN &amp; TP'!$E$3:$E$10005&amp;'DMR 001C TIN &amp; TP'!$B$3:$B$10005&amp;'DMR 001C TIN &amp; TP'!$A$3:$A$10005),0),MATCH('Reg 85'!$AG$11,'DMR 001C TIN &amp; TP'!$A$2:$M$2,0))),"")</f>
        <v/>
      </c>
      <c r="AK314" s="6" t="str">
        <f t="array" ref="AK314">_xlfn.IFNA((INDEX('DMR 001C TIN &amp; TP'!$A$3:$M$10005,MATCH(('Reg 85'!$X$6&amp;'Reg 85'!AK$10&amp;'Reg 85'!$B314),('DMR 001C TIN &amp; TP'!$E$3:$E$10005&amp;'DMR 001C TIN &amp; TP'!$B$3:$B$10005&amp;'DMR 001C TIN &amp; TP'!$A$3:$A$10005),0),MATCH('Reg 85'!$AG$11,'DMR 001C TIN &amp; TP'!$A$2:$M$2,0))),"")</f>
        <v/>
      </c>
      <c r="AL314" s="6" t="str">
        <f t="array" ref="AL314">_xlfn.IFNA((INDEX('DMR 001C TIN &amp; TP'!$A$3:$M$10005,MATCH(('Reg 85'!$X$6&amp;'Reg 85'!AL$10&amp;'Reg 85'!$B314),('DMR 001C TIN &amp; TP'!$E$3:$E$10005&amp;'DMR 001C TIN &amp; TP'!$B$3:$B$10005&amp;'DMR 001C TIN &amp; TP'!$A$3:$A$10005),0),MATCH('Reg 85'!$AG$11,'DMR 001C TIN &amp; TP'!$A$2:$M$2,0))),"")</f>
        <v/>
      </c>
      <c r="AM314" s="76"/>
      <c r="AN314" s="6"/>
      <c r="AO314" s="54" t="str">
        <f t="shared" si="104"/>
        <v/>
      </c>
      <c r="AP314" s="77">
        <f>COUNT(AO285:AO314)</f>
        <v>13</v>
      </c>
      <c r="AQ314" s="47"/>
      <c r="AR314" s="6" t="str">
        <f t="array" ref="AR314">_xlfn.IFNA((INDEX('DMR 001C TIN &amp; TP'!$A$3:$M$10005,MATCH(('Reg 85'!$AQ$6&amp;'Reg 85'!$AQ$10&amp;'Reg 85'!$B314),('DMR 001C TIN &amp; TP'!$E$3:$E$10005&amp;'DMR 001C TIN &amp; TP'!$B$3:$B$10005&amp;'DMR 001C TIN &amp; TP'!$A$3:$A$10005),0),MATCH('Reg 85'!$AR$11,'DMR 001C TIN &amp; TP'!$A$2:$M$2,0))),"")</f>
        <v>0.03</v>
      </c>
      <c r="AS314" s="6">
        <f t="array" ref="AS314">_xlfn.IFNA((INDEX('DMR 001C TIN &amp; TP'!$A$3:$M$10005,MATCH(('Reg 85'!$AQ$6&amp;'Reg 85'!$AQ$10&amp;'Reg 85'!$B314),('DMR 001C TIN &amp; TP'!$E$3:$E$10005&amp;'DMR 001C TIN &amp; TP'!$B$3:$B$10005&amp;'DMR 001C TIN &amp; TP'!$A$3:$A$10005),0),MATCH('Reg 85'!$AS$11,'DMR 001C TIN &amp; TP'!$A$2:$M$2,0))),"")</f>
        <v>0.34</v>
      </c>
      <c r="AT314" s="53">
        <f t="shared" si="118"/>
        <v>0.34</v>
      </c>
      <c r="AV314" s="6" t="str">
        <f t="array" ref="AV314">_xlfn.IFNA((INDEX('DMR 001C TIN &amp; TP'!$A$3:$M$10005,MATCH(('Reg 85'!$AQ$6&amp;'Reg 85'!$AU$10&amp;'Reg 85'!$B314),('DMR 001C TIN &amp; TP'!$E$3:$E$10005&amp;'DMR 001C TIN &amp; TP'!$B$3:$B$10005&amp;'DMR 001C TIN &amp; TP'!$A$3:$A$10005),0),MATCH('Reg 85'!$AV$11,'DMR 001C TIN &amp; TP'!$A$2:$M$2,0))),"")</f>
        <v>0.06</v>
      </c>
      <c r="AW314" s="6">
        <f t="array" ref="AW314">_xlfn.IFNA((INDEX('DMR 001C TIN &amp; TP'!$A$3:$M$10005,MATCH(('Reg 85'!$AQ$6&amp;'Reg 85'!$AU$10&amp;'Reg 85'!$B314),('DMR 001C TIN &amp; TP'!$E$3:$E$10005&amp;'DMR 001C TIN &amp; TP'!$B$3:$B$10005&amp;'DMR 001C TIN &amp; TP'!$A$3:$A$10005),0),MATCH('Reg 85'!$AW$11,'DMR 001C TIN &amp; TP'!$A$2:$M$2,0))),"")</f>
        <v>4.71</v>
      </c>
      <c r="AX314" s="53">
        <f t="shared" si="119"/>
        <v>4.71</v>
      </c>
      <c r="AY314" s="55">
        <f t="shared" si="120"/>
        <v>2.2900871745262235</v>
      </c>
      <c r="AZ314" s="77">
        <f>COUNT(AY285:AY314)</f>
        <v>9</v>
      </c>
      <c r="BA314" s="6" t="str">
        <f t="array" ref="BA314">_xlfn.IFNA((INDEX('DMR 001C TIN &amp; TP'!$A$3:$M$10005,MATCH(('Reg 85'!$AQ$6&amp;'Reg 85'!BA$10&amp;'Reg 85'!$B314),('DMR 001C TIN &amp; TP'!$E$3:$E$10005&amp;'DMR 001C TIN &amp; TP'!$B$3:$B$10005&amp;'DMR 001C TIN &amp; TP'!$A$3:$A$10005),0),MATCH('Reg 85'!$AG$11,'DMR 001C TIN &amp; TP'!$A$2:$M$2,0))),"")</f>
        <v/>
      </c>
      <c r="BB314" s="6" t="str">
        <f t="array" ref="BB314">_xlfn.IFNA((INDEX('DMR 001C TIN &amp; TP'!$A$3:$M$10005,MATCH(('Reg 85'!$AQ$6&amp;'Reg 85'!BB$10&amp;'Reg 85'!$B314),('DMR 001C TIN &amp; TP'!$E$3:$E$10005&amp;'DMR 001C TIN &amp; TP'!$B$3:$B$10005&amp;'DMR 001C TIN &amp; TP'!$A$3:$A$10005),0),MATCH('Reg 85'!$AG$11,'DMR 001C TIN &amp; TP'!$A$2:$M$2,0))),"")</f>
        <v/>
      </c>
      <c r="BC314" s="6" t="str">
        <f t="array" ref="BC314">_xlfn.IFNA((INDEX('DMR 001C TIN &amp; TP'!$A$3:$M$10005,MATCH(('Reg 85'!$AQ$6&amp;'Reg 85'!BC$10&amp;'Reg 85'!$B314),('DMR 001C TIN &amp; TP'!$E$3:$E$10005&amp;'DMR 001C TIN &amp; TP'!$B$3:$B$10005&amp;'DMR 001C TIN &amp; TP'!$A$3:$A$10005),0),MATCH('Reg 85'!$AG$11,'DMR 001C TIN &amp; TP'!$A$2:$M$2,0))),"")</f>
        <v/>
      </c>
      <c r="BD314" s="6" t="str">
        <f t="array" ref="BD314">_xlfn.IFNA((INDEX('DMR 001C TIN &amp; TP'!$A$3:$M$10005,MATCH(('Reg 85'!$AQ$6&amp;'Reg 85'!BD$10&amp;'Reg 85'!$B314),('DMR 001C TIN &amp; TP'!$E$3:$E$10005&amp;'DMR 001C TIN &amp; TP'!$B$3:$B$10005&amp;'DMR 001C TIN &amp; TP'!$A$3:$A$10005),0),MATCH('Reg 85'!$AG$11,'DMR 001C TIN &amp; TP'!$A$2:$M$2,0))),"")</f>
        <v/>
      </c>
      <c r="BE314" s="6" t="str">
        <f t="array" ref="BE314">_xlfn.IFNA((INDEX('DMR 001C TIN &amp; TP'!$A$3:$M$10005,MATCH(('Reg 85'!$AQ$6&amp;'Reg 85'!BE$10&amp;'Reg 85'!$B314),('DMR 001C TIN &amp; TP'!$E$3:$E$10005&amp;'DMR 001C TIN &amp; TP'!$B$3:$B$10005&amp;'DMR 001C TIN &amp; TP'!$A$3:$A$10005),0),MATCH('Reg 85'!$AG$11,'DMR 001C TIN &amp; TP'!$A$2:$M$2,0))),"")</f>
        <v/>
      </c>
      <c r="BF314" s="6" t="str">
        <f t="array" ref="BF314">_xlfn.IFNA((INDEX('DMR 001C TIN &amp; TP'!$A$3:$M$10005,MATCH(('Reg 85'!$AQ$6&amp;'Reg 85'!BF$10&amp;'Reg 85'!$B314),('DMR 001C TIN &amp; TP'!$E$3:$E$10005&amp;'DMR 001C TIN &amp; TP'!$B$3:$B$10005&amp;'DMR 001C TIN &amp; TP'!$A$3:$A$10005),0),MATCH('Reg 85'!$AG$11,'DMR 001C TIN &amp; TP'!$A$2:$M$2,0))),"")</f>
        <v/>
      </c>
    </row>
    <row r="315" spans="1:58">
      <c r="A315" s="3" t="str">
        <f t="shared" si="105"/>
        <v>Mon</v>
      </c>
      <c r="B315" s="96">
        <f t="shared" si="121"/>
        <v>43647</v>
      </c>
      <c r="C315" s="96">
        <f t="shared" si="106"/>
        <v>43677</v>
      </c>
      <c r="D315" s="96">
        <f t="shared" si="107"/>
        <v>43647</v>
      </c>
      <c r="E315" s="95">
        <f t="shared" si="108"/>
        <v>31</v>
      </c>
      <c r="F315" s="7">
        <f t="array" ref="F315">_xlfn.IFNA(INDEX('DMR Flows-Effluent'!$A$3:$F$9999,MATCH(($F$10&amp;$B315),('DMR Flows-Effluent'!$B$3:$B$9999&amp;'DMR Flows-Effluent'!$A$3:$A$9999),0),MATCH($F$8,'DMR Flows-Effluent'!$A$2:$F$2,0)),"")</f>
        <v>73.764300000000006</v>
      </c>
      <c r="G315" s="7">
        <f t="array" ref="G315">_xlfn.IFNA(INDEX('DMR Flows-Effluent'!$A$3:$F$9999,MATCH(($G$10&amp;$B315),('DMR Flows-Effluent'!$B$3:$B$9999&amp;'DMR Flows-Effluent'!$A$3:$A$9999),0),MATCH($F$8,'DMR Flows-Effluent'!$A$2:$F$2,0)),"")</f>
        <v>56.344200000000001</v>
      </c>
      <c r="H315" s="7">
        <f t="shared" si="109"/>
        <v>130.10849999999999</v>
      </c>
      <c r="I315" s="45" t="str">
        <f t="shared" si="110"/>
        <v/>
      </c>
      <c r="J315" s="6" t="str">
        <f t="array" ref="J315">_xlfn.IFNA((INDEX('DMR 001C TIN &amp; TP'!$A$3:$M$10005,MATCH(('Reg 85'!$I$6:$Q$6&amp;'Reg 85'!$I$10:$K$10&amp;'Reg 85'!$B315),('DMR 001C TIN &amp; TP'!$E$3:$E$10005&amp;'DMR 001C TIN &amp; TP'!$B$3:$B$10005&amp;'DMR 001C TIN &amp; TP'!$A$3:$A$10005),0),MATCH('Reg 85'!$J$11,'DMR 001C TIN &amp; TP'!$A$2:$M$2,0))),"")</f>
        <v>0.15</v>
      </c>
      <c r="K315" s="6">
        <f t="array" ref="K315">_xlfn.IFNA((INDEX('DMR 001C TIN &amp; TP'!$A$3:$M$10005,MATCH(('Reg 85'!$I$6:$Q$6&amp;'Reg 85'!$I$10:$K$10&amp;'Reg 85'!$B315),('DMR 001C TIN &amp; TP'!$E$3:$E$10005&amp;'DMR 001C TIN &amp; TP'!$B$3:$B$10005&amp;'DMR 001C TIN &amp; TP'!$A$3:$A$10005),0),MATCH('Reg 85'!$K$11,'DMR 001C TIN &amp; TP'!$A$2:$M$2,0))),"")</f>
        <v>1.36</v>
      </c>
      <c r="L315" s="53">
        <f t="shared" si="122"/>
        <v>1.36</v>
      </c>
      <c r="M315" s="5" t="str">
        <f t="shared" si="111"/>
        <v/>
      </c>
      <c r="N315" s="6" t="str">
        <f t="array" ref="N315">_xlfn.IFNA((INDEX('DMR 001C TIN &amp; TP'!$A$3:$M$10005,MATCH(('Reg 85'!$I$6:$Q$6&amp;'Reg 85'!$M$10&amp;'Reg 85'!$B315),('DMR 001C TIN &amp; TP'!$E$3:$E$10005&amp;'DMR 001C TIN &amp; TP'!$B$3:$B$10005&amp;'DMR 001C TIN &amp; TP'!$A$3:$A$10005),0),MATCH('Reg 85'!$N$11,'DMR 001C TIN &amp; TP'!$A$2:$M$2,0))),"")</f>
        <v>0.15</v>
      </c>
      <c r="O315" s="6">
        <f t="array" ref="O315">_xlfn.IFNA((INDEX('DMR 001C TIN &amp; TP'!$A$3:$M$10005,MATCH(('Reg 85'!$I$6:$Q$6&amp;'Reg 85'!$M$10&amp;'Reg 85'!$B315),('DMR 001C TIN &amp; TP'!$E$3:$E$10005&amp;'DMR 001C TIN &amp; TP'!$B$3:$B$10005&amp;'DMR 001C TIN &amp; TP'!$A$3:$A$10005),0),MATCH('Reg 85'!$O$11,'DMR 001C TIN &amp; TP'!$A$2:$M$2,0))),"")</f>
        <v>2.64</v>
      </c>
      <c r="P315" s="53">
        <f t="shared" si="112"/>
        <v>2.64</v>
      </c>
      <c r="Q315" s="73">
        <f t="array" ref="Q315">IFERROR(((L315*$F315)+(P315*$G315))/($H315),"")</f>
        <v>1.9143110250291107</v>
      </c>
      <c r="R315" s="6" t="str">
        <f t="array" ref="R315">_xlfn.IFNA((INDEX('DMR 001C TIN &amp; TP'!$A$3:$M$10005,MATCH(('Reg 85'!$I$6:$Q$6&amp;'Reg 85'!R$10&amp;'Reg 85'!$B315),('DMR 001C TIN &amp; TP'!$E$3:$E$10005&amp;'DMR 001C TIN &amp; TP'!$B$3:$B$10005&amp;'DMR 001C TIN &amp; TP'!$A$3:$A$10005),0),MATCH('Reg 85'!$O$11,'DMR 001C TIN &amp; TP'!$A$2:$M$2,0))),"")</f>
        <v/>
      </c>
      <c r="S315" s="6" t="str">
        <f t="array" ref="S315">_xlfn.IFNA((INDEX('DMR 001C TIN &amp; TP'!$A$3:$M$10005,MATCH(('Reg 85'!$I$6:$Q$6&amp;'Reg 85'!S$10&amp;'Reg 85'!$B315),('DMR 001C TIN &amp; TP'!$E$3:$E$10005&amp;'DMR 001C TIN &amp; TP'!$B$3:$B$10005&amp;'DMR 001C TIN &amp; TP'!$A$3:$A$10005),0),MATCH('Reg 85'!$O$11,'DMR 001C TIN &amp; TP'!$A$2:$M$2,0))),"")</f>
        <v/>
      </c>
      <c r="T315" s="6" t="str">
        <f t="array" ref="T315">_xlfn.IFNA((INDEX('DMR 001C TIN &amp; TP'!$A$3:$M$10005,MATCH(('Reg 85'!$I$6:$Q$6&amp;'Reg 85'!T$10&amp;'Reg 85'!$B315),('DMR 001C TIN &amp; TP'!$E$3:$E$10005&amp;'DMR 001C TIN &amp; TP'!$B$3:$B$10005&amp;'DMR 001C TIN &amp; TP'!$A$3:$A$10005),0),MATCH('Reg 85'!$O$11,'DMR 001C TIN &amp; TP'!$A$2:$M$2,0))),"")</f>
        <v/>
      </c>
      <c r="U315" s="6" t="str">
        <f t="array" ref="U315">_xlfn.IFNA((INDEX('DMR 001C TIN &amp; TP'!$A$3:$M$10005,MATCH(('Reg 85'!$I$6:$Q$6&amp;'Reg 85'!U$10&amp;'Reg 85'!$B315),('DMR 001C TIN &amp; TP'!$E$3:$E$10005&amp;'DMR 001C TIN &amp; TP'!$B$3:$B$10005&amp;'DMR 001C TIN &amp; TP'!$A$3:$A$10005),0),MATCH('Reg 85'!$O$11,'DMR 001C TIN &amp; TP'!$A$2:$M$2,0))),"")</f>
        <v/>
      </c>
      <c r="V315" s="6" t="str">
        <f t="array" ref="V315">_xlfn.IFNA((INDEX('DMR 001C TIN &amp; TP'!$A$3:$M$10005,MATCH(('Reg 85'!$I$6:$Q$6&amp;'Reg 85'!V$10&amp;'Reg 85'!$B315),('DMR 001C TIN &amp; TP'!$E$3:$E$10005&amp;'DMR 001C TIN &amp; TP'!$B$3:$B$10005&amp;'DMR 001C TIN &amp; TP'!$A$3:$A$10005),0),MATCH('Reg 85'!$O$11,'DMR 001C TIN &amp; TP'!$A$2:$M$2,0))),"")</f>
        <v/>
      </c>
      <c r="W315" s="6" t="str">
        <f t="array" ref="W315">_xlfn.IFNA((INDEX('DMR 001C TIN &amp; TP'!$A$3:$M$10005,MATCH(('Reg 85'!$I$6:$Q$6&amp;'Reg 85'!W$10&amp;'Reg 85'!$B315),('DMR 001C TIN &amp; TP'!$E$3:$E$10005&amp;'DMR 001C TIN &amp; TP'!$B$3:$B$10005&amp;'DMR 001C TIN &amp; TP'!$A$3:$A$10005),0),MATCH('Reg 85'!$O$11,'DMR 001C TIN &amp; TP'!$A$2:$M$2,0))),"")</f>
        <v/>
      </c>
      <c r="X315" s="5" t="str">
        <f t="shared" si="113"/>
        <v/>
      </c>
      <c r="Y315" s="6" t="str">
        <f t="array" ref="Y315">_xlfn.IFNA((INDEX('DMR 001C TIN &amp; TP'!$A$3:$M$10005,MATCH(('Reg 85'!$X$6&amp;'Reg 85'!$X$10&amp;'Reg 85'!$B315),('DMR 001C TIN &amp; TP'!$E$3:$E$10005&amp;'DMR 001C TIN &amp; TP'!$B$3:$B$10005&amp;'DMR 001C TIN &amp; TP'!$A$3:$A$10005),0),MATCH('Reg 85'!$Y$11,'DMR 001C TIN &amp; TP'!$A$2:$M$2,0))),"")</f>
        <v>0.06</v>
      </c>
      <c r="Z315" s="6">
        <f t="array" ref="Z315">_xlfn.IFNA((INDEX('DMR 001C TIN &amp; TP'!$A$3:$M$10005,MATCH(('Reg 85'!$X$6&amp;'Reg 85'!$X$10&amp;'Reg 85'!$B315),('DMR 001C TIN &amp; TP'!$E$3:$E$10005&amp;'DMR 001C TIN &amp; TP'!$B$3:$B$10005&amp;'DMR 001C TIN &amp; TP'!$A$3:$A$10005),0),MATCH('Reg 85'!$Z$11,'DMR 001C TIN &amp; TP'!$A$2:$M$2,0))),"")</f>
        <v>4.6900000000000004</v>
      </c>
      <c r="AA315" s="53">
        <f t="shared" si="114"/>
        <v>4.6900000000000004</v>
      </c>
      <c r="AB315" s="5" t="str">
        <f t="shared" si="115"/>
        <v/>
      </c>
      <c r="AC315" s="6" t="str">
        <f t="array" ref="AC315">_xlfn.IFNA((INDEX('DMR 001C TIN &amp; TP'!$A$3:$M$10005,MATCH(('Reg 85'!$X$6&amp;'Reg 85'!$AB$10&amp;'Reg 85'!$B315),('DMR 001C TIN &amp; TP'!$E$3:$E$10005&amp;'DMR 001C TIN &amp; TP'!$B$3:$B$10005&amp;'DMR 001C TIN &amp; TP'!$A$3:$A$10005),0),MATCH('Reg 85'!$AC$11,'DMR 001C TIN &amp; TP'!$A$2:$M$2,0))),"")</f>
        <v>0.06</v>
      </c>
      <c r="AD315" s="6">
        <f t="array" ref="AD315">_xlfn.IFNA((INDEX('DMR 001C TIN &amp; TP'!$A$3:$M$10005,MATCH(('Reg 85'!$X$6&amp;'Reg 85'!$AB$10&amp;'Reg 85'!$B315),('DMR 001C TIN &amp; TP'!$E$3:$E$10005&amp;'DMR 001C TIN &amp; TP'!$B$3:$B$10005&amp;'DMR 001C TIN &amp; TP'!$A$3:$A$10005),0),MATCH('Reg 85'!$AD$11,'DMR 001C TIN &amp; TP'!$A$2:$M$2,0))),"")</f>
        <v>5.86</v>
      </c>
      <c r="AE315" s="53">
        <f t="shared" si="116"/>
        <v>5.86</v>
      </c>
      <c r="AF315" s="7">
        <f t="shared" si="117"/>
        <v>5.1966749213156724</v>
      </c>
      <c r="AG315" s="6" t="str">
        <f t="array" ref="AG315">_xlfn.IFNA((INDEX('DMR 001C TIN &amp; TP'!$A$3:$M$10005,MATCH(('Reg 85'!$X$6&amp;'Reg 85'!AG$10&amp;'Reg 85'!$B315),('DMR 001C TIN &amp; TP'!$E$3:$E$10005&amp;'DMR 001C TIN &amp; TP'!$B$3:$B$10005&amp;'DMR 001C TIN &amp; TP'!$A$3:$A$10005),0),MATCH('Reg 85'!$AG$11,'DMR 001C TIN &amp; TP'!$A$2:$M$2,0))),"")</f>
        <v/>
      </c>
      <c r="AH315" s="6" t="str">
        <f t="array" ref="AH315">_xlfn.IFNA((INDEX('DMR 001C TIN &amp; TP'!$A$3:$M$10005,MATCH(('Reg 85'!$X$6&amp;'Reg 85'!AH$10&amp;'Reg 85'!$B315),('DMR 001C TIN &amp; TP'!$E$3:$E$10005&amp;'DMR 001C TIN &amp; TP'!$B$3:$B$10005&amp;'DMR 001C TIN &amp; TP'!$A$3:$A$10005),0),MATCH('Reg 85'!$AG$11,'DMR 001C TIN &amp; TP'!$A$2:$M$2,0))),"")</f>
        <v/>
      </c>
      <c r="AI315" s="6" t="str">
        <f t="array" ref="AI315">_xlfn.IFNA((INDEX('DMR 001C TIN &amp; TP'!$A$3:$M$10005,MATCH(('Reg 85'!$X$6&amp;'Reg 85'!AI$10&amp;'Reg 85'!$B315),('DMR 001C TIN &amp; TP'!$E$3:$E$10005&amp;'DMR 001C TIN &amp; TP'!$B$3:$B$10005&amp;'DMR 001C TIN &amp; TP'!$A$3:$A$10005),0),MATCH('Reg 85'!$AG$11,'DMR 001C TIN &amp; TP'!$A$2:$M$2,0))),"")</f>
        <v/>
      </c>
      <c r="AJ315" s="6" t="str">
        <f t="array" ref="AJ315">_xlfn.IFNA((INDEX('DMR 001C TIN &amp; TP'!$A$3:$M$10005,MATCH(('Reg 85'!$X$6&amp;'Reg 85'!AJ$10&amp;'Reg 85'!$B315),('DMR 001C TIN &amp; TP'!$E$3:$E$10005&amp;'DMR 001C TIN &amp; TP'!$B$3:$B$10005&amp;'DMR 001C TIN &amp; TP'!$A$3:$A$10005),0),MATCH('Reg 85'!$AG$11,'DMR 001C TIN &amp; TP'!$A$2:$M$2,0))),"")</f>
        <v/>
      </c>
      <c r="AK315" s="6" t="str">
        <f t="array" ref="AK315">_xlfn.IFNA((INDEX('DMR 001C TIN &amp; TP'!$A$3:$M$10005,MATCH(('Reg 85'!$X$6&amp;'Reg 85'!AK$10&amp;'Reg 85'!$B315),('DMR 001C TIN &amp; TP'!$E$3:$E$10005&amp;'DMR 001C TIN &amp; TP'!$B$3:$B$10005&amp;'DMR 001C TIN &amp; TP'!$A$3:$A$10005),0),MATCH('Reg 85'!$AG$11,'DMR 001C TIN &amp; TP'!$A$2:$M$2,0))),"")</f>
        <v/>
      </c>
      <c r="AL315" s="6" t="str">
        <f t="array" ref="AL315">_xlfn.IFNA((INDEX('DMR 001C TIN &amp; TP'!$A$3:$M$10005,MATCH(('Reg 85'!$X$6&amp;'Reg 85'!AL$10&amp;'Reg 85'!$B315),('DMR 001C TIN &amp; TP'!$E$3:$E$10005&amp;'DMR 001C TIN &amp; TP'!$B$3:$B$10005&amp;'DMR 001C TIN &amp; TP'!$A$3:$A$10005),0),MATCH('Reg 85'!$AG$11,'DMR 001C TIN &amp; TP'!$A$2:$M$2,0))),"")</f>
        <v/>
      </c>
      <c r="AM315" s="76"/>
      <c r="AN315" s="6"/>
      <c r="AO315" s="54">
        <f t="shared" si="104"/>
        <v>7.1109859463447833</v>
      </c>
      <c r="AP315" s="77" t="str">
        <f t="shared" si="123"/>
        <v/>
      </c>
      <c r="AQ315" s="47"/>
      <c r="AR315" s="6" t="str">
        <f t="array" ref="AR315">_xlfn.IFNA((INDEX('DMR 001C TIN &amp; TP'!$A$3:$M$10005,MATCH(('Reg 85'!$AQ$6&amp;'Reg 85'!$AQ$10&amp;'Reg 85'!$B315),('DMR 001C TIN &amp; TP'!$E$3:$E$10005&amp;'DMR 001C TIN &amp; TP'!$B$3:$B$10005&amp;'DMR 001C TIN &amp; TP'!$A$3:$A$10005),0),MATCH('Reg 85'!$AR$11,'DMR 001C TIN &amp; TP'!$A$2:$M$2,0))),"")</f>
        <v/>
      </c>
      <c r="AS315" s="6" t="str">
        <f t="array" ref="AS315">_xlfn.IFNA((INDEX('DMR 001C TIN &amp; TP'!$A$3:$M$10005,MATCH(('Reg 85'!$AQ$6&amp;'Reg 85'!$AQ$10&amp;'Reg 85'!$B315),('DMR 001C TIN &amp; TP'!$E$3:$E$10005&amp;'DMR 001C TIN &amp; TP'!$B$3:$B$10005&amp;'DMR 001C TIN &amp; TP'!$A$3:$A$10005),0),MATCH('Reg 85'!$AS$11,'DMR 001C TIN &amp; TP'!$A$2:$M$2,0))),"")</f>
        <v/>
      </c>
      <c r="AT315" s="53" t="str">
        <f t="shared" si="118"/>
        <v/>
      </c>
      <c r="AV315" s="6" t="str">
        <f t="array" ref="AV315">_xlfn.IFNA((INDEX('DMR 001C TIN &amp; TP'!$A$3:$M$10005,MATCH(('Reg 85'!$AQ$6&amp;'Reg 85'!$AU$10&amp;'Reg 85'!$B315),('DMR 001C TIN &amp; TP'!$E$3:$E$10005&amp;'DMR 001C TIN &amp; TP'!$B$3:$B$10005&amp;'DMR 001C TIN &amp; TP'!$A$3:$A$10005),0),MATCH('Reg 85'!$AV$11,'DMR 001C TIN &amp; TP'!$A$2:$M$2,0))),"")</f>
        <v/>
      </c>
      <c r="AW315" s="6" t="str">
        <f t="array" ref="AW315">_xlfn.IFNA((INDEX('DMR 001C TIN &amp; TP'!$A$3:$M$10005,MATCH(('Reg 85'!$AQ$6&amp;'Reg 85'!$AU$10&amp;'Reg 85'!$B315),('DMR 001C TIN &amp; TP'!$E$3:$E$10005&amp;'DMR 001C TIN &amp; TP'!$B$3:$B$10005&amp;'DMR 001C TIN &amp; TP'!$A$3:$A$10005),0),MATCH('Reg 85'!$AW$11,'DMR 001C TIN &amp; TP'!$A$2:$M$2,0))),"")</f>
        <v/>
      </c>
      <c r="AX315" s="53" t="str">
        <f t="shared" si="119"/>
        <v/>
      </c>
      <c r="AY315" s="55" t="str">
        <f t="shared" si="120"/>
        <v/>
      </c>
      <c r="AZ315" s="77" t="str">
        <f t="shared" si="124"/>
        <v/>
      </c>
      <c r="BA315" s="6" t="str">
        <f t="array" ref="BA315">_xlfn.IFNA((INDEX('DMR 001C TIN &amp; TP'!$A$3:$M$10005,MATCH(('Reg 85'!$AQ$6&amp;'Reg 85'!BA$10&amp;'Reg 85'!$B315),('DMR 001C TIN &amp; TP'!$E$3:$E$10005&amp;'DMR 001C TIN &amp; TP'!$B$3:$B$10005&amp;'DMR 001C TIN &amp; TP'!$A$3:$A$10005),0),MATCH('Reg 85'!$AG$11,'DMR 001C TIN &amp; TP'!$A$2:$M$2,0))),"")</f>
        <v/>
      </c>
      <c r="BB315" s="6" t="str">
        <f t="array" ref="BB315">_xlfn.IFNA((INDEX('DMR 001C TIN &amp; TP'!$A$3:$M$10005,MATCH(('Reg 85'!$AQ$6&amp;'Reg 85'!BB$10&amp;'Reg 85'!$B315),('DMR 001C TIN &amp; TP'!$E$3:$E$10005&amp;'DMR 001C TIN &amp; TP'!$B$3:$B$10005&amp;'DMR 001C TIN &amp; TP'!$A$3:$A$10005),0),MATCH('Reg 85'!$AG$11,'DMR 001C TIN &amp; TP'!$A$2:$M$2,0))),"")</f>
        <v/>
      </c>
      <c r="BC315" s="6" t="str">
        <f t="array" ref="BC315">_xlfn.IFNA((INDEX('DMR 001C TIN &amp; TP'!$A$3:$M$10005,MATCH(('Reg 85'!$AQ$6&amp;'Reg 85'!BC$10&amp;'Reg 85'!$B315),('DMR 001C TIN &amp; TP'!$E$3:$E$10005&amp;'DMR 001C TIN &amp; TP'!$B$3:$B$10005&amp;'DMR 001C TIN &amp; TP'!$A$3:$A$10005),0),MATCH('Reg 85'!$AG$11,'DMR 001C TIN &amp; TP'!$A$2:$M$2,0))),"")</f>
        <v/>
      </c>
      <c r="BD315" s="6" t="str">
        <f t="array" ref="BD315">_xlfn.IFNA((INDEX('DMR 001C TIN &amp; TP'!$A$3:$M$10005,MATCH(('Reg 85'!$AQ$6&amp;'Reg 85'!BD$10&amp;'Reg 85'!$B315),('DMR 001C TIN &amp; TP'!$E$3:$E$10005&amp;'DMR 001C TIN &amp; TP'!$B$3:$B$10005&amp;'DMR 001C TIN &amp; TP'!$A$3:$A$10005),0),MATCH('Reg 85'!$AG$11,'DMR 001C TIN &amp; TP'!$A$2:$M$2,0))),"")</f>
        <v/>
      </c>
      <c r="BE315" s="6" t="str">
        <f t="array" ref="BE315">_xlfn.IFNA((INDEX('DMR 001C TIN &amp; TP'!$A$3:$M$10005,MATCH(('Reg 85'!$AQ$6&amp;'Reg 85'!BE$10&amp;'Reg 85'!$B315),('DMR 001C TIN &amp; TP'!$E$3:$E$10005&amp;'DMR 001C TIN &amp; TP'!$B$3:$B$10005&amp;'DMR 001C TIN &amp; TP'!$A$3:$A$10005),0),MATCH('Reg 85'!$AG$11,'DMR 001C TIN &amp; TP'!$A$2:$M$2,0))),"")</f>
        <v/>
      </c>
      <c r="BF315" s="6" t="str">
        <f t="array" ref="BF315">_xlfn.IFNA((INDEX('DMR 001C TIN &amp; TP'!$A$3:$M$10005,MATCH(('Reg 85'!$AQ$6&amp;'Reg 85'!BF$10&amp;'Reg 85'!$B315),('DMR 001C TIN &amp; TP'!$E$3:$E$10005&amp;'DMR 001C TIN &amp; TP'!$B$3:$B$10005&amp;'DMR 001C TIN &amp; TP'!$A$3:$A$10005),0),MATCH('Reg 85'!$AG$11,'DMR 001C TIN &amp; TP'!$A$2:$M$2,0))),"")</f>
        <v/>
      </c>
    </row>
    <row r="316" spans="1:58">
      <c r="A316" s="3" t="str">
        <f t="shared" si="105"/>
        <v>Tue</v>
      </c>
      <c r="B316" s="96">
        <f t="shared" si="121"/>
        <v>43648</v>
      </c>
      <c r="C316" s="96">
        <f t="shared" si="106"/>
        <v>43677</v>
      </c>
      <c r="D316" s="96">
        <f t="shared" si="107"/>
        <v>43647</v>
      </c>
      <c r="E316" s="95">
        <f t="shared" si="108"/>
        <v>31</v>
      </c>
      <c r="F316" s="7">
        <f t="array" ref="F316">_xlfn.IFNA(INDEX('DMR Flows-Effluent'!$A$3:$F$9999,MATCH(($F$10&amp;$B316),('DMR Flows-Effluent'!$B$3:$B$9999&amp;'DMR Flows-Effluent'!$A$3:$A$9999),0),MATCH($F$8,'DMR Flows-Effluent'!$A$2:$F$2,0)),"")</f>
        <v>71.333100000000002</v>
      </c>
      <c r="G316" s="7">
        <f t="array" ref="G316">_xlfn.IFNA(INDEX('DMR Flows-Effluent'!$A$3:$F$9999,MATCH(($G$10&amp;$B316),('DMR Flows-Effluent'!$B$3:$B$9999&amp;'DMR Flows-Effluent'!$A$3:$A$9999),0),MATCH($F$8,'DMR Flows-Effluent'!$A$2:$F$2,0)),"")</f>
        <v>61.8202</v>
      </c>
      <c r="H316" s="7">
        <f t="shared" si="109"/>
        <v>133.1533</v>
      </c>
      <c r="I316" s="45" t="str">
        <f t="shared" si="110"/>
        <v/>
      </c>
      <c r="J316" s="6" t="str">
        <f t="array" ref="J316">_xlfn.IFNA((INDEX('DMR 001C TIN &amp; TP'!$A$3:$M$10005,MATCH(('Reg 85'!$I$6:$Q$6&amp;'Reg 85'!$I$10:$K$10&amp;'Reg 85'!$B316),('DMR 001C TIN &amp; TP'!$E$3:$E$10005&amp;'DMR 001C TIN &amp; TP'!$B$3:$B$10005&amp;'DMR 001C TIN &amp; TP'!$A$3:$A$10005),0),MATCH('Reg 85'!$J$11,'DMR 001C TIN &amp; TP'!$A$2:$M$2,0))),"")</f>
        <v/>
      </c>
      <c r="K316" s="6" t="str">
        <f t="array" ref="K316">_xlfn.IFNA((INDEX('DMR 001C TIN &amp; TP'!$A$3:$M$10005,MATCH(('Reg 85'!$I$6:$Q$6&amp;'Reg 85'!$I$10:$K$10&amp;'Reg 85'!$B316),('DMR 001C TIN &amp; TP'!$E$3:$E$10005&amp;'DMR 001C TIN &amp; TP'!$B$3:$B$10005&amp;'DMR 001C TIN &amp; TP'!$A$3:$A$10005),0),MATCH('Reg 85'!$K$11,'DMR 001C TIN &amp; TP'!$A$2:$M$2,0))),"")</f>
        <v/>
      </c>
      <c r="L316" s="53" t="str">
        <f t="shared" si="122"/>
        <v/>
      </c>
      <c r="M316" s="5" t="str">
        <f t="shared" si="111"/>
        <v/>
      </c>
      <c r="N316" s="6" t="str">
        <f t="array" ref="N316">_xlfn.IFNA((INDEX('DMR 001C TIN &amp; TP'!$A$3:$M$10005,MATCH(('Reg 85'!$I$6:$Q$6&amp;'Reg 85'!$M$10&amp;'Reg 85'!$B316),('DMR 001C TIN &amp; TP'!$E$3:$E$10005&amp;'DMR 001C TIN &amp; TP'!$B$3:$B$10005&amp;'DMR 001C TIN &amp; TP'!$A$3:$A$10005),0),MATCH('Reg 85'!$N$11,'DMR 001C TIN &amp; TP'!$A$2:$M$2,0))),"")</f>
        <v/>
      </c>
      <c r="O316" s="6" t="str">
        <f t="array" ref="O316">_xlfn.IFNA((INDEX('DMR 001C TIN &amp; TP'!$A$3:$M$10005,MATCH(('Reg 85'!$I$6:$Q$6&amp;'Reg 85'!$M$10&amp;'Reg 85'!$B316),('DMR 001C TIN &amp; TP'!$E$3:$E$10005&amp;'DMR 001C TIN &amp; TP'!$B$3:$B$10005&amp;'DMR 001C TIN &amp; TP'!$A$3:$A$10005),0),MATCH('Reg 85'!$O$11,'DMR 001C TIN &amp; TP'!$A$2:$M$2,0))),"")</f>
        <v/>
      </c>
      <c r="P316" s="53" t="str">
        <f t="shared" si="112"/>
        <v/>
      </c>
      <c r="Q316" s="73" t="str">
        <f t="array" ref="Q316">IFERROR(((L316*$F316)+(P316*$G316))/($H316),"")</f>
        <v/>
      </c>
      <c r="R316" s="6" t="str">
        <f t="array" ref="R316">_xlfn.IFNA((INDEX('DMR 001C TIN &amp; TP'!$A$3:$M$10005,MATCH(('Reg 85'!$I$6:$Q$6&amp;'Reg 85'!R$10&amp;'Reg 85'!$B316),('DMR 001C TIN &amp; TP'!$E$3:$E$10005&amp;'DMR 001C TIN &amp; TP'!$B$3:$B$10005&amp;'DMR 001C TIN &amp; TP'!$A$3:$A$10005),0),MATCH('Reg 85'!$O$11,'DMR 001C TIN &amp; TP'!$A$2:$M$2,0))),"")</f>
        <v/>
      </c>
      <c r="S316" s="6" t="str">
        <f t="array" ref="S316">_xlfn.IFNA((INDEX('DMR 001C TIN &amp; TP'!$A$3:$M$10005,MATCH(('Reg 85'!$I$6:$Q$6&amp;'Reg 85'!S$10&amp;'Reg 85'!$B316),('DMR 001C TIN &amp; TP'!$E$3:$E$10005&amp;'DMR 001C TIN &amp; TP'!$B$3:$B$10005&amp;'DMR 001C TIN &amp; TP'!$A$3:$A$10005),0),MATCH('Reg 85'!$O$11,'DMR 001C TIN &amp; TP'!$A$2:$M$2,0))),"")</f>
        <v/>
      </c>
      <c r="T316" s="6" t="str">
        <f t="array" ref="T316">_xlfn.IFNA((INDEX('DMR 001C TIN &amp; TP'!$A$3:$M$10005,MATCH(('Reg 85'!$I$6:$Q$6&amp;'Reg 85'!T$10&amp;'Reg 85'!$B316),('DMR 001C TIN &amp; TP'!$E$3:$E$10005&amp;'DMR 001C TIN &amp; TP'!$B$3:$B$10005&amp;'DMR 001C TIN &amp; TP'!$A$3:$A$10005),0),MATCH('Reg 85'!$O$11,'DMR 001C TIN &amp; TP'!$A$2:$M$2,0))),"")</f>
        <v/>
      </c>
      <c r="U316" s="6" t="str">
        <f t="array" ref="U316">_xlfn.IFNA((INDEX('DMR 001C TIN &amp; TP'!$A$3:$M$10005,MATCH(('Reg 85'!$I$6:$Q$6&amp;'Reg 85'!U$10&amp;'Reg 85'!$B316),('DMR 001C TIN &amp; TP'!$E$3:$E$10005&amp;'DMR 001C TIN &amp; TP'!$B$3:$B$10005&amp;'DMR 001C TIN &amp; TP'!$A$3:$A$10005),0),MATCH('Reg 85'!$O$11,'DMR 001C TIN &amp; TP'!$A$2:$M$2,0))),"")</f>
        <v/>
      </c>
      <c r="V316" s="6" t="str">
        <f t="array" ref="V316">_xlfn.IFNA((INDEX('DMR 001C TIN &amp; TP'!$A$3:$M$10005,MATCH(('Reg 85'!$I$6:$Q$6&amp;'Reg 85'!V$10&amp;'Reg 85'!$B316),('DMR 001C TIN &amp; TP'!$E$3:$E$10005&amp;'DMR 001C TIN &amp; TP'!$B$3:$B$10005&amp;'DMR 001C TIN &amp; TP'!$A$3:$A$10005),0),MATCH('Reg 85'!$O$11,'DMR 001C TIN &amp; TP'!$A$2:$M$2,0))),"")</f>
        <v/>
      </c>
      <c r="W316" s="6" t="str">
        <f t="array" ref="W316">_xlfn.IFNA((INDEX('DMR 001C TIN &amp; TP'!$A$3:$M$10005,MATCH(('Reg 85'!$I$6:$Q$6&amp;'Reg 85'!W$10&amp;'Reg 85'!$B316),('DMR 001C TIN &amp; TP'!$E$3:$E$10005&amp;'DMR 001C TIN &amp; TP'!$B$3:$B$10005&amp;'DMR 001C TIN &amp; TP'!$A$3:$A$10005),0),MATCH('Reg 85'!$O$11,'DMR 001C TIN &amp; TP'!$A$2:$M$2,0))),"")</f>
        <v/>
      </c>
      <c r="X316" s="5" t="str">
        <f t="shared" si="113"/>
        <v/>
      </c>
      <c r="Y316" s="6" t="str">
        <f t="array" ref="Y316">_xlfn.IFNA((INDEX('DMR 001C TIN &amp; TP'!$A$3:$M$10005,MATCH(('Reg 85'!$X$6&amp;'Reg 85'!$X$10&amp;'Reg 85'!$B316),('DMR 001C TIN &amp; TP'!$E$3:$E$10005&amp;'DMR 001C TIN &amp; TP'!$B$3:$B$10005&amp;'DMR 001C TIN &amp; TP'!$A$3:$A$10005),0),MATCH('Reg 85'!$Y$11,'DMR 001C TIN &amp; TP'!$A$2:$M$2,0))),"")</f>
        <v/>
      </c>
      <c r="Z316" s="6" t="str">
        <f t="array" ref="Z316">_xlfn.IFNA((INDEX('DMR 001C TIN &amp; TP'!$A$3:$M$10005,MATCH(('Reg 85'!$X$6&amp;'Reg 85'!$X$10&amp;'Reg 85'!$B316),('DMR 001C TIN &amp; TP'!$E$3:$E$10005&amp;'DMR 001C TIN &amp; TP'!$B$3:$B$10005&amp;'DMR 001C TIN &amp; TP'!$A$3:$A$10005),0),MATCH('Reg 85'!$Z$11,'DMR 001C TIN &amp; TP'!$A$2:$M$2,0))),"")</f>
        <v/>
      </c>
      <c r="AA316" s="53" t="str">
        <f t="shared" si="114"/>
        <v/>
      </c>
      <c r="AB316" s="5" t="str">
        <f t="shared" si="115"/>
        <v/>
      </c>
      <c r="AC316" s="6" t="str">
        <f t="array" ref="AC316">_xlfn.IFNA((INDEX('DMR 001C TIN &amp; TP'!$A$3:$M$10005,MATCH(('Reg 85'!$X$6&amp;'Reg 85'!$AB$10&amp;'Reg 85'!$B316),('DMR 001C TIN &amp; TP'!$E$3:$E$10005&amp;'DMR 001C TIN &amp; TP'!$B$3:$B$10005&amp;'DMR 001C TIN &amp; TP'!$A$3:$A$10005),0),MATCH('Reg 85'!$AC$11,'DMR 001C TIN &amp; TP'!$A$2:$M$2,0))),"")</f>
        <v/>
      </c>
      <c r="AD316" s="6" t="str">
        <f t="array" ref="AD316">_xlfn.IFNA((INDEX('DMR 001C TIN &amp; TP'!$A$3:$M$10005,MATCH(('Reg 85'!$X$6&amp;'Reg 85'!$AB$10&amp;'Reg 85'!$B316),('DMR 001C TIN &amp; TP'!$E$3:$E$10005&amp;'DMR 001C TIN &amp; TP'!$B$3:$B$10005&amp;'DMR 001C TIN &amp; TP'!$A$3:$A$10005),0),MATCH('Reg 85'!$AD$11,'DMR 001C TIN &amp; TP'!$A$2:$M$2,0))),"")</f>
        <v/>
      </c>
      <c r="AE316" s="53" t="str">
        <f t="shared" si="116"/>
        <v/>
      </c>
      <c r="AF316" s="7" t="str">
        <f t="shared" si="117"/>
        <v/>
      </c>
      <c r="AG316" s="6" t="str">
        <f t="array" ref="AG316">_xlfn.IFNA((INDEX('DMR 001C TIN &amp; TP'!$A$3:$M$10005,MATCH(('Reg 85'!$X$6&amp;'Reg 85'!AG$10&amp;'Reg 85'!$B316),('DMR 001C TIN &amp; TP'!$E$3:$E$10005&amp;'DMR 001C TIN &amp; TP'!$B$3:$B$10005&amp;'DMR 001C TIN &amp; TP'!$A$3:$A$10005),0),MATCH('Reg 85'!$AG$11,'DMR 001C TIN &amp; TP'!$A$2:$M$2,0))),"")</f>
        <v/>
      </c>
      <c r="AH316" s="6" t="str">
        <f t="array" ref="AH316">_xlfn.IFNA((INDEX('DMR 001C TIN &amp; TP'!$A$3:$M$10005,MATCH(('Reg 85'!$X$6&amp;'Reg 85'!AH$10&amp;'Reg 85'!$B316),('DMR 001C TIN &amp; TP'!$E$3:$E$10005&amp;'DMR 001C TIN &amp; TP'!$B$3:$B$10005&amp;'DMR 001C TIN &amp; TP'!$A$3:$A$10005),0),MATCH('Reg 85'!$AG$11,'DMR 001C TIN &amp; TP'!$A$2:$M$2,0))),"")</f>
        <v/>
      </c>
      <c r="AI316" s="6" t="str">
        <f t="array" ref="AI316">_xlfn.IFNA((INDEX('DMR 001C TIN &amp; TP'!$A$3:$M$10005,MATCH(('Reg 85'!$X$6&amp;'Reg 85'!AI$10&amp;'Reg 85'!$B316),('DMR 001C TIN &amp; TP'!$E$3:$E$10005&amp;'DMR 001C TIN &amp; TP'!$B$3:$B$10005&amp;'DMR 001C TIN &amp; TP'!$A$3:$A$10005),0),MATCH('Reg 85'!$AG$11,'DMR 001C TIN &amp; TP'!$A$2:$M$2,0))),"")</f>
        <v/>
      </c>
      <c r="AJ316" s="6" t="str">
        <f t="array" ref="AJ316">_xlfn.IFNA((INDEX('DMR 001C TIN &amp; TP'!$A$3:$M$10005,MATCH(('Reg 85'!$X$6&amp;'Reg 85'!AJ$10&amp;'Reg 85'!$B316),('DMR 001C TIN &amp; TP'!$E$3:$E$10005&amp;'DMR 001C TIN &amp; TP'!$B$3:$B$10005&amp;'DMR 001C TIN &amp; TP'!$A$3:$A$10005),0),MATCH('Reg 85'!$AG$11,'DMR 001C TIN &amp; TP'!$A$2:$M$2,0))),"")</f>
        <v/>
      </c>
      <c r="AK316" s="6" t="str">
        <f t="array" ref="AK316">_xlfn.IFNA((INDEX('DMR 001C TIN &amp; TP'!$A$3:$M$10005,MATCH(('Reg 85'!$X$6&amp;'Reg 85'!AK$10&amp;'Reg 85'!$B316),('DMR 001C TIN &amp; TP'!$E$3:$E$10005&amp;'DMR 001C TIN &amp; TP'!$B$3:$B$10005&amp;'DMR 001C TIN &amp; TP'!$A$3:$A$10005),0),MATCH('Reg 85'!$AG$11,'DMR 001C TIN &amp; TP'!$A$2:$M$2,0))),"")</f>
        <v/>
      </c>
      <c r="AL316" s="6" t="str">
        <f t="array" ref="AL316">_xlfn.IFNA((INDEX('DMR 001C TIN &amp; TP'!$A$3:$M$10005,MATCH(('Reg 85'!$X$6&amp;'Reg 85'!AL$10&amp;'Reg 85'!$B316),('DMR 001C TIN &amp; TP'!$E$3:$E$10005&amp;'DMR 001C TIN &amp; TP'!$B$3:$B$10005&amp;'DMR 001C TIN &amp; TP'!$A$3:$A$10005),0),MATCH('Reg 85'!$AG$11,'DMR 001C TIN &amp; TP'!$A$2:$M$2,0))),"")</f>
        <v/>
      </c>
      <c r="AM316" s="76"/>
      <c r="AN316" s="6"/>
      <c r="AO316" s="54" t="str">
        <f t="shared" si="104"/>
        <v/>
      </c>
      <c r="AP316" s="77" t="str">
        <f t="shared" si="123"/>
        <v/>
      </c>
      <c r="AQ316" s="47"/>
      <c r="AR316" s="6" t="str">
        <f t="array" ref="AR316">_xlfn.IFNA((INDEX('DMR 001C TIN &amp; TP'!$A$3:$M$10005,MATCH(('Reg 85'!$AQ$6&amp;'Reg 85'!$AQ$10&amp;'Reg 85'!$B316),('DMR 001C TIN &amp; TP'!$E$3:$E$10005&amp;'DMR 001C TIN &amp; TP'!$B$3:$B$10005&amp;'DMR 001C TIN &amp; TP'!$A$3:$A$10005),0),MATCH('Reg 85'!$AR$11,'DMR 001C TIN &amp; TP'!$A$2:$M$2,0))),"")</f>
        <v/>
      </c>
      <c r="AS316" s="6" t="str">
        <f t="array" ref="AS316">_xlfn.IFNA((INDEX('DMR 001C TIN &amp; TP'!$A$3:$M$10005,MATCH(('Reg 85'!$AQ$6&amp;'Reg 85'!$AQ$10&amp;'Reg 85'!$B316),('DMR 001C TIN &amp; TP'!$E$3:$E$10005&amp;'DMR 001C TIN &amp; TP'!$B$3:$B$10005&amp;'DMR 001C TIN &amp; TP'!$A$3:$A$10005),0),MATCH('Reg 85'!$AS$11,'DMR 001C TIN &amp; TP'!$A$2:$M$2,0))),"")</f>
        <v/>
      </c>
      <c r="AT316" s="53" t="str">
        <f t="shared" si="118"/>
        <v/>
      </c>
      <c r="AV316" s="6" t="str">
        <f t="array" ref="AV316">_xlfn.IFNA((INDEX('DMR 001C TIN &amp; TP'!$A$3:$M$10005,MATCH(('Reg 85'!$AQ$6&amp;'Reg 85'!$AU$10&amp;'Reg 85'!$B316),('DMR 001C TIN &amp; TP'!$E$3:$E$10005&amp;'DMR 001C TIN &amp; TP'!$B$3:$B$10005&amp;'DMR 001C TIN &amp; TP'!$A$3:$A$10005),0),MATCH('Reg 85'!$AV$11,'DMR 001C TIN &amp; TP'!$A$2:$M$2,0))),"")</f>
        <v/>
      </c>
      <c r="AW316" s="6" t="str">
        <f t="array" ref="AW316">_xlfn.IFNA((INDEX('DMR 001C TIN &amp; TP'!$A$3:$M$10005,MATCH(('Reg 85'!$AQ$6&amp;'Reg 85'!$AU$10&amp;'Reg 85'!$B316),('DMR 001C TIN &amp; TP'!$E$3:$E$10005&amp;'DMR 001C TIN &amp; TP'!$B$3:$B$10005&amp;'DMR 001C TIN &amp; TP'!$A$3:$A$10005),0),MATCH('Reg 85'!$AW$11,'DMR 001C TIN &amp; TP'!$A$2:$M$2,0))),"")</f>
        <v/>
      </c>
      <c r="AX316" s="53" t="str">
        <f t="shared" si="119"/>
        <v/>
      </c>
      <c r="AY316" s="55" t="str">
        <f t="shared" si="120"/>
        <v/>
      </c>
      <c r="AZ316" s="77" t="str">
        <f t="shared" si="124"/>
        <v/>
      </c>
      <c r="BA316" s="6" t="str">
        <f t="array" ref="BA316">_xlfn.IFNA((INDEX('DMR 001C TIN &amp; TP'!$A$3:$M$10005,MATCH(('Reg 85'!$AQ$6&amp;'Reg 85'!BA$10&amp;'Reg 85'!$B316),('DMR 001C TIN &amp; TP'!$E$3:$E$10005&amp;'DMR 001C TIN &amp; TP'!$B$3:$B$10005&amp;'DMR 001C TIN &amp; TP'!$A$3:$A$10005),0),MATCH('Reg 85'!$AG$11,'DMR 001C TIN &amp; TP'!$A$2:$M$2,0))),"")</f>
        <v/>
      </c>
      <c r="BB316" s="6" t="str">
        <f t="array" ref="BB316">_xlfn.IFNA((INDEX('DMR 001C TIN &amp; TP'!$A$3:$M$10005,MATCH(('Reg 85'!$AQ$6&amp;'Reg 85'!BB$10&amp;'Reg 85'!$B316),('DMR 001C TIN &amp; TP'!$E$3:$E$10005&amp;'DMR 001C TIN &amp; TP'!$B$3:$B$10005&amp;'DMR 001C TIN &amp; TP'!$A$3:$A$10005),0),MATCH('Reg 85'!$AG$11,'DMR 001C TIN &amp; TP'!$A$2:$M$2,0))),"")</f>
        <v/>
      </c>
      <c r="BC316" s="6" t="str">
        <f t="array" ref="BC316">_xlfn.IFNA((INDEX('DMR 001C TIN &amp; TP'!$A$3:$M$10005,MATCH(('Reg 85'!$AQ$6&amp;'Reg 85'!BC$10&amp;'Reg 85'!$B316),('DMR 001C TIN &amp; TP'!$E$3:$E$10005&amp;'DMR 001C TIN &amp; TP'!$B$3:$B$10005&amp;'DMR 001C TIN &amp; TP'!$A$3:$A$10005),0),MATCH('Reg 85'!$AG$11,'DMR 001C TIN &amp; TP'!$A$2:$M$2,0))),"")</f>
        <v/>
      </c>
      <c r="BD316" s="6" t="str">
        <f t="array" ref="BD316">_xlfn.IFNA((INDEX('DMR 001C TIN &amp; TP'!$A$3:$M$10005,MATCH(('Reg 85'!$AQ$6&amp;'Reg 85'!BD$10&amp;'Reg 85'!$B316),('DMR 001C TIN &amp; TP'!$E$3:$E$10005&amp;'DMR 001C TIN &amp; TP'!$B$3:$B$10005&amp;'DMR 001C TIN &amp; TP'!$A$3:$A$10005),0),MATCH('Reg 85'!$AG$11,'DMR 001C TIN &amp; TP'!$A$2:$M$2,0))),"")</f>
        <v/>
      </c>
      <c r="BE316" s="6" t="str">
        <f t="array" ref="BE316">_xlfn.IFNA((INDEX('DMR 001C TIN &amp; TP'!$A$3:$M$10005,MATCH(('Reg 85'!$AQ$6&amp;'Reg 85'!BE$10&amp;'Reg 85'!$B316),('DMR 001C TIN &amp; TP'!$E$3:$E$10005&amp;'DMR 001C TIN &amp; TP'!$B$3:$B$10005&amp;'DMR 001C TIN &amp; TP'!$A$3:$A$10005),0),MATCH('Reg 85'!$AG$11,'DMR 001C TIN &amp; TP'!$A$2:$M$2,0))),"")</f>
        <v/>
      </c>
      <c r="BF316" s="6" t="str">
        <f t="array" ref="BF316">_xlfn.IFNA((INDEX('DMR 001C TIN &amp; TP'!$A$3:$M$10005,MATCH(('Reg 85'!$AQ$6&amp;'Reg 85'!BF$10&amp;'Reg 85'!$B316),('DMR 001C TIN &amp; TP'!$E$3:$E$10005&amp;'DMR 001C TIN &amp; TP'!$B$3:$B$10005&amp;'DMR 001C TIN &amp; TP'!$A$3:$A$10005),0),MATCH('Reg 85'!$AG$11,'DMR 001C TIN &amp; TP'!$A$2:$M$2,0))),"")</f>
        <v/>
      </c>
    </row>
    <row r="317" spans="1:58">
      <c r="A317" s="3" t="str">
        <f t="shared" si="105"/>
        <v>Wed</v>
      </c>
      <c r="B317" s="96">
        <f t="shared" si="121"/>
        <v>43649</v>
      </c>
      <c r="C317" s="96">
        <f t="shared" si="106"/>
        <v>43677</v>
      </c>
      <c r="D317" s="96">
        <f t="shared" si="107"/>
        <v>43647</v>
      </c>
      <c r="E317" s="95">
        <f t="shared" si="108"/>
        <v>31</v>
      </c>
      <c r="F317" s="7">
        <f t="array" ref="F317">_xlfn.IFNA(INDEX('DMR Flows-Effluent'!$A$3:$F$9999,MATCH(($F$10&amp;$B317),('DMR Flows-Effluent'!$B$3:$B$9999&amp;'DMR Flows-Effluent'!$A$3:$A$9999),0),MATCH($F$8,'DMR Flows-Effluent'!$A$2:$F$2,0)),"")</f>
        <v>70.972200000000001</v>
      </c>
      <c r="G317" s="7">
        <f t="array" ref="G317">_xlfn.IFNA(INDEX('DMR Flows-Effluent'!$A$3:$F$9999,MATCH(($G$10&amp;$B317),('DMR Flows-Effluent'!$B$3:$B$9999&amp;'DMR Flows-Effluent'!$A$3:$A$9999),0),MATCH($F$8,'DMR Flows-Effluent'!$A$2:$F$2,0)),"")</f>
        <v>59.070500000000003</v>
      </c>
      <c r="H317" s="7">
        <f t="shared" si="109"/>
        <v>130.0427</v>
      </c>
      <c r="I317" s="45" t="str">
        <f t="shared" si="110"/>
        <v/>
      </c>
      <c r="J317" s="6" t="str">
        <f t="array" ref="J317">_xlfn.IFNA((INDEX('DMR 001C TIN &amp; TP'!$A$3:$M$10005,MATCH(('Reg 85'!$I$6:$Q$6&amp;'Reg 85'!$I$10:$K$10&amp;'Reg 85'!$B317),('DMR 001C TIN &amp; TP'!$E$3:$E$10005&amp;'DMR 001C TIN &amp; TP'!$B$3:$B$10005&amp;'DMR 001C TIN &amp; TP'!$A$3:$A$10005),0),MATCH('Reg 85'!$J$11,'DMR 001C TIN &amp; TP'!$A$2:$M$2,0))),"")</f>
        <v/>
      </c>
      <c r="K317" s="6" t="str">
        <f t="array" ref="K317">_xlfn.IFNA((INDEX('DMR 001C TIN &amp; TP'!$A$3:$M$10005,MATCH(('Reg 85'!$I$6:$Q$6&amp;'Reg 85'!$I$10:$K$10&amp;'Reg 85'!$B317),('DMR 001C TIN &amp; TP'!$E$3:$E$10005&amp;'DMR 001C TIN &amp; TP'!$B$3:$B$10005&amp;'DMR 001C TIN &amp; TP'!$A$3:$A$10005),0),MATCH('Reg 85'!$K$11,'DMR 001C TIN &amp; TP'!$A$2:$M$2,0))),"")</f>
        <v/>
      </c>
      <c r="L317" s="53" t="str">
        <f t="shared" si="122"/>
        <v/>
      </c>
      <c r="M317" s="5" t="str">
        <f t="shared" si="111"/>
        <v/>
      </c>
      <c r="N317" s="6" t="str">
        <f t="array" ref="N317">_xlfn.IFNA((INDEX('DMR 001C TIN &amp; TP'!$A$3:$M$10005,MATCH(('Reg 85'!$I$6:$Q$6&amp;'Reg 85'!$M$10&amp;'Reg 85'!$B317),('DMR 001C TIN &amp; TP'!$E$3:$E$10005&amp;'DMR 001C TIN &amp; TP'!$B$3:$B$10005&amp;'DMR 001C TIN &amp; TP'!$A$3:$A$10005),0),MATCH('Reg 85'!$N$11,'DMR 001C TIN &amp; TP'!$A$2:$M$2,0))),"")</f>
        <v/>
      </c>
      <c r="O317" s="6" t="str">
        <f t="array" ref="O317">_xlfn.IFNA((INDEX('DMR 001C TIN &amp; TP'!$A$3:$M$10005,MATCH(('Reg 85'!$I$6:$Q$6&amp;'Reg 85'!$M$10&amp;'Reg 85'!$B317),('DMR 001C TIN &amp; TP'!$E$3:$E$10005&amp;'DMR 001C TIN &amp; TP'!$B$3:$B$10005&amp;'DMR 001C TIN &amp; TP'!$A$3:$A$10005),0),MATCH('Reg 85'!$O$11,'DMR 001C TIN &amp; TP'!$A$2:$M$2,0))),"")</f>
        <v/>
      </c>
      <c r="P317" s="53" t="str">
        <f t="shared" si="112"/>
        <v/>
      </c>
      <c r="Q317" s="73" t="str">
        <f t="array" ref="Q317">IFERROR(((L317*$F317)+(P317*$G317))/($H317),"")</f>
        <v/>
      </c>
      <c r="R317" s="6" t="str">
        <f t="array" ref="R317">_xlfn.IFNA((INDEX('DMR 001C TIN &amp; TP'!$A$3:$M$10005,MATCH(('Reg 85'!$I$6:$Q$6&amp;'Reg 85'!R$10&amp;'Reg 85'!$B317),('DMR 001C TIN &amp; TP'!$E$3:$E$10005&amp;'DMR 001C TIN &amp; TP'!$B$3:$B$10005&amp;'DMR 001C TIN &amp; TP'!$A$3:$A$10005),0),MATCH('Reg 85'!$O$11,'DMR 001C TIN &amp; TP'!$A$2:$M$2,0))),"")</f>
        <v/>
      </c>
      <c r="S317" s="6" t="str">
        <f t="array" ref="S317">_xlfn.IFNA((INDEX('DMR 001C TIN &amp; TP'!$A$3:$M$10005,MATCH(('Reg 85'!$I$6:$Q$6&amp;'Reg 85'!S$10&amp;'Reg 85'!$B317),('DMR 001C TIN &amp; TP'!$E$3:$E$10005&amp;'DMR 001C TIN &amp; TP'!$B$3:$B$10005&amp;'DMR 001C TIN &amp; TP'!$A$3:$A$10005),0),MATCH('Reg 85'!$O$11,'DMR 001C TIN &amp; TP'!$A$2:$M$2,0))),"")</f>
        <v/>
      </c>
      <c r="T317" s="6" t="str">
        <f t="array" ref="T317">_xlfn.IFNA((INDEX('DMR 001C TIN &amp; TP'!$A$3:$M$10005,MATCH(('Reg 85'!$I$6:$Q$6&amp;'Reg 85'!T$10&amp;'Reg 85'!$B317),('DMR 001C TIN &amp; TP'!$E$3:$E$10005&amp;'DMR 001C TIN &amp; TP'!$B$3:$B$10005&amp;'DMR 001C TIN &amp; TP'!$A$3:$A$10005),0),MATCH('Reg 85'!$O$11,'DMR 001C TIN &amp; TP'!$A$2:$M$2,0))),"")</f>
        <v/>
      </c>
      <c r="U317" s="6" t="str">
        <f t="array" ref="U317">_xlfn.IFNA((INDEX('DMR 001C TIN &amp; TP'!$A$3:$M$10005,MATCH(('Reg 85'!$I$6:$Q$6&amp;'Reg 85'!U$10&amp;'Reg 85'!$B317),('DMR 001C TIN &amp; TP'!$E$3:$E$10005&amp;'DMR 001C TIN &amp; TP'!$B$3:$B$10005&amp;'DMR 001C TIN &amp; TP'!$A$3:$A$10005),0),MATCH('Reg 85'!$O$11,'DMR 001C TIN &amp; TP'!$A$2:$M$2,0))),"")</f>
        <v/>
      </c>
      <c r="V317" s="6" t="str">
        <f t="array" ref="V317">_xlfn.IFNA((INDEX('DMR 001C TIN &amp; TP'!$A$3:$M$10005,MATCH(('Reg 85'!$I$6:$Q$6&amp;'Reg 85'!V$10&amp;'Reg 85'!$B317),('DMR 001C TIN &amp; TP'!$E$3:$E$10005&amp;'DMR 001C TIN &amp; TP'!$B$3:$B$10005&amp;'DMR 001C TIN &amp; TP'!$A$3:$A$10005),0),MATCH('Reg 85'!$O$11,'DMR 001C TIN &amp; TP'!$A$2:$M$2,0))),"")</f>
        <v/>
      </c>
      <c r="W317" s="6" t="str">
        <f t="array" ref="W317">_xlfn.IFNA((INDEX('DMR 001C TIN &amp; TP'!$A$3:$M$10005,MATCH(('Reg 85'!$I$6:$Q$6&amp;'Reg 85'!W$10&amp;'Reg 85'!$B317),('DMR 001C TIN &amp; TP'!$E$3:$E$10005&amp;'DMR 001C TIN &amp; TP'!$B$3:$B$10005&amp;'DMR 001C TIN &amp; TP'!$A$3:$A$10005),0),MATCH('Reg 85'!$O$11,'DMR 001C TIN &amp; TP'!$A$2:$M$2,0))),"")</f>
        <v/>
      </c>
      <c r="X317" s="5" t="str">
        <f t="shared" si="113"/>
        <v/>
      </c>
      <c r="Y317" s="6" t="str">
        <f t="array" ref="Y317">_xlfn.IFNA((INDEX('DMR 001C TIN &amp; TP'!$A$3:$M$10005,MATCH(('Reg 85'!$X$6&amp;'Reg 85'!$X$10&amp;'Reg 85'!$B317),('DMR 001C TIN &amp; TP'!$E$3:$E$10005&amp;'DMR 001C TIN &amp; TP'!$B$3:$B$10005&amp;'DMR 001C TIN &amp; TP'!$A$3:$A$10005),0),MATCH('Reg 85'!$Y$11,'DMR 001C TIN &amp; TP'!$A$2:$M$2,0))),"")</f>
        <v/>
      </c>
      <c r="Z317" s="6" t="str">
        <f t="array" ref="Z317">_xlfn.IFNA((INDEX('DMR 001C TIN &amp; TP'!$A$3:$M$10005,MATCH(('Reg 85'!$X$6&amp;'Reg 85'!$X$10&amp;'Reg 85'!$B317),('DMR 001C TIN &amp; TP'!$E$3:$E$10005&amp;'DMR 001C TIN &amp; TP'!$B$3:$B$10005&amp;'DMR 001C TIN &amp; TP'!$A$3:$A$10005),0),MATCH('Reg 85'!$Z$11,'DMR 001C TIN &amp; TP'!$A$2:$M$2,0))),"")</f>
        <v/>
      </c>
      <c r="AA317" s="53" t="str">
        <f t="shared" si="114"/>
        <v/>
      </c>
      <c r="AB317" s="5" t="str">
        <f t="shared" si="115"/>
        <v/>
      </c>
      <c r="AC317" s="6" t="str">
        <f t="array" ref="AC317">_xlfn.IFNA((INDEX('DMR 001C TIN &amp; TP'!$A$3:$M$10005,MATCH(('Reg 85'!$X$6&amp;'Reg 85'!$AB$10&amp;'Reg 85'!$B317),('DMR 001C TIN &amp; TP'!$E$3:$E$10005&amp;'DMR 001C TIN &amp; TP'!$B$3:$B$10005&amp;'DMR 001C TIN &amp; TP'!$A$3:$A$10005),0),MATCH('Reg 85'!$AC$11,'DMR 001C TIN &amp; TP'!$A$2:$M$2,0))),"")</f>
        <v/>
      </c>
      <c r="AD317" s="6" t="str">
        <f t="array" ref="AD317">_xlfn.IFNA((INDEX('DMR 001C TIN &amp; TP'!$A$3:$M$10005,MATCH(('Reg 85'!$X$6&amp;'Reg 85'!$AB$10&amp;'Reg 85'!$B317),('DMR 001C TIN &amp; TP'!$E$3:$E$10005&amp;'DMR 001C TIN &amp; TP'!$B$3:$B$10005&amp;'DMR 001C TIN &amp; TP'!$A$3:$A$10005),0),MATCH('Reg 85'!$AD$11,'DMR 001C TIN &amp; TP'!$A$2:$M$2,0))),"")</f>
        <v/>
      </c>
      <c r="AE317" s="53" t="str">
        <f t="shared" si="116"/>
        <v/>
      </c>
      <c r="AF317" s="7" t="str">
        <f t="shared" si="117"/>
        <v/>
      </c>
      <c r="AG317" s="6" t="str">
        <f t="array" ref="AG317">_xlfn.IFNA((INDEX('DMR 001C TIN &amp; TP'!$A$3:$M$10005,MATCH(('Reg 85'!$X$6&amp;'Reg 85'!AG$10&amp;'Reg 85'!$B317),('DMR 001C TIN &amp; TP'!$E$3:$E$10005&amp;'DMR 001C TIN &amp; TP'!$B$3:$B$10005&amp;'DMR 001C TIN &amp; TP'!$A$3:$A$10005),0),MATCH('Reg 85'!$AG$11,'DMR 001C TIN &amp; TP'!$A$2:$M$2,0))),"")</f>
        <v/>
      </c>
      <c r="AH317" s="6" t="str">
        <f t="array" ref="AH317">_xlfn.IFNA((INDEX('DMR 001C TIN &amp; TP'!$A$3:$M$10005,MATCH(('Reg 85'!$X$6&amp;'Reg 85'!AH$10&amp;'Reg 85'!$B317),('DMR 001C TIN &amp; TP'!$E$3:$E$10005&amp;'DMR 001C TIN &amp; TP'!$B$3:$B$10005&amp;'DMR 001C TIN &amp; TP'!$A$3:$A$10005),0),MATCH('Reg 85'!$AG$11,'DMR 001C TIN &amp; TP'!$A$2:$M$2,0))),"")</f>
        <v/>
      </c>
      <c r="AI317" s="6" t="str">
        <f t="array" ref="AI317">_xlfn.IFNA((INDEX('DMR 001C TIN &amp; TP'!$A$3:$M$10005,MATCH(('Reg 85'!$X$6&amp;'Reg 85'!AI$10&amp;'Reg 85'!$B317),('DMR 001C TIN &amp; TP'!$E$3:$E$10005&amp;'DMR 001C TIN &amp; TP'!$B$3:$B$10005&amp;'DMR 001C TIN &amp; TP'!$A$3:$A$10005),0),MATCH('Reg 85'!$AG$11,'DMR 001C TIN &amp; TP'!$A$2:$M$2,0))),"")</f>
        <v/>
      </c>
      <c r="AJ317" s="6" t="str">
        <f t="array" ref="AJ317">_xlfn.IFNA((INDEX('DMR 001C TIN &amp; TP'!$A$3:$M$10005,MATCH(('Reg 85'!$X$6&amp;'Reg 85'!AJ$10&amp;'Reg 85'!$B317),('DMR 001C TIN &amp; TP'!$E$3:$E$10005&amp;'DMR 001C TIN &amp; TP'!$B$3:$B$10005&amp;'DMR 001C TIN &amp; TP'!$A$3:$A$10005),0),MATCH('Reg 85'!$AG$11,'DMR 001C TIN &amp; TP'!$A$2:$M$2,0))),"")</f>
        <v/>
      </c>
      <c r="AK317" s="6" t="str">
        <f t="array" ref="AK317">_xlfn.IFNA((INDEX('DMR 001C TIN &amp; TP'!$A$3:$M$10005,MATCH(('Reg 85'!$X$6&amp;'Reg 85'!AK$10&amp;'Reg 85'!$B317),('DMR 001C TIN &amp; TP'!$E$3:$E$10005&amp;'DMR 001C TIN &amp; TP'!$B$3:$B$10005&amp;'DMR 001C TIN &amp; TP'!$A$3:$A$10005),0),MATCH('Reg 85'!$AG$11,'DMR 001C TIN &amp; TP'!$A$2:$M$2,0))),"")</f>
        <v/>
      </c>
      <c r="AL317" s="6" t="str">
        <f t="array" ref="AL317">_xlfn.IFNA((INDEX('DMR 001C TIN &amp; TP'!$A$3:$M$10005,MATCH(('Reg 85'!$X$6&amp;'Reg 85'!AL$10&amp;'Reg 85'!$B317),('DMR 001C TIN &amp; TP'!$E$3:$E$10005&amp;'DMR 001C TIN &amp; TP'!$B$3:$B$10005&amp;'DMR 001C TIN &amp; TP'!$A$3:$A$10005),0),MATCH('Reg 85'!$AG$11,'DMR 001C TIN &amp; TP'!$A$2:$M$2,0))),"")</f>
        <v/>
      </c>
      <c r="AM317" s="76"/>
      <c r="AN317" s="6"/>
      <c r="AO317" s="54" t="str">
        <f t="shared" si="104"/>
        <v/>
      </c>
      <c r="AP317" s="77" t="str">
        <f t="shared" si="123"/>
        <v/>
      </c>
      <c r="AQ317" s="47"/>
      <c r="AR317" s="6" t="str">
        <f t="array" ref="AR317">_xlfn.IFNA((INDEX('DMR 001C TIN &amp; TP'!$A$3:$M$10005,MATCH(('Reg 85'!$AQ$6&amp;'Reg 85'!$AQ$10&amp;'Reg 85'!$B317),('DMR 001C TIN &amp; TP'!$E$3:$E$10005&amp;'DMR 001C TIN &amp; TP'!$B$3:$B$10005&amp;'DMR 001C TIN &amp; TP'!$A$3:$A$10005),0),MATCH('Reg 85'!$AR$11,'DMR 001C TIN &amp; TP'!$A$2:$M$2,0))),"")</f>
        <v>0.03</v>
      </c>
      <c r="AS317" s="6">
        <f t="array" ref="AS317">_xlfn.IFNA((INDEX('DMR 001C TIN &amp; TP'!$A$3:$M$10005,MATCH(('Reg 85'!$AQ$6&amp;'Reg 85'!$AQ$10&amp;'Reg 85'!$B317),('DMR 001C TIN &amp; TP'!$E$3:$E$10005&amp;'DMR 001C TIN &amp; TP'!$B$3:$B$10005&amp;'DMR 001C TIN &amp; TP'!$A$3:$A$10005),0),MATCH('Reg 85'!$AS$11,'DMR 001C TIN &amp; TP'!$A$2:$M$2,0))),"")</f>
        <v>0.36</v>
      </c>
      <c r="AT317" s="53">
        <f t="shared" si="118"/>
        <v>0.36</v>
      </c>
      <c r="AV317" s="6" t="str">
        <f t="array" ref="AV317">_xlfn.IFNA((INDEX('DMR 001C TIN &amp; TP'!$A$3:$M$10005,MATCH(('Reg 85'!$AQ$6&amp;'Reg 85'!$AU$10&amp;'Reg 85'!$B317),('DMR 001C TIN &amp; TP'!$E$3:$E$10005&amp;'DMR 001C TIN &amp; TP'!$B$3:$B$10005&amp;'DMR 001C TIN &amp; TP'!$A$3:$A$10005),0),MATCH('Reg 85'!$AV$11,'DMR 001C TIN &amp; TP'!$A$2:$M$2,0))),"")</f>
        <v>0.03</v>
      </c>
      <c r="AW317" s="6">
        <f t="array" ref="AW317">_xlfn.IFNA((INDEX('DMR 001C TIN &amp; TP'!$A$3:$M$10005,MATCH(('Reg 85'!$AQ$6&amp;'Reg 85'!$AU$10&amp;'Reg 85'!$B317),('DMR 001C TIN &amp; TP'!$E$3:$E$10005&amp;'DMR 001C TIN &amp; TP'!$B$3:$B$10005&amp;'DMR 001C TIN &amp; TP'!$A$3:$A$10005),0),MATCH('Reg 85'!$AW$11,'DMR 001C TIN &amp; TP'!$A$2:$M$2,0))),"")</f>
        <v>4.53</v>
      </c>
      <c r="AX317" s="53">
        <f t="shared" si="119"/>
        <v>4.53</v>
      </c>
      <c r="AY317" s="55">
        <f t="shared" si="120"/>
        <v>2.2541777200873252</v>
      </c>
      <c r="AZ317" s="77" t="str">
        <f t="shared" si="124"/>
        <v/>
      </c>
      <c r="BA317" s="6" t="str">
        <f t="array" ref="BA317">_xlfn.IFNA((INDEX('DMR 001C TIN &amp; TP'!$A$3:$M$10005,MATCH(('Reg 85'!$AQ$6&amp;'Reg 85'!BA$10&amp;'Reg 85'!$B317),('DMR 001C TIN &amp; TP'!$E$3:$E$10005&amp;'DMR 001C TIN &amp; TP'!$B$3:$B$10005&amp;'DMR 001C TIN &amp; TP'!$A$3:$A$10005),0),MATCH('Reg 85'!$AG$11,'DMR 001C TIN &amp; TP'!$A$2:$M$2,0))),"")</f>
        <v/>
      </c>
      <c r="BB317" s="6" t="str">
        <f t="array" ref="BB317">_xlfn.IFNA((INDEX('DMR 001C TIN &amp; TP'!$A$3:$M$10005,MATCH(('Reg 85'!$AQ$6&amp;'Reg 85'!BB$10&amp;'Reg 85'!$B317),('DMR 001C TIN &amp; TP'!$E$3:$E$10005&amp;'DMR 001C TIN &amp; TP'!$B$3:$B$10005&amp;'DMR 001C TIN &amp; TP'!$A$3:$A$10005),0),MATCH('Reg 85'!$AG$11,'DMR 001C TIN &amp; TP'!$A$2:$M$2,0))),"")</f>
        <v/>
      </c>
      <c r="BC317" s="6" t="str">
        <f t="array" ref="BC317">_xlfn.IFNA((INDEX('DMR 001C TIN &amp; TP'!$A$3:$M$10005,MATCH(('Reg 85'!$AQ$6&amp;'Reg 85'!BC$10&amp;'Reg 85'!$B317),('DMR 001C TIN &amp; TP'!$E$3:$E$10005&amp;'DMR 001C TIN &amp; TP'!$B$3:$B$10005&amp;'DMR 001C TIN &amp; TP'!$A$3:$A$10005),0),MATCH('Reg 85'!$AG$11,'DMR 001C TIN &amp; TP'!$A$2:$M$2,0))),"")</f>
        <v/>
      </c>
      <c r="BD317" s="6" t="str">
        <f t="array" ref="BD317">_xlfn.IFNA((INDEX('DMR 001C TIN &amp; TP'!$A$3:$M$10005,MATCH(('Reg 85'!$AQ$6&amp;'Reg 85'!BD$10&amp;'Reg 85'!$B317),('DMR 001C TIN &amp; TP'!$E$3:$E$10005&amp;'DMR 001C TIN &amp; TP'!$B$3:$B$10005&amp;'DMR 001C TIN &amp; TP'!$A$3:$A$10005),0),MATCH('Reg 85'!$AG$11,'DMR 001C TIN &amp; TP'!$A$2:$M$2,0))),"")</f>
        <v/>
      </c>
      <c r="BE317" s="6" t="str">
        <f t="array" ref="BE317">_xlfn.IFNA((INDEX('DMR 001C TIN &amp; TP'!$A$3:$M$10005,MATCH(('Reg 85'!$AQ$6&amp;'Reg 85'!BE$10&amp;'Reg 85'!$B317),('DMR 001C TIN &amp; TP'!$E$3:$E$10005&amp;'DMR 001C TIN &amp; TP'!$B$3:$B$10005&amp;'DMR 001C TIN &amp; TP'!$A$3:$A$10005),0),MATCH('Reg 85'!$AG$11,'DMR 001C TIN &amp; TP'!$A$2:$M$2,0))),"")</f>
        <v/>
      </c>
      <c r="BF317" s="6" t="str">
        <f t="array" ref="BF317">_xlfn.IFNA((INDEX('DMR 001C TIN &amp; TP'!$A$3:$M$10005,MATCH(('Reg 85'!$AQ$6&amp;'Reg 85'!BF$10&amp;'Reg 85'!$B317),('DMR 001C TIN &amp; TP'!$E$3:$E$10005&amp;'DMR 001C TIN &amp; TP'!$B$3:$B$10005&amp;'DMR 001C TIN &amp; TP'!$A$3:$A$10005),0),MATCH('Reg 85'!$AG$11,'DMR 001C TIN &amp; TP'!$A$2:$M$2,0))),"")</f>
        <v/>
      </c>
    </row>
    <row r="318" spans="1:58">
      <c r="A318" s="3" t="str">
        <f t="shared" si="105"/>
        <v>Thu</v>
      </c>
      <c r="B318" s="96">
        <f t="shared" si="121"/>
        <v>43650</v>
      </c>
      <c r="C318" s="96">
        <f t="shared" si="106"/>
        <v>43677</v>
      </c>
      <c r="D318" s="96">
        <f t="shared" si="107"/>
        <v>43647</v>
      </c>
      <c r="E318" s="95">
        <f t="shared" si="108"/>
        <v>31</v>
      </c>
      <c r="F318" s="7">
        <f t="array" ref="F318">_xlfn.IFNA(INDEX('DMR Flows-Effluent'!$A$3:$F$9999,MATCH(($F$10&amp;$B318),('DMR Flows-Effluent'!$B$3:$B$9999&amp;'DMR Flows-Effluent'!$A$3:$A$9999),0),MATCH($F$8,'DMR Flows-Effluent'!$A$2:$F$2,0)),"")</f>
        <v>67.262299999999996</v>
      </c>
      <c r="G318" s="7">
        <f t="array" ref="G318">_xlfn.IFNA(INDEX('DMR Flows-Effluent'!$A$3:$F$9999,MATCH(($G$10&amp;$B318),('DMR Flows-Effluent'!$B$3:$B$9999&amp;'DMR Flows-Effluent'!$A$3:$A$9999),0),MATCH($F$8,'DMR Flows-Effluent'!$A$2:$F$2,0)),"")</f>
        <v>57.858400000000003</v>
      </c>
      <c r="H318" s="7">
        <f t="shared" si="109"/>
        <v>125.1207</v>
      </c>
      <c r="I318" s="45" t="str">
        <f t="shared" si="110"/>
        <v/>
      </c>
      <c r="J318" s="6" t="str">
        <f t="array" ref="J318">_xlfn.IFNA((INDEX('DMR 001C TIN &amp; TP'!$A$3:$M$10005,MATCH(('Reg 85'!$I$6:$Q$6&amp;'Reg 85'!$I$10:$K$10&amp;'Reg 85'!$B318),('DMR 001C TIN &amp; TP'!$E$3:$E$10005&amp;'DMR 001C TIN &amp; TP'!$B$3:$B$10005&amp;'DMR 001C TIN &amp; TP'!$A$3:$A$10005),0),MATCH('Reg 85'!$J$11,'DMR 001C TIN &amp; TP'!$A$2:$M$2,0))),"")</f>
        <v/>
      </c>
      <c r="K318" s="6" t="str">
        <f t="array" ref="K318">_xlfn.IFNA((INDEX('DMR 001C TIN &amp; TP'!$A$3:$M$10005,MATCH(('Reg 85'!$I$6:$Q$6&amp;'Reg 85'!$I$10:$K$10&amp;'Reg 85'!$B318),('DMR 001C TIN &amp; TP'!$E$3:$E$10005&amp;'DMR 001C TIN &amp; TP'!$B$3:$B$10005&amp;'DMR 001C TIN &amp; TP'!$A$3:$A$10005),0),MATCH('Reg 85'!$K$11,'DMR 001C TIN &amp; TP'!$A$2:$M$2,0))),"")</f>
        <v/>
      </c>
      <c r="L318" s="53" t="str">
        <f t="shared" si="122"/>
        <v/>
      </c>
      <c r="M318" s="5" t="str">
        <f t="shared" si="111"/>
        <v/>
      </c>
      <c r="N318" s="6" t="str">
        <f t="array" ref="N318">_xlfn.IFNA((INDEX('DMR 001C TIN &amp; TP'!$A$3:$M$10005,MATCH(('Reg 85'!$I$6:$Q$6&amp;'Reg 85'!$M$10&amp;'Reg 85'!$B318),('DMR 001C TIN &amp; TP'!$E$3:$E$10005&amp;'DMR 001C TIN &amp; TP'!$B$3:$B$10005&amp;'DMR 001C TIN &amp; TP'!$A$3:$A$10005),0),MATCH('Reg 85'!$N$11,'DMR 001C TIN &amp; TP'!$A$2:$M$2,0))),"")</f>
        <v/>
      </c>
      <c r="O318" s="6" t="str">
        <f t="array" ref="O318">_xlfn.IFNA((INDEX('DMR 001C TIN &amp; TP'!$A$3:$M$10005,MATCH(('Reg 85'!$I$6:$Q$6&amp;'Reg 85'!$M$10&amp;'Reg 85'!$B318),('DMR 001C TIN &amp; TP'!$E$3:$E$10005&amp;'DMR 001C TIN &amp; TP'!$B$3:$B$10005&amp;'DMR 001C TIN &amp; TP'!$A$3:$A$10005),0),MATCH('Reg 85'!$O$11,'DMR 001C TIN &amp; TP'!$A$2:$M$2,0))),"")</f>
        <v/>
      </c>
      <c r="P318" s="53" t="str">
        <f t="shared" si="112"/>
        <v/>
      </c>
      <c r="Q318" s="73" t="str">
        <f t="array" ref="Q318">IFERROR(((L318*$F318)+(P318*$G318))/($H318),"")</f>
        <v/>
      </c>
      <c r="R318" s="6" t="str">
        <f t="array" ref="R318">_xlfn.IFNA((INDEX('DMR 001C TIN &amp; TP'!$A$3:$M$10005,MATCH(('Reg 85'!$I$6:$Q$6&amp;'Reg 85'!R$10&amp;'Reg 85'!$B318),('DMR 001C TIN &amp; TP'!$E$3:$E$10005&amp;'DMR 001C TIN &amp; TP'!$B$3:$B$10005&amp;'DMR 001C TIN &amp; TP'!$A$3:$A$10005),0),MATCH('Reg 85'!$O$11,'DMR 001C TIN &amp; TP'!$A$2:$M$2,0))),"")</f>
        <v/>
      </c>
      <c r="S318" s="6" t="str">
        <f t="array" ref="S318">_xlfn.IFNA((INDEX('DMR 001C TIN &amp; TP'!$A$3:$M$10005,MATCH(('Reg 85'!$I$6:$Q$6&amp;'Reg 85'!S$10&amp;'Reg 85'!$B318),('DMR 001C TIN &amp; TP'!$E$3:$E$10005&amp;'DMR 001C TIN &amp; TP'!$B$3:$B$10005&amp;'DMR 001C TIN &amp; TP'!$A$3:$A$10005),0),MATCH('Reg 85'!$O$11,'DMR 001C TIN &amp; TP'!$A$2:$M$2,0))),"")</f>
        <v/>
      </c>
      <c r="T318" s="6" t="str">
        <f t="array" ref="T318">_xlfn.IFNA((INDEX('DMR 001C TIN &amp; TP'!$A$3:$M$10005,MATCH(('Reg 85'!$I$6:$Q$6&amp;'Reg 85'!T$10&amp;'Reg 85'!$B318),('DMR 001C TIN &amp; TP'!$E$3:$E$10005&amp;'DMR 001C TIN &amp; TP'!$B$3:$B$10005&amp;'DMR 001C TIN &amp; TP'!$A$3:$A$10005),0),MATCH('Reg 85'!$O$11,'DMR 001C TIN &amp; TP'!$A$2:$M$2,0))),"")</f>
        <v/>
      </c>
      <c r="U318" s="6" t="str">
        <f t="array" ref="U318">_xlfn.IFNA((INDEX('DMR 001C TIN &amp; TP'!$A$3:$M$10005,MATCH(('Reg 85'!$I$6:$Q$6&amp;'Reg 85'!U$10&amp;'Reg 85'!$B318),('DMR 001C TIN &amp; TP'!$E$3:$E$10005&amp;'DMR 001C TIN &amp; TP'!$B$3:$B$10005&amp;'DMR 001C TIN &amp; TP'!$A$3:$A$10005),0),MATCH('Reg 85'!$O$11,'DMR 001C TIN &amp; TP'!$A$2:$M$2,0))),"")</f>
        <v/>
      </c>
      <c r="V318" s="6" t="str">
        <f t="array" ref="V318">_xlfn.IFNA((INDEX('DMR 001C TIN &amp; TP'!$A$3:$M$10005,MATCH(('Reg 85'!$I$6:$Q$6&amp;'Reg 85'!V$10&amp;'Reg 85'!$B318),('DMR 001C TIN &amp; TP'!$E$3:$E$10005&amp;'DMR 001C TIN &amp; TP'!$B$3:$B$10005&amp;'DMR 001C TIN &amp; TP'!$A$3:$A$10005),0),MATCH('Reg 85'!$O$11,'DMR 001C TIN &amp; TP'!$A$2:$M$2,0))),"")</f>
        <v/>
      </c>
      <c r="W318" s="6" t="str">
        <f t="array" ref="W318">_xlfn.IFNA((INDEX('DMR 001C TIN &amp; TP'!$A$3:$M$10005,MATCH(('Reg 85'!$I$6:$Q$6&amp;'Reg 85'!W$10&amp;'Reg 85'!$B318),('DMR 001C TIN &amp; TP'!$E$3:$E$10005&amp;'DMR 001C TIN &amp; TP'!$B$3:$B$10005&amp;'DMR 001C TIN &amp; TP'!$A$3:$A$10005),0),MATCH('Reg 85'!$O$11,'DMR 001C TIN &amp; TP'!$A$2:$M$2,0))),"")</f>
        <v/>
      </c>
      <c r="X318" s="5" t="str">
        <f t="shared" si="113"/>
        <v/>
      </c>
      <c r="Y318" s="6" t="str">
        <f t="array" ref="Y318">_xlfn.IFNA((INDEX('DMR 001C TIN &amp; TP'!$A$3:$M$10005,MATCH(('Reg 85'!$X$6&amp;'Reg 85'!$X$10&amp;'Reg 85'!$B318),('DMR 001C TIN &amp; TP'!$E$3:$E$10005&amp;'DMR 001C TIN &amp; TP'!$B$3:$B$10005&amp;'DMR 001C TIN &amp; TP'!$A$3:$A$10005),0),MATCH('Reg 85'!$Y$11,'DMR 001C TIN &amp; TP'!$A$2:$M$2,0))),"")</f>
        <v/>
      </c>
      <c r="Z318" s="6" t="str">
        <f t="array" ref="Z318">_xlfn.IFNA((INDEX('DMR 001C TIN &amp; TP'!$A$3:$M$10005,MATCH(('Reg 85'!$X$6&amp;'Reg 85'!$X$10&amp;'Reg 85'!$B318),('DMR 001C TIN &amp; TP'!$E$3:$E$10005&amp;'DMR 001C TIN &amp; TP'!$B$3:$B$10005&amp;'DMR 001C TIN &amp; TP'!$A$3:$A$10005),0),MATCH('Reg 85'!$Z$11,'DMR 001C TIN &amp; TP'!$A$2:$M$2,0))),"")</f>
        <v/>
      </c>
      <c r="AA318" s="53" t="str">
        <f t="shared" si="114"/>
        <v/>
      </c>
      <c r="AB318" s="5" t="str">
        <f t="shared" si="115"/>
        <v/>
      </c>
      <c r="AC318" s="6" t="str">
        <f t="array" ref="AC318">_xlfn.IFNA((INDEX('DMR 001C TIN &amp; TP'!$A$3:$M$10005,MATCH(('Reg 85'!$X$6&amp;'Reg 85'!$AB$10&amp;'Reg 85'!$B318),('DMR 001C TIN &amp; TP'!$E$3:$E$10005&amp;'DMR 001C TIN &amp; TP'!$B$3:$B$10005&amp;'DMR 001C TIN &amp; TP'!$A$3:$A$10005),0),MATCH('Reg 85'!$AC$11,'DMR 001C TIN &amp; TP'!$A$2:$M$2,0))),"")</f>
        <v/>
      </c>
      <c r="AD318" s="6" t="str">
        <f t="array" ref="AD318">_xlfn.IFNA((INDEX('DMR 001C TIN &amp; TP'!$A$3:$M$10005,MATCH(('Reg 85'!$X$6&amp;'Reg 85'!$AB$10&amp;'Reg 85'!$B318),('DMR 001C TIN &amp; TP'!$E$3:$E$10005&amp;'DMR 001C TIN &amp; TP'!$B$3:$B$10005&amp;'DMR 001C TIN &amp; TP'!$A$3:$A$10005),0),MATCH('Reg 85'!$AD$11,'DMR 001C TIN &amp; TP'!$A$2:$M$2,0))),"")</f>
        <v/>
      </c>
      <c r="AE318" s="53" t="str">
        <f t="shared" si="116"/>
        <v/>
      </c>
      <c r="AF318" s="7" t="str">
        <f t="shared" si="117"/>
        <v/>
      </c>
      <c r="AG318" s="6" t="str">
        <f t="array" ref="AG318">_xlfn.IFNA((INDEX('DMR 001C TIN &amp; TP'!$A$3:$M$10005,MATCH(('Reg 85'!$X$6&amp;'Reg 85'!AG$10&amp;'Reg 85'!$B318),('DMR 001C TIN &amp; TP'!$E$3:$E$10005&amp;'DMR 001C TIN &amp; TP'!$B$3:$B$10005&amp;'DMR 001C TIN &amp; TP'!$A$3:$A$10005),0),MATCH('Reg 85'!$AG$11,'DMR 001C TIN &amp; TP'!$A$2:$M$2,0))),"")</f>
        <v/>
      </c>
      <c r="AH318" s="6" t="str">
        <f t="array" ref="AH318">_xlfn.IFNA((INDEX('DMR 001C TIN &amp; TP'!$A$3:$M$10005,MATCH(('Reg 85'!$X$6&amp;'Reg 85'!AH$10&amp;'Reg 85'!$B318),('DMR 001C TIN &amp; TP'!$E$3:$E$10005&amp;'DMR 001C TIN &amp; TP'!$B$3:$B$10005&amp;'DMR 001C TIN &amp; TP'!$A$3:$A$10005),0),MATCH('Reg 85'!$AG$11,'DMR 001C TIN &amp; TP'!$A$2:$M$2,0))),"")</f>
        <v/>
      </c>
      <c r="AI318" s="6" t="str">
        <f t="array" ref="AI318">_xlfn.IFNA((INDEX('DMR 001C TIN &amp; TP'!$A$3:$M$10005,MATCH(('Reg 85'!$X$6&amp;'Reg 85'!AI$10&amp;'Reg 85'!$B318),('DMR 001C TIN &amp; TP'!$E$3:$E$10005&amp;'DMR 001C TIN &amp; TP'!$B$3:$B$10005&amp;'DMR 001C TIN &amp; TP'!$A$3:$A$10005),0),MATCH('Reg 85'!$AG$11,'DMR 001C TIN &amp; TP'!$A$2:$M$2,0))),"")</f>
        <v/>
      </c>
      <c r="AJ318" s="6" t="str">
        <f t="array" ref="AJ318">_xlfn.IFNA((INDEX('DMR 001C TIN &amp; TP'!$A$3:$M$10005,MATCH(('Reg 85'!$X$6&amp;'Reg 85'!AJ$10&amp;'Reg 85'!$B318),('DMR 001C TIN &amp; TP'!$E$3:$E$10005&amp;'DMR 001C TIN &amp; TP'!$B$3:$B$10005&amp;'DMR 001C TIN &amp; TP'!$A$3:$A$10005),0),MATCH('Reg 85'!$AG$11,'DMR 001C TIN &amp; TP'!$A$2:$M$2,0))),"")</f>
        <v/>
      </c>
      <c r="AK318" s="6" t="str">
        <f t="array" ref="AK318">_xlfn.IFNA((INDEX('DMR 001C TIN &amp; TP'!$A$3:$M$10005,MATCH(('Reg 85'!$X$6&amp;'Reg 85'!AK$10&amp;'Reg 85'!$B318),('DMR 001C TIN &amp; TP'!$E$3:$E$10005&amp;'DMR 001C TIN &amp; TP'!$B$3:$B$10005&amp;'DMR 001C TIN &amp; TP'!$A$3:$A$10005),0),MATCH('Reg 85'!$AG$11,'DMR 001C TIN &amp; TP'!$A$2:$M$2,0))),"")</f>
        <v/>
      </c>
      <c r="AL318" s="6" t="str">
        <f t="array" ref="AL318">_xlfn.IFNA((INDEX('DMR 001C TIN &amp; TP'!$A$3:$M$10005,MATCH(('Reg 85'!$X$6&amp;'Reg 85'!AL$10&amp;'Reg 85'!$B318),('DMR 001C TIN &amp; TP'!$E$3:$E$10005&amp;'DMR 001C TIN &amp; TP'!$B$3:$B$10005&amp;'DMR 001C TIN &amp; TP'!$A$3:$A$10005),0),MATCH('Reg 85'!$AG$11,'DMR 001C TIN &amp; TP'!$A$2:$M$2,0))),"")</f>
        <v/>
      </c>
      <c r="AM318" s="76"/>
      <c r="AN318" s="6"/>
      <c r="AO318" s="54" t="str">
        <f t="shared" si="104"/>
        <v/>
      </c>
      <c r="AP318" s="77" t="str">
        <f t="shared" si="123"/>
        <v/>
      </c>
      <c r="AQ318" s="47"/>
      <c r="AR318" s="6" t="str">
        <f t="array" ref="AR318">_xlfn.IFNA((INDEX('DMR 001C TIN &amp; TP'!$A$3:$M$10005,MATCH(('Reg 85'!$AQ$6&amp;'Reg 85'!$AQ$10&amp;'Reg 85'!$B318),('DMR 001C TIN &amp; TP'!$E$3:$E$10005&amp;'DMR 001C TIN &amp; TP'!$B$3:$B$10005&amp;'DMR 001C TIN &amp; TP'!$A$3:$A$10005),0),MATCH('Reg 85'!$AR$11,'DMR 001C TIN &amp; TP'!$A$2:$M$2,0))),"")</f>
        <v/>
      </c>
      <c r="AS318" s="6" t="str">
        <f t="array" ref="AS318">_xlfn.IFNA((INDEX('DMR 001C TIN &amp; TP'!$A$3:$M$10005,MATCH(('Reg 85'!$AQ$6&amp;'Reg 85'!$AQ$10&amp;'Reg 85'!$B318),('DMR 001C TIN &amp; TP'!$E$3:$E$10005&amp;'DMR 001C TIN &amp; TP'!$B$3:$B$10005&amp;'DMR 001C TIN &amp; TP'!$A$3:$A$10005),0),MATCH('Reg 85'!$AS$11,'DMR 001C TIN &amp; TP'!$A$2:$M$2,0))),"")</f>
        <v/>
      </c>
      <c r="AT318" s="53" t="str">
        <f t="shared" si="118"/>
        <v/>
      </c>
      <c r="AV318" s="6" t="str">
        <f t="array" ref="AV318">_xlfn.IFNA((INDEX('DMR 001C TIN &amp; TP'!$A$3:$M$10005,MATCH(('Reg 85'!$AQ$6&amp;'Reg 85'!$AU$10&amp;'Reg 85'!$B318),('DMR 001C TIN &amp; TP'!$E$3:$E$10005&amp;'DMR 001C TIN &amp; TP'!$B$3:$B$10005&amp;'DMR 001C TIN &amp; TP'!$A$3:$A$10005),0),MATCH('Reg 85'!$AV$11,'DMR 001C TIN &amp; TP'!$A$2:$M$2,0))),"")</f>
        <v/>
      </c>
      <c r="AW318" s="6" t="str">
        <f t="array" ref="AW318">_xlfn.IFNA((INDEX('DMR 001C TIN &amp; TP'!$A$3:$M$10005,MATCH(('Reg 85'!$AQ$6&amp;'Reg 85'!$AU$10&amp;'Reg 85'!$B318),('DMR 001C TIN &amp; TP'!$E$3:$E$10005&amp;'DMR 001C TIN &amp; TP'!$B$3:$B$10005&amp;'DMR 001C TIN &amp; TP'!$A$3:$A$10005),0),MATCH('Reg 85'!$AW$11,'DMR 001C TIN &amp; TP'!$A$2:$M$2,0))),"")</f>
        <v/>
      </c>
      <c r="AX318" s="53" t="str">
        <f t="shared" si="119"/>
        <v/>
      </c>
      <c r="AY318" s="55" t="str">
        <f t="shared" si="120"/>
        <v/>
      </c>
      <c r="AZ318" s="77" t="str">
        <f t="shared" si="124"/>
        <v/>
      </c>
      <c r="BA318" s="6" t="str">
        <f t="array" ref="BA318">_xlfn.IFNA((INDEX('DMR 001C TIN &amp; TP'!$A$3:$M$10005,MATCH(('Reg 85'!$AQ$6&amp;'Reg 85'!BA$10&amp;'Reg 85'!$B318),('DMR 001C TIN &amp; TP'!$E$3:$E$10005&amp;'DMR 001C TIN &amp; TP'!$B$3:$B$10005&amp;'DMR 001C TIN &amp; TP'!$A$3:$A$10005),0),MATCH('Reg 85'!$AG$11,'DMR 001C TIN &amp; TP'!$A$2:$M$2,0))),"")</f>
        <v/>
      </c>
      <c r="BB318" s="6" t="str">
        <f t="array" ref="BB318">_xlfn.IFNA((INDEX('DMR 001C TIN &amp; TP'!$A$3:$M$10005,MATCH(('Reg 85'!$AQ$6&amp;'Reg 85'!BB$10&amp;'Reg 85'!$B318),('DMR 001C TIN &amp; TP'!$E$3:$E$10005&amp;'DMR 001C TIN &amp; TP'!$B$3:$B$10005&amp;'DMR 001C TIN &amp; TP'!$A$3:$A$10005),0),MATCH('Reg 85'!$AG$11,'DMR 001C TIN &amp; TP'!$A$2:$M$2,0))),"")</f>
        <v/>
      </c>
      <c r="BC318" s="6" t="str">
        <f t="array" ref="BC318">_xlfn.IFNA((INDEX('DMR 001C TIN &amp; TP'!$A$3:$M$10005,MATCH(('Reg 85'!$AQ$6&amp;'Reg 85'!BC$10&amp;'Reg 85'!$B318),('DMR 001C TIN &amp; TP'!$E$3:$E$10005&amp;'DMR 001C TIN &amp; TP'!$B$3:$B$10005&amp;'DMR 001C TIN &amp; TP'!$A$3:$A$10005),0),MATCH('Reg 85'!$AG$11,'DMR 001C TIN &amp; TP'!$A$2:$M$2,0))),"")</f>
        <v/>
      </c>
      <c r="BD318" s="6" t="str">
        <f t="array" ref="BD318">_xlfn.IFNA((INDEX('DMR 001C TIN &amp; TP'!$A$3:$M$10005,MATCH(('Reg 85'!$AQ$6&amp;'Reg 85'!BD$10&amp;'Reg 85'!$B318),('DMR 001C TIN &amp; TP'!$E$3:$E$10005&amp;'DMR 001C TIN &amp; TP'!$B$3:$B$10005&amp;'DMR 001C TIN &amp; TP'!$A$3:$A$10005),0),MATCH('Reg 85'!$AG$11,'DMR 001C TIN &amp; TP'!$A$2:$M$2,0))),"")</f>
        <v/>
      </c>
      <c r="BE318" s="6" t="str">
        <f t="array" ref="BE318">_xlfn.IFNA((INDEX('DMR 001C TIN &amp; TP'!$A$3:$M$10005,MATCH(('Reg 85'!$AQ$6&amp;'Reg 85'!BE$10&amp;'Reg 85'!$B318),('DMR 001C TIN &amp; TP'!$E$3:$E$10005&amp;'DMR 001C TIN &amp; TP'!$B$3:$B$10005&amp;'DMR 001C TIN &amp; TP'!$A$3:$A$10005),0),MATCH('Reg 85'!$AG$11,'DMR 001C TIN &amp; TP'!$A$2:$M$2,0))),"")</f>
        <v/>
      </c>
      <c r="BF318" s="6" t="str">
        <f t="array" ref="BF318">_xlfn.IFNA((INDEX('DMR 001C TIN &amp; TP'!$A$3:$M$10005,MATCH(('Reg 85'!$AQ$6&amp;'Reg 85'!BF$10&amp;'Reg 85'!$B318),('DMR 001C TIN &amp; TP'!$E$3:$E$10005&amp;'DMR 001C TIN &amp; TP'!$B$3:$B$10005&amp;'DMR 001C TIN &amp; TP'!$A$3:$A$10005),0),MATCH('Reg 85'!$AG$11,'DMR 001C TIN &amp; TP'!$A$2:$M$2,0))),"")</f>
        <v/>
      </c>
    </row>
    <row r="319" spans="1:58">
      <c r="A319" s="3" t="str">
        <f t="shared" si="105"/>
        <v>Fri</v>
      </c>
      <c r="B319" s="96">
        <f t="shared" si="121"/>
        <v>43651</v>
      </c>
      <c r="C319" s="96">
        <f t="shared" si="106"/>
        <v>43677</v>
      </c>
      <c r="D319" s="96">
        <f t="shared" si="107"/>
        <v>43647</v>
      </c>
      <c r="E319" s="95">
        <f t="shared" si="108"/>
        <v>31</v>
      </c>
      <c r="F319" s="7">
        <f t="array" ref="F319">_xlfn.IFNA(INDEX('DMR Flows-Effluent'!$A$3:$F$9999,MATCH(($F$10&amp;$B319),('DMR Flows-Effluent'!$B$3:$B$9999&amp;'DMR Flows-Effluent'!$A$3:$A$9999),0),MATCH($F$8,'DMR Flows-Effluent'!$A$2:$F$2,0)),"")</f>
        <v>69.152199999999993</v>
      </c>
      <c r="G319" s="7">
        <f t="array" ref="G319">_xlfn.IFNA(INDEX('DMR Flows-Effluent'!$A$3:$F$9999,MATCH(($G$10&amp;$B319),('DMR Flows-Effluent'!$B$3:$B$9999&amp;'DMR Flows-Effluent'!$A$3:$A$9999),0),MATCH($F$8,'DMR Flows-Effluent'!$A$2:$F$2,0)),"")</f>
        <v>58.7727</v>
      </c>
      <c r="H319" s="7">
        <f t="shared" si="109"/>
        <v>127.92489999999999</v>
      </c>
      <c r="I319" s="45" t="str">
        <f t="shared" si="110"/>
        <v/>
      </c>
      <c r="J319" s="6" t="str">
        <f t="array" ref="J319">_xlfn.IFNA((INDEX('DMR 001C TIN &amp; TP'!$A$3:$M$10005,MATCH(('Reg 85'!$I$6:$Q$6&amp;'Reg 85'!$I$10:$K$10&amp;'Reg 85'!$B319),('DMR 001C TIN &amp; TP'!$E$3:$E$10005&amp;'DMR 001C TIN &amp; TP'!$B$3:$B$10005&amp;'DMR 001C TIN &amp; TP'!$A$3:$A$10005),0),MATCH('Reg 85'!$J$11,'DMR 001C TIN &amp; TP'!$A$2:$M$2,0))),"")</f>
        <v>0.15</v>
      </c>
      <c r="K319" s="6">
        <f t="array" ref="K319">_xlfn.IFNA((INDEX('DMR 001C TIN &amp; TP'!$A$3:$M$10005,MATCH(('Reg 85'!$I$6:$Q$6&amp;'Reg 85'!$I$10:$K$10&amp;'Reg 85'!$B319),('DMR 001C TIN &amp; TP'!$E$3:$E$10005&amp;'DMR 001C TIN &amp; TP'!$B$3:$B$10005&amp;'DMR 001C TIN &amp; TP'!$A$3:$A$10005),0),MATCH('Reg 85'!$K$11,'DMR 001C TIN &amp; TP'!$A$2:$M$2,0))),"")</f>
        <v>1.1399999999999999</v>
      </c>
      <c r="L319" s="53">
        <f t="shared" si="122"/>
        <v>1.1399999999999999</v>
      </c>
      <c r="M319" s="5" t="str">
        <f t="shared" si="111"/>
        <v/>
      </c>
      <c r="N319" s="6" t="str">
        <f t="array" ref="N319">_xlfn.IFNA((INDEX('DMR 001C TIN &amp; TP'!$A$3:$M$10005,MATCH(('Reg 85'!$I$6:$Q$6&amp;'Reg 85'!$M$10&amp;'Reg 85'!$B319),('DMR 001C TIN &amp; TP'!$E$3:$E$10005&amp;'DMR 001C TIN &amp; TP'!$B$3:$B$10005&amp;'DMR 001C TIN &amp; TP'!$A$3:$A$10005),0),MATCH('Reg 85'!$N$11,'DMR 001C TIN &amp; TP'!$A$2:$M$2,0))),"")</f>
        <v>0.15</v>
      </c>
      <c r="O319" s="6">
        <f t="array" ref="O319">_xlfn.IFNA((INDEX('DMR 001C TIN &amp; TP'!$A$3:$M$10005,MATCH(('Reg 85'!$I$6:$Q$6&amp;'Reg 85'!$M$10&amp;'Reg 85'!$B319),('DMR 001C TIN &amp; TP'!$E$3:$E$10005&amp;'DMR 001C TIN &amp; TP'!$B$3:$B$10005&amp;'DMR 001C TIN &amp; TP'!$A$3:$A$10005),0),MATCH('Reg 85'!$O$11,'DMR 001C TIN &amp; TP'!$A$2:$M$2,0))),"")</f>
        <v>1.1499999999999999</v>
      </c>
      <c r="P319" s="53">
        <f t="shared" si="112"/>
        <v>1.1499999999999999</v>
      </c>
      <c r="Q319" s="73">
        <f t="array" ref="Q319">IFERROR(((L319*$F319)+(P319*$G319))/($H319),"")</f>
        <v>1.1445943127569376</v>
      </c>
      <c r="R319" s="6" t="str">
        <f t="array" ref="R319">_xlfn.IFNA((INDEX('DMR 001C TIN &amp; TP'!$A$3:$M$10005,MATCH(('Reg 85'!$I$6:$Q$6&amp;'Reg 85'!R$10&amp;'Reg 85'!$B319),('DMR 001C TIN &amp; TP'!$E$3:$E$10005&amp;'DMR 001C TIN &amp; TP'!$B$3:$B$10005&amp;'DMR 001C TIN &amp; TP'!$A$3:$A$10005),0),MATCH('Reg 85'!$O$11,'DMR 001C TIN &amp; TP'!$A$2:$M$2,0))),"")</f>
        <v/>
      </c>
      <c r="S319" s="6" t="str">
        <f t="array" ref="S319">_xlfn.IFNA((INDEX('DMR 001C TIN &amp; TP'!$A$3:$M$10005,MATCH(('Reg 85'!$I$6:$Q$6&amp;'Reg 85'!S$10&amp;'Reg 85'!$B319),('DMR 001C TIN &amp; TP'!$E$3:$E$10005&amp;'DMR 001C TIN &amp; TP'!$B$3:$B$10005&amp;'DMR 001C TIN &amp; TP'!$A$3:$A$10005),0),MATCH('Reg 85'!$O$11,'DMR 001C TIN &amp; TP'!$A$2:$M$2,0))),"")</f>
        <v/>
      </c>
      <c r="T319" s="6" t="str">
        <f t="array" ref="T319">_xlfn.IFNA((INDEX('DMR 001C TIN &amp; TP'!$A$3:$M$10005,MATCH(('Reg 85'!$I$6:$Q$6&amp;'Reg 85'!T$10&amp;'Reg 85'!$B319),('DMR 001C TIN &amp; TP'!$E$3:$E$10005&amp;'DMR 001C TIN &amp; TP'!$B$3:$B$10005&amp;'DMR 001C TIN &amp; TP'!$A$3:$A$10005),0),MATCH('Reg 85'!$O$11,'DMR 001C TIN &amp; TP'!$A$2:$M$2,0))),"")</f>
        <v/>
      </c>
      <c r="U319" s="6" t="str">
        <f t="array" ref="U319">_xlfn.IFNA((INDEX('DMR 001C TIN &amp; TP'!$A$3:$M$10005,MATCH(('Reg 85'!$I$6:$Q$6&amp;'Reg 85'!U$10&amp;'Reg 85'!$B319),('DMR 001C TIN &amp; TP'!$E$3:$E$10005&amp;'DMR 001C TIN &amp; TP'!$B$3:$B$10005&amp;'DMR 001C TIN &amp; TP'!$A$3:$A$10005),0),MATCH('Reg 85'!$O$11,'DMR 001C TIN &amp; TP'!$A$2:$M$2,0))),"")</f>
        <v/>
      </c>
      <c r="V319" s="6" t="str">
        <f t="array" ref="V319">_xlfn.IFNA((INDEX('DMR 001C TIN &amp; TP'!$A$3:$M$10005,MATCH(('Reg 85'!$I$6:$Q$6&amp;'Reg 85'!V$10&amp;'Reg 85'!$B319),('DMR 001C TIN &amp; TP'!$E$3:$E$10005&amp;'DMR 001C TIN &amp; TP'!$B$3:$B$10005&amp;'DMR 001C TIN &amp; TP'!$A$3:$A$10005),0),MATCH('Reg 85'!$O$11,'DMR 001C TIN &amp; TP'!$A$2:$M$2,0))),"")</f>
        <v/>
      </c>
      <c r="W319" s="6" t="str">
        <f t="array" ref="W319">_xlfn.IFNA((INDEX('DMR 001C TIN &amp; TP'!$A$3:$M$10005,MATCH(('Reg 85'!$I$6:$Q$6&amp;'Reg 85'!W$10&amp;'Reg 85'!$B319),('DMR 001C TIN &amp; TP'!$E$3:$E$10005&amp;'DMR 001C TIN &amp; TP'!$B$3:$B$10005&amp;'DMR 001C TIN &amp; TP'!$A$3:$A$10005),0),MATCH('Reg 85'!$O$11,'DMR 001C TIN &amp; TP'!$A$2:$M$2,0))),"")</f>
        <v/>
      </c>
      <c r="X319" s="5" t="str">
        <f t="shared" si="113"/>
        <v/>
      </c>
      <c r="Y319" s="6" t="str">
        <f t="array" ref="Y319">_xlfn.IFNA((INDEX('DMR 001C TIN &amp; TP'!$A$3:$M$10005,MATCH(('Reg 85'!$X$6&amp;'Reg 85'!$X$10&amp;'Reg 85'!$B319),('DMR 001C TIN &amp; TP'!$E$3:$E$10005&amp;'DMR 001C TIN &amp; TP'!$B$3:$B$10005&amp;'DMR 001C TIN &amp; TP'!$A$3:$A$10005),0),MATCH('Reg 85'!$Y$11,'DMR 001C TIN &amp; TP'!$A$2:$M$2,0))),"")</f>
        <v>0.06</v>
      </c>
      <c r="Z319" s="6">
        <f t="array" ref="Z319">_xlfn.IFNA((INDEX('DMR 001C TIN &amp; TP'!$A$3:$M$10005,MATCH(('Reg 85'!$X$6&amp;'Reg 85'!$X$10&amp;'Reg 85'!$B319),('DMR 001C TIN &amp; TP'!$E$3:$E$10005&amp;'DMR 001C TIN &amp; TP'!$B$3:$B$10005&amp;'DMR 001C TIN &amp; TP'!$A$3:$A$10005),0),MATCH('Reg 85'!$Z$11,'DMR 001C TIN &amp; TP'!$A$2:$M$2,0))),"")</f>
        <v>4.7699999999999996</v>
      </c>
      <c r="AA319" s="53">
        <f t="shared" si="114"/>
        <v>4.7699999999999996</v>
      </c>
      <c r="AB319" s="5" t="str">
        <f t="shared" si="115"/>
        <v/>
      </c>
      <c r="AC319" s="6" t="str">
        <f t="array" ref="AC319">_xlfn.IFNA((INDEX('DMR 001C TIN &amp; TP'!$A$3:$M$10005,MATCH(('Reg 85'!$X$6&amp;'Reg 85'!$AB$10&amp;'Reg 85'!$B319),('DMR 001C TIN &amp; TP'!$E$3:$E$10005&amp;'DMR 001C TIN &amp; TP'!$B$3:$B$10005&amp;'DMR 001C TIN &amp; TP'!$A$3:$A$10005),0),MATCH('Reg 85'!$AC$11,'DMR 001C TIN &amp; TP'!$A$2:$M$2,0))),"")</f>
        <v>0.06</v>
      </c>
      <c r="AD319" s="6">
        <f t="array" ref="AD319">_xlfn.IFNA((INDEX('DMR 001C TIN &amp; TP'!$A$3:$M$10005,MATCH(('Reg 85'!$X$6&amp;'Reg 85'!$AB$10&amp;'Reg 85'!$B319),('DMR 001C TIN &amp; TP'!$E$3:$E$10005&amp;'DMR 001C TIN &amp; TP'!$B$3:$B$10005&amp;'DMR 001C TIN &amp; TP'!$A$3:$A$10005),0),MATCH('Reg 85'!$AD$11,'DMR 001C TIN &amp; TP'!$A$2:$M$2,0))),"")</f>
        <v>5.14</v>
      </c>
      <c r="AE319" s="53">
        <f t="shared" si="116"/>
        <v>5.14</v>
      </c>
      <c r="AF319" s="7">
        <f t="shared" si="117"/>
        <v>4.9399895720067013</v>
      </c>
      <c r="AG319" s="6" t="str">
        <f t="array" ref="AG319">_xlfn.IFNA((INDEX('DMR 001C TIN &amp; TP'!$A$3:$M$10005,MATCH(('Reg 85'!$X$6&amp;'Reg 85'!AG$10&amp;'Reg 85'!$B319),('DMR 001C TIN &amp; TP'!$E$3:$E$10005&amp;'DMR 001C TIN &amp; TP'!$B$3:$B$10005&amp;'DMR 001C TIN &amp; TP'!$A$3:$A$10005),0),MATCH('Reg 85'!$AG$11,'DMR 001C TIN &amp; TP'!$A$2:$M$2,0))),"")</f>
        <v/>
      </c>
      <c r="AH319" s="6" t="str">
        <f t="array" ref="AH319">_xlfn.IFNA((INDEX('DMR 001C TIN &amp; TP'!$A$3:$M$10005,MATCH(('Reg 85'!$X$6&amp;'Reg 85'!AH$10&amp;'Reg 85'!$B319),('DMR 001C TIN &amp; TP'!$E$3:$E$10005&amp;'DMR 001C TIN &amp; TP'!$B$3:$B$10005&amp;'DMR 001C TIN &amp; TP'!$A$3:$A$10005),0),MATCH('Reg 85'!$AG$11,'DMR 001C TIN &amp; TP'!$A$2:$M$2,0))),"")</f>
        <v/>
      </c>
      <c r="AI319" s="6" t="str">
        <f t="array" ref="AI319">_xlfn.IFNA((INDEX('DMR 001C TIN &amp; TP'!$A$3:$M$10005,MATCH(('Reg 85'!$X$6&amp;'Reg 85'!AI$10&amp;'Reg 85'!$B319),('DMR 001C TIN &amp; TP'!$E$3:$E$10005&amp;'DMR 001C TIN &amp; TP'!$B$3:$B$10005&amp;'DMR 001C TIN &amp; TP'!$A$3:$A$10005),0),MATCH('Reg 85'!$AG$11,'DMR 001C TIN &amp; TP'!$A$2:$M$2,0))),"")</f>
        <v/>
      </c>
      <c r="AJ319" s="6" t="str">
        <f t="array" ref="AJ319">_xlfn.IFNA((INDEX('DMR 001C TIN &amp; TP'!$A$3:$M$10005,MATCH(('Reg 85'!$X$6&amp;'Reg 85'!AJ$10&amp;'Reg 85'!$B319),('DMR 001C TIN &amp; TP'!$E$3:$E$10005&amp;'DMR 001C TIN &amp; TP'!$B$3:$B$10005&amp;'DMR 001C TIN &amp; TP'!$A$3:$A$10005),0),MATCH('Reg 85'!$AG$11,'DMR 001C TIN &amp; TP'!$A$2:$M$2,0))),"")</f>
        <v/>
      </c>
      <c r="AK319" s="6" t="str">
        <f t="array" ref="AK319">_xlfn.IFNA((INDEX('DMR 001C TIN &amp; TP'!$A$3:$M$10005,MATCH(('Reg 85'!$X$6&amp;'Reg 85'!AK$10&amp;'Reg 85'!$B319),('DMR 001C TIN &amp; TP'!$E$3:$E$10005&amp;'DMR 001C TIN &amp; TP'!$B$3:$B$10005&amp;'DMR 001C TIN &amp; TP'!$A$3:$A$10005),0),MATCH('Reg 85'!$AG$11,'DMR 001C TIN &amp; TP'!$A$2:$M$2,0))),"")</f>
        <v/>
      </c>
      <c r="AL319" s="6" t="str">
        <f t="array" ref="AL319">_xlfn.IFNA((INDEX('DMR 001C TIN &amp; TP'!$A$3:$M$10005,MATCH(('Reg 85'!$X$6&amp;'Reg 85'!AL$10&amp;'Reg 85'!$B319),('DMR 001C TIN &amp; TP'!$E$3:$E$10005&amp;'DMR 001C TIN &amp; TP'!$B$3:$B$10005&amp;'DMR 001C TIN &amp; TP'!$A$3:$A$10005),0),MATCH('Reg 85'!$AG$11,'DMR 001C TIN &amp; TP'!$A$2:$M$2,0))),"")</f>
        <v/>
      </c>
      <c r="AM319" s="76"/>
      <c r="AN319" s="6"/>
      <c r="AO319" s="54">
        <f t="shared" si="104"/>
        <v>6.0845838847636387</v>
      </c>
      <c r="AP319" s="77" t="str">
        <f t="shared" si="123"/>
        <v/>
      </c>
      <c r="AQ319" s="47"/>
      <c r="AR319" s="6" t="str">
        <f t="array" ref="AR319">_xlfn.IFNA((INDEX('DMR 001C TIN &amp; TP'!$A$3:$M$10005,MATCH(('Reg 85'!$AQ$6&amp;'Reg 85'!$AQ$10&amp;'Reg 85'!$B319),('DMR 001C TIN &amp; TP'!$E$3:$E$10005&amp;'DMR 001C TIN &amp; TP'!$B$3:$B$10005&amp;'DMR 001C TIN &amp; TP'!$A$3:$A$10005),0),MATCH('Reg 85'!$AR$11,'DMR 001C TIN &amp; TP'!$A$2:$M$2,0))),"")</f>
        <v/>
      </c>
      <c r="AS319" s="6" t="str">
        <f t="array" ref="AS319">_xlfn.IFNA((INDEX('DMR 001C TIN &amp; TP'!$A$3:$M$10005,MATCH(('Reg 85'!$AQ$6&amp;'Reg 85'!$AQ$10&amp;'Reg 85'!$B319),('DMR 001C TIN &amp; TP'!$E$3:$E$10005&amp;'DMR 001C TIN &amp; TP'!$B$3:$B$10005&amp;'DMR 001C TIN &amp; TP'!$A$3:$A$10005),0),MATCH('Reg 85'!$AS$11,'DMR 001C TIN &amp; TP'!$A$2:$M$2,0))),"")</f>
        <v/>
      </c>
      <c r="AT319" s="53" t="str">
        <f t="shared" si="118"/>
        <v/>
      </c>
      <c r="AV319" s="6" t="str">
        <f t="array" ref="AV319">_xlfn.IFNA((INDEX('DMR 001C TIN &amp; TP'!$A$3:$M$10005,MATCH(('Reg 85'!$AQ$6&amp;'Reg 85'!$AU$10&amp;'Reg 85'!$B319),('DMR 001C TIN &amp; TP'!$E$3:$E$10005&amp;'DMR 001C TIN &amp; TP'!$B$3:$B$10005&amp;'DMR 001C TIN &amp; TP'!$A$3:$A$10005),0),MATCH('Reg 85'!$AV$11,'DMR 001C TIN &amp; TP'!$A$2:$M$2,0))),"")</f>
        <v/>
      </c>
      <c r="AW319" s="6" t="str">
        <f t="array" ref="AW319">_xlfn.IFNA((INDEX('DMR 001C TIN &amp; TP'!$A$3:$M$10005,MATCH(('Reg 85'!$AQ$6&amp;'Reg 85'!$AU$10&amp;'Reg 85'!$B319),('DMR 001C TIN &amp; TP'!$E$3:$E$10005&amp;'DMR 001C TIN &amp; TP'!$B$3:$B$10005&amp;'DMR 001C TIN &amp; TP'!$A$3:$A$10005),0),MATCH('Reg 85'!$AW$11,'DMR 001C TIN &amp; TP'!$A$2:$M$2,0))),"")</f>
        <v/>
      </c>
      <c r="AX319" s="53" t="str">
        <f t="shared" si="119"/>
        <v/>
      </c>
      <c r="AY319" s="55" t="str">
        <f t="shared" si="120"/>
        <v/>
      </c>
      <c r="AZ319" s="77" t="str">
        <f t="shared" si="124"/>
        <v/>
      </c>
      <c r="BA319" s="6" t="str">
        <f t="array" ref="BA319">_xlfn.IFNA((INDEX('DMR 001C TIN &amp; TP'!$A$3:$M$10005,MATCH(('Reg 85'!$AQ$6&amp;'Reg 85'!BA$10&amp;'Reg 85'!$B319),('DMR 001C TIN &amp; TP'!$E$3:$E$10005&amp;'DMR 001C TIN &amp; TP'!$B$3:$B$10005&amp;'DMR 001C TIN &amp; TP'!$A$3:$A$10005),0),MATCH('Reg 85'!$AG$11,'DMR 001C TIN &amp; TP'!$A$2:$M$2,0))),"")</f>
        <v/>
      </c>
      <c r="BB319" s="6" t="str">
        <f t="array" ref="BB319">_xlfn.IFNA((INDEX('DMR 001C TIN &amp; TP'!$A$3:$M$10005,MATCH(('Reg 85'!$AQ$6&amp;'Reg 85'!BB$10&amp;'Reg 85'!$B319),('DMR 001C TIN &amp; TP'!$E$3:$E$10005&amp;'DMR 001C TIN &amp; TP'!$B$3:$B$10005&amp;'DMR 001C TIN &amp; TP'!$A$3:$A$10005),0),MATCH('Reg 85'!$AG$11,'DMR 001C TIN &amp; TP'!$A$2:$M$2,0))),"")</f>
        <v/>
      </c>
      <c r="BC319" s="6" t="str">
        <f t="array" ref="BC319">_xlfn.IFNA((INDEX('DMR 001C TIN &amp; TP'!$A$3:$M$10005,MATCH(('Reg 85'!$AQ$6&amp;'Reg 85'!BC$10&amp;'Reg 85'!$B319),('DMR 001C TIN &amp; TP'!$E$3:$E$10005&amp;'DMR 001C TIN &amp; TP'!$B$3:$B$10005&amp;'DMR 001C TIN &amp; TP'!$A$3:$A$10005),0),MATCH('Reg 85'!$AG$11,'DMR 001C TIN &amp; TP'!$A$2:$M$2,0))),"")</f>
        <v/>
      </c>
      <c r="BD319" s="6" t="str">
        <f t="array" ref="BD319">_xlfn.IFNA((INDEX('DMR 001C TIN &amp; TP'!$A$3:$M$10005,MATCH(('Reg 85'!$AQ$6&amp;'Reg 85'!BD$10&amp;'Reg 85'!$B319),('DMR 001C TIN &amp; TP'!$E$3:$E$10005&amp;'DMR 001C TIN &amp; TP'!$B$3:$B$10005&amp;'DMR 001C TIN &amp; TP'!$A$3:$A$10005),0),MATCH('Reg 85'!$AG$11,'DMR 001C TIN &amp; TP'!$A$2:$M$2,0))),"")</f>
        <v/>
      </c>
      <c r="BE319" s="6" t="str">
        <f t="array" ref="BE319">_xlfn.IFNA((INDEX('DMR 001C TIN &amp; TP'!$A$3:$M$10005,MATCH(('Reg 85'!$AQ$6&amp;'Reg 85'!BE$10&amp;'Reg 85'!$B319),('DMR 001C TIN &amp; TP'!$E$3:$E$10005&amp;'DMR 001C TIN &amp; TP'!$B$3:$B$10005&amp;'DMR 001C TIN &amp; TP'!$A$3:$A$10005),0),MATCH('Reg 85'!$AG$11,'DMR 001C TIN &amp; TP'!$A$2:$M$2,0))),"")</f>
        <v/>
      </c>
      <c r="BF319" s="6" t="str">
        <f t="array" ref="BF319">_xlfn.IFNA((INDEX('DMR 001C TIN &amp; TP'!$A$3:$M$10005,MATCH(('Reg 85'!$AQ$6&amp;'Reg 85'!BF$10&amp;'Reg 85'!$B319),('DMR 001C TIN &amp; TP'!$E$3:$E$10005&amp;'DMR 001C TIN &amp; TP'!$B$3:$B$10005&amp;'DMR 001C TIN &amp; TP'!$A$3:$A$10005),0),MATCH('Reg 85'!$AG$11,'DMR 001C TIN &amp; TP'!$A$2:$M$2,0))),"")</f>
        <v/>
      </c>
    </row>
    <row r="320" spans="1:58">
      <c r="A320" s="3" t="str">
        <f t="shared" si="105"/>
        <v>Sat</v>
      </c>
      <c r="B320" s="96">
        <f t="shared" si="121"/>
        <v>43652</v>
      </c>
      <c r="C320" s="96">
        <f t="shared" si="106"/>
        <v>43677</v>
      </c>
      <c r="D320" s="96">
        <f t="shared" si="107"/>
        <v>43647</v>
      </c>
      <c r="E320" s="95">
        <f t="shared" si="108"/>
        <v>31</v>
      </c>
      <c r="F320" s="7">
        <f t="array" ref="F320">_xlfn.IFNA(INDEX('DMR Flows-Effluent'!$A$3:$F$9999,MATCH(($F$10&amp;$B320),('DMR Flows-Effluent'!$B$3:$B$9999&amp;'DMR Flows-Effluent'!$A$3:$A$9999),0),MATCH($F$8,'DMR Flows-Effluent'!$A$2:$F$2,0)),"")</f>
        <v>70.898300000000006</v>
      </c>
      <c r="G320" s="7">
        <f t="array" ref="G320">_xlfn.IFNA(INDEX('DMR Flows-Effluent'!$A$3:$F$9999,MATCH(($G$10&amp;$B320),('DMR Flows-Effluent'!$B$3:$B$9999&amp;'DMR Flows-Effluent'!$A$3:$A$9999),0),MATCH($F$8,'DMR Flows-Effluent'!$A$2:$F$2,0)),"")</f>
        <v>61.081299999999999</v>
      </c>
      <c r="H320" s="7">
        <f t="shared" si="109"/>
        <v>131.9796</v>
      </c>
      <c r="I320" s="45" t="str">
        <f t="shared" si="110"/>
        <v/>
      </c>
      <c r="J320" s="6" t="str">
        <f t="array" ref="J320">_xlfn.IFNA((INDEX('DMR 001C TIN &amp; TP'!$A$3:$M$10005,MATCH(('Reg 85'!$I$6:$Q$6&amp;'Reg 85'!$I$10:$K$10&amp;'Reg 85'!$B320),('DMR 001C TIN &amp; TP'!$E$3:$E$10005&amp;'DMR 001C TIN &amp; TP'!$B$3:$B$10005&amp;'DMR 001C TIN &amp; TP'!$A$3:$A$10005),0),MATCH('Reg 85'!$J$11,'DMR 001C TIN &amp; TP'!$A$2:$M$2,0))),"")</f>
        <v>0.15</v>
      </c>
      <c r="K320" s="6">
        <f t="array" ref="K320">_xlfn.IFNA((INDEX('DMR 001C TIN &amp; TP'!$A$3:$M$10005,MATCH(('Reg 85'!$I$6:$Q$6&amp;'Reg 85'!$I$10:$K$10&amp;'Reg 85'!$B320),('DMR 001C TIN &amp; TP'!$E$3:$E$10005&amp;'DMR 001C TIN &amp; TP'!$B$3:$B$10005&amp;'DMR 001C TIN &amp; TP'!$A$3:$A$10005),0),MATCH('Reg 85'!$K$11,'DMR 001C TIN &amp; TP'!$A$2:$M$2,0))),"")</f>
        <v>1.3</v>
      </c>
      <c r="L320" s="53">
        <f t="shared" si="122"/>
        <v>1.3</v>
      </c>
      <c r="M320" s="5" t="str">
        <f t="shared" si="111"/>
        <v/>
      </c>
      <c r="N320" s="6" t="str">
        <f t="array" ref="N320">_xlfn.IFNA((INDEX('DMR 001C TIN &amp; TP'!$A$3:$M$10005,MATCH(('Reg 85'!$I$6:$Q$6&amp;'Reg 85'!$M$10&amp;'Reg 85'!$B320),('DMR 001C TIN &amp; TP'!$E$3:$E$10005&amp;'DMR 001C TIN &amp; TP'!$B$3:$B$10005&amp;'DMR 001C TIN &amp; TP'!$A$3:$A$10005),0),MATCH('Reg 85'!$N$11,'DMR 001C TIN &amp; TP'!$A$2:$M$2,0))),"")</f>
        <v>0.15</v>
      </c>
      <c r="O320" s="6">
        <f t="array" ref="O320">_xlfn.IFNA((INDEX('DMR 001C TIN &amp; TP'!$A$3:$M$10005,MATCH(('Reg 85'!$I$6:$Q$6&amp;'Reg 85'!$M$10&amp;'Reg 85'!$B320),('DMR 001C TIN &amp; TP'!$E$3:$E$10005&amp;'DMR 001C TIN &amp; TP'!$B$3:$B$10005&amp;'DMR 001C TIN &amp; TP'!$A$3:$A$10005),0),MATCH('Reg 85'!$O$11,'DMR 001C TIN &amp; TP'!$A$2:$M$2,0))),"")</f>
        <v>1.92</v>
      </c>
      <c r="P320" s="53">
        <f t="shared" si="112"/>
        <v>1.92</v>
      </c>
      <c r="Q320" s="73">
        <f t="array" ref="Q320">IFERROR(((L320*$F320)+(P320*$G320))/($H320),"")</f>
        <v>1.5869413606345224</v>
      </c>
      <c r="R320" s="6" t="str">
        <f t="array" ref="R320">_xlfn.IFNA((INDEX('DMR 001C TIN &amp; TP'!$A$3:$M$10005,MATCH(('Reg 85'!$I$6:$Q$6&amp;'Reg 85'!R$10&amp;'Reg 85'!$B320),('DMR 001C TIN &amp; TP'!$E$3:$E$10005&amp;'DMR 001C TIN &amp; TP'!$B$3:$B$10005&amp;'DMR 001C TIN &amp; TP'!$A$3:$A$10005),0),MATCH('Reg 85'!$O$11,'DMR 001C TIN &amp; TP'!$A$2:$M$2,0))),"")</f>
        <v/>
      </c>
      <c r="S320" s="6" t="str">
        <f t="array" ref="S320">_xlfn.IFNA((INDEX('DMR 001C TIN &amp; TP'!$A$3:$M$10005,MATCH(('Reg 85'!$I$6:$Q$6&amp;'Reg 85'!S$10&amp;'Reg 85'!$B320),('DMR 001C TIN &amp; TP'!$E$3:$E$10005&amp;'DMR 001C TIN &amp; TP'!$B$3:$B$10005&amp;'DMR 001C TIN &amp; TP'!$A$3:$A$10005),0),MATCH('Reg 85'!$O$11,'DMR 001C TIN &amp; TP'!$A$2:$M$2,0))),"")</f>
        <v/>
      </c>
      <c r="T320" s="6" t="str">
        <f t="array" ref="T320">_xlfn.IFNA((INDEX('DMR 001C TIN &amp; TP'!$A$3:$M$10005,MATCH(('Reg 85'!$I$6:$Q$6&amp;'Reg 85'!T$10&amp;'Reg 85'!$B320),('DMR 001C TIN &amp; TP'!$E$3:$E$10005&amp;'DMR 001C TIN &amp; TP'!$B$3:$B$10005&amp;'DMR 001C TIN &amp; TP'!$A$3:$A$10005),0),MATCH('Reg 85'!$O$11,'DMR 001C TIN &amp; TP'!$A$2:$M$2,0))),"")</f>
        <v/>
      </c>
      <c r="U320" s="6" t="str">
        <f t="array" ref="U320">_xlfn.IFNA((INDEX('DMR 001C TIN &amp; TP'!$A$3:$M$10005,MATCH(('Reg 85'!$I$6:$Q$6&amp;'Reg 85'!U$10&amp;'Reg 85'!$B320),('DMR 001C TIN &amp; TP'!$E$3:$E$10005&amp;'DMR 001C TIN &amp; TP'!$B$3:$B$10005&amp;'DMR 001C TIN &amp; TP'!$A$3:$A$10005),0),MATCH('Reg 85'!$O$11,'DMR 001C TIN &amp; TP'!$A$2:$M$2,0))),"")</f>
        <v/>
      </c>
      <c r="V320" s="6" t="str">
        <f t="array" ref="V320">_xlfn.IFNA((INDEX('DMR 001C TIN &amp; TP'!$A$3:$M$10005,MATCH(('Reg 85'!$I$6:$Q$6&amp;'Reg 85'!V$10&amp;'Reg 85'!$B320),('DMR 001C TIN &amp; TP'!$E$3:$E$10005&amp;'DMR 001C TIN &amp; TP'!$B$3:$B$10005&amp;'DMR 001C TIN &amp; TP'!$A$3:$A$10005),0),MATCH('Reg 85'!$O$11,'DMR 001C TIN &amp; TP'!$A$2:$M$2,0))),"")</f>
        <v/>
      </c>
      <c r="W320" s="6" t="str">
        <f t="array" ref="W320">_xlfn.IFNA((INDEX('DMR 001C TIN &amp; TP'!$A$3:$M$10005,MATCH(('Reg 85'!$I$6:$Q$6&amp;'Reg 85'!W$10&amp;'Reg 85'!$B320),('DMR 001C TIN &amp; TP'!$E$3:$E$10005&amp;'DMR 001C TIN &amp; TP'!$B$3:$B$10005&amp;'DMR 001C TIN &amp; TP'!$A$3:$A$10005),0),MATCH('Reg 85'!$O$11,'DMR 001C TIN &amp; TP'!$A$2:$M$2,0))),"")</f>
        <v/>
      </c>
      <c r="X320" s="5" t="str">
        <f t="shared" si="113"/>
        <v/>
      </c>
      <c r="Y320" s="6" t="str">
        <f t="array" ref="Y320">_xlfn.IFNA((INDEX('DMR 001C TIN &amp; TP'!$A$3:$M$10005,MATCH(('Reg 85'!$X$6&amp;'Reg 85'!$X$10&amp;'Reg 85'!$B320),('DMR 001C TIN &amp; TP'!$E$3:$E$10005&amp;'DMR 001C TIN &amp; TP'!$B$3:$B$10005&amp;'DMR 001C TIN &amp; TP'!$A$3:$A$10005),0),MATCH('Reg 85'!$Y$11,'DMR 001C TIN &amp; TP'!$A$2:$M$2,0))),"")</f>
        <v>0.06</v>
      </c>
      <c r="Z320" s="6">
        <f t="array" ref="Z320">_xlfn.IFNA((INDEX('DMR 001C TIN &amp; TP'!$A$3:$M$10005,MATCH(('Reg 85'!$X$6&amp;'Reg 85'!$X$10&amp;'Reg 85'!$B320),('DMR 001C TIN &amp; TP'!$E$3:$E$10005&amp;'DMR 001C TIN &amp; TP'!$B$3:$B$10005&amp;'DMR 001C TIN &amp; TP'!$A$3:$A$10005),0),MATCH('Reg 85'!$Z$11,'DMR 001C TIN &amp; TP'!$A$2:$M$2,0))),"")</f>
        <v>4.66</v>
      </c>
      <c r="AA320" s="53">
        <f t="shared" si="114"/>
        <v>4.66</v>
      </c>
      <c r="AB320" s="5" t="str">
        <f t="shared" si="115"/>
        <v/>
      </c>
      <c r="AC320" s="6" t="str">
        <f t="array" ref="AC320">_xlfn.IFNA((INDEX('DMR 001C TIN &amp; TP'!$A$3:$M$10005,MATCH(('Reg 85'!$X$6&amp;'Reg 85'!$AB$10&amp;'Reg 85'!$B320),('DMR 001C TIN &amp; TP'!$E$3:$E$10005&amp;'DMR 001C TIN &amp; TP'!$B$3:$B$10005&amp;'DMR 001C TIN &amp; TP'!$A$3:$A$10005),0),MATCH('Reg 85'!$AC$11,'DMR 001C TIN &amp; TP'!$A$2:$M$2,0))),"")</f>
        <v>0.06</v>
      </c>
      <c r="AD320" s="6">
        <f t="array" ref="AD320">_xlfn.IFNA((INDEX('DMR 001C TIN &amp; TP'!$A$3:$M$10005,MATCH(('Reg 85'!$X$6&amp;'Reg 85'!$AB$10&amp;'Reg 85'!$B320),('DMR 001C TIN &amp; TP'!$E$3:$E$10005&amp;'DMR 001C TIN &amp; TP'!$B$3:$B$10005&amp;'DMR 001C TIN &amp; TP'!$A$3:$A$10005),0),MATCH('Reg 85'!$AD$11,'DMR 001C TIN &amp; TP'!$A$2:$M$2,0))),"")</f>
        <v>4.91</v>
      </c>
      <c r="AE320" s="53">
        <f t="shared" si="116"/>
        <v>4.91</v>
      </c>
      <c r="AF320" s="7">
        <f t="shared" si="117"/>
        <v>4.7757021615461781</v>
      </c>
      <c r="AG320" s="6" t="str">
        <f t="array" ref="AG320">_xlfn.IFNA((INDEX('DMR 001C TIN &amp; TP'!$A$3:$M$10005,MATCH(('Reg 85'!$X$6&amp;'Reg 85'!AG$10&amp;'Reg 85'!$B320),('DMR 001C TIN &amp; TP'!$E$3:$E$10005&amp;'DMR 001C TIN &amp; TP'!$B$3:$B$10005&amp;'DMR 001C TIN &amp; TP'!$A$3:$A$10005),0),MATCH('Reg 85'!$AG$11,'DMR 001C TIN &amp; TP'!$A$2:$M$2,0))),"")</f>
        <v/>
      </c>
      <c r="AH320" s="6" t="str">
        <f t="array" ref="AH320">_xlfn.IFNA((INDEX('DMR 001C TIN &amp; TP'!$A$3:$M$10005,MATCH(('Reg 85'!$X$6&amp;'Reg 85'!AH$10&amp;'Reg 85'!$B320),('DMR 001C TIN &amp; TP'!$E$3:$E$10005&amp;'DMR 001C TIN &amp; TP'!$B$3:$B$10005&amp;'DMR 001C TIN &amp; TP'!$A$3:$A$10005),0),MATCH('Reg 85'!$AG$11,'DMR 001C TIN &amp; TP'!$A$2:$M$2,0))),"")</f>
        <v/>
      </c>
      <c r="AI320" s="6" t="str">
        <f t="array" ref="AI320">_xlfn.IFNA((INDEX('DMR 001C TIN &amp; TP'!$A$3:$M$10005,MATCH(('Reg 85'!$X$6&amp;'Reg 85'!AI$10&amp;'Reg 85'!$B320),('DMR 001C TIN &amp; TP'!$E$3:$E$10005&amp;'DMR 001C TIN &amp; TP'!$B$3:$B$10005&amp;'DMR 001C TIN &amp; TP'!$A$3:$A$10005),0),MATCH('Reg 85'!$AG$11,'DMR 001C TIN &amp; TP'!$A$2:$M$2,0))),"")</f>
        <v/>
      </c>
      <c r="AJ320" s="6" t="str">
        <f t="array" ref="AJ320">_xlfn.IFNA((INDEX('DMR 001C TIN &amp; TP'!$A$3:$M$10005,MATCH(('Reg 85'!$X$6&amp;'Reg 85'!AJ$10&amp;'Reg 85'!$B320),('DMR 001C TIN &amp; TP'!$E$3:$E$10005&amp;'DMR 001C TIN &amp; TP'!$B$3:$B$10005&amp;'DMR 001C TIN &amp; TP'!$A$3:$A$10005),0),MATCH('Reg 85'!$AG$11,'DMR 001C TIN &amp; TP'!$A$2:$M$2,0))),"")</f>
        <v/>
      </c>
      <c r="AK320" s="6" t="str">
        <f t="array" ref="AK320">_xlfn.IFNA((INDEX('DMR 001C TIN &amp; TP'!$A$3:$M$10005,MATCH(('Reg 85'!$X$6&amp;'Reg 85'!AK$10&amp;'Reg 85'!$B320),('DMR 001C TIN &amp; TP'!$E$3:$E$10005&amp;'DMR 001C TIN &amp; TP'!$B$3:$B$10005&amp;'DMR 001C TIN &amp; TP'!$A$3:$A$10005),0),MATCH('Reg 85'!$AG$11,'DMR 001C TIN &amp; TP'!$A$2:$M$2,0))),"")</f>
        <v/>
      </c>
      <c r="AL320" s="6" t="str">
        <f t="array" ref="AL320">_xlfn.IFNA((INDEX('DMR 001C TIN &amp; TP'!$A$3:$M$10005,MATCH(('Reg 85'!$X$6&amp;'Reg 85'!AL$10&amp;'Reg 85'!$B320),('DMR 001C TIN &amp; TP'!$E$3:$E$10005&amp;'DMR 001C TIN &amp; TP'!$B$3:$B$10005&amp;'DMR 001C TIN &amp; TP'!$A$3:$A$10005),0),MATCH('Reg 85'!$AG$11,'DMR 001C TIN &amp; TP'!$A$2:$M$2,0))),"")</f>
        <v/>
      </c>
      <c r="AM320" s="76"/>
      <c r="AN320" s="6"/>
      <c r="AO320" s="54">
        <f t="shared" si="104"/>
        <v>6.3626435221807007</v>
      </c>
      <c r="AP320" s="77" t="str">
        <f t="shared" si="123"/>
        <v/>
      </c>
      <c r="AQ320" s="47"/>
      <c r="AR320" s="6" t="str">
        <f t="array" ref="AR320">_xlfn.IFNA((INDEX('DMR 001C TIN &amp; TP'!$A$3:$M$10005,MATCH(('Reg 85'!$AQ$6&amp;'Reg 85'!$AQ$10&amp;'Reg 85'!$B320),('DMR 001C TIN &amp; TP'!$E$3:$E$10005&amp;'DMR 001C TIN &amp; TP'!$B$3:$B$10005&amp;'DMR 001C TIN &amp; TP'!$A$3:$A$10005),0),MATCH('Reg 85'!$AR$11,'DMR 001C TIN &amp; TP'!$A$2:$M$2,0))),"")</f>
        <v/>
      </c>
      <c r="AS320" s="6" t="str">
        <f t="array" ref="AS320">_xlfn.IFNA((INDEX('DMR 001C TIN &amp; TP'!$A$3:$M$10005,MATCH(('Reg 85'!$AQ$6&amp;'Reg 85'!$AQ$10&amp;'Reg 85'!$B320),('DMR 001C TIN &amp; TP'!$E$3:$E$10005&amp;'DMR 001C TIN &amp; TP'!$B$3:$B$10005&amp;'DMR 001C TIN &amp; TP'!$A$3:$A$10005),0),MATCH('Reg 85'!$AS$11,'DMR 001C TIN &amp; TP'!$A$2:$M$2,0))),"")</f>
        <v/>
      </c>
      <c r="AT320" s="53" t="str">
        <f t="shared" si="118"/>
        <v/>
      </c>
      <c r="AV320" s="6" t="str">
        <f t="array" ref="AV320">_xlfn.IFNA((INDEX('DMR 001C TIN &amp; TP'!$A$3:$M$10005,MATCH(('Reg 85'!$AQ$6&amp;'Reg 85'!$AU$10&amp;'Reg 85'!$B320),('DMR 001C TIN &amp; TP'!$E$3:$E$10005&amp;'DMR 001C TIN &amp; TP'!$B$3:$B$10005&amp;'DMR 001C TIN &amp; TP'!$A$3:$A$10005),0),MATCH('Reg 85'!$AV$11,'DMR 001C TIN &amp; TP'!$A$2:$M$2,0))),"")</f>
        <v/>
      </c>
      <c r="AW320" s="6" t="str">
        <f t="array" ref="AW320">_xlfn.IFNA((INDEX('DMR 001C TIN &amp; TP'!$A$3:$M$10005,MATCH(('Reg 85'!$AQ$6&amp;'Reg 85'!$AU$10&amp;'Reg 85'!$B320),('DMR 001C TIN &amp; TP'!$E$3:$E$10005&amp;'DMR 001C TIN &amp; TP'!$B$3:$B$10005&amp;'DMR 001C TIN &amp; TP'!$A$3:$A$10005),0),MATCH('Reg 85'!$AW$11,'DMR 001C TIN &amp; TP'!$A$2:$M$2,0))),"")</f>
        <v/>
      </c>
      <c r="AX320" s="53" t="str">
        <f t="shared" si="119"/>
        <v/>
      </c>
      <c r="AY320" s="55" t="str">
        <f t="shared" si="120"/>
        <v/>
      </c>
      <c r="AZ320" s="77" t="str">
        <f t="shared" si="124"/>
        <v/>
      </c>
      <c r="BA320" s="6" t="str">
        <f t="array" ref="BA320">_xlfn.IFNA((INDEX('DMR 001C TIN &amp; TP'!$A$3:$M$10005,MATCH(('Reg 85'!$AQ$6&amp;'Reg 85'!BA$10&amp;'Reg 85'!$B320),('DMR 001C TIN &amp; TP'!$E$3:$E$10005&amp;'DMR 001C TIN &amp; TP'!$B$3:$B$10005&amp;'DMR 001C TIN &amp; TP'!$A$3:$A$10005),0),MATCH('Reg 85'!$AG$11,'DMR 001C TIN &amp; TP'!$A$2:$M$2,0))),"")</f>
        <v/>
      </c>
      <c r="BB320" s="6" t="str">
        <f t="array" ref="BB320">_xlfn.IFNA((INDEX('DMR 001C TIN &amp; TP'!$A$3:$M$10005,MATCH(('Reg 85'!$AQ$6&amp;'Reg 85'!BB$10&amp;'Reg 85'!$B320),('DMR 001C TIN &amp; TP'!$E$3:$E$10005&amp;'DMR 001C TIN &amp; TP'!$B$3:$B$10005&amp;'DMR 001C TIN &amp; TP'!$A$3:$A$10005),0),MATCH('Reg 85'!$AG$11,'DMR 001C TIN &amp; TP'!$A$2:$M$2,0))),"")</f>
        <v/>
      </c>
      <c r="BC320" s="6" t="str">
        <f t="array" ref="BC320">_xlfn.IFNA((INDEX('DMR 001C TIN &amp; TP'!$A$3:$M$10005,MATCH(('Reg 85'!$AQ$6&amp;'Reg 85'!BC$10&amp;'Reg 85'!$B320),('DMR 001C TIN &amp; TP'!$E$3:$E$10005&amp;'DMR 001C TIN &amp; TP'!$B$3:$B$10005&amp;'DMR 001C TIN &amp; TP'!$A$3:$A$10005),0),MATCH('Reg 85'!$AG$11,'DMR 001C TIN &amp; TP'!$A$2:$M$2,0))),"")</f>
        <v/>
      </c>
      <c r="BD320" s="6" t="str">
        <f t="array" ref="BD320">_xlfn.IFNA((INDEX('DMR 001C TIN &amp; TP'!$A$3:$M$10005,MATCH(('Reg 85'!$AQ$6&amp;'Reg 85'!BD$10&amp;'Reg 85'!$B320),('DMR 001C TIN &amp; TP'!$E$3:$E$10005&amp;'DMR 001C TIN &amp; TP'!$B$3:$B$10005&amp;'DMR 001C TIN &amp; TP'!$A$3:$A$10005),0),MATCH('Reg 85'!$AG$11,'DMR 001C TIN &amp; TP'!$A$2:$M$2,0))),"")</f>
        <v/>
      </c>
      <c r="BE320" s="6" t="str">
        <f t="array" ref="BE320">_xlfn.IFNA((INDEX('DMR 001C TIN &amp; TP'!$A$3:$M$10005,MATCH(('Reg 85'!$AQ$6&amp;'Reg 85'!BE$10&amp;'Reg 85'!$B320),('DMR 001C TIN &amp; TP'!$E$3:$E$10005&amp;'DMR 001C TIN &amp; TP'!$B$3:$B$10005&amp;'DMR 001C TIN &amp; TP'!$A$3:$A$10005),0),MATCH('Reg 85'!$AG$11,'DMR 001C TIN &amp; TP'!$A$2:$M$2,0))),"")</f>
        <v/>
      </c>
      <c r="BF320" s="6" t="str">
        <f t="array" ref="BF320">_xlfn.IFNA((INDEX('DMR 001C TIN &amp; TP'!$A$3:$M$10005,MATCH(('Reg 85'!$AQ$6&amp;'Reg 85'!BF$10&amp;'Reg 85'!$B320),('DMR 001C TIN &amp; TP'!$E$3:$E$10005&amp;'DMR 001C TIN &amp; TP'!$B$3:$B$10005&amp;'DMR 001C TIN &amp; TP'!$A$3:$A$10005),0),MATCH('Reg 85'!$AG$11,'DMR 001C TIN &amp; TP'!$A$2:$M$2,0))),"")</f>
        <v/>
      </c>
    </row>
    <row r="321" spans="1:58">
      <c r="A321" s="3" t="str">
        <f t="shared" si="105"/>
        <v>Sun</v>
      </c>
      <c r="B321" s="96">
        <f t="shared" si="121"/>
        <v>43653</v>
      </c>
      <c r="C321" s="96">
        <f t="shared" si="106"/>
        <v>43677</v>
      </c>
      <c r="D321" s="96">
        <f t="shared" si="107"/>
        <v>43647</v>
      </c>
      <c r="E321" s="95">
        <f t="shared" si="108"/>
        <v>31</v>
      </c>
      <c r="F321" s="7">
        <f t="array" ref="F321">_xlfn.IFNA(INDEX('DMR Flows-Effluent'!$A$3:$F$9999,MATCH(($F$10&amp;$B321),('DMR Flows-Effluent'!$B$3:$B$9999&amp;'DMR Flows-Effluent'!$A$3:$A$9999),0),MATCH($F$8,'DMR Flows-Effluent'!$A$2:$F$2,0)),"")</f>
        <v>69.666700000000006</v>
      </c>
      <c r="G321" s="7">
        <f t="array" ref="G321">_xlfn.IFNA(INDEX('DMR Flows-Effluent'!$A$3:$F$9999,MATCH(($G$10&amp;$B321),('DMR Flows-Effluent'!$B$3:$B$9999&amp;'DMR Flows-Effluent'!$A$3:$A$9999),0),MATCH($F$8,'DMR Flows-Effluent'!$A$2:$F$2,0)),"")</f>
        <v>63.609000000000002</v>
      </c>
      <c r="H321" s="7">
        <f t="shared" si="109"/>
        <v>133.2757</v>
      </c>
      <c r="I321" s="45" t="str">
        <f t="shared" si="110"/>
        <v/>
      </c>
      <c r="J321" s="6" t="str">
        <f t="array" ref="J321">_xlfn.IFNA((INDEX('DMR 001C TIN &amp; TP'!$A$3:$M$10005,MATCH(('Reg 85'!$I$6:$Q$6&amp;'Reg 85'!$I$10:$K$10&amp;'Reg 85'!$B321),('DMR 001C TIN &amp; TP'!$E$3:$E$10005&amp;'DMR 001C TIN &amp; TP'!$B$3:$B$10005&amp;'DMR 001C TIN &amp; TP'!$A$3:$A$10005),0),MATCH('Reg 85'!$J$11,'DMR 001C TIN &amp; TP'!$A$2:$M$2,0))),"")</f>
        <v>0.15</v>
      </c>
      <c r="K321" s="6">
        <f t="array" ref="K321">_xlfn.IFNA((INDEX('DMR 001C TIN &amp; TP'!$A$3:$M$10005,MATCH(('Reg 85'!$I$6:$Q$6&amp;'Reg 85'!$I$10:$K$10&amp;'Reg 85'!$B321),('DMR 001C TIN &amp; TP'!$E$3:$E$10005&amp;'DMR 001C TIN &amp; TP'!$B$3:$B$10005&amp;'DMR 001C TIN &amp; TP'!$A$3:$A$10005),0),MATCH('Reg 85'!$K$11,'DMR 001C TIN &amp; TP'!$A$2:$M$2,0))),"")</f>
        <v>1.04</v>
      </c>
      <c r="L321" s="53">
        <f t="shared" si="122"/>
        <v>1.04</v>
      </c>
      <c r="M321" s="5" t="str">
        <f t="shared" si="111"/>
        <v/>
      </c>
      <c r="N321" s="6" t="str">
        <f t="array" ref="N321">_xlfn.IFNA((INDEX('DMR 001C TIN &amp; TP'!$A$3:$M$10005,MATCH(('Reg 85'!$I$6:$Q$6&amp;'Reg 85'!$M$10&amp;'Reg 85'!$B321),('DMR 001C TIN &amp; TP'!$E$3:$E$10005&amp;'DMR 001C TIN &amp; TP'!$B$3:$B$10005&amp;'DMR 001C TIN &amp; TP'!$A$3:$A$10005),0),MATCH('Reg 85'!$N$11,'DMR 001C TIN &amp; TP'!$A$2:$M$2,0))),"")</f>
        <v>0.15</v>
      </c>
      <c r="O321" s="6">
        <f t="array" ref="O321">_xlfn.IFNA((INDEX('DMR 001C TIN &amp; TP'!$A$3:$M$10005,MATCH(('Reg 85'!$I$6:$Q$6&amp;'Reg 85'!$M$10&amp;'Reg 85'!$B321),('DMR 001C TIN &amp; TP'!$E$3:$E$10005&amp;'DMR 001C TIN &amp; TP'!$B$3:$B$10005&amp;'DMR 001C TIN &amp; TP'!$A$3:$A$10005),0),MATCH('Reg 85'!$O$11,'DMR 001C TIN &amp; TP'!$A$2:$M$2,0))),"")</f>
        <v>1.89</v>
      </c>
      <c r="P321" s="53">
        <f t="shared" si="112"/>
        <v>1.89</v>
      </c>
      <c r="Q321" s="73">
        <f t="array" ref="Q321">IFERROR(((L321*$F321)+(P321*$G321))/($H321),"")</f>
        <v>1.4456827313606306</v>
      </c>
      <c r="R321" s="6" t="str">
        <f t="array" ref="R321">_xlfn.IFNA((INDEX('DMR 001C TIN &amp; TP'!$A$3:$M$10005,MATCH(('Reg 85'!$I$6:$Q$6&amp;'Reg 85'!R$10&amp;'Reg 85'!$B321),('DMR 001C TIN &amp; TP'!$E$3:$E$10005&amp;'DMR 001C TIN &amp; TP'!$B$3:$B$10005&amp;'DMR 001C TIN &amp; TP'!$A$3:$A$10005),0),MATCH('Reg 85'!$O$11,'DMR 001C TIN &amp; TP'!$A$2:$M$2,0))),"")</f>
        <v/>
      </c>
      <c r="S321" s="6" t="str">
        <f t="array" ref="S321">_xlfn.IFNA((INDEX('DMR 001C TIN &amp; TP'!$A$3:$M$10005,MATCH(('Reg 85'!$I$6:$Q$6&amp;'Reg 85'!S$10&amp;'Reg 85'!$B321),('DMR 001C TIN &amp; TP'!$E$3:$E$10005&amp;'DMR 001C TIN &amp; TP'!$B$3:$B$10005&amp;'DMR 001C TIN &amp; TP'!$A$3:$A$10005),0),MATCH('Reg 85'!$O$11,'DMR 001C TIN &amp; TP'!$A$2:$M$2,0))),"")</f>
        <v/>
      </c>
      <c r="T321" s="6" t="str">
        <f t="array" ref="T321">_xlfn.IFNA((INDEX('DMR 001C TIN &amp; TP'!$A$3:$M$10005,MATCH(('Reg 85'!$I$6:$Q$6&amp;'Reg 85'!T$10&amp;'Reg 85'!$B321),('DMR 001C TIN &amp; TP'!$E$3:$E$10005&amp;'DMR 001C TIN &amp; TP'!$B$3:$B$10005&amp;'DMR 001C TIN &amp; TP'!$A$3:$A$10005),0),MATCH('Reg 85'!$O$11,'DMR 001C TIN &amp; TP'!$A$2:$M$2,0))),"")</f>
        <v/>
      </c>
      <c r="U321" s="6" t="str">
        <f t="array" ref="U321">_xlfn.IFNA((INDEX('DMR 001C TIN &amp; TP'!$A$3:$M$10005,MATCH(('Reg 85'!$I$6:$Q$6&amp;'Reg 85'!U$10&amp;'Reg 85'!$B321),('DMR 001C TIN &amp; TP'!$E$3:$E$10005&amp;'DMR 001C TIN &amp; TP'!$B$3:$B$10005&amp;'DMR 001C TIN &amp; TP'!$A$3:$A$10005),0),MATCH('Reg 85'!$O$11,'DMR 001C TIN &amp; TP'!$A$2:$M$2,0))),"")</f>
        <v/>
      </c>
      <c r="V321" s="6" t="str">
        <f t="array" ref="V321">_xlfn.IFNA((INDEX('DMR 001C TIN &amp; TP'!$A$3:$M$10005,MATCH(('Reg 85'!$I$6:$Q$6&amp;'Reg 85'!V$10&amp;'Reg 85'!$B321),('DMR 001C TIN &amp; TP'!$E$3:$E$10005&amp;'DMR 001C TIN &amp; TP'!$B$3:$B$10005&amp;'DMR 001C TIN &amp; TP'!$A$3:$A$10005),0),MATCH('Reg 85'!$O$11,'DMR 001C TIN &amp; TP'!$A$2:$M$2,0))),"")</f>
        <v/>
      </c>
      <c r="W321" s="6" t="str">
        <f t="array" ref="W321">_xlfn.IFNA((INDEX('DMR 001C TIN &amp; TP'!$A$3:$M$10005,MATCH(('Reg 85'!$I$6:$Q$6&amp;'Reg 85'!W$10&amp;'Reg 85'!$B321),('DMR 001C TIN &amp; TP'!$E$3:$E$10005&amp;'DMR 001C TIN &amp; TP'!$B$3:$B$10005&amp;'DMR 001C TIN &amp; TP'!$A$3:$A$10005),0),MATCH('Reg 85'!$O$11,'DMR 001C TIN &amp; TP'!$A$2:$M$2,0))),"")</f>
        <v/>
      </c>
      <c r="X321" s="5" t="str">
        <f t="shared" si="113"/>
        <v/>
      </c>
      <c r="Y321" s="6" t="str">
        <f t="array" ref="Y321">_xlfn.IFNA((INDEX('DMR 001C TIN &amp; TP'!$A$3:$M$10005,MATCH(('Reg 85'!$X$6&amp;'Reg 85'!$X$10&amp;'Reg 85'!$B321),('DMR 001C TIN &amp; TP'!$E$3:$E$10005&amp;'DMR 001C TIN &amp; TP'!$B$3:$B$10005&amp;'DMR 001C TIN &amp; TP'!$A$3:$A$10005),0),MATCH('Reg 85'!$Y$11,'DMR 001C TIN &amp; TP'!$A$2:$M$2,0))),"")</f>
        <v>0.06</v>
      </c>
      <c r="Z321" s="6">
        <f t="array" ref="Z321">_xlfn.IFNA((INDEX('DMR 001C TIN &amp; TP'!$A$3:$M$10005,MATCH(('Reg 85'!$X$6&amp;'Reg 85'!$X$10&amp;'Reg 85'!$B321),('DMR 001C TIN &amp; TP'!$E$3:$E$10005&amp;'DMR 001C TIN &amp; TP'!$B$3:$B$10005&amp;'DMR 001C TIN &amp; TP'!$A$3:$A$10005),0),MATCH('Reg 85'!$Z$11,'DMR 001C TIN &amp; TP'!$A$2:$M$2,0))),"")</f>
        <v>4.58</v>
      </c>
      <c r="AA321" s="53">
        <f t="shared" si="114"/>
        <v>4.58</v>
      </c>
      <c r="AB321" s="5" t="str">
        <f t="shared" si="115"/>
        <v/>
      </c>
      <c r="AC321" s="6" t="str">
        <f t="array" ref="AC321">_xlfn.IFNA((INDEX('DMR 001C TIN &amp; TP'!$A$3:$M$10005,MATCH(('Reg 85'!$X$6&amp;'Reg 85'!$AB$10&amp;'Reg 85'!$B321),('DMR 001C TIN &amp; TP'!$E$3:$E$10005&amp;'DMR 001C TIN &amp; TP'!$B$3:$B$10005&amp;'DMR 001C TIN &amp; TP'!$A$3:$A$10005),0),MATCH('Reg 85'!$AC$11,'DMR 001C TIN &amp; TP'!$A$2:$M$2,0))),"")</f>
        <v>0.18</v>
      </c>
      <c r="AD321" s="6">
        <f t="array" ref="AD321">_xlfn.IFNA((INDEX('DMR 001C TIN &amp; TP'!$A$3:$M$10005,MATCH(('Reg 85'!$X$6&amp;'Reg 85'!$AB$10&amp;'Reg 85'!$B321),('DMR 001C TIN &amp; TP'!$E$3:$E$10005&amp;'DMR 001C TIN &amp; TP'!$B$3:$B$10005&amp;'DMR 001C TIN &amp; TP'!$A$3:$A$10005),0),MATCH('Reg 85'!$AD$11,'DMR 001C TIN &amp; TP'!$A$2:$M$2,0))),"")</f>
        <v>5.18</v>
      </c>
      <c r="AE321" s="53">
        <f t="shared" si="116"/>
        <v>5.18</v>
      </c>
      <c r="AF321" s="7">
        <f t="shared" si="117"/>
        <v>4.8663642809604459</v>
      </c>
      <c r="AG321" s="6" t="str">
        <f t="array" ref="AG321">_xlfn.IFNA((INDEX('DMR 001C TIN &amp; TP'!$A$3:$M$10005,MATCH(('Reg 85'!$X$6&amp;'Reg 85'!AG$10&amp;'Reg 85'!$B321),('DMR 001C TIN &amp; TP'!$E$3:$E$10005&amp;'DMR 001C TIN &amp; TP'!$B$3:$B$10005&amp;'DMR 001C TIN &amp; TP'!$A$3:$A$10005),0),MATCH('Reg 85'!$AG$11,'DMR 001C TIN &amp; TP'!$A$2:$M$2,0))),"")</f>
        <v/>
      </c>
      <c r="AH321" s="6" t="str">
        <f t="array" ref="AH321">_xlfn.IFNA((INDEX('DMR 001C TIN &amp; TP'!$A$3:$M$10005,MATCH(('Reg 85'!$X$6&amp;'Reg 85'!AH$10&amp;'Reg 85'!$B321),('DMR 001C TIN &amp; TP'!$E$3:$E$10005&amp;'DMR 001C TIN &amp; TP'!$B$3:$B$10005&amp;'DMR 001C TIN &amp; TP'!$A$3:$A$10005),0),MATCH('Reg 85'!$AG$11,'DMR 001C TIN &amp; TP'!$A$2:$M$2,0))),"")</f>
        <v/>
      </c>
      <c r="AI321" s="6" t="str">
        <f t="array" ref="AI321">_xlfn.IFNA((INDEX('DMR 001C TIN &amp; TP'!$A$3:$M$10005,MATCH(('Reg 85'!$X$6&amp;'Reg 85'!AI$10&amp;'Reg 85'!$B321),('DMR 001C TIN &amp; TP'!$E$3:$E$10005&amp;'DMR 001C TIN &amp; TP'!$B$3:$B$10005&amp;'DMR 001C TIN &amp; TP'!$A$3:$A$10005),0),MATCH('Reg 85'!$AG$11,'DMR 001C TIN &amp; TP'!$A$2:$M$2,0))),"")</f>
        <v/>
      </c>
      <c r="AJ321" s="6" t="str">
        <f t="array" ref="AJ321">_xlfn.IFNA((INDEX('DMR 001C TIN &amp; TP'!$A$3:$M$10005,MATCH(('Reg 85'!$X$6&amp;'Reg 85'!AJ$10&amp;'Reg 85'!$B321),('DMR 001C TIN &amp; TP'!$E$3:$E$10005&amp;'DMR 001C TIN &amp; TP'!$B$3:$B$10005&amp;'DMR 001C TIN &amp; TP'!$A$3:$A$10005),0),MATCH('Reg 85'!$AG$11,'DMR 001C TIN &amp; TP'!$A$2:$M$2,0))),"")</f>
        <v/>
      </c>
      <c r="AK321" s="6" t="str">
        <f t="array" ref="AK321">_xlfn.IFNA((INDEX('DMR 001C TIN &amp; TP'!$A$3:$M$10005,MATCH(('Reg 85'!$X$6&amp;'Reg 85'!AK$10&amp;'Reg 85'!$B321),('DMR 001C TIN &amp; TP'!$E$3:$E$10005&amp;'DMR 001C TIN &amp; TP'!$B$3:$B$10005&amp;'DMR 001C TIN &amp; TP'!$A$3:$A$10005),0),MATCH('Reg 85'!$AG$11,'DMR 001C TIN &amp; TP'!$A$2:$M$2,0))),"")</f>
        <v/>
      </c>
      <c r="AL321" s="6" t="str">
        <f t="array" ref="AL321">_xlfn.IFNA((INDEX('DMR 001C TIN &amp; TP'!$A$3:$M$10005,MATCH(('Reg 85'!$X$6&amp;'Reg 85'!AL$10&amp;'Reg 85'!$B321),('DMR 001C TIN &amp; TP'!$E$3:$E$10005&amp;'DMR 001C TIN &amp; TP'!$B$3:$B$10005&amp;'DMR 001C TIN &amp; TP'!$A$3:$A$10005),0),MATCH('Reg 85'!$AG$11,'DMR 001C TIN &amp; TP'!$A$2:$M$2,0))),"")</f>
        <v/>
      </c>
      <c r="AM321" s="76"/>
      <c r="AN321" s="6"/>
      <c r="AO321" s="54">
        <f t="shared" si="104"/>
        <v>6.3120470123210763</v>
      </c>
      <c r="AP321" s="77" t="str">
        <f t="shared" si="123"/>
        <v/>
      </c>
      <c r="AQ321" s="47"/>
      <c r="AR321" s="6" t="str">
        <f t="array" ref="AR321">_xlfn.IFNA((INDEX('DMR 001C TIN &amp; TP'!$A$3:$M$10005,MATCH(('Reg 85'!$AQ$6&amp;'Reg 85'!$AQ$10&amp;'Reg 85'!$B321),('DMR 001C TIN &amp; TP'!$E$3:$E$10005&amp;'DMR 001C TIN &amp; TP'!$B$3:$B$10005&amp;'DMR 001C TIN &amp; TP'!$A$3:$A$10005),0),MATCH('Reg 85'!$AR$11,'DMR 001C TIN &amp; TP'!$A$2:$M$2,0))),"")</f>
        <v/>
      </c>
      <c r="AS321" s="6" t="str">
        <f t="array" ref="AS321">_xlfn.IFNA((INDEX('DMR 001C TIN &amp; TP'!$A$3:$M$10005,MATCH(('Reg 85'!$AQ$6&amp;'Reg 85'!$AQ$10&amp;'Reg 85'!$B321),('DMR 001C TIN &amp; TP'!$E$3:$E$10005&amp;'DMR 001C TIN &amp; TP'!$B$3:$B$10005&amp;'DMR 001C TIN &amp; TP'!$A$3:$A$10005),0),MATCH('Reg 85'!$AS$11,'DMR 001C TIN &amp; TP'!$A$2:$M$2,0))),"")</f>
        <v/>
      </c>
      <c r="AT321" s="53" t="str">
        <f t="shared" si="118"/>
        <v/>
      </c>
      <c r="AV321" s="6" t="str">
        <f t="array" ref="AV321">_xlfn.IFNA((INDEX('DMR 001C TIN &amp; TP'!$A$3:$M$10005,MATCH(('Reg 85'!$AQ$6&amp;'Reg 85'!$AU$10&amp;'Reg 85'!$B321),('DMR 001C TIN &amp; TP'!$E$3:$E$10005&amp;'DMR 001C TIN &amp; TP'!$B$3:$B$10005&amp;'DMR 001C TIN &amp; TP'!$A$3:$A$10005),0),MATCH('Reg 85'!$AV$11,'DMR 001C TIN &amp; TP'!$A$2:$M$2,0))),"")</f>
        <v/>
      </c>
      <c r="AW321" s="6" t="str">
        <f t="array" ref="AW321">_xlfn.IFNA((INDEX('DMR 001C TIN &amp; TP'!$A$3:$M$10005,MATCH(('Reg 85'!$AQ$6&amp;'Reg 85'!$AU$10&amp;'Reg 85'!$B321),('DMR 001C TIN &amp; TP'!$E$3:$E$10005&amp;'DMR 001C TIN &amp; TP'!$B$3:$B$10005&amp;'DMR 001C TIN &amp; TP'!$A$3:$A$10005),0),MATCH('Reg 85'!$AW$11,'DMR 001C TIN &amp; TP'!$A$2:$M$2,0))),"")</f>
        <v/>
      </c>
      <c r="AX321" s="53" t="str">
        <f t="shared" si="119"/>
        <v/>
      </c>
      <c r="AY321" s="55" t="str">
        <f t="shared" si="120"/>
        <v/>
      </c>
      <c r="AZ321" s="77" t="str">
        <f t="shared" si="124"/>
        <v/>
      </c>
      <c r="BA321" s="6" t="str">
        <f t="array" ref="BA321">_xlfn.IFNA((INDEX('DMR 001C TIN &amp; TP'!$A$3:$M$10005,MATCH(('Reg 85'!$AQ$6&amp;'Reg 85'!BA$10&amp;'Reg 85'!$B321),('DMR 001C TIN &amp; TP'!$E$3:$E$10005&amp;'DMR 001C TIN &amp; TP'!$B$3:$B$10005&amp;'DMR 001C TIN &amp; TP'!$A$3:$A$10005),0),MATCH('Reg 85'!$AG$11,'DMR 001C TIN &amp; TP'!$A$2:$M$2,0))),"")</f>
        <v/>
      </c>
      <c r="BB321" s="6" t="str">
        <f t="array" ref="BB321">_xlfn.IFNA((INDEX('DMR 001C TIN &amp; TP'!$A$3:$M$10005,MATCH(('Reg 85'!$AQ$6&amp;'Reg 85'!BB$10&amp;'Reg 85'!$B321),('DMR 001C TIN &amp; TP'!$E$3:$E$10005&amp;'DMR 001C TIN &amp; TP'!$B$3:$B$10005&amp;'DMR 001C TIN &amp; TP'!$A$3:$A$10005),0),MATCH('Reg 85'!$AG$11,'DMR 001C TIN &amp; TP'!$A$2:$M$2,0))),"")</f>
        <v/>
      </c>
      <c r="BC321" s="6" t="str">
        <f t="array" ref="BC321">_xlfn.IFNA((INDEX('DMR 001C TIN &amp; TP'!$A$3:$M$10005,MATCH(('Reg 85'!$AQ$6&amp;'Reg 85'!BC$10&amp;'Reg 85'!$B321),('DMR 001C TIN &amp; TP'!$E$3:$E$10005&amp;'DMR 001C TIN &amp; TP'!$B$3:$B$10005&amp;'DMR 001C TIN &amp; TP'!$A$3:$A$10005),0),MATCH('Reg 85'!$AG$11,'DMR 001C TIN &amp; TP'!$A$2:$M$2,0))),"")</f>
        <v/>
      </c>
      <c r="BD321" s="6" t="str">
        <f t="array" ref="BD321">_xlfn.IFNA((INDEX('DMR 001C TIN &amp; TP'!$A$3:$M$10005,MATCH(('Reg 85'!$AQ$6&amp;'Reg 85'!BD$10&amp;'Reg 85'!$B321),('DMR 001C TIN &amp; TP'!$E$3:$E$10005&amp;'DMR 001C TIN &amp; TP'!$B$3:$B$10005&amp;'DMR 001C TIN &amp; TP'!$A$3:$A$10005),0),MATCH('Reg 85'!$AG$11,'DMR 001C TIN &amp; TP'!$A$2:$M$2,0))),"")</f>
        <v/>
      </c>
      <c r="BE321" s="6" t="str">
        <f t="array" ref="BE321">_xlfn.IFNA((INDEX('DMR 001C TIN &amp; TP'!$A$3:$M$10005,MATCH(('Reg 85'!$AQ$6&amp;'Reg 85'!BE$10&amp;'Reg 85'!$B321),('DMR 001C TIN &amp; TP'!$E$3:$E$10005&amp;'DMR 001C TIN &amp; TP'!$B$3:$B$10005&amp;'DMR 001C TIN &amp; TP'!$A$3:$A$10005),0),MATCH('Reg 85'!$AG$11,'DMR 001C TIN &amp; TP'!$A$2:$M$2,0))),"")</f>
        <v/>
      </c>
      <c r="BF321" s="6" t="str">
        <f t="array" ref="BF321">_xlfn.IFNA((INDEX('DMR 001C TIN &amp; TP'!$A$3:$M$10005,MATCH(('Reg 85'!$AQ$6&amp;'Reg 85'!BF$10&amp;'Reg 85'!$B321),('DMR 001C TIN &amp; TP'!$E$3:$E$10005&amp;'DMR 001C TIN &amp; TP'!$B$3:$B$10005&amp;'DMR 001C TIN &amp; TP'!$A$3:$A$10005),0),MATCH('Reg 85'!$AG$11,'DMR 001C TIN &amp; TP'!$A$2:$M$2,0))),"")</f>
        <v/>
      </c>
    </row>
    <row r="322" spans="1:58">
      <c r="A322" s="3" t="str">
        <f t="shared" si="105"/>
        <v>Mon</v>
      </c>
      <c r="B322" s="96">
        <f t="shared" si="121"/>
        <v>43654</v>
      </c>
      <c r="C322" s="96">
        <f t="shared" si="106"/>
        <v>43677</v>
      </c>
      <c r="D322" s="96">
        <f t="shared" si="107"/>
        <v>43647</v>
      </c>
      <c r="E322" s="95">
        <f t="shared" si="108"/>
        <v>31</v>
      </c>
      <c r="F322" s="7">
        <f t="array" ref="F322">_xlfn.IFNA(INDEX('DMR Flows-Effluent'!$A$3:$F$9999,MATCH(($F$10&amp;$B322),('DMR Flows-Effluent'!$B$3:$B$9999&amp;'DMR Flows-Effluent'!$A$3:$A$9999),0),MATCH($F$8,'DMR Flows-Effluent'!$A$2:$F$2,0)),"")</f>
        <v>74.011200000000002</v>
      </c>
      <c r="G322" s="7">
        <f t="array" ref="G322">_xlfn.IFNA(INDEX('DMR Flows-Effluent'!$A$3:$F$9999,MATCH(($G$10&amp;$B322),('DMR Flows-Effluent'!$B$3:$B$9999&amp;'DMR Flows-Effluent'!$A$3:$A$9999),0),MATCH($F$8,'DMR Flows-Effluent'!$A$2:$F$2,0)),"")</f>
        <v>58.807699999999997</v>
      </c>
      <c r="H322" s="7">
        <f t="shared" si="109"/>
        <v>132.81889999999999</v>
      </c>
      <c r="I322" s="45" t="str">
        <f t="shared" si="110"/>
        <v/>
      </c>
      <c r="J322" s="6" t="str">
        <f t="array" ref="J322">_xlfn.IFNA((INDEX('DMR 001C TIN &amp; TP'!$A$3:$M$10005,MATCH(('Reg 85'!$I$6:$Q$6&amp;'Reg 85'!$I$10:$K$10&amp;'Reg 85'!$B322),('DMR 001C TIN &amp; TP'!$E$3:$E$10005&amp;'DMR 001C TIN &amp; TP'!$B$3:$B$10005&amp;'DMR 001C TIN &amp; TP'!$A$3:$A$10005),0),MATCH('Reg 85'!$J$11,'DMR 001C TIN &amp; TP'!$A$2:$M$2,0))),"")</f>
        <v>0.15</v>
      </c>
      <c r="K322" s="6">
        <f t="array" ref="K322">_xlfn.IFNA((INDEX('DMR 001C TIN &amp; TP'!$A$3:$M$10005,MATCH(('Reg 85'!$I$6:$Q$6&amp;'Reg 85'!$I$10:$K$10&amp;'Reg 85'!$B322),('DMR 001C TIN &amp; TP'!$E$3:$E$10005&amp;'DMR 001C TIN &amp; TP'!$B$3:$B$10005&amp;'DMR 001C TIN &amp; TP'!$A$3:$A$10005),0),MATCH('Reg 85'!$K$11,'DMR 001C TIN &amp; TP'!$A$2:$M$2,0))),"")</f>
        <v>1.57</v>
      </c>
      <c r="L322" s="53">
        <f t="shared" si="122"/>
        <v>1.57</v>
      </c>
      <c r="M322" s="5" t="str">
        <f t="shared" si="111"/>
        <v/>
      </c>
      <c r="N322" s="6" t="str">
        <f t="array" ref="N322">_xlfn.IFNA((INDEX('DMR 001C TIN &amp; TP'!$A$3:$M$10005,MATCH(('Reg 85'!$I$6:$Q$6&amp;'Reg 85'!$M$10&amp;'Reg 85'!$B322),('DMR 001C TIN &amp; TP'!$E$3:$E$10005&amp;'DMR 001C TIN &amp; TP'!$B$3:$B$10005&amp;'DMR 001C TIN &amp; TP'!$A$3:$A$10005),0),MATCH('Reg 85'!$N$11,'DMR 001C TIN &amp; TP'!$A$2:$M$2,0))),"")</f>
        <v>0.15</v>
      </c>
      <c r="O322" s="6">
        <f t="array" ref="O322">_xlfn.IFNA((INDEX('DMR 001C TIN &amp; TP'!$A$3:$M$10005,MATCH(('Reg 85'!$I$6:$Q$6&amp;'Reg 85'!$M$10&amp;'Reg 85'!$B322),('DMR 001C TIN &amp; TP'!$E$3:$E$10005&amp;'DMR 001C TIN &amp; TP'!$B$3:$B$10005&amp;'DMR 001C TIN &amp; TP'!$A$3:$A$10005),0),MATCH('Reg 85'!$O$11,'DMR 001C TIN &amp; TP'!$A$2:$M$2,0))),"")</f>
        <v>1.88</v>
      </c>
      <c r="P322" s="53">
        <f t="shared" si="112"/>
        <v>1.88</v>
      </c>
      <c r="Q322" s="73">
        <f t="array" ref="Q322">IFERROR(((L322*$F322)+(P322*$G322))/($H322),"")</f>
        <v>1.7072574761573844</v>
      </c>
      <c r="R322" s="6" t="str">
        <f t="array" ref="R322">_xlfn.IFNA((INDEX('DMR 001C TIN &amp; TP'!$A$3:$M$10005,MATCH(('Reg 85'!$I$6:$Q$6&amp;'Reg 85'!R$10&amp;'Reg 85'!$B322),('DMR 001C TIN &amp; TP'!$E$3:$E$10005&amp;'DMR 001C TIN &amp; TP'!$B$3:$B$10005&amp;'DMR 001C TIN &amp; TP'!$A$3:$A$10005),0),MATCH('Reg 85'!$O$11,'DMR 001C TIN &amp; TP'!$A$2:$M$2,0))),"")</f>
        <v/>
      </c>
      <c r="S322" s="6" t="str">
        <f t="array" ref="S322">_xlfn.IFNA((INDEX('DMR 001C TIN &amp; TP'!$A$3:$M$10005,MATCH(('Reg 85'!$I$6:$Q$6&amp;'Reg 85'!S$10&amp;'Reg 85'!$B322),('DMR 001C TIN &amp; TP'!$E$3:$E$10005&amp;'DMR 001C TIN &amp; TP'!$B$3:$B$10005&amp;'DMR 001C TIN &amp; TP'!$A$3:$A$10005),0),MATCH('Reg 85'!$O$11,'DMR 001C TIN &amp; TP'!$A$2:$M$2,0))),"")</f>
        <v/>
      </c>
      <c r="T322" s="6" t="str">
        <f t="array" ref="T322">_xlfn.IFNA((INDEX('DMR 001C TIN &amp; TP'!$A$3:$M$10005,MATCH(('Reg 85'!$I$6:$Q$6&amp;'Reg 85'!T$10&amp;'Reg 85'!$B322),('DMR 001C TIN &amp; TP'!$E$3:$E$10005&amp;'DMR 001C TIN &amp; TP'!$B$3:$B$10005&amp;'DMR 001C TIN &amp; TP'!$A$3:$A$10005),0),MATCH('Reg 85'!$O$11,'DMR 001C TIN &amp; TP'!$A$2:$M$2,0))),"")</f>
        <v/>
      </c>
      <c r="U322" s="6" t="str">
        <f t="array" ref="U322">_xlfn.IFNA((INDEX('DMR 001C TIN &amp; TP'!$A$3:$M$10005,MATCH(('Reg 85'!$I$6:$Q$6&amp;'Reg 85'!U$10&amp;'Reg 85'!$B322),('DMR 001C TIN &amp; TP'!$E$3:$E$10005&amp;'DMR 001C TIN &amp; TP'!$B$3:$B$10005&amp;'DMR 001C TIN &amp; TP'!$A$3:$A$10005),0),MATCH('Reg 85'!$O$11,'DMR 001C TIN &amp; TP'!$A$2:$M$2,0))),"")</f>
        <v/>
      </c>
      <c r="V322" s="6" t="str">
        <f t="array" ref="V322">_xlfn.IFNA((INDEX('DMR 001C TIN &amp; TP'!$A$3:$M$10005,MATCH(('Reg 85'!$I$6:$Q$6&amp;'Reg 85'!V$10&amp;'Reg 85'!$B322),('DMR 001C TIN &amp; TP'!$E$3:$E$10005&amp;'DMR 001C TIN &amp; TP'!$B$3:$B$10005&amp;'DMR 001C TIN &amp; TP'!$A$3:$A$10005),0),MATCH('Reg 85'!$O$11,'DMR 001C TIN &amp; TP'!$A$2:$M$2,0))),"")</f>
        <v/>
      </c>
      <c r="W322" s="6" t="str">
        <f t="array" ref="W322">_xlfn.IFNA((INDEX('DMR 001C TIN &amp; TP'!$A$3:$M$10005,MATCH(('Reg 85'!$I$6:$Q$6&amp;'Reg 85'!W$10&amp;'Reg 85'!$B322),('DMR 001C TIN &amp; TP'!$E$3:$E$10005&amp;'DMR 001C TIN &amp; TP'!$B$3:$B$10005&amp;'DMR 001C TIN &amp; TP'!$A$3:$A$10005),0),MATCH('Reg 85'!$O$11,'DMR 001C TIN &amp; TP'!$A$2:$M$2,0))),"")</f>
        <v/>
      </c>
      <c r="X322" s="5" t="str">
        <f t="shared" si="113"/>
        <v/>
      </c>
      <c r="Y322" s="6" t="str">
        <f t="array" ref="Y322">_xlfn.IFNA((INDEX('DMR 001C TIN &amp; TP'!$A$3:$M$10005,MATCH(('Reg 85'!$X$6&amp;'Reg 85'!$X$10&amp;'Reg 85'!$B322),('DMR 001C TIN &amp; TP'!$E$3:$E$10005&amp;'DMR 001C TIN &amp; TP'!$B$3:$B$10005&amp;'DMR 001C TIN &amp; TP'!$A$3:$A$10005),0),MATCH('Reg 85'!$Y$11,'DMR 001C TIN &amp; TP'!$A$2:$M$2,0))),"")</f>
        <v>0.06</v>
      </c>
      <c r="Z322" s="6">
        <f t="array" ref="Z322">_xlfn.IFNA((INDEX('DMR 001C TIN &amp; TP'!$A$3:$M$10005,MATCH(('Reg 85'!$X$6&amp;'Reg 85'!$X$10&amp;'Reg 85'!$B322),('DMR 001C TIN &amp; TP'!$E$3:$E$10005&amp;'DMR 001C TIN &amp; TP'!$B$3:$B$10005&amp;'DMR 001C TIN &amp; TP'!$A$3:$A$10005),0),MATCH('Reg 85'!$Z$11,'DMR 001C TIN &amp; TP'!$A$2:$M$2,0))),"")</f>
        <v>4.33</v>
      </c>
      <c r="AA322" s="53">
        <f t="shared" si="114"/>
        <v>4.33</v>
      </c>
      <c r="AB322" s="5" t="str">
        <f t="shared" si="115"/>
        <v/>
      </c>
      <c r="AC322" s="6" t="str">
        <f t="array" ref="AC322">_xlfn.IFNA((INDEX('DMR 001C TIN &amp; TP'!$A$3:$M$10005,MATCH(('Reg 85'!$X$6&amp;'Reg 85'!$AB$10&amp;'Reg 85'!$B322),('DMR 001C TIN &amp; TP'!$E$3:$E$10005&amp;'DMR 001C TIN &amp; TP'!$B$3:$B$10005&amp;'DMR 001C TIN &amp; TP'!$A$3:$A$10005),0),MATCH('Reg 85'!$AC$11,'DMR 001C TIN &amp; TP'!$A$2:$M$2,0))),"")</f>
        <v>0.06</v>
      </c>
      <c r="AD322" s="6">
        <f t="array" ref="AD322">_xlfn.IFNA((INDEX('DMR 001C TIN &amp; TP'!$A$3:$M$10005,MATCH(('Reg 85'!$X$6&amp;'Reg 85'!$AB$10&amp;'Reg 85'!$B322),('DMR 001C TIN &amp; TP'!$E$3:$E$10005&amp;'DMR 001C TIN &amp; TP'!$B$3:$B$10005&amp;'DMR 001C TIN &amp; TP'!$A$3:$A$10005),0),MATCH('Reg 85'!$AD$11,'DMR 001C TIN &amp; TP'!$A$2:$M$2,0))),"")</f>
        <v>4.6500000000000004</v>
      </c>
      <c r="AE322" s="53">
        <f t="shared" si="116"/>
        <v>4.6500000000000004</v>
      </c>
      <c r="AF322" s="7">
        <f t="shared" si="117"/>
        <v>4.471685136678591</v>
      </c>
      <c r="AG322" s="6" t="str">
        <f t="array" ref="AG322">_xlfn.IFNA((INDEX('DMR 001C TIN &amp; TP'!$A$3:$M$10005,MATCH(('Reg 85'!$X$6&amp;'Reg 85'!AG$10&amp;'Reg 85'!$B322),('DMR 001C TIN &amp; TP'!$E$3:$E$10005&amp;'DMR 001C TIN &amp; TP'!$B$3:$B$10005&amp;'DMR 001C TIN &amp; TP'!$A$3:$A$10005),0),MATCH('Reg 85'!$AG$11,'DMR 001C TIN &amp; TP'!$A$2:$M$2,0))),"")</f>
        <v/>
      </c>
      <c r="AH322" s="6" t="str">
        <f t="array" ref="AH322">_xlfn.IFNA((INDEX('DMR 001C TIN &amp; TP'!$A$3:$M$10005,MATCH(('Reg 85'!$X$6&amp;'Reg 85'!AH$10&amp;'Reg 85'!$B322),('DMR 001C TIN &amp; TP'!$E$3:$E$10005&amp;'DMR 001C TIN &amp; TP'!$B$3:$B$10005&amp;'DMR 001C TIN &amp; TP'!$A$3:$A$10005),0),MATCH('Reg 85'!$AG$11,'DMR 001C TIN &amp; TP'!$A$2:$M$2,0))),"")</f>
        <v/>
      </c>
      <c r="AI322" s="6" t="str">
        <f t="array" ref="AI322">_xlfn.IFNA((INDEX('DMR 001C TIN &amp; TP'!$A$3:$M$10005,MATCH(('Reg 85'!$X$6&amp;'Reg 85'!AI$10&amp;'Reg 85'!$B322),('DMR 001C TIN &amp; TP'!$E$3:$E$10005&amp;'DMR 001C TIN &amp; TP'!$B$3:$B$10005&amp;'DMR 001C TIN &amp; TP'!$A$3:$A$10005),0),MATCH('Reg 85'!$AG$11,'DMR 001C TIN &amp; TP'!$A$2:$M$2,0))),"")</f>
        <v/>
      </c>
      <c r="AJ322" s="6" t="str">
        <f t="array" ref="AJ322">_xlfn.IFNA((INDEX('DMR 001C TIN &amp; TP'!$A$3:$M$10005,MATCH(('Reg 85'!$X$6&amp;'Reg 85'!AJ$10&amp;'Reg 85'!$B322),('DMR 001C TIN &amp; TP'!$E$3:$E$10005&amp;'DMR 001C TIN &amp; TP'!$B$3:$B$10005&amp;'DMR 001C TIN &amp; TP'!$A$3:$A$10005),0),MATCH('Reg 85'!$AG$11,'DMR 001C TIN &amp; TP'!$A$2:$M$2,0))),"")</f>
        <v/>
      </c>
      <c r="AK322" s="6" t="str">
        <f t="array" ref="AK322">_xlfn.IFNA((INDEX('DMR 001C TIN &amp; TP'!$A$3:$M$10005,MATCH(('Reg 85'!$X$6&amp;'Reg 85'!AK$10&amp;'Reg 85'!$B322),('DMR 001C TIN &amp; TP'!$E$3:$E$10005&amp;'DMR 001C TIN &amp; TP'!$B$3:$B$10005&amp;'DMR 001C TIN &amp; TP'!$A$3:$A$10005),0),MATCH('Reg 85'!$AG$11,'DMR 001C TIN &amp; TP'!$A$2:$M$2,0))),"")</f>
        <v/>
      </c>
      <c r="AL322" s="6" t="str">
        <f t="array" ref="AL322">_xlfn.IFNA((INDEX('DMR 001C TIN &amp; TP'!$A$3:$M$10005,MATCH(('Reg 85'!$X$6&amp;'Reg 85'!AL$10&amp;'Reg 85'!$B322),('DMR 001C TIN &amp; TP'!$E$3:$E$10005&amp;'DMR 001C TIN &amp; TP'!$B$3:$B$10005&amp;'DMR 001C TIN &amp; TP'!$A$3:$A$10005),0),MATCH('Reg 85'!$AG$11,'DMR 001C TIN &amp; TP'!$A$2:$M$2,0))),"")</f>
        <v/>
      </c>
      <c r="AM322" s="76"/>
      <c r="AN322" s="6"/>
      <c r="AO322" s="54">
        <f t="shared" si="104"/>
        <v>6.178942612835975</v>
      </c>
      <c r="AP322" s="77" t="str">
        <f t="shared" si="123"/>
        <v/>
      </c>
      <c r="AQ322" s="47"/>
      <c r="AR322" s="6" t="str">
        <f t="array" ref="AR322">_xlfn.IFNA((INDEX('DMR 001C TIN &amp; TP'!$A$3:$M$10005,MATCH(('Reg 85'!$AQ$6&amp;'Reg 85'!$AQ$10&amp;'Reg 85'!$B322),('DMR 001C TIN &amp; TP'!$E$3:$E$10005&amp;'DMR 001C TIN &amp; TP'!$B$3:$B$10005&amp;'DMR 001C TIN &amp; TP'!$A$3:$A$10005),0),MATCH('Reg 85'!$AR$11,'DMR 001C TIN &amp; TP'!$A$2:$M$2,0))),"")</f>
        <v/>
      </c>
      <c r="AS322" s="6" t="str">
        <f t="array" ref="AS322">_xlfn.IFNA((INDEX('DMR 001C TIN &amp; TP'!$A$3:$M$10005,MATCH(('Reg 85'!$AQ$6&amp;'Reg 85'!$AQ$10&amp;'Reg 85'!$B322),('DMR 001C TIN &amp; TP'!$E$3:$E$10005&amp;'DMR 001C TIN &amp; TP'!$B$3:$B$10005&amp;'DMR 001C TIN &amp; TP'!$A$3:$A$10005),0),MATCH('Reg 85'!$AS$11,'DMR 001C TIN &amp; TP'!$A$2:$M$2,0))),"")</f>
        <v/>
      </c>
      <c r="AT322" s="53" t="str">
        <f t="shared" si="118"/>
        <v/>
      </c>
      <c r="AV322" s="6" t="str">
        <f t="array" ref="AV322">_xlfn.IFNA((INDEX('DMR 001C TIN &amp; TP'!$A$3:$M$10005,MATCH(('Reg 85'!$AQ$6&amp;'Reg 85'!$AU$10&amp;'Reg 85'!$B322),('DMR 001C TIN &amp; TP'!$E$3:$E$10005&amp;'DMR 001C TIN &amp; TP'!$B$3:$B$10005&amp;'DMR 001C TIN &amp; TP'!$A$3:$A$10005),0),MATCH('Reg 85'!$AV$11,'DMR 001C TIN &amp; TP'!$A$2:$M$2,0))),"")</f>
        <v/>
      </c>
      <c r="AW322" s="6" t="str">
        <f t="array" ref="AW322">_xlfn.IFNA((INDEX('DMR 001C TIN &amp; TP'!$A$3:$M$10005,MATCH(('Reg 85'!$AQ$6&amp;'Reg 85'!$AU$10&amp;'Reg 85'!$B322),('DMR 001C TIN &amp; TP'!$E$3:$E$10005&amp;'DMR 001C TIN &amp; TP'!$B$3:$B$10005&amp;'DMR 001C TIN &amp; TP'!$A$3:$A$10005),0),MATCH('Reg 85'!$AW$11,'DMR 001C TIN &amp; TP'!$A$2:$M$2,0))),"")</f>
        <v/>
      </c>
      <c r="AX322" s="53" t="str">
        <f t="shared" si="119"/>
        <v/>
      </c>
      <c r="AY322" s="55" t="str">
        <f t="shared" si="120"/>
        <v/>
      </c>
      <c r="AZ322" s="77" t="str">
        <f t="shared" si="124"/>
        <v/>
      </c>
      <c r="BA322" s="6" t="str">
        <f t="array" ref="BA322">_xlfn.IFNA((INDEX('DMR 001C TIN &amp; TP'!$A$3:$M$10005,MATCH(('Reg 85'!$AQ$6&amp;'Reg 85'!BA$10&amp;'Reg 85'!$B322),('DMR 001C TIN &amp; TP'!$E$3:$E$10005&amp;'DMR 001C TIN &amp; TP'!$B$3:$B$10005&amp;'DMR 001C TIN &amp; TP'!$A$3:$A$10005),0),MATCH('Reg 85'!$AG$11,'DMR 001C TIN &amp; TP'!$A$2:$M$2,0))),"")</f>
        <v/>
      </c>
      <c r="BB322" s="6" t="str">
        <f t="array" ref="BB322">_xlfn.IFNA((INDEX('DMR 001C TIN &amp; TP'!$A$3:$M$10005,MATCH(('Reg 85'!$AQ$6&amp;'Reg 85'!BB$10&amp;'Reg 85'!$B322),('DMR 001C TIN &amp; TP'!$E$3:$E$10005&amp;'DMR 001C TIN &amp; TP'!$B$3:$B$10005&amp;'DMR 001C TIN &amp; TP'!$A$3:$A$10005),0),MATCH('Reg 85'!$AG$11,'DMR 001C TIN &amp; TP'!$A$2:$M$2,0))),"")</f>
        <v/>
      </c>
      <c r="BC322" s="6" t="str">
        <f t="array" ref="BC322">_xlfn.IFNA((INDEX('DMR 001C TIN &amp; TP'!$A$3:$M$10005,MATCH(('Reg 85'!$AQ$6&amp;'Reg 85'!BC$10&amp;'Reg 85'!$B322),('DMR 001C TIN &amp; TP'!$E$3:$E$10005&amp;'DMR 001C TIN &amp; TP'!$B$3:$B$10005&amp;'DMR 001C TIN &amp; TP'!$A$3:$A$10005),0),MATCH('Reg 85'!$AG$11,'DMR 001C TIN &amp; TP'!$A$2:$M$2,0))),"")</f>
        <v/>
      </c>
      <c r="BD322" s="6" t="str">
        <f t="array" ref="BD322">_xlfn.IFNA((INDEX('DMR 001C TIN &amp; TP'!$A$3:$M$10005,MATCH(('Reg 85'!$AQ$6&amp;'Reg 85'!BD$10&amp;'Reg 85'!$B322),('DMR 001C TIN &amp; TP'!$E$3:$E$10005&amp;'DMR 001C TIN &amp; TP'!$B$3:$B$10005&amp;'DMR 001C TIN &amp; TP'!$A$3:$A$10005),0),MATCH('Reg 85'!$AG$11,'DMR 001C TIN &amp; TP'!$A$2:$M$2,0))),"")</f>
        <v/>
      </c>
      <c r="BE322" s="6" t="str">
        <f t="array" ref="BE322">_xlfn.IFNA((INDEX('DMR 001C TIN &amp; TP'!$A$3:$M$10005,MATCH(('Reg 85'!$AQ$6&amp;'Reg 85'!BE$10&amp;'Reg 85'!$B322),('DMR 001C TIN &amp; TP'!$E$3:$E$10005&amp;'DMR 001C TIN &amp; TP'!$B$3:$B$10005&amp;'DMR 001C TIN &amp; TP'!$A$3:$A$10005),0),MATCH('Reg 85'!$AG$11,'DMR 001C TIN &amp; TP'!$A$2:$M$2,0))),"")</f>
        <v/>
      </c>
      <c r="BF322" s="6" t="str">
        <f t="array" ref="BF322">_xlfn.IFNA((INDEX('DMR 001C TIN &amp; TP'!$A$3:$M$10005,MATCH(('Reg 85'!$AQ$6&amp;'Reg 85'!BF$10&amp;'Reg 85'!$B322),('DMR 001C TIN &amp; TP'!$E$3:$E$10005&amp;'DMR 001C TIN &amp; TP'!$B$3:$B$10005&amp;'DMR 001C TIN &amp; TP'!$A$3:$A$10005),0),MATCH('Reg 85'!$AG$11,'DMR 001C TIN &amp; TP'!$A$2:$M$2,0))),"")</f>
        <v/>
      </c>
    </row>
    <row r="323" spans="1:58">
      <c r="A323" s="3" t="str">
        <f t="shared" si="105"/>
        <v>Tue</v>
      </c>
      <c r="B323" s="96">
        <f t="shared" si="121"/>
        <v>43655</v>
      </c>
      <c r="C323" s="96">
        <f t="shared" si="106"/>
        <v>43677</v>
      </c>
      <c r="D323" s="96">
        <f t="shared" si="107"/>
        <v>43647</v>
      </c>
      <c r="E323" s="95">
        <f t="shared" si="108"/>
        <v>31</v>
      </c>
      <c r="F323" s="7">
        <f t="array" ref="F323">_xlfn.IFNA(INDEX('DMR Flows-Effluent'!$A$3:$F$9999,MATCH(($F$10&amp;$B323),('DMR Flows-Effluent'!$B$3:$B$9999&amp;'DMR Flows-Effluent'!$A$3:$A$9999),0),MATCH($F$8,'DMR Flows-Effluent'!$A$2:$F$2,0)),"")</f>
        <v>73.497699999999995</v>
      </c>
      <c r="G323" s="7">
        <f t="array" ref="G323">_xlfn.IFNA(INDEX('DMR Flows-Effluent'!$A$3:$F$9999,MATCH(($G$10&amp;$B323),('DMR Flows-Effluent'!$B$3:$B$9999&amp;'DMR Flows-Effluent'!$A$3:$A$9999),0),MATCH($F$8,'DMR Flows-Effluent'!$A$2:$F$2,0)),"")</f>
        <v>56.800899999999999</v>
      </c>
      <c r="H323" s="7">
        <f t="shared" si="109"/>
        <v>130.29859999999999</v>
      </c>
      <c r="I323" s="45" t="str">
        <f t="shared" si="110"/>
        <v/>
      </c>
      <c r="J323" s="6" t="str">
        <f t="array" ref="J323">_xlfn.IFNA((INDEX('DMR 001C TIN &amp; TP'!$A$3:$M$10005,MATCH(('Reg 85'!$I$6:$Q$6&amp;'Reg 85'!$I$10:$K$10&amp;'Reg 85'!$B323),('DMR 001C TIN &amp; TP'!$E$3:$E$10005&amp;'DMR 001C TIN &amp; TP'!$B$3:$B$10005&amp;'DMR 001C TIN &amp; TP'!$A$3:$A$10005),0),MATCH('Reg 85'!$J$11,'DMR 001C TIN &amp; TP'!$A$2:$M$2,0))),"")</f>
        <v/>
      </c>
      <c r="K323" s="6" t="str">
        <f t="array" ref="K323">_xlfn.IFNA((INDEX('DMR 001C TIN &amp; TP'!$A$3:$M$10005,MATCH(('Reg 85'!$I$6:$Q$6&amp;'Reg 85'!$I$10:$K$10&amp;'Reg 85'!$B323),('DMR 001C TIN &amp; TP'!$E$3:$E$10005&amp;'DMR 001C TIN &amp; TP'!$B$3:$B$10005&amp;'DMR 001C TIN &amp; TP'!$A$3:$A$10005),0),MATCH('Reg 85'!$K$11,'DMR 001C TIN &amp; TP'!$A$2:$M$2,0))),"")</f>
        <v/>
      </c>
      <c r="L323" s="53" t="str">
        <f t="shared" si="122"/>
        <v/>
      </c>
      <c r="M323" s="5" t="str">
        <f t="shared" si="111"/>
        <v/>
      </c>
      <c r="N323" s="6" t="str">
        <f t="array" ref="N323">_xlfn.IFNA((INDEX('DMR 001C TIN &amp; TP'!$A$3:$M$10005,MATCH(('Reg 85'!$I$6:$Q$6&amp;'Reg 85'!$M$10&amp;'Reg 85'!$B323),('DMR 001C TIN &amp; TP'!$E$3:$E$10005&amp;'DMR 001C TIN &amp; TP'!$B$3:$B$10005&amp;'DMR 001C TIN &amp; TP'!$A$3:$A$10005),0),MATCH('Reg 85'!$N$11,'DMR 001C TIN &amp; TP'!$A$2:$M$2,0))),"")</f>
        <v/>
      </c>
      <c r="O323" s="6" t="str">
        <f t="array" ref="O323">_xlfn.IFNA((INDEX('DMR 001C TIN &amp; TP'!$A$3:$M$10005,MATCH(('Reg 85'!$I$6:$Q$6&amp;'Reg 85'!$M$10&amp;'Reg 85'!$B323),('DMR 001C TIN &amp; TP'!$E$3:$E$10005&amp;'DMR 001C TIN &amp; TP'!$B$3:$B$10005&amp;'DMR 001C TIN &amp; TP'!$A$3:$A$10005),0),MATCH('Reg 85'!$O$11,'DMR 001C TIN &amp; TP'!$A$2:$M$2,0))),"")</f>
        <v/>
      </c>
      <c r="P323" s="53" t="str">
        <f t="shared" si="112"/>
        <v/>
      </c>
      <c r="Q323" s="73" t="str">
        <f t="array" ref="Q323">IFERROR(((L323*$F323)+(P323*$G323))/($H323),"")</f>
        <v/>
      </c>
      <c r="R323" s="6" t="str">
        <f t="array" ref="R323">_xlfn.IFNA((INDEX('DMR 001C TIN &amp; TP'!$A$3:$M$10005,MATCH(('Reg 85'!$I$6:$Q$6&amp;'Reg 85'!R$10&amp;'Reg 85'!$B323),('DMR 001C TIN &amp; TP'!$E$3:$E$10005&amp;'DMR 001C TIN &amp; TP'!$B$3:$B$10005&amp;'DMR 001C TIN &amp; TP'!$A$3:$A$10005),0),MATCH('Reg 85'!$O$11,'DMR 001C TIN &amp; TP'!$A$2:$M$2,0))),"")</f>
        <v/>
      </c>
      <c r="S323" s="6" t="str">
        <f t="array" ref="S323">_xlfn.IFNA((INDEX('DMR 001C TIN &amp; TP'!$A$3:$M$10005,MATCH(('Reg 85'!$I$6:$Q$6&amp;'Reg 85'!S$10&amp;'Reg 85'!$B323),('DMR 001C TIN &amp; TP'!$E$3:$E$10005&amp;'DMR 001C TIN &amp; TP'!$B$3:$B$10005&amp;'DMR 001C TIN &amp; TP'!$A$3:$A$10005),0),MATCH('Reg 85'!$O$11,'DMR 001C TIN &amp; TP'!$A$2:$M$2,0))),"")</f>
        <v/>
      </c>
      <c r="T323" s="6" t="str">
        <f t="array" ref="T323">_xlfn.IFNA((INDEX('DMR 001C TIN &amp; TP'!$A$3:$M$10005,MATCH(('Reg 85'!$I$6:$Q$6&amp;'Reg 85'!T$10&amp;'Reg 85'!$B323),('DMR 001C TIN &amp; TP'!$E$3:$E$10005&amp;'DMR 001C TIN &amp; TP'!$B$3:$B$10005&amp;'DMR 001C TIN &amp; TP'!$A$3:$A$10005),0),MATCH('Reg 85'!$O$11,'DMR 001C TIN &amp; TP'!$A$2:$M$2,0))),"")</f>
        <v/>
      </c>
      <c r="U323" s="6">
        <f t="array" ref="U323">_xlfn.IFNA((INDEX('DMR 001C TIN &amp; TP'!$A$3:$M$10005,MATCH(('Reg 85'!$I$6:$Q$6&amp;'Reg 85'!U$10&amp;'Reg 85'!$B323),('DMR 001C TIN &amp; TP'!$E$3:$E$10005&amp;'DMR 001C TIN &amp; TP'!$B$3:$B$10005&amp;'DMR 001C TIN &amp; TP'!$A$3:$A$10005),0),MATCH('Reg 85'!$O$11,'DMR 001C TIN &amp; TP'!$A$2:$M$2,0))),"")</f>
        <v>1.58</v>
      </c>
      <c r="V323" s="6" t="str">
        <f t="array" ref="V323">_xlfn.IFNA((INDEX('DMR 001C TIN &amp; TP'!$A$3:$M$10005,MATCH(('Reg 85'!$I$6:$Q$6&amp;'Reg 85'!V$10&amp;'Reg 85'!$B323),('DMR 001C TIN &amp; TP'!$E$3:$E$10005&amp;'DMR 001C TIN &amp; TP'!$B$3:$B$10005&amp;'DMR 001C TIN &amp; TP'!$A$3:$A$10005),0),MATCH('Reg 85'!$O$11,'DMR 001C TIN &amp; TP'!$A$2:$M$2,0))),"")</f>
        <v/>
      </c>
      <c r="W323" s="6" t="str">
        <f t="array" ref="W323">_xlfn.IFNA((INDEX('DMR 001C TIN &amp; TP'!$A$3:$M$10005,MATCH(('Reg 85'!$I$6:$Q$6&amp;'Reg 85'!W$10&amp;'Reg 85'!$B323),('DMR 001C TIN &amp; TP'!$E$3:$E$10005&amp;'DMR 001C TIN &amp; TP'!$B$3:$B$10005&amp;'DMR 001C TIN &amp; TP'!$A$3:$A$10005),0),MATCH('Reg 85'!$O$11,'DMR 001C TIN &amp; TP'!$A$2:$M$2,0))),"")</f>
        <v/>
      </c>
      <c r="X323" s="5" t="str">
        <f t="shared" si="113"/>
        <v/>
      </c>
      <c r="Y323" s="6" t="str">
        <f t="array" ref="Y323">_xlfn.IFNA((INDEX('DMR 001C TIN &amp; TP'!$A$3:$M$10005,MATCH(('Reg 85'!$X$6&amp;'Reg 85'!$X$10&amp;'Reg 85'!$B323),('DMR 001C TIN &amp; TP'!$E$3:$E$10005&amp;'DMR 001C TIN &amp; TP'!$B$3:$B$10005&amp;'DMR 001C TIN &amp; TP'!$A$3:$A$10005),0),MATCH('Reg 85'!$Y$11,'DMR 001C TIN &amp; TP'!$A$2:$M$2,0))),"")</f>
        <v/>
      </c>
      <c r="Z323" s="6" t="str">
        <f t="array" ref="Z323">_xlfn.IFNA((INDEX('DMR 001C TIN &amp; TP'!$A$3:$M$10005,MATCH(('Reg 85'!$X$6&amp;'Reg 85'!$X$10&amp;'Reg 85'!$B323),('DMR 001C TIN &amp; TP'!$E$3:$E$10005&amp;'DMR 001C TIN &amp; TP'!$B$3:$B$10005&amp;'DMR 001C TIN &amp; TP'!$A$3:$A$10005),0),MATCH('Reg 85'!$Z$11,'DMR 001C TIN &amp; TP'!$A$2:$M$2,0))),"")</f>
        <v/>
      </c>
      <c r="AA323" s="53" t="str">
        <f t="shared" si="114"/>
        <v/>
      </c>
      <c r="AB323" s="5" t="str">
        <f t="shared" si="115"/>
        <v/>
      </c>
      <c r="AC323" s="6" t="str">
        <f t="array" ref="AC323">_xlfn.IFNA((INDEX('DMR 001C TIN &amp; TP'!$A$3:$M$10005,MATCH(('Reg 85'!$X$6&amp;'Reg 85'!$AB$10&amp;'Reg 85'!$B323),('DMR 001C TIN &amp; TP'!$E$3:$E$10005&amp;'DMR 001C TIN &amp; TP'!$B$3:$B$10005&amp;'DMR 001C TIN &amp; TP'!$A$3:$A$10005),0),MATCH('Reg 85'!$AC$11,'DMR 001C TIN &amp; TP'!$A$2:$M$2,0))),"")</f>
        <v/>
      </c>
      <c r="AD323" s="6" t="str">
        <f t="array" ref="AD323">_xlfn.IFNA((INDEX('DMR 001C TIN &amp; TP'!$A$3:$M$10005,MATCH(('Reg 85'!$X$6&amp;'Reg 85'!$AB$10&amp;'Reg 85'!$B323),('DMR 001C TIN &amp; TP'!$E$3:$E$10005&amp;'DMR 001C TIN &amp; TP'!$B$3:$B$10005&amp;'DMR 001C TIN &amp; TP'!$A$3:$A$10005),0),MATCH('Reg 85'!$AD$11,'DMR 001C TIN &amp; TP'!$A$2:$M$2,0))),"")</f>
        <v/>
      </c>
      <c r="AE323" s="53" t="str">
        <f t="shared" si="116"/>
        <v/>
      </c>
      <c r="AF323" s="7" t="str">
        <f t="shared" si="117"/>
        <v/>
      </c>
      <c r="AG323" s="6" t="str">
        <f t="array" ref="AG323">_xlfn.IFNA((INDEX('DMR 001C TIN &amp; TP'!$A$3:$M$10005,MATCH(('Reg 85'!$X$6&amp;'Reg 85'!AG$10&amp;'Reg 85'!$B323),('DMR 001C TIN &amp; TP'!$E$3:$E$10005&amp;'DMR 001C TIN &amp; TP'!$B$3:$B$10005&amp;'DMR 001C TIN &amp; TP'!$A$3:$A$10005),0),MATCH('Reg 85'!$AG$11,'DMR 001C TIN &amp; TP'!$A$2:$M$2,0))),"")</f>
        <v/>
      </c>
      <c r="AH323" s="6" t="str">
        <f t="array" ref="AH323">_xlfn.IFNA((INDEX('DMR 001C TIN &amp; TP'!$A$3:$M$10005,MATCH(('Reg 85'!$X$6&amp;'Reg 85'!AH$10&amp;'Reg 85'!$B323),('DMR 001C TIN &amp; TP'!$E$3:$E$10005&amp;'DMR 001C TIN &amp; TP'!$B$3:$B$10005&amp;'DMR 001C TIN &amp; TP'!$A$3:$A$10005),0),MATCH('Reg 85'!$AG$11,'DMR 001C TIN &amp; TP'!$A$2:$M$2,0))),"")</f>
        <v/>
      </c>
      <c r="AI323" s="6" t="str">
        <f t="array" ref="AI323">_xlfn.IFNA((INDEX('DMR 001C TIN &amp; TP'!$A$3:$M$10005,MATCH(('Reg 85'!$X$6&amp;'Reg 85'!AI$10&amp;'Reg 85'!$B323),('DMR 001C TIN &amp; TP'!$E$3:$E$10005&amp;'DMR 001C TIN &amp; TP'!$B$3:$B$10005&amp;'DMR 001C TIN &amp; TP'!$A$3:$A$10005),0),MATCH('Reg 85'!$AG$11,'DMR 001C TIN &amp; TP'!$A$2:$M$2,0))),"")</f>
        <v/>
      </c>
      <c r="AJ323" s="6" t="str">
        <f t="array" ref="AJ323">_xlfn.IFNA((INDEX('DMR 001C TIN &amp; TP'!$A$3:$M$10005,MATCH(('Reg 85'!$X$6&amp;'Reg 85'!AJ$10&amp;'Reg 85'!$B323),('DMR 001C TIN &amp; TP'!$E$3:$E$10005&amp;'DMR 001C TIN &amp; TP'!$B$3:$B$10005&amp;'DMR 001C TIN &amp; TP'!$A$3:$A$10005),0),MATCH('Reg 85'!$AG$11,'DMR 001C TIN &amp; TP'!$A$2:$M$2,0))),"")</f>
        <v/>
      </c>
      <c r="AK323" s="6" t="str">
        <f t="array" ref="AK323">_xlfn.IFNA((INDEX('DMR 001C TIN &amp; TP'!$A$3:$M$10005,MATCH(('Reg 85'!$X$6&amp;'Reg 85'!AK$10&amp;'Reg 85'!$B323),('DMR 001C TIN &amp; TP'!$E$3:$E$10005&amp;'DMR 001C TIN &amp; TP'!$B$3:$B$10005&amp;'DMR 001C TIN &amp; TP'!$A$3:$A$10005),0),MATCH('Reg 85'!$AG$11,'DMR 001C TIN &amp; TP'!$A$2:$M$2,0))),"")</f>
        <v/>
      </c>
      <c r="AL323" s="6" t="str">
        <f t="array" ref="AL323">_xlfn.IFNA((INDEX('DMR 001C TIN &amp; TP'!$A$3:$M$10005,MATCH(('Reg 85'!$X$6&amp;'Reg 85'!AL$10&amp;'Reg 85'!$B323),('DMR 001C TIN &amp; TP'!$E$3:$E$10005&amp;'DMR 001C TIN &amp; TP'!$B$3:$B$10005&amp;'DMR 001C TIN &amp; TP'!$A$3:$A$10005),0),MATCH('Reg 85'!$AG$11,'DMR 001C TIN &amp; TP'!$A$2:$M$2,0))),"")</f>
        <v/>
      </c>
      <c r="AM323" s="76"/>
      <c r="AN323" s="6"/>
      <c r="AO323" s="54" t="str">
        <f t="shared" si="104"/>
        <v/>
      </c>
      <c r="AP323" s="77" t="str">
        <f t="shared" si="123"/>
        <v/>
      </c>
      <c r="AQ323" s="47"/>
      <c r="AR323" s="6" t="str">
        <f t="array" ref="AR323">_xlfn.IFNA((INDEX('DMR 001C TIN &amp; TP'!$A$3:$M$10005,MATCH(('Reg 85'!$AQ$6&amp;'Reg 85'!$AQ$10&amp;'Reg 85'!$B323),('DMR 001C TIN &amp; TP'!$E$3:$E$10005&amp;'DMR 001C TIN &amp; TP'!$B$3:$B$10005&amp;'DMR 001C TIN &amp; TP'!$A$3:$A$10005),0),MATCH('Reg 85'!$AR$11,'DMR 001C TIN &amp; TP'!$A$2:$M$2,0))),"")</f>
        <v>0.03</v>
      </c>
      <c r="AS323" s="6">
        <f t="array" ref="AS323">_xlfn.IFNA((INDEX('DMR 001C TIN &amp; TP'!$A$3:$M$10005,MATCH(('Reg 85'!$AQ$6&amp;'Reg 85'!$AQ$10&amp;'Reg 85'!$B323),('DMR 001C TIN &amp; TP'!$E$3:$E$10005&amp;'DMR 001C TIN &amp; TP'!$B$3:$B$10005&amp;'DMR 001C TIN &amp; TP'!$A$3:$A$10005),0),MATCH('Reg 85'!$AS$11,'DMR 001C TIN &amp; TP'!$A$2:$M$2,0))),"")</f>
        <v>0.39</v>
      </c>
      <c r="AT323" s="53">
        <f t="shared" si="118"/>
        <v>0.39</v>
      </c>
      <c r="AV323" s="6" t="str">
        <f t="array" ref="AV323">_xlfn.IFNA((INDEX('DMR 001C TIN &amp; TP'!$A$3:$M$10005,MATCH(('Reg 85'!$AQ$6&amp;'Reg 85'!$AU$10&amp;'Reg 85'!$B323),('DMR 001C TIN &amp; TP'!$E$3:$E$10005&amp;'DMR 001C TIN &amp; TP'!$B$3:$B$10005&amp;'DMR 001C TIN &amp; TP'!$A$3:$A$10005),0),MATCH('Reg 85'!$AV$11,'DMR 001C TIN &amp; TP'!$A$2:$M$2,0))),"")</f>
        <v>0.06</v>
      </c>
      <c r="AW323" s="6">
        <f t="array" ref="AW323">_xlfn.IFNA((INDEX('DMR 001C TIN &amp; TP'!$A$3:$M$10005,MATCH(('Reg 85'!$AQ$6&amp;'Reg 85'!$AU$10&amp;'Reg 85'!$B323),('DMR 001C TIN &amp; TP'!$E$3:$E$10005&amp;'DMR 001C TIN &amp; TP'!$B$3:$B$10005&amp;'DMR 001C TIN &amp; TP'!$A$3:$A$10005),0),MATCH('Reg 85'!$AW$11,'DMR 001C TIN &amp; TP'!$A$2:$M$2,0))),"")</f>
        <v>1.58</v>
      </c>
      <c r="AX323" s="53">
        <f t="shared" si="119"/>
        <v>1.58</v>
      </c>
      <c r="AY323" s="55">
        <f t="shared" si="120"/>
        <v>0.9087551593033234</v>
      </c>
      <c r="AZ323" s="77" t="str">
        <f t="shared" si="124"/>
        <v/>
      </c>
      <c r="BA323" s="6" t="str">
        <f t="array" ref="BA323">_xlfn.IFNA((INDEX('DMR 001C TIN &amp; TP'!$A$3:$M$10005,MATCH(('Reg 85'!$AQ$6&amp;'Reg 85'!BA$10&amp;'Reg 85'!$B323),('DMR 001C TIN &amp; TP'!$E$3:$E$10005&amp;'DMR 001C TIN &amp; TP'!$B$3:$B$10005&amp;'DMR 001C TIN &amp; TP'!$A$3:$A$10005),0),MATCH('Reg 85'!$AG$11,'DMR 001C TIN &amp; TP'!$A$2:$M$2,0))),"")</f>
        <v/>
      </c>
      <c r="BB323" s="6" t="str">
        <f t="array" ref="BB323">_xlfn.IFNA((INDEX('DMR 001C TIN &amp; TP'!$A$3:$M$10005,MATCH(('Reg 85'!$AQ$6&amp;'Reg 85'!BB$10&amp;'Reg 85'!$B323),('DMR 001C TIN &amp; TP'!$E$3:$E$10005&amp;'DMR 001C TIN &amp; TP'!$B$3:$B$10005&amp;'DMR 001C TIN &amp; TP'!$A$3:$A$10005),0),MATCH('Reg 85'!$AG$11,'DMR 001C TIN &amp; TP'!$A$2:$M$2,0))),"")</f>
        <v/>
      </c>
      <c r="BC323" s="6" t="str">
        <f t="array" ref="BC323">_xlfn.IFNA((INDEX('DMR 001C TIN &amp; TP'!$A$3:$M$10005,MATCH(('Reg 85'!$AQ$6&amp;'Reg 85'!BC$10&amp;'Reg 85'!$B323),('DMR 001C TIN &amp; TP'!$E$3:$E$10005&amp;'DMR 001C TIN &amp; TP'!$B$3:$B$10005&amp;'DMR 001C TIN &amp; TP'!$A$3:$A$10005),0),MATCH('Reg 85'!$AG$11,'DMR 001C TIN &amp; TP'!$A$2:$M$2,0))),"")</f>
        <v/>
      </c>
      <c r="BD323" s="6" t="str">
        <f t="array" ref="BD323">_xlfn.IFNA((INDEX('DMR 001C TIN &amp; TP'!$A$3:$M$10005,MATCH(('Reg 85'!$AQ$6&amp;'Reg 85'!BD$10&amp;'Reg 85'!$B323),('DMR 001C TIN &amp; TP'!$E$3:$E$10005&amp;'DMR 001C TIN &amp; TP'!$B$3:$B$10005&amp;'DMR 001C TIN &amp; TP'!$A$3:$A$10005),0),MATCH('Reg 85'!$AG$11,'DMR 001C TIN &amp; TP'!$A$2:$M$2,0))),"")</f>
        <v/>
      </c>
      <c r="BE323" s="6" t="str">
        <f t="array" ref="BE323">_xlfn.IFNA((INDEX('DMR 001C TIN &amp; TP'!$A$3:$M$10005,MATCH(('Reg 85'!$AQ$6&amp;'Reg 85'!BE$10&amp;'Reg 85'!$B323),('DMR 001C TIN &amp; TP'!$E$3:$E$10005&amp;'DMR 001C TIN &amp; TP'!$B$3:$B$10005&amp;'DMR 001C TIN &amp; TP'!$A$3:$A$10005),0),MATCH('Reg 85'!$AG$11,'DMR 001C TIN &amp; TP'!$A$2:$M$2,0))),"")</f>
        <v/>
      </c>
      <c r="BF323" s="6" t="str">
        <f t="array" ref="BF323">_xlfn.IFNA((INDEX('DMR 001C TIN &amp; TP'!$A$3:$M$10005,MATCH(('Reg 85'!$AQ$6&amp;'Reg 85'!BF$10&amp;'Reg 85'!$B323),('DMR 001C TIN &amp; TP'!$E$3:$E$10005&amp;'DMR 001C TIN &amp; TP'!$B$3:$B$10005&amp;'DMR 001C TIN &amp; TP'!$A$3:$A$10005),0),MATCH('Reg 85'!$AG$11,'DMR 001C TIN &amp; TP'!$A$2:$M$2,0))),"")</f>
        <v/>
      </c>
    </row>
    <row r="324" spans="1:58">
      <c r="A324" s="3" t="str">
        <f t="shared" si="105"/>
        <v>Wed</v>
      </c>
      <c r="B324" s="96">
        <f t="shared" si="121"/>
        <v>43656</v>
      </c>
      <c r="C324" s="96">
        <f t="shared" si="106"/>
        <v>43677</v>
      </c>
      <c r="D324" s="96">
        <f t="shared" si="107"/>
        <v>43647</v>
      </c>
      <c r="E324" s="95">
        <f t="shared" si="108"/>
        <v>31</v>
      </c>
      <c r="F324" s="7">
        <f t="array" ref="F324">_xlfn.IFNA(INDEX('DMR Flows-Effluent'!$A$3:$F$9999,MATCH(($F$10&amp;$B324),('DMR Flows-Effluent'!$B$3:$B$9999&amp;'DMR Flows-Effluent'!$A$3:$A$9999),0),MATCH($F$8,'DMR Flows-Effluent'!$A$2:$F$2,0)),"")</f>
        <v>70.703100000000006</v>
      </c>
      <c r="G324" s="7">
        <f t="array" ref="G324">_xlfn.IFNA(INDEX('DMR Flows-Effluent'!$A$3:$F$9999,MATCH(($G$10&amp;$B324),('DMR Flows-Effluent'!$B$3:$B$9999&amp;'DMR Flows-Effluent'!$A$3:$A$9999),0),MATCH($F$8,'DMR Flows-Effluent'!$A$2:$F$2,0)),"")</f>
        <v>58.049500000000002</v>
      </c>
      <c r="H324" s="7">
        <f t="shared" si="109"/>
        <v>128.7526</v>
      </c>
      <c r="I324" s="45" t="str">
        <f t="shared" si="110"/>
        <v/>
      </c>
      <c r="J324" s="6" t="str">
        <f t="array" ref="J324">_xlfn.IFNA((INDEX('DMR 001C TIN &amp; TP'!$A$3:$M$10005,MATCH(('Reg 85'!$I$6:$Q$6&amp;'Reg 85'!$I$10:$K$10&amp;'Reg 85'!$B324),('DMR 001C TIN &amp; TP'!$E$3:$E$10005&amp;'DMR 001C TIN &amp; TP'!$B$3:$B$10005&amp;'DMR 001C TIN &amp; TP'!$A$3:$A$10005),0),MATCH('Reg 85'!$J$11,'DMR 001C TIN &amp; TP'!$A$2:$M$2,0))),"")</f>
        <v>0.15</v>
      </c>
      <c r="K324" s="6">
        <f t="array" ref="K324">_xlfn.IFNA((INDEX('DMR 001C TIN &amp; TP'!$A$3:$M$10005,MATCH(('Reg 85'!$I$6:$Q$6&amp;'Reg 85'!$I$10:$K$10&amp;'Reg 85'!$B324),('DMR 001C TIN &amp; TP'!$E$3:$E$10005&amp;'DMR 001C TIN &amp; TP'!$B$3:$B$10005&amp;'DMR 001C TIN &amp; TP'!$A$3:$A$10005),0),MATCH('Reg 85'!$K$11,'DMR 001C TIN &amp; TP'!$A$2:$M$2,0))),"")</f>
        <v>1.68</v>
      </c>
      <c r="L324" s="53">
        <f t="shared" si="122"/>
        <v>1.68</v>
      </c>
      <c r="M324" s="5" t="str">
        <f t="shared" si="111"/>
        <v/>
      </c>
      <c r="N324" s="6" t="str">
        <f t="array" ref="N324">_xlfn.IFNA((INDEX('DMR 001C TIN &amp; TP'!$A$3:$M$10005,MATCH(('Reg 85'!$I$6:$Q$6&amp;'Reg 85'!$M$10&amp;'Reg 85'!$B324),('DMR 001C TIN &amp; TP'!$E$3:$E$10005&amp;'DMR 001C TIN &amp; TP'!$B$3:$B$10005&amp;'DMR 001C TIN &amp; TP'!$A$3:$A$10005),0),MATCH('Reg 85'!$N$11,'DMR 001C TIN &amp; TP'!$A$2:$M$2,0))),"")</f>
        <v>0.15</v>
      </c>
      <c r="O324" s="6">
        <f t="array" ref="O324">_xlfn.IFNA((INDEX('DMR 001C TIN &amp; TP'!$A$3:$M$10005,MATCH(('Reg 85'!$I$6:$Q$6&amp;'Reg 85'!$M$10&amp;'Reg 85'!$B324),('DMR 001C TIN &amp; TP'!$E$3:$E$10005&amp;'DMR 001C TIN &amp; TP'!$B$3:$B$10005&amp;'DMR 001C TIN &amp; TP'!$A$3:$A$10005),0),MATCH('Reg 85'!$O$11,'DMR 001C TIN &amp; TP'!$A$2:$M$2,0))),"")</f>
        <v>2.56</v>
      </c>
      <c r="P324" s="53">
        <f t="shared" si="112"/>
        <v>2.56</v>
      </c>
      <c r="Q324" s="73">
        <f t="array" ref="Q324">IFERROR(((L324*$F324)+(P324*$G324))/($H324),"")</f>
        <v>2.0767575023727676</v>
      </c>
      <c r="R324" s="6" t="str">
        <f t="array" ref="R324">_xlfn.IFNA((INDEX('DMR 001C TIN &amp; TP'!$A$3:$M$10005,MATCH(('Reg 85'!$I$6:$Q$6&amp;'Reg 85'!R$10&amp;'Reg 85'!$B324),('DMR 001C TIN &amp; TP'!$E$3:$E$10005&amp;'DMR 001C TIN &amp; TP'!$B$3:$B$10005&amp;'DMR 001C TIN &amp; TP'!$A$3:$A$10005),0),MATCH('Reg 85'!$O$11,'DMR 001C TIN &amp; TP'!$A$2:$M$2,0))),"")</f>
        <v/>
      </c>
      <c r="S324" s="6" t="str">
        <f t="array" ref="S324">_xlfn.IFNA((INDEX('DMR 001C TIN &amp; TP'!$A$3:$M$10005,MATCH(('Reg 85'!$I$6:$Q$6&amp;'Reg 85'!S$10&amp;'Reg 85'!$B324),('DMR 001C TIN &amp; TP'!$E$3:$E$10005&amp;'DMR 001C TIN &amp; TP'!$B$3:$B$10005&amp;'DMR 001C TIN &amp; TP'!$A$3:$A$10005),0),MATCH('Reg 85'!$O$11,'DMR 001C TIN &amp; TP'!$A$2:$M$2,0))),"")</f>
        <v/>
      </c>
      <c r="T324" s="6" t="str">
        <f t="array" ref="T324">_xlfn.IFNA((INDEX('DMR 001C TIN &amp; TP'!$A$3:$M$10005,MATCH(('Reg 85'!$I$6:$Q$6&amp;'Reg 85'!T$10&amp;'Reg 85'!$B324),('DMR 001C TIN &amp; TP'!$E$3:$E$10005&amp;'DMR 001C TIN &amp; TP'!$B$3:$B$10005&amp;'DMR 001C TIN &amp; TP'!$A$3:$A$10005),0),MATCH('Reg 85'!$O$11,'DMR 001C TIN &amp; TP'!$A$2:$M$2,0))),"")</f>
        <v/>
      </c>
      <c r="U324" s="6" t="str">
        <f t="array" ref="U324">_xlfn.IFNA((INDEX('DMR 001C TIN &amp; TP'!$A$3:$M$10005,MATCH(('Reg 85'!$I$6:$Q$6&amp;'Reg 85'!U$10&amp;'Reg 85'!$B324),('DMR 001C TIN &amp; TP'!$E$3:$E$10005&amp;'DMR 001C TIN &amp; TP'!$B$3:$B$10005&amp;'DMR 001C TIN &amp; TP'!$A$3:$A$10005),0),MATCH('Reg 85'!$O$11,'DMR 001C TIN &amp; TP'!$A$2:$M$2,0))),"")</f>
        <v/>
      </c>
      <c r="V324" s="6" t="str">
        <f t="array" ref="V324">_xlfn.IFNA((INDEX('DMR 001C TIN &amp; TP'!$A$3:$M$10005,MATCH(('Reg 85'!$I$6:$Q$6&amp;'Reg 85'!V$10&amp;'Reg 85'!$B324),('DMR 001C TIN &amp; TP'!$E$3:$E$10005&amp;'DMR 001C TIN &amp; TP'!$B$3:$B$10005&amp;'DMR 001C TIN &amp; TP'!$A$3:$A$10005),0),MATCH('Reg 85'!$O$11,'DMR 001C TIN &amp; TP'!$A$2:$M$2,0))),"")</f>
        <v/>
      </c>
      <c r="W324" s="6" t="str">
        <f t="array" ref="W324">_xlfn.IFNA((INDEX('DMR 001C TIN &amp; TP'!$A$3:$M$10005,MATCH(('Reg 85'!$I$6:$Q$6&amp;'Reg 85'!W$10&amp;'Reg 85'!$B324),('DMR 001C TIN &amp; TP'!$E$3:$E$10005&amp;'DMR 001C TIN &amp; TP'!$B$3:$B$10005&amp;'DMR 001C TIN &amp; TP'!$A$3:$A$10005),0),MATCH('Reg 85'!$O$11,'DMR 001C TIN &amp; TP'!$A$2:$M$2,0))),"")</f>
        <v/>
      </c>
      <c r="X324" s="5" t="str">
        <f t="shared" si="113"/>
        <v/>
      </c>
      <c r="Y324" s="6" t="str">
        <f t="array" ref="Y324">_xlfn.IFNA((INDEX('DMR 001C TIN &amp; TP'!$A$3:$M$10005,MATCH(('Reg 85'!$X$6&amp;'Reg 85'!$X$10&amp;'Reg 85'!$B324),('DMR 001C TIN &amp; TP'!$E$3:$E$10005&amp;'DMR 001C TIN &amp; TP'!$B$3:$B$10005&amp;'DMR 001C TIN &amp; TP'!$A$3:$A$10005),0),MATCH('Reg 85'!$Y$11,'DMR 001C TIN &amp; TP'!$A$2:$M$2,0))),"")</f>
        <v>0.06</v>
      </c>
      <c r="Z324" s="6">
        <f t="array" ref="Z324">_xlfn.IFNA((INDEX('DMR 001C TIN &amp; TP'!$A$3:$M$10005,MATCH(('Reg 85'!$X$6&amp;'Reg 85'!$X$10&amp;'Reg 85'!$B324),('DMR 001C TIN &amp; TP'!$E$3:$E$10005&amp;'DMR 001C TIN &amp; TP'!$B$3:$B$10005&amp;'DMR 001C TIN &amp; TP'!$A$3:$A$10005),0),MATCH('Reg 85'!$Z$11,'DMR 001C TIN &amp; TP'!$A$2:$M$2,0))),"")</f>
        <v>3.52</v>
      </c>
      <c r="AA324" s="53">
        <f t="shared" si="114"/>
        <v>3.52</v>
      </c>
      <c r="AB324" s="5" t="str">
        <f t="shared" si="115"/>
        <v/>
      </c>
      <c r="AC324" s="6" t="str">
        <f t="array" ref="AC324">_xlfn.IFNA((INDEX('DMR 001C TIN &amp; TP'!$A$3:$M$10005,MATCH(('Reg 85'!$X$6&amp;'Reg 85'!$AB$10&amp;'Reg 85'!$B324),('DMR 001C TIN &amp; TP'!$E$3:$E$10005&amp;'DMR 001C TIN &amp; TP'!$B$3:$B$10005&amp;'DMR 001C TIN &amp; TP'!$A$3:$A$10005),0),MATCH('Reg 85'!$AC$11,'DMR 001C TIN &amp; TP'!$A$2:$M$2,0))),"")</f>
        <v>0.06</v>
      </c>
      <c r="AD324" s="6">
        <f t="array" ref="AD324">_xlfn.IFNA((INDEX('DMR 001C TIN &amp; TP'!$A$3:$M$10005,MATCH(('Reg 85'!$X$6&amp;'Reg 85'!$AB$10&amp;'Reg 85'!$B324),('DMR 001C TIN &amp; TP'!$E$3:$E$10005&amp;'DMR 001C TIN &amp; TP'!$B$3:$B$10005&amp;'DMR 001C TIN &amp; TP'!$A$3:$A$10005),0),MATCH('Reg 85'!$AD$11,'DMR 001C TIN &amp; TP'!$A$2:$M$2,0))),"")</f>
        <v>4.88</v>
      </c>
      <c r="AE324" s="53">
        <f t="shared" si="116"/>
        <v>4.88</v>
      </c>
      <c r="AF324" s="7">
        <f t="shared" si="117"/>
        <v>4.1331706854851866</v>
      </c>
      <c r="AG324" s="6" t="str">
        <f t="array" ref="AG324">_xlfn.IFNA((INDEX('DMR 001C TIN &amp; TP'!$A$3:$M$10005,MATCH(('Reg 85'!$X$6&amp;'Reg 85'!AG$10&amp;'Reg 85'!$B324),('DMR 001C TIN &amp; TP'!$E$3:$E$10005&amp;'DMR 001C TIN &amp; TP'!$B$3:$B$10005&amp;'DMR 001C TIN &amp; TP'!$A$3:$A$10005),0),MATCH('Reg 85'!$AG$11,'DMR 001C TIN &amp; TP'!$A$2:$M$2,0))),"")</f>
        <v/>
      </c>
      <c r="AH324" s="6" t="str">
        <f t="array" ref="AH324">_xlfn.IFNA((INDEX('DMR 001C TIN &amp; TP'!$A$3:$M$10005,MATCH(('Reg 85'!$X$6&amp;'Reg 85'!AH$10&amp;'Reg 85'!$B324),('DMR 001C TIN &amp; TP'!$E$3:$E$10005&amp;'DMR 001C TIN &amp; TP'!$B$3:$B$10005&amp;'DMR 001C TIN &amp; TP'!$A$3:$A$10005),0),MATCH('Reg 85'!$AG$11,'DMR 001C TIN &amp; TP'!$A$2:$M$2,0))),"")</f>
        <v/>
      </c>
      <c r="AI324" s="6" t="str">
        <f t="array" ref="AI324">_xlfn.IFNA((INDEX('DMR 001C TIN &amp; TP'!$A$3:$M$10005,MATCH(('Reg 85'!$X$6&amp;'Reg 85'!AI$10&amp;'Reg 85'!$B324),('DMR 001C TIN &amp; TP'!$E$3:$E$10005&amp;'DMR 001C TIN &amp; TP'!$B$3:$B$10005&amp;'DMR 001C TIN &amp; TP'!$A$3:$A$10005),0),MATCH('Reg 85'!$AG$11,'DMR 001C TIN &amp; TP'!$A$2:$M$2,0))),"")</f>
        <v/>
      </c>
      <c r="AJ324" s="6" t="str">
        <f t="array" ref="AJ324">_xlfn.IFNA((INDEX('DMR 001C TIN &amp; TP'!$A$3:$M$10005,MATCH(('Reg 85'!$X$6&amp;'Reg 85'!AJ$10&amp;'Reg 85'!$B324),('DMR 001C TIN &amp; TP'!$E$3:$E$10005&amp;'DMR 001C TIN &amp; TP'!$B$3:$B$10005&amp;'DMR 001C TIN &amp; TP'!$A$3:$A$10005),0),MATCH('Reg 85'!$AG$11,'DMR 001C TIN &amp; TP'!$A$2:$M$2,0))),"")</f>
        <v/>
      </c>
      <c r="AK324" s="6" t="str">
        <f t="array" ref="AK324">_xlfn.IFNA((INDEX('DMR 001C TIN &amp; TP'!$A$3:$M$10005,MATCH(('Reg 85'!$X$6&amp;'Reg 85'!AK$10&amp;'Reg 85'!$B324),('DMR 001C TIN &amp; TP'!$E$3:$E$10005&amp;'DMR 001C TIN &amp; TP'!$B$3:$B$10005&amp;'DMR 001C TIN &amp; TP'!$A$3:$A$10005),0),MATCH('Reg 85'!$AG$11,'DMR 001C TIN &amp; TP'!$A$2:$M$2,0))),"")</f>
        <v/>
      </c>
      <c r="AL324" s="6" t="str">
        <f t="array" ref="AL324">_xlfn.IFNA((INDEX('DMR 001C TIN &amp; TP'!$A$3:$M$10005,MATCH(('Reg 85'!$X$6&amp;'Reg 85'!AL$10&amp;'Reg 85'!$B324),('DMR 001C TIN &amp; TP'!$E$3:$E$10005&amp;'DMR 001C TIN &amp; TP'!$B$3:$B$10005&amp;'DMR 001C TIN &amp; TP'!$A$3:$A$10005),0),MATCH('Reg 85'!$AG$11,'DMR 001C TIN &amp; TP'!$A$2:$M$2,0))),"")</f>
        <v/>
      </c>
      <c r="AM324" s="76"/>
      <c r="AN324" s="6"/>
      <c r="AO324" s="54">
        <f t="shared" si="104"/>
        <v>6.2099281878579546</v>
      </c>
      <c r="AP324" s="77" t="str">
        <f t="shared" si="123"/>
        <v/>
      </c>
      <c r="AQ324" s="47"/>
      <c r="AR324" s="6" t="str">
        <f t="array" ref="AR324">_xlfn.IFNA((INDEX('DMR 001C TIN &amp; TP'!$A$3:$M$10005,MATCH(('Reg 85'!$AQ$6&amp;'Reg 85'!$AQ$10&amp;'Reg 85'!$B324),('DMR 001C TIN &amp; TP'!$E$3:$E$10005&amp;'DMR 001C TIN &amp; TP'!$B$3:$B$10005&amp;'DMR 001C TIN &amp; TP'!$A$3:$A$10005),0),MATCH('Reg 85'!$AR$11,'DMR 001C TIN &amp; TP'!$A$2:$M$2,0))),"")</f>
        <v/>
      </c>
      <c r="AS324" s="6" t="str">
        <f t="array" ref="AS324">_xlfn.IFNA((INDEX('DMR 001C TIN &amp; TP'!$A$3:$M$10005,MATCH(('Reg 85'!$AQ$6&amp;'Reg 85'!$AQ$10&amp;'Reg 85'!$B324),('DMR 001C TIN &amp; TP'!$E$3:$E$10005&amp;'DMR 001C TIN &amp; TP'!$B$3:$B$10005&amp;'DMR 001C TIN &amp; TP'!$A$3:$A$10005),0),MATCH('Reg 85'!$AS$11,'DMR 001C TIN &amp; TP'!$A$2:$M$2,0))),"")</f>
        <v/>
      </c>
      <c r="AT324" s="53" t="str">
        <f t="shared" si="118"/>
        <v/>
      </c>
      <c r="AV324" s="6" t="str">
        <f t="array" ref="AV324">_xlfn.IFNA((INDEX('DMR 001C TIN &amp; TP'!$A$3:$M$10005,MATCH(('Reg 85'!$AQ$6&amp;'Reg 85'!$AU$10&amp;'Reg 85'!$B324),('DMR 001C TIN &amp; TP'!$E$3:$E$10005&amp;'DMR 001C TIN &amp; TP'!$B$3:$B$10005&amp;'DMR 001C TIN &amp; TP'!$A$3:$A$10005),0),MATCH('Reg 85'!$AV$11,'DMR 001C TIN &amp; TP'!$A$2:$M$2,0))),"")</f>
        <v/>
      </c>
      <c r="AW324" s="6" t="str">
        <f t="array" ref="AW324">_xlfn.IFNA((INDEX('DMR 001C TIN &amp; TP'!$A$3:$M$10005,MATCH(('Reg 85'!$AQ$6&amp;'Reg 85'!$AU$10&amp;'Reg 85'!$B324),('DMR 001C TIN &amp; TP'!$E$3:$E$10005&amp;'DMR 001C TIN &amp; TP'!$B$3:$B$10005&amp;'DMR 001C TIN &amp; TP'!$A$3:$A$10005),0),MATCH('Reg 85'!$AW$11,'DMR 001C TIN &amp; TP'!$A$2:$M$2,0))),"")</f>
        <v/>
      </c>
      <c r="AX324" s="53" t="str">
        <f t="shared" si="119"/>
        <v/>
      </c>
      <c r="AY324" s="55" t="str">
        <f t="shared" si="120"/>
        <v/>
      </c>
      <c r="AZ324" s="77" t="str">
        <f t="shared" si="124"/>
        <v/>
      </c>
      <c r="BA324" s="6" t="str">
        <f t="array" ref="BA324">_xlfn.IFNA((INDEX('DMR 001C TIN &amp; TP'!$A$3:$M$10005,MATCH(('Reg 85'!$AQ$6&amp;'Reg 85'!BA$10&amp;'Reg 85'!$B324),('DMR 001C TIN &amp; TP'!$E$3:$E$10005&amp;'DMR 001C TIN &amp; TP'!$B$3:$B$10005&amp;'DMR 001C TIN &amp; TP'!$A$3:$A$10005),0),MATCH('Reg 85'!$AG$11,'DMR 001C TIN &amp; TP'!$A$2:$M$2,0))),"")</f>
        <v/>
      </c>
      <c r="BB324" s="6" t="str">
        <f t="array" ref="BB324">_xlfn.IFNA((INDEX('DMR 001C TIN &amp; TP'!$A$3:$M$10005,MATCH(('Reg 85'!$AQ$6&amp;'Reg 85'!BB$10&amp;'Reg 85'!$B324),('DMR 001C TIN &amp; TP'!$E$3:$E$10005&amp;'DMR 001C TIN &amp; TP'!$B$3:$B$10005&amp;'DMR 001C TIN &amp; TP'!$A$3:$A$10005),0),MATCH('Reg 85'!$AG$11,'DMR 001C TIN &amp; TP'!$A$2:$M$2,0))),"")</f>
        <v/>
      </c>
      <c r="BC324" s="6" t="str">
        <f t="array" ref="BC324">_xlfn.IFNA((INDEX('DMR 001C TIN &amp; TP'!$A$3:$M$10005,MATCH(('Reg 85'!$AQ$6&amp;'Reg 85'!BC$10&amp;'Reg 85'!$B324),('DMR 001C TIN &amp; TP'!$E$3:$E$10005&amp;'DMR 001C TIN &amp; TP'!$B$3:$B$10005&amp;'DMR 001C TIN &amp; TP'!$A$3:$A$10005),0),MATCH('Reg 85'!$AG$11,'DMR 001C TIN &amp; TP'!$A$2:$M$2,0))),"")</f>
        <v/>
      </c>
      <c r="BD324" s="6" t="str">
        <f t="array" ref="BD324">_xlfn.IFNA((INDEX('DMR 001C TIN &amp; TP'!$A$3:$M$10005,MATCH(('Reg 85'!$AQ$6&amp;'Reg 85'!BD$10&amp;'Reg 85'!$B324),('DMR 001C TIN &amp; TP'!$E$3:$E$10005&amp;'DMR 001C TIN &amp; TP'!$B$3:$B$10005&amp;'DMR 001C TIN &amp; TP'!$A$3:$A$10005),0),MATCH('Reg 85'!$AG$11,'DMR 001C TIN &amp; TP'!$A$2:$M$2,0))),"")</f>
        <v/>
      </c>
      <c r="BE324" s="6" t="str">
        <f t="array" ref="BE324">_xlfn.IFNA((INDEX('DMR 001C TIN &amp; TP'!$A$3:$M$10005,MATCH(('Reg 85'!$AQ$6&amp;'Reg 85'!BE$10&amp;'Reg 85'!$B324),('DMR 001C TIN &amp; TP'!$E$3:$E$10005&amp;'DMR 001C TIN &amp; TP'!$B$3:$B$10005&amp;'DMR 001C TIN &amp; TP'!$A$3:$A$10005),0),MATCH('Reg 85'!$AG$11,'DMR 001C TIN &amp; TP'!$A$2:$M$2,0))),"")</f>
        <v/>
      </c>
      <c r="BF324" s="6" t="str">
        <f t="array" ref="BF324">_xlfn.IFNA((INDEX('DMR 001C TIN &amp; TP'!$A$3:$M$10005,MATCH(('Reg 85'!$AQ$6&amp;'Reg 85'!BF$10&amp;'Reg 85'!$B324),('DMR 001C TIN &amp; TP'!$E$3:$E$10005&amp;'DMR 001C TIN &amp; TP'!$B$3:$B$10005&amp;'DMR 001C TIN &amp; TP'!$A$3:$A$10005),0),MATCH('Reg 85'!$AG$11,'DMR 001C TIN &amp; TP'!$A$2:$M$2,0))),"")</f>
        <v/>
      </c>
    </row>
    <row r="325" spans="1:58">
      <c r="A325" s="3" t="str">
        <f t="shared" si="105"/>
        <v>Thu</v>
      </c>
      <c r="B325" s="96">
        <f t="shared" si="121"/>
        <v>43657</v>
      </c>
      <c r="C325" s="96">
        <f t="shared" si="106"/>
        <v>43677</v>
      </c>
      <c r="D325" s="96">
        <f t="shared" si="107"/>
        <v>43647</v>
      </c>
      <c r="E325" s="95">
        <f t="shared" si="108"/>
        <v>31</v>
      </c>
      <c r="F325" s="7">
        <f t="array" ref="F325">_xlfn.IFNA(INDEX('DMR Flows-Effluent'!$A$3:$F$9999,MATCH(($F$10&amp;$B325),('DMR Flows-Effluent'!$B$3:$B$9999&amp;'DMR Flows-Effluent'!$A$3:$A$9999),0),MATCH($F$8,'DMR Flows-Effluent'!$A$2:$F$2,0)),"")</f>
        <v>71.794600000000003</v>
      </c>
      <c r="G325" s="7">
        <f t="array" ref="G325">_xlfn.IFNA(INDEX('DMR Flows-Effluent'!$A$3:$F$9999,MATCH(($G$10&amp;$B325),('DMR Flows-Effluent'!$B$3:$B$9999&amp;'DMR Flows-Effluent'!$A$3:$A$9999),0),MATCH($F$8,'DMR Flows-Effluent'!$A$2:$F$2,0)),"")</f>
        <v>55.874200000000002</v>
      </c>
      <c r="H325" s="7">
        <f t="shared" si="109"/>
        <v>127.6688</v>
      </c>
      <c r="I325" s="45" t="str">
        <f t="shared" si="110"/>
        <v/>
      </c>
      <c r="J325" s="6" t="str">
        <f t="array" ref="J325">_xlfn.IFNA((INDEX('DMR 001C TIN &amp; TP'!$A$3:$M$10005,MATCH(('Reg 85'!$I$6:$Q$6&amp;'Reg 85'!$I$10:$K$10&amp;'Reg 85'!$B325),('DMR 001C TIN &amp; TP'!$E$3:$E$10005&amp;'DMR 001C TIN &amp; TP'!$B$3:$B$10005&amp;'DMR 001C TIN &amp; TP'!$A$3:$A$10005),0),MATCH('Reg 85'!$J$11,'DMR 001C TIN &amp; TP'!$A$2:$M$2,0))),"")</f>
        <v/>
      </c>
      <c r="K325" s="6" t="str">
        <f t="array" ref="K325">_xlfn.IFNA((INDEX('DMR 001C TIN &amp; TP'!$A$3:$M$10005,MATCH(('Reg 85'!$I$6:$Q$6&amp;'Reg 85'!$I$10:$K$10&amp;'Reg 85'!$B325),('DMR 001C TIN &amp; TP'!$E$3:$E$10005&amp;'DMR 001C TIN &amp; TP'!$B$3:$B$10005&amp;'DMR 001C TIN &amp; TP'!$A$3:$A$10005),0),MATCH('Reg 85'!$K$11,'DMR 001C TIN &amp; TP'!$A$2:$M$2,0))),"")</f>
        <v/>
      </c>
      <c r="L325" s="53" t="str">
        <f t="shared" si="122"/>
        <v/>
      </c>
      <c r="M325" s="5" t="str">
        <f t="shared" si="111"/>
        <v/>
      </c>
      <c r="N325" s="6" t="str">
        <f t="array" ref="N325">_xlfn.IFNA((INDEX('DMR 001C TIN &amp; TP'!$A$3:$M$10005,MATCH(('Reg 85'!$I$6:$Q$6&amp;'Reg 85'!$M$10&amp;'Reg 85'!$B325),('DMR 001C TIN &amp; TP'!$E$3:$E$10005&amp;'DMR 001C TIN &amp; TP'!$B$3:$B$10005&amp;'DMR 001C TIN &amp; TP'!$A$3:$A$10005),0),MATCH('Reg 85'!$N$11,'DMR 001C TIN &amp; TP'!$A$2:$M$2,0))),"")</f>
        <v/>
      </c>
      <c r="O325" s="6" t="str">
        <f t="array" ref="O325">_xlfn.IFNA((INDEX('DMR 001C TIN &amp; TP'!$A$3:$M$10005,MATCH(('Reg 85'!$I$6:$Q$6&amp;'Reg 85'!$M$10&amp;'Reg 85'!$B325),('DMR 001C TIN &amp; TP'!$E$3:$E$10005&amp;'DMR 001C TIN &amp; TP'!$B$3:$B$10005&amp;'DMR 001C TIN &amp; TP'!$A$3:$A$10005),0),MATCH('Reg 85'!$O$11,'DMR 001C TIN &amp; TP'!$A$2:$M$2,0))),"")</f>
        <v/>
      </c>
      <c r="P325" s="53" t="str">
        <f t="shared" si="112"/>
        <v/>
      </c>
      <c r="Q325" s="73" t="str">
        <f t="array" ref="Q325">IFERROR(((L325*$F325)+(P325*$G325))/($H325),"")</f>
        <v/>
      </c>
      <c r="R325" s="6" t="str">
        <f t="array" ref="R325">_xlfn.IFNA((INDEX('DMR 001C TIN &amp; TP'!$A$3:$M$10005,MATCH(('Reg 85'!$I$6:$Q$6&amp;'Reg 85'!R$10&amp;'Reg 85'!$B325),('DMR 001C TIN &amp; TP'!$E$3:$E$10005&amp;'DMR 001C TIN &amp; TP'!$B$3:$B$10005&amp;'DMR 001C TIN &amp; TP'!$A$3:$A$10005),0),MATCH('Reg 85'!$O$11,'DMR 001C TIN &amp; TP'!$A$2:$M$2,0))),"")</f>
        <v/>
      </c>
      <c r="S325" s="6" t="str">
        <f t="array" ref="S325">_xlfn.IFNA((INDEX('DMR 001C TIN &amp; TP'!$A$3:$M$10005,MATCH(('Reg 85'!$I$6:$Q$6&amp;'Reg 85'!S$10&amp;'Reg 85'!$B325),('DMR 001C TIN &amp; TP'!$E$3:$E$10005&amp;'DMR 001C TIN &amp; TP'!$B$3:$B$10005&amp;'DMR 001C TIN &amp; TP'!$A$3:$A$10005),0),MATCH('Reg 85'!$O$11,'DMR 001C TIN &amp; TP'!$A$2:$M$2,0))),"")</f>
        <v/>
      </c>
      <c r="T325" s="6" t="str">
        <f t="array" ref="T325">_xlfn.IFNA((INDEX('DMR 001C TIN &amp; TP'!$A$3:$M$10005,MATCH(('Reg 85'!$I$6:$Q$6&amp;'Reg 85'!T$10&amp;'Reg 85'!$B325),('DMR 001C TIN &amp; TP'!$E$3:$E$10005&amp;'DMR 001C TIN &amp; TP'!$B$3:$B$10005&amp;'DMR 001C TIN &amp; TP'!$A$3:$A$10005),0),MATCH('Reg 85'!$O$11,'DMR 001C TIN &amp; TP'!$A$2:$M$2,0))),"")</f>
        <v/>
      </c>
      <c r="U325" s="6">
        <f t="array" ref="U325">_xlfn.IFNA((INDEX('DMR 001C TIN &amp; TP'!$A$3:$M$10005,MATCH(('Reg 85'!$I$6:$Q$6&amp;'Reg 85'!U$10&amp;'Reg 85'!$B325),('DMR 001C TIN &amp; TP'!$E$3:$E$10005&amp;'DMR 001C TIN &amp; TP'!$B$3:$B$10005&amp;'DMR 001C TIN &amp; TP'!$A$3:$A$10005),0),MATCH('Reg 85'!$O$11,'DMR 001C TIN &amp; TP'!$A$2:$M$2,0))),"")</f>
        <v>1.34</v>
      </c>
      <c r="V325" s="6" t="str">
        <f t="array" ref="V325">_xlfn.IFNA((INDEX('DMR 001C TIN &amp; TP'!$A$3:$M$10005,MATCH(('Reg 85'!$I$6:$Q$6&amp;'Reg 85'!V$10&amp;'Reg 85'!$B325),('DMR 001C TIN &amp; TP'!$E$3:$E$10005&amp;'DMR 001C TIN &amp; TP'!$B$3:$B$10005&amp;'DMR 001C TIN &amp; TP'!$A$3:$A$10005),0),MATCH('Reg 85'!$O$11,'DMR 001C TIN &amp; TP'!$A$2:$M$2,0))),"")</f>
        <v/>
      </c>
      <c r="W325" s="6" t="str">
        <f t="array" ref="W325">_xlfn.IFNA((INDEX('DMR 001C TIN &amp; TP'!$A$3:$M$10005,MATCH(('Reg 85'!$I$6:$Q$6&amp;'Reg 85'!W$10&amp;'Reg 85'!$B325),('DMR 001C TIN &amp; TP'!$E$3:$E$10005&amp;'DMR 001C TIN &amp; TP'!$B$3:$B$10005&amp;'DMR 001C TIN &amp; TP'!$A$3:$A$10005),0),MATCH('Reg 85'!$O$11,'DMR 001C TIN &amp; TP'!$A$2:$M$2,0))),"")</f>
        <v/>
      </c>
      <c r="X325" s="5" t="str">
        <f t="shared" si="113"/>
        <v/>
      </c>
      <c r="Y325" s="6" t="str">
        <f t="array" ref="Y325">_xlfn.IFNA((INDEX('DMR 001C TIN &amp; TP'!$A$3:$M$10005,MATCH(('Reg 85'!$X$6&amp;'Reg 85'!$X$10&amp;'Reg 85'!$B325),('DMR 001C TIN &amp; TP'!$E$3:$E$10005&amp;'DMR 001C TIN &amp; TP'!$B$3:$B$10005&amp;'DMR 001C TIN &amp; TP'!$A$3:$A$10005),0),MATCH('Reg 85'!$Y$11,'DMR 001C TIN &amp; TP'!$A$2:$M$2,0))),"")</f>
        <v/>
      </c>
      <c r="Z325" s="6" t="str">
        <f t="array" ref="Z325">_xlfn.IFNA((INDEX('DMR 001C TIN &amp; TP'!$A$3:$M$10005,MATCH(('Reg 85'!$X$6&amp;'Reg 85'!$X$10&amp;'Reg 85'!$B325),('DMR 001C TIN &amp; TP'!$E$3:$E$10005&amp;'DMR 001C TIN &amp; TP'!$B$3:$B$10005&amp;'DMR 001C TIN &amp; TP'!$A$3:$A$10005),0),MATCH('Reg 85'!$Z$11,'DMR 001C TIN &amp; TP'!$A$2:$M$2,0))),"")</f>
        <v/>
      </c>
      <c r="AA325" s="53" t="str">
        <f t="shared" si="114"/>
        <v/>
      </c>
      <c r="AB325" s="5" t="str">
        <f t="shared" si="115"/>
        <v/>
      </c>
      <c r="AC325" s="6" t="str">
        <f t="array" ref="AC325">_xlfn.IFNA((INDEX('DMR 001C TIN &amp; TP'!$A$3:$M$10005,MATCH(('Reg 85'!$X$6&amp;'Reg 85'!$AB$10&amp;'Reg 85'!$B325),('DMR 001C TIN &amp; TP'!$E$3:$E$10005&amp;'DMR 001C TIN &amp; TP'!$B$3:$B$10005&amp;'DMR 001C TIN &amp; TP'!$A$3:$A$10005),0),MATCH('Reg 85'!$AC$11,'DMR 001C TIN &amp; TP'!$A$2:$M$2,0))),"")</f>
        <v/>
      </c>
      <c r="AD325" s="6" t="str">
        <f t="array" ref="AD325">_xlfn.IFNA((INDEX('DMR 001C TIN &amp; TP'!$A$3:$M$10005,MATCH(('Reg 85'!$X$6&amp;'Reg 85'!$AB$10&amp;'Reg 85'!$B325),('DMR 001C TIN &amp; TP'!$E$3:$E$10005&amp;'DMR 001C TIN &amp; TP'!$B$3:$B$10005&amp;'DMR 001C TIN &amp; TP'!$A$3:$A$10005),0),MATCH('Reg 85'!$AD$11,'DMR 001C TIN &amp; TP'!$A$2:$M$2,0))),"")</f>
        <v/>
      </c>
      <c r="AE325" s="53" t="str">
        <f t="shared" si="116"/>
        <v/>
      </c>
      <c r="AF325" s="7" t="str">
        <f t="shared" si="117"/>
        <v/>
      </c>
      <c r="AG325" s="6" t="str">
        <f t="array" ref="AG325">_xlfn.IFNA((INDEX('DMR 001C TIN &amp; TP'!$A$3:$M$10005,MATCH(('Reg 85'!$X$6&amp;'Reg 85'!AG$10&amp;'Reg 85'!$B325),('DMR 001C TIN &amp; TP'!$E$3:$E$10005&amp;'DMR 001C TIN &amp; TP'!$B$3:$B$10005&amp;'DMR 001C TIN &amp; TP'!$A$3:$A$10005),0),MATCH('Reg 85'!$AG$11,'DMR 001C TIN &amp; TP'!$A$2:$M$2,0))),"")</f>
        <v/>
      </c>
      <c r="AH325" s="6" t="str">
        <f t="array" ref="AH325">_xlfn.IFNA((INDEX('DMR 001C TIN &amp; TP'!$A$3:$M$10005,MATCH(('Reg 85'!$X$6&amp;'Reg 85'!AH$10&amp;'Reg 85'!$B325),('DMR 001C TIN &amp; TP'!$E$3:$E$10005&amp;'DMR 001C TIN &amp; TP'!$B$3:$B$10005&amp;'DMR 001C TIN &amp; TP'!$A$3:$A$10005),0),MATCH('Reg 85'!$AG$11,'DMR 001C TIN &amp; TP'!$A$2:$M$2,0))),"")</f>
        <v/>
      </c>
      <c r="AI325" s="6" t="str">
        <f t="array" ref="AI325">_xlfn.IFNA((INDEX('DMR 001C TIN &amp; TP'!$A$3:$M$10005,MATCH(('Reg 85'!$X$6&amp;'Reg 85'!AI$10&amp;'Reg 85'!$B325),('DMR 001C TIN &amp; TP'!$E$3:$E$10005&amp;'DMR 001C TIN &amp; TP'!$B$3:$B$10005&amp;'DMR 001C TIN &amp; TP'!$A$3:$A$10005),0),MATCH('Reg 85'!$AG$11,'DMR 001C TIN &amp; TP'!$A$2:$M$2,0))),"")</f>
        <v/>
      </c>
      <c r="AJ325" s="6" t="str">
        <f t="array" ref="AJ325">_xlfn.IFNA((INDEX('DMR 001C TIN &amp; TP'!$A$3:$M$10005,MATCH(('Reg 85'!$X$6&amp;'Reg 85'!AJ$10&amp;'Reg 85'!$B325),('DMR 001C TIN &amp; TP'!$E$3:$E$10005&amp;'DMR 001C TIN &amp; TP'!$B$3:$B$10005&amp;'DMR 001C TIN &amp; TP'!$A$3:$A$10005),0),MATCH('Reg 85'!$AG$11,'DMR 001C TIN &amp; TP'!$A$2:$M$2,0))),"")</f>
        <v/>
      </c>
      <c r="AK325" s="6" t="str">
        <f t="array" ref="AK325">_xlfn.IFNA((INDEX('DMR 001C TIN &amp; TP'!$A$3:$M$10005,MATCH(('Reg 85'!$X$6&amp;'Reg 85'!AK$10&amp;'Reg 85'!$B325),('DMR 001C TIN &amp; TP'!$E$3:$E$10005&amp;'DMR 001C TIN &amp; TP'!$B$3:$B$10005&amp;'DMR 001C TIN &amp; TP'!$A$3:$A$10005),0),MATCH('Reg 85'!$AG$11,'DMR 001C TIN &amp; TP'!$A$2:$M$2,0))),"")</f>
        <v/>
      </c>
      <c r="AL325" s="6" t="str">
        <f t="array" ref="AL325">_xlfn.IFNA((INDEX('DMR 001C TIN &amp; TP'!$A$3:$M$10005,MATCH(('Reg 85'!$X$6&amp;'Reg 85'!AL$10&amp;'Reg 85'!$B325),('DMR 001C TIN &amp; TP'!$E$3:$E$10005&amp;'DMR 001C TIN &amp; TP'!$B$3:$B$10005&amp;'DMR 001C TIN &amp; TP'!$A$3:$A$10005),0),MATCH('Reg 85'!$AG$11,'DMR 001C TIN &amp; TP'!$A$2:$M$2,0))),"")</f>
        <v/>
      </c>
      <c r="AM325" s="76"/>
      <c r="AN325" s="6"/>
      <c r="AO325" s="54" t="str">
        <f t="shared" si="104"/>
        <v/>
      </c>
      <c r="AP325" s="77" t="str">
        <f t="shared" si="123"/>
        <v/>
      </c>
      <c r="AQ325" s="47"/>
      <c r="AR325" s="6" t="str">
        <f t="array" ref="AR325">_xlfn.IFNA((INDEX('DMR 001C TIN &amp; TP'!$A$3:$M$10005,MATCH(('Reg 85'!$AQ$6&amp;'Reg 85'!$AQ$10&amp;'Reg 85'!$B325),('DMR 001C TIN &amp; TP'!$E$3:$E$10005&amp;'DMR 001C TIN &amp; TP'!$B$3:$B$10005&amp;'DMR 001C TIN &amp; TP'!$A$3:$A$10005),0),MATCH('Reg 85'!$AR$11,'DMR 001C TIN &amp; TP'!$A$2:$M$2,0))),"")</f>
        <v/>
      </c>
      <c r="AS325" s="6" t="str">
        <f t="array" ref="AS325">_xlfn.IFNA((INDEX('DMR 001C TIN &amp; TP'!$A$3:$M$10005,MATCH(('Reg 85'!$AQ$6&amp;'Reg 85'!$AQ$10&amp;'Reg 85'!$B325),('DMR 001C TIN &amp; TP'!$E$3:$E$10005&amp;'DMR 001C TIN &amp; TP'!$B$3:$B$10005&amp;'DMR 001C TIN &amp; TP'!$A$3:$A$10005),0),MATCH('Reg 85'!$AS$11,'DMR 001C TIN &amp; TP'!$A$2:$M$2,0))),"")</f>
        <v/>
      </c>
      <c r="AT325" s="53" t="str">
        <f t="shared" si="118"/>
        <v/>
      </c>
      <c r="AV325" s="6" t="str">
        <f t="array" ref="AV325">_xlfn.IFNA((INDEX('DMR 001C TIN &amp; TP'!$A$3:$M$10005,MATCH(('Reg 85'!$AQ$6&amp;'Reg 85'!$AU$10&amp;'Reg 85'!$B325),('DMR 001C TIN &amp; TP'!$E$3:$E$10005&amp;'DMR 001C TIN &amp; TP'!$B$3:$B$10005&amp;'DMR 001C TIN &amp; TP'!$A$3:$A$10005),0),MATCH('Reg 85'!$AV$11,'DMR 001C TIN &amp; TP'!$A$2:$M$2,0))),"")</f>
        <v/>
      </c>
      <c r="AW325" s="6" t="str">
        <f t="array" ref="AW325">_xlfn.IFNA((INDEX('DMR 001C TIN &amp; TP'!$A$3:$M$10005,MATCH(('Reg 85'!$AQ$6&amp;'Reg 85'!$AU$10&amp;'Reg 85'!$B325),('DMR 001C TIN &amp; TP'!$E$3:$E$10005&amp;'DMR 001C TIN &amp; TP'!$B$3:$B$10005&amp;'DMR 001C TIN &amp; TP'!$A$3:$A$10005),0),MATCH('Reg 85'!$AW$11,'DMR 001C TIN &amp; TP'!$A$2:$M$2,0))),"")</f>
        <v/>
      </c>
      <c r="AX325" s="53" t="str">
        <f t="shared" si="119"/>
        <v/>
      </c>
      <c r="AY325" s="55" t="str">
        <f t="shared" si="120"/>
        <v/>
      </c>
      <c r="AZ325" s="77" t="str">
        <f t="shared" si="124"/>
        <v/>
      </c>
      <c r="BA325" s="6" t="str">
        <f t="array" ref="BA325">_xlfn.IFNA((INDEX('DMR 001C TIN &amp; TP'!$A$3:$M$10005,MATCH(('Reg 85'!$AQ$6&amp;'Reg 85'!BA$10&amp;'Reg 85'!$B325),('DMR 001C TIN &amp; TP'!$E$3:$E$10005&amp;'DMR 001C TIN &amp; TP'!$B$3:$B$10005&amp;'DMR 001C TIN &amp; TP'!$A$3:$A$10005),0),MATCH('Reg 85'!$AG$11,'DMR 001C TIN &amp; TP'!$A$2:$M$2,0))),"")</f>
        <v/>
      </c>
      <c r="BB325" s="6" t="str">
        <f t="array" ref="BB325">_xlfn.IFNA((INDEX('DMR 001C TIN &amp; TP'!$A$3:$M$10005,MATCH(('Reg 85'!$AQ$6&amp;'Reg 85'!BB$10&amp;'Reg 85'!$B325),('DMR 001C TIN &amp; TP'!$E$3:$E$10005&amp;'DMR 001C TIN &amp; TP'!$B$3:$B$10005&amp;'DMR 001C TIN &amp; TP'!$A$3:$A$10005),0),MATCH('Reg 85'!$AG$11,'DMR 001C TIN &amp; TP'!$A$2:$M$2,0))),"")</f>
        <v/>
      </c>
      <c r="BC325" s="6" t="str">
        <f t="array" ref="BC325">_xlfn.IFNA((INDEX('DMR 001C TIN &amp; TP'!$A$3:$M$10005,MATCH(('Reg 85'!$AQ$6&amp;'Reg 85'!BC$10&amp;'Reg 85'!$B325),('DMR 001C TIN &amp; TP'!$E$3:$E$10005&amp;'DMR 001C TIN &amp; TP'!$B$3:$B$10005&amp;'DMR 001C TIN &amp; TP'!$A$3:$A$10005),0),MATCH('Reg 85'!$AG$11,'DMR 001C TIN &amp; TP'!$A$2:$M$2,0))),"")</f>
        <v/>
      </c>
      <c r="BD325" s="6" t="str">
        <f t="array" ref="BD325">_xlfn.IFNA((INDEX('DMR 001C TIN &amp; TP'!$A$3:$M$10005,MATCH(('Reg 85'!$AQ$6&amp;'Reg 85'!BD$10&amp;'Reg 85'!$B325),('DMR 001C TIN &amp; TP'!$E$3:$E$10005&amp;'DMR 001C TIN &amp; TP'!$B$3:$B$10005&amp;'DMR 001C TIN &amp; TP'!$A$3:$A$10005),0),MATCH('Reg 85'!$AG$11,'DMR 001C TIN &amp; TP'!$A$2:$M$2,0))),"")</f>
        <v/>
      </c>
      <c r="BE325" s="6" t="str">
        <f t="array" ref="BE325">_xlfn.IFNA((INDEX('DMR 001C TIN &amp; TP'!$A$3:$M$10005,MATCH(('Reg 85'!$AQ$6&amp;'Reg 85'!BE$10&amp;'Reg 85'!$B325),('DMR 001C TIN &amp; TP'!$E$3:$E$10005&amp;'DMR 001C TIN &amp; TP'!$B$3:$B$10005&amp;'DMR 001C TIN &amp; TP'!$A$3:$A$10005),0),MATCH('Reg 85'!$AG$11,'DMR 001C TIN &amp; TP'!$A$2:$M$2,0))),"")</f>
        <v/>
      </c>
      <c r="BF325" s="6" t="str">
        <f t="array" ref="BF325">_xlfn.IFNA((INDEX('DMR 001C TIN &amp; TP'!$A$3:$M$10005,MATCH(('Reg 85'!$AQ$6&amp;'Reg 85'!BF$10&amp;'Reg 85'!$B325),('DMR 001C TIN &amp; TP'!$E$3:$E$10005&amp;'DMR 001C TIN &amp; TP'!$B$3:$B$10005&amp;'DMR 001C TIN &amp; TP'!$A$3:$A$10005),0),MATCH('Reg 85'!$AG$11,'DMR 001C TIN &amp; TP'!$A$2:$M$2,0))),"")</f>
        <v/>
      </c>
    </row>
    <row r="326" spans="1:58">
      <c r="A326" s="3" t="str">
        <f t="shared" si="105"/>
        <v>Fri</v>
      </c>
      <c r="B326" s="96">
        <f t="shared" si="121"/>
        <v>43658</v>
      </c>
      <c r="C326" s="96">
        <f t="shared" si="106"/>
        <v>43677</v>
      </c>
      <c r="D326" s="96">
        <f t="shared" si="107"/>
        <v>43647</v>
      </c>
      <c r="E326" s="95">
        <f t="shared" si="108"/>
        <v>31</v>
      </c>
      <c r="F326" s="7">
        <f t="array" ref="F326">_xlfn.IFNA(INDEX('DMR Flows-Effluent'!$A$3:$F$9999,MATCH(($F$10&amp;$B326),('DMR Flows-Effluent'!$B$3:$B$9999&amp;'DMR Flows-Effluent'!$A$3:$A$9999),0),MATCH($F$8,'DMR Flows-Effluent'!$A$2:$F$2,0)),"")</f>
        <v>71.236400000000003</v>
      </c>
      <c r="G326" s="7">
        <f t="array" ref="G326">_xlfn.IFNA(INDEX('DMR Flows-Effluent'!$A$3:$F$9999,MATCH(($G$10&amp;$B326),('DMR Flows-Effluent'!$B$3:$B$9999&amp;'DMR Flows-Effluent'!$A$3:$A$9999),0),MATCH($F$8,'DMR Flows-Effluent'!$A$2:$F$2,0)),"")</f>
        <v>55.276600000000002</v>
      </c>
      <c r="H326" s="7">
        <f t="shared" si="109"/>
        <v>126.51300000000001</v>
      </c>
      <c r="I326" s="45" t="str">
        <f t="shared" si="110"/>
        <v/>
      </c>
      <c r="J326" s="6" t="str">
        <f t="array" ref="J326">_xlfn.IFNA((INDEX('DMR 001C TIN &amp; TP'!$A$3:$M$10005,MATCH(('Reg 85'!$I$6:$Q$6&amp;'Reg 85'!$I$10:$K$10&amp;'Reg 85'!$B326),('DMR 001C TIN &amp; TP'!$E$3:$E$10005&amp;'DMR 001C TIN &amp; TP'!$B$3:$B$10005&amp;'DMR 001C TIN &amp; TP'!$A$3:$A$10005),0),MATCH('Reg 85'!$J$11,'DMR 001C TIN &amp; TP'!$A$2:$M$2,0))),"")</f>
        <v/>
      </c>
      <c r="K326" s="6" t="str">
        <f t="array" ref="K326">_xlfn.IFNA((INDEX('DMR 001C TIN &amp; TP'!$A$3:$M$10005,MATCH(('Reg 85'!$I$6:$Q$6&amp;'Reg 85'!$I$10:$K$10&amp;'Reg 85'!$B326),('DMR 001C TIN &amp; TP'!$E$3:$E$10005&amp;'DMR 001C TIN &amp; TP'!$B$3:$B$10005&amp;'DMR 001C TIN &amp; TP'!$A$3:$A$10005),0),MATCH('Reg 85'!$K$11,'DMR 001C TIN &amp; TP'!$A$2:$M$2,0))),"")</f>
        <v/>
      </c>
      <c r="L326" s="53" t="str">
        <f t="shared" si="122"/>
        <v/>
      </c>
      <c r="M326" s="5" t="str">
        <f t="shared" si="111"/>
        <v/>
      </c>
      <c r="N326" s="6" t="str">
        <f t="array" ref="N326">_xlfn.IFNA((INDEX('DMR 001C TIN &amp; TP'!$A$3:$M$10005,MATCH(('Reg 85'!$I$6:$Q$6&amp;'Reg 85'!$M$10&amp;'Reg 85'!$B326),('DMR 001C TIN &amp; TP'!$E$3:$E$10005&amp;'DMR 001C TIN &amp; TP'!$B$3:$B$10005&amp;'DMR 001C TIN &amp; TP'!$A$3:$A$10005),0),MATCH('Reg 85'!$N$11,'DMR 001C TIN &amp; TP'!$A$2:$M$2,0))),"")</f>
        <v/>
      </c>
      <c r="O326" s="6" t="str">
        <f t="array" ref="O326">_xlfn.IFNA((INDEX('DMR 001C TIN &amp; TP'!$A$3:$M$10005,MATCH(('Reg 85'!$I$6:$Q$6&amp;'Reg 85'!$M$10&amp;'Reg 85'!$B326),('DMR 001C TIN &amp; TP'!$E$3:$E$10005&amp;'DMR 001C TIN &amp; TP'!$B$3:$B$10005&amp;'DMR 001C TIN &amp; TP'!$A$3:$A$10005),0),MATCH('Reg 85'!$O$11,'DMR 001C TIN &amp; TP'!$A$2:$M$2,0))),"")</f>
        <v/>
      </c>
      <c r="P326" s="53" t="str">
        <f t="shared" si="112"/>
        <v/>
      </c>
      <c r="Q326" s="73" t="str">
        <f t="array" ref="Q326">IFERROR(((L326*$F326)+(P326*$G326))/($H326),"")</f>
        <v/>
      </c>
      <c r="R326" s="6" t="str">
        <f t="array" ref="R326">_xlfn.IFNA((INDEX('DMR 001C TIN &amp; TP'!$A$3:$M$10005,MATCH(('Reg 85'!$I$6:$Q$6&amp;'Reg 85'!R$10&amp;'Reg 85'!$B326),('DMR 001C TIN &amp; TP'!$E$3:$E$10005&amp;'DMR 001C TIN &amp; TP'!$B$3:$B$10005&amp;'DMR 001C TIN &amp; TP'!$A$3:$A$10005),0),MATCH('Reg 85'!$O$11,'DMR 001C TIN &amp; TP'!$A$2:$M$2,0))),"")</f>
        <v/>
      </c>
      <c r="S326" s="6" t="str">
        <f t="array" ref="S326">_xlfn.IFNA((INDEX('DMR 001C TIN &amp; TP'!$A$3:$M$10005,MATCH(('Reg 85'!$I$6:$Q$6&amp;'Reg 85'!S$10&amp;'Reg 85'!$B326),('DMR 001C TIN &amp; TP'!$E$3:$E$10005&amp;'DMR 001C TIN &amp; TP'!$B$3:$B$10005&amp;'DMR 001C TIN &amp; TP'!$A$3:$A$10005),0),MATCH('Reg 85'!$O$11,'DMR 001C TIN &amp; TP'!$A$2:$M$2,0))),"")</f>
        <v/>
      </c>
      <c r="T326" s="6" t="str">
        <f t="array" ref="T326">_xlfn.IFNA((INDEX('DMR 001C TIN &amp; TP'!$A$3:$M$10005,MATCH(('Reg 85'!$I$6:$Q$6&amp;'Reg 85'!T$10&amp;'Reg 85'!$B326),('DMR 001C TIN &amp; TP'!$E$3:$E$10005&amp;'DMR 001C TIN &amp; TP'!$B$3:$B$10005&amp;'DMR 001C TIN &amp; TP'!$A$3:$A$10005),0),MATCH('Reg 85'!$O$11,'DMR 001C TIN &amp; TP'!$A$2:$M$2,0))),"")</f>
        <v/>
      </c>
      <c r="U326" s="6" t="str">
        <f t="array" ref="U326">_xlfn.IFNA((INDEX('DMR 001C TIN &amp; TP'!$A$3:$M$10005,MATCH(('Reg 85'!$I$6:$Q$6&amp;'Reg 85'!U$10&amp;'Reg 85'!$B326),('DMR 001C TIN &amp; TP'!$E$3:$E$10005&amp;'DMR 001C TIN &amp; TP'!$B$3:$B$10005&amp;'DMR 001C TIN &amp; TP'!$A$3:$A$10005),0),MATCH('Reg 85'!$O$11,'DMR 001C TIN &amp; TP'!$A$2:$M$2,0))),"")</f>
        <v/>
      </c>
      <c r="V326" s="6" t="str">
        <f t="array" ref="V326">_xlfn.IFNA((INDEX('DMR 001C TIN &amp; TP'!$A$3:$M$10005,MATCH(('Reg 85'!$I$6:$Q$6&amp;'Reg 85'!V$10&amp;'Reg 85'!$B326),('DMR 001C TIN &amp; TP'!$E$3:$E$10005&amp;'DMR 001C TIN &amp; TP'!$B$3:$B$10005&amp;'DMR 001C TIN &amp; TP'!$A$3:$A$10005),0),MATCH('Reg 85'!$O$11,'DMR 001C TIN &amp; TP'!$A$2:$M$2,0))),"")</f>
        <v/>
      </c>
      <c r="W326" s="6" t="str">
        <f t="array" ref="W326">_xlfn.IFNA((INDEX('DMR 001C TIN &amp; TP'!$A$3:$M$10005,MATCH(('Reg 85'!$I$6:$Q$6&amp;'Reg 85'!W$10&amp;'Reg 85'!$B326),('DMR 001C TIN &amp; TP'!$E$3:$E$10005&amp;'DMR 001C TIN &amp; TP'!$B$3:$B$10005&amp;'DMR 001C TIN &amp; TP'!$A$3:$A$10005),0),MATCH('Reg 85'!$O$11,'DMR 001C TIN &amp; TP'!$A$2:$M$2,0))),"")</f>
        <v/>
      </c>
      <c r="X326" s="5" t="str">
        <f t="shared" si="113"/>
        <v/>
      </c>
      <c r="Y326" s="6" t="str">
        <f t="array" ref="Y326">_xlfn.IFNA((INDEX('DMR 001C TIN &amp; TP'!$A$3:$M$10005,MATCH(('Reg 85'!$X$6&amp;'Reg 85'!$X$10&amp;'Reg 85'!$B326),('DMR 001C TIN &amp; TP'!$E$3:$E$10005&amp;'DMR 001C TIN &amp; TP'!$B$3:$B$10005&amp;'DMR 001C TIN &amp; TP'!$A$3:$A$10005),0),MATCH('Reg 85'!$Y$11,'DMR 001C TIN &amp; TP'!$A$2:$M$2,0))),"")</f>
        <v/>
      </c>
      <c r="Z326" s="6" t="str">
        <f t="array" ref="Z326">_xlfn.IFNA((INDEX('DMR 001C TIN &amp; TP'!$A$3:$M$10005,MATCH(('Reg 85'!$X$6&amp;'Reg 85'!$X$10&amp;'Reg 85'!$B326),('DMR 001C TIN &amp; TP'!$E$3:$E$10005&amp;'DMR 001C TIN &amp; TP'!$B$3:$B$10005&amp;'DMR 001C TIN &amp; TP'!$A$3:$A$10005),0),MATCH('Reg 85'!$Z$11,'DMR 001C TIN &amp; TP'!$A$2:$M$2,0))),"")</f>
        <v/>
      </c>
      <c r="AA326" s="53" t="str">
        <f t="shared" si="114"/>
        <v/>
      </c>
      <c r="AB326" s="5" t="str">
        <f t="shared" si="115"/>
        <v/>
      </c>
      <c r="AC326" s="6" t="str">
        <f t="array" ref="AC326">_xlfn.IFNA((INDEX('DMR 001C TIN &amp; TP'!$A$3:$M$10005,MATCH(('Reg 85'!$X$6&amp;'Reg 85'!$AB$10&amp;'Reg 85'!$B326),('DMR 001C TIN &amp; TP'!$E$3:$E$10005&amp;'DMR 001C TIN &amp; TP'!$B$3:$B$10005&amp;'DMR 001C TIN &amp; TP'!$A$3:$A$10005),0),MATCH('Reg 85'!$AC$11,'DMR 001C TIN &amp; TP'!$A$2:$M$2,0))),"")</f>
        <v/>
      </c>
      <c r="AD326" s="6" t="str">
        <f t="array" ref="AD326">_xlfn.IFNA((INDEX('DMR 001C TIN &amp; TP'!$A$3:$M$10005,MATCH(('Reg 85'!$X$6&amp;'Reg 85'!$AB$10&amp;'Reg 85'!$B326),('DMR 001C TIN &amp; TP'!$E$3:$E$10005&amp;'DMR 001C TIN &amp; TP'!$B$3:$B$10005&amp;'DMR 001C TIN &amp; TP'!$A$3:$A$10005),0),MATCH('Reg 85'!$AD$11,'DMR 001C TIN &amp; TP'!$A$2:$M$2,0))),"")</f>
        <v/>
      </c>
      <c r="AE326" s="53" t="str">
        <f t="shared" si="116"/>
        <v/>
      </c>
      <c r="AF326" s="7" t="str">
        <f t="shared" si="117"/>
        <v/>
      </c>
      <c r="AG326" s="6" t="str">
        <f t="array" ref="AG326">_xlfn.IFNA((INDEX('DMR 001C TIN &amp; TP'!$A$3:$M$10005,MATCH(('Reg 85'!$X$6&amp;'Reg 85'!AG$10&amp;'Reg 85'!$B326),('DMR 001C TIN &amp; TP'!$E$3:$E$10005&amp;'DMR 001C TIN &amp; TP'!$B$3:$B$10005&amp;'DMR 001C TIN &amp; TP'!$A$3:$A$10005),0),MATCH('Reg 85'!$AG$11,'DMR 001C TIN &amp; TP'!$A$2:$M$2,0))),"")</f>
        <v/>
      </c>
      <c r="AH326" s="6" t="str">
        <f t="array" ref="AH326">_xlfn.IFNA((INDEX('DMR 001C TIN &amp; TP'!$A$3:$M$10005,MATCH(('Reg 85'!$X$6&amp;'Reg 85'!AH$10&amp;'Reg 85'!$B326),('DMR 001C TIN &amp; TP'!$E$3:$E$10005&amp;'DMR 001C TIN &amp; TP'!$B$3:$B$10005&amp;'DMR 001C TIN &amp; TP'!$A$3:$A$10005),0),MATCH('Reg 85'!$AG$11,'DMR 001C TIN &amp; TP'!$A$2:$M$2,0))),"")</f>
        <v/>
      </c>
      <c r="AI326" s="6" t="str">
        <f t="array" ref="AI326">_xlfn.IFNA((INDEX('DMR 001C TIN &amp; TP'!$A$3:$M$10005,MATCH(('Reg 85'!$X$6&amp;'Reg 85'!AI$10&amp;'Reg 85'!$B326),('DMR 001C TIN &amp; TP'!$E$3:$E$10005&amp;'DMR 001C TIN &amp; TP'!$B$3:$B$10005&amp;'DMR 001C TIN &amp; TP'!$A$3:$A$10005),0),MATCH('Reg 85'!$AG$11,'DMR 001C TIN &amp; TP'!$A$2:$M$2,0))),"")</f>
        <v/>
      </c>
      <c r="AJ326" s="6" t="str">
        <f t="array" ref="AJ326">_xlfn.IFNA((INDEX('DMR 001C TIN &amp; TP'!$A$3:$M$10005,MATCH(('Reg 85'!$X$6&amp;'Reg 85'!AJ$10&amp;'Reg 85'!$B326),('DMR 001C TIN &amp; TP'!$E$3:$E$10005&amp;'DMR 001C TIN &amp; TP'!$B$3:$B$10005&amp;'DMR 001C TIN &amp; TP'!$A$3:$A$10005),0),MATCH('Reg 85'!$AG$11,'DMR 001C TIN &amp; TP'!$A$2:$M$2,0))),"")</f>
        <v/>
      </c>
      <c r="AK326" s="6" t="str">
        <f t="array" ref="AK326">_xlfn.IFNA((INDEX('DMR 001C TIN &amp; TP'!$A$3:$M$10005,MATCH(('Reg 85'!$X$6&amp;'Reg 85'!AK$10&amp;'Reg 85'!$B326),('DMR 001C TIN &amp; TP'!$E$3:$E$10005&amp;'DMR 001C TIN &amp; TP'!$B$3:$B$10005&amp;'DMR 001C TIN &amp; TP'!$A$3:$A$10005),0),MATCH('Reg 85'!$AG$11,'DMR 001C TIN &amp; TP'!$A$2:$M$2,0))),"")</f>
        <v/>
      </c>
      <c r="AL326" s="6" t="str">
        <f t="array" ref="AL326">_xlfn.IFNA((INDEX('DMR 001C TIN &amp; TP'!$A$3:$M$10005,MATCH(('Reg 85'!$X$6&amp;'Reg 85'!AL$10&amp;'Reg 85'!$B326),('DMR 001C TIN &amp; TP'!$E$3:$E$10005&amp;'DMR 001C TIN &amp; TP'!$B$3:$B$10005&amp;'DMR 001C TIN &amp; TP'!$A$3:$A$10005),0),MATCH('Reg 85'!$AG$11,'DMR 001C TIN &amp; TP'!$A$2:$M$2,0))),"")</f>
        <v/>
      </c>
      <c r="AM326" s="76"/>
      <c r="AN326" s="6"/>
      <c r="AO326" s="54" t="str">
        <f t="shared" si="104"/>
        <v/>
      </c>
      <c r="AP326" s="77" t="str">
        <f t="shared" si="123"/>
        <v/>
      </c>
      <c r="AQ326" s="47"/>
      <c r="AR326" s="6" t="str">
        <f t="array" ref="AR326">_xlfn.IFNA((INDEX('DMR 001C TIN &amp; TP'!$A$3:$M$10005,MATCH(('Reg 85'!$AQ$6&amp;'Reg 85'!$AQ$10&amp;'Reg 85'!$B326),('DMR 001C TIN &amp; TP'!$E$3:$E$10005&amp;'DMR 001C TIN &amp; TP'!$B$3:$B$10005&amp;'DMR 001C TIN &amp; TP'!$A$3:$A$10005),0),MATCH('Reg 85'!$AR$11,'DMR 001C TIN &amp; TP'!$A$2:$M$2,0))),"")</f>
        <v>0.03</v>
      </c>
      <c r="AS326" s="6">
        <f t="array" ref="AS326">_xlfn.IFNA((INDEX('DMR 001C TIN &amp; TP'!$A$3:$M$10005,MATCH(('Reg 85'!$AQ$6&amp;'Reg 85'!$AQ$10&amp;'Reg 85'!$B326),('DMR 001C TIN &amp; TP'!$E$3:$E$10005&amp;'DMR 001C TIN &amp; TP'!$B$3:$B$10005&amp;'DMR 001C TIN &amp; TP'!$A$3:$A$10005),0),MATCH('Reg 85'!$AS$11,'DMR 001C TIN &amp; TP'!$A$2:$M$2,0))),"")</f>
        <v>0.26</v>
      </c>
      <c r="AT326" s="53">
        <f t="shared" si="118"/>
        <v>0.26</v>
      </c>
      <c r="AV326" s="6" t="str">
        <f t="array" ref="AV326">_xlfn.IFNA((INDEX('DMR 001C TIN &amp; TP'!$A$3:$M$10005,MATCH(('Reg 85'!$AQ$6&amp;'Reg 85'!$AU$10&amp;'Reg 85'!$B326),('DMR 001C TIN &amp; TP'!$E$3:$E$10005&amp;'DMR 001C TIN &amp; TP'!$B$3:$B$10005&amp;'DMR 001C TIN &amp; TP'!$A$3:$A$10005),0),MATCH('Reg 85'!$AV$11,'DMR 001C TIN &amp; TP'!$A$2:$M$2,0))),"")</f>
        <v>0.06</v>
      </c>
      <c r="AW326" s="6">
        <f t="array" ref="AW326">_xlfn.IFNA((INDEX('DMR 001C TIN &amp; TP'!$A$3:$M$10005,MATCH(('Reg 85'!$AQ$6&amp;'Reg 85'!$AU$10&amp;'Reg 85'!$B326),('DMR 001C TIN &amp; TP'!$E$3:$E$10005&amp;'DMR 001C TIN &amp; TP'!$B$3:$B$10005&amp;'DMR 001C TIN &amp; TP'!$A$3:$A$10005),0),MATCH('Reg 85'!$AW$11,'DMR 001C TIN &amp; TP'!$A$2:$M$2,0))),"")</f>
        <v>5.21</v>
      </c>
      <c r="AX326" s="53">
        <f t="shared" si="119"/>
        <v>5.21</v>
      </c>
      <c r="AY326" s="55">
        <f t="shared" si="120"/>
        <v>2.4227751298285547</v>
      </c>
      <c r="AZ326" s="77" t="str">
        <f t="shared" si="124"/>
        <v/>
      </c>
      <c r="BA326" s="6" t="str">
        <f t="array" ref="BA326">_xlfn.IFNA((INDEX('DMR 001C TIN &amp; TP'!$A$3:$M$10005,MATCH(('Reg 85'!$AQ$6&amp;'Reg 85'!BA$10&amp;'Reg 85'!$B326),('DMR 001C TIN &amp; TP'!$E$3:$E$10005&amp;'DMR 001C TIN &amp; TP'!$B$3:$B$10005&amp;'DMR 001C TIN &amp; TP'!$A$3:$A$10005),0),MATCH('Reg 85'!$AG$11,'DMR 001C TIN &amp; TP'!$A$2:$M$2,0))),"")</f>
        <v/>
      </c>
      <c r="BB326" s="6" t="str">
        <f t="array" ref="BB326">_xlfn.IFNA((INDEX('DMR 001C TIN &amp; TP'!$A$3:$M$10005,MATCH(('Reg 85'!$AQ$6&amp;'Reg 85'!BB$10&amp;'Reg 85'!$B326),('DMR 001C TIN &amp; TP'!$E$3:$E$10005&amp;'DMR 001C TIN &amp; TP'!$B$3:$B$10005&amp;'DMR 001C TIN &amp; TP'!$A$3:$A$10005),0),MATCH('Reg 85'!$AG$11,'DMR 001C TIN &amp; TP'!$A$2:$M$2,0))),"")</f>
        <v/>
      </c>
      <c r="BC326" s="6" t="str">
        <f t="array" ref="BC326">_xlfn.IFNA((INDEX('DMR 001C TIN &amp; TP'!$A$3:$M$10005,MATCH(('Reg 85'!$AQ$6&amp;'Reg 85'!BC$10&amp;'Reg 85'!$B326),('DMR 001C TIN &amp; TP'!$E$3:$E$10005&amp;'DMR 001C TIN &amp; TP'!$B$3:$B$10005&amp;'DMR 001C TIN &amp; TP'!$A$3:$A$10005),0),MATCH('Reg 85'!$AG$11,'DMR 001C TIN &amp; TP'!$A$2:$M$2,0))),"")</f>
        <v/>
      </c>
      <c r="BD326" s="6" t="str">
        <f t="array" ref="BD326">_xlfn.IFNA((INDEX('DMR 001C TIN &amp; TP'!$A$3:$M$10005,MATCH(('Reg 85'!$AQ$6&amp;'Reg 85'!BD$10&amp;'Reg 85'!$B326),('DMR 001C TIN &amp; TP'!$E$3:$E$10005&amp;'DMR 001C TIN &amp; TP'!$B$3:$B$10005&amp;'DMR 001C TIN &amp; TP'!$A$3:$A$10005),0),MATCH('Reg 85'!$AG$11,'DMR 001C TIN &amp; TP'!$A$2:$M$2,0))),"")</f>
        <v/>
      </c>
      <c r="BE326" s="6" t="str">
        <f t="array" ref="BE326">_xlfn.IFNA((INDEX('DMR 001C TIN &amp; TP'!$A$3:$M$10005,MATCH(('Reg 85'!$AQ$6&amp;'Reg 85'!BE$10&amp;'Reg 85'!$B326),('DMR 001C TIN &amp; TP'!$E$3:$E$10005&amp;'DMR 001C TIN &amp; TP'!$B$3:$B$10005&amp;'DMR 001C TIN &amp; TP'!$A$3:$A$10005),0),MATCH('Reg 85'!$AG$11,'DMR 001C TIN &amp; TP'!$A$2:$M$2,0))),"")</f>
        <v/>
      </c>
      <c r="BF326" s="6" t="str">
        <f t="array" ref="BF326">_xlfn.IFNA((INDEX('DMR 001C TIN &amp; TP'!$A$3:$M$10005,MATCH(('Reg 85'!$AQ$6&amp;'Reg 85'!BF$10&amp;'Reg 85'!$B326),('DMR 001C TIN &amp; TP'!$E$3:$E$10005&amp;'DMR 001C TIN &amp; TP'!$B$3:$B$10005&amp;'DMR 001C TIN &amp; TP'!$A$3:$A$10005),0),MATCH('Reg 85'!$AG$11,'DMR 001C TIN &amp; TP'!$A$2:$M$2,0))),"")</f>
        <v/>
      </c>
    </row>
    <row r="327" spans="1:58">
      <c r="A327" s="3" t="str">
        <f t="shared" si="105"/>
        <v>Sat</v>
      </c>
      <c r="B327" s="96">
        <f t="shared" si="121"/>
        <v>43659</v>
      </c>
      <c r="C327" s="96">
        <f t="shared" si="106"/>
        <v>43677</v>
      </c>
      <c r="D327" s="96">
        <f t="shared" si="107"/>
        <v>43647</v>
      </c>
      <c r="E327" s="95">
        <f t="shared" si="108"/>
        <v>31</v>
      </c>
      <c r="F327" s="7">
        <f t="array" ref="F327">_xlfn.IFNA(INDEX('DMR Flows-Effluent'!$A$3:$F$9999,MATCH(($F$10&amp;$B327),('DMR Flows-Effluent'!$B$3:$B$9999&amp;'DMR Flows-Effluent'!$A$3:$A$9999),0),MATCH($F$8,'DMR Flows-Effluent'!$A$2:$F$2,0)),"")</f>
        <v>72.159000000000006</v>
      </c>
      <c r="G327" s="7">
        <f t="array" ref="G327">_xlfn.IFNA(INDEX('DMR Flows-Effluent'!$A$3:$F$9999,MATCH(($G$10&amp;$B327),('DMR Flows-Effluent'!$B$3:$B$9999&amp;'DMR Flows-Effluent'!$A$3:$A$9999),0),MATCH($F$8,'DMR Flows-Effluent'!$A$2:$F$2,0)),"")</f>
        <v>56.810499999999998</v>
      </c>
      <c r="H327" s="7">
        <f t="shared" si="109"/>
        <v>128.96950000000001</v>
      </c>
      <c r="I327" s="45" t="str">
        <f t="shared" si="110"/>
        <v/>
      </c>
      <c r="J327" s="6" t="str">
        <f t="array" ref="J327">_xlfn.IFNA((INDEX('DMR 001C TIN &amp; TP'!$A$3:$M$10005,MATCH(('Reg 85'!$I$6:$Q$6&amp;'Reg 85'!$I$10:$K$10&amp;'Reg 85'!$B327),('DMR 001C TIN &amp; TP'!$E$3:$E$10005&amp;'DMR 001C TIN &amp; TP'!$B$3:$B$10005&amp;'DMR 001C TIN &amp; TP'!$A$3:$A$10005),0),MATCH('Reg 85'!$J$11,'DMR 001C TIN &amp; TP'!$A$2:$M$2,0))),"")</f>
        <v/>
      </c>
      <c r="K327" s="6" t="str">
        <f t="array" ref="K327">_xlfn.IFNA((INDEX('DMR 001C TIN &amp; TP'!$A$3:$M$10005,MATCH(('Reg 85'!$I$6:$Q$6&amp;'Reg 85'!$I$10:$K$10&amp;'Reg 85'!$B327),('DMR 001C TIN &amp; TP'!$E$3:$E$10005&amp;'DMR 001C TIN &amp; TP'!$B$3:$B$10005&amp;'DMR 001C TIN &amp; TP'!$A$3:$A$10005),0),MATCH('Reg 85'!$K$11,'DMR 001C TIN &amp; TP'!$A$2:$M$2,0))),"")</f>
        <v/>
      </c>
      <c r="L327" s="53" t="str">
        <f t="shared" si="122"/>
        <v/>
      </c>
      <c r="M327" s="5" t="str">
        <f t="shared" si="111"/>
        <v/>
      </c>
      <c r="N327" s="6" t="str">
        <f t="array" ref="N327">_xlfn.IFNA((INDEX('DMR 001C TIN &amp; TP'!$A$3:$M$10005,MATCH(('Reg 85'!$I$6:$Q$6&amp;'Reg 85'!$M$10&amp;'Reg 85'!$B327),('DMR 001C TIN &amp; TP'!$E$3:$E$10005&amp;'DMR 001C TIN &amp; TP'!$B$3:$B$10005&amp;'DMR 001C TIN &amp; TP'!$A$3:$A$10005),0),MATCH('Reg 85'!$N$11,'DMR 001C TIN &amp; TP'!$A$2:$M$2,0))),"")</f>
        <v/>
      </c>
      <c r="O327" s="6" t="str">
        <f t="array" ref="O327">_xlfn.IFNA((INDEX('DMR 001C TIN &amp; TP'!$A$3:$M$10005,MATCH(('Reg 85'!$I$6:$Q$6&amp;'Reg 85'!$M$10&amp;'Reg 85'!$B327),('DMR 001C TIN &amp; TP'!$E$3:$E$10005&amp;'DMR 001C TIN &amp; TP'!$B$3:$B$10005&amp;'DMR 001C TIN &amp; TP'!$A$3:$A$10005),0),MATCH('Reg 85'!$O$11,'DMR 001C TIN &amp; TP'!$A$2:$M$2,0))),"")</f>
        <v/>
      </c>
      <c r="P327" s="53" t="str">
        <f t="shared" si="112"/>
        <v/>
      </c>
      <c r="Q327" s="73" t="str">
        <f t="array" ref="Q327">IFERROR(((L327*$F327)+(P327*$G327))/($H327),"")</f>
        <v/>
      </c>
      <c r="R327" s="6" t="str">
        <f t="array" ref="R327">_xlfn.IFNA((INDEX('DMR 001C TIN &amp; TP'!$A$3:$M$10005,MATCH(('Reg 85'!$I$6:$Q$6&amp;'Reg 85'!R$10&amp;'Reg 85'!$B327),('DMR 001C TIN &amp; TP'!$E$3:$E$10005&amp;'DMR 001C TIN &amp; TP'!$B$3:$B$10005&amp;'DMR 001C TIN &amp; TP'!$A$3:$A$10005),0),MATCH('Reg 85'!$O$11,'DMR 001C TIN &amp; TP'!$A$2:$M$2,0))),"")</f>
        <v/>
      </c>
      <c r="S327" s="6" t="str">
        <f t="array" ref="S327">_xlfn.IFNA((INDEX('DMR 001C TIN &amp; TP'!$A$3:$M$10005,MATCH(('Reg 85'!$I$6:$Q$6&amp;'Reg 85'!S$10&amp;'Reg 85'!$B327),('DMR 001C TIN &amp; TP'!$E$3:$E$10005&amp;'DMR 001C TIN &amp; TP'!$B$3:$B$10005&amp;'DMR 001C TIN &amp; TP'!$A$3:$A$10005),0),MATCH('Reg 85'!$O$11,'DMR 001C TIN &amp; TP'!$A$2:$M$2,0))),"")</f>
        <v/>
      </c>
      <c r="T327" s="6" t="str">
        <f t="array" ref="T327">_xlfn.IFNA((INDEX('DMR 001C TIN &amp; TP'!$A$3:$M$10005,MATCH(('Reg 85'!$I$6:$Q$6&amp;'Reg 85'!T$10&amp;'Reg 85'!$B327),('DMR 001C TIN &amp; TP'!$E$3:$E$10005&amp;'DMR 001C TIN &amp; TP'!$B$3:$B$10005&amp;'DMR 001C TIN &amp; TP'!$A$3:$A$10005),0),MATCH('Reg 85'!$O$11,'DMR 001C TIN &amp; TP'!$A$2:$M$2,0))),"")</f>
        <v/>
      </c>
      <c r="U327" s="6" t="str">
        <f t="array" ref="U327">_xlfn.IFNA((INDEX('DMR 001C TIN &amp; TP'!$A$3:$M$10005,MATCH(('Reg 85'!$I$6:$Q$6&amp;'Reg 85'!U$10&amp;'Reg 85'!$B327),('DMR 001C TIN &amp; TP'!$E$3:$E$10005&amp;'DMR 001C TIN &amp; TP'!$B$3:$B$10005&amp;'DMR 001C TIN &amp; TP'!$A$3:$A$10005),0),MATCH('Reg 85'!$O$11,'DMR 001C TIN &amp; TP'!$A$2:$M$2,0))),"")</f>
        <v/>
      </c>
      <c r="V327" s="6" t="str">
        <f t="array" ref="V327">_xlfn.IFNA((INDEX('DMR 001C TIN &amp; TP'!$A$3:$M$10005,MATCH(('Reg 85'!$I$6:$Q$6&amp;'Reg 85'!V$10&amp;'Reg 85'!$B327),('DMR 001C TIN &amp; TP'!$E$3:$E$10005&amp;'DMR 001C TIN &amp; TP'!$B$3:$B$10005&amp;'DMR 001C TIN &amp; TP'!$A$3:$A$10005),0),MATCH('Reg 85'!$O$11,'DMR 001C TIN &amp; TP'!$A$2:$M$2,0))),"")</f>
        <v/>
      </c>
      <c r="W327" s="6" t="str">
        <f t="array" ref="W327">_xlfn.IFNA((INDEX('DMR 001C TIN &amp; TP'!$A$3:$M$10005,MATCH(('Reg 85'!$I$6:$Q$6&amp;'Reg 85'!W$10&amp;'Reg 85'!$B327),('DMR 001C TIN &amp; TP'!$E$3:$E$10005&amp;'DMR 001C TIN &amp; TP'!$B$3:$B$10005&amp;'DMR 001C TIN &amp; TP'!$A$3:$A$10005),0),MATCH('Reg 85'!$O$11,'DMR 001C TIN &amp; TP'!$A$2:$M$2,0))),"")</f>
        <v/>
      </c>
      <c r="X327" s="5" t="str">
        <f t="shared" si="113"/>
        <v/>
      </c>
      <c r="Y327" s="6" t="str">
        <f t="array" ref="Y327">_xlfn.IFNA((INDEX('DMR 001C TIN &amp; TP'!$A$3:$M$10005,MATCH(('Reg 85'!$X$6&amp;'Reg 85'!$X$10&amp;'Reg 85'!$B327),('DMR 001C TIN &amp; TP'!$E$3:$E$10005&amp;'DMR 001C TIN &amp; TP'!$B$3:$B$10005&amp;'DMR 001C TIN &amp; TP'!$A$3:$A$10005),0),MATCH('Reg 85'!$Y$11,'DMR 001C TIN &amp; TP'!$A$2:$M$2,0))),"")</f>
        <v/>
      </c>
      <c r="Z327" s="6" t="str">
        <f t="array" ref="Z327">_xlfn.IFNA((INDEX('DMR 001C TIN &amp; TP'!$A$3:$M$10005,MATCH(('Reg 85'!$X$6&amp;'Reg 85'!$X$10&amp;'Reg 85'!$B327),('DMR 001C TIN &amp; TP'!$E$3:$E$10005&amp;'DMR 001C TIN &amp; TP'!$B$3:$B$10005&amp;'DMR 001C TIN &amp; TP'!$A$3:$A$10005),0),MATCH('Reg 85'!$Z$11,'DMR 001C TIN &amp; TP'!$A$2:$M$2,0))),"")</f>
        <v/>
      </c>
      <c r="AA327" s="53" t="str">
        <f t="shared" si="114"/>
        <v/>
      </c>
      <c r="AB327" s="5" t="str">
        <f t="shared" si="115"/>
        <v/>
      </c>
      <c r="AC327" s="6" t="str">
        <f t="array" ref="AC327">_xlfn.IFNA((INDEX('DMR 001C TIN &amp; TP'!$A$3:$M$10005,MATCH(('Reg 85'!$X$6&amp;'Reg 85'!$AB$10&amp;'Reg 85'!$B327),('DMR 001C TIN &amp; TP'!$E$3:$E$10005&amp;'DMR 001C TIN &amp; TP'!$B$3:$B$10005&amp;'DMR 001C TIN &amp; TP'!$A$3:$A$10005),0),MATCH('Reg 85'!$AC$11,'DMR 001C TIN &amp; TP'!$A$2:$M$2,0))),"")</f>
        <v/>
      </c>
      <c r="AD327" s="6" t="str">
        <f t="array" ref="AD327">_xlfn.IFNA((INDEX('DMR 001C TIN &amp; TP'!$A$3:$M$10005,MATCH(('Reg 85'!$X$6&amp;'Reg 85'!$AB$10&amp;'Reg 85'!$B327),('DMR 001C TIN &amp; TP'!$E$3:$E$10005&amp;'DMR 001C TIN &amp; TP'!$B$3:$B$10005&amp;'DMR 001C TIN &amp; TP'!$A$3:$A$10005),0),MATCH('Reg 85'!$AD$11,'DMR 001C TIN &amp; TP'!$A$2:$M$2,0))),"")</f>
        <v/>
      </c>
      <c r="AE327" s="53" t="str">
        <f t="shared" si="116"/>
        <v/>
      </c>
      <c r="AF327" s="7" t="str">
        <f t="shared" si="117"/>
        <v/>
      </c>
      <c r="AG327" s="6" t="str">
        <f t="array" ref="AG327">_xlfn.IFNA((INDEX('DMR 001C TIN &amp; TP'!$A$3:$M$10005,MATCH(('Reg 85'!$X$6&amp;'Reg 85'!AG$10&amp;'Reg 85'!$B327),('DMR 001C TIN &amp; TP'!$E$3:$E$10005&amp;'DMR 001C TIN &amp; TP'!$B$3:$B$10005&amp;'DMR 001C TIN &amp; TP'!$A$3:$A$10005),0),MATCH('Reg 85'!$AG$11,'DMR 001C TIN &amp; TP'!$A$2:$M$2,0))),"")</f>
        <v/>
      </c>
      <c r="AH327" s="6" t="str">
        <f t="array" ref="AH327">_xlfn.IFNA((INDEX('DMR 001C TIN &amp; TP'!$A$3:$M$10005,MATCH(('Reg 85'!$X$6&amp;'Reg 85'!AH$10&amp;'Reg 85'!$B327),('DMR 001C TIN &amp; TP'!$E$3:$E$10005&amp;'DMR 001C TIN &amp; TP'!$B$3:$B$10005&amp;'DMR 001C TIN &amp; TP'!$A$3:$A$10005),0),MATCH('Reg 85'!$AG$11,'DMR 001C TIN &amp; TP'!$A$2:$M$2,0))),"")</f>
        <v/>
      </c>
      <c r="AI327" s="6" t="str">
        <f t="array" ref="AI327">_xlfn.IFNA((INDEX('DMR 001C TIN &amp; TP'!$A$3:$M$10005,MATCH(('Reg 85'!$X$6&amp;'Reg 85'!AI$10&amp;'Reg 85'!$B327),('DMR 001C TIN &amp; TP'!$E$3:$E$10005&amp;'DMR 001C TIN &amp; TP'!$B$3:$B$10005&amp;'DMR 001C TIN &amp; TP'!$A$3:$A$10005),0),MATCH('Reg 85'!$AG$11,'DMR 001C TIN &amp; TP'!$A$2:$M$2,0))),"")</f>
        <v/>
      </c>
      <c r="AJ327" s="6" t="str">
        <f t="array" ref="AJ327">_xlfn.IFNA((INDEX('DMR 001C TIN &amp; TP'!$A$3:$M$10005,MATCH(('Reg 85'!$X$6&amp;'Reg 85'!AJ$10&amp;'Reg 85'!$B327),('DMR 001C TIN &amp; TP'!$E$3:$E$10005&amp;'DMR 001C TIN &amp; TP'!$B$3:$B$10005&amp;'DMR 001C TIN &amp; TP'!$A$3:$A$10005),0),MATCH('Reg 85'!$AG$11,'DMR 001C TIN &amp; TP'!$A$2:$M$2,0))),"")</f>
        <v/>
      </c>
      <c r="AK327" s="6" t="str">
        <f t="array" ref="AK327">_xlfn.IFNA((INDEX('DMR 001C TIN &amp; TP'!$A$3:$M$10005,MATCH(('Reg 85'!$X$6&amp;'Reg 85'!AK$10&amp;'Reg 85'!$B327),('DMR 001C TIN &amp; TP'!$E$3:$E$10005&amp;'DMR 001C TIN &amp; TP'!$B$3:$B$10005&amp;'DMR 001C TIN &amp; TP'!$A$3:$A$10005),0),MATCH('Reg 85'!$AG$11,'DMR 001C TIN &amp; TP'!$A$2:$M$2,0))),"")</f>
        <v/>
      </c>
      <c r="AL327" s="6" t="str">
        <f t="array" ref="AL327">_xlfn.IFNA((INDEX('DMR 001C TIN &amp; TP'!$A$3:$M$10005,MATCH(('Reg 85'!$X$6&amp;'Reg 85'!AL$10&amp;'Reg 85'!$B327),('DMR 001C TIN &amp; TP'!$E$3:$E$10005&amp;'DMR 001C TIN &amp; TP'!$B$3:$B$10005&amp;'DMR 001C TIN &amp; TP'!$A$3:$A$10005),0),MATCH('Reg 85'!$AG$11,'DMR 001C TIN &amp; TP'!$A$2:$M$2,0))),"")</f>
        <v/>
      </c>
      <c r="AM327" s="76"/>
      <c r="AN327" s="6"/>
      <c r="AO327" s="54" t="str">
        <f t="shared" si="104"/>
        <v/>
      </c>
      <c r="AP327" s="77" t="str">
        <f t="shared" si="123"/>
        <v/>
      </c>
      <c r="AQ327" s="47"/>
      <c r="AR327" s="6" t="str">
        <f t="array" ref="AR327">_xlfn.IFNA((INDEX('DMR 001C TIN &amp; TP'!$A$3:$M$10005,MATCH(('Reg 85'!$AQ$6&amp;'Reg 85'!$AQ$10&amp;'Reg 85'!$B327),('DMR 001C TIN &amp; TP'!$E$3:$E$10005&amp;'DMR 001C TIN &amp; TP'!$B$3:$B$10005&amp;'DMR 001C TIN &amp; TP'!$A$3:$A$10005),0),MATCH('Reg 85'!$AR$11,'DMR 001C TIN &amp; TP'!$A$2:$M$2,0))),"")</f>
        <v/>
      </c>
      <c r="AS327" s="6" t="str">
        <f t="array" ref="AS327">_xlfn.IFNA((INDEX('DMR 001C TIN &amp; TP'!$A$3:$M$10005,MATCH(('Reg 85'!$AQ$6&amp;'Reg 85'!$AQ$10&amp;'Reg 85'!$B327),('DMR 001C TIN &amp; TP'!$E$3:$E$10005&amp;'DMR 001C TIN &amp; TP'!$B$3:$B$10005&amp;'DMR 001C TIN &amp; TP'!$A$3:$A$10005),0),MATCH('Reg 85'!$AS$11,'DMR 001C TIN &amp; TP'!$A$2:$M$2,0))),"")</f>
        <v/>
      </c>
      <c r="AT327" s="53" t="str">
        <f t="shared" si="118"/>
        <v/>
      </c>
      <c r="AV327" s="6" t="str">
        <f t="array" ref="AV327">_xlfn.IFNA((INDEX('DMR 001C TIN &amp; TP'!$A$3:$M$10005,MATCH(('Reg 85'!$AQ$6&amp;'Reg 85'!$AU$10&amp;'Reg 85'!$B327),('DMR 001C TIN &amp; TP'!$E$3:$E$10005&amp;'DMR 001C TIN &amp; TP'!$B$3:$B$10005&amp;'DMR 001C TIN &amp; TP'!$A$3:$A$10005),0),MATCH('Reg 85'!$AV$11,'DMR 001C TIN &amp; TP'!$A$2:$M$2,0))),"")</f>
        <v/>
      </c>
      <c r="AW327" s="6" t="str">
        <f t="array" ref="AW327">_xlfn.IFNA((INDEX('DMR 001C TIN &amp; TP'!$A$3:$M$10005,MATCH(('Reg 85'!$AQ$6&amp;'Reg 85'!$AU$10&amp;'Reg 85'!$B327),('DMR 001C TIN &amp; TP'!$E$3:$E$10005&amp;'DMR 001C TIN &amp; TP'!$B$3:$B$10005&amp;'DMR 001C TIN &amp; TP'!$A$3:$A$10005),0),MATCH('Reg 85'!$AW$11,'DMR 001C TIN &amp; TP'!$A$2:$M$2,0))),"")</f>
        <v/>
      </c>
      <c r="AX327" s="53" t="str">
        <f t="shared" si="119"/>
        <v/>
      </c>
      <c r="AY327" s="55" t="str">
        <f t="shared" si="120"/>
        <v/>
      </c>
      <c r="AZ327" s="77" t="str">
        <f t="shared" si="124"/>
        <v/>
      </c>
      <c r="BA327" s="6" t="str">
        <f t="array" ref="BA327">_xlfn.IFNA((INDEX('DMR 001C TIN &amp; TP'!$A$3:$M$10005,MATCH(('Reg 85'!$AQ$6&amp;'Reg 85'!BA$10&amp;'Reg 85'!$B327),('DMR 001C TIN &amp; TP'!$E$3:$E$10005&amp;'DMR 001C TIN &amp; TP'!$B$3:$B$10005&amp;'DMR 001C TIN &amp; TP'!$A$3:$A$10005),0),MATCH('Reg 85'!$AG$11,'DMR 001C TIN &amp; TP'!$A$2:$M$2,0))),"")</f>
        <v/>
      </c>
      <c r="BB327" s="6" t="str">
        <f t="array" ref="BB327">_xlfn.IFNA((INDEX('DMR 001C TIN &amp; TP'!$A$3:$M$10005,MATCH(('Reg 85'!$AQ$6&amp;'Reg 85'!BB$10&amp;'Reg 85'!$B327),('DMR 001C TIN &amp; TP'!$E$3:$E$10005&amp;'DMR 001C TIN &amp; TP'!$B$3:$B$10005&amp;'DMR 001C TIN &amp; TP'!$A$3:$A$10005),0),MATCH('Reg 85'!$AG$11,'DMR 001C TIN &amp; TP'!$A$2:$M$2,0))),"")</f>
        <v/>
      </c>
      <c r="BC327" s="6" t="str">
        <f t="array" ref="BC327">_xlfn.IFNA((INDEX('DMR 001C TIN &amp; TP'!$A$3:$M$10005,MATCH(('Reg 85'!$AQ$6&amp;'Reg 85'!BC$10&amp;'Reg 85'!$B327),('DMR 001C TIN &amp; TP'!$E$3:$E$10005&amp;'DMR 001C TIN &amp; TP'!$B$3:$B$10005&amp;'DMR 001C TIN &amp; TP'!$A$3:$A$10005),0),MATCH('Reg 85'!$AG$11,'DMR 001C TIN &amp; TP'!$A$2:$M$2,0))),"")</f>
        <v/>
      </c>
      <c r="BD327" s="6" t="str">
        <f t="array" ref="BD327">_xlfn.IFNA((INDEX('DMR 001C TIN &amp; TP'!$A$3:$M$10005,MATCH(('Reg 85'!$AQ$6&amp;'Reg 85'!BD$10&amp;'Reg 85'!$B327),('DMR 001C TIN &amp; TP'!$E$3:$E$10005&amp;'DMR 001C TIN &amp; TP'!$B$3:$B$10005&amp;'DMR 001C TIN &amp; TP'!$A$3:$A$10005),0),MATCH('Reg 85'!$AG$11,'DMR 001C TIN &amp; TP'!$A$2:$M$2,0))),"")</f>
        <v/>
      </c>
      <c r="BE327" s="6" t="str">
        <f t="array" ref="BE327">_xlfn.IFNA((INDEX('DMR 001C TIN &amp; TP'!$A$3:$M$10005,MATCH(('Reg 85'!$AQ$6&amp;'Reg 85'!BE$10&amp;'Reg 85'!$B327),('DMR 001C TIN &amp; TP'!$E$3:$E$10005&amp;'DMR 001C TIN &amp; TP'!$B$3:$B$10005&amp;'DMR 001C TIN &amp; TP'!$A$3:$A$10005),0),MATCH('Reg 85'!$AG$11,'DMR 001C TIN &amp; TP'!$A$2:$M$2,0))),"")</f>
        <v/>
      </c>
      <c r="BF327" s="6" t="str">
        <f t="array" ref="BF327">_xlfn.IFNA((INDEX('DMR 001C TIN &amp; TP'!$A$3:$M$10005,MATCH(('Reg 85'!$AQ$6&amp;'Reg 85'!BF$10&amp;'Reg 85'!$B327),('DMR 001C TIN &amp; TP'!$E$3:$E$10005&amp;'DMR 001C TIN &amp; TP'!$B$3:$B$10005&amp;'DMR 001C TIN &amp; TP'!$A$3:$A$10005),0),MATCH('Reg 85'!$AG$11,'DMR 001C TIN &amp; TP'!$A$2:$M$2,0))),"")</f>
        <v/>
      </c>
    </row>
    <row r="328" spans="1:58">
      <c r="A328" s="3" t="str">
        <f t="shared" si="105"/>
        <v>Sun</v>
      </c>
      <c r="B328" s="96">
        <f t="shared" si="121"/>
        <v>43660</v>
      </c>
      <c r="C328" s="96">
        <f t="shared" si="106"/>
        <v>43677</v>
      </c>
      <c r="D328" s="96">
        <f t="shared" si="107"/>
        <v>43647</v>
      </c>
      <c r="E328" s="95">
        <f t="shared" si="108"/>
        <v>31</v>
      </c>
      <c r="F328" s="7">
        <f t="array" ref="F328">_xlfn.IFNA(INDEX('DMR Flows-Effluent'!$A$3:$F$9999,MATCH(($F$10&amp;$B328),('DMR Flows-Effluent'!$B$3:$B$9999&amp;'DMR Flows-Effluent'!$A$3:$A$9999),0),MATCH($F$8,'DMR Flows-Effluent'!$A$2:$F$2,0)),"")</f>
        <v>72.026899999999998</v>
      </c>
      <c r="G328" s="7">
        <f t="array" ref="G328">_xlfn.IFNA(INDEX('DMR Flows-Effluent'!$A$3:$F$9999,MATCH(($G$10&amp;$B328),('DMR Flows-Effluent'!$B$3:$B$9999&amp;'DMR Flows-Effluent'!$A$3:$A$9999),0),MATCH($F$8,'DMR Flows-Effluent'!$A$2:$F$2,0)),"")</f>
        <v>61.1922</v>
      </c>
      <c r="H328" s="7">
        <f t="shared" si="109"/>
        <v>133.2191</v>
      </c>
      <c r="I328" s="45" t="str">
        <f t="shared" si="110"/>
        <v/>
      </c>
      <c r="J328" s="6" t="str">
        <f t="array" ref="J328">_xlfn.IFNA((INDEX('DMR 001C TIN &amp; TP'!$A$3:$M$10005,MATCH(('Reg 85'!$I$6:$Q$6&amp;'Reg 85'!$I$10:$K$10&amp;'Reg 85'!$B328),('DMR 001C TIN &amp; TP'!$E$3:$E$10005&amp;'DMR 001C TIN &amp; TP'!$B$3:$B$10005&amp;'DMR 001C TIN &amp; TP'!$A$3:$A$10005),0),MATCH('Reg 85'!$J$11,'DMR 001C TIN &amp; TP'!$A$2:$M$2,0))),"")</f>
        <v>0.15</v>
      </c>
      <c r="K328" s="6">
        <f t="array" ref="K328">_xlfn.IFNA((INDEX('DMR 001C TIN &amp; TP'!$A$3:$M$10005,MATCH(('Reg 85'!$I$6:$Q$6&amp;'Reg 85'!$I$10:$K$10&amp;'Reg 85'!$B328),('DMR 001C TIN &amp; TP'!$E$3:$E$10005&amp;'DMR 001C TIN &amp; TP'!$B$3:$B$10005&amp;'DMR 001C TIN &amp; TP'!$A$3:$A$10005),0),MATCH('Reg 85'!$K$11,'DMR 001C TIN &amp; TP'!$A$2:$M$2,0))),"")</f>
        <v>2.2400000000000002</v>
      </c>
      <c r="L328" s="53">
        <f t="shared" si="122"/>
        <v>2.2400000000000002</v>
      </c>
      <c r="M328" s="5" t="str">
        <f t="shared" si="111"/>
        <v/>
      </c>
      <c r="N328" s="6" t="str">
        <f t="array" ref="N328">_xlfn.IFNA((INDEX('DMR 001C TIN &amp; TP'!$A$3:$M$10005,MATCH(('Reg 85'!$I$6:$Q$6&amp;'Reg 85'!$M$10&amp;'Reg 85'!$B328),('DMR 001C TIN &amp; TP'!$E$3:$E$10005&amp;'DMR 001C TIN &amp; TP'!$B$3:$B$10005&amp;'DMR 001C TIN &amp; TP'!$A$3:$A$10005),0),MATCH('Reg 85'!$N$11,'DMR 001C TIN &amp; TP'!$A$2:$M$2,0))),"")</f>
        <v>0.15</v>
      </c>
      <c r="O328" s="6">
        <f t="array" ref="O328">_xlfn.IFNA((INDEX('DMR 001C TIN &amp; TP'!$A$3:$M$10005,MATCH(('Reg 85'!$I$6:$Q$6&amp;'Reg 85'!$M$10&amp;'Reg 85'!$B328),('DMR 001C TIN &amp; TP'!$E$3:$E$10005&amp;'DMR 001C TIN &amp; TP'!$B$3:$B$10005&amp;'DMR 001C TIN &amp; TP'!$A$3:$A$10005),0),MATCH('Reg 85'!$O$11,'DMR 001C TIN &amp; TP'!$A$2:$M$2,0))),"")</f>
        <v>2.08</v>
      </c>
      <c r="P328" s="53">
        <f t="shared" si="112"/>
        <v>2.08</v>
      </c>
      <c r="Q328" s="73">
        <f t="array" ref="Q328">IFERROR(((L328*$F328)+(P328*$G328))/($H328),"")</f>
        <v>2.1665063943533625</v>
      </c>
      <c r="R328" s="6" t="str">
        <f t="array" ref="R328">_xlfn.IFNA((INDEX('DMR 001C TIN &amp; TP'!$A$3:$M$10005,MATCH(('Reg 85'!$I$6:$Q$6&amp;'Reg 85'!R$10&amp;'Reg 85'!$B328),('DMR 001C TIN &amp; TP'!$E$3:$E$10005&amp;'DMR 001C TIN &amp; TP'!$B$3:$B$10005&amp;'DMR 001C TIN &amp; TP'!$A$3:$A$10005),0),MATCH('Reg 85'!$O$11,'DMR 001C TIN &amp; TP'!$A$2:$M$2,0))),"")</f>
        <v/>
      </c>
      <c r="S328" s="6" t="str">
        <f t="array" ref="S328">_xlfn.IFNA((INDEX('DMR 001C TIN &amp; TP'!$A$3:$M$10005,MATCH(('Reg 85'!$I$6:$Q$6&amp;'Reg 85'!S$10&amp;'Reg 85'!$B328),('DMR 001C TIN &amp; TP'!$E$3:$E$10005&amp;'DMR 001C TIN &amp; TP'!$B$3:$B$10005&amp;'DMR 001C TIN &amp; TP'!$A$3:$A$10005),0),MATCH('Reg 85'!$O$11,'DMR 001C TIN &amp; TP'!$A$2:$M$2,0))),"")</f>
        <v/>
      </c>
      <c r="T328" s="6" t="str">
        <f t="array" ref="T328">_xlfn.IFNA((INDEX('DMR 001C TIN &amp; TP'!$A$3:$M$10005,MATCH(('Reg 85'!$I$6:$Q$6&amp;'Reg 85'!T$10&amp;'Reg 85'!$B328),('DMR 001C TIN &amp; TP'!$E$3:$E$10005&amp;'DMR 001C TIN &amp; TP'!$B$3:$B$10005&amp;'DMR 001C TIN &amp; TP'!$A$3:$A$10005),0),MATCH('Reg 85'!$O$11,'DMR 001C TIN &amp; TP'!$A$2:$M$2,0))),"")</f>
        <v/>
      </c>
      <c r="U328" s="6">
        <f t="array" ref="U328">_xlfn.IFNA((INDEX('DMR 001C TIN &amp; TP'!$A$3:$M$10005,MATCH(('Reg 85'!$I$6:$Q$6&amp;'Reg 85'!U$10&amp;'Reg 85'!$B328),('DMR 001C TIN &amp; TP'!$E$3:$E$10005&amp;'DMR 001C TIN &amp; TP'!$B$3:$B$10005&amp;'DMR 001C TIN &amp; TP'!$A$3:$A$10005),0),MATCH('Reg 85'!$O$11,'DMR 001C TIN &amp; TP'!$A$2:$M$2,0))),"")</f>
        <v>1.59</v>
      </c>
      <c r="V328" s="6" t="str">
        <f t="array" ref="V328">_xlfn.IFNA((INDEX('DMR 001C TIN &amp; TP'!$A$3:$M$10005,MATCH(('Reg 85'!$I$6:$Q$6&amp;'Reg 85'!V$10&amp;'Reg 85'!$B328),('DMR 001C TIN &amp; TP'!$E$3:$E$10005&amp;'DMR 001C TIN &amp; TP'!$B$3:$B$10005&amp;'DMR 001C TIN &amp; TP'!$A$3:$A$10005),0),MATCH('Reg 85'!$O$11,'DMR 001C TIN &amp; TP'!$A$2:$M$2,0))),"")</f>
        <v/>
      </c>
      <c r="W328" s="6" t="str">
        <f t="array" ref="W328">_xlfn.IFNA((INDEX('DMR 001C TIN &amp; TP'!$A$3:$M$10005,MATCH(('Reg 85'!$I$6:$Q$6&amp;'Reg 85'!W$10&amp;'Reg 85'!$B328),('DMR 001C TIN &amp; TP'!$E$3:$E$10005&amp;'DMR 001C TIN &amp; TP'!$B$3:$B$10005&amp;'DMR 001C TIN &amp; TP'!$A$3:$A$10005),0),MATCH('Reg 85'!$O$11,'DMR 001C TIN &amp; TP'!$A$2:$M$2,0))),"")</f>
        <v/>
      </c>
      <c r="X328" s="5" t="str">
        <f t="shared" si="113"/>
        <v/>
      </c>
      <c r="Y328" s="6" t="str">
        <f t="array" ref="Y328">_xlfn.IFNA((INDEX('DMR 001C TIN &amp; TP'!$A$3:$M$10005,MATCH(('Reg 85'!$X$6&amp;'Reg 85'!$X$10&amp;'Reg 85'!$B328),('DMR 001C TIN &amp; TP'!$E$3:$E$10005&amp;'DMR 001C TIN &amp; TP'!$B$3:$B$10005&amp;'DMR 001C TIN &amp; TP'!$A$3:$A$10005),0),MATCH('Reg 85'!$Y$11,'DMR 001C TIN &amp; TP'!$A$2:$M$2,0))),"")</f>
        <v>0.06</v>
      </c>
      <c r="Z328" s="6">
        <f t="array" ref="Z328">_xlfn.IFNA((INDEX('DMR 001C TIN &amp; TP'!$A$3:$M$10005,MATCH(('Reg 85'!$X$6&amp;'Reg 85'!$X$10&amp;'Reg 85'!$B328),('DMR 001C TIN &amp; TP'!$E$3:$E$10005&amp;'DMR 001C TIN &amp; TP'!$B$3:$B$10005&amp;'DMR 001C TIN &amp; TP'!$A$3:$A$10005),0),MATCH('Reg 85'!$Z$11,'DMR 001C TIN &amp; TP'!$A$2:$M$2,0))),"")</f>
        <v>4.54</v>
      </c>
      <c r="AA328" s="53">
        <f t="shared" si="114"/>
        <v>4.54</v>
      </c>
      <c r="AB328" s="5" t="str">
        <f t="shared" si="115"/>
        <v/>
      </c>
      <c r="AC328" s="6" t="str">
        <f t="array" ref="AC328">_xlfn.IFNA((INDEX('DMR 001C TIN &amp; TP'!$A$3:$M$10005,MATCH(('Reg 85'!$X$6&amp;'Reg 85'!$AB$10&amp;'Reg 85'!$B328),('DMR 001C TIN &amp; TP'!$E$3:$E$10005&amp;'DMR 001C TIN &amp; TP'!$B$3:$B$10005&amp;'DMR 001C TIN &amp; TP'!$A$3:$A$10005),0),MATCH('Reg 85'!$AC$11,'DMR 001C TIN &amp; TP'!$A$2:$M$2,0))),"")</f>
        <v>0.06</v>
      </c>
      <c r="AD328" s="6">
        <f t="array" ref="AD328">_xlfn.IFNA((INDEX('DMR 001C TIN &amp; TP'!$A$3:$M$10005,MATCH(('Reg 85'!$X$6&amp;'Reg 85'!$AB$10&amp;'Reg 85'!$B328),('DMR 001C TIN &amp; TP'!$E$3:$E$10005&amp;'DMR 001C TIN &amp; TP'!$B$3:$B$10005&amp;'DMR 001C TIN &amp; TP'!$A$3:$A$10005),0),MATCH('Reg 85'!$AD$11,'DMR 001C TIN &amp; TP'!$A$2:$M$2,0))),"")</f>
        <v>7.6</v>
      </c>
      <c r="AE328" s="53">
        <f t="shared" si="116"/>
        <v>7.6</v>
      </c>
      <c r="AF328" s="7">
        <f t="shared" si="117"/>
        <v>5.9455652079919474</v>
      </c>
      <c r="AG328" s="6" t="str">
        <f t="array" ref="AG328">_xlfn.IFNA((INDEX('DMR 001C TIN &amp; TP'!$A$3:$M$10005,MATCH(('Reg 85'!$X$6&amp;'Reg 85'!AG$10&amp;'Reg 85'!$B328),('DMR 001C TIN &amp; TP'!$E$3:$E$10005&amp;'DMR 001C TIN &amp; TP'!$B$3:$B$10005&amp;'DMR 001C TIN &amp; TP'!$A$3:$A$10005),0),MATCH('Reg 85'!$AG$11,'DMR 001C TIN &amp; TP'!$A$2:$M$2,0))),"")</f>
        <v/>
      </c>
      <c r="AH328" s="6" t="str">
        <f t="array" ref="AH328">_xlfn.IFNA((INDEX('DMR 001C TIN &amp; TP'!$A$3:$M$10005,MATCH(('Reg 85'!$X$6&amp;'Reg 85'!AH$10&amp;'Reg 85'!$B328),('DMR 001C TIN &amp; TP'!$E$3:$E$10005&amp;'DMR 001C TIN &amp; TP'!$B$3:$B$10005&amp;'DMR 001C TIN &amp; TP'!$A$3:$A$10005),0),MATCH('Reg 85'!$AG$11,'DMR 001C TIN &amp; TP'!$A$2:$M$2,0))),"")</f>
        <v/>
      </c>
      <c r="AI328" s="6" t="str">
        <f t="array" ref="AI328">_xlfn.IFNA((INDEX('DMR 001C TIN &amp; TP'!$A$3:$M$10005,MATCH(('Reg 85'!$X$6&amp;'Reg 85'!AI$10&amp;'Reg 85'!$B328),('DMR 001C TIN &amp; TP'!$E$3:$E$10005&amp;'DMR 001C TIN &amp; TP'!$B$3:$B$10005&amp;'DMR 001C TIN &amp; TP'!$A$3:$A$10005),0),MATCH('Reg 85'!$AG$11,'DMR 001C TIN &amp; TP'!$A$2:$M$2,0))),"")</f>
        <v/>
      </c>
      <c r="AJ328" s="6" t="str">
        <f t="array" ref="AJ328">_xlfn.IFNA((INDEX('DMR 001C TIN &amp; TP'!$A$3:$M$10005,MATCH(('Reg 85'!$X$6&amp;'Reg 85'!AJ$10&amp;'Reg 85'!$B328),('DMR 001C TIN &amp; TP'!$E$3:$E$10005&amp;'DMR 001C TIN &amp; TP'!$B$3:$B$10005&amp;'DMR 001C TIN &amp; TP'!$A$3:$A$10005),0),MATCH('Reg 85'!$AG$11,'DMR 001C TIN &amp; TP'!$A$2:$M$2,0))),"")</f>
        <v/>
      </c>
      <c r="AK328" s="6" t="str">
        <f t="array" ref="AK328">_xlfn.IFNA((INDEX('DMR 001C TIN &amp; TP'!$A$3:$M$10005,MATCH(('Reg 85'!$X$6&amp;'Reg 85'!AK$10&amp;'Reg 85'!$B328),('DMR 001C TIN &amp; TP'!$E$3:$E$10005&amp;'DMR 001C TIN &amp; TP'!$B$3:$B$10005&amp;'DMR 001C TIN &amp; TP'!$A$3:$A$10005),0),MATCH('Reg 85'!$AG$11,'DMR 001C TIN &amp; TP'!$A$2:$M$2,0))),"")</f>
        <v/>
      </c>
      <c r="AL328" s="6" t="str">
        <f t="array" ref="AL328">_xlfn.IFNA((INDEX('DMR 001C TIN &amp; TP'!$A$3:$M$10005,MATCH(('Reg 85'!$X$6&amp;'Reg 85'!AL$10&amp;'Reg 85'!$B328),('DMR 001C TIN &amp; TP'!$E$3:$E$10005&amp;'DMR 001C TIN &amp; TP'!$B$3:$B$10005&amp;'DMR 001C TIN &amp; TP'!$A$3:$A$10005),0),MATCH('Reg 85'!$AG$11,'DMR 001C TIN &amp; TP'!$A$2:$M$2,0))),"")</f>
        <v/>
      </c>
      <c r="AM328" s="76"/>
      <c r="AN328" s="6"/>
      <c r="AO328" s="54">
        <f t="shared" si="104"/>
        <v>8.1120716023453099</v>
      </c>
      <c r="AP328" s="77" t="str">
        <f t="shared" si="123"/>
        <v/>
      </c>
      <c r="AQ328" s="47"/>
      <c r="AR328" s="6" t="str">
        <f t="array" ref="AR328">_xlfn.IFNA((INDEX('DMR 001C TIN &amp; TP'!$A$3:$M$10005,MATCH(('Reg 85'!$AQ$6&amp;'Reg 85'!$AQ$10&amp;'Reg 85'!$B328),('DMR 001C TIN &amp; TP'!$E$3:$E$10005&amp;'DMR 001C TIN &amp; TP'!$B$3:$B$10005&amp;'DMR 001C TIN &amp; TP'!$A$3:$A$10005),0),MATCH('Reg 85'!$AR$11,'DMR 001C TIN &amp; TP'!$A$2:$M$2,0))),"")</f>
        <v/>
      </c>
      <c r="AS328" s="6" t="str">
        <f t="array" ref="AS328">_xlfn.IFNA((INDEX('DMR 001C TIN &amp; TP'!$A$3:$M$10005,MATCH(('Reg 85'!$AQ$6&amp;'Reg 85'!$AQ$10&amp;'Reg 85'!$B328),('DMR 001C TIN &amp; TP'!$E$3:$E$10005&amp;'DMR 001C TIN &amp; TP'!$B$3:$B$10005&amp;'DMR 001C TIN &amp; TP'!$A$3:$A$10005),0),MATCH('Reg 85'!$AS$11,'DMR 001C TIN &amp; TP'!$A$2:$M$2,0))),"")</f>
        <v/>
      </c>
      <c r="AT328" s="53" t="str">
        <f t="shared" si="118"/>
        <v/>
      </c>
      <c r="AV328" s="6" t="str">
        <f t="array" ref="AV328">_xlfn.IFNA((INDEX('DMR 001C TIN &amp; TP'!$A$3:$M$10005,MATCH(('Reg 85'!$AQ$6&amp;'Reg 85'!$AU$10&amp;'Reg 85'!$B328),('DMR 001C TIN &amp; TP'!$E$3:$E$10005&amp;'DMR 001C TIN &amp; TP'!$B$3:$B$10005&amp;'DMR 001C TIN &amp; TP'!$A$3:$A$10005),0),MATCH('Reg 85'!$AV$11,'DMR 001C TIN &amp; TP'!$A$2:$M$2,0))),"")</f>
        <v/>
      </c>
      <c r="AW328" s="6" t="str">
        <f t="array" ref="AW328">_xlfn.IFNA((INDEX('DMR 001C TIN &amp; TP'!$A$3:$M$10005,MATCH(('Reg 85'!$AQ$6&amp;'Reg 85'!$AU$10&amp;'Reg 85'!$B328),('DMR 001C TIN &amp; TP'!$E$3:$E$10005&amp;'DMR 001C TIN &amp; TP'!$B$3:$B$10005&amp;'DMR 001C TIN &amp; TP'!$A$3:$A$10005),0),MATCH('Reg 85'!$AW$11,'DMR 001C TIN &amp; TP'!$A$2:$M$2,0))),"")</f>
        <v/>
      </c>
      <c r="AX328" s="53" t="str">
        <f t="shared" si="119"/>
        <v/>
      </c>
      <c r="AY328" s="55" t="str">
        <f t="shared" si="120"/>
        <v/>
      </c>
      <c r="AZ328" s="77" t="str">
        <f t="shared" si="124"/>
        <v/>
      </c>
      <c r="BA328" s="6" t="str">
        <f t="array" ref="BA328">_xlfn.IFNA((INDEX('DMR 001C TIN &amp; TP'!$A$3:$M$10005,MATCH(('Reg 85'!$AQ$6&amp;'Reg 85'!BA$10&amp;'Reg 85'!$B328),('DMR 001C TIN &amp; TP'!$E$3:$E$10005&amp;'DMR 001C TIN &amp; TP'!$B$3:$B$10005&amp;'DMR 001C TIN &amp; TP'!$A$3:$A$10005),0),MATCH('Reg 85'!$AG$11,'DMR 001C TIN &amp; TP'!$A$2:$M$2,0))),"")</f>
        <v/>
      </c>
      <c r="BB328" s="6" t="str">
        <f t="array" ref="BB328">_xlfn.IFNA((INDEX('DMR 001C TIN &amp; TP'!$A$3:$M$10005,MATCH(('Reg 85'!$AQ$6&amp;'Reg 85'!BB$10&amp;'Reg 85'!$B328),('DMR 001C TIN &amp; TP'!$E$3:$E$10005&amp;'DMR 001C TIN &amp; TP'!$B$3:$B$10005&amp;'DMR 001C TIN &amp; TP'!$A$3:$A$10005),0),MATCH('Reg 85'!$AG$11,'DMR 001C TIN &amp; TP'!$A$2:$M$2,0))),"")</f>
        <v/>
      </c>
      <c r="BC328" s="6" t="str">
        <f t="array" ref="BC328">_xlfn.IFNA((INDEX('DMR 001C TIN &amp; TP'!$A$3:$M$10005,MATCH(('Reg 85'!$AQ$6&amp;'Reg 85'!BC$10&amp;'Reg 85'!$B328),('DMR 001C TIN &amp; TP'!$E$3:$E$10005&amp;'DMR 001C TIN &amp; TP'!$B$3:$B$10005&amp;'DMR 001C TIN &amp; TP'!$A$3:$A$10005),0),MATCH('Reg 85'!$AG$11,'DMR 001C TIN &amp; TP'!$A$2:$M$2,0))),"")</f>
        <v/>
      </c>
      <c r="BD328" s="6" t="str">
        <f t="array" ref="BD328">_xlfn.IFNA((INDEX('DMR 001C TIN &amp; TP'!$A$3:$M$10005,MATCH(('Reg 85'!$AQ$6&amp;'Reg 85'!BD$10&amp;'Reg 85'!$B328),('DMR 001C TIN &amp; TP'!$E$3:$E$10005&amp;'DMR 001C TIN &amp; TP'!$B$3:$B$10005&amp;'DMR 001C TIN &amp; TP'!$A$3:$A$10005),0),MATCH('Reg 85'!$AG$11,'DMR 001C TIN &amp; TP'!$A$2:$M$2,0))),"")</f>
        <v/>
      </c>
      <c r="BE328" s="6" t="str">
        <f t="array" ref="BE328">_xlfn.IFNA((INDEX('DMR 001C TIN &amp; TP'!$A$3:$M$10005,MATCH(('Reg 85'!$AQ$6&amp;'Reg 85'!BE$10&amp;'Reg 85'!$B328),('DMR 001C TIN &amp; TP'!$E$3:$E$10005&amp;'DMR 001C TIN &amp; TP'!$B$3:$B$10005&amp;'DMR 001C TIN &amp; TP'!$A$3:$A$10005),0),MATCH('Reg 85'!$AG$11,'DMR 001C TIN &amp; TP'!$A$2:$M$2,0))),"")</f>
        <v/>
      </c>
      <c r="BF328" s="6" t="str">
        <f t="array" ref="BF328">_xlfn.IFNA((INDEX('DMR 001C TIN &amp; TP'!$A$3:$M$10005,MATCH(('Reg 85'!$AQ$6&amp;'Reg 85'!BF$10&amp;'Reg 85'!$B328),('DMR 001C TIN &amp; TP'!$E$3:$E$10005&amp;'DMR 001C TIN &amp; TP'!$B$3:$B$10005&amp;'DMR 001C TIN &amp; TP'!$A$3:$A$10005),0),MATCH('Reg 85'!$AG$11,'DMR 001C TIN &amp; TP'!$A$2:$M$2,0))),"")</f>
        <v/>
      </c>
    </row>
    <row r="329" spans="1:58">
      <c r="A329" s="3" t="str">
        <f t="shared" si="105"/>
        <v>Mon</v>
      </c>
      <c r="B329" s="96">
        <f t="shared" si="121"/>
        <v>43661</v>
      </c>
      <c r="C329" s="96">
        <f t="shared" si="106"/>
        <v>43677</v>
      </c>
      <c r="D329" s="96">
        <f t="shared" si="107"/>
        <v>43647</v>
      </c>
      <c r="E329" s="95">
        <f t="shared" si="108"/>
        <v>31</v>
      </c>
      <c r="F329" s="7">
        <f t="array" ref="F329">_xlfn.IFNA(INDEX('DMR Flows-Effluent'!$A$3:$F$9999,MATCH(($F$10&amp;$B329),('DMR Flows-Effluent'!$B$3:$B$9999&amp;'DMR Flows-Effluent'!$A$3:$A$9999),0),MATCH($F$8,'DMR Flows-Effluent'!$A$2:$F$2,0)),"")</f>
        <v>68.404200000000003</v>
      </c>
      <c r="G329" s="7">
        <f t="array" ref="G329">_xlfn.IFNA(INDEX('DMR Flows-Effluent'!$A$3:$F$9999,MATCH(($G$10&amp;$B329),('DMR Flows-Effluent'!$B$3:$B$9999&amp;'DMR Flows-Effluent'!$A$3:$A$9999),0),MATCH($F$8,'DMR Flows-Effluent'!$A$2:$F$2,0)),"")</f>
        <v>62.651899999999998</v>
      </c>
      <c r="H329" s="7">
        <f t="shared" si="109"/>
        <v>131.05610000000001</v>
      </c>
      <c r="I329" s="45" t="str">
        <f t="shared" si="110"/>
        <v/>
      </c>
      <c r="J329" s="6" t="str">
        <f t="array" ref="J329">_xlfn.IFNA((INDEX('DMR 001C TIN &amp; TP'!$A$3:$M$10005,MATCH(('Reg 85'!$I$6:$Q$6&amp;'Reg 85'!$I$10:$K$10&amp;'Reg 85'!$B329),('DMR 001C TIN &amp; TP'!$E$3:$E$10005&amp;'DMR 001C TIN &amp; TP'!$B$3:$B$10005&amp;'DMR 001C TIN &amp; TP'!$A$3:$A$10005),0),MATCH('Reg 85'!$J$11,'DMR 001C TIN &amp; TP'!$A$2:$M$2,0))),"")</f>
        <v>0.15</v>
      </c>
      <c r="K329" s="6">
        <f t="array" ref="K329">_xlfn.IFNA((INDEX('DMR 001C TIN &amp; TP'!$A$3:$M$10005,MATCH(('Reg 85'!$I$6:$Q$6&amp;'Reg 85'!$I$10:$K$10&amp;'Reg 85'!$B329),('DMR 001C TIN &amp; TP'!$E$3:$E$10005&amp;'DMR 001C TIN &amp; TP'!$B$3:$B$10005&amp;'DMR 001C TIN &amp; TP'!$A$3:$A$10005),0),MATCH('Reg 85'!$K$11,'DMR 001C TIN &amp; TP'!$A$2:$M$2,0))),"")</f>
        <v>1.73</v>
      </c>
      <c r="L329" s="53">
        <f t="shared" si="122"/>
        <v>1.73</v>
      </c>
      <c r="M329" s="5" t="str">
        <f t="shared" si="111"/>
        <v/>
      </c>
      <c r="N329" s="6" t="str">
        <f t="array" ref="N329">_xlfn.IFNA((INDEX('DMR 001C TIN &amp; TP'!$A$3:$M$10005,MATCH(('Reg 85'!$I$6:$Q$6&amp;'Reg 85'!$M$10&amp;'Reg 85'!$B329),('DMR 001C TIN &amp; TP'!$E$3:$E$10005&amp;'DMR 001C TIN &amp; TP'!$B$3:$B$10005&amp;'DMR 001C TIN &amp; TP'!$A$3:$A$10005),0),MATCH('Reg 85'!$N$11,'DMR 001C TIN &amp; TP'!$A$2:$M$2,0))),"")</f>
        <v>0.15</v>
      </c>
      <c r="O329" s="6">
        <f t="array" ref="O329">_xlfn.IFNA((INDEX('DMR 001C TIN &amp; TP'!$A$3:$M$10005,MATCH(('Reg 85'!$I$6:$Q$6&amp;'Reg 85'!$M$10&amp;'Reg 85'!$B329),('DMR 001C TIN &amp; TP'!$E$3:$E$10005&amp;'DMR 001C TIN &amp; TP'!$B$3:$B$10005&amp;'DMR 001C TIN &amp; TP'!$A$3:$A$10005),0),MATCH('Reg 85'!$O$11,'DMR 001C TIN &amp; TP'!$A$2:$M$2,0))),"")</f>
        <v>2.2400000000000002</v>
      </c>
      <c r="P329" s="53">
        <f t="shared" si="112"/>
        <v>2.2400000000000002</v>
      </c>
      <c r="Q329" s="73">
        <f t="array" ref="Q329">IFERROR(((L329*$F329)+(P329*$G329))/($H329),"")</f>
        <v>1.9738075679041265</v>
      </c>
      <c r="R329" s="6" t="str">
        <f t="array" ref="R329">_xlfn.IFNA((INDEX('DMR 001C TIN &amp; TP'!$A$3:$M$10005,MATCH(('Reg 85'!$I$6:$Q$6&amp;'Reg 85'!R$10&amp;'Reg 85'!$B329),('DMR 001C TIN &amp; TP'!$E$3:$E$10005&amp;'DMR 001C TIN &amp; TP'!$B$3:$B$10005&amp;'DMR 001C TIN &amp; TP'!$A$3:$A$10005),0),MATCH('Reg 85'!$O$11,'DMR 001C TIN &amp; TP'!$A$2:$M$2,0))),"")</f>
        <v/>
      </c>
      <c r="S329" s="6" t="str">
        <f t="array" ref="S329">_xlfn.IFNA((INDEX('DMR 001C TIN &amp; TP'!$A$3:$M$10005,MATCH(('Reg 85'!$I$6:$Q$6&amp;'Reg 85'!S$10&amp;'Reg 85'!$B329),('DMR 001C TIN &amp; TP'!$E$3:$E$10005&amp;'DMR 001C TIN &amp; TP'!$B$3:$B$10005&amp;'DMR 001C TIN &amp; TP'!$A$3:$A$10005),0),MATCH('Reg 85'!$O$11,'DMR 001C TIN &amp; TP'!$A$2:$M$2,0))),"")</f>
        <v/>
      </c>
      <c r="T329" s="6" t="str">
        <f t="array" ref="T329">_xlfn.IFNA((INDEX('DMR 001C TIN &amp; TP'!$A$3:$M$10005,MATCH(('Reg 85'!$I$6:$Q$6&amp;'Reg 85'!T$10&amp;'Reg 85'!$B329),('DMR 001C TIN &amp; TP'!$E$3:$E$10005&amp;'DMR 001C TIN &amp; TP'!$B$3:$B$10005&amp;'DMR 001C TIN &amp; TP'!$A$3:$A$10005),0),MATCH('Reg 85'!$O$11,'DMR 001C TIN &amp; TP'!$A$2:$M$2,0))),"")</f>
        <v/>
      </c>
      <c r="U329" s="6" t="str">
        <f t="array" ref="U329">_xlfn.IFNA((INDEX('DMR 001C TIN &amp; TP'!$A$3:$M$10005,MATCH(('Reg 85'!$I$6:$Q$6&amp;'Reg 85'!U$10&amp;'Reg 85'!$B329),('DMR 001C TIN &amp; TP'!$E$3:$E$10005&amp;'DMR 001C TIN &amp; TP'!$B$3:$B$10005&amp;'DMR 001C TIN &amp; TP'!$A$3:$A$10005),0),MATCH('Reg 85'!$O$11,'DMR 001C TIN &amp; TP'!$A$2:$M$2,0))),"")</f>
        <v/>
      </c>
      <c r="V329" s="6" t="str">
        <f t="array" ref="V329">_xlfn.IFNA((INDEX('DMR 001C TIN &amp; TP'!$A$3:$M$10005,MATCH(('Reg 85'!$I$6:$Q$6&amp;'Reg 85'!V$10&amp;'Reg 85'!$B329),('DMR 001C TIN &amp; TP'!$E$3:$E$10005&amp;'DMR 001C TIN &amp; TP'!$B$3:$B$10005&amp;'DMR 001C TIN &amp; TP'!$A$3:$A$10005),0),MATCH('Reg 85'!$O$11,'DMR 001C TIN &amp; TP'!$A$2:$M$2,0))),"")</f>
        <v/>
      </c>
      <c r="W329" s="6" t="str">
        <f t="array" ref="W329">_xlfn.IFNA((INDEX('DMR 001C TIN &amp; TP'!$A$3:$M$10005,MATCH(('Reg 85'!$I$6:$Q$6&amp;'Reg 85'!W$10&amp;'Reg 85'!$B329),('DMR 001C TIN &amp; TP'!$E$3:$E$10005&amp;'DMR 001C TIN &amp; TP'!$B$3:$B$10005&amp;'DMR 001C TIN &amp; TP'!$A$3:$A$10005),0),MATCH('Reg 85'!$O$11,'DMR 001C TIN &amp; TP'!$A$2:$M$2,0))),"")</f>
        <v/>
      </c>
      <c r="X329" s="5" t="str">
        <f t="shared" si="113"/>
        <v/>
      </c>
      <c r="Y329" s="6" t="str">
        <f t="array" ref="Y329">_xlfn.IFNA((INDEX('DMR 001C TIN &amp; TP'!$A$3:$M$10005,MATCH(('Reg 85'!$X$6&amp;'Reg 85'!$X$10&amp;'Reg 85'!$B329),('DMR 001C TIN &amp; TP'!$E$3:$E$10005&amp;'DMR 001C TIN &amp; TP'!$B$3:$B$10005&amp;'DMR 001C TIN &amp; TP'!$A$3:$A$10005),0),MATCH('Reg 85'!$Y$11,'DMR 001C TIN &amp; TP'!$A$2:$M$2,0))),"")</f>
        <v>0.06</v>
      </c>
      <c r="Z329" s="6">
        <f t="array" ref="Z329">_xlfn.IFNA((INDEX('DMR 001C TIN &amp; TP'!$A$3:$M$10005,MATCH(('Reg 85'!$X$6&amp;'Reg 85'!$X$10&amp;'Reg 85'!$B329),('DMR 001C TIN &amp; TP'!$E$3:$E$10005&amp;'DMR 001C TIN &amp; TP'!$B$3:$B$10005&amp;'DMR 001C TIN &amp; TP'!$A$3:$A$10005),0),MATCH('Reg 85'!$Z$11,'DMR 001C TIN &amp; TP'!$A$2:$M$2,0))),"")</f>
        <v>4.47</v>
      </c>
      <c r="AA329" s="53">
        <f t="shared" si="114"/>
        <v>4.47</v>
      </c>
      <c r="AB329" s="5" t="str">
        <f t="shared" si="115"/>
        <v/>
      </c>
      <c r="AC329" s="6" t="str">
        <f t="array" ref="AC329">_xlfn.IFNA((INDEX('DMR 001C TIN &amp; TP'!$A$3:$M$10005,MATCH(('Reg 85'!$X$6&amp;'Reg 85'!$AB$10&amp;'Reg 85'!$B329),('DMR 001C TIN &amp; TP'!$E$3:$E$10005&amp;'DMR 001C TIN &amp; TP'!$B$3:$B$10005&amp;'DMR 001C TIN &amp; TP'!$A$3:$A$10005),0),MATCH('Reg 85'!$AC$11,'DMR 001C TIN &amp; TP'!$A$2:$M$2,0))),"")</f>
        <v>0.06</v>
      </c>
      <c r="AD329" s="6">
        <f t="array" ref="AD329">_xlfn.IFNA((INDEX('DMR 001C TIN &amp; TP'!$A$3:$M$10005,MATCH(('Reg 85'!$X$6&amp;'Reg 85'!$AB$10&amp;'Reg 85'!$B329),('DMR 001C TIN &amp; TP'!$E$3:$E$10005&amp;'DMR 001C TIN &amp; TP'!$B$3:$B$10005&amp;'DMR 001C TIN &amp; TP'!$A$3:$A$10005),0),MATCH('Reg 85'!$AD$11,'DMR 001C TIN &amp; TP'!$A$2:$M$2,0))),"")</f>
        <v>6.75</v>
      </c>
      <c r="AE329" s="53">
        <f t="shared" si="116"/>
        <v>6.75</v>
      </c>
      <c r="AF329" s="7">
        <f t="shared" si="117"/>
        <v>5.5599632447478591</v>
      </c>
      <c r="AG329" s="6" t="str">
        <f t="array" ref="AG329">_xlfn.IFNA((INDEX('DMR 001C TIN &amp; TP'!$A$3:$M$10005,MATCH(('Reg 85'!$X$6&amp;'Reg 85'!AG$10&amp;'Reg 85'!$B329),('DMR 001C TIN &amp; TP'!$E$3:$E$10005&amp;'DMR 001C TIN &amp; TP'!$B$3:$B$10005&amp;'DMR 001C TIN &amp; TP'!$A$3:$A$10005),0),MATCH('Reg 85'!$AG$11,'DMR 001C TIN &amp; TP'!$A$2:$M$2,0))),"")</f>
        <v/>
      </c>
      <c r="AH329" s="6" t="str">
        <f t="array" ref="AH329">_xlfn.IFNA((INDEX('DMR 001C TIN &amp; TP'!$A$3:$M$10005,MATCH(('Reg 85'!$X$6&amp;'Reg 85'!AH$10&amp;'Reg 85'!$B329),('DMR 001C TIN &amp; TP'!$E$3:$E$10005&amp;'DMR 001C TIN &amp; TP'!$B$3:$B$10005&amp;'DMR 001C TIN &amp; TP'!$A$3:$A$10005),0),MATCH('Reg 85'!$AG$11,'DMR 001C TIN &amp; TP'!$A$2:$M$2,0))),"")</f>
        <v/>
      </c>
      <c r="AI329" s="6" t="str">
        <f t="array" ref="AI329">_xlfn.IFNA((INDEX('DMR 001C TIN &amp; TP'!$A$3:$M$10005,MATCH(('Reg 85'!$X$6&amp;'Reg 85'!AI$10&amp;'Reg 85'!$B329),('DMR 001C TIN &amp; TP'!$E$3:$E$10005&amp;'DMR 001C TIN &amp; TP'!$B$3:$B$10005&amp;'DMR 001C TIN &amp; TP'!$A$3:$A$10005),0),MATCH('Reg 85'!$AG$11,'DMR 001C TIN &amp; TP'!$A$2:$M$2,0))),"")</f>
        <v/>
      </c>
      <c r="AJ329" s="6" t="str">
        <f t="array" ref="AJ329">_xlfn.IFNA((INDEX('DMR 001C TIN &amp; TP'!$A$3:$M$10005,MATCH(('Reg 85'!$X$6&amp;'Reg 85'!AJ$10&amp;'Reg 85'!$B329),('DMR 001C TIN &amp; TP'!$E$3:$E$10005&amp;'DMR 001C TIN &amp; TP'!$B$3:$B$10005&amp;'DMR 001C TIN &amp; TP'!$A$3:$A$10005),0),MATCH('Reg 85'!$AG$11,'DMR 001C TIN &amp; TP'!$A$2:$M$2,0))),"")</f>
        <v/>
      </c>
      <c r="AK329" s="6" t="str">
        <f t="array" ref="AK329">_xlfn.IFNA((INDEX('DMR 001C TIN &amp; TP'!$A$3:$M$10005,MATCH(('Reg 85'!$X$6&amp;'Reg 85'!AK$10&amp;'Reg 85'!$B329),('DMR 001C TIN &amp; TP'!$E$3:$E$10005&amp;'DMR 001C TIN &amp; TP'!$B$3:$B$10005&amp;'DMR 001C TIN &amp; TP'!$A$3:$A$10005),0),MATCH('Reg 85'!$AG$11,'DMR 001C TIN &amp; TP'!$A$2:$M$2,0))),"")</f>
        <v/>
      </c>
      <c r="AL329" s="6" t="str">
        <f t="array" ref="AL329">_xlfn.IFNA((INDEX('DMR 001C TIN &amp; TP'!$A$3:$M$10005,MATCH(('Reg 85'!$X$6&amp;'Reg 85'!AL$10&amp;'Reg 85'!$B329),('DMR 001C TIN &amp; TP'!$E$3:$E$10005&amp;'DMR 001C TIN &amp; TP'!$B$3:$B$10005&amp;'DMR 001C TIN &amp; TP'!$A$3:$A$10005),0),MATCH('Reg 85'!$AG$11,'DMR 001C TIN &amp; TP'!$A$2:$M$2,0))),"")</f>
        <v/>
      </c>
      <c r="AM329" s="76"/>
      <c r="AN329" s="6"/>
      <c r="AO329" s="54">
        <f t="shared" si="104"/>
        <v>7.5337708126519853</v>
      </c>
      <c r="AP329" s="77" t="str">
        <f t="shared" si="123"/>
        <v/>
      </c>
      <c r="AQ329" s="47"/>
      <c r="AR329" s="6" t="str">
        <f t="array" ref="AR329">_xlfn.IFNA((INDEX('DMR 001C TIN &amp; TP'!$A$3:$M$10005,MATCH(('Reg 85'!$AQ$6&amp;'Reg 85'!$AQ$10&amp;'Reg 85'!$B329),('DMR 001C TIN &amp; TP'!$E$3:$E$10005&amp;'DMR 001C TIN &amp; TP'!$B$3:$B$10005&amp;'DMR 001C TIN &amp; TP'!$A$3:$A$10005),0),MATCH('Reg 85'!$AR$11,'DMR 001C TIN &amp; TP'!$A$2:$M$2,0))),"")</f>
        <v/>
      </c>
      <c r="AS329" s="6" t="str">
        <f t="array" ref="AS329">_xlfn.IFNA((INDEX('DMR 001C TIN &amp; TP'!$A$3:$M$10005,MATCH(('Reg 85'!$AQ$6&amp;'Reg 85'!$AQ$10&amp;'Reg 85'!$B329),('DMR 001C TIN &amp; TP'!$E$3:$E$10005&amp;'DMR 001C TIN &amp; TP'!$B$3:$B$10005&amp;'DMR 001C TIN &amp; TP'!$A$3:$A$10005),0),MATCH('Reg 85'!$AS$11,'DMR 001C TIN &amp; TP'!$A$2:$M$2,0))),"")</f>
        <v/>
      </c>
      <c r="AT329" s="53" t="str">
        <f t="shared" si="118"/>
        <v/>
      </c>
      <c r="AV329" s="6" t="str">
        <f t="array" ref="AV329">_xlfn.IFNA((INDEX('DMR 001C TIN &amp; TP'!$A$3:$M$10005,MATCH(('Reg 85'!$AQ$6&amp;'Reg 85'!$AU$10&amp;'Reg 85'!$B329),('DMR 001C TIN &amp; TP'!$E$3:$E$10005&amp;'DMR 001C TIN &amp; TP'!$B$3:$B$10005&amp;'DMR 001C TIN &amp; TP'!$A$3:$A$10005),0),MATCH('Reg 85'!$AV$11,'DMR 001C TIN &amp; TP'!$A$2:$M$2,0))),"")</f>
        <v/>
      </c>
      <c r="AW329" s="6" t="str">
        <f t="array" ref="AW329">_xlfn.IFNA((INDEX('DMR 001C TIN &amp; TP'!$A$3:$M$10005,MATCH(('Reg 85'!$AQ$6&amp;'Reg 85'!$AU$10&amp;'Reg 85'!$B329),('DMR 001C TIN &amp; TP'!$E$3:$E$10005&amp;'DMR 001C TIN &amp; TP'!$B$3:$B$10005&amp;'DMR 001C TIN &amp; TP'!$A$3:$A$10005),0),MATCH('Reg 85'!$AW$11,'DMR 001C TIN &amp; TP'!$A$2:$M$2,0))),"")</f>
        <v/>
      </c>
      <c r="AX329" s="53" t="str">
        <f t="shared" si="119"/>
        <v/>
      </c>
      <c r="AY329" s="55" t="str">
        <f t="shared" si="120"/>
        <v/>
      </c>
      <c r="AZ329" s="77" t="str">
        <f t="shared" si="124"/>
        <v/>
      </c>
      <c r="BA329" s="6" t="str">
        <f t="array" ref="BA329">_xlfn.IFNA((INDEX('DMR 001C TIN &amp; TP'!$A$3:$M$10005,MATCH(('Reg 85'!$AQ$6&amp;'Reg 85'!BA$10&amp;'Reg 85'!$B329),('DMR 001C TIN &amp; TP'!$E$3:$E$10005&amp;'DMR 001C TIN &amp; TP'!$B$3:$B$10005&amp;'DMR 001C TIN &amp; TP'!$A$3:$A$10005),0),MATCH('Reg 85'!$AG$11,'DMR 001C TIN &amp; TP'!$A$2:$M$2,0))),"")</f>
        <v/>
      </c>
      <c r="BB329" s="6" t="str">
        <f t="array" ref="BB329">_xlfn.IFNA((INDEX('DMR 001C TIN &amp; TP'!$A$3:$M$10005,MATCH(('Reg 85'!$AQ$6&amp;'Reg 85'!BB$10&amp;'Reg 85'!$B329),('DMR 001C TIN &amp; TP'!$E$3:$E$10005&amp;'DMR 001C TIN &amp; TP'!$B$3:$B$10005&amp;'DMR 001C TIN &amp; TP'!$A$3:$A$10005),0),MATCH('Reg 85'!$AG$11,'DMR 001C TIN &amp; TP'!$A$2:$M$2,0))),"")</f>
        <v/>
      </c>
      <c r="BC329" s="6" t="str">
        <f t="array" ref="BC329">_xlfn.IFNA((INDEX('DMR 001C TIN &amp; TP'!$A$3:$M$10005,MATCH(('Reg 85'!$AQ$6&amp;'Reg 85'!BC$10&amp;'Reg 85'!$B329),('DMR 001C TIN &amp; TP'!$E$3:$E$10005&amp;'DMR 001C TIN &amp; TP'!$B$3:$B$10005&amp;'DMR 001C TIN &amp; TP'!$A$3:$A$10005),0),MATCH('Reg 85'!$AG$11,'DMR 001C TIN &amp; TP'!$A$2:$M$2,0))),"")</f>
        <v/>
      </c>
      <c r="BD329" s="6" t="str">
        <f t="array" ref="BD329">_xlfn.IFNA((INDEX('DMR 001C TIN &amp; TP'!$A$3:$M$10005,MATCH(('Reg 85'!$AQ$6&amp;'Reg 85'!BD$10&amp;'Reg 85'!$B329),('DMR 001C TIN &amp; TP'!$E$3:$E$10005&amp;'DMR 001C TIN &amp; TP'!$B$3:$B$10005&amp;'DMR 001C TIN &amp; TP'!$A$3:$A$10005),0),MATCH('Reg 85'!$AG$11,'DMR 001C TIN &amp; TP'!$A$2:$M$2,0))),"")</f>
        <v/>
      </c>
      <c r="BE329" s="6" t="str">
        <f t="array" ref="BE329">_xlfn.IFNA((INDEX('DMR 001C TIN &amp; TP'!$A$3:$M$10005,MATCH(('Reg 85'!$AQ$6&amp;'Reg 85'!BE$10&amp;'Reg 85'!$B329),('DMR 001C TIN &amp; TP'!$E$3:$E$10005&amp;'DMR 001C TIN &amp; TP'!$B$3:$B$10005&amp;'DMR 001C TIN &amp; TP'!$A$3:$A$10005),0),MATCH('Reg 85'!$AG$11,'DMR 001C TIN &amp; TP'!$A$2:$M$2,0))),"")</f>
        <v/>
      </c>
      <c r="BF329" s="6" t="str">
        <f t="array" ref="BF329">_xlfn.IFNA((INDEX('DMR 001C TIN &amp; TP'!$A$3:$M$10005,MATCH(('Reg 85'!$AQ$6&amp;'Reg 85'!BF$10&amp;'Reg 85'!$B329),('DMR 001C TIN &amp; TP'!$E$3:$E$10005&amp;'DMR 001C TIN &amp; TP'!$B$3:$B$10005&amp;'DMR 001C TIN &amp; TP'!$A$3:$A$10005),0),MATCH('Reg 85'!$AG$11,'DMR 001C TIN &amp; TP'!$A$2:$M$2,0))),"")</f>
        <v/>
      </c>
    </row>
    <row r="330" spans="1:58">
      <c r="A330" s="3" t="str">
        <f t="shared" si="105"/>
        <v>Tue</v>
      </c>
      <c r="B330" s="96">
        <f t="shared" si="121"/>
        <v>43662</v>
      </c>
      <c r="C330" s="96">
        <f t="shared" si="106"/>
        <v>43677</v>
      </c>
      <c r="D330" s="96">
        <f t="shared" si="107"/>
        <v>43647</v>
      </c>
      <c r="E330" s="95">
        <f t="shared" si="108"/>
        <v>31</v>
      </c>
      <c r="F330" s="7">
        <f t="array" ref="F330">_xlfn.IFNA(INDEX('DMR Flows-Effluent'!$A$3:$F$9999,MATCH(($F$10&amp;$B330),('DMR Flows-Effluent'!$B$3:$B$9999&amp;'DMR Flows-Effluent'!$A$3:$A$9999),0),MATCH($F$8,'DMR Flows-Effluent'!$A$2:$F$2,0)),"")</f>
        <v>58.109699999999997</v>
      </c>
      <c r="G330" s="7">
        <f t="array" ref="G330">_xlfn.IFNA(INDEX('DMR Flows-Effluent'!$A$3:$F$9999,MATCH(($G$10&amp;$B330),('DMR Flows-Effluent'!$B$3:$B$9999&amp;'DMR Flows-Effluent'!$A$3:$A$9999),0),MATCH($F$8,'DMR Flows-Effluent'!$A$2:$F$2,0)),"")</f>
        <v>70.721900000000005</v>
      </c>
      <c r="H330" s="7">
        <f t="shared" si="109"/>
        <v>128.83160000000001</v>
      </c>
      <c r="I330" s="45" t="str">
        <f t="shared" si="110"/>
        <v/>
      </c>
      <c r="J330" s="6" t="str">
        <f t="array" ref="J330">_xlfn.IFNA((INDEX('DMR 001C TIN &amp; TP'!$A$3:$M$10005,MATCH(('Reg 85'!$I$6:$Q$6&amp;'Reg 85'!$I$10:$K$10&amp;'Reg 85'!$B330),('DMR 001C TIN &amp; TP'!$E$3:$E$10005&amp;'DMR 001C TIN &amp; TP'!$B$3:$B$10005&amp;'DMR 001C TIN &amp; TP'!$A$3:$A$10005),0),MATCH('Reg 85'!$J$11,'DMR 001C TIN &amp; TP'!$A$2:$M$2,0))),"")</f>
        <v/>
      </c>
      <c r="K330" s="6" t="str">
        <f t="array" ref="K330">_xlfn.IFNA((INDEX('DMR 001C TIN &amp; TP'!$A$3:$M$10005,MATCH(('Reg 85'!$I$6:$Q$6&amp;'Reg 85'!$I$10:$K$10&amp;'Reg 85'!$B330),('DMR 001C TIN &amp; TP'!$E$3:$E$10005&amp;'DMR 001C TIN &amp; TP'!$B$3:$B$10005&amp;'DMR 001C TIN &amp; TP'!$A$3:$A$10005),0),MATCH('Reg 85'!$K$11,'DMR 001C TIN &amp; TP'!$A$2:$M$2,0))),"")</f>
        <v/>
      </c>
      <c r="L330" s="53" t="str">
        <f t="shared" si="122"/>
        <v/>
      </c>
      <c r="M330" s="5" t="str">
        <f t="shared" si="111"/>
        <v/>
      </c>
      <c r="N330" s="6" t="str">
        <f t="array" ref="N330">_xlfn.IFNA((INDEX('DMR 001C TIN &amp; TP'!$A$3:$M$10005,MATCH(('Reg 85'!$I$6:$Q$6&amp;'Reg 85'!$M$10&amp;'Reg 85'!$B330),('DMR 001C TIN &amp; TP'!$E$3:$E$10005&amp;'DMR 001C TIN &amp; TP'!$B$3:$B$10005&amp;'DMR 001C TIN &amp; TP'!$A$3:$A$10005),0),MATCH('Reg 85'!$N$11,'DMR 001C TIN &amp; TP'!$A$2:$M$2,0))),"")</f>
        <v/>
      </c>
      <c r="O330" s="6" t="str">
        <f t="array" ref="O330">_xlfn.IFNA((INDEX('DMR 001C TIN &amp; TP'!$A$3:$M$10005,MATCH(('Reg 85'!$I$6:$Q$6&amp;'Reg 85'!$M$10&amp;'Reg 85'!$B330),('DMR 001C TIN &amp; TP'!$E$3:$E$10005&amp;'DMR 001C TIN &amp; TP'!$B$3:$B$10005&amp;'DMR 001C TIN &amp; TP'!$A$3:$A$10005),0),MATCH('Reg 85'!$O$11,'DMR 001C TIN &amp; TP'!$A$2:$M$2,0))),"")</f>
        <v/>
      </c>
      <c r="P330" s="53" t="str">
        <f t="shared" si="112"/>
        <v/>
      </c>
      <c r="Q330" s="73" t="str">
        <f t="array" ref="Q330">IFERROR(((L330*$F330)+(P330*$G330))/($H330),"")</f>
        <v/>
      </c>
      <c r="R330" s="6" t="str">
        <f t="array" ref="R330">_xlfn.IFNA((INDEX('DMR 001C TIN &amp; TP'!$A$3:$M$10005,MATCH(('Reg 85'!$I$6:$Q$6&amp;'Reg 85'!R$10&amp;'Reg 85'!$B330),('DMR 001C TIN &amp; TP'!$E$3:$E$10005&amp;'DMR 001C TIN &amp; TP'!$B$3:$B$10005&amp;'DMR 001C TIN &amp; TP'!$A$3:$A$10005),0),MATCH('Reg 85'!$O$11,'DMR 001C TIN &amp; TP'!$A$2:$M$2,0))),"")</f>
        <v/>
      </c>
      <c r="S330" s="6" t="str">
        <f t="array" ref="S330">_xlfn.IFNA((INDEX('DMR 001C TIN &amp; TP'!$A$3:$M$10005,MATCH(('Reg 85'!$I$6:$Q$6&amp;'Reg 85'!S$10&amp;'Reg 85'!$B330),('DMR 001C TIN &amp; TP'!$E$3:$E$10005&amp;'DMR 001C TIN &amp; TP'!$B$3:$B$10005&amp;'DMR 001C TIN &amp; TP'!$A$3:$A$10005),0),MATCH('Reg 85'!$O$11,'DMR 001C TIN &amp; TP'!$A$2:$M$2,0))),"")</f>
        <v/>
      </c>
      <c r="T330" s="6" t="str">
        <f t="array" ref="T330">_xlfn.IFNA((INDEX('DMR 001C TIN &amp; TP'!$A$3:$M$10005,MATCH(('Reg 85'!$I$6:$Q$6&amp;'Reg 85'!T$10&amp;'Reg 85'!$B330),('DMR 001C TIN &amp; TP'!$E$3:$E$10005&amp;'DMR 001C TIN &amp; TP'!$B$3:$B$10005&amp;'DMR 001C TIN &amp; TP'!$A$3:$A$10005),0),MATCH('Reg 85'!$O$11,'DMR 001C TIN &amp; TP'!$A$2:$M$2,0))),"")</f>
        <v/>
      </c>
      <c r="U330" s="6" t="str">
        <f t="array" ref="U330">_xlfn.IFNA((INDEX('DMR 001C TIN &amp; TP'!$A$3:$M$10005,MATCH(('Reg 85'!$I$6:$Q$6&amp;'Reg 85'!U$10&amp;'Reg 85'!$B330),('DMR 001C TIN &amp; TP'!$E$3:$E$10005&amp;'DMR 001C TIN &amp; TP'!$B$3:$B$10005&amp;'DMR 001C TIN &amp; TP'!$A$3:$A$10005),0),MATCH('Reg 85'!$O$11,'DMR 001C TIN &amp; TP'!$A$2:$M$2,0))),"")</f>
        <v/>
      </c>
      <c r="V330" s="6" t="str">
        <f t="array" ref="V330">_xlfn.IFNA((INDEX('DMR 001C TIN &amp; TP'!$A$3:$M$10005,MATCH(('Reg 85'!$I$6:$Q$6&amp;'Reg 85'!V$10&amp;'Reg 85'!$B330),('DMR 001C TIN &amp; TP'!$E$3:$E$10005&amp;'DMR 001C TIN &amp; TP'!$B$3:$B$10005&amp;'DMR 001C TIN &amp; TP'!$A$3:$A$10005),0),MATCH('Reg 85'!$O$11,'DMR 001C TIN &amp; TP'!$A$2:$M$2,0))),"")</f>
        <v/>
      </c>
      <c r="W330" s="6" t="str">
        <f t="array" ref="W330">_xlfn.IFNA((INDEX('DMR 001C TIN &amp; TP'!$A$3:$M$10005,MATCH(('Reg 85'!$I$6:$Q$6&amp;'Reg 85'!W$10&amp;'Reg 85'!$B330),('DMR 001C TIN &amp; TP'!$E$3:$E$10005&amp;'DMR 001C TIN &amp; TP'!$B$3:$B$10005&amp;'DMR 001C TIN &amp; TP'!$A$3:$A$10005),0),MATCH('Reg 85'!$O$11,'DMR 001C TIN &amp; TP'!$A$2:$M$2,0))),"")</f>
        <v/>
      </c>
      <c r="X330" s="5" t="str">
        <f t="shared" si="113"/>
        <v/>
      </c>
      <c r="Y330" s="6" t="str">
        <f t="array" ref="Y330">_xlfn.IFNA((INDEX('DMR 001C TIN &amp; TP'!$A$3:$M$10005,MATCH(('Reg 85'!$X$6&amp;'Reg 85'!$X$10&amp;'Reg 85'!$B330),('DMR 001C TIN &amp; TP'!$E$3:$E$10005&amp;'DMR 001C TIN &amp; TP'!$B$3:$B$10005&amp;'DMR 001C TIN &amp; TP'!$A$3:$A$10005),0),MATCH('Reg 85'!$Y$11,'DMR 001C TIN &amp; TP'!$A$2:$M$2,0))),"")</f>
        <v/>
      </c>
      <c r="Z330" s="6" t="str">
        <f t="array" ref="Z330">_xlfn.IFNA((INDEX('DMR 001C TIN &amp; TP'!$A$3:$M$10005,MATCH(('Reg 85'!$X$6&amp;'Reg 85'!$X$10&amp;'Reg 85'!$B330),('DMR 001C TIN &amp; TP'!$E$3:$E$10005&amp;'DMR 001C TIN &amp; TP'!$B$3:$B$10005&amp;'DMR 001C TIN &amp; TP'!$A$3:$A$10005),0),MATCH('Reg 85'!$Z$11,'DMR 001C TIN &amp; TP'!$A$2:$M$2,0))),"")</f>
        <v/>
      </c>
      <c r="AA330" s="53" t="str">
        <f t="shared" si="114"/>
        <v/>
      </c>
      <c r="AB330" s="5" t="str">
        <f t="shared" si="115"/>
        <v/>
      </c>
      <c r="AC330" s="6" t="str">
        <f t="array" ref="AC330">_xlfn.IFNA((INDEX('DMR 001C TIN &amp; TP'!$A$3:$M$10005,MATCH(('Reg 85'!$X$6&amp;'Reg 85'!$AB$10&amp;'Reg 85'!$B330),('DMR 001C TIN &amp; TP'!$E$3:$E$10005&amp;'DMR 001C TIN &amp; TP'!$B$3:$B$10005&amp;'DMR 001C TIN &amp; TP'!$A$3:$A$10005),0),MATCH('Reg 85'!$AC$11,'DMR 001C TIN &amp; TP'!$A$2:$M$2,0))),"")</f>
        <v/>
      </c>
      <c r="AD330" s="6" t="str">
        <f t="array" ref="AD330">_xlfn.IFNA((INDEX('DMR 001C TIN &amp; TP'!$A$3:$M$10005,MATCH(('Reg 85'!$X$6&amp;'Reg 85'!$AB$10&amp;'Reg 85'!$B330),('DMR 001C TIN &amp; TP'!$E$3:$E$10005&amp;'DMR 001C TIN &amp; TP'!$B$3:$B$10005&amp;'DMR 001C TIN &amp; TP'!$A$3:$A$10005),0),MATCH('Reg 85'!$AD$11,'DMR 001C TIN &amp; TP'!$A$2:$M$2,0))),"")</f>
        <v/>
      </c>
      <c r="AE330" s="53" t="str">
        <f t="shared" si="116"/>
        <v/>
      </c>
      <c r="AF330" s="7" t="str">
        <f t="shared" si="117"/>
        <v/>
      </c>
      <c r="AG330" s="6" t="str">
        <f t="array" ref="AG330">_xlfn.IFNA((INDEX('DMR 001C TIN &amp; TP'!$A$3:$M$10005,MATCH(('Reg 85'!$X$6&amp;'Reg 85'!AG$10&amp;'Reg 85'!$B330),('DMR 001C TIN &amp; TP'!$E$3:$E$10005&amp;'DMR 001C TIN &amp; TP'!$B$3:$B$10005&amp;'DMR 001C TIN &amp; TP'!$A$3:$A$10005),0),MATCH('Reg 85'!$AG$11,'DMR 001C TIN &amp; TP'!$A$2:$M$2,0))),"")</f>
        <v/>
      </c>
      <c r="AH330" s="6" t="str">
        <f t="array" ref="AH330">_xlfn.IFNA((INDEX('DMR 001C TIN &amp; TP'!$A$3:$M$10005,MATCH(('Reg 85'!$X$6&amp;'Reg 85'!AH$10&amp;'Reg 85'!$B330),('DMR 001C TIN &amp; TP'!$E$3:$E$10005&amp;'DMR 001C TIN &amp; TP'!$B$3:$B$10005&amp;'DMR 001C TIN &amp; TP'!$A$3:$A$10005),0),MATCH('Reg 85'!$AG$11,'DMR 001C TIN &amp; TP'!$A$2:$M$2,0))),"")</f>
        <v/>
      </c>
      <c r="AI330" s="6" t="str">
        <f t="array" ref="AI330">_xlfn.IFNA((INDEX('DMR 001C TIN &amp; TP'!$A$3:$M$10005,MATCH(('Reg 85'!$X$6&amp;'Reg 85'!AI$10&amp;'Reg 85'!$B330),('DMR 001C TIN &amp; TP'!$E$3:$E$10005&amp;'DMR 001C TIN &amp; TP'!$B$3:$B$10005&amp;'DMR 001C TIN &amp; TP'!$A$3:$A$10005),0),MATCH('Reg 85'!$AG$11,'DMR 001C TIN &amp; TP'!$A$2:$M$2,0))),"")</f>
        <v/>
      </c>
      <c r="AJ330" s="6" t="str">
        <f t="array" ref="AJ330">_xlfn.IFNA((INDEX('DMR 001C TIN &amp; TP'!$A$3:$M$10005,MATCH(('Reg 85'!$X$6&amp;'Reg 85'!AJ$10&amp;'Reg 85'!$B330),('DMR 001C TIN &amp; TP'!$E$3:$E$10005&amp;'DMR 001C TIN &amp; TP'!$B$3:$B$10005&amp;'DMR 001C TIN &amp; TP'!$A$3:$A$10005),0),MATCH('Reg 85'!$AG$11,'DMR 001C TIN &amp; TP'!$A$2:$M$2,0))),"")</f>
        <v/>
      </c>
      <c r="AK330" s="6" t="str">
        <f t="array" ref="AK330">_xlfn.IFNA((INDEX('DMR 001C TIN &amp; TP'!$A$3:$M$10005,MATCH(('Reg 85'!$X$6&amp;'Reg 85'!AK$10&amp;'Reg 85'!$B330),('DMR 001C TIN &amp; TP'!$E$3:$E$10005&amp;'DMR 001C TIN &amp; TP'!$B$3:$B$10005&amp;'DMR 001C TIN &amp; TP'!$A$3:$A$10005),0),MATCH('Reg 85'!$AG$11,'DMR 001C TIN &amp; TP'!$A$2:$M$2,0))),"")</f>
        <v/>
      </c>
      <c r="AL330" s="6" t="str">
        <f t="array" ref="AL330">_xlfn.IFNA((INDEX('DMR 001C TIN &amp; TP'!$A$3:$M$10005,MATCH(('Reg 85'!$X$6&amp;'Reg 85'!AL$10&amp;'Reg 85'!$B330),('DMR 001C TIN &amp; TP'!$E$3:$E$10005&amp;'DMR 001C TIN &amp; TP'!$B$3:$B$10005&amp;'DMR 001C TIN &amp; TP'!$A$3:$A$10005),0),MATCH('Reg 85'!$AG$11,'DMR 001C TIN &amp; TP'!$A$2:$M$2,0))),"")</f>
        <v/>
      </c>
      <c r="AM330" s="76"/>
      <c r="AN330" s="6"/>
      <c r="AO330" s="54" t="str">
        <f t="shared" si="104"/>
        <v/>
      </c>
      <c r="AP330" s="77" t="str">
        <f t="shared" si="123"/>
        <v/>
      </c>
      <c r="AQ330" s="47"/>
      <c r="AR330" s="6" t="str">
        <f t="array" ref="AR330">_xlfn.IFNA((INDEX('DMR 001C TIN &amp; TP'!$A$3:$M$10005,MATCH(('Reg 85'!$AQ$6&amp;'Reg 85'!$AQ$10&amp;'Reg 85'!$B330),('DMR 001C TIN &amp; TP'!$E$3:$E$10005&amp;'DMR 001C TIN &amp; TP'!$B$3:$B$10005&amp;'DMR 001C TIN &amp; TP'!$A$3:$A$10005),0),MATCH('Reg 85'!$AR$11,'DMR 001C TIN &amp; TP'!$A$2:$M$2,0))),"")</f>
        <v>0.03</v>
      </c>
      <c r="AS330" s="6">
        <f t="array" ref="AS330">_xlfn.IFNA((INDEX('DMR 001C TIN &amp; TP'!$A$3:$M$10005,MATCH(('Reg 85'!$AQ$6&amp;'Reg 85'!$AQ$10&amp;'Reg 85'!$B330),('DMR 001C TIN &amp; TP'!$E$3:$E$10005&amp;'DMR 001C TIN &amp; TP'!$B$3:$B$10005&amp;'DMR 001C TIN &amp; TP'!$A$3:$A$10005),0),MATCH('Reg 85'!$AS$11,'DMR 001C TIN &amp; TP'!$A$2:$M$2,0))),"")</f>
        <v>0.31</v>
      </c>
      <c r="AT330" s="53">
        <f t="shared" si="118"/>
        <v>0.31</v>
      </c>
      <c r="AV330" s="6" t="str">
        <f t="array" ref="AV330">_xlfn.IFNA((INDEX('DMR 001C TIN &amp; TP'!$A$3:$M$10005,MATCH(('Reg 85'!$AQ$6&amp;'Reg 85'!$AU$10&amp;'Reg 85'!$B330),('DMR 001C TIN &amp; TP'!$E$3:$E$10005&amp;'DMR 001C TIN &amp; TP'!$B$3:$B$10005&amp;'DMR 001C TIN &amp; TP'!$A$3:$A$10005),0),MATCH('Reg 85'!$AV$11,'DMR 001C TIN &amp; TP'!$A$2:$M$2,0))),"")</f>
        <v>0.03</v>
      </c>
      <c r="AW330" s="6">
        <f t="array" ref="AW330">_xlfn.IFNA((INDEX('DMR 001C TIN &amp; TP'!$A$3:$M$10005,MATCH(('Reg 85'!$AQ$6&amp;'Reg 85'!$AU$10&amp;'Reg 85'!$B330),('DMR 001C TIN &amp; TP'!$E$3:$E$10005&amp;'DMR 001C TIN &amp; TP'!$B$3:$B$10005&amp;'DMR 001C TIN &amp; TP'!$A$3:$A$10005),0),MATCH('Reg 85'!$AW$11,'DMR 001C TIN &amp; TP'!$A$2:$M$2,0))),"")</f>
        <v>4.3600000000000003</v>
      </c>
      <c r="AX330" s="53">
        <f t="shared" si="119"/>
        <v>4.3600000000000003</v>
      </c>
      <c r="AY330" s="55">
        <f t="shared" si="120"/>
        <v>2.5332409983264976</v>
      </c>
      <c r="AZ330" s="77" t="str">
        <f t="shared" si="124"/>
        <v/>
      </c>
      <c r="BA330" s="6" t="str">
        <f t="array" ref="BA330">_xlfn.IFNA((INDEX('DMR 001C TIN &amp; TP'!$A$3:$M$10005,MATCH(('Reg 85'!$AQ$6&amp;'Reg 85'!BA$10&amp;'Reg 85'!$B330),('DMR 001C TIN &amp; TP'!$E$3:$E$10005&amp;'DMR 001C TIN &amp; TP'!$B$3:$B$10005&amp;'DMR 001C TIN &amp; TP'!$A$3:$A$10005),0),MATCH('Reg 85'!$AG$11,'DMR 001C TIN &amp; TP'!$A$2:$M$2,0))),"")</f>
        <v/>
      </c>
      <c r="BB330" s="6" t="str">
        <f t="array" ref="BB330">_xlfn.IFNA((INDEX('DMR 001C TIN &amp; TP'!$A$3:$M$10005,MATCH(('Reg 85'!$AQ$6&amp;'Reg 85'!BB$10&amp;'Reg 85'!$B330),('DMR 001C TIN &amp; TP'!$E$3:$E$10005&amp;'DMR 001C TIN &amp; TP'!$B$3:$B$10005&amp;'DMR 001C TIN &amp; TP'!$A$3:$A$10005),0),MATCH('Reg 85'!$AG$11,'DMR 001C TIN &amp; TP'!$A$2:$M$2,0))),"")</f>
        <v/>
      </c>
      <c r="BC330" s="6" t="str">
        <f t="array" ref="BC330">_xlfn.IFNA((INDEX('DMR 001C TIN &amp; TP'!$A$3:$M$10005,MATCH(('Reg 85'!$AQ$6&amp;'Reg 85'!BC$10&amp;'Reg 85'!$B330),('DMR 001C TIN &amp; TP'!$E$3:$E$10005&amp;'DMR 001C TIN &amp; TP'!$B$3:$B$10005&amp;'DMR 001C TIN &amp; TP'!$A$3:$A$10005),0),MATCH('Reg 85'!$AG$11,'DMR 001C TIN &amp; TP'!$A$2:$M$2,0))),"")</f>
        <v/>
      </c>
      <c r="BD330" s="6" t="str">
        <f t="array" ref="BD330">_xlfn.IFNA((INDEX('DMR 001C TIN &amp; TP'!$A$3:$M$10005,MATCH(('Reg 85'!$AQ$6&amp;'Reg 85'!BD$10&amp;'Reg 85'!$B330),('DMR 001C TIN &amp; TP'!$E$3:$E$10005&amp;'DMR 001C TIN &amp; TP'!$B$3:$B$10005&amp;'DMR 001C TIN &amp; TP'!$A$3:$A$10005),0),MATCH('Reg 85'!$AG$11,'DMR 001C TIN &amp; TP'!$A$2:$M$2,0))),"")</f>
        <v/>
      </c>
      <c r="BE330" s="6" t="str">
        <f t="array" ref="BE330">_xlfn.IFNA((INDEX('DMR 001C TIN &amp; TP'!$A$3:$M$10005,MATCH(('Reg 85'!$AQ$6&amp;'Reg 85'!BE$10&amp;'Reg 85'!$B330),('DMR 001C TIN &amp; TP'!$E$3:$E$10005&amp;'DMR 001C TIN &amp; TP'!$B$3:$B$10005&amp;'DMR 001C TIN &amp; TP'!$A$3:$A$10005),0),MATCH('Reg 85'!$AG$11,'DMR 001C TIN &amp; TP'!$A$2:$M$2,0))),"")</f>
        <v/>
      </c>
      <c r="BF330" s="6" t="str">
        <f t="array" ref="BF330">_xlfn.IFNA((INDEX('DMR 001C TIN &amp; TP'!$A$3:$M$10005,MATCH(('Reg 85'!$AQ$6&amp;'Reg 85'!BF$10&amp;'Reg 85'!$B330),('DMR 001C TIN &amp; TP'!$E$3:$E$10005&amp;'DMR 001C TIN &amp; TP'!$B$3:$B$10005&amp;'DMR 001C TIN &amp; TP'!$A$3:$A$10005),0),MATCH('Reg 85'!$AG$11,'DMR 001C TIN &amp; TP'!$A$2:$M$2,0))),"")</f>
        <v/>
      </c>
    </row>
    <row r="331" spans="1:58">
      <c r="A331" s="3" t="str">
        <f t="shared" si="105"/>
        <v>Wed</v>
      </c>
      <c r="B331" s="96">
        <f t="shared" si="121"/>
        <v>43663</v>
      </c>
      <c r="C331" s="96">
        <f t="shared" si="106"/>
        <v>43677</v>
      </c>
      <c r="D331" s="96">
        <f t="shared" si="107"/>
        <v>43647</v>
      </c>
      <c r="E331" s="95">
        <f t="shared" si="108"/>
        <v>31</v>
      </c>
      <c r="F331" s="7">
        <f t="array" ref="F331">_xlfn.IFNA(INDEX('DMR Flows-Effluent'!$A$3:$F$9999,MATCH(($F$10&amp;$B331),('DMR Flows-Effluent'!$B$3:$B$9999&amp;'DMR Flows-Effluent'!$A$3:$A$9999),0),MATCH($F$8,'DMR Flows-Effluent'!$A$2:$F$2,0)),"")</f>
        <v>64.043000000000006</v>
      </c>
      <c r="G331" s="7">
        <f t="array" ref="G331">_xlfn.IFNA(INDEX('DMR Flows-Effluent'!$A$3:$F$9999,MATCH(($G$10&amp;$B331),('DMR Flows-Effluent'!$B$3:$B$9999&amp;'DMR Flows-Effluent'!$A$3:$A$9999),0),MATCH($F$8,'DMR Flows-Effluent'!$A$2:$F$2,0)),"")</f>
        <v>65.548500000000004</v>
      </c>
      <c r="H331" s="7">
        <f t="shared" si="109"/>
        <v>129.5915</v>
      </c>
      <c r="I331" s="45" t="str">
        <f t="shared" si="110"/>
        <v/>
      </c>
      <c r="J331" s="6" t="str">
        <f t="array" ref="J331">_xlfn.IFNA((INDEX('DMR 001C TIN &amp; TP'!$A$3:$M$10005,MATCH(('Reg 85'!$I$6:$Q$6&amp;'Reg 85'!$I$10:$K$10&amp;'Reg 85'!$B331),('DMR 001C TIN &amp; TP'!$E$3:$E$10005&amp;'DMR 001C TIN &amp; TP'!$B$3:$B$10005&amp;'DMR 001C TIN &amp; TP'!$A$3:$A$10005),0),MATCH('Reg 85'!$J$11,'DMR 001C TIN &amp; TP'!$A$2:$M$2,0))),"")</f>
        <v>0.15</v>
      </c>
      <c r="K331" s="6">
        <f t="array" ref="K331">_xlfn.IFNA((INDEX('DMR 001C TIN &amp; TP'!$A$3:$M$10005,MATCH(('Reg 85'!$I$6:$Q$6&amp;'Reg 85'!$I$10:$K$10&amp;'Reg 85'!$B331),('DMR 001C TIN &amp; TP'!$E$3:$E$10005&amp;'DMR 001C TIN &amp; TP'!$B$3:$B$10005&amp;'DMR 001C TIN &amp; TP'!$A$3:$A$10005),0),MATCH('Reg 85'!$K$11,'DMR 001C TIN &amp; TP'!$A$2:$M$2,0))),"")</f>
        <v>1.26</v>
      </c>
      <c r="L331" s="53">
        <f t="shared" si="122"/>
        <v>1.26</v>
      </c>
      <c r="M331" s="5" t="str">
        <f t="shared" si="111"/>
        <v>&lt;</v>
      </c>
      <c r="N331" s="6" t="str">
        <f t="array" ref="N331">_xlfn.IFNA((INDEX('DMR 001C TIN &amp; TP'!$A$3:$M$10005,MATCH(('Reg 85'!$I$6:$Q$6&amp;'Reg 85'!$M$10&amp;'Reg 85'!$B331),('DMR 001C TIN &amp; TP'!$E$3:$E$10005&amp;'DMR 001C TIN &amp; TP'!$B$3:$B$10005&amp;'DMR 001C TIN &amp; TP'!$A$3:$A$10005),0),MATCH('Reg 85'!$N$11,'DMR 001C TIN &amp; TP'!$A$2:$M$2,0))),"")</f>
        <v>0.15</v>
      </c>
      <c r="O331" s="6">
        <f t="array" ref="O331">_xlfn.IFNA((INDEX('DMR 001C TIN &amp; TP'!$A$3:$M$10005,MATCH(('Reg 85'!$I$6:$Q$6&amp;'Reg 85'!$M$10&amp;'Reg 85'!$B331),('DMR 001C TIN &amp; TP'!$E$3:$E$10005&amp;'DMR 001C TIN &amp; TP'!$B$3:$B$10005&amp;'DMR 001C TIN &amp; TP'!$A$3:$A$10005),0),MATCH('Reg 85'!$O$11,'DMR 001C TIN &amp; TP'!$A$2:$M$2,0))),"")</f>
        <v>0</v>
      </c>
      <c r="P331" s="53">
        <f t="shared" si="112"/>
        <v>0</v>
      </c>
      <c r="Q331" s="73">
        <f t="array" ref="Q331">IFERROR(((L331*$F331)+(P331*$G331))/($H331),"")</f>
        <v>0.62268111720290298</v>
      </c>
      <c r="R331" s="6" t="str">
        <f t="array" ref="R331">_xlfn.IFNA((INDEX('DMR 001C TIN &amp; TP'!$A$3:$M$10005,MATCH(('Reg 85'!$I$6:$Q$6&amp;'Reg 85'!R$10&amp;'Reg 85'!$B331),('DMR 001C TIN &amp; TP'!$E$3:$E$10005&amp;'DMR 001C TIN &amp; TP'!$B$3:$B$10005&amp;'DMR 001C TIN &amp; TP'!$A$3:$A$10005),0),MATCH('Reg 85'!$O$11,'DMR 001C TIN &amp; TP'!$A$2:$M$2,0))),"")</f>
        <v/>
      </c>
      <c r="S331" s="6" t="str">
        <f t="array" ref="S331">_xlfn.IFNA((INDEX('DMR 001C TIN &amp; TP'!$A$3:$M$10005,MATCH(('Reg 85'!$I$6:$Q$6&amp;'Reg 85'!S$10&amp;'Reg 85'!$B331),('DMR 001C TIN &amp; TP'!$E$3:$E$10005&amp;'DMR 001C TIN &amp; TP'!$B$3:$B$10005&amp;'DMR 001C TIN &amp; TP'!$A$3:$A$10005),0),MATCH('Reg 85'!$O$11,'DMR 001C TIN &amp; TP'!$A$2:$M$2,0))),"")</f>
        <v/>
      </c>
      <c r="T331" s="6" t="str">
        <f t="array" ref="T331">_xlfn.IFNA((INDEX('DMR 001C TIN &amp; TP'!$A$3:$M$10005,MATCH(('Reg 85'!$I$6:$Q$6&amp;'Reg 85'!T$10&amp;'Reg 85'!$B331),('DMR 001C TIN &amp; TP'!$E$3:$E$10005&amp;'DMR 001C TIN &amp; TP'!$B$3:$B$10005&amp;'DMR 001C TIN &amp; TP'!$A$3:$A$10005),0),MATCH('Reg 85'!$O$11,'DMR 001C TIN &amp; TP'!$A$2:$M$2,0))),"")</f>
        <v/>
      </c>
      <c r="U331" s="6" t="str">
        <f t="array" ref="U331">_xlfn.IFNA((INDEX('DMR 001C TIN &amp; TP'!$A$3:$M$10005,MATCH(('Reg 85'!$I$6:$Q$6&amp;'Reg 85'!U$10&amp;'Reg 85'!$B331),('DMR 001C TIN &amp; TP'!$E$3:$E$10005&amp;'DMR 001C TIN &amp; TP'!$B$3:$B$10005&amp;'DMR 001C TIN &amp; TP'!$A$3:$A$10005),0),MATCH('Reg 85'!$O$11,'DMR 001C TIN &amp; TP'!$A$2:$M$2,0))),"")</f>
        <v/>
      </c>
      <c r="V331" s="6" t="str">
        <f t="array" ref="V331">_xlfn.IFNA((INDEX('DMR 001C TIN &amp; TP'!$A$3:$M$10005,MATCH(('Reg 85'!$I$6:$Q$6&amp;'Reg 85'!V$10&amp;'Reg 85'!$B331),('DMR 001C TIN &amp; TP'!$E$3:$E$10005&amp;'DMR 001C TIN &amp; TP'!$B$3:$B$10005&amp;'DMR 001C TIN &amp; TP'!$A$3:$A$10005),0),MATCH('Reg 85'!$O$11,'DMR 001C TIN &amp; TP'!$A$2:$M$2,0))),"")</f>
        <v/>
      </c>
      <c r="W331" s="6" t="str">
        <f t="array" ref="W331">_xlfn.IFNA((INDEX('DMR 001C TIN &amp; TP'!$A$3:$M$10005,MATCH(('Reg 85'!$I$6:$Q$6&amp;'Reg 85'!W$10&amp;'Reg 85'!$B331),('DMR 001C TIN &amp; TP'!$E$3:$E$10005&amp;'DMR 001C TIN &amp; TP'!$B$3:$B$10005&amp;'DMR 001C TIN &amp; TP'!$A$3:$A$10005),0),MATCH('Reg 85'!$O$11,'DMR 001C TIN &amp; TP'!$A$2:$M$2,0))),"")</f>
        <v/>
      </c>
      <c r="X331" s="5" t="str">
        <f t="shared" si="113"/>
        <v/>
      </c>
      <c r="Y331" s="6" t="str">
        <f t="array" ref="Y331">_xlfn.IFNA((INDEX('DMR 001C TIN &amp; TP'!$A$3:$M$10005,MATCH(('Reg 85'!$X$6&amp;'Reg 85'!$X$10&amp;'Reg 85'!$B331),('DMR 001C TIN &amp; TP'!$E$3:$E$10005&amp;'DMR 001C TIN &amp; TP'!$B$3:$B$10005&amp;'DMR 001C TIN &amp; TP'!$A$3:$A$10005),0),MATCH('Reg 85'!$Y$11,'DMR 001C TIN &amp; TP'!$A$2:$M$2,0))),"")</f>
        <v>0.06</v>
      </c>
      <c r="Z331" s="6">
        <f t="array" ref="Z331">_xlfn.IFNA((INDEX('DMR 001C TIN &amp; TP'!$A$3:$M$10005,MATCH(('Reg 85'!$X$6&amp;'Reg 85'!$X$10&amp;'Reg 85'!$B331),('DMR 001C TIN &amp; TP'!$E$3:$E$10005&amp;'DMR 001C TIN &amp; TP'!$B$3:$B$10005&amp;'DMR 001C TIN &amp; TP'!$A$3:$A$10005),0),MATCH('Reg 85'!$Z$11,'DMR 001C TIN &amp; TP'!$A$2:$M$2,0))),"")</f>
        <v>3.86</v>
      </c>
      <c r="AA331" s="53">
        <f t="shared" si="114"/>
        <v>3.86</v>
      </c>
      <c r="AB331" s="5" t="str">
        <f t="shared" si="115"/>
        <v/>
      </c>
      <c r="AC331" s="6" t="str">
        <f t="array" ref="AC331">_xlfn.IFNA((INDEX('DMR 001C TIN &amp; TP'!$A$3:$M$10005,MATCH(('Reg 85'!$X$6&amp;'Reg 85'!$AB$10&amp;'Reg 85'!$B331),('DMR 001C TIN &amp; TP'!$E$3:$E$10005&amp;'DMR 001C TIN &amp; TP'!$B$3:$B$10005&amp;'DMR 001C TIN &amp; TP'!$A$3:$A$10005),0),MATCH('Reg 85'!$AC$11,'DMR 001C TIN &amp; TP'!$A$2:$M$2,0))),"")</f>
        <v>0.18</v>
      </c>
      <c r="AD331" s="6">
        <f t="array" ref="AD331">_xlfn.IFNA((INDEX('DMR 001C TIN &amp; TP'!$A$3:$M$10005,MATCH(('Reg 85'!$X$6&amp;'Reg 85'!$AB$10&amp;'Reg 85'!$B331),('DMR 001C TIN &amp; TP'!$E$3:$E$10005&amp;'DMR 001C TIN &amp; TP'!$B$3:$B$10005&amp;'DMR 001C TIN &amp; TP'!$A$3:$A$10005),0),MATCH('Reg 85'!$AD$11,'DMR 001C TIN &amp; TP'!$A$2:$M$2,0))),"")</f>
        <v>5.55</v>
      </c>
      <c r="AE331" s="53">
        <f t="shared" si="116"/>
        <v>5.55</v>
      </c>
      <c r="AF331" s="7">
        <f t="shared" si="117"/>
        <v>4.7148165967675348</v>
      </c>
      <c r="AG331" s="6" t="str">
        <f t="array" ref="AG331">_xlfn.IFNA((INDEX('DMR 001C TIN &amp; TP'!$A$3:$M$10005,MATCH(('Reg 85'!$X$6&amp;'Reg 85'!AG$10&amp;'Reg 85'!$B331),('DMR 001C TIN &amp; TP'!$E$3:$E$10005&amp;'DMR 001C TIN &amp; TP'!$B$3:$B$10005&amp;'DMR 001C TIN &amp; TP'!$A$3:$A$10005),0),MATCH('Reg 85'!$AG$11,'DMR 001C TIN &amp; TP'!$A$2:$M$2,0))),"")</f>
        <v/>
      </c>
      <c r="AH331" s="6" t="str">
        <f t="array" ref="AH331">_xlfn.IFNA((INDEX('DMR 001C TIN &amp; TP'!$A$3:$M$10005,MATCH(('Reg 85'!$X$6&amp;'Reg 85'!AH$10&amp;'Reg 85'!$B331),('DMR 001C TIN &amp; TP'!$E$3:$E$10005&amp;'DMR 001C TIN &amp; TP'!$B$3:$B$10005&amp;'DMR 001C TIN &amp; TP'!$A$3:$A$10005),0),MATCH('Reg 85'!$AG$11,'DMR 001C TIN &amp; TP'!$A$2:$M$2,0))),"")</f>
        <v/>
      </c>
      <c r="AI331" s="6" t="str">
        <f t="array" ref="AI331">_xlfn.IFNA((INDEX('DMR 001C TIN &amp; TP'!$A$3:$M$10005,MATCH(('Reg 85'!$X$6&amp;'Reg 85'!AI$10&amp;'Reg 85'!$B331),('DMR 001C TIN &amp; TP'!$E$3:$E$10005&amp;'DMR 001C TIN &amp; TP'!$B$3:$B$10005&amp;'DMR 001C TIN &amp; TP'!$A$3:$A$10005),0),MATCH('Reg 85'!$AG$11,'DMR 001C TIN &amp; TP'!$A$2:$M$2,0))),"")</f>
        <v/>
      </c>
      <c r="AJ331" s="6" t="str">
        <f t="array" ref="AJ331">_xlfn.IFNA((INDEX('DMR 001C TIN &amp; TP'!$A$3:$M$10005,MATCH(('Reg 85'!$X$6&amp;'Reg 85'!AJ$10&amp;'Reg 85'!$B331),('DMR 001C TIN &amp; TP'!$E$3:$E$10005&amp;'DMR 001C TIN &amp; TP'!$B$3:$B$10005&amp;'DMR 001C TIN &amp; TP'!$A$3:$A$10005),0),MATCH('Reg 85'!$AG$11,'DMR 001C TIN &amp; TP'!$A$2:$M$2,0))),"")</f>
        <v/>
      </c>
      <c r="AK331" s="6" t="str">
        <f t="array" ref="AK331">_xlfn.IFNA((INDEX('DMR 001C TIN &amp; TP'!$A$3:$M$10005,MATCH(('Reg 85'!$X$6&amp;'Reg 85'!AK$10&amp;'Reg 85'!$B331),('DMR 001C TIN &amp; TP'!$E$3:$E$10005&amp;'DMR 001C TIN &amp; TP'!$B$3:$B$10005&amp;'DMR 001C TIN &amp; TP'!$A$3:$A$10005),0),MATCH('Reg 85'!$AG$11,'DMR 001C TIN &amp; TP'!$A$2:$M$2,0))),"")</f>
        <v/>
      </c>
      <c r="AL331" s="6" t="str">
        <f t="array" ref="AL331">_xlfn.IFNA((INDEX('DMR 001C TIN &amp; TP'!$A$3:$M$10005,MATCH(('Reg 85'!$X$6&amp;'Reg 85'!AL$10&amp;'Reg 85'!$B331),('DMR 001C TIN &amp; TP'!$E$3:$E$10005&amp;'DMR 001C TIN &amp; TP'!$B$3:$B$10005&amp;'DMR 001C TIN &amp; TP'!$A$3:$A$10005),0),MATCH('Reg 85'!$AG$11,'DMR 001C TIN &amp; TP'!$A$2:$M$2,0))),"")</f>
        <v/>
      </c>
      <c r="AM331" s="76"/>
      <c r="AN331" s="6"/>
      <c r="AO331" s="54">
        <f t="shared" si="104"/>
        <v>5.3374977139704374</v>
      </c>
      <c r="AP331" s="77" t="str">
        <f t="shared" si="123"/>
        <v/>
      </c>
      <c r="AQ331" s="47"/>
      <c r="AR331" s="6" t="str">
        <f t="array" ref="AR331">_xlfn.IFNA((INDEX('DMR 001C TIN &amp; TP'!$A$3:$M$10005,MATCH(('Reg 85'!$AQ$6&amp;'Reg 85'!$AQ$10&amp;'Reg 85'!$B331),('DMR 001C TIN &amp; TP'!$E$3:$E$10005&amp;'DMR 001C TIN &amp; TP'!$B$3:$B$10005&amp;'DMR 001C TIN &amp; TP'!$A$3:$A$10005),0),MATCH('Reg 85'!$AR$11,'DMR 001C TIN &amp; TP'!$A$2:$M$2,0))),"")</f>
        <v/>
      </c>
      <c r="AS331" s="6" t="str">
        <f t="array" ref="AS331">_xlfn.IFNA((INDEX('DMR 001C TIN &amp; TP'!$A$3:$M$10005,MATCH(('Reg 85'!$AQ$6&amp;'Reg 85'!$AQ$10&amp;'Reg 85'!$B331),('DMR 001C TIN &amp; TP'!$E$3:$E$10005&amp;'DMR 001C TIN &amp; TP'!$B$3:$B$10005&amp;'DMR 001C TIN &amp; TP'!$A$3:$A$10005),0),MATCH('Reg 85'!$AS$11,'DMR 001C TIN &amp; TP'!$A$2:$M$2,0))),"")</f>
        <v/>
      </c>
      <c r="AT331" s="53" t="str">
        <f t="shared" si="118"/>
        <v/>
      </c>
      <c r="AV331" s="6" t="str">
        <f t="array" ref="AV331">_xlfn.IFNA((INDEX('DMR 001C TIN &amp; TP'!$A$3:$M$10005,MATCH(('Reg 85'!$AQ$6&amp;'Reg 85'!$AU$10&amp;'Reg 85'!$B331),('DMR 001C TIN &amp; TP'!$E$3:$E$10005&amp;'DMR 001C TIN &amp; TP'!$B$3:$B$10005&amp;'DMR 001C TIN &amp; TP'!$A$3:$A$10005),0),MATCH('Reg 85'!$AV$11,'DMR 001C TIN &amp; TP'!$A$2:$M$2,0))),"")</f>
        <v/>
      </c>
      <c r="AW331" s="6" t="str">
        <f t="array" ref="AW331">_xlfn.IFNA((INDEX('DMR 001C TIN &amp; TP'!$A$3:$M$10005,MATCH(('Reg 85'!$AQ$6&amp;'Reg 85'!$AU$10&amp;'Reg 85'!$B331),('DMR 001C TIN &amp; TP'!$E$3:$E$10005&amp;'DMR 001C TIN &amp; TP'!$B$3:$B$10005&amp;'DMR 001C TIN &amp; TP'!$A$3:$A$10005),0),MATCH('Reg 85'!$AW$11,'DMR 001C TIN &amp; TP'!$A$2:$M$2,0))),"")</f>
        <v/>
      </c>
      <c r="AX331" s="53" t="str">
        <f t="shared" si="119"/>
        <v/>
      </c>
      <c r="AY331" s="55" t="str">
        <f t="shared" si="120"/>
        <v/>
      </c>
      <c r="AZ331" s="77" t="str">
        <f t="shared" si="124"/>
        <v/>
      </c>
      <c r="BA331" s="6" t="str">
        <f t="array" ref="BA331">_xlfn.IFNA((INDEX('DMR 001C TIN &amp; TP'!$A$3:$M$10005,MATCH(('Reg 85'!$AQ$6&amp;'Reg 85'!BA$10&amp;'Reg 85'!$B331),('DMR 001C TIN &amp; TP'!$E$3:$E$10005&amp;'DMR 001C TIN &amp; TP'!$B$3:$B$10005&amp;'DMR 001C TIN &amp; TP'!$A$3:$A$10005),0),MATCH('Reg 85'!$AG$11,'DMR 001C TIN &amp; TP'!$A$2:$M$2,0))),"")</f>
        <v/>
      </c>
      <c r="BB331" s="6" t="str">
        <f t="array" ref="BB331">_xlfn.IFNA((INDEX('DMR 001C TIN &amp; TP'!$A$3:$M$10005,MATCH(('Reg 85'!$AQ$6&amp;'Reg 85'!BB$10&amp;'Reg 85'!$B331),('DMR 001C TIN &amp; TP'!$E$3:$E$10005&amp;'DMR 001C TIN &amp; TP'!$B$3:$B$10005&amp;'DMR 001C TIN &amp; TP'!$A$3:$A$10005),0),MATCH('Reg 85'!$AG$11,'DMR 001C TIN &amp; TP'!$A$2:$M$2,0))),"")</f>
        <v/>
      </c>
      <c r="BC331" s="6" t="str">
        <f t="array" ref="BC331">_xlfn.IFNA((INDEX('DMR 001C TIN &amp; TP'!$A$3:$M$10005,MATCH(('Reg 85'!$AQ$6&amp;'Reg 85'!BC$10&amp;'Reg 85'!$B331),('DMR 001C TIN &amp; TP'!$E$3:$E$10005&amp;'DMR 001C TIN &amp; TP'!$B$3:$B$10005&amp;'DMR 001C TIN &amp; TP'!$A$3:$A$10005),0),MATCH('Reg 85'!$AG$11,'DMR 001C TIN &amp; TP'!$A$2:$M$2,0))),"")</f>
        <v/>
      </c>
      <c r="BD331" s="6" t="str">
        <f t="array" ref="BD331">_xlfn.IFNA((INDEX('DMR 001C TIN &amp; TP'!$A$3:$M$10005,MATCH(('Reg 85'!$AQ$6&amp;'Reg 85'!BD$10&amp;'Reg 85'!$B331),('DMR 001C TIN &amp; TP'!$E$3:$E$10005&amp;'DMR 001C TIN &amp; TP'!$B$3:$B$10005&amp;'DMR 001C TIN &amp; TP'!$A$3:$A$10005),0),MATCH('Reg 85'!$AG$11,'DMR 001C TIN &amp; TP'!$A$2:$M$2,0))),"")</f>
        <v/>
      </c>
      <c r="BE331" s="6" t="str">
        <f t="array" ref="BE331">_xlfn.IFNA((INDEX('DMR 001C TIN &amp; TP'!$A$3:$M$10005,MATCH(('Reg 85'!$AQ$6&amp;'Reg 85'!BE$10&amp;'Reg 85'!$B331),('DMR 001C TIN &amp; TP'!$E$3:$E$10005&amp;'DMR 001C TIN &amp; TP'!$B$3:$B$10005&amp;'DMR 001C TIN &amp; TP'!$A$3:$A$10005),0),MATCH('Reg 85'!$AG$11,'DMR 001C TIN &amp; TP'!$A$2:$M$2,0))),"")</f>
        <v/>
      </c>
      <c r="BF331" s="6" t="str">
        <f t="array" ref="BF331">_xlfn.IFNA((INDEX('DMR 001C TIN &amp; TP'!$A$3:$M$10005,MATCH(('Reg 85'!$AQ$6&amp;'Reg 85'!BF$10&amp;'Reg 85'!$B331),('DMR 001C TIN &amp; TP'!$E$3:$E$10005&amp;'DMR 001C TIN &amp; TP'!$B$3:$B$10005&amp;'DMR 001C TIN &amp; TP'!$A$3:$A$10005),0),MATCH('Reg 85'!$AG$11,'DMR 001C TIN &amp; TP'!$A$2:$M$2,0))),"")</f>
        <v/>
      </c>
    </row>
    <row r="332" spans="1:58">
      <c r="A332" s="3" t="str">
        <f t="shared" si="105"/>
        <v>Thu</v>
      </c>
      <c r="B332" s="96">
        <f t="shared" si="121"/>
        <v>43664</v>
      </c>
      <c r="C332" s="96">
        <f t="shared" si="106"/>
        <v>43677</v>
      </c>
      <c r="D332" s="96">
        <f t="shared" si="107"/>
        <v>43647</v>
      </c>
      <c r="E332" s="95">
        <f t="shared" si="108"/>
        <v>31</v>
      </c>
      <c r="F332" s="7">
        <f t="array" ref="F332">_xlfn.IFNA(INDEX('DMR Flows-Effluent'!$A$3:$F$9999,MATCH(($F$10&amp;$B332),('DMR Flows-Effluent'!$B$3:$B$9999&amp;'DMR Flows-Effluent'!$A$3:$A$9999),0),MATCH($F$8,'DMR Flows-Effluent'!$A$2:$F$2,0)),"")</f>
        <v>63.9482</v>
      </c>
      <c r="G332" s="7">
        <f t="array" ref="G332">_xlfn.IFNA(INDEX('DMR Flows-Effluent'!$A$3:$F$9999,MATCH(($G$10&amp;$B332),('DMR Flows-Effluent'!$B$3:$B$9999&amp;'DMR Flows-Effluent'!$A$3:$A$9999),0),MATCH($F$8,'DMR Flows-Effluent'!$A$2:$F$2,0)),"")</f>
        <v>61.4621</v>
      </c>
      <c r="H332" s="7">
        <f t="shared" si="109"/>
        <v>125.41030000000001</v>
      </c>
      <c r="I332" s="45" t="str">
        <f t="shared" si="110"/>
        <v/>
      </c>
      <c r="J332" s="6" t="str">
        <f t="array" ref="J332">_xlfn.IFNA((INDEX('DMR 001C TIN &amp; TP'!$A$3:$M$10005,MATCH(('Reg 85'!$I$6:$Q$6&amp;'Reg 85'!$I$10:$K$10&amp;'Reg 85'!$B332),('DMR 001C TIN &amp; TP'!$E$3:$E$10005&amp;'DMR 001C TIN &amp; TP'!$B$3:$B$10005&amp;'DMR 001C TIN &amp; TP'!$A$3:$A$10005),0),MATCH('Reg 85'!$J$11,'DMR 001C TIN &amp; TP'!$A$2:$M$2,0))),"")</f>
        <v/>
      </c>
      <c r="K332" s="6" t="str">
        <f t="array" ref="K332">_xlfn.IFNA((INDEX('DMR 001C TIN &amp; TP'!$A$3:$M$10005,MATCH(('Reg 85'!$I$6:$Q$6&amp;'Reg 85'!$I$10:$K$10&amp;'Reg 85'!$B332),('DMR 001C TIN &amp; TP'!$E$3:$E$10005&amp;'DMR 001C TIN &amp; TP'!$B$3:$B$10005&amp;'DMR 001C TIN &amp; TP'!$A$3:$A$10005),0),MATCH('Reg 85'!$K$11,'DMR 001C TIN &amp; TP'!$A$2:$M$2,0))),"")</f>
        <v/>
      </c>
      <c r="L332" s="53" t="str">
        <f t="shared" si="122"/>
        <v/>
      </c>
      <c r="M332" s="5" t="str">
        <f t="shared" si="111"/>
        <v/>
      </c>
      <c r="N332" s="6" t="str">
        <f t="array" ref="N332">_xlfn.IFNA((INDEX('DMR 001C TIN &amp; TP'!$A$3:$M$10005,MATCH(('Reg 85'!$I$6:$Q$6&amp;'Reg 85'!$M$10&amp;'Reg 85'!$B332),('DMR 001C TIN &amp; TP'!$E$3:$E$10005&amp;'DMR 001C TIN &amp; TP'!$B$3:$B$10005&amp;'DMR 001C TIN &amp; TP'!$A$3:$A$10005),0),MATCH('Reg 85'!$N$11,'DMR 001C TIN &amp; TP'!$A$2:$M$2,0))),"")</f>
        <v/>
      </c>
      <c r="O332" s="6" t="str">
        <f t="array" ref="O332">_xlfn.IFNA((INDEX('DMR 001C TIN &amp; TP'!$A$3:$M$10005,MATCH(('Reg 85'!$I$6:$Q$6&amp;'Reg 85'!$M$10&amp;'Reg 85'!$B332),('DMR 001C TIN &amp; TP'!$E$3:$E$10005&amp;'DMR 001C TIN &amp; TP'!$B$3:$B$10005&amp;'DMR 001C TIN &amp; TP'!$A$3:$A$10005),0),MATCH('Reg 85'!$O$11,'DMR 001C TIN &amp; TP'!$A$2:$M$2,0))),"")</f>
        <v/>
      </c>
      <c r="P332" s="53" t="str">
        <f t="shared" si="112"/>
        <v/>
      </c>
      <c r="Q332" s="73" t="str">
        <f t="array" ref="Q332">IFERROR(((L332*$F332)+(P332*$G332))/($H332),"")</f>
        <v/>
      </c>
      <c r="R332" s="6" t="str">
        <f t="array" ref="R332">_xlfn.IFNA((INDEX('DMR 001C TIN &amp; TP'!$A$3:$M$10005,MATCH(('Reg 85'!$I$6:$Q$6&amp;'Reg 85'!R$10&amp;'Reg 85'!$B332),('DMR 001C TIN &amp; TP'!$E$3:$E$10005&amp;'DMR 001C TIN &amp; TP'!$B$3:$B$10005&amp;'DMR 001C TIN &amp; TP'!$A$3:$A$10005),0),MATCH('Reg 85'!$O$11,'DMR 001C TIN &amp; TP'!$A$2:$M$2,0))),"")</f>
        <v/>
      </c>
      <c r="S332" s="6" t="str">
        <f t="array" ref="S332">_xlfn.IFNA((INDEX('DMR 001C TIN &amp; TP'!$A$3:$M$10005,MATCH(('Reg 85'!$I$6:$Q$6&amp;'Reg 85'!S$10&amp;'Reg 85'!$B332),('DMR 001C TIN &amp; TP'!$E$3:$E$10005&amp;'DMR 001C TIN &amp; TP'!$B$3:$B$10005&amp;'DMR 001C TIN &amp; TP'!$A$3:$A$10005),0),MATCH('Reg 85'!$O$11,'DMR 001C TIN &amp; TP'!$A$2:$M$2,0))),"")</f>
        <v/>
      </c>
      <c r="T332" s="6" t="str">
        <f t="array" ref="T332">_xlfn.IFNA((INDEX('DMR 001C TIN &amp; TP'!$A$3:$M$10005,MATCH(('Reg 85'!$I$6:$Q$6&amp;'Reg 85'!T$10&amp;'Reg 85'!$B332),('DMR 001C TIN &amp; TP'!$E$3:$E$10005&amp;'DMR 001C TIN &amp; TP'!$B$3:$B$10005&amp;'DMR 001C TIN &amp; TP'!$A$3:$A$10005),0),MATCH('Reg 85'!$O$11,'DMR 001C TIN &amp; TP'!$A$2:$M$2,0))),"")</f>
        <v/>
      </c>
      <c r="U332" s="6" t="str">
        <f t="array" ref="U332">_xlfn.IFNA((INDEX('DMR 001C TIN &amp; TP'!$A$3:$M$10005,MATCH(('Reg 85'!$I$6:$Q$6&amp;'Reg 85'!U$10&amp;'Reg 85'!$B332),('DMR 001C TIN &amp; TP'!$E$3:$E$10005&amp;'DMR 001C TIN &amp; TP'!$B$3:$B$10005&amp;'DMR 001C TIN &amp; TP'!$A$3:$A$10005),0),MATCH('Reg 85'!$O$11,'DMR 001C TIN &amp; TP'!$A$2:$M$2,0))),"")</f>
        <v/>
      </c>
      <c r="V332" s="6" t="str">
        <f t="array" ref="V332">_xlfn.IFNA((INDEX('DMR 001C TIN &amp; TP'!$A$3:$M$10005,MATCH(('Reg 85'!$I$6:$Q$6&amp;'Reg 85'!V$10&amp;'Reg 85'!$B332),('DMR 001C TIN &amp; TP'!$E$3:$E$10005&amp;'DMR 001C TIN &amp; TP'!$B$3:$B$10005&amp;'DMR 001C TIN &amp; TP'!$A$3:$A$10005),0),MATCH('Reg 85'!$O$11,'DMR 001C TIN &amp; TP'!$A$2:$M$2,0))),"")</f>
        <v/>
      </c>
      <c r="W332" s="6" t="str">
        <f t="array" ref="W332">_xlfn.IFNA((INDEX('DMR 001C TIN &amp; TP'!$A$3:$M$10005,MATCH(('Reg 85'!$I$6:$Q$6&amp;'Reg 85'!W$10&amp;'Reg 85'!$B332),('DMR 001C TIN &amp; TP'!$E$3:$E$10005&amp;'DMR 001C TIN &amp; TP'!$B$3:$B$10005&amp;'DMR 001C TIN &amp; TP'!$A$3:$A$10005),0),MATCH('Reg 85'!$O$11,'DMR 001C TIN &amp; TP'!$A$2:$M$2,0))),"")</f>
        <v/>
      </c>
      <c r="X332" s="5" t="str">
        <f t="shared" si="113"/>
        <v/>
      </c>
      <c r="Y332" s="6" t="str">
        <f t="array" ref="Y332">_xlfn.IFNA((INDEX('DMR 001C TIN &amp; TP'!$A$3:$M$10005,MATCH(('Reg 85'!$X$6&amp;'Reg 85'!$X$10&amp;'Reg 85'!$B332),('DMR 001C TIN &amp; TP'!$E$3:$E$10005&amp;'DMR 001C TIN &amp; TP'!$B$3:$B$10005&amp;'DMR 001C TIN &amp; TP'!$A$3:$A$10005),0),MATCH('Reg 85'!$Y$11,'DMR 001C TIN &amp; TP'!$A$2:$M$2,0))),"")</f>
        <v/>
      </c>
      <c r="Z332" s="6" t="str">
        <f t="array" ref="Z332">_xlfn.IFNA((INDEX('DMR 001C TIN &amp; TP'!$A$3:$M$10005,MATCH(('Reg 85'!$X$6&amp;'Reg 85'!$X$10&amp;'Reg 85'!$B332),('DMR 001C TIN &amp; TP'!$E$3:$E$10005&amp;'DMR 001C TIN &amp; TP'!$B$3:$B$10005&amp;'DMR 001C TIN &amp; TP'!$A$3:$A$10005),0),MATCH('Reg 85'!$Z$11,'DMR 001C TIN &amp; TP'!$A$2:$M$2,0))),"")</f>
        <v/>
      </c>
      <c r="AA332" s="53" t="str">
        <f t="shared" si="114"/>
        <v/>
      </c>
      <c r="AB332" s="5" t="str">
        <f t="shared" si="115"/>
        <v/>
      </c>
      <c r="AC332" s="6" t="str">
        <f t="array" ref="AC332">_xlfn.IFNA((INDEX('DMR 001C TIN &amp; TP'!$A$3:$M$10005,MATCH(('Reg 85'!$X$6&amp;'Reg 85'!$AB$10&amp;'Reg 85'!$B332),('DMR 001C TIN &amp; TP'!$E$3:$E$10005&amp;'DMR 001C TIN &amp; TP'!$B$3:$B$10005&amp;'DMR 001C TIN &amp; TP'!$A$3:$A$10005),0),MATCH('Reg 85'!$AC$11,'DMR 001C TIN &amp; TP'!$A$2:$M$2,0))),"")</f>
        <v/>
      </c>
      <c r="AD332" s="6" t="str">
        <f t="array" ref="AD332">_xlfn.IFNA((INDEX('DMR 001C TIN &amp; TP'!$A$3:$M$10005,MATCH(('Reg 85'!$X$6&amp;'Reg 85'!$AB$10&amp;'Reg 85'!$B332),('DMR 001C TIN &amp; TP'!$E$3:$E$10005&amp;'DMR 001C TIN &amp; TP'!$B$3:$B$10005&amp;'DMR 001C TIN &amp; TP'!$A$3:$A$10005),0),MATCH('Reg 85'!$AD$11,'DMR 001C TIN &amp; TP'!$A$2:$M$2,0))),"")</f>
        <v/>
      </c>
      <c r="AE332" s="53" t="str">
        <f t="shared" si="116"/>
        <v/>
      </c>
      <c r="AF332" s="7" t="str">
        <f t="shared" si="117"/>
        <v/>
      </c>
      <c r="AG332" s="6" t="str">
        <f t="array" ref="AG332">_xlfn.IFNA((INDEX('DMR 001C TIN &amp; TP'!$A$3:$M$10005,MATCH(('Reg 85'!$X$6&amp;'Reg 85'!AG$10&amp;'Reg 85'!$B332),('DMR 001C TIN &amp; TP'!$E$3:$E$10005&amp;'DMR 001C TIN &amp; TP'!$B$3:$B$10005&amp;'DMR 001C TIN &amp; TP'!$A$3:$A$10005),0),MATCH('Reg 85'!$AG$11,'DMR 001C TIN &amp; TP'!$A$2:$M$2,0))),"")</f>
        <v/>
      </c>
      <c r="AH332" s="6" t="str">
        <f t="array" ref="AH332">_xlfn.IFNA((INDEX('DMR 001C TIN &amp; TP'!$A$3:$M$10005,MATCH(('Reg 85'!$X$6&amp;'Reg 85'!AH$10&amp;'Reg 85'!$B332),('DMR 001C TIN &amp; TP'!$E$3:$E$10005&amp;'DMR 001C TIN &amp; TP'!$B$3:$B$10005&amp;'DMR 001C TIN &amp; TP'!$A$3:$A$10005),0),MATCH('Reg 85'!$AG$11,'DMR 001C TIN &amp; TP'!$A$2:$M$2,0))),"")</f>
        <v/>
      </c>
      <c r="AI332" s="6" t="str">
        <f t="array" ref="AI332">_xlfn.IFNA((INDEX('DMR 001C TIN &amp; TP'!$A$3:$M$10005,MATCH(('Reg 85'!$X$6&amp;'Reg 85'!AI$10&amp;'Reg 85'!$B332),('DMR 001C TIN &amp; TP'!$E$3:$E$10005&amp;'DMR 001C TIN &amp; TP'!$B$3:$B$10005&amp;'DMR 001C TIN &amp; TP'!$A$3:$A$10005),0),MATCH('Reg 85'!$AG$11,'DMR 001C TIN &amp; TP'!$A$2:$M$2,0))),"")</f>
        <v/>
      </c>
      <c r="AJ332" s="6" t="str">
        <f t="array" ref="AJ332">_xlfn.IFNA((INDEX('DMR 001C TIN &amp; TP'!$A$3:$M$10005,MATCH(('Reg 85'!$X$6&amp;'Reg 85'!AJ$10&amp;'Reg 85'!$B332),('DMR 001C TIN &amp; TP'!$E$3:$E$10005&amp;'DMR 001C TIN &amp; TP'!$B$3:$B$10005&amp;'DMR 001C TIN &amp; TP'!$A$3:$A$10005),0),MATCH('Reg 85'!$AG$11,'DMR 001C TIN &amp; TP'!$A$2:$M$2,0))),"")</f>
        <v/>
      </c>
      <c r="AK332" s="6" t="str">
        <f t="array" ref="AK332">_xlfn.IFNA((INDEX('DMR 001C TIN &amp; TP'!$A$3:$M$10005,MATCH(('Reg 85'!$X$6&amp;'Reg 85'!AK$10&amp;'Reg 85'!$B332),('DMR 001C TIN &amp; TP'!$E$3:$E$10005&amp;'DMR 001C TIN &amp; TP'!$B$3:$B$10005&amp;'DMR 001C TIN &amp; TP'!$A$3:$A$10005),0),MATCH('Reg 85'!$AG$11,'DMR 001C TIN &amp; TP'!$A$2:$M$2,0))),"")</f>
        <v/>
      </c>
      <c r="AL332" s="6" t="str">
        <f t="array" ref="AL332">_xlfn.IFNA((INDEX('DMR 001C TIN &amp; TP'!$A$3:$M$10005,MATCH(('Reg 85'!$X$6&amp;'Reg 85'!AL$10&amp;'Reg 85'!$B332),('DMR 001C TIN &amp; TP'!$E$3:$E$10005&amp;'DMR 001C TIN &amp; TP'!$B$3:$B$10005&amp;'DMR 001C TIN &amp; TP'!$A$3:$A$10005),0),MATCH('Reg 85'!$AG$11,'DMR 001C TIN &amp; TP'!$A$2:$M$2,0))),"")</f>
        <v/>
      </c>
      <c r="AM332" s="76"/>
      <c r="AN332" s="6"/>
      <c r="AO332" s="54" t="str">
        <f t="shared" ref="AO332:AO376" si="125">IFERROR(Q332+AF332,"")</f>
        <v/>
      </c>
      <c r="AP332" s="77" t="str">
        <f t="shared" si="123"/>
        <v/>
      </c>
      <c r="AQ332" s="47"/>
      <c r="AR332" s="6" t="str">
        <f t="array" ref="AR332">_xlfn.IFNA((INDEX('DMR 001C TIN &amp; TP'!$A$3:$M$10005,MATCH(('Reg 85'!$AQ$6&amp;'Reg 85'!$AQ$10&amp;'Reg 85'!$B332),('DMR 001C TIN &amp; TP'!$E$3:$E$10005&amp;'DMR 001C TIN &amp; TP'!$B$3:$B$10005&amp;'DMR 001C TIN &amp; TP'!$A$3:$A$10005),0),MATCH('Reg 85'!$AR$11,'DMR 001C TIN &amp; TP'!$A$2:$M$2,0))),"")</f>
        <v/>
      </c>
      <c r="AS332" s="6" t="str">
        <f t="array" ref="AS332">_xlfn.IFNA((INDEX('DMR 001C TIN &amp; TP'!$A$3:$M$10005,MATCH(('Reg 85'!$AQ$6&amp;'Reg 85'!$AQ$10&amp;'Reg 85'!$B332),('DMR 001C TIN &amp; TP'!$E$3:$E$10005&amp;'DMR 001C TIN &amp; TP'!$B$3:$B$10005&amp;'DMR 001C TIN &amp; TP'!$A$3:$A$10005),0),MATCH('Reg 85'!$AS$11,'DMR 001C TIN &amp; TP'!$A$2:$M$2,0))),"")</f>
        <v/>
      </c>
      <c r="AT332" s="53" t="str">
        <f t="shared" si="118"/>
        <v/>
      </c>
      <c r="AV332" s="6" t="str">
        <f t="array" ref="AV332">_xlfn.IFNA((INDEX('DMR 001C TIN &amp; TP'!$A$3:$M$10005,MATCH(('Reg 85'!$AQ$6&amp;'Reg 85'!$AU$10&amp;'Reg 85'!$B332),('DMR 001C TIN &amp; TP'!$E$3:$E$10005&amp;'DMR 001C TIN &amp; TP'!$B$3:$B$10005&amp;'DMR 001C TIN &amp; TP'!$A$3:$A$10005),0),MATCH('Reg 85'!$AV$11,'DMR 001C TIN &amp; TP'!$A$2:$M$2,0))),"")</f>
        <v/>
      </c>
      <c r="AW332" s="6" t="str">
        <f t="array" ref="AW332">_xlfn.IFNA((INDEX('DMR 001C TIN &amp; TP'!$A$3:$M$10005,MATCH(('Reg 85'!$AQ$6&amp;'Reg 85'!$AU$10&amp;'Reg 85'!$B332),('DMR 001C TIN &amp; TP'!$E$3:$E$10005&amp;'DMR 001C TIN &amp; TP'!$B$3:$B$10005&amp;'DMR 001C TIN &amp; TP'!$A$3:$A$10005),0),MATCH('Reg 85'!$AW$11,'DMR 001C TIN &amp; TP'!$A$2:$M$2,0))),"")</f>
        <v/>
      </c>
      <c r="AX332" s="53" t="str">
        <f t="shared" si="119"/>
        <v/>
      </c>
      <c r="AY332" s="55" t="str">
        <f t="shared" si="120"/>
        <v/>
      </c>
      <c r="AZ332" s="77" t="str">
        <f t="shared" si="124"/>
        <v/>
      </c>
      <c r="BA332" s="6" t="str">
        <f t="array" ref="BA332">_xlfn.IFNA((INDEX('DMR 001C TIN &amp; TP'!$A$3:$M$10005,MATCH(('Reg 85'!$AQ$6&amp;'Reg 85'!BA$10&amp;'Reg 85'!$B332),('DMR 001C TIN &amp; TP'!$E$3:$E$10005&amp;'DMR 001C TIN &amp; TP'!$B$3:$B$10005&amp;'DMR 001C TIN &amp; TP'!$A$3:$A$10005),0),MATCH('Reg 85'!$AG$11,'DMR 001C TIN &amp; TP'!$A$2:$M$2,0))),"")</f>
        <v/>
      </c>
      <c r="BB332" s="6" t="str">
        <f t="array" ref="BB332">_xlfn.IFNA((INDEX('DMR 001C TIN &amp; TP'!$A$3:$M$10005,MATCH(('Reg 85'!$AQ$6&amp;'Reg 85'!BB$10&amp;'Reg 85'!$B332),('DMR 001C TIN &amp; TP'!$E$3:$E$10005&amp;'DMR 001C TIN &amp; TP'!$B$3:$B$10005&amp;'DMR 001C TIN &amp; TP'!$A$3:$A$10005),0),MATCH('Reg 85'!$AG$11,'DMR 001C TIN &amp; TP'!$A$2:$M$2,0))),"")</f>
        <v/>
      </c>
      <c r="BC332" s="6" t="str">
        <f t="array" ref="BC332">_xlfn.IFNA((INDEX('DMR 001C TIN &amp; TP'!$A$3:$M$10005,MATCH(('Reg 85'!$AQ$6&amp;'Reg 85'!BC$10&amp;'Reg 85'!$B332),('DMR 001C TIN &amp; TP'!$E$3:$E$10005&amp;'DMR 001C TIN &amp; TP'!$B$3:$B$10005&amp;'DMR 001C TIN &amp; TP'!$A$3:$A$10005),0),MATCH('Reg 85'!$AG$11,'DMR 001C TIN &amp; TP'!$A$2:$M$2,0))),"")</f>
        <v/>
      </c>
      <c r="BD332" s="6" t="str">
        <f t="array" ref="BD332">_xlfn.IFNA((INDEX('DMR 001C TIN &amp; TP'!$A$3:$M$10005,MATCH(('Reg 85'!$AQ$6&amp;'Reg 85'!BD$10&amp;'Reg 85'!$B332),('DMR 001C TIN &amp; TP'!$E$3:$E$10005&amp;'DMR 001C TIN &amp; TP'!$B$3:$B$10005&amp;'DMR 001C TIN &amp; TP'!$A$3:$A$10005),0),MATCH('Reg 85'!$AG$11,'DMR 001C TIN &amp; TP'!$A$2:$M$2,0))),"")</f>
        <v/>
      </c>
      <c r="BE332" s="6" t="str">
        <f t="array" ref="BE332">_xlfn.IFNA((INDEX('DMR 001C TIN &amp; TP'!$A$3:$M$10005,MATCH(('Reg 85'!$AQ$6&amp;'Reg 85'!BE$10&amp;'Reg 85'!$B332),('DMR 001C TIN &amp; TP'!$E$3:$E$10005&amp;'DMR 001C TIN &amp; TP'!$B$3:$B$10005&amp;'DMR 001C TIN &amp; TP'!$A$3:$A$10005),0),MATCH('Reg 85'!$AG$11,'DMR 001C TIN &amp; TP'!$A$2:$M$2,0))),"")</f>
        <v/>
      </c>
      <c r="BF332" s="6" t="str">
        <f t="array" ref="BF332">_xlfn.IFNA((INDEX('DMR 001C TIN &amp; TP'!$A$3:$M$10005,MATCH(('Reg 85'!$AQ$6&amp;'Reg 85'!BF$10&amp;'Reg 85'!$B332),('DMR 001C TIN &amp; TP'!$E$3:$E$10005&amp;'DMR 001C TIN &amp; TP'!$B$3:$B$10005&amp;'DMR 001C TIN &amp; TP'!$A$3:$A$10005),0),MATCH('Reg 85'!$AG$11,'DMR 001C TIN &amp; TP'!$A$2:$M$2,0))),"")</f>
        <v/>
      </c>
    </row>
    <row r="333" spans="1:58">
      <c r="A333" s="3" t="str">
        <f t="shared" ref="A333:A376" si="126">TEXT(B333,"ddd")</f>
        <v>Fri</v>
      </c>
      <c r="B333" s="96">
        <f t="shared" si="121"/>
        <v>43665</v>
      </c>
      <c r="C333" s="96">
        <f t="shared" ref="C333:C376" si="127">EOMONTH(B333,0)</f>
        <v>43677</v>
      </c>
      <c r="D333" s="96">
        <f t="shared" ref="D333:D376" si="128">EOMONTH(B333,-1)+1</f>
        <v>43647</v>
      </c>
      <c r="E333" s="95">
        <f t="shared" ref="E333:E376" si="129">DAY(EOMONTH(B333,0))</f>
        <v>31</v>
      </c>
      <c r="F333" s="7">
        <f t="array" ref="F333">_xlfn.IFNA(INDEX('DMR Flows-Effluent'!$A$3:$F$9999,MATCH(($F$10&amp;$B333),('DMR Flows-Effluent'!$B$3:$B$9999&amp;'DMR Flows-Effluent'!$A$3:$A$9999),0),MATCH($F$8,'DMR Flows-Effluent'!$A$2:$F$2,0)),"")</f>
        <v>61.953299999999999</v>
      </c>
      <c r="G333" s="7">
        <f t="array" ref="G333">_xlfn.IFNA(INDEX('DMR Flows-Effluent'!$A$3:$F$9999,MATCH(($G$10&amp;$B333),('DMR Flows-Effluent'!$B$3:$B$9999&amp;'DMR Flows-Effluent'!$A$3:$A$9999),0),MATCH($F$8,'DMR Flows-Effluent'!$A$2:$F$2,0)),"")</f>
        <v>63.2136</v>
      </c>
      <c r="H333" s="7">
        <f t="shared" ref="H333:H376" si="130">SUM(F333:G333)</f>
        <v>125.1669</v>
      </c>
      <c r="I333" s="45" t="str">
        <f t="shared" ref="I333:I376" si="131">IFERROR(IF(L333&lt;VALUE(J333),"&lt;",""),"")</f>
        <v/>
      </c>
      <c r="J333" s="6" t="str">
        <f t="array" ref="J333">_xlfn.IFNA((INDEX('DMR 001C TIN &amp; TP'!$A$3:$M$10005,MATCH(('Reg 85'!$I$6:$Q$6&amp;'Reg 85'!$I$10:$K$10&amp;'Reg 85'!$B333),('DMR 001C TIN &amp; TP'!$E$3:$E$10005&amp;'DMR 001C TIN &amp; TP'!$B$3:$B$10005&amp;'DMR 001C TIN &amp; TP'!$A$3:$A$10005),0),MATCH('Reg 85'!$J$11,'DMR 001C TIN &amp; TP'!$A$2:$M$2,0))),"")</f>
        <v/>
      </c>
      <c r="K333" s="6" t="str">
        <f t="array" ref="K333">_xlfn.IFNA((INDEX('DMR 001C TIN &amp; TP'!$A$3:$M$10005,MATCH(('Reg 85'!$I$6:$Q$6&amp;'Reg 85'!$I$10:$K$10&amp;'Reg 85'!$B333),('DMR 001C TIN &amp; TP'!$E$3:$E$10005&amp;'DMR 001C TIN &amp; TP'!$B$3:$B$10005&amp;'DMR 001C TIN &amp; TP'!$A$3:$A$10005),0),MATCH('Reg 85'!$K$11,'DMR 001C TIN &amp; TP'!$A$2:$M$2,0))),"")</f>
        <v/>
      </c>
      <c r="L333" s="53" t="str">
        <f t="shared" si="122"/>
        <v/>
      </c>
      <c r="M333" s="5" t="str">
        <f t="shared" ref="M333:M376" si="132">IFERROR(IF(P333&lt;VALUE(N333),"&lt;",""),"")</f>
        <v/>
      </c>
      <c r="N333" s="6" t="str">
        <f t="array" ref="N333">_xlfn.IFNA((INDEX('DMR 001C TIN &amp; TP'!$A$3:$M$10005,MATCH(('Reg 85'!$I$6:$Q$6&amp;'Reg 85'!$M$10&amp;'Reg 85'!$B333),('DMR 001C TIN &amp; TP'!$E$3:$E$10005&amp;'DMR 001C TIN &amp; TP'!$B$3:$B$10005&amp;'DMR 001C TIN &amp; TP'!$A$3:$A$10005),0),MATCH('Reg 85'!$N$11,'DMR 001C TIN &amp; TP'!$A$2:$M$2,0))),"")</f>
        <v/>
      </c>
      <c r="O333" s="6" t="str">
        <f t="array" ref="O333">_xlfn.IFNA((INDEX('DMR 001C TIN &amp; TP'!$A$3:$M$10005,MATCH(('Reg 85'!$I$6:$Q$6&amp;'Reg 85'!$M$10&amp;'Reg 85'!$B333),('DMR 001C TIN &amp; TP'!$E$3:$E$10005&amp;'DMR 001C TIN &amp; TP'!$B$3:$B$10005&amp;'DMR 001C TIN &amp; TP'!$A$3:$A$10005),0),MATCH('Reg 85'!$O$11,'DMR 001C TIN &amp; TP'!$A$2:$M$2,0))),"")</f>
        <v/>
      </c>
      <c r="P333" s="53" t="str">
        <f t="shared" ref="P333:P376" si="133">IFERROR(IF(VALUE(O333)&lt;VALUE(N333),0,VALUE(O333)),"")</f>
        <v/>
      </c>
      <c r="Q333" s="73" t="str">
        <f t="array" ref="Q333">IFERROR(((L333*$F333)+(P333*$G333))/($H333),"")</f>
        <v/>
      </c>
      <c r="R333" s="6" t="str">
        <f t="array" ref="R333">_xlfn.IFNA((INDEX('DMR 001C TIN &amp; TP'!$A$3:$M$10005,MATCH(('Reg 85'!$I$6:$Q$6&amp;'Reg 85'!R$10&amp;'Reg 85'!$B333),('DMR 001C TIN &amp; TP'!$E$3:$E$10005&amp;'DMR 001C TIN &amp; TP'!$B$3:$B$10005&amp;'DMR 001C TIN &amp; TP'!$A$3:$A$10005),0),MATCH('Reg 85'!$O$11,'DMR 001C TIN &amp; TP'!$A$2:$M$2,0))),"")</f>
        <v/>
      </c>
      <c r="S333" s="6" t="str">
        <f t="array" ref="S333">_xlfn.IFNA((INDEX('DMR 001C TIN &amp; TP'!$A$3:$M$10005,MATCH(('Reg 85'!$I$6:$Q$6&amp;'Reg 85'!S$10&amp;'Reg 85'!$B333),('DMR 001C TIN &amp; TP'!$E$3:$E$10005&amp;'DMR 001C TIN &amp; TP'!$B$3:$B$10005&amp;'DMR 001C TIN &amp; TP'!$A$3:$A$10005),0),MATCH('Reg 85'!$O$11,'DMR 001C TIN &amp; TP'!$A$2:$M$2,0))),"")</f>
        <v/>
      </c>
      <c r="T333" s="6" t="str">
        <f t="array" ref="T333">_xlfn.IFNA((INDEX('DMR 001C TIN &amp; TP'!$A$3:$M$10005,MATCH(('Reg 85'!$I$6:$Q$6&amp;'Reg 85'!T$10&amp;'Reg 85'!$B333),('DMR 001C TIN &amp; TP'!$E$3:$E$10005&amp;'DMR 001C TIN &amp; TP'!$B$3:$B$10005&amp;'DMR 001C TIN &amp; TP'!$A$3:$A$10005),0),MATCH('Reg 85'!$O$11,'DMR 001C TIN &amp; TP'!$A$2:$M$2,0))),"")</f>
        <v/>
      </c>
      <c r="U333" s="6" t="str">
        <f t="array" ref="U333">_xlfn.IFNA((INDEX('DMR 001C TIN &amp; TP'!$A$3:$M$10005,MATCH(('Reg 85'!$I$6:$Q$6&amp;'Reg 85'!U$10&amp;'Reg 85'!$B333),('DMR 001C TIN &amp; TP'!$E$3:$E$10005&amp;'DMR 001C TIN &amp; TP'!$B$3:$B$10005&amp;'DMR 001C TIN &amp; TP'!$A$3:$A$10005),0),MATCH('Reg 85'!$O$11,'DMR 001C TIN &amp; TP'!$A$2:$M$2,0))),"")</f>
        <v/>
      </c>
      <c r="V333" s="6" t="str">
        <f t="array" ref="V333">_xlfn.IFNA((INDEX('DMR 001C TIN &amp; TP'!$A$3:$M$10005,MATCH(('Reg 85'!$I$6:$Q$6&amp;'Reg 85'!V$10&amp;'Reg 85'!$B333),('DMR 001C TIN &amp; TP'!$E$3:$E$10005&amp;'DMR 001C TIN &amp; TP'!$B$3:$B$10005&amp;'DMR 001C TIN &amp; TP'!$A$3:$A$10005),0),MATCH('Reg 85'!$O$11,'DMR 001C TIN &amp; TP'!$A$2:$M$2,0))),"")</f>
        <v/>
      </c>
      <c r="W333" s="6" t="str">
        <f t="array" ref="W333">_xlfn.IFNA((INDEX('DMR 001C TIN &amp; TP'!$A$3:$M$10005,MATCH(('Reg 85'!$I$6:$Q$6&amp;'Reg 85'!W$10&amp;'Reg 85'!$B333),('DMR 001C TIN &amp; TP'!$E$3:$E$10005&amp;'DMR 001C TIN &amp; TP'!$B$3:$B$10005&amp;'DMR 001C TIN &amp; TP'!$A$3:$A$10005),0),MATCH('Reg 85'!$O$11,'DMR 001C TIN &amp; TP'!$A$2:$M$2,0))),"")</f>
        <v/>
      </c>
      <c r="X333" s="5" t="str">
        <f t="shared" ref="X333:X376" si="134">IFERROR(IF(AA333&lt;VALUE(Y333),"&lt;",""),"")</f>
        <v/>
      </c>
      <c r="Y333" s="6" t="str">
        <f t="array" ref="Y333">_xlfn.IFNA((INDEX('DMR 001C TIN &amp; TP'!$A$3:$M$10005,MATCH(('Reg 85'!$X$6&amp;'Reg 85'!$X$10&amp;'Reg 85'!$B333),('DMR 001C TIN &amp; TP'!$E$3:$E$10005&amp;'DMR 001C TIN &amp; TP'!$B$3:$B$10005&amp;'DMR 001C TIN &amp; TP'!$A$3:$A$10005),0),MATCH('Reg 85'!$Y$11,'DMR 001C TIN &amp; TP'!$A$2:$M$2,0))),"")</f>
        <v/>
      </c>
      <c r="Z333" s="6" t="str">
        <f t="array" ref="Z333">_xlfn.IFNA((INDEX('DMR 001C TIN &amp; TP'!$A$3:$M$10005,MATCH(('Reg 85'!$X$6&amp;'Reg 85'!$X$10&amp;'Reg 85'!$B333),('DMR 001C TIN &amp; TP'!$E$3:$E$10005&amp;'DMR 001C TIN &amp; TP'!$B$3:$B$10005&amp;'DMR 001C TIN &amp; TP'!$A$3:$A$10005),0),MATCH('Reg 85'!$Z$11,'DMR 001C TIN &amp; TP'!$A$2:$M$2,0))),"")</f>
        <v/>
      </c>
      <c r="AA333" s="53" t="str">
        <f t="shared" ref="AA333:AA376" si="135">IFERROR(IF(VALUE(Z333)&lt;VALUE(Y333),0,VALUE(Z333)),"")</f>
        <v/>
      </c>
      <c r="AB333" s="5" t="str">
        <f t="shared" ref="AB333:AB376" si="136">IFERROR(IF(AE333&lt;VALUE(AC333),"&lt;",""),"")</f>
        <v/>
      </c>
      <c r="AC333" s="6" t="str">
        <f t="array" ref="AC333">_xlfn.IFNA((INDEX('DMR 001C TIN &amp; TP'!$A$3:$M$10005,MATCH(('Reg 85'!$X$6&amp;'Reg 85'!$AB$10&amp;'Reg 85'!$B333),('DMR 001C TIN &amp; TP'!$E$3:$E$10005&amp;'DMR 001C TIN &amp; TP'!$B$3:$B$10005&amp;'DMR 001C TIN &amp; TP'!$A$3:$A$10005),0),MATCH('Reg 85'!$AC$11,'DMR 001C TIN &amp; TP'!$A$2:$M$2,0))),"")</f>
        <v/>
      </c>
      <c r="AD333" s="6" t="str">
        <f t="array" ref="AD333">_xlfn.IFNA((INDEX('DMR 001C TIN &amp; TP'!$A$3:$M$10005,MATCH(('Reg 85'!$X$6&amp;'Reg 85'!$AB$10&amp;'Reg 85'!$B333),('DMR 001C TIN &amp; TP'!$E$3:$E$10005&amp;'DMR 001C TIN &amp; TP'!$B$3:$B$10005&amp;'DMR 001C TIN &amp; TP'!$A$3:$A$10005),0),MATCH('Reg 85'!$AD$11,'DMR 001C TIN &amp; TP'!$A$2:$M$2,0))),"")</f>
        <v/>
      </c>
      <c r="AE333" s="53" t="str">
        <f t="shared" ref="AE333:AE376" si="137">IFERROR(IF(VALUE(AD333)&lt;VALUE(AC333),0,VALUE(AD333)),"")</f>
        <v/>
      </c>
      <c r="AF333" s="7" t="str">
        <f t="shared" ref="AF333:AF376" si="138">IFERROR(((AA333*$F333)+(AE333*$G333))/($H333),"")</f>
        <v/>
      </c>
      <c r="AG333" s="6" t="str">
        <f t="array" ref="AG333">_xlfn.IFNA((INDEX('DMR 001C TIN &amp; TP'!$A$3:$M$10005,MATCH(('Reg 85'!$X$6&amp;'Reg 85'!AG$10&amp;'Reg 85'!$B333),('DMR 001C TIN &amp; TP'!$E$3:$E$10005&amp;'DMR 001C TIN &amp; TP'!$B$3:$B$10005&amp;'DMR 001C TIN &amp; TP'!$A$3:$A$10005),0),MATCH('Reg 85'!$AG$11,'DMR 001C TIN &amp; TP'!$A$2:$M$2,0))),"")</f>
        <v/>
      </c>
      <c r="AH333" s="6" t="str">
        <f t="array" ref="AH333">_xlfn.IFNA((INDEX('DMR 001C TIN &amp; TP'!$A$3:$M$10005,MATCH(('Reg 85'!$X$6&amp;'Reg 85'!AH$10&amp;'Reg 85'!$B333),('DMR 001C TIN &amp; TP'!$E$3:$E$10005&amp;'DMR 001C TIN &amp; TP'!$B$3:$B$10005&amp;'DMR 001C TIN &amp; TP'!$A$3:$A$10005),0),MATCH('Reg 85'!$AG$11,'DMR 001C TIN &amp; TP'!$A$2:$M$2,0))),"")</f>
        <v/>
      </c>
      <c r="AI333" s="6" t="str">
        <f t="array" ref="AI333">_xlfn.IFNA((INDEX('DMR 001C TIN &amp; TP'!$A$3:$M$10005,MATCH(('Reg 85'!$X$6&amp;'Reg 85'!AI$10&amp;'Reg 85'!$B333),('DMR 001C TIN &amp; TP'!$E$3:$E$10005&amp;'DMR 001C TIN &amp; TP'!$B$3:$B$10005&amp;'DMR 001C TIN &amp; TP'!$A$3:$A$10005),0),MATCH('Reg 85'!$AG$11,'DMR 001C TIN &amp; TP'!$A$2:$M$2,0))),"")</f>
        <v/>
      </c>
      <c r="AJ333" s="6" t="str">
        <f t="array" ref="AJ333">_xlfn.IFNA((INDEX('DMR 001C TIN &amp; TP'!$A$3:$M$10005,MATCH(('Reg 85'!$X$6&amp;'Reg 85'!AJ$10&amp;'Reg 85'!$B333),('DMR 001C TIN &amp; TP'!$E$3:$E$10005&amp;'DMR 001C TIN &amp; TP'!$B$3:$B$10005&amp;'DMR 001C TIN &amp; TP'!$A$3:$A$10005),0),MATCH('Reg 85'!$AG$11,'DMR 001C TIN &amp; TP'!$A$2:$M$2,0))),"")</f>
        <v/>
      </c>
      <c r="AK333" s="6" t="str">
        <f t="array" ref="AK333">_xlfn.IFNA((INDEX('DMR 001C TIN &amp; TP'!$A$3:$M$10005,MATCH(('Reg 85'!$X$6&amp;'Reg 85'!AK$10&amp;'Reg 85'!$B333),('DMR 001C TIN &amp; TP'!$E$3:$E$10005&amp;'DMR 001C TIN &amp; TP'!$B$3:$B$10005&amp;'DMR 001C TIN &amp; TP'!$A$3:$A$10005),0),MATCH('Reg 85'!$AG$11,'DMR 001C TIN &amp; TP'!$A$2:$M$2,0))),"")</f>
        <v/>
      </c>
      <c r="AL333" s="6" t="str">
        <f t="array" ref="AL333">_xlfn.IFNA((INDEX('DMR 001C TIN &amp; TP'!$A$3:$M$10005,MATCH(('Reg 85'!$X$6&amp;'Reg 85'!AL$10&amp;'Reg 85'!$B333),('DMR 001C TIN &amp; TP'!$E$3:$E$10005&amp;'DMR 001C TIN &amp; TP'!$B$3:$B$10005&amp;'DMR 001C TIN &amp; TP'!$A$3:$A$10005),0),MATCH('Reg 85'!$AG$11,'DMR 001C TIN &amp; TP'!$A$2:$M$2,0))),"")</f>
        <v/>
      </c>
      <c r="AM333" s="76"/>
      <c r="AN333" s="6"/>
      <c r="AO333" s="54" t="str">
        <f t="shared" si="125"/>
        <v/>
      </c>
      <c r="AP333" s="77" t="str">
        <f t="shared" si="123"/>
        <v/>
      </c>
      <c r="AQ333" s="47"/>
      <c r="AR333" s="6" t="str">
        <f t="array" ref="AR333">_xlfn.IFNA((INDEX('DMR 001C TIN &amp; TP'!$A$3:$M$10005,MATCH(('Reg 85'!$AQ$6&amp;'Reg 85'!$AQ$10&amp;'Reg 85'!$B333),('DMR 001C TIN &amp; TP'!$E$3:$E$10005&amp;'DMR 001C TIN &amp; TP'!$B$3:$B$10005&amp;'DMR 001C TIN &amp; TP'!$A$3:$A$10005),0),MATCH('Reg 85'!$AR$11,'DMR 001C TIN &amp; TP'!$A$2:$M$2,0))),"")</f>
        <v>0.03</v>
      </c>
      <c r="AS333" s="6">
        <f t="array" ref="AS333">_xlfn.IFNA((INDEX('DMR 001C TIN &amp; TP'!$A$3:$M$10005,MATCH(('Reg 85'!$AQ$6&amp;'Reg 85'!$AQ$10&amp;'Reg 85'!$B333),('DMR 001C TIN &amp; TP'!$E$3:$E$10005&amp;'DMR 001C TIN &amp; TP'!$B$3:$B$10005&amp;'DMR 001C TIN &amp; TP'!$A$3:$A$10005),0),MATCH('Reg 85'!$AS$11,'DMR 001C TIN &amp; TP'!$A$2:$M$2,0))),"")</f>
        <v>0.3</v>
      </c>
      <c r="AT333" s="53">
        <f t="shared" ref="AT333:AT376" si="139">IFERROR(IF(VALUE(AS333)&lt;VALUE(AR333),0,VALUE(AS333)),"")</f>
        <v>0.3</v>
      </c>
      <c r="AV333" s="6" t="str">
        <f t="array" ref="AV333">_xlfn.IFNA((INDEX('DMR 001C TIN &amp; TP'!$A$3:$M$10005,MATCH(('Reg 85'!$AQ$6&amp;'Reg 85'!$AU$10&amp;'Reg 85'!$B333),('DMR 001C TIN &amp; TP'!$E$3:$E$10005&amp;'DMR 001C TIN &amp; TP'!$B$3:$B$10005&amp;'DMR 001C TIN &amp; TP'!$A$3:$A$10005),0),MATCH('Reg 85'!$AV$11,'DMR 001C TIN &amp; TP'!$A$2:$M$2,0))),"")</f>
        <v>0.06</v>
      </c>
      <c r="AW333" s="6">
        <f t="array" ref="AW333">_xlfn.IFNA((INDEX('DMR 001C TIN &amp; TP'!$A$3:$M$10005,MATCH(('Reg 85'!$AQ$6&amp;'Reg 85'!$AU$10&amp;'Reg 85'!$B333),('DMR 001C TIN &amp; TP'!$E$3:$E$10005&amp;'DMR 001C TIN &amp; TP'!$B$3:$B$10005&amp;'DMR 001C TIN &amp; TP'!$A$3:$A$10005),0),MATCH('Reg 85'!$AW$11,'DMR 001C TIN &amp; TP'!$A$2:$M$2,0))),"")</f>
        <v>4.09</v>
      </c>
      <c r="AX333" s="53">
        <f t="shared" ref="AX333:AX376" si="140">IFERROR(IF(VALUE(AW333)&lt;VALUE(AV333),0,VALUE(AW333)),"")</f>
        <v>4.09</v>
      </c>
      <c r="AY333" s="55">
        <f t="shared" ref="AY333:AY376" si="141">IFERROR(((AT333*$F333)+(AX333*$G333))/($H333),"")</f>
        <v>2.2140806714874297</v>
      </c>
      <c r="AZ333" s="77" t="str">
        <f t="shared" si="124"/>
        <v/>
      </c>
      <c r="BA333" s="6" t="str">
        <f t="array" ref="BA333">_xlfn.IFNA((INDEX('DMR 001C TIN &amp; TP'!$A$3:$M$10005,MATCH(('Reg 85'!$AQ$6&amp;'Reg 85'!BA$10&amp;'Reg 85'!$B333),('DMR 001C TIN &amp; TP'!$E$3:$E$10005&amp;'DMR 001C TIN &amp; TP'!$B$3:$B$10005&amp;'DMR 001C TIN &amp; TP'!$A$3:$A$10005),0),MATCH('Reg 85'!$AG$11,'DMR 001C TIN &amp; TP'!$A$2:$M$2,0))),"")</f>
        <v/>
      </c>
      <c r="BB333" s="6" t="str">
        <f t="array" ref="BB333">_xlfn.IFNA((INDEX('DMR 001C TIN &amp; TP'!$A$3:$M$10005,MATCH(('Reg 85'!$AQ$6&amp;'Reg 85'!BB$10&amp;'Reg 85'!$B333),('DMR 001C TIN &amp; TP'!$E$3:$E$10005&amp;'DMR 001C TIN &amp; TP'!$B$3:$B$10005&amp;'DMR 001C TIN &amp; TP'!$A$3:$A$10005),0),MATCH('Reg 85'!$AG$11,'DMR 001C TIN &amp; TP'!$A$2:$M$2,0))),"")</f>
        <v/>
      </c>
      <c r="BC333" s="6" t="str">
        <f t="array" ref="BC333">_xlfn.IFNA((INDEX('DMR 001C TIN &amp; TP'!$A$3:$M$10005,MATCH(('Reg 85'!$AQ$6&amp;'Reg 85'!BC$10&amp;'Reg 85'!$B333),('DMR 001C TIN &amp; TP'!$E$3:$E$10005&amp;'DMR 001C TIN &amp; TP'!$B$3:$B$10005&amp;'DMR 001C TIN &amp; TP'!$A$3:$A$10005),0),MATCH('Reg 85'!$AG$11,'DMR 001C TIN &amp; TP'!$A$2:$M$2,0))),"")</f>
        <v/>
      </c>
      <c r="BD333" s="6" t="str">
        <f t="array" ref="BD333">_xlfn.IFNA((INDEX('DMR 001C TIN &amp; TP'!$A$3:$M$10005,MATCH(('Reg 85'!$AQ$6&amp;'Reg 85'!BD$10&amp;'Reg 85'!$B333),('DMR 001C TIN &amp; TP'!$E$3:$E$10005&amp;'DMR 001C TIN &amp; TP'!$B$3:$B$10005&amp;'DMR 001C TIN &amp; TP'!$A$3:$A$10005),0),MATCH('Reg 85'!$AG$11,'DMR 001C TIN &amp; TP'!$A$2:$M$2,0))),"")</f>
        <v/>
      </c>
      <c r="BE333" s="6" t="str">
        <f t="array" ref="BE333">_xlfn.IFNA((INDEX('DMR 001C TIN &amp; TP'!$A$3:$M$10005,MATCH(('Reg 85'!$AQ$6&amp;'Reg 85'!BE$10&amp;'Reg 85'!$B333),('DMR 001C TIN &amp; TP'!$E$3:$E$10005&amp;'DMR 001C TIN &amp; TP'!$B$3:$B$10005&amp;'DMR 001C TIN &amp; TP'!$A$3:$A$10005),0),MATCH('Reg 85'!$AG$11,'DMR 001C TIN &amp; TP'!$A$2:$M$2,0))),"")</f>
        <v/>
      </c>
      <c r="BF333" s="6" t="str">
        <f t="array" ref="BF333">_xlfn.IFNA((INDEX('DMR 001C TIN &amp; TP'!$A$3:$M$10005,MATCH(('Reg 85'!$AQ$6&amp;'Reg 85'!BF$10&amp;'Reg 85'!$B333),('DMR 001C TIN &amp; TP'!$E$3:$E$10005&amp;'DMR 001C TIN &amp; TP'!$B$3:$B$10005&amp;'DMR 001C TIN &amp; TP'!$A$3:$A$10005),0),MATCH('Reg 85'!$AG$11,'DMR 001C TIN &amp; TP'!$A$2:$M$2,0))),"")</f>
        <v/>
      </c>
    </row>
    <row r="334" spans="1:58">
      <c r="A334" s="3" t="str">
        <f t="shared" si="126"/>
        <v>Sat</v>
      </c>
      <c r="B334" s="96">
        <f t="shared" ref="B334:B376" si="142">B333+1</f>
        <v>43666</v>
      </c>
      <c r="C334" s="96">
        <f t="shared" si="127"/>
        <v>43677</v>
      </c>
      <c r="D334" s="96">
        <f t="shared" si="128"/>
        <v>43647</v>
      </c>
      <c r="E334" s="95">
        <f t="shared" si="129"/>
        <v>31</v>
      </c>
      <c r="F334" s="7">
        <f t="array" ref="F334">_xlfn.IFNA(INDEX('DMR Flows-Effluent'!$A$3:$F$9999,MATCH(($F$10&amp;$B334),('DMR Flows-Effluent'!$B$3:$B$9999&amp;'DMR Flows-Effluent'!$A$3:$A$9999),0),MATCH($F$8,'DMR Flows-Effluent'!$A$2:$F$2,0)),"")</f>
        <v>61.289099999999998</v>
      </c>
      <c r="G334" s="7">
        <f t="array" ref="G334">_xlfn.IFNA(INDEX('DMR Flows-Effluent'!$A$3:$F$9999,MATCH(($G$10&amp;$B334),('DMR Flows-Effluent'!$B$3:$B$9999&amp;'DMR Flows-Effluent'!$A$3:$A$9999),0),MATCH($F$8,'DMR Flows-Effluent'!$A$2:$F$2,0)),"")</f>
        <v>69.359700000000004</v>
      </c>
      <c r="H334" s="7">
        <f t="shared" si="130"/>
        <v>130.64879999999999</v>
      </c>
      <c r="I334" s="45" t="str">
        <f t="shared" si="131"/>
        <v/>
      </c>
      <c r="J334" s="6" t="str">
        <f t="array" ref="J334">_xlfn.IFNA((INDEX('DMR 001C TIN &amp; TP'!$A$3:$M$10005,MATCH(('Reg 85'!$I$6:$Q$6&amp;'Reg 85'!$I$10:$K$10&amp;'Reg 85'!$B334),('DMR 001C TIN &amp; TP'!$E$3:$E$10005&amp;'DMR 001C TIN &amp; TP'!$B$3:$B$10005&amp;'DMR 001C TIN &amp; TP'!$A$3:$A$10005),0),MATCH('Reg 85'!$J$11,'DMR 001C TIN &amp; TP'!$A$2:$M$2,0))),"")</f>
        <v/>
      </c>
      <c r="K334" s="6" t="str">
        <f t="array" ref="K334">_xlfn.IFNA((INDEX('DMR 001C TIN &amp; TP'!$A$3:$M$10005,MATCH(('Reg 85'!$I$6:$Q$6&amp;'Reg 85'!$I$10:$K$10&amp;'Reg 85'!$B334),('DMR 001C TIN &amp; TP'!$E$3:$E$10005&amp;'DMR 001C TIN &amp; TP'!$B$3:$B$10005&amp;'DMR 001C TIN &amp; TP'!$A$3:$A$10005),0),MATCH('Reg 85'!$K$11,'DMR 001C TIN &amp; TP'!$A$2:$M$2,0))),"")</f>
        <v/>
      </c>
      <c r="L334" s="53" t="str">
        <f t="shared" si="122"/>
        <v/>
      </c>
      <c r="M334" s="5" t="str">
        <f t="shared" si="132"/>
        <v/>
      </c>
      <c r="N334" s="6" t="str">
        <f t="array" ref="N334">_xlfn.IFNA((INDEX('DMR 001C TIN &amp; TP'!$A$3:$M$10005,MATCH(('Reg 85'!$I$6:$Q$6&amp;'Reg 85'!$M$10&amp;'Reg 85'!$B334),('DMR 001C TIN &amp; TP'!$E$3:$E$10005&amp;'DMR 001C TIN &amp; TP'!$B$3:$B$10005&amp;'DMR 001C TIN &amp; TP'!$A$3:$A$10005),0),MATCH('Reg 85'!$N$11,'DMR 001C TIN &amp; TP'!$A$2:$M$2,0))),"")</f>
        <v/>
      </c>
      <c r="O334" s="6" t="str">
        <f t="array" ref="O334">_xlfn.IFNA((INDEX('DMR 001C TIN &amp; TP'!$A$3:$M$10005,MATCH(('Reg 85'!$I$6:$Q$6&amp;'Reg 85'!$M$10&amp;'Reg 85'!$B334),('DMR 001C TIN &amp; TP'!$E$3:$E$10005&amp;'DMR 001C TIN &amp; TP'!$B$3:$B$10005&amp;'DMR 001C TIN &amp; TP'!$A$3:$A$10005),0),MATCH('Reg 85'!$O$11,'DMR 001C TIN &amp; TP'!$A$2:$M$2,0))),"")</f>
        <v/>
      </c>
      <c r="P334" s="53" t="str">
        <f t="shared" si="133"/>
        <v/>
      </c>
      <c r="Q334" s="73" t="str">
        <f t="array" ref="Q334">IFERROR(((L334*$F334)+(P334*$G334))/($H334),"")</f>
        <v/>
      </c>
      <c r="R334" s="6" t="str">
        <f t="array" ref="R334">_xlfn.IFNA((INDEX('DMR 001C TIN &amp; TP'!$A$3:$M$10005,MATCH(('Reg 85'!$I$6:$Q$6&amp;'Reg 85'!R$10&amp;'Reg 85'!$B334),('DMR 001C TIN &amp; TP'!$E$3:$E$10005&amp;'DMR 001C TIN &amp; TP'!$B$3:$B$10005&amp;'DMR 001C TIN &amp; TP'!$A$3:$A$10005),0),MATCH('Reg 85'!$O$11,'DMR 001C TIN &amp; TP'!$A$2:$M$2,0))),"")</f>
        <v/>
      </c>
      <c r="S334" s="6" t="str">
        <f t="array" ref="S334">_xlfn.IFNA((INDEX('DMR 001C TIN &amp; TP'!$A$3:$M$10005,MATCH(('Reg 85'!$I$6:$Q$6&amp;'Reg 85'!S$10&amp;'Reg 85'!$B334),('DMR 001C TIN &amp; TP'!$E$3:$E$10005&amp;'DMR 001C TIN &amp; TP'!$B$3:$B$10005&amp;'DMR 001C TIN &amp; TP'!$A$3:$A$10005),0),MATCH('Reg 85'!$O$11,'DMR 001C TIN &amp; TP'!$A$2:$M$2,0))),"")</f>
        <v/>
      </c>
      <c r="T334" s="6" t="str">
        <f t="array" ref="T334">_xlfn.IFNA((INDEX('DMR 001C TIN &amp; TP'!$A$3:$M$10005,MATCH(('Reg 85'!$I$6:$Q$6&amp;'Reg 85'!T$10&amp;'Reg 85'!$B334),('DMR 001C TIN &amp; TP'!$E$3:$E$10005&amp;'DMR 001C TIN &amp; TP'!$B$3:$B$10005&amp;'DMR 001C TIN &amp; TP'!$A$3:$A$10005),0),MATCH('Reg 85'!$O$11,'DMR 001C TIN &amp; TP'!$A$2:$M$2,0))),"")</f>
        <v/>
      </c>
      <c r="U334" s="6" t="str">
        <f t="array" ref="U334">_xlfn.IFNA((INDEX('DMR 001C TIN &amp; TP'!$A$3:$M$10005,MATCH(('Reg 85'!$I$6:$Q$6&amp;'Reg 85'!U$10&amp;'Reg 85'!$B334),('DMR 001C TIN &amp; TP'!$E$3:$E$10005&amp;'DMR 001C TIN &amp; TP'!$B$3:$B$10005&amp;'DMR 001C TIN &amp; TP'!$A$3:$A$10005),0),MATCH('Reg 85'!$O$11,'DMR 001C TIN &amp; TP'!$A$2:$M$2,0))),"")</f>
        <v/>
      </c>
      <c r="V334" s="6" t="str">
        <f t="array" ref="V334">_xlfn.IFNA((INDEX('DMR 001C TIN &amp; TP'!$A$3:$M$10005,MATCH(('Reg 85'!$I$6:$Q$6&amp;'Reg 85'!V$10&amp;'Reg 85'!$B334),('DMR 001C TIN &amp; TP'!$E$3:$E$10005&amp;'DMR 001C TIN &amp; TP'!$B$3:$B$10005&amp;'DMR 001C TIN &amp; TP'!$A$3:$A$10005),0),MATCH('Reg 85'!$O$11,'DMR 001C TIN &amp; TP'!$A$2:$M$2,0))),"")</f>
        <v/>
      </c>
      <c r="W334" s="6" t="str">
        <f t="array" ref="W334">_xlfn.IFNA((INDEX('DMR 001C TIN &amp; TP'!$A$3:$M$10005,MATCH(('Reg 85'!$I$6:$Q$6&amp;'Reg 85'!W$10&amp;'Reg 85'!$B334),('DMR 001C TIN &amp; TP'!$E$3:$E$10005&amp;'DMR 001C TIN &amp; TP'!$B$3:$B$10005&amp;'DMR 001C TIN &amp; TP'!$A$3:$A$10005),0),MATCH('Reg 85'!$O$11,'DMR 001C TIN &amp; TP'!$A$2:$M$2,0))),"")</f>
        <v/>
      </c>
      <c r="X334" s="5" t="str">
        <f t="shared" si="134"/>
        <v/>
      </c>
      <c r="Y334" s="6" t="str">
        <f t="array" ref="Y334">_xlfn.IFNA((INDEX('DMR 001C TIN &amp; TP'!$A$3:$M$10005,MATCH(('Reg 85'!$X$6&amp;'Reg 85'!$X$10&amp;'Reg 85'!$B334),('DMR 001C TIN &amp; TP'!$E$3:$E$10005&amp;'DMR 001C TIN &amp; TP'!$B$3:$B$10005&amp;'DMR 001C TIN &amp; TP'!$A$3:$A$10005),0),MATCH('Reg 85'!$Y$11,'DMR 001C TIN &amp; TP'!$A$2:$M$2,0))),"")</f>
        <v/>
      </c>
      <c r="Z334" s="6" t="str">
        <f t="array" ref="Z334">_xlfn.IFNA((INDEX('DMR 001C TIN &amp; TP'!$A$3:$M$10005,MATCH(('Reg 85'!$X$6&amp;'Reg 85'!$X$10&amp;'Reg 85'!$B334),('DMR 001C TIN &amp; TP'!$E$3:$E$10005&amp;'DMR 001C TIN &amp; TP'!$B$3:$B$10005&amp;'DMR 001C TIN &amp; TP'!$A$3:$A$10005),0),MATCH('Reg 85'!$Z$11,'DMR 001C TIN &amp; TP'!$A$2:$M$2,0))),"")</f>
        <v/>
      </c>
      <c r="AA334" s="53" t="str">
        <f t="shared" si="135"/>
        <v/>
      </c>
      <c r="AB334" s="5" t="str">
        <f t="shared" si="136"/>
        <v/>
      </c>
      <c r="AC334" s="6" t="str">
        <f t="array" ref="AC334">_xlfn.IFNA((INDEX('DMR 001C TIN &amp; TP'!$A$3:$M$10005,MATCH(('Reg 85'!$X$6&amp;'Reg 85'!$AB$10&amp;'Reg 85'!$B334),('DMR 001C TIN &amp; TP'!$E$3:$E$10005&amp;'DMR 001C TIN &amp; TP'!$B$3:$B$10005&amp;'DMR 001C TIN &amp; TP'!$A$3:$A$10005),0),MATCH('Reg 85'!$AC$11,'DMR 001C TIN &amp; TP'!$A$2:$M$2,0))),"")</f>
        <v/>
      </c>
      <c r="AD334" s="6" t="str">
        <f t="array" ref="AD334">_xlfn.IFNA((INDEX('DMR 001C TIN &amp; TP'!$A$3:$M$10005,MATCH(('Reg 85'!$X$6&amp;'Reg 85'!$AB$10&amp;'Reg 85'!$B334),('DMR 001C TIN &amp; TP'!$E$3:$E$10005&amp;'DMR 001C TIN &amp; TP'!$B$3:$B$10005&amp;'DMR 001C TIN &amp; TP'!$A$3:$A$10005),0),MATCH('Reg 85'!$AD$11,'DMR 001C TIN &amp; TP'!$A$2:$M$2,0))),"")</f>
        <v/>
      </c>
      <c r="AE334" s="53" t="str">
        <f t="shared" si="137"/>
        <v/>
      </c>
      <c r="AF334" s="7" t="str">
        <f t="shared" si="138"/>
        <v/>
      </c>
      <c r="AG334" s="6" t="str">
        <f t="array" ref="AG334">_xlfn.IFNA((INDEX('DMR 001C TIN &amp; TP'!$A$3:$M$10005,MATCH(('Reg 85'!$X$6&amp;'Reg 85'!AG$10&amp;'Reg 85'!$B334),('DMR 001C TIN &amp; TP'!$E$3:$E$10005&amp;'DMR 001C TIN &amp; TP'!$B$3:$B$10005&amp;'DMR 001C TIN &amp; TP'!$A$3:$A$10005),0),MATCH('Reg 85'!$AG$11,'DMR 001C TIN &amp; TP'!$A$2:$M$2,0))),"")</f>
        <v/>
      </c>
      <c r="AH334" s="6" t="str">
        <f t="array" ref="AH334">_xlfn.IFNA((INDEX('DMR 001C TIN &amp; TP'!$A$3:$M$10005,MATCH(('Reg 85'!$X$6&amp;'Reg 85'!AH$10&amp;'Reg 85'!$B334),('DMR 001C TIN &amp; TP'!$E$3:$E$10005&amp;'DMR 001C TIN &amp; TP'!$B$3:$B$10005&amp;'DMR 001C TIN &amp; TP'!$A$3:$A$10005),0),MATCH('Reg 85'!$AG$11,'DMR 001C TIN &amp; TP'!$A$2:$M$2,0))),"")</f>
        <v/>
      </c>
      <c r="AI334" s="6" t="str">
        <f t="array" ref="AI334">_xlfn.IFNA((INDEX('DMR 001C TIN &amp; TP'!$A$3:$M$10005,MATCH(('Reg 85'!$X$6&amp;'Reg 85'!AI$10&amp;'Reg 85'!$B334),('DMR 001C TIN &amp; TP'!$E$3:$E$10005&amp;'DMR 001C TIN &amp; TP'!$B$3:$B$10005&amp;'DMR 001C TIN &amp; TP'!$A$3:$A$10005),0),MATCH('Reg 85'!$AG$11,'DMR 001C TIN &amp; TP'!$A$2:$M$2,0))),"")</f>
        <v/>
      </c>
      <c r="AJ334" s="6" t="str">
        <f t="array" ref="AJ334">_xlfn.IFNA((INDEX('DMR 001C TIN &amp; TP'!$A$3:$M$10005,MATCH(('Reg 85'!$X$6&amp;'Reg 85'!AJ$10&amp;'Reg 85'!$B334),('DMR 001C TIN &amp; TP'!$E$3:$E$10005&amp;'DMR 001C TIN &amp; TP'!$B$3:$B$10005&amp;'DMR 001C TIN &amp; TP'!$A$3:$A$10005),0),MATCH('Reg 85'!$AG$11,'DMR 001C TIN &amp; TP'!$A$2:$M$2,0))),"")</f>
        <v/>
      </c>
      <c r="AK334" s="6" t="str">
        <f t="array" ref="AK334">_xlfn.IFNA((INDEX('DMR 001C TIN &amp; TP'!$A$3:$M$10005,MATCH(('Reg 85'!$X$6&amp;'Reg 85'!AK$10&amp;'Reg 85'!$B334),('DMR 001C TIN &amp; TP'!$E$3:$E$10005&amp;'DMR 001C TIN &amp; TP'!$B$3:$B$10005&amp;'DMR 001C TIN &amp; TP'!$A$3:$A$10005),0),MATCH('Reg 85'!$AG$11,'DMR 001C TIN &amp; TP'!$A$2:$M$2,0))),"")</f>
        <v/>
      </c>
      <c r="AL334" s="6" t="str">
        <f t="array" ref="AL334">_xlfn.IFNA((INDEX('DMR 001C TIN &amp; TP'!$A$3:$M$10005,MATCH(('Reg 85'!$X$6&amp;'Reg 85'!AL$10&amp;'Reg 85'!$B334),('DMR 001C TIN &amp; TP'!$E$3:$E$10005&amp;'DMR 001C TIN &amp; TP'!$B$3:$B$10005&amp;'DMR 001C TIN &amp; TP'!$A$3:$A$10005),0),MATCH('Reg 85'!$AG$11,'DMR 001C TIN &amp; TP'!$A$2:$M$2,0))),"")</f>
        <v/>
      </c>
      <c r="AM334" s="76"/>
      <c r="AN334" s="6"/>
      <c r="AO334" s="54" t="str">
        <f t="shared" si="125"/>
        <v/>
      </c>
      <c r="AP334" s="77" t="str">
        <f t="shared" si="123"/>
        <v/>
      </c>
      <c r="AQ334" s="47"/>
      <c r="AR334" s="6" t="str">
        <f t="array" ref="AR334">_xlfn.IFNA((INDEX('DMR 001C TIN &amp; TP'!$A$3:$M$10005,MATCH(('Reg 85'!$AQ$6&amp;'Reg 85'!$AQ$10&amp;'Reg 85'!$B334),('DMR 001C TIN &amp; TP'!$E$3:$E$10005&amp;'DMR 001C TIN &amp; TP'!$B$3:$B$10005&amp;'DMR 001C TIN &amp; TP'!$A$3:$A$10005),0),MATCH('Reg 85'!$AR$11,'DMR 001C TIN &amp; TP'!$A$2:$M$2,0))),"")</f>
        <v/>
      </c>
      <c r="AS334" s="6" t="str">
        <f t="array" ref="AS334">_xlfn.IFNA((INDEX('DMR 001C TIN &amp; TP'!$A$3:$M$10005,MATCH(('Reg 85'!$AQ$6&amp;'Reg 85'!$AQ$10&amp;'Reg 85'!$B334),('DMR 001C TIN &amp; TP'!$E$3:$E$10005&amp;'DMR 001C TIN &amp; TP'!$B$3:$B$10005&amp;'DMR 001C TIN &amp; TP'!$A$3:$A$10005),0),MATCH('Reg 85'!$AS$11,'DMR 001C TIN &amp; TP'!$A$2:$M$2,0))),"")</f>
        <v/>
      </c>
      <c r="AT334" s="53" t="str">
        <f t="shared" si="139"/>
        <v/>
      </c>
      <c r="AV334" s="6" t="str">
        <f t="array" ref="AV334">_xlfn.IFNA((INDEX('DMR 001C TIN &amp; TP'!$A$3:$M$10005,MATCH(('Reg 85'!$AQ$6&amp;'Reg 85'!$AU$10&amp;'Reg 85'!$B334),('DMR 001C TIN &amp; TP'!$E$3:$E$10005&amp;'DMR 001C TIN &amp; TP'!$B$3:$B$10005&amp;'DMR 001C TIN &amp; TP'!$A$3:$A$10005),0),MATCH('Reg 85'!$AV$11,'DMR 001C TIN &amp; TP'!$A$2:$M$2,0))),"")</f>
        <v/>
      </c>
      <c r="AW334" s="6" t="str">
        <f t="array" ref="AW334">_xlfn.IFNA((INDEX('DMR 001C TIN &amp; TP'!$A$3:$M$10005,MATCH(('Reg 85'!$AQ$6&amp;'Reg 85'!$AU$10&amp;'Reg 85'!$B334),('DMR 001C TIN &amp; TP'!$E$3:$E$10005&amp;'DMR 001C TIN &amp; TP'!$B$3:$B$10005&amp;'DMR 001C TIN &amp; TP'!$A$3:$A$10005),0),MATCH('Reg 85'!$AW$11,'DMR 001C TIN &amp; TP'!$A$2:$M$2,0))),"")</f>
        <v/>
      </c>
      <c r="AX334" s="53" t="str">
        <f t="shared" si="140"/>
        <v/>
      </c>
      <c r="AY334" s="55" t="str">
        <f t="shared" si="141"/>
        <v/>
      </c>
      <c r="AZ334" s="77" t="str">
        <f t="shared" si="124"/>
        <v/>
      </c>
      <c r="BA334" s="6" t="str">
        <f t="array" ref="BA334">_xlfn.IFNA((INDEX('DMR 001C TIN &amp; TP'!$A$3:$M$10005,MATCH(('Reg 85'!$AQ$6&amp;'Reg 85'!BA$10&amp;'Reg 85'!$B334),('DMR 001C TIN &amp; TP'!$E$3:$E$10005&amp;'DMR 001C TIN &amp; TP'!$B$3:$B$10005&amp;'DMR 001C TIN &amp; TP'!$A$3:$A$10005),0),MATCH('Reg 85'!$AG$11,'DMR 001C TIN &amp; TP'!$A$2:$M$2,0))),"")</f>
        <v/>
      </c>
      <c r="BB334" s="6" t="str">
        <f t="array" ref="BB334">_xlfn.IFNA((INDEX('DMR 001C TIN &amp; TP'!$A$3:$M$10005,MATCH(('Reg 85'!$AQ$6&amp;'Reg 85'!BB$10&amp;'Reg 85'!$B334),('DMR 001C TIN &amp; TP'!$E$3:$E$10005&amp;'DMR 001C TIN &amp; TP'!$B$3:$B$10005&amp;'DMR 001C TIN &amp; TP'!$A$3:$A$10005),0),MATCH('Reg 85'!$AG$11,'DMR 001C TIN &amp; TP'!$A$2:$M$2,0))),"")</f>
        <v/>
      </c>
      <c r="BC334" s="6" t="str">
        <f t="array" ref="BC334">_xlfn.IFNA((INDEX('DMR 001C TIN &amp; TP'!$A$3:$M$10005,MATCH(('Reg 85'!$AQ$6&amp;'Reg 85'!BC$10&amp;'Reg 85'!$B334),('DMR 001C TIN &amp; TP'!$E$3:$E$10005&amp;'DMR 001C TIN &amp; TP'!$B$3:$B$10005&amp;'DMR 001C TIN &amp; TP'!$A$3:$A$10005),0),MATCH('Reg 85'!$AG$11,'DMR 001C TIN &amp; TP'!$A$2:$M$2,0))),"")</f>
        <v/>
      </c>
      <c r="BD334" s="6" t="str">
        <f t="array" ref="BD334">_xlfn.IFNA((INDEX('DMR 001C TIN &amp; TP'!$A$3:$M$10005,MATCH(('Reg 85'!$AQ$6&amp;'Reg 85'!BD$10&amp;'Reg 85'!$B334),('DMR 001C TIN &amp; TP'!$E$3:$E$10005&amp;'DMR 001C TIN &amp; TP'!$B$3:$B$10005&amp;'DMR 001C TIN &amp; TP'!$A$3:$A$10005),0),MATCH('Reg 85'!$AG$11,'DMR 001C TIN &amp; TP'!$A$2:$M$2,0))),"")</f>
        <v/>
      </c>
      <c r="BE334" s="6" t="str">
        <f t="array" ref="BE334">_xlfn.IFNA((INDEX('DMR 001C TIN &amp; TP'!$A$3:$M$10005,MATCH(('Reg 85'!$AQ$6&amp;'Reg 85'!BE$10&amp;'Reg 85'!$B334),('DMR 001C TIN &amp; TP'!$E$3:$E$10005&amp;'DMR 001C TIN &amp; TP'!$B$3:$B$10005&amp;'DMR 001C TIN &amp; TP'!$A$3:$A$10005),0),MATCH('Reg 85'!$AG$11,'DMR 001C TIN &amp; TP'!$A$2:$M$2,0))),"")</f>
        <v/>
      </c>
      <c r="BF334" s="6" t="str">
        <f t="array" ref="BF334">_xlfn.IFNA((INDEX('DMR 001C TIN &amp; TP'!$A$3:$M$10005,MATCH(('Reg 85'!$AQ$6&amp;'Reg 85'!BF$10&amp;'Reg 85'!$B334),('DMR 001C TIN &amp; TP'!$E$3:$E$10005&amp;'DMR 001C TIN &amp; TP'!$B$3:$B$10005&amp;'DMR 001C TIN &amp; TP'!$A$3:$A$10005),0),MATCH('Reg 85'!$AG$11,'DMR 001C TIN &amp; TP'!$A$2:$M$2,0))),"")</f>
        <v/>
      </c>
    </row>
    <row r="335" spans="1:58">
      <c r="A335" s="3" t="str">
        <f t="shared" si="126"/>
        <v>Sun</v>
      </c>
      <c r="B335" s="96">
        <f t="shared" si="142"/>
        <v>43667</v>
      </c>
      <c r="C335" s="96">
        <f t="shared" si="127"/>
        <v>43677</v>
      </c>
      <c r="D335" s="96">
        <f t="shared" si="128"/>
        <v>43647</v>
      </c>
      <c r="E335" s="95">
        <f t="shared" si="129"/>
        <v>31</v>
      </c>
      <c r="F335" s="7">
        <f t="array" ref="F335">_xlfn.IFNA(INDEX('DMR Flows-Effluent'!$A$3:$F$9999,MATCH(($F$10&amp;$B335),('DMR Flows-Effluent'!$B$3:$B$9999&amp;'DMR Flows-Effluent'!$A$3:$A$9999),0),MATCH($F$8,'DMR Flows-Effluent'!$A$2:$F$2,0)),"")</f>
        <v>58.768599999999999</v>
      </c>
      <c r="G335" s="7">
        <f t="array" ref="G335">_xlfn.IFNA(INDEX('DMR Flows-Effluent'!$A$3:$F$9999,MATCH(($G$10&amp;$B335),('DMR Flows-Effluent'!$B$3:$B$9999&amp;'DMR Flows-Effluent'!$A$3:$A$9999),0),MATCH($F$8,'DMR Flows-Effluent'!$A$2:$F$2,0)),"")</f>
        <v>76.257099999999994</v>
      </c>
      <c r="H335" s="7">
        <f t="shared" si="130"/>
        <v>135.0257</v>
      </c>
      <c r="I335" s="45" t="str">
        <f t="shared" si="131"/>
        <v/>
      </c>
      <c r="J335" s="6" t="str">
        <f t="array" ref="J335">_xlfn.IFNA((INDEX('DMR 001C TIN &amp; TP'!$A$3:$M$10005,MATCH(('Reg 85'!$I$6:$Q$6&amp;'Reg 85'!$I$10:$K$10&amp;'Reg 85'!$B335),('DMR 001C TIN &amp; TP'!$E$3:$E$10005&amp;'DMR 001C TIN &amp; TP'!$B$3:$B$10005&amp;'DMR 001C TIN &amp; TP'!$A$3:$A$10005),0),MATCH('Reg 85'!$J$11,'DMR 001C TIN &amp; TP'!$A$2:$M$2,0))),"")</f>
        <v>0.15</v>
      </c>
      <c r="K335" s="6">
        <f t="array" ref="K335">_xlfn.IFNA((INDEX('DMR 001C TIN &amp; TP'!$A$3:$M$10005,MATCH(('Reg 85'!$I$6:$Q$6&amp;'Reg 85'!$I$10:$K$10&amp;'Reg 85'!$B335),('DMR 001C TIN &amp; TP'!$E$3:$E$10005&amp;'DMR 001C TIN &amp; TP'!$B$3:$B$10005&amp;'DMR 001C TIN &amp; TP'!$A$3:$A$10005),0),MATCH('Reg 85'!$K$11,'DMR 001C TIN &amp; TP'!$A$2:$M$2,0))),"")</f>
        <v>0.67</v>
      </c>
      <c r="L335" s="53">
        <f t="shared" ref="L335:L376" si="143">IFERROR(IF(VALUE(K335)&lt;VALUE(J335),0,VALUE(K335)),"")</f>
        <v>0.67</v>
      </c>
      <c r="M335" s="5" t="str">
        <f t="shared" si="132"/>
        <v>&lt;</v>
      </c>
      <c r="N335" s="6" t="str">
        <f t="array" ref="N335">_xlfn.IFNA((INDEX('DMR 001C TIN &amp; TP'!$A$3:$M$10005,MATCH(('Reg 85'!$I$6:$Q$6&amp;'Reg 85'!$M$10&amp;'Reg 85'!$B335),('DMR 001C TIN &amp; TP'!$E$3:$E$10005&amp;'DMR 001C TIN &amp; TP'!$B$3:$B$10005&amp;'DMR 001C TIN &amp; TP'!$A$3:$A$10005),0),MATCH('Reg 85'!$N$11,'DMR 001C TIN &amp; TP'!$A$2:$M$2,0))),"")</f>
        <v>0.15</v>
      </c>
      <c r="O335" s="6">
        <f t="array" ref="O335">_xlfn.IFNA((INDEX('DMR 001C TIN &amp; TP'!$A$3:$M$10005,MATCH(('Reg 85'!$I$6:$Q$6&amp;'Reg 85'!$M$10&amp;'Reg 85'!$B335),('DMR 001C TIN &amp; TP'!$E$3:$E$10005&amp;'DMR 001C TIN &amp; TP'!$B$3:$B$10005&amp;'DMR 001C TIN &amp; TP'!$A$3:$A$10005),0),MATCH('Reg 85'!$O$11,'DMR 001C TIN &amp; TP'!$A$2:$M$2,0))),"")</f>
        <v>0.09</v>
      </c>
      <c r="P335" s="53">
        <f t="shared" si="133"/>
        <v>0</v>
      </c>
      <c r="Q335" s="73">
        <f t="array" ref="Q335">IFERROR(((L335*$F335)+(P335*$G335))/($H335),"")</f>
        <v>0.29161087111564687</v>
      </c>
      <c r="R335" s="6" t="str">
        <f t="array" ref="R335">_xlfn.IFNA((INDEX('DMR 001C TIN &amp; TP'!$A$3:$M$10005,MATCH(('Reg 85'!$I$6:$Q$6&amp;'Reg 85'!R$10&amp;'Reg 85'!$B335),('DMR 001C TIN &amp; TP'!$E$3:$E$10005&amp;'DMR 001C TIN &amp; TP'!$B$3:$B$10005&amp;'DMR 001C TIN &amp; TP'!$A$3:$A$10005),0),MATCH('Reg 85'!$O$11,'DMR 001C TIN &amp; TP'!$A$2:$M$2,0))),"")</f>
        <v/>
      </c>
      <c r="S335" s="6" t="str">
        <f t="array" ref="S335">_xlfn.IFNA((INDEX('DMR 001C TIN &amp; TP'!$A$3:$M$10005,MATCH(('Reg 85'!$I$6:$Q$6&amp;'Reg 85'!S$10&amp;'Reg 85'!$B335),('DMR 001C TIN &amp; TP'!$E$3:$E$10005&amp;'DMR 001C TIN &amp; TP'!$B$3:$B$10005&amp;'DMR 001C TIN &amp; TP'!$A$3:$A$10005),0),MATCH('Reg 85'!$O$11,'DMR 001C TIN &amp; TP'!$A$2:$M$2,0))),"")</f>
        <v/>
      </c>
      <c r="T335" s="6" t="str">
        <f t="array" ref="T335">_xlfn.IFNA((INDEX('DMR 001C TIN &amp; TP'!$A$3:$M$10005,MATCH(('Reg 85'!$I$6:$Q$6&amp;'Reg 85'!T$10&amp;'Reg 85'!$B335),('DMR 001C TIN &amp; TP'!$E$3:$E$10005&amp;'DMR 001C TIN &amp; TP'!$B$3:$B$10005&amp;'DMR 001C TIN &amp; TP'!$A$3:$A$10005),0),MATCH('Reg 85'!$O$11,'DMR 001C TIN &amp; TP'!$A$2:$M$2,0))),"")</f>
        <v/>
      </c>
      <c r="U335" s="6" t="str">
        <f t="array" ref="U335">_xlfn.IFNA((INDEX('DMR 001C TIN &amp; TP'!$A$3:$M$10005,MATCH(('Reg 85'!$I$6:$Q$6&amp;'Reg 85'!U$10&amp;'Reg 85'!$B335),('DMR 001C TIN &amp; TP'!$E$3:$E$10005&amp;'DMR 001C TIN &amp; TP'!$B$3:$B$10005&amp;'DMR 001C TIN &amp; TP'!$A$3:$A$10005),0),MATCH('Reg 85'!$O$11,'DMR 001C TIN &amp; TP'!$A$2:$M$2,0))),"")</f>
        <v/>
      </c>
      <c r="V335" s="6" t="str">
        <f t="array" ref="V335">_xlfn.IFNA((INDEX('DMR 001C TIN &amp; TP'!$A$3:$M$10005,MATCH(('Reg 85'!$I$6:$Q$6&amp;'Reg 85'!V$10&amp;'Reg 85'!$B335),('DMR 001C TIN &amp; TP'!$E$3:$E$10005&amp;'DMR 001C TIN &amp; TP'!$B$3:$B$10005&amp;'DMR 001C TIN &amp; TP'!$A$3:$A$10005),0),MATCH('Reg 85'!$O$11,'DMR 001C TIN &amp; TP'!$A$2:$M$2,0))),"")</f>
        <v/>
      </c>
      <c r="W335" s="6" t="str">
        <f t="array" ref="W335">_xlfn.IFNA((INDEX('DMR 001C TIN &amp; TP'!$A$3:$M$10005,MATCH(('Reg 85'!$I$6:$Q$6&amp;'Reg 85'!W$10&amp;'Reg 85'!$B335),('DMR 001C TIN &amp; TP'!$E$3:$E$10005&amp;'DMR 001C TIN &amp; TP'!$B$3:$B$10005&amp;'DMR 001C TIN &amp; TP'!$A$3:$A$10005),0),MATCH('Reg 85'!$O$11,'DMR 001C TIN &amp; TP'!$A$2:$M$2,0))),"")</f>
        <v/>
      </c>
      <c r="X335" s="5" t="str">
        <f t="shared" si="134"/>
        <v/>
      </c>
      <c r="Y335" s="6" t="str">
        <f t="array" ref="Y335">_xlfn.IFNA((INDEX('DMR 001C TIN &amp; TP'!$A$3:$M$10005,MATCH(('Reg 85'!$X$6&amp;'Reg 85'!$X$10&amp;'Reg 85'!$B335),('DMR 001C TIN &amp; TP'!$E$3:$E$10005&amp;'DMR 001C TIN &amp; TP'!$B$3:$B$10005&amp;'DMR 001C TIN &amp; TP'!$A$3:$A$10005),0),MATCH('Reg 85'!$Y$11,'DMR 001C TIN &amp; TP'!$A$2:$M$2,0))),"")</f>
        <v>0.06</v>
      </c>
      <c r="Z335" s="6">
        <f t="array" ref="Z335">_xlfn.IFNA((INDEX('DMR 001C TIN &amp; TP'!$A$3:$M$10005,MATCH(('Reg 85'!$X$6&amp;'Reg 85'!$X$10&amp;'Reg 85'!$B335),('DMR 001C TIN &amp; TP'!$E$3:$E$10005&amp;'DMR 001C TIN &amp; TP'!$B$3:$B$10005&amp;'DMR 001C TIN &amp; TP'!$A$3:$A$10005),0),MATCH('Reg 85'!$Z$11,'DMR 001C TIN &amp; TP'!$A$2:$M$2,0))),"")</f>
        <v>4.2</v>
      </c>
      <c r="AA335" s="53">
        <f t="shared" si="135"/>
        <v>4.2</v>
      </c>
      <c r="AB335" s="5" t="str">
        <f t="shared" si="136"/>
        <v/>
      </c>
      <c r="AC335" s="6" t="str">
        <f t="array" ref="AC335">_xlfn.IFNA((INDEX('DMR 001C TIN &amp; TP'!$A$3:$M$10005,MATCH(('Reg 85'!$X$6&amp;'Reg 85'!$AB$10&amp;'Reg 85'!$B335),('DMR 001C TIN &amp; TP'!$E$3:$E$10005&amp;'DMR 001C TIN &amp; TP'!$B$3:$B$10005&amp;'DMR 001C TIN &amp; TP'!$A$3:$A$10005),0),MATCH('Reg 85'!$AC$11,'DMR 001C TIN &amp; TP'!$A$2:$M$2,0))),"")</f>
        <v>0.06</v>
      </c>
      <c r="AD335" s="6">
        <f t="array" ref="AD335">_xlfn.IFNA((INDEX('DMR 001C TIN &amp; TP'!$A$3:$M$10005,MATCH(('Reg 85'!$X$6&amp;'Reg 85'!$AB$10&amp;'Reg 85'!$B335),('DMR 001C TIN &amp; TP'!$E$3:$E$10005&amp;'DMR 001C TIN &amp; TP'!$B$3:$B$10005&amp;'DMR 001C TIN &amp; TP'!$A$3:$A$10005),0),MATCH('Reg 85'!$AD$11,'DMR 001C TIN &amp; TP'!$A$2:$M$2,0))),"")</f>
        <v>7.37</v>
      </c>
      <c r="AE335" s="53">
        <f t="shared" si="137"/>
        <v>7.37</v>
      </c>
      <c r="AF335" s="7">
        <f t="shared" si="138"/>
        <v>5.9902888635274616</v>
      </c>
      <c r="AG335" s="6" t="str">
        <f t="array" ref="AG335">_xlfn.IFNA((INDEX('DMR 001C TIN &amp; TP'!$A$3:$M$10005,MATCH(('Reg 85'!$X$6&amp;'Reg 85'!AG$10&amp;'Reg 85'!$B335),('DMR 001C TIN &amp; TP'!$E$3:$E$10005&amp;'DMR 001C TIN &amp; TP'!$B$3:$B$10005&amp;'DMR 001C TIN &amp; TP'!$A$3:$A$10005),0),MATCH('Reg 85'!$AG$11,'DMR 001C TIN &amp; TP'!$A$2:$M$2,0))),"")</f>
        <v/>
      </c>
      <c r="AH335" s="6" t="str">
        <f t="array" ref="AH335">_xlfn.IFNA((INDEX('DMR 001C TIN &amp; TP'!$A$3:$M$10005,MATCH(('Reg 85'!$X$6&amp;'Reg 85'!AH$10&amp;'Reg 85'!$B335),('DMR 001C TIN &amp; TP'!$E$3:$E$10005&amp;'DMR 001C TIN &amp; TP'!$B$3:$B$10005&amp;'DMR 001C TIN &amp; TP'!$A$3:$A$10005),0),MATCH('Reg 85'!$AG$11,'DMR 001C TIN &amp; TP'!$A$2:$M$2,0))),"")</f>
        <v/>
      </c>
      <c r="AI335" s="6" t="str">
        <f t="array" ref="AI335">_xlfn.IFNA((INDEX('DMR 001C TIN &amp; TP'!$A$3:$M$10005,MATCH(('Reg 85'!$X$6&amp;'Reg 85'!AI$10&amp;'Reg 85'!$B335),('DMR 001C TIN &amp; TP'!$E$3:$E$10005&amp;'DMR 001C TIN &amp; TP'!$B$3:$B$10005&amp;'DMR 001C TIN &amp; TP'!$A$3:$A$10005),0),MATCH('Reg 85'!$AG$11,'DMR 001C TIN &amp; TP'!$A$2:$M$2,0))),"")</f>
        <v/>
      </c>
      <c r="AJ335" s="6" t="str">
        <f t="array" ref="AJ335">_xlfn.IFNA((INDEX('DMR 001C TIN &amp; TP'!$A$3:$M$10005,MATCH(('Reg 85'!$X$6&amp;'Reg 85'!AJ$10&amp;'Reg 85'!$B335),('DMR 001C TIN &amp; TP'!$E$3:$E$10005&amp;'DMR 001C TIN &amp; TP'!$B$3:$B$10005&amp;'DMR 001C TIN &amp; TP'!$A$3:$A$10005),0),MATCH('Reg 85'!$AG$11,'DMR 001C TIN &amp; TP'!$A$2:$M$2,0))),"")</f>
        <v/>
      </c>
      <c r="AK335" s="6" t="str">
        <f t="array" ref="AK335">_xlfn.IFNA((INDEX('DMR 001C TIN &amp; TP'!$A$3:$M$10005,MATCH(('Reg 85'!$X$6&amp;'Reg 85'!AK$10&amp;'Reg 85'!$B335),('DMR 001C TIN &amp; TP'!$E$3:$E$10005&amp;'DMR 001C TIN &amp; TP'!$B$3:$B$10005&amp;'DMR 001C TIN &amp; TP'!$A$3:$A$10005),0),MATCH('Reg 85'!$AG$11,'DMR 001C TIN &amp; TP'!$A$2:$M$2,0))),"")</f>
        <v/>
      </c>
      <c r="AL335" s="6" t="str">
        <f t="array" ref="AL335">_xlfn.IFNA((INDEX('DMR 001C TIN &amp; TP'!$A$3:$M$10005,MATCH(('Reg 85'!$X$6&amp;'Reg 85'!AL$10&amp;'Reg 85'!$B335),('DMR 001C TIN &amp; TP'!$E$3:$E$10005&amp;'DMR 001C TIN &amp; TP'!$B$3:$B$10005&amp;'DMR 001C TIN &amp; TP'!$A$3:$A$10005),0),MATCH('Reg 85'!$AG$11,'DMR 001C TIN &amp; TP'!$A$2:$M$2,0))),"")</f>
        <v/>
      </c>
      <c r="AM335" s="76"/>
      <c r="AN335" s="6"/>
      <c r="AO335" s="54">
        <f t="shared" si="125"/>
        <v>6.2818997346431082</v>
      </c>
      <c r="AP335" s="77" t="str">
        <f t="shared" si="123"/>
        <v/>
      </c>
      <c r="AQ335" s="47"/>
      <c r="AR335" s="6" t="str">
        <f t="array" ref="AR335">_xlfn.IFNA((INDEX('DMR 001C TIN &amp; TP'!$A$3:$M$10005,MATCH(('Reg 85'!$AQ$6&amp;'Reg 85'!$AQ$10&amp;'Reg 85'!$B335),('DMR 001C TIN &amp; TP'!$E$3:$E$10005&amp;'DMR 001C TIN &amp; TP'!$B$3:$B$10005&amp;'DMR 001C TIN &amp; TP'!$A$3:$A$10005),0),MATCH('Reg 85'!$AR$11,'DMR 001C TIN &amp; TP'!$A$2:$M$2,0))),"")</f>
        <v/>
      </c>
      <c r="AS335" s="6" t="str">
        <f t="array" ref="AS335">_xlfn.IFNA((INDEX('DMR 001C TIN &amp; TP'!$A$3:$M$10005,MATCH(('Reg 85'!$AQ$6&amp;'Reg 85'!$AQ$10&amp;'Reg 85'!$B335),('DMR 001C TIN &amp; TP'!$E$3:$E$10005&amp;'DMR 001C TIN &amp; TP'!$B$3:$B$10005&amp;'DMR 001C TIN &amp; TP'!$A$3:$A$10005),0),MATCH('Reg 85'!$AS$11,'DMR 001C TIN &amp; TP'!$A$2:$M$2,0))),"")</f>
        <v/>
      </c>
      <c r="AT335" s="53" t="str">
        <f t="shared" si="139"/>
        <v/>
      </c>
      <c r="AV335" s="6" t="str">
        <f t="array" ref="AV335">_xlfn.IFNA((INDEX('DMR 001C TIN &amp; TP'!$A$3:$M$10005,MATCH(('Reg 85'!$AQ$6&amp;'Reg 85'!$AU$10&amp;'Reg 85'!$B335),('DMR 001C TIN &amp; TP'!$E$3:$E$10005&amp;'DMR 001C TIN &amp; TP'!$B$3:$B$10005&amp;'DMR 001C TIN &amp; TP'!$A$3:$A$10005),0),MATCH('Reg 85'!$AV$11,'DMR 001C TIN &amp; TP'!$A$2:$M$2,0))),"")</f>
        <v/>
      </c>
      <c r="AW335" s="6" t="str">
        <f t="array" ref="AW335">_xlfn.IFNA((INDEX('DMR 001C TIN &amp; TP'!$A$3:$M$10005,MATCH(('Reg 85'!$AQ$6&amp;'Reg 85'!$AU$10&amp;'Reg 85'!$B335),('DMR 001C TIN &amp; TP'!$E$3:$E$10005&amp;'DMR 001C TIN &amp; TP'!$B$3:$B$10005&amp;'DMR 001C TIN &amp; TP'!$A$3:$A$10005),0),MATCH('Reg 85'!$AW$11,'DMR 001C TIN &amp; TP'!$A$2:$M$2,0))),"")</f>
        <v/>
      </c>
      <c r="AX335" s="53" t="str">
        <f t="shared" si="140"/>
        <v/>
      </c>
      <c r="AY335" s="55" t="str">
        <f t="shared" si="141"/>
        <v/>
      </c>
      <c r="AZ335" s="77" t="str">
        <f t="shared" si="124"/>
        <v/>
      </c>
      <c r="BA335" s="6" t="str">
        <f t="array" ref="BA335">_xlfn.IFNA((INDEX('DMR 001C TIN &amp; TP'!$A$3:$M$10005,MATCH(('Reg 85'!$AQ$6&amp;'Reg 85'!BA$10&amp;'Reg 85'!$B335),('DMR 001C TIN &amp; TP'!$E$3:$E$10005&amp;'DMR 001C TIN &amp; TP'!$B$3:$B$10005&amp;'DMR 001C TIN &amp; TP'!$A$3:$A$10005),0),MATCH('Reg 85'!$AG$11,'DMR 001C TIN &amp; TP'!$A$2:$M$2,0))),"")</f>
        <v/>
      </c>
      <c r="BB335" s="6" t="str">
        <f t="array" ref="BB335">_xlfn.IFNA((INDEX('DMR 001C TIN &amp; TP'!$A$3:$M$10005,MATCH(('Reg 85'!$AQ$6&amp;'Reg 85'!BB$10&amp;'Reg 85'!$B335),('DMR 001C TIN &amp; TP'!$E$3:$E$10005&amp;'DMR 001C TIN &amp; TP'!$B$3:$B$10005&amp;'DMR 001C TIN &amp; TP'!$A$3:$A$10005),0),MATCH('Reg 85'!$AG$11,'DMR 001C TIN &amp; TP'!$A$2:$M$2,0))),"")</f>
        <v/>
      </c>
      <c r="BC335" s="6" t="str">
        <f t="array" ref="BC335">_xlfn.IFNA((INDEX('DMR 001C TIN &amp; TP'!$A$3:$M$10005,MATCH(('Reg 85'!$AQ$6&amp;'Reg 85'!BC$10&amp;'Reg 85'!$B335),('DMR 001C TIN &amp; TP'!$E$3:$E$10005&amp;'DMR 001C TIN &amp; TP'!$B$3:$B$10005&amp;'DMR 001C TIN &amp; TP'!$A$3:$A$10005),0),MATCH('Reg 85'!$AG$11,'DMR 001C TIN &amp; TP'!$A$2:$M$2,0))),"")</f>
        <v/>
      </c>
      <c r="BD335" s="6" t="str">
        <f t="array" ref="BD335">_xlfn.IFNA((INDEX('DMR 001C TIN &amp; TP'!$A$3:$M$10005,MATCH(('Reg 85'!$AQ$6&amp;'Reg 85'!BD$10&amp;'Reg 85'!$B335),('DMR 001C TIN &amp; TP'!$E$3:$E$10005&amp;'DMR 001C TIN &amp; TP'!$B$3:$B$10005&amp;'DMR 001C TIN &amp; TP'!$A$3:$A$10005),0),MATCH('Reg 85'!$AG$11,'DMR 001C TIN &amp; TP'!$A$2:$M$2,0))),"")</f>
        <v/>
      </c>
      <c r="BE335" s="6" t="str">
        <f t="array" ref="BE335">_xlfn.IFNA((INDEX('DMR 001C TIN &amp; TP'!$A$3:$M$10005,MATCH(('Reg 85'!$AQ$6&amp;'Reg 85'!BE$10&amp;'Reg 85'!$B335),('DMR 001C TIN &amp; TP'!$E$3:$E$10005&amp;'DMR 001C TIN &amp; TP'!$B$3:$B$10005&amp;'DMR 001C TIN &amp; TP'!$A$3:$A$10005),0),MATCH('Reg 85'!$AG$11,'DMR 001C TIN &amp; TP'!$A$2:$M$2,0))),"")</f>
        <v/>
      </c>
      <c r="BF335" s="6" t="str">
        <f t="array" ref="BF335">_xlfn.IFNA((INDEX('DMR 001C TIN &amp; TP'!$A$3:$M$10005,MATCH(('Reg 85'!$AQ$6&amp;'Reg 85'!BF$10&amp;'Reg 85'!$B335),('DMR 001C TIN &amp; TP'!$E$3:$E$10005&amp;'DMR 001C TIN &amp; TP'!$B$3:$B$10005&amp;'DMR 001C TIN &amp; TP'!$A$3:$A$10005),0),MATCH('Reg 85'!$AG$11,'DMR 001C TIN &amp; TP'!$A$2:$M$2,0))),"")</f>
        <v/>
      </c>
    </row>
    <row r="336" spans="1:58">
      <c r="A336" s="3" t="str">
        <f t="shared" si="126"/>
        <v>Mon</v>
      </c>
      <c r="B336" s="96">
        <f t="shared" si="142"/>
        <v>43668</v>
      </c>
      <c r="C336" s="96">
        <f t="shared" si="127"/>
        <v>43677</v>
      </c>
      <c r="D336" s="96">
        <f t="shared" si="128"/>
        <v>43647</v>
      </c>
      <c r="E336" s="95">
        <f t="shared" si="129"/>
        <v>31</v>
      </c>
      <c r="F336" s="7">
        <f t="array" ref="F336">_xlfn.IFNA(INDEX('DMR Flows-Effluent'!$A$3:$F$9999,MATCH(($F$10&amp;$B336),('DMR Flows-Effluent'!$B$3:$B$9999&amp;'DMR Flows-Effluent'!$A$3:$A$9999),0),MATCH($F$8,'DMR Flows-Effluent'!$A$2:$F$2,0)),"")</f>
        <v>60.590800000000002</v>
      </c>
      <c r="G336" s="7">
        <f t="array" ref="G336">_xlfn.IFNA(INDEX('DMR Flows-Effluent'!$A$3:$F$9999,MATCH(($G$10&amp;$B336),('DMR Flows-Effluent'!$B$3:$B$9999&amp;'DMR Flows-Effluent'!$A$3:$A$9999),0),MATCH($F$8,'DMR Flows-Effluent'!$A$2:$F$2,0)),"")</f>
        <v>75.7971</v>
      </c>
      <c r="H336" s="7">
        <f t="shared" si="130"/>
        <v>136.3879</v>
      </c>
      <c r="I336" s="45" t="str">
        <f t="shared" si="131"/>
        <v/>
      </c>
      <c r="J336" s="6" t="str">
        <f t="array" ref="J336">_xlfn.IFNA((INDEX('DMR 001C TIN &amp; TP'!$A$3:$M$10005,MATCH(('Reg 85'!$I$6:$Q$6&amp;'Reg 85'!$I$10:$K$10&amp;'Reg 85'!$B336),('DMR 001C TIN &amp; TP'!$E$3:$E$10005&amp;'DMR 001C TIN &amp; TP'!$B$3:$B$10005&amp;'DMR 001C TIN &amp; TP'!$A$3:$A$10005),0),MATCH('Reg 85'!$J$11,'DMR 001C TIN &amp; TP'!$A$2:$M$2,0))),"")</f>
        <v>0.15</v>
      </c>
      <c r="K336" s="6">
        <f t="array" ref="K336">_xlfn.IFNA((INDEX('DMR 001C TIN &amp; TP'!$A$3:$M$10005,MATCH(('Reg 85'!$I$6:$Q$6&amp;'Reg 85'!$I$10:$K$10&amp;'Reg 85'!$B336),('DMR 001C TIN &amp; TP'!$E$3:$E$10005&amp;'DMR 001C TIN &amp; TP'!$B$3:$B$10005&amp;'DMR 001C TIN &amp; TP'!$A$3:$A$10005),0),MATCH('Reg 85'!$K$11,'DMR 001C TIN &amp; TP'!$A$2:$M$2,0))),"")</f>
        <v>1.29</v>
      </c>
      <c r="L336" s="53">
        <f t="shared" si="143"/>
        <v>1.29</v>
      </c>
      <c r="M336" s="5" t="str">
        <f t="shared" si="132"/>
        <v>&lt;</v>
      </c>
      <c r="N336" s="6" t="str">
        <f t="array" ref="N336">_xlfn.IFNA((INDEX('DMR 001C TIN &amp; TP'!$A$3:$M$10005,MATCH(('Reg 85'!$I$6:$Q$6&amp;'Reg 85'!$M$10&amp;'Reg 85'!$B336),('DMR 001C TIN &amp; TP'!$E$3:$E$10005&amp;'DMR 001C TIN &amp; TP'!$B$3:$B$10005&amp;'DMR 001C TIN &amp; TP'!$A$3:$A$10005),0),MATCH('Reg 85'!$N$11,'DMR 001C TIN &amp; TP'!$A$2:$M$2,0))),"")</f>
        <v>0.15</v>
      </c>
      <c r="O336" s="6">
        <f t="array" ref="O336">_xlfn.IFNA((INDEX('DMR 001C TIN &amp; TP'!$A$3:$M$10005,MATCH(('Reg 85'!$I$6:$Q$6&amp;'Reg 85'!$M$10&amp;'Reg 85'!$B336),('DMR 001C TIN &amp; TP'!$E$3:$E$10005&amp;'DMR 001C TIN &amp; TP'!$B$3:$B$10005&amp;'DMR 001C TIN &amp; TP'!$A$3:$A$10005),0),MATCH('Reg 85'!$O$11,'DMR 001C TIN &amp; TP'!$A$2:$M$2,0))),"")</f>
        <v>0</v>
      </c>
      <c r="P336" s="53">
        <f t="shared" si="133"/>
        <v>0</v>
      </c>
      <c r="Q336" s="73">
        <f t="array" ref="Q336">IFERROR(((L336*$F336)+(P336*$G336))/($H336),"")</f>
        <v>0.57308699672038355</v>
      </c>
      <c r="R336" s="6" t="str">
        <f t="array" ref="R336">_xlfn.IFNA((INDEX('DMR 001C TIN &amp; TP'!$A$3:$M$10005,MATCH(('Reg 85'!$I$6:$Q$6&amp;'Reg 85'!R$10&amp;'Reg 85'!$B336),('DMR 001C TIN &amp; TP'!$E$3:$E$10005&amp;'DMR 001C TIN &amp; TP'!$B$3:$B$10005&amp;'DMR 001C TIN &amp; TP'!$A$3:$A$10005),0),MATCH('Reg 85'!$O$11,'DMR 001C TIN &amp; TP'!$A$2:$M$2,0))),"")</f>
        <v/>
      </c>
      <c r="S336" s="6" t="str">
        <f t="array" ref="S336">_xlfn.IFNA((INDEX('DMR 001C TIN &amp; TP'!$A$3:$M$10005,MATCH(('Reg 85'!$I$6:$Q$6&amp;'Reg 85'!S$10&amp;'Reg 85'!$B336),('DMR 001C TIN &amp; TP'!$E$3:$E$10005&amp;'DMR 001C TIN &amp; TP'!$B$3:$B$10005&amp;'DMR 001C TIN &amp; TP'!$A$3:$A$10005),0),MATCH('Reg 85'!$O$11,'DMR 001C TIN &amp; TP'!$A$2:$M$2,0))),"")</f>
        <v/>
      </c>
      <c r="T336" s="6" t="str">
        <f t="array" ref="T336">_xlfn.IFNA((INDEX('DMR 001C TIN &amp; TP'!$A$3:$M$10005,MATCH(('Reg 85'!$I$6:$Q$6&amp;'Reg 85'!T$10&amp;'Reg 85'!$B336),('DMR 001C TIN &amp; TP'!$E$3:$E$10005&amp;'DMR 001C TIN &amp; TP'!$B$3:$B$10005&amp;'DMR 001C TIN &amp; TP'!$A$3:$A$10005),0),MATCH('Reg 85'!$O$11,'DMR 001C TIN &amp; TP'!$A$2:$M$2,0))),"")</f>
        <v/>
      </c>
      <c r="U336" s="6" t="str">
        <f t="array" ref="U336">_xlfn.IFNA((INDEX('DMR 001C TIN &amp; TP'!$A$3:$M$10005,MATCH(('Reg 85'!$I$6:$Q$6&amp;'Reg 85'!U$10&amp;'Reg 85'!$B336),('DMR 001C TIN &amp; TP'!$E$3:$E$10005&amp;'DMR 001C TIN &amp; TP'!$B$3:$B$10005&amp;'DMR 001C TIN &amp; TP'!$A$3:$A$10005),0),MATCH('Reg 85'!$O$11,'DMR 001C TIN &amp; TP'!$A$2:$M$2,0))),"")</f>
        <v/>
      </c>
      <c r="V336" s="6" t="str">
        <f t="array" ref="V336">_xlfn.IFNA((INDEX('DMR 001C TIN &amp; TP'!$A$3:$M$10005,MATCH(('Reg 85'!$I$6:$Q$6&amp;'Reg 85'!V$10&amp;'Reg 85'!$B336),('DMR 001C TIN &amp; TP'!$E$3:$E$10005&amp;'DMR 001C TIN &amp; TP'!$B$3:$B$10005&amp;'DMR 001C TIN &amp; TP'!$A$3:$A$10005),0),MATCH('Reg 85'!$O$11,'DMR 001C TIN &amp; TP'!$A$2:$M$2,0))),"")</f>
        <v/>
      </c>
      <c r="W336" s="6" t="str">
        <f t="array" ref="W336">_xlfn.IFNA((INDEX('DMR 001C TIN &amp; TP'!$A$3:$M$10005,MATCH(('Reg 85'!$I$6:$Q$6&amp;'Reg 85'!W$10&amp;'Reg 85'!$B336),('DMR 001C TIN &amp; TP'!$E$3:$E$10005&amp;'DMR 001C TIN &amp; TP'!$B$3:$B$10005&amp;'DMR 001C TIN &amp; TP'!$A$3:$A$10005),0),MATCH('Reg 85'!$O$11,'DMR 001C TIN &amp; TP'!$A$2:$M$2,0))),"")</f>
        <v/>
      </c>
      <c r="X336" s="5" t="str">
        <f t="shared" si="134"/>
        <v/>
      </c>
      <c r="Y336" s="6" t="str">
        <f t="array" ref="Y336">_xlfn.IFNA((INDEX('DMR 001C TIN &amp; TP'!$A$3:$M$10005,MATCH(('Reg 85'!$X$6&amp;'Reg 85'!$X$10&amp;'Reg 85'!$B336),('DMR 001C TIN &amp; TP'!$E$3:$E$10005&amp;'DMR 001C TIN &amp; TP'!$B$3:$B$10005&amp;'DMR 001C TIN &amp; TP'!$A$3:$A$10005),0),MATCH('Reg 85'!$Y$11,'DMR 001C TIN &amp; TP'!$A$2:$M$2,0))),"")</f>
        <v>0.06</v>
      </c>
      <c r="Z336" s="6">
        <f t="array" ref="Z336">_xlfn.IFNA((INDEX('DMR 001C TIN &amp; TP'!$A$3:$M$10005,MATCH(('Reg 85'!$X$6&amp;'Reg 85'!$X$10&amp;'Reg 85'!$B336),('DMR 001C TIN &amp; TP'!$E$3:$E$10005&amp;'DMR 001C TIN &amp; TP'!$B$3:$B$10005&amp;'DMR 001C TIN &amp; TP'!$A$3:$A$10005),0),MATCH('Reg 85'!$Z$11,'DMR 001C TIN &amp; TP'!$A$2:$M$2,0))),"")</f>
        <v>4.3600000000000003</v>
      </c>
      <c r="AA336" s="53">
        <f t="shared" si="135"/>
        <v>4.3600000000000003</v>
      </c>
      <c r="AB336" s="5" t="str">
        <f t="shared" si="136"/>
        <v/>
      </c>
      <c r="AC336" s="6" t="str">
        <f t="array" ref="AC336">_xlfn.IFNA((INDEX('DMR 001C TIN &amp; TP'!$A$3:$M$10005,MATCH(('Reg 85'!$X$6&amp;'Reg 85'!$AB$10&amp;'Reg 85'!$B336),('DMR 001C TIN &amp; TP'!$E$3:$E$10005&amp;'DMR 001C TIN &amp; TP'!$B$3:$B$10005&amp;'DMR 001C TIN &amp; TP'!$A$3:$A$10005),0),MATCH('Reg 85'!$AC$11,'DMR 001C TIN &amp; TP'!$A$2:$M$2,0))),"")</f>
        <v>0.12</v>
      </c>
      <c r="AD336" s="6">
        <f t="array" ref="AD336">_xlfn.IFNA((INDEX('DMR 001C TIN &amp; TP'!$A$3:$M$10005,MATCH(('Reg 85'!$X$6&amp;'Reg 85'!$AB$10&amp;'Reg 85'!$B336),('DMR 001C TIN &amp; TP'!$E$3:$E$10005&amp;'DMR 001C TIN &amp; TP'!$B$3:$B$10005&amp;'DMR 001C TIN &amp; TP'!$A$3:$A$10005),0),MATCH('Reg 85'!$AD$11,'DMR 001C TIN &amp; TP'!$A$2:$M$2,0))),"")</f>
        <v>5.52</v>
      </c>
      <c r="AE336" s="53">
        <f t="shared" si="137"/>
        <v>5.52</v>
      </c>
      <c r="AF336" s="7">
        <f t="shared" si="138"/>
        <v>5.0046659564374849</v>
      </c>
      <c r="AG336" s="6" t="str">
        <f t="array" ref="AG336">_xlfn.IFNA((INDEX('DMR 001C TIN &amp; TP'!$A$3:$M$10005,MATCH(('Reg 85'!$X$6&amp;'Reg 85'!AG$10&amp;'Reg 85'!$B336),('DMR 001C TIN &amp; TP'!$E$3:$E$10005&amp;'DMR 001C TIN &amp; TP'!$B$3:$B$10005&amp;'DMR 001C TIN &amp; TP'!$A$3:$A$10005),0),MATCH('Reg 85'!$AG$11,'DMR 001C TIN &amp; TP'!$A$2:$M$2,0))),"")</f>
        <v/>
      </c>
      <c r="AH336" s="6" t="str">
        <f t="array" ref="AH336">_xlfn.IFNA((INDEX('DMR 001C TIN &amp; TP'!$A$3:$M$10005,MATCH(('Reg 85'!$X$6&amp;'Reg 85'!AH$10&amp;'Reg 85'!$B336),('DMR 001C TIN &amp; TP'!$E$3:$E$10005&amp;'DMR 001C TIN &amp; TP'!$B$3:$B$10005&amp;'DMR 001C TIN &amp; TP'!$A$3:$A$10005),0),MATCH('Reg 85'!$AG$11,'DMR 001C TIN &amp; TP'!$A$2:$M$2,0))),"")</f>
        <v/>
      </c>
      <c r="AI336" s="6" t="str">
        <f t="array" ref="AI336">_xlfn.IFNA((INDEX('DMR 001C TIN &amp; TP'!$A$3:$M$10005,MATCH(('Reg 85'!$X$6&amp;'Reg 85'!AI$10&amp;'Reg 85'!$B336),('DMR 001C TIN &amp; TP'!$E$3:$E$10005&amp;'DMR 001C TIN &amp; TP'!$B$3:$B$10005&amp;'DMR 001C TIN &amp; TP'!$A$3:$A$10005),0),MATCH('Reg 85'!$AG$11,'DMR 001C TIN &amp; TP'!$A$2:$M$2,0))),"")</f>
        <v/>
      </c>
      <c r="AJ336" s="6" t="str">
        <f t="array" ref="AJ336">_xlfn.IFNA((INDEX('DMR 001C TIN &amp; TP'!$A$3:$M$10005,MATCH(('Reg 85'!$X$6&amp;'Reg 85'!AJ$10&amp;'Reg 85'!$B336),('DMR 001C TIN &amp; TP'!$E$3:$E$10005&amp;'DMR 001C TIN &amp; TP'!$B$3:$B$10005&amp;'DMR 001C TIN &amp; TP'!$A$3:$A$10005),0),MATCH('Reg 85'!$AG$11,'DMR 001C TIN &amp; TP'!$A$2:$M$2,0))),"")</f>
        <v/>
      </c>
      <c r="AK336" s="6" t="str">
        <f t="array" ref="AK336">_xlfn.IFNA((INDEX('DMR 001C TIN &amp; TP'!$A$3:$M$10005,MATCH(('Reg 85'!$X$6&amp;'Reg 85'!AK$10&amp;'Reg 85'!$B336),('DMR 001C TIN &amp; TP'!$E$3:$E$10005&amp;'DMR 001C TIN &amp; TP'!$B$3:$B$10005&amp;'DMR 001C TIN &amp; TP'!$A$3:$A$10005),0),MATCH('Reg 85'!$AG$11,'DMR 001C TIN &amp; TP'!$A$2:$M$2,0))),"")</f>
        <v/>
      </c>
      <c r="AL336" s="6" t="str">
        <f t="array" ref="AL336">_xlfn.IFNA((INDEX('DMR 001C TIN &amp; TP'!$A$3:$M$10005,MATCH(('Reg 85'!$X$6&amp;'Reg 85'!AL$10&amp;'Reg 85'!$B336),('DMR 001C TIN &amp; TP'!$E$3:$E$10005&amp;'DMR 001C TIN &amp; TP'!$B$3:$B$10005&amp;'DMR 001C TIN &amp; TP'!$A$3:$A$10005),0),MATCH('Reg 85'!$AG$11,'DMR 001C TIN &amp; TP'!$A$2:$M$2,0))),"")</f>
        <v/>
      </c>
      <c r="AM336" s="76"/>
      <c r="AN336" s="6"/>
      <c r="AO336" s="54">
        <f t="shared" si="125"/>
        <v>5.5777529531578685</v>
      </c>
      <c r="AP336" s="77" t="str">
        <f t="shared" si="123"/>
        <v/>
      </c>
      <c r="AQ336" s="47"/>
      <c r="AR336" s="6" t="str">
        <f t="array" ref="AR336">_xlfn.IFNA((INDEX('DMR 001C TIN &amp; TP'!$A$3:$M$10005,MATCH(('Reg 85'!$AQ$6&amp;'Reg 85'!$AQ$10&amp;'Reg 85'!$B336),('DMR 001C TIN &amp; TP'!$E$3:$E$10005&amp;'DMR 001C TIN &amp; TP'!$B$3:$B$10005&amp;'DMR 001C TIN &amp; TP'!$A$3:$A$10005),0),MATCH('Reg 85'!$AR$11,'DMR 001C TIN &amp; TP'!$A$2:$M$2,0))),"")</f>
        <v/>
      </c>
      <c r="AS336" s="6" t="str">
        <f t="array" ref="AS336">_xlfn.IFNA((INDEX('DMR 001C TIN &amp; TP'!$A$3:$M$10005,MATCH(('Reg 85'!$AQ$6&amp;'Reg 85'!$AQ$10&amp;'Reg 85'!$B336),('DMR 001C TIN &amp; TP'!$E$3:$E$10005&amp;'DMR 001C TIN &amp; TP'!$B$3:$B$10005&amp;'DMR 001C TIN &amp; TP'!$A$3:$A$10005),0),MATCH('Reg 85'!$AS$11,'DMR 001C TIN &amp; TP'!$A$2:$M$2,0))),"")</f>
        <v/>
      </c>
      <c r="AT336" s="53" t="str">
        <f t="shared" si="139"/>
        <v/>
      </c>
      <c r="AV336" s="6" t="str">
        <f t="array" ref="AV336">_xlfn.IFNA((INDEX('DMR 001C TIN &amp; TP'!$A$3:$M$10005,MATCH(('Reg 85'!$AQ$6&amp;'Reg 85'!$AU$10&amp;'Reg 85'!$B336),('DMR 001C TIN &amp; TP'!$E$3:$E$10005&amp;'DMR 001C TIN &amp; TP'!$B$3:$B$10005&amp;'DMR 001C TIN &amp; TP'!$A$3:$A$10005),0),MATCH('Reg 85'!$AV$11,'DMR 001C TIN &amp; TP'!$A$2:$M$2,0))),"")</f>
        <v/>
      </c>
      <c r="AW336" s="6" t="str">
        <f t="array" ref="AW336">_xlfn.IFNA((INDEX('DMR 001C TIN &amp; TP'!$A$3:$M$10005,MATCH(('Reg 85'!$AQ$6&amp;'Reg 85'!$AU$10&amp;'Reg 85'!$B336),('DMR 001C TIN &amp; TP'!$E$3:$E$10005&amp;'DMR 001C TIN &amp; TP'!$B$3:$B$10005&amp;'DMR 001C TIN &amp; TP'!$A$3:$A$10005),0),MATCH('Reg 85'!$AW$11,'DMR 001C TIN &amp; TP'!$A$2:$M$2,0))),"")</f>
        <v/>
      </c>
      <c r="AX336" s="53" t="str">
        <f t="shared" si="140"/>
        <v/>
      </c>
      <c r="AY336" s="55" t="str">
        <f t="shared" si="141"/>
        <v/>
      </c>
      <c r="AZ336" s="77" t="str">
        <f t="shared" si="124"/>
        <v/>
      </c>
      <c r="BA336" s="6" t="str">
        <f t="array" ref="BA336">_xlfn.IFNA((INDEX('DMR 001C TIN &amp; TP'!$A$3:$M$10005,MATCH(('Reg 85'!$AQ$6&amp;'Reg 85'!BA$10&amp;'Reg 85'!$B336),('DMR 001C TIN &amp; TP'!$E$3:$E$10005&amp;'DMR 001C TIN &amp; TP'!$B$3:$B$10005&amp;'DMR 001C TIN &amp; TP'!$A$3:$A$10005),0),MATCH('Reg 85'!$AG$11,'DMR 001C TIN &amp; TP'!$A$2:$M$2,0))),"")</f>
        <v/>
      </c>
      <c r="BB336" s="6" t="str">
        <f t="array" ref="BB336">_xlfn.IFNA((INDEX('DMR 001C TIN &amp; TP'!$A$3:$M$10005,MATCH(('Reg 85'!$AQ$6&amp;'Reg 85'!BB$10&amp;'Reg 85'!$B336),('DMR 001C TIN &amp; TP'!$E$3:$E$10005&amp;'DMR 001C TIN &amp; TP'!$B$3:$B$10005&amp;'DMR 001C TIN &amp; TP'!$A$3:$A$10005),0),MATCH('Reg 85'!$AG$11,'DMR 001C TIN &amp; TP'!$A$2:$M$2,0))),"")</f>
        <v/>
      </c>
      <c r="BC336" s="6" t="str">
        <f t="array" ref="BC336">_xlfn.IFNA((INDEX('DMR 001C TIN &amp; TP'!$A$3:$M$10005,MATCH(('Reg 85'!$AQ$6&amp;'Reg 85'!BC$10&amp;'Reg 85'!$B336),('DMR 001C TIN &amp; TP'!$E$3:$E$10005&amp;'DMR 001C TIN &amp; TP'!$B$3:$B$10005&amp;'DMR 001C TIN &amp; TP'!$A$3:$A$10005),0),MATCH('Reg 85'!$AG$11,'DMR 001C TIN &amp; TP'!$A$2:$M$2,0))),"")</f>
        <v/>
      </c>
      <c r="BD336" s="6" t="str">
        <f t="array" ref="BD336">_xlfn.IFNA((INDEX('DMR 001C TIN &amp; TP'!$A$3:$M$10005,MATCH(('Reg 85'!$AQ$6&amp;'Reg 85'!BD$10&amp;'Reg 85'!$B336),('DMR 001C TIN &amp; TP'!$E$3:$E$10005&amp;'DMR 001C TIN &amp; TP'!$B$3:$B$10005&amp;'DMR 001C TIN &amp; TP'!$A$3:$A$10005),0),MATCH('Reg 85'!$AG$11,'DMR 001C TIN &amp; TP'!$A$2:$M$2,0))),"")</f>
        <v/>
      </c>
      <c r="BE336" s="6" t="str">
        <f t="array" ref="BE336">_xlfn.IFNA((INDEX('DMR 001C TIN &amp; TP'!$A$3:$M$10005,MATCH(('Reg 85'!$AQ$6&amp;'Reg 85'!BE$10&amp;'Reg 85'!$B336),('DMR 001C TIN &amp; TP'!$E$3:$E$10005&amp;'DMR 001C TIN &amp; TP'!$B$3:$B$10005&amp;'DMR 001C TIN &amp; TP'!$A$3:$A$10005),0),MATCH('Reg 85'!$AG$11,'DMR 001C TIN &amp; TP'!$A$2:$M$2,0))),"")</f>
        <v/>
      </c>
      <c r="BF336" s="6" t="str">
        <f t="array" ref="BF336">_xlfn.IFNA((INDEX('DMR 001C TIN &amp; TP'!$A$3:$M$10005,MATCH(('Reg 85'!$AQ$6&amp;'Reg 85'!BF$10&amp;'Reg 85'!$B336),('DMR 001C TIN &amp; TP'!$E$3:$E$10005&amp;'DMR 001C TIN &amp; TP'!$B$3:$B$10005&amp;'DMR 001C TIN &amp; TP'!$A$3:$A$10005),0),MATCH('Reg 85'!$AG$11,'DMR 001C TIN &amp; TP'!$A$2:$M$2,0))),"")</f>
        <v/>
      </c>
    </row>
    <row r="337" spans="1:58">
      <c r="A337" s="3" t="str">
        <f t="shared" si="126"/>
        <v>Tue</v>
      </c>
      <c r="B337" s="96">
        <f t="shared" si="142"/>
        <v>43669</v>
      </c>
      <c r="C337" s="96">
        <f t="shared" si="127"/>
        <v>43677</v>
      </c>
      <c r="D337" s="96">
        <f t="shared" si="128"/>
        <v>43647</v>
      </c>
      <c r="E337" s="95">
        <f t="shared" si="129"/>
        <v>31</v>
      </c>
      <c r="F337" s="7">
        <f t="array" ref="F337">_xlfn.IFNA(INDEX('DMR Flows-Effluent'!$A$3:$F$9999,MATCH(($F$10&amp;$B337),('DMR Flows-Effluent'!$B$3:$B$9999&amp;'DMR Flows-Effluent'!$A$3:$A$9999),0),MATCH($F$8,'DMR Flows-Effluent'!$A$2:$F$2,0)),"")</f>
        <v>53.346499999999999</v>
      </c>
      <c r="G337" s="7">
        <f t="array" ref="G337">_xlfn.IFNA(INDEX('DMR Flows-Effluent'!$A$3:$F$9999,MATCH(($G$10&amp;$B337),('DMR Flows-Effluent'!$B$3:$B$9999&amp;'DMR Flows-Effluent'!$A$3:$A$9999),0),MATCH($F$8,'DMR Flows-Effluent'!$A$2:$F$2,0)),"")</f>
        <v>78.351799999999997</v>
      </c>
      <c r="H337" s="7">
        <f t="shared" si="130"/>
        <v>131.69829999999999</v>
      </c>
      <c r="I337" s="45" t="str">
        <f t="shared" si="131"/>
        <v/>
      </c>
      <c r="J337" s="6" t="str">
        <f t="array" ref="J337">_xlfn.IFNA((INDEX('DMR 001C TIN &amp; TP'!$A$3:$M$10005,MATCH(('Reg 85'!$I$6:$Q$6&amp;'Reg 85'!$I$10:$K$10&amp;'Reg 85'!$B337),('DMR 001C TIN &amp; TP'!$E$3:$E$10005&amp;'DMR 001C TIN &amp; TP'!$B$3:$B$10005&amp;'DMR 001C TIN &amp; TP'!$A$3:$A$10005),0),MATCH('Reg 85'!$J$11,'DMR 001C TIN &amp; TP'!$A$2:$M$2,0))),"")</f>
        <v/>
      </c>
      <c r="K337" s="6" t="str">
        <f t="array" ref="K337">_xlfn.IFNA((INDEX('DMR 001C TIN &amp; TP'!$A$3:$M$10005,MATCH(('Reg 85'!$I$6:$Q$6&amp;'Reg 85'!$I$10:$K$10&amp;'Reg 85'!$B337),('DMR 001C TIN &amp; TP'!$E$3:$E$10005&amp;'DMR 001C TIN &amp; TP'!$B$3:$B$10005&amp;'DMR 001C TIN &amp; TP'!$A$3:$A$10005),0),MATCH('Reg 85'!$K$11,'DMR 001C TIN &amp; TP'!$A$2:$M$2,0))),"")</f>
        <v/>
      </c>
      <c r="L337" s="53" t="str">
        <f t="shared" si="143"/>
        <v/>
      </c>
      <c r="M337" s="5" t="str">
        <f t="shared" si="132"/>
        <v/>
      </c>
      <c r="N337" s="6" t="str">
        <f t="array" ref="N337">_xlfn.IFNA((INDEX('DMR 001C TIN &amp; TP'!$A$3:$M$10005,MATCH(('Reg 85'!$I$6:$Q$6&amp;'Reg 85'!$M$10&amp;'Reg 85'!$B337),('DMR 001C TIN &amp; TP'!$E$3:$E$10005&amp;'DMR 001C TIN &amp; TP'!$B$3:$B$10005&amp;'DMR 001C TIN &amp; TP'!$A$3:$A$10005),0),MATCH('Reg 85'!$N$11,'DMR 001C TIN &amp; TP'!$A$2:$M$2,0))),"")</f>
        <v/>
      </c>
      <c r="O337" s="6" t="str">
        <f t="array" ref="O337">_xlfn.IFNA((INDEX('DMR 001C TIN &amp; TP'!$A$3:$M$10005,MATCH(('Reg 85'!$I$6:$Q$6&amp;'Reg 85'!$M$10&amp;'Reg 85'!$B337),('DMR 001C TIN &amp; TP'!$E$3:$E$10005&amp;'DMR 001C TIN &amp; TP'!$B$3:$B$10005&amp;'DMR 001C TIN &amp; TP'!$A$3:$A$10005),0),MATCH('Reg 85'!$O$11,'DMR 001C TIN &amp; TP'!$A$2:$M$2,0))),"")</f>
        <v/>
      </c>
      <c r="P337" s="53" t="str">
        <f t="shared" si="133"/>
        <v/>
      </c>
      <c r="Q337" s="73" t="str">
        <f t="array" ref="Q337">IFERROR(((L337*$F337)+(P337*$G337))/($H337),"")</f>
        <v/>
      </c>
      <c r="R337" s="6" t="str">
        <f t="array" ref="R337">_xlfn.IFNA((INDEX('DMR 001C TIN &amp; TP'!$A$3:$M$10005,MATCH(('Reg 85'!$I$6:$Q$6&amp;'Reg 85'!R$10&amp;'Reg 85'!$B337),('DMR 001C TIN &amp; TP'!$E$3:$E$10005&amp;'DMR 001C TIN &amp; TP'!$B$3:$B$10005&amp;'DMR 001C TIN &amp; TP'!$A$3:$A$10005),0),MATCH('Reg 85'!$O$11,'DMR 001C TIN &amp; TP'!$A$2:$M$2,0))),"")</f>
        <v/>
      </c>
      <c r="S337" s="6" t="str">
        <f t="array" ref="S337">_xlfn.IFNA((INDEX('DMR 001C TIN &amp; TP'!$A$3:$M$10005,MATCH(('Reg 85'!$I$6:$Q$6&amp;'Reg 85'!S$10&amp;'Reg 85'!$B337),('DMR 001C TIN &amp; TP'!$E$3:$E$10005&amp;'DMR 001C TIN &amp; TP'!$B$3:$B$10005&amp;'DMR 001C TIN &amp; TP'!$A$3:$A$10005),0),MATCH('Reg 85'!$O$11,'DMR 001C TIN &amp; TP'!$A$2:$M$2,0))),"")</f>
        <v/>
      </c>
      <c r="T337" s="6" t="str">
        <f t="array" ref="T337">_xlfn.IFNA((INDEX('DMR 001C TIN &amp; TP'!$A$3:$M$10005,MATCH(('Reg 85'!$I$6:$Q$6&amp;'Reg 85'!T$10&amp;'Reg 85'!$B337),('DMR 001C TIN &amp; TP'!$E$3:$E$10005&amp;'DMR 001C TIN &amp; TP'!$B$3:$B$10005&amp;'DMR 001C TIN &amp; TP'!$A$3:$A$10005),0),MATCH('Reg 85'!$O$11,'DMR 001C TIN &amp; TP'!$A$2:$M$2,0))),"")</f>
        <v/>
      </c>
      <c r="U337" s="6" t="str">
        <f t="array" ref="U337">_xlfn.IFNA((INDEX('DMR 001C TIN &amp; TP'!$A$3:$M$10005,MATCH(('Reg 85'!$I$6:$Q$6&amp;'Reg 85'!U$10&amp;'Reg 85'!$B337),('DMR 001C TIN &amp; TP'!$E$3:$E$10005&amp;'DMR 001C TIN &amp; TP'!$B$3:$B$10005&amp;'DMR 001C TIN &amp; TP'!$A$3:$A$10005),0),MATCH('Reg 85'!$O$11,'DMR 001C TIN &amp; TP'!$A$2:$M$2,0))),"")</f>
        <v/>
      </c>
      <c r="V337" s="6" t="str">
        <f t="array" ref="V337">_xlfn.IFNA((INDEX('DMR 001C TIN &amp; TP'!$A$3:$M$10005,MATCH(('Reg 85'!$I$6:$Q$6&amp;'Reg 85'!V$10&amp;'Reg 85'!$B337),('DMR 001C TIN &amp; TP'!$E$3:$E$10005&amp;'DMR 001C TIN &amp; TP'!$B$3:$B$10005&amp;'DMR 001C TIN &amp; TP'!$A$3:$A$10005),0),MATCH('Reg 85'!$O$11,'DMR 001C TIN &amp; TP'!$A$2:$M$2,0))),"")</f>
        <v/>
      </c>
      <c r="W337" s="6" t="str">
        <f t="array" ref="W337">_xlfn.IFNA((INDEX('DMR 001C TIN &amp; TP'!$A$3:$M$10005,MATCH(('Reg 85'!$I$6:$Q$6&amp;'Reg 85'!W$10&amp;'Reg 85'!$B337),('DMR 001C TIN &amp; TP'!$E$3:$E$10005&amp;'DMR 001C TIN &amp; TP'!$B$3:$B$10005&amp;'DMR 001C TIN &amp; TP'!$A$3:$A$10005),0),MATCH('Reg 85'!$O$11,'DMR 001C TIN &amp; TP'!$A$2:$M$2,0))),"")</f>
        <v/>
      </c>
      <c r="X337" s="5" t="str">
        <f t="shared" si="134"/>
        <v/>
      </c>
      <c r="Y337" s="6" t="str">
        <f t="array" ref="Y337">_xlfn.IFNA((INDEX('DMR 001C TIN &amp; TP'!$A$3:$M$10005,MATCH(('Reg 85'!$X$6&amp;'Reg 85'!$X$10&amp;'Reg 85'!$B337),('DMR 001C TIN &amp; TP'!$E$3:$E$10005&amp;'DMR 001C TIN &amp; TP'!$B$3:$B$10005&amp;'DMR 001C TIN &amp; TP'!$A$3:$A$10005),0),MATCH('Reg 85'!$Y$11,'DMR 001C TIN &amp; TP'!$A$2:$M$2,0))),"")</f>
        <v/>
      </c>
      <c r="Z337" s="6" t="str">
        <f t="array" ref="Z337">_xlfn.IFNA((INDEX('DMR 001C TIN &amp; TP'!$A$3:$M$10005,MATCH(('Reg 85'!$X$6&amp;'Reg 85'!$X$10&amp;'Reg 85'!$B337),('DMR 001C TIN &amp; TP'!$E$3:$E$10005&amp;'DMR 001C TIN &amp; TP'!$B$3:$B$10005&amp;'DMR 001C TIN &amp; TP'!$A$3:$A$10005),0),MATCH('Reg 85'!$Z$11,'DMR 001C TIN &amp; TP'!$A$2:$M$2,0))),"")</f>
        <v/>
      </c>
      <c r="AA337" s="53" t="str">
        <f t="shared" si="135"/>
        <v/>
      </c>
      <c r="AB337" s="5" t="str">
        <f t="shared" si="136"/>
        <v/>
      </c>
      <c r="AC337" s="6" t="str">
        <f t="array" ref="AC337">_xlfn.IFNA((INDEX('DMR 001C TIN &amp; TP'!$A$3:$M$10005,MATCH(('Reg 85'!$X$6&amp;'Reg 85'!$AB$10&amp;'Reg 85'!$B337),('DMR 001C TIN &amp; TP'!$E$3:$E$10005&amp;'DMR 001C TIN &amp; TP'!$B$3:$B$10005&amp;'DMR 001C TIN &amp; TP'!$A$3:$A$10005),0),MATCH('Reg 85'!$AC$11,'DMR 001C TIN &amp; TP'!$A$2:$M$2,0))),"")</f>
        <v/>
      </c>
      <c r="AD337" s="6" t="str">
        <f t="array" ref="AD337">_xlfn.IFNA((INDEX('DMR 001C TIN &amp; TP'!$A$3:$M$10005,MATCH(('Reg 85'!$X$6&amp;'Reg 85'!$AB$10&amp;'Reg 85'!$B337),('DMR 001C TIN &amp; TP'!$E$3:$E$10005&amp;'DMR 001C TIN &amp; TP'!$B$3:$B$10005&amp;'DMR 001C TIN &amp; TP'!$A$3:$A$10005),0),MATCH('Reg 85'!$AD$11,'DMR 001C TIN &amp; TP'!$A$2:$M$2,0))),"")</f>
        <v/>
      </c>
      <c r="AE337" s="53" t="str">
        <f t="shared" si="137"/>
        <v/>
      </c>
      <c r="AF337" s="7" t="str">
        <f t="shared" si="138"/>
        <v/>
      </c>
      <c r="AG337" s="6" t="str">
        <f t="array" ref="AG337">_xlfn.IFNA((INDEX('DMR 001C TIN &amp; TP'!$A$3:$M$10005,MATCH(('Reg 85'!$X$6&amp;'Reg 85'!AG$10&amp;'Reg 85'!$B337),('DMR 001C TIN &amp; TP'!$E$3:$E$10005&amp;'DMR 001C TIN &amp; TP'!$B$3:$B$10005&amp;'DMR 001C TIN &amp; TP'!$A$3:$A$10005),0),MATCH('Reg 85'!$AG$11,'DMR 001C TIN &amp; TP'!$A$2:$M$2,0))),"")</f>
        <v/>
      </c>
      <c r="AH337" s="6" t="str">
        <f t="array" ref="AH337">_xlfn.IFNA((INDEX('DMR 001C TIN &amp; TP'!$A$3:$M$10005,MATCH(('Reg 85'!$X$6&amp;'Reg 85'!AH$10&amp;'Reg 85'!$B337),('DMR 001C TIN &amp; TP'!$E$3:$E$10005&amp;'DMR 001C TIN &amp; TP'!$B$3:$B$10005&amp;'DMR 001C TIN &amp; TP'!$A$3:$A$10005),0),MATCH('Reg 85'!$AG$11,'DMR 001C TIN &amp; TP'!$A$2:$M$2,0))),"")</f>
        <v/>
      </c>
      <c r="AI337" s="6" t="str">
        <f t="array" ref="AI337">_xlfn.IFNA((INDEX('DMR 001C TIN &amp; TP'!$A$3:$M$10005,MATCH(('Reg 85'!$X$6&amp;'Reg 85'!AI$10&amp;'Reg 85'!$B337),('DMR 001C TIN &amp; TP'!$E$3:$E$10005&amp;'DMR 001C TIN &amp; TP'!$B$3:$B$10005&amp;'DMR 001C TIN &amp; TP'!$A$3:$A$10005),0),MATCH('Reg 85'!$AG$11,'DMR 001C TIN &amp; TP'!$A$2:$M$2,0))),"")</f>
        <v/>
      </c>
      <c r="AJ337" s="6" t="str">
        <f t="array" ref="AJ337">_xlfn.IFNA((INDEX('DMR 001C TIN &amp; TP'!$A$3:$M$10005,MATCH(('Reg 85'!$X$6&amp;'Reg 85'!AJ$10&amp;'Reg 85'!$B337),('DMR 001C TIN &amp; TP'!$E$3:$E$10005&amp;'DMR 001C TIN &amp; TP'!$B$3:$B$10005&amp;'DMR 001C TIN &amp; TP'!$A$3:$A$10005),0),MATCH('Reg 85'!$AG$11,'DMR 001C TIN &amp; TP'!$A$2:$M$2,0))),"")</f>
        <v/>
      </c>
      <c r="AK337" s="6" t="str">
        <f t="array" ref="AK337">_xlfn.IFNA((INDEX('DMR 001C TIN &amp; TP'!$A$3:$M$10005,MATCH(('Reg 85'!$X$6&amp;'Reg 85'!AK$10&amp;'Reg 85'!$B337),('DMR 001C TIN &amp; TP'!$E$3:$E$10005&amp;'DMR 001C TIN &amp; TP'!$B$3:$B$10005&amp;'DMR 001C TIN &amp; TP'!$A$3:$A$10005),0),MATCH('Reg 85'!$AG$11,'DMR 001C TIN &amp; TP'!$A$2:$M$2,0))),"")</f>
        <v/>
      </c>
      <c r="AL337" s="6" t="str">
        <f t="array" ref="AL337">_xlfn.IFNA((INDEX('DMR 001C TIN &amp; TP'!$A$3:$M$10005,MATCH(('Reg 85'!$X$6&amp;'Reg 85'!AL$10&amp;'Reg 85'!$B337),('DMR 001C TIN &amp; TP'!$E$3:$E$10005&amp;'DMR 001C TIN &amp; TP'!$B$3:$B$10005&amp;'DMR 001C TIN &amp; TP'!$A$3:$A$10005),0),MATCH('Reg 85'!$AG$11,'DMR 001C TIN &amp; TP'!$A$2:$M$2,0))),"")</f>
        <v/>
      </c>
      <c r="AM337" s="76"/>
      <c r="AN337" s="6"/>
      <c r="AO337" s="54" t="str">
        <f t="shared" si="125"/>
        <v/>
      </c>
      <c r="AP337" s="77" t="str">
        <f t="shared" si="123"/>
        <v/>
      </c>
      <c r="AQ337" s="47"/>
      <c r="AR337" s="6" t="str">
        <f t="array" ref="AR337">_xlfn.IFNA((INDEX('DMR 001C TIN &amp; TP'!$A$3:$M$10005,MATCH(('Reg 85'!$AQ$6&amp;'Reg 85'!$AQ$10&amp;'Reg 85'!$B337),('DMR 001C TIN &amp; TP'!$E$3:$E$10005&amp;'DMR 001C TIN &amp; TP'!$B$3:$B$10005&amp;'DMR 001C TIN &amp; TP'!$A$3:$A$10005),0),MATCH('Reg 85'!$AR$11,'DMR 001C TIN &amp; TP'!$A$2:$M$2,0))),"")</f>
        <v>0.03</v>
      </c>
      <c r="AS337" s="6">
        <f t="array" ref="AS337">_xlfn.IFNA((INDEX('DMR 001C TIN &amp; TP'!$A$3:$M$10005,MATCH(('Reg 85'!$AQ$6&amp;'Reg 85'!$AQ$10&amp;'Reg 85'!$B337),('DMR 001C TIN &amp; TP'!$E$3:$E$10005&amp;'DMR 001C TIN &amp; TP'!$B$3:$B$10005&amp;'DMR 001C TIN &amp; TP'!$A$3:$A$10005),0),MATCH('Reg 85'!$AS$11,'DMR 001C TIN &amp; TP'!$A$2:$M$2,0))),"")</f>
        <v>0.34</v>
      </c>
      <c r="AT337" s="53">
        <f t="shared" si="139"/>
        <v>0.34</v>
      </c>
      <c r="AV337" s="6" t="str">
        <f t="array" ref="AV337">_xlfn.IFNA((INDEX('DMR 001C TIN &amp; TP'!$A$3:$M$10005,MATCH(('Reg 85'!$AQ$6&amp;'Reg 85'!$AU$10&amp;'Reg 85'!$B337),('DMR 001C TIN &amp; TP'!$E$3:$E$10005&amp;'DMR 001C TIN &amp; TP'!$B$3:$B$10005&amp;'DMR 001C TIN &amp; TP'!$A$3:$A$10005),0),MATCH('Reg 85'!$AV$11,'DMR 001C TIN &amp; TP'!$A$2:$M$2,0))),"")</f>
        <v>0.06</v>
      </c>
      <c r="AW337" s="6">
        <f t="array" ref="AW337">_xlfn.IFNA((INDEX('DMR 001C TIN &amp; TP'!$A$3:$M$10005,MATCH(('Reg 85'!$AQ$6&amp;'Reg 85'!$AU$10&amp;'Reg 85'!$B337),('DMR 001C TIN &amp; TP'!$E$3:$E$10005&amp;'DMR 001C TIN &amp; TP'!$B$3:$B$10005&amp;'DMR 001C TIN &amp; TP'!$A$3:$A$10005),0),MATCH('Reg 85'!$AW$11,'DMR 001C TIN &amp; TP'!$A$2:$M$2,0))),"")</f>
        <v>2.02</v>
      </c>
      <c r="AX337" s="53">
        <f t="shared" si="140"/>
        <v>2.02</v>
      </c>
      <c r="AY337" s="55">
        <f t="shared" si="141"/>
        <v>1.3394891657675156</v>
      </c>
      <c r="AZ337" s="77" t="str">
        <f t="shared" si="124"/>
        <v/>
      </c>
      <c r="BA337" s="6" t="str">
        <f t="array" ref="BA337">_xlfn.IFNA((INDEX('DMR 001C TIN &amp; TP'!$A$3:$M$10005,MATCH(('Reg 85'!$AQ$6&amp;'Reg 85'!BA$10&amp;'Reg 85'!$B337),('DMR 001C TIN &amp; TP'!$E$3:$E$10005&amp;'DMR 001C TIN &amp; TP'!$B$3:$B$10005&amp;'DMR 001C TIN &amp; TP'!$A$3:$A$10005),0),MATCH('Reg 85'!$AG$11,'DMR 001C TIN &amp; TP'!$A$2:$M$2,0))),"")</f>
        <v/>
      </c>
      <c r="BB337" s="6" t="str">
        <f t="array" ref="BB337">_xlfn.IFNA((INDEX('DMR 001C TIN &amp; TP'!$A$3:$M$10005,MATCH(('Reg 85'!$AQ$6&amp;'Reg 85'!BB$10&amp;'Reg 85'!$B337),('DMR 001C TIN &amp; TP'!$E$3:$E$10005&amp;'DMR 001C TIN &amp; TP'!$B$3:$B$10005&amp;'DMR 001C TIN &amp; TP'!$A$3:$A$10005),0),MATCH('Reg 85'!$AG$11,'DMR 001C TIN &amp; TP'!$A$2:$M$2,0))),"")</f>
        <v/>
      </c>
      <c r="BC337" s="6" t="str">
        <f t="array" ref="BC337">_xlfn.IFNA((INDEX('DMR 001C TIN &amp; TP'!$A$3:$M$10005,MATCH(('Reg 85'!$AQ$6&amp;'Reg 85'!BC$10&amp;'Reg 85'!$B337),('DMR 001C TIN &amp; TP'!$E$3:$E$10005&amp;'DMR 001C TIN &amp; TP'!$B$3:$B$10005&amp;'DMR 001C TIN &amp; TP'!$A$3:$A$10005),0),MATCH('Reg 85'!$AG$11,'DMR 001C TIN &amp; TP'!$A$2:$M$2,0))),"")</f>
        <v/>
      </c>
      <c r="BD337" s="6" t="str">
        <f t="array" ref="BD337">_xlfn.IFNA((INDEX('DMR 001C TIN &amp; TP'!$A$3:$M$10005,MATCH(('Reg 85'!$AQ$6&amp;'Reg 85'!BD$10&amp;'Reg 85'!$B337),('DMR 001C TIN &amp; TP'!$E$3:$E$10005&amp;'DMR 001C TIN &amp; TP'!$B$3:$B$10005&amp;'DMR 001C TIN &amp; TP'!$A$3:$A$10005),0),MATCH('Reg 85'!$AG$11,'DMR 001C TIN &amp; TP'!$A$2:$M$2,0))),"")</f>
        <v/>
      </c>
      <c r="BE337" s="6" t="str">
        <f t="array" ref="BE337">_xlfn.IFNA((INDEX('DMR 001C TIN &amp; TP'!$A$3:$M$10005,MATCH(('Reg 85'!$AQ$6&amp;'Reg 85'!BE$10&amp;'Reg 85'!$B337),('DMR 001C TIN &amp; TP'!$E$3:$E$10005&amp;'DMR 001C TIN &amp; TP'!$B$3:$B$10005&amp;'DMR 001C TIN &amp; TP'!$A$3:$A$10005),0),MATCH('Reg 85'!$AG$11,'DMR 001C TIN &amp; TP'!$A$2:$M$2,0))),"")</f>
        <v/>
      </c>
      <c r="BF337" s="6" t="str">
        <f t="array" ref="BF337">_xlfn.IFNA((INDEX('DMR 001C TIN &amp; TP'!$A$3:$M$10005,MATCH(('Reg 85'!$AQ$6&amp;'Reg 85'!BF$10&amp;'Reg 85'!$B337),('DMR 001C TIN &amp; TP'!$E$3:$E$10005&amp;'DMR 001C TIN &amp; TP'!$B$3:$B$10005&amp;'DMR 001C TIN &amp; TP'!$A$3:$A$10005),0),MATCH('Reg 85'!$AG$11,'DMR 001C TIN &amp; TP'!$A$2:$M$2,0))),"")</f>
        <v/>
      </c>
    </row>
    <row r="338" spans="1:58">
      <c r="A338" s="3" t="str">
        <f t="shared" si="126"/>
        <v>Wed</v>
      </c>
      <c r="B338" s="96">
        <f t="shared" si="142"/>
        <v>43670</v>
      </c>
      <c r="C338" s="96">
        <f t="shared" si="127"/>
        <v>43677</v>
      </c>
      <c r="D338" s="96">
        <f t="shared" si="128"/>
        <v>43647</v>
      </c>
      <c r="E338" s="95">
        <f t="shared" si="129"/>
        <v>31</v>
      </c>
      <c r="F338" s="7">
        <f t="array" ref="F338">_xlfn.IFNA(INDEX('DMR Flows-Effluent'!$A$3:$F$9999,MATCH(($F$10&amp;$B338),('DMR Flows-Effluent'!$B$3:$B$9999&amp;'DMR Flows-Effluent'!$A$3:$A$9999),0),MATCH($F$8,'DMR Flows-Effluent'!$A$2:$F$2,0)),"")</f>
        <v>60.410200000000003</v>
      </c>
      <c r="G338" s="7">
        <f t="array" ref="G338">_xlfn.IFNA(INDEX('DMR Flows-Effluent'!$A$3:$F$9999,MATCH(($G$10&amp;$B338),('DMR Flows-Effluent'!$B$3:$B$9999&amp;'DMR Flows-Effluent'!$A$3:$A$9999),0),MATCH($F$8,'DMR Flows-Effluent'!$A$2:$F$2,0)),"")</f>
        <v>67.772999999999996</v>
      </c>
      <c r="H338" s="7">
        <f t="shared" si="130"/>
        <v>128.1832</v>
      </c>
      <c r="I338" s="45" t="str">
        <f t="shared" si="131"/>
        <v/>
      </c>
      <c r="J338" s="6" t="str">
        <f t="array" ref="J338">_xlfn.IFNA((INDEX('DMR 001C TIN &amp; TP'!$A$3:$M$10005,MATCH(('Reg 85'!$I$6:$Q$6&amp;'Reg 85'!$I$10:$K$10&amp;'Reg 85'!$B338),('DMR 001C TIN &amp; TP'!$E$3:$E$10005&amp;'DMR 001C TIN &amp; TP'!$B$3:$B$10005&amp;'DMR 001C TIN &amp; TP'!$A$3:$A$10005),0),MATCH('Reg 85'!$J$11,'DMR 001C TIN &amp; TP'!$A$2:$M$2,0))),"")</f>
        <v>0.15</v>
      </c>
      <c r="K338" s="6">
        <f t="array" ref="K338">_xlfn.IFNA((INDEX('DMR 001C TIN &amp; TP'!$A$3:$M$10005,MATCH(('Reg 85'!$I$6:$Q$6&amp;'Reg 85'!$I$10:$K$10&amp;'Reg 85'!$B338),('DMR 001C TIN &amp; TP'!$E$3:$E$10005&amp;'DMR 001C TIN &amp; TP'!$B$3:$B$10005&amp;'DMR 001C TIN &amp; TP'!$A$3:$A$10005),0),MATCH('Reg 85'!$K$11,'DMR 001C TIN &amp; TP'!$A$2:$M$2,0))),"")</f>
        <v>0.36</v>
      </c>
      <c r="L338" s="53">
        <f t="shared" si="143"/>
        <v>0.36</v>
      </c>
      <c r="M338" s="5" t="str">
        <f t="shared" si="132"/>
        <v>&lt;</v>
      </c>
      <c r="N338" s="6" t="str">
        <f t="array" ref="N338">_xlfn.IFNA((INDEX('DMR 001C TIN &amp; TP'!$A$3:$M$10005,MATCH(('Reg 85'!$I$6:$Q$6&amp;'Reg 85'!$M$10&amp;'Reg 85'!$B338),('DMR 001C TIN &amp; TP'!$E$3:$E$10005&amp;'DMR 001C TIN &amp; TP'!$B$3:$B$10005&amp;'DMR 001C TIN &amp; TP'!$A$3:$A$10005),0),MATCH('Reg 85'!$N$11,'DMR 001C TIN &amp; TP'!$A$2:$M$2,0))),"")</f>
        <v>0.15</v>
      </c>
      <c r="O338" s="6">
        <f t="array" ref="O338">_xlfn.IFNA((INDEX('DMR 001C TIN &amp; TP'!$A$3:$M$10005,MATCH(('Reg 85'!$I$6:$Q$6&amp;'Reg 85'!$M$10&amp;'Reg 85'!$B338),('DMR 001C TIN &amp; TP'!$E$3:$E$10005&amp;'DMR 001C TIN &amp; TP'!$B$3:$B$10005&amp;'DMR 001C TIN &amp; TP'!$A$3:$A$10005),0),MATCH('Reg 85'!$O$11,'DMR 001C TIN &amp; TP'!$A$2:$M$2,0))),"")</f>
        <v>0</v>
      </c>
      <c r="P338" s="53">
        <f t="shared" si="133"/>
        <v>0</v>
      </c>
      <c r="Q338" s="73">
        <f t="array" ref="Q338">IFERROR(((L338*$F338)+(P338*$G338))/($H338),"")</f>
        <v>0.16966086039356174</v>
      </c>
      <c r="R338" s="6" t="str">
        <f t="array" ref="R338">_xlfn.IFNA((INDEX('DMR 001C TIN &amp; TP'!$A$3:$M$10005,MATCH(('Reg 85'!$I$6:$Q$6&amp;'Reg 85'!R$10&amp;'Reg 85'!$B338),('DMR 001C TIN &amp; TP'!$E$3:$E$10005&amp;'DMR 001C TIN &amp; TP'!$B$3:$B$10005&amp;'DMR 001C TIN &amp; TP'!$A$3:$A$10005),0),MATCH('Reg 85'!$O$11,'DMR 001C TIN &amp; TP'!$A$2:$M$2,0))),"")</f>
        <v/>
      </c>
      <c r="S338" s="6" t="str">
        <f t="array" ref="S338">_xlfn.IFNA((INDEX('DMR 001C TIN &amp; TP'!$A$3:$M$10005,MATCH(('Reg 85'!$I$6:$Q$6&amp;'Reg 85'!S$10&amp;'Reg 85'!$B338),('DMR 001C TIN &amp; TP'!$E$3:$E$10005&amp;'DMR 001C TIN &amp; TP'!$B$3:$B$10005&amp;'DMR 001C TIN &amp; TP'!$A$3:$A$10005),0),MATCH('Reg 85'!$O$11,'DMR 001C TIN &amp; TP'!$A$2:$M$2,0))),"")</f>
        <v/>
      </c>
      <c r="T338" s="6" t="str">
        <f t="array" ref="T338">_xlfn.IFNA((INDEX('DMR 001C TIN &amp; TP'!$A$3:$M$10005,MATCH(('Reg 85'!$I$6:$Q$6&amp;'Reg 85'!T$10&amp;'Reg 85'!$B338),('DMR 001C TIN &amp; TP'!$E$3:$E$10005&amp;'DMR 001C TIN &amp; TP'!$B$3:$B$10005&amp;'DMR 001C TIN &amp; TP'!$A$3:$A$10005),0),MATCH('Reg 85'!$O$11,'DMR 001C TIN &amp; TP'!$A$2:$M$2,0))),"")</f>
        <v/>
      </c>
      <c r="U338" s="6" t="str">
        <f t="array" ref="U338">_xlfn.IFNA((INDEX('DMR 001C TIN &amp; TP'!$A$3:$M$10005,MATCH(('Reg 85'!$I$6:$Q$6&amp;'Reg 85'!U$10&amp;'Reg 85'!$B338),('DMR 001C TIN &amp; TP'!$E$3:$E$10005&amp;'DMR 001C TIN &amp; TP'!$B$3:$B$10005&amp;'DMR 001C TIN &amp; TP'!$A$3:$A$10005),0),MATCH('Reg 85'!$O$11,'DMR 001C TIN &amp; TP'!$A$2:$M$2,0))),"")</f>
        <v/>
      </c>
      <c r="V338" s="6" t="str">
        <f t="array" ref="V338">_xlfn.IFNA((INDEX('DMR 001C TIN &amp; TP'!$A$3:$M$10005,MATCH(('Reg 85'!$I$6:$Q$6&amp;'Reg 85'!V$10&amp;'Reg 85'!$B338),('DMR 001C TIN &amp; TP'!$E$3:$E$10005&amp;'DMR 001C TIN &amp; TP'!$B$3:$B$10005&amp;'DMR 001C TIN &amp; TP'!$A$3:$A$10005),0),MATCH('Reg 85'!$O$11,'DMR 001C TIN &amp; TP'!$A$2:$M$2,0))),"")</f>
        <v/>
      </c>
      <c r="W338" s="6" t="str">
        <f t="array" ref="W338">_xlfn.IFNA((INDEX('DMR 001C TIN &amp; TP'!$A$3:$M$10005,MATCH(('Reg 85'!$I$6:$Q$6&amp;'Reg 85'!W$10&amp;'Reg 85'!$B338),('DMR 001C TIN &amp; TP'!$E$3:$E$10005&amp;'DMR 001C TIN &amp; TP'!$B$3:$B$10005&amp;'DMR 001C TIN &amp; TP'!$A$3:$A$10005),0),MATCH('Reg 85'!$O$11,'DMR 001C TIN &amp; TP'!$A$2:$M$2,0))),"")</f>
        <v/>
      </c>
      <c r="X338" s="5" t="str">
        <f t="shared" si="134"/>
        <v/>
      </c>
      <c r="Y338" s="6" t="str">
        <f t="array" ref="Y338">_xlfn.IFNA((INDEX('DMR 001C TIN &amp; TP'!$A$3:$M$10005,MATCH(('Reg 85'!$X$6&amp;'Reg 85'!$X$10&amp;'Reg 85'!$B338),('DMR 001C TIN &amp; TP'!$E$3:$E$10005&amp;'DMR 001C TIN &amp; TP'!$B$3:$B$10005&amp;'DMR 001C TIN &amp; TP'!$A$3:$A$10005),0),MATCH('Reg 85'!$Y$11,'DMR 001C TIN &amp; TP'!$A$2:$M$2,0))),"")</f>
        <v>0.06</v>
      </c>
      <c r="Z338" s="6">
        <f t="array" ref="Z338">_xlfn.IFNA((INDEX('DMR 001C TIN &amp; TP'!$A$3:$M$10005,MATCH(('Reg 85'!$X$6&amp;'Reg 85'!$X$10&amp;'Reg 85'!$B338),('DMR 001C TIN &amp; TP'!$E$3:$E$10005&amp;'DMR 001C TIN &amp; TP'!$B$3:$B$10005&amp;'DMR 001C TIN &amp; TP'!$A$3:$A$10005),0),MATCH('Reg 85'!$Z$11,'DMR 001C TIN &amp; TP'!$A$2:$M$2,0))),"")</f>
        <v>4.7</v>
      </c>
      <c r="AA338" s="53">
        <f t="shared" si="135"/>
        <v>4.7</v>
      </c>
      <c r="AB338" s="5" t="str">
        <f t="shared" si="136"/>
        <v/>
      </c>
      <c r="AC338" s="6" t="str">
        <f t="array" ref="AC338">_xlfn.IFNA((INDEX('DMR 001C TIN &amp; TP'!$A$3:$M$10005,MATCH(('Reg 85'!$X$6&amp;'Reg 85'!$AB$10&amp;'Reg 85'!$B338),('DMR 001C TIN &amp; TP'!$E$3:$E$10005&amp;'DMR 001C TIN &amp; TP'!$B$3:$B$10005&amp;'DMR 001C TIN &amp; TP'!$A$3:$A$10005),0),MATCH('Reg 85'!$AC$11,'DMR 001C TIN &amp; TP'!$A$2:$M$2,0))),"")</f>
        <v>0.06</v>
      </c>
      <c r="AD338" s="6">
        <f t="array" ref="AD338">_xlfn.IFNA((INDEX('DMR 001C TIN &amp; TP'!$A$3:$M$10005,MATCH(('Reg 85'!$X$6&amp;'Reg 85'!$AB$10&amp;'Reg 85'!$B338),('DMR 001C TIN &amp; TP'!$E$3:$E$10005&amp;'DMR 001C TIN &amp; TP'!$B$3:$B$10005&amp;'DMR 001C TIN &amp; TP'!$A$3:$A$10005),0),MATCH('Reg 85'!$AD$11,'DMR 001C TIN &amp; TP'!$A$2:$M$2,0))),"")</f>
        <v>3.47</v>
      </c>
      <c r="AE338" s="53">
        <f t="shared" si="137"/>
        <v>3.47</v>
      </c>
      <c r="AF338" s="7">
        <f t="shared" si="138"/>
        <v>4.04967460634467</v>
      </c>
      <c r="AG338" s="6" t="str">
        <f t="array" ref="AG338">_xlfn.IFNA((INDEX('DMR 001C TIN &amp; TP'!$A$3:$M$10005,MATCH(('Reg 85'!$X$6&amp;'Reg 85'!AG$10&amp;'Reg 85'!$B338),('DMR 001C TIN &amp; TP'!$E$3:$E$10005&amp;'DMR 001C TIN &amp; TP'!$B$3:$B$10005&amp;'DMR 001C TIN &amp; TP'!$A$3:$A$10005),0),MATCH('Reg 85'!$AG$11,'DMR 001C TIN &amp; TP'!$A$2:$M$2,0))),"")</f>
        <v/>
      </c>
      <c r="AH338" s="6" t="str">
        <f t="array" ref="AH338">_xlfn.IFNA((INDEX('DMR 001C TIN &amp; TP'!$A$3:$M$10005,MATCH(('Reg 85'!$X$6&amp;'Reg 85'!AH$10&amp;'Reg 85'!$B338),('DMR 001C TIN &amp; TP'!$E$3:$E$10005&amp;'DMR 001C TIN &amp; TP'!$B$3:$B$10005&amp;'DMR 001C TIN &amp; TP'!$A$3:$A$10005),0),MATCH('Reg 85'!$AG$11,'DMR 001C TIN &amp; TP'!$A$2:$M$2,0))),"")</f>
        <v/>
      </c>
      <c r="AI338" s="6" t="str">
        <f t="array" ref="AI338">_xlfn.IFNA((INDEX('DMR 001C TIN &amp; TP'!$A$3:$M$10005,MATCH(('Reg 85'!$X$6&amp;'Reg 85'!AI$10&amp;'Reg 85'!$B338),('DMR 001C TIN &amp; TP'!$E$3:$E$10005&amp;'DMR 001C TIN &amp; TP'!$B$3:$B$10005&amp;'DMR 001C TIN &amp; TP'!$A$3:$A$10005),0),MATCH('Reg 85'!$AG$11,'DMR 001C TIN &amp; TP'!$A$2:$M$2,0))),"")</f>
        <v/>
      </c>
      <c r="AJ338" s="6" t="str">
        <f t="array" ref="AJ338">_xlfn.IFNA((INDEX('DMR 001C TIN &amp; TP'!$A$3:$M$10005,MATCH(('Reg 85'!$X$6&amp;'Reg 85'!AJ$10&amp;'Reg 85'!$B338),('DMR 001C TIN &amp; TP'!$E$3:$E$10005&amp;'DMR 001C TIN &amp; TP'!$B$3:$B$10005&amp;'DMR 001C TIN &amp; TP'!$A$3:$A$10005),0),MATCH('Reg 85'!$AG$11,'DMR 001C TIN &amp; TP'!$A$2:$M$2,0))),"")</f>
        <v/>
      </c>
      <c r="AK338" s="6" t="str">
        <f t="array" ref="AK338">_xlfn.IFNA((INDEX('DMR 001C TIN &amp; TP'!$A$3:$M$10005,MATCH(('Reg 85'!$X$6&amp;'Reg 85'!AK$10&amp;'Reg 85'!$B338),('DMR 001C TIN &amp; TP'!$E$3:$E$10005&amp;'DMR 001C TIN &amp; TP'!$B$3:$B$10005&amp;'DMR 001C TIN &amp; TP'!$A$3:$A$10005),0),MATCH('Reg 85'!$AG$11,'DMR 001C TIN &amp; TP'!$A$2:$M$2,0))),"")</f>
        <v/>
      </c>
      <c r="AL338" s="6" t="str">
        <f t="array" ref="AL338">_xlfn.IFNA((INDEX('DMR 001C TIN &amp; TP'!$A$3:$M$10005,MATCH(('Reg 85'!$X$6&amp;'Reg 85'!AL$10&amp;'Reg 85'!$B338),('DMR 001C TIN &amp; TP'!$E$3:$E$10005&amp;'DMR 001C TIN &amp; TP'!$B$3:$B$10005&amp;'DMR 001C TIN &amp; TP'!$A$3:$A$10005),0),MATCH('Reg 85'!$AG$11,'DMR 001C TIN &amp; TP'!$A$2:$M$2,0))),"")</f>
        <v/>
      </c>
      <c r="AM338" s="76"/>
      <c r="AN338" s="6"/>
      <c r="AO338" s="54">
        <f t="shared" si="125"/>
        <v>4.2193354667382321</v>
      </c>
      <c r="AP338" s="77" t="str">
        <f t="shared" si="123"/>
        <v/>
      </c>
      <c r="AQ338" s="47"/>
      <c r="AR338" s="6" t="str">
        <f t="array" ref="AR338">_xlfn.IFNA((INDEX('DMR 001C TIN &amp; TP'!$A$3:$M$10005,MATCH(('Reg 85'!$AQ$6&amp;'Reg 85'!$AQ$10&amp;'Reg 85'!$B338),('DMR 001C TIN &amp; TP'!$E$3:$E$10005&amp;'DMR 001C TIN &amp; TP'!$B$3:$B$10005&amp;'DMR 001C TIN &amp; TP'!$A$3:$A$10005),0),MATCH('Reg 85'!$AR$11,'DMR 001C TIN &amp; TP'!$A$2:$M$2,0))),"")</f>
        <v/>
      </c>
      <c r="AS338" s="6" t="str">
        <f t="array" ref="AS338">_xlfn.IFNA((INDEX('DMR 001C TIN &amp; TP'!$A$3:$M$10005,MATCH(('Reg 85'!$AQ$6&amp;'Reg 85'!$AQ$10&amp;'Reg 85'!$B338),('DMR 001C TIN &amp; TP'!$E$3:$E$10005&amp;'DMR 001C TIN &amp; TP'!$B$3:$B$10005&amp;'DMR 001C TIN &amp; TP'!$A$3:$A$10005),0),MATCH('Reg 85'!$AS$11,'DMR 001C TIN &amp; TP'!$A$2:$M$2,0))),"")</f>
        <v/>
      </c>
      <c r="AT338" s="53" t="str">
        <f t="shared" si="139"/>
        <v/>
      </c>
      <c r="AV338" s="6" t="str">
        <f t="array" ref="AV338">_xlfn.IFNA((INDEX('DMR 001C TIN &amp; TP'!$A$3:$M$10005,MATCH(('Reg 85'!$AQ$6&amp;'Reg 85'!$AU$10&amp;'Reg 85'!$B338),('DMR 001C TIN &amp; TP'!$E$3:$E$10005&amp;'DMR 001C TIN &amp; TP'!$B$3:$B$10005&amp;'DMR 001C TIN &amp; TP'!$A$3:$A$10005),0),MATCH('Reg 85'!$AV$11,'DMR 001C TIN &amp; TP'!$A$2:$M$2,0))),"")</f>
        <v/>
      </c>
      <c r="AW338" s="6" t="str">
        <f t="array" ref="AW338">_xlfn.IFNA((INDEX('DMR 001C TIN &amp; TP'!$A$3:$M$10005,MATCH(('Reg 85'!$AQ$6&amp;'Reg 85'!$AU$10&amp;'Reg 85'!$B338),('DMR 001C TIN &amp; TP'!$E$3:$E$10005&amp;'DMR 001C TIN &amp; TP'!$B$3:$B$10005&amp;'DMR 001C TIN &amp; TP'!$A$3:$A$10005),0),MATCH('Reg 85'!$AW$11,'DMR 001C TIN &amp; TP'!$A$2:$M$2,0))),"")</f>
        <v/>
      </c>
      <c r="AX338" s="53" t="str">
        <f t="shared" si="140"/>
        <v/>
      </c>
      <c r="AY338" s="55" t="str">
        <f t="shared" si="141"/>
        <v/>
      </c>
      <c r="AZ338" s="77" t="str">
        <f t="shared" si="124"/>
        <v/>
      </c>
      <c r="BA338" s="6" t="str">
        <f t="array" ref="BA338">_xlfn.IFNA((INDEX('DMR 001C TIN &amp; TP'!$A$3:$M$10005,MATCH(('Reg 85'!$AQ$6&amp;'Reg 85'!BA$10&amp;'Reg 85'!$B338),('DMR 001C TIN &amp; TP'!$E$3:$E$10005&amp;'DMR 001C TIN &amp; TP'!$B$3:$B$10005&amp;'DMR 001C TIN &amp; TP'!$A$3:$A$10005),0),MATCH('Reg 85'!$AG$11,'DMR 001C TIN &amp; TP'!$A$2:$M$2,0))),"")</f>
        <v/>
      </c>
      <c r="BB338" s="6" t="str">
        <f t="array" ref="BB338">_xlfn.IFNA((INDEX('DMR 001C TIN &amp; TP'!$A$3:$M$10005,MATCH(('Reg 85'!$AQ$6&amp;'Reg 85'!BB$10&amp;'Reg 85'!$B338),('DMR 001C TIN &amp; TP'!$E$3:$E$10005&amp;'DMR 001C TIN &amp; TP'!$B$3:$B$10005&amp;'DMR 001C TIN &amp; TP'!$A$3:$A$10005),0),MATCH('Reg 85'!$AG$11,'DMR 001C TIN &amp; TP'!$A$2:$M$2,0))),"")</f>
        <v/>
      </c>
      <c r="BC338" s="6" t="str">
        <f t="array" ref="BC338">_xlfn.IFNA((INDEX('DMR 001C TIN &amp; TP'!$A$3:$M$10005,MATCH(('Reg 85'!$AQ$6&amp;'Reg 85'!BC$10&amp;'Reg 85'!$B338),('DMR 001C TIN &amp; TP'!$E$3:$E$10005&amp;'DMR 001C TIN &amp; TP'!$B$3:$B$10005&amp;'DMR 001C TIN &amp; TP'!$A$3:$A$10005),0),MATCH('Reg 85'!$AG$11,'DMR 001C TIN &amp; TP'!$A$2:$M$2,0))),"")</f>
        <v/>
      </c>
      <c r="BD338" s="6" t="str">
        <f t="array" ref="BD338">_xlfn.IFNA((INDEX('DMR 001C TIN &amp; TP'!$A$3:$M$10005,MATCH(('Reg 85'!$AQ$6&amp;'Reg 85'!BD$10&amp;'Reg 85'!$B338),('DMR 001C TIN &amp; TP'!$E$3:$E$10005&amp;'DMR 001C TIN &amp; TP'!$B$3:$B$10005&amp;'DMR 001C TIN &amp; TP'!$A$3:$A$10005),0),MATCH('Reg 85'!$AG$11,'DMR 001C TIN &amp; TP'!$A$2:$M$2,0))),"")</f>
        <v/>
      </c>
      <c r="BE338" s="6" t="str">
        <f t="array" ref="BE338">_xlfn.IFNA((INDEX('DMR 001C TIN &amp; TP'!$A$3:$M$10005,MATCH(('Reg 85'!$AQ$6&amp;'Reg 85'!BE$10&amp;'Reg 85'!$B338),('DMR 001C TIN &amp; TP'!$E$3:$E$10005&amp;'DMR 001C TIN &amp; TP'!$B$3:$B$10005&amp;'DMR 001C TIN &amp; TP'!$A$3:$A$10005),0),MATCH('Reg 85'!$AG$11,'DMR 001C TIN &amp; TP'!$A$2:$M$2,0))),"")</f>
        <v/>
      </c>
      <c r="BF338" s="6" t="str">
        <f t="array" ref="BF338">_xlfn.IFNA((INDEX('DMR 001C TIN &amp; TP'!$A$3:$M$10005,MATCH(('Reg 85'!$AQ$6&amp;'Reg 85'!BF$10&amp;'Reg 85'!$B338),('DMR 001C TIN &amp; TP'!$E$3:$E$10005&amp;'DMR 001C TIN &amp; TP'!$B$3:$B$10005&amp;'DMR 001C TIN &amp; TP'!$A$3:$A$10005),0),MATCH('Reg 85'!$AG$11,'DMR 001C TIN &amp; TP'!$A$2:$M$2,0))),"")</f>
        <v/>
      </c>
    </row>
    <row r="339" spans="1:58">
      <c r="A339" s="3" t="str">
        <f t="shared" si="126"/>
        <v>Thu</v>
      </c>
      <c r="B339" s="96">
        <f t="shared" si="142"/>
        <v>43671</v>
      </c>
      <c r="C339" s="96">
        <f t="shared" si="127"/>
        <v>43677</v>
      </c>
      <c r="D339" s="96">
        <f t="shared" si="128"/>
        <v>43647</v>
      </c>
      <c r="E339" s="95">
        <f t="shared" si="129"/>
        <v>31</v>
      </c>
      <c r="F339" s="7">
        <f t="array" ref="F339">_xlfn.IFNA(INDEX('DMR Flows-Effluent'!$A$3:$F$9999,MATCH(($F$10&amp;$B339),('DMR Flows-Effluent'!$B$3:$B$9999&amp;'DMR Flows-Effluent'!$A$3:$A$9999),0),MATCH($F$8,'DMR Flows-Effluent'!$A$2:$F$2,0)),"")</f>
        <v>58.266199999999998</v>
      </c>
      <c r="G339" s="7">
        <f t="array" ref="G339">_xlfn.IFNA(INDEX('DMR Flows-Effluent'!$A$3:$F$9999,MATCH(($G$10&amp;$B339),('DMR Flows-Effluent'!$B$3:$B$9999&amp;'DMR Flows-Effluent'!$A$3:$A$9999),0),MATCH($F$8,'DMR Flows-Effluent'!$A$2:$F$2,0)),"")</f>
        <v>68.617400000000004</v>
      </c>
      <c r="H339" s="7">
        <f t="shared" si="130"/>
        <v>126.8836</v>
      </c>
      <c r="I339" s="45" t="str">
        <f t="shared" si="131"/>
        <v/>
      </c>
      <c r="J339" s="6" t="str">
        <f t="array" ref="J339">_xlfn.IFNA((INDEX('DMR 001C TIN &amp; TP'!$A$3:$M$10005,MATCH(('Reg 85'!$I$6:$Q$6&amp;'Reg 85'!$I$10:$K$10&amp;'Reg 85'!$B339),('DMR 001C TIN &amp; TP'!$E$3:$E$10005&amp;'DMR 001C TIN &amp; TP'!$B$3:$B$10005&amp;'DMR 001C TIN &amp; TP'!$A$3:$A$10005),0),MATCH('Reg 85'!$J$11,'DMR 001C TIN &amp; TP'!$A$2:$M$2,0))),"")</f>
        <v/>
      </c>
      <c r="K339" s="6" t="str">
        <f t="array" ref="K339">_xlfn.IFNA((INDEX('DMR 001C TIN &amp; TP'!$A$3:$M$10005,MATCH(('Reg 85'!$I$6:$Q$6&amp;'Reg 85'!$I$10:$K$10&amp;'Reg 85'!$B339),('DMR 001C TIN &amp; TP'!$E$3:$E$10005&amp;'DMR 001C TIN &amp; TP'!$B$3:$B$10005&amp;'DMR 001C TIN &amp; TP'!$A$3:$A$10005),0),MATCH('Reg 85'!$K$11,'DMR 001C TIN &amp; TP'!$A$2:$M$2,0))),"")</f>
        <v/>
      </c>
      <c r="L339" s="53" t="str">
        <f t="shared" si="143"/>
        <v/>
      </c>
      <c r="M339" s="5" t="str">
        <f t="shared" si="132"/>
        <v/>
      </c>
      <c r="N339" s="6" t="str">
        <f t="array" ref="N339">_xlfn.IFNA((INDEX('DMR 001C TIN &amp; TP'!$A$3:$M$10005,MATCH(('Reg 85'!$I$6:$Q$6&amp;'Reg 85'!$M$10&amp;'Reg 85'!$B339),('DMR 001C TIN &amp; TP'!$E$3:$E$10005&amp;'DMR 001C TIN &amp; TP'!$B$3:$B$10005&amp;'DMR 001C TIN &amp; TP'!$A$3:$A$10005),0),MATCH('Reg 85'!$N$11,'DMR 001C TIN &amp; TP'!$A$2:$M$2,0))),"")</f>
        <v/>
      </c>
      <c r="O339" s="6" t="str">
        <f t="array" ref="O339">_xlfn.IFNA((INDEX('DMR 001C TIN &amp; TP'!$A$3:$M$10005,MATCH(('Reg 85'!$I$6:$Q$6&amp;'Reg 85'!$M$10&amp;'Reg 85'!$B339),('DMR 001C TIN &amp; TP'!$E$3:$E$10005&amp;'DMR 001C TIN &amp; TP'!$B$3:$B$10005&amp;'DMR 001C TIN &amp; TP'!$A$3:$A$10005),0),MATCH('Reg 85'!$O$11,'DMR 001C TIN &amp; TP'!$A$2:$M$2,0))),"")</f>
        <v/>
      </c>
      <c r="P339" s="53" t="str">
        <f t="shared" si="133"/>
        <v/>
      </c>
      <c r="Q339" s="73" t="str">
        <f t="array" ref="Q339">IFERROR(((L339*$F339)+(P339*$G339))/($H339),"")</f>
        <v/>
      </c>
      <c r="R339" s="6" t="str">
        <f t="array" ref="R339">_xlfn.IFNA((INDEX('DMR 001C TIN &amp; TP'!$A$3:$M$10005,MATCH(('Reg 85'!$I$6:$Q$6&amp;'Reg 85'!R$10&amp;'Reg 85'!$B339),('DMR 001C TIN &amp; TP'!$E$3:$E$10005&amp;'DMR 001C TIN &amp; TP'!$B$3:$B$10005&amp;'DMR 001C TIN &amp; TP'!$A$3:$A$10005),0),MATCH('Reg 85'!$O$11,'DMR 001C TIN &amp; TP'!$A$2:$M$2,0))),"")</f>
        <v/>
      </c>
      <c r="S339" s="6" t="str">
        <f t="array" ref="S339">_xlfn.IFNA((INDEX('DMR 001C TIN &amp; TP'!$A$3:$M$10005,MATCH(('Reg 85'!$I$6:$Q$6&amp;'Reg 85'!S$10&amp;'Reg 85'!$B339),('DMR 001C TIN &amp; TP'!$E$3:$E$10005&amp;'DMR 001C TIN &amp; TP'!$B$3:$B$10005&amp;'DMR 001C TIN &amp; TP'!$A$3:$A$10005),0),MATCH('Reg 85'!$O$11,'DMR 001C TIN &amp; TP'!$A$2:$M$2,0))),"")</f>
        <v/>
      </c>
      <c r="T339" s="6" t="str">
        <f t="array" ref="T339">_xlfn.IFNA((INDEX('DMR 001C TIN &amp; TP'!$A$3:$M$10005,MATCH(('Reg 85'!$I$6:$Q$6&amp;'Reg 85'!T$10&amp;'Reg 85'!$B339),('DMR 001C TIN &amp; TP'!$E$3:$E$10005&amp;'DMR 001C TIN &amp; TP'!$B$3:$B$10005&amp;'DMR 001C TIN &amp; TP'!$A$3:$A$10005),0),MATCH('Reg 85'!$O$11,'DMR 001C TIN &amp; TP'!$A$2:$M$2,0))),"")</f>
        <v/>
      </c>
      <c r="U339" s="6" t="str">
        <f t="array" ref="U339">_xlfn.IFNA((INDEX('DMR 001C TIN &amp; TP'!$A$3:$M$10005,MATCH(('Reg 85'!$I$6:$Q$6&amp;'Reg 85'!U$10&amp;'Reg 85'!$B339),('DMR 001C TIN &amp; TP'!$E$3:$E$10005&amp;'DMR 001C TIN &amp; TP'!$B$3:$B$10005&amp;'DMR 001C TIN &amp; TP'!$A$3:$A$10005),0),MATCH('Reg 85'!$O$11,'DMR 001C TIN &amp; TP'!$A$2:$M$2,0))),"")</f>
        <v/>
      </c>
      <c r="V339" s="6" t="str">
        <f t="array" ref="V339">_xlfn.IFNA((INDEX('DMR 001C TIN &amp; TP'!$A$3:$M$10005,MATCH(('Reg 85'!$I$6:$Q$6&amp;'Reg 85'!V$10&amp;'Reg 85'!$B339),('DMR 001C TIN &amp; TP'!$E$3:$E$10005&amp;'DMR 001C TIN &amp; TP'!$B$3:$B$10005&amp;'DMR 001C TIN &amp; TP'!$A$3:$A$10005),0),MATCH('Reg 85'!$O$11,'DMR 001C TIN &amp; TP'!$A$2:$M$2,0))),"")</f>
        <v/>
      </c>
      <c r="W339" s="6" t="str">
        <f t="array" ref="W339">_xlfn.IFNA((INDEX('DMR 001C TIN &amp; TP'!$A$3:$M$10005,MATCH(('Reg 85'!$I$6:$Q$6&amp;'Reg 85'!W$10&amp;'Reg 85'!$B339),('DMR 001C TIN &amp; TP'!$E$3:$E$10005&amp;'DMR 001C TIN &amp; TP'!$B$3:$B$10005&amp;'DMR 001C TIN &amp; TP'!$A$3:$A$10005),0),MATCH('Reg 85'!$O$11,'DMR 001C TIN &amp; TP'!$A$2:$M$2,0))),"")</f>
        <v/>
      </c>
      <c r="X339" s="5" t="str">
        <f t="shared" si="134"/>
        <v/>
      </c>
      <c r="Y339" s="6" t="str">
        <f t="array" ref="Y339">_xlfn.IFNA((INDEX('DMR 001C TIN &amp; TP'!$A$3:$M$10005,MATCH(('Reg 85'!$X$6&amp;'Reg 85'!$X$10&amp;'Reg 85'!$B339),('DMR 001C TIN &amp; TP'!$E$3:$E$10005&amp;'DMR 001C TIN &amp; TP'!$B$3:$B$10005&amp;'DMR 001C TIN &amp; TP'!$A$3:$A$10005),0),MATCH('Reg 85'!$Y$11,'DMR 001C TIN &amp; TP'!$A$2:$M$2,0))),"")</f>
        <v/>
      </c>
      <c r="Z339" s="6" t="str">
        <f t="array" ref="Z339">_xlfn.IFNA((INDEX('DMR 001C TIN &amp; TP'!$A$3:$M$10005,MATCH(('Reg 85'!$X$6&amp;'Reg 85'!$X$10&amp;'Reg 85'!$B339),('DMR 001C TIN &amp; TP'!$E$3:$E$10005&amp;'DMR 001C TIN &amp; TP'!$B$3:$B$10005&amp;'DMR 001C TIN &amp; TP'!$A$3:$A$10005),0),MATCH('Reg 85'!$Z$11,'DMR 001C TIN &amp; TP'!$A$2:$M$2,0))),"")</f>
        <v/>
      </c>
      <c r="AA339" s="53" t="str">
        <f t="shared" si="135"/>
        <v/>
      </c>
      <c r="AB339" s="5" t="str">
        <f t="shared" si="136"/>
        <v/>
      </c>
      <c r="AC339" s="6" t="str">
        <f t="array" ref="AC339">_xlfn.IFNA((INDEX('DMR 001C TIN &amp; TP'!$A$3:$M$10005,MATCH(('Reg 85'!$X$6&amp;'Reg 85'!$AB$10&amp;'Reg 85'!$B339),('DMR 001C TIN &amp; TP'!$E$3:$E$10005&amp;'DMR 001C TIN &amp; TP'!$B$3:$B$10005&amp;'DMR 001C TIN &amp; TP'!$A$3:$A$10005),0),MATCH('Reg 85'!$AC$11,'DMR 001C TIN &amp; TP'!$A$2:$M$2,0))),"")</f>
        <v/>
      </c>
      <c r="AD339" s="6" t="str">
        <f t="array" ref="AD339">_xlfn.IFNA((INDEX('DMR 001C TIN &amp; TP'!$A$3:$M$10005,MATCH(('Reg 85'!$X$6&amp;'Reg 85'!$AB$10&amp;'Reg 85'!$B339),('DMR 001C TIN &amp; TP'!$E$3:$E$10005&amp;'DMR 001C TIN &amp; TP'!$B$3:$B$10005&amp;'DMR 001C TIN &amp; TP'!$A$3:$A$10005),0),MATCH('Reg 85'!$AD$11,'DMR 001C TIN &amp; TP'!$A$2:$M$2,0))),"")</f>
        <v/>
      </c>
      <c r="AE339" s="53" t="str">
        <f t="shared" si="137"/>
        <v/>
      </c>
      <c r="AF339" s="7" t="str">
        <f t="shared" si="138"/>
        <v/>
      </c>
      <c r="AG339" s="6" t="str">
        <f t="array" ref="AG339">_xlfn.IFNA((INDEX('DMR 001C TIN &amp; TP'!$A$3:$M$10005,MATCH(('Reg 85'!$X$6&amp;'Reg 85'!AG$10&amp;'Reg 85'!$B339),('DMR 001C TIN &amp; TP'!$E$3:$E$10005&amp;'DMR 001C TIN &amp; TP'!$B$3:$B$10005&amp;'DMR 001C TIN &amp; TP'!$A$3:$A$10005),0),MATCH('Reg 85'!$AG$11,'DMR 001C TIN &amp; TP'!$A$2:$M$2,0))),"")</f>
        <v/>
      </c>
      <c r="AH339" s="6" t="str">
        <f t="array" ref="AH339">_xlfn.IFNA((INDEX('DMR 001C TIN &amp; TP'!$A$3:$M$10005,MATCH(('Reg 85'!$X$6&amp;'Reg 85'!AH$10&amp;'Reg 85'!$B339),('DMR 001C TIN &amp; TP'!$E$3:$E$10005&amp;'DMR 001C TIN &amp; TP'!$B$3:$B$10005&amp;'DMR 001C TIN &amp; TP'!$A$3:$A$10005),0),MATCH('Reg 85'!$AG$11,'DMR 001C TIN &amp; TP'!$A$2:$M$2,0))),"")</f>
        <v/>
      </c>
      <c r="AI339" s="6" t="str">
        <f t="array" ref="AI339">_xlfn.IFNA((INDEX('DMR 001C TIN &amp; TP'!$A$3:$M$10005,MATCH(('Reg 85'!$X$6&amp;'Reg 85'!AI$10&amp;'Reg 85'!$B339),('DMR 001C TIN &amp; TP'!$E$3:$E$10005&amp;'DMR 001C TIN &amp; TP'!$B$3:$B$10005&amp;'DMR 001C TIN &amp; TP'!$A$3:$A$10005),0),MATCH('Reg 85'!$AG$11,'DMR 001C TIN &amp; TP'!$A$2:$M$2,0))),"")</f>
        <v/>
      </c>
      <c r="AJ339" s="6" t="str">
        <f t="array" ref="AJ339">_xlfn.IFNA((INDEX('DMR 001C TIN &amp; TP'!$A$3:$M$10005,MATCH(('Reg 85'!$X$6&amp;'Reg 85'!AJ$10&amp;'Reg 85'!$B339),('DMR 001C TIN &amp; TP'!$E$3:$E$10005&amp;'DMR 001C TIN &amp; TP'!$B$3:$B$10005&amp;'DMR 001C TIN &amp; TP'!$A$3:$A$10005),0),MATCH('Reg 85'!$AG$11,'DMR 001C TIN &amp; TP'!$A$2:$M$2,0))),"")</f>
        <v/>
      </c>
      <c r="AK339" s="6" t="str">
        <f t="array" ref="AK339">_xlfn.IFNA((INDEX('DMR 001C TIN &amp; TP'!$A$3:$M$10005,MATCH(('Reg 85'!$X$6&amp;'Reg 85'!AK$10&amp;'Reg 85'!$B339),('DMR 001C TIN &amp; TP'!$E$3:$E$10005&amp;'DMR 001C TIN &amp; TP'!$B$3:$B$10005&amp;'DMR 001C TIN &amp; TP'!$A$3:$A$10005),0),MATCH('Reg 85'!$AG$11,'DMR 001C TIN &amp; TP'!$A$2:$M$2,0))),"")</f>
        <v/>
      </c>
      <c r="AL339" s="6" t="str">
        <f t="array" ref="AL339">_xlfn.IFNA((INDEX('DMR 001C TIN &amp; TP'!$A$3:$M$10005,MATCH(('Reg 85'!$X$6&amp;'Reg 85'!AL$10&amp;'Reg 85'!$B339),('DMR 001C TIN &amp; TP'!$E$3:$E$10005&amp;'DMR 001C TIN &amp; TP'!$B$3:$B$10005&amp;'DMR 001C TIN &amp; TP'!$A$3:$A$10005),0),MATCH('Reg 85'!$AG$11,'DMR 001C TIN &amp; TP'!$A$2:$M$2,0))),"")</f>
        <v/>
      </c>
      <c r="AM339" s="76"/>
      <c r="AN339" s="6"/>
      <c r="AO339" s="54" t="str">
        <f t="shared" si="125"/>
        <v/>
      </c>
      <c r="AP339" s="77" t="str">
        <f t="shared" si="123"/>
        <v/>
      </c>
      <c r="AQ339" s="47"/>
      <c r="AR339" s="6" t="str">
        <f t="array" ref="AR339">_xlfn.IFNA((INDEX('DMR 001C TIN &amp; TP'!$A$3:$M$10005,MATCH(('Reg 85'!$AQ$6&amp;'Reg 85'!$AQ$10&amp;'Reg 85'!$B339),('DMR 001C TIN &amp; TP'!$E$3:$E$10005&amp;'DMR 001C TIN &amp; TP'!$B$3:$B$10005&amp;'DMR 001C TIN &amp; TP'!$A$3:$A$10005),0),MATCH('Reg 85'!$AR$11,'DMR 001C TIN &amp; TP'!$A$2:$M$2,0))),"")</f>
        <v/>
      </c>
      <c r="AS339" s="6" t="str">
        <f t="array" ref="AS339">_xlfn.IFNA((INDEX('DMR 001C TIN &amp; TP'!$A$3:$M$10005,MATCH(('Reg 85'!$AQ$6&amp;'Reg 85'!$AQ$10&amp;'Reg 85'!$B339),('DMR 001C TIN &amp; TP'!$E$3:$E$10005&amp;'DMR 001C TIN &amp; TP'!$B$3:$B$10005&amp;'DMR 001C TIN &amp; TP'!$A$3:$A$10005),0),MATCH('Reg 85'!$AS$11,'DMR 001C TIN &amp; TP'!$A$2:$M$2,0))),"")</f>
        <v/>
      </c>
      <c r="AT339" s="53" t="str">
        <f t="shared" si="139"/>
        <v/>
      </c>
      <c r="AV339" s="6" t="str">
        <f t="array" ref="AV339">_xlfn.IFNA((INDEX('DMR 001C TIN &amp; TP'!$A$3:$M$10005,MATCH(('Reg 85'!$AQ$6&amp;'Reg 85'!$AU$10&amp;'Reg 85'!$B339),('DMR 001C TIN &amp; TP'!$E$3:$E$10005&amp;'DMR 001C TIN &amp; TP'!$B$3:$B$10005&amp;'DMR 001C TIN &amp; TP'!$A$3:$A$10005),0),MATCH('Reg 85'!$AV$11,'DMR 001C TIN &amp; TP'!$A$2:$M$2,0))),"")</f>
        <v/>
      </c>
      <c r="AW339" s="6" t="str">
        <f t="array" ref="AW339">_xlfn.IFNA((INDEX('DMR 001C TIN &amp; TP'!$A$3:$M$10005,MATCH(('Reg 85'!$AQ$6&amp;'Reg 85'!$AU$10&amp;'Reg 85'!$B339),('DMR 001C TIN &amp; TP'!$E$3:$E$10005&amp;'DMR 001C TIN &amp; TP'!$B$3:$B$10005&amp;'DMR 001C TIN &amp; TP'!$A$3:$A$10005),0),MATCH('Reg 85'!$AW$11,'DMR 001C TIN &amp; TP'!$A$2:$M$2,0))),"")</f>
        <v/>
      </c>
      <c r="AX339" s="53" t="str">
        <f t="shared" si="140"/>
        <v/>
      </c>
      <c r="AY339" s="55" t="str">
        <f t="shared" si="141"/>
        <v/>
      </c>
      <c r="AZ339" s="77" t="str">
        <f t="shared" si="124"/>
        <v/>
      </c>
      <c r="BA339" s="6" t="str">
        <f t="array" ref="BA339">_xlfn.IFNA((INDEX('DMR 001C TIN &amp; TP'!$A$3:$M$10005,MATCH(('Reg 85'!$AQ$6&amp;'Reg 85'!BA$10&amp;'Reg 85'!$B339),('DMR 001C TIN &amp; TP'!$E$3:$E$10005&amp;'DMR 001C TIN &amp; TP'!$B$3:$B$10005&amp;'DMR 001C TIN &amp; TP'!$A$3:$A$10005),0),MATCH('Reg 85'!$AG$11,'DMR 001C TIN &amp; TP'!$A$2:$M$2,0))),"")</f>
        <v/>
      </c>
      <c r="BB339" s="6" t="str">
        <f t="array" ref="BB339">_xlfn.IFNA((INDEX('DMR 001C TIN &amp; TP'!$A$3:$M$10005,MATCH(('Reg 85'!$AQ$6&amp;'Reg 85'!BB$10&amp;'Reg 85'!$B339),('DMR 001C TIN &amp; TP'!$E$3:$E$10005&amp;'DMR 001C TIN &amp; TP'!$B$3:$B$10005&amp;'DMR 001C TIN &amp; TP'!$A$3:$A$10005),0),MATCH('Reg 85'!$AG$11,'DMR 001C TIN &amp; TP'!$A$2:$M$2,0))),"")</f>
        <v/>
      </c>
      <c r="BC339" s="6" t="str">
        <f t="array" ref="BC339">_xlfn.IFNA((INDEX('DMR 001C TIN &amp; TP'!$A$3:$M$10005,MATCH(('Reg 85'!$AQ$6&amp;'Reg 85'!BC$10&amp;'Reg 85'!$B339),('DMR 001C TIN &amp; TP'!$E$3:$E$10005&amp;'DMR 001C TIN &amp; TP'!$B$3:$B$10005&amp;'DMR 001C TIN &amp; TP'!$A$3:$A$10005),0),MATCH('Reg 85'!$AG$11,'DMR 001C TIN &amp; TP'!$A$2:$M$2,0))),"")</f>
        <v/>
      </c>
      <c r="BD339" s="6" t="str">
        <f t="array" ref="BD339">_xlfn.IFNA((INDEX('DMR 001C TIN &amp; TP'!$A$3:$M$10005,MATCH(('Reg 85'!$AQ$6&amp;'Reg 85'!BD$10&amp;'Reg 85'!$B339),('DMR 001C TIN &amp; TP'!$E$3:$E$10005&amp;'DMR 001C TIN &amp; TP'!$B$3:$B$10005&amp;'DMR 001C TIN &amp; TP'!$A$3:$A$10005),0),MATCH('Reg 85'!$AG$11,'DMR 001C TIN &amp; TP'!$A$2:$M$2,0))),"")</f>
        <v/>
      </c>
      <c r="BE339" s="6" t="str">
        <f t="array" ref="BE339">_xlfn.IFNA((INDEX('DMR 001C TIN &amp; TP'!$A$3:$M$10005,MATCH(('Reg 85'!$AQ$6&amp;'Reg 85'!BE$10&amp;'Reg 85'!$B339),('DMR 001C TIN &amp; TP'!$E$3:$E$10005&amp;'DMR 001C TIN &amp; TP'!$B$3:$B$10005&amp;'DMR 001C TIN &amp; TP'!$A$3:$A$10005),0),MATCH('Reg 85'!$AG$11,'DMR 001C TIN &amp; TP'!$A$2:$M$2,0))),"")</f>
        <v/>
      </c>
      <c r="BF339" s="6" t="str">
        <f t="array" ref="BF339">_xlfn.IFNA((INDEX('DMR 001C TIN &amp; TP'!$A$3:$M$10005,MATCH(('Reg 85'!$AQ$6&amp;'Reg 85'!BF$10&amp;'Reg 85'!$B339),('DMR 001C TIN &amp; TP'!$E$3:$E$10005&amp;'DMR 001C TIN &amp; TP'!$B$3:$B$10005&amp;'DMR 001C TIN &amp; TP'!$A$3:$A$10005),0),MATCH('Reg 85'!$AG$11,'DMR 001C TIN &amp; TP'!$A$2:$M$2,0))),"")</f>
        <v/>
      </c>
    </row>
    <row r="340" spans="1:58">
      <c r="A340" s="3" t="str">
        <f t="shared" si="126"/>
        <v>Fri</v>
      </c>
      <c r="B340" s="96">
        <f t="shared" si="142"/>
        <v>43672</v>
      </c>
      <c r="C340" s="96">
        <f t="shared" si="127"/>
        <v>43677</v>
      </c>
      <c r="D340" s="96">
        <f t="shared" si="128"/>
        <v>43647</v>
      </c>
      <c r="E340" s="95">
        <f t="shared" si="129"/>
        <v>31</v>
      </c>
      <c r="F340" s="7">
        <f t="array" ref="F340">_xlfn.IFNA(INDEX('DMR Flows-Effluent'!$A$3:$F$9999,MATCH(($F$10&amp;$B340),('DMR Flows-Effluent'!$B$3:$B$9999&amp;'DMR Flows-Effluent'!$A$3:$A$9999),0),MATCH($F$8,'DMR Flows-Effluent'!$A$2:$F$2,0)),"")</f>
        <v>57.970500000000001</v>
      </c>
      <c r="G340" s="7">
        <f t="array" ref="G340">_xlfn.IFNA(INDEX('DMR Flows-Effluent'!$A$3:$F$9999,MATCH(($G$10&amp;$B340),('DMR Flows-Effluent'!$B$3:$B$9999&amp;'DMR Flows-Effluent'!$A$3:$A$9999),0),MATCH($F$8,'DMR Flows-Effluent'!$A$2:$F$2,0)),"")</f>
        <v>67.706800000000001</v>
      </c>
      <c r="H340" s="7">
        <f t="shared" si="130"/>
        <v>125.6773</v>
      </c>
      <c r="I340" s="45" t="str">
        <f t="shared" si="131"/>
        <v/>
      </c>
      <c r="J340" s="6" t="str">
        <f t="array" ref="J340">_xlfn.IFNA((INDEX('DMR 001C TIN &amp; TP'!$A$3:$M$10005,MATCH(('Reg 85'!$I$6:$Q$6&amp;'Reg 85'!$I$10:$K$10&amp;'Reg 85'!$B340),('DMR 001C TIN &amp; TP'!$E$3:$E$10005&amp;'DMR 001C TIN &amp; TP'!$B$3:$B$10005&amp;'DMR 001C TIN &amp; TP'!$A$3:$A$10005),0),MATCH('Reg 85'!$J$11,'DMR 001C TIN &amp; TP'!$A$2:$M$2,0))),"")</f>
        <v/>
      </c>
      <c r="K340" s="6" t="str">
        <f t="array" ref="K340">_xlfn.IFNA((INDEX('DMR 001C TIN &amp; TP'!$A$3:$M$10005,MATCH(('Reg 85'!$I$6:$Q$6&amp;'Reg 85'!$I$10:$K$10&amp;'Reg 85'!$B340),('DMR 001C TIN &amp; TP'!$E$3:$E$10005&amp;'DMR 001C TIN &amp; TP'!$B$3:$B$10005&amp;'DMR 001C TIN &amp; TP'!$A$3:$A$10005),0),MATCH('Reg 85'!$K$11,'DMR 001C TIN &amp; TP'!$A$2:$M$2,0))),"")</f>
        <v/>
      </c>
      <c r="L340" s="53" t="str">
        <f t="shared" si="143"/>
        <v/>
      </c>
      <c r="M340" s="5" t="str">
        <f t="shared" si="132"/>
        <v/>
      </c>
      <c r="N340" s="6" t="str">
        <f t="array" ref="N340">_xlfn.IFNA((INDEX('DMR 001C TIN &amp; TP'!$A$3:$M$10005,MATCH(('Reg 85'!$I$6:$Q$6&amp;'Reg 85'!$M$10&amp;'Reg 85'!$B340),('DMR 001C TIN &amp; TP'!$E$3:$E$10005&amp;'DMR 001C TIN &amp; TP'!$B$3:$B$10005&amp;'DMR 001C TIN &amp; TP'!$A$3:$A$10005),0),MATCH('Reg 85'!$N$11,'DMR 001C TIN &amp; TP'!$A$2:$M$2,0))),"")</f>
        <v/>
      </c>
      <c r="O340" s="6" t="str">
        <f t="array" ref="O340">_xlfn.IFNA((INDEX('DMR 001C TIN &amp; TP'!$A$3:$M$10005,MATCH(('Reg 85'!$I$6:$Q$6&amp;'Reg 85'!$M$10&amp;'Reg 85'!$B340),('DMR 001C TIN &amp; TP'!$E$3:$E$10005&amp;'DMR 001C TIN &amp; TP'!$B$3:$B$10005&amp;'DMR 001C TIN &amp; TP'!$A$3:$A$10005),0),MATCH('Reg 85'!$O$11,'DMR 001C TIN &amp; TP'!$A$2:$M$2,0))),"")</f>
        <v/>
      </c>
      <c r="P340" s="53" t="str">
        <f t="shared" si="133"/>
        <v/>
      </c>
      <c r="Q340" s="73" t="str">
        <f t="array" ref="Q340">IFERROR(((L340*$F340)+(P340*$G340))/($H340),"")</f>
        <v/>
      </c>
      <c r="R340" s="6" t="str">
        <f t="array" ref="R340">_xlfn.IFNA((INDEX('DMR 001C TIN &amp; TP'!$A$3:$M$10005,MATCH(('Reg 85'!$I$6:$Q$6&amp;'Reg 85'!R$10&amp;'Reg 85'!$B340),('DMR 001C TIN &amp; TP'!$E$3:$E$10005&amp;'DMR 001C TIN &amp; TP'!$B$3:$B$10005&amp;'DMR 001C TIN &amp; TP'!$A$3:$A$10005),0),MATCH('Reg 85'!$O$11,'DMR 001C TIN &amp; TP'!$A$2:$M$2,0))),"")</f>
        <v/>
      </c>
      <c r="S340" s="6" t="str">
        <f t="array" ref="S340">_xlfn.IFNA((INDEX('DMR 001C TIN &amp; TP'!$A$3:$M$10005,MATCH(('Reg 85'!$I$6:$Q$6&amp;'Reg 85'!S$10&amp;'Reg 85'!$B340),('DMR 001C TIN &amp; TP'!$E$3:$E$10005&amp;'DMR 001C TIN &amp; TP'!$B$3:$B$10005&amp;'DMR 001C TIN &amp; TP'!$A$3:$A$10005),0),MATCH('Reg 85'!$O$11,'DMR 001C TIN &amp; TP'!$A$2:$M$2,0))),"")</f>
        <v/>
      </c>
      <c r="T340" s="6" t="str">
        <f t="array" ref="T340">_xlfn.IFNA((INDEX('DMR 001C TIN &amp; TP'!$A$3:$M$10005,MATCH(('Reg 85'!$I$6:$Q$6&amp;'Reg 85'!T$10&amp;'Reg 85'!$B340),('DMR 001C TIN &amp; TP'!$E$3:$E$10005&amp;'DMR 001C TIN &amp; TP'!$B$3:$B$10005&amp;'DMR 001C TIN &amp; TP'!$A$3:$A$10005),0),MATCH('Reg 85'!$O$11,'DMR 001C TIN &amp; TP'!$A$2:$M$2,0))),"")</f>
        <v/>
      </c>
      <c r="U340" s="6" t="str">
        <f t="array" ref="U340">_xlfn.IFNA((INDEX('DMR 001C TIN &amp; TP'!$A$3:$M$10005,MATCH(('Reg 85'!$I$6:$Q$6&amp;'Reg 85'!U$10&amp;'Reg 85'!$B340),('DMR 001C TIN &amp; TP'!$E$3:$E$10005&amp;'DMR 001C TIN &amp; TP'!$B$3:$B$10005&amp;'DMR 001C TIN &amp; TP'!$A$3:$A$10005),0),MATCH('Reg 85'!$O$11,'DMR 001C TIN &amp; TP'!$A$2:$M$2,0))),"")</f>
        <v/>
      </c>
      <c r="V340" s="6" t="str">
        <f t="array" ref="V340">_xlfn.IFNA((INDEX('DMR 001C TIN &amp; TP'!$A$3:$M$10005,MATCH(('Reg 85'!$I$6:$Q$6&amp;'Reg 85'!V$10&amp;'Reg 85'!$B340),('DMR 001C TIN &amp; TP'!$E$3:$E$10005&amp;'DMR 001C TIN &amp; TP'!$B$3:$B$10005&amp;'DMR 001C TIN &amp; TP'!$A$3:$A$10005),0),MATCH('Reg 85'!$O$11,'DMR 001C TIN &amp; TP'!$A$2:$M$2,0))),"")</f>
        <v/>
      </c>
      <c r="W340" s="6" t="str">
        <f t="array" ref="W340">_xlfn.IFNA((INDEX('DMR 001C TIN &amp; TP'!$A$3:$M$10005,MATCH(('Reg 85'!$I$6:$Q$6&amp;'Reg 85'!W$10&amp;'Reg 85'!$B340),('DMR 001C TIN &amp; TP'!$E$3:$E$10005&amp;'DMR 001C TIN &amp; TP'!$B$3:$B$10005&amp;'DMR 001C TIN &amp; TP'!$A$3:$A$10005),0),MATCH('Reg 85'!$O$11,'DMR 001C TIN &amp; TP'!$A$2:$M$2,0))),"")</f>
        <v/>
      </c>
      <c r="X340" s="5" t="str">
        <f t="shared" si="134"/>
        <v/>
      </c>
      <c r="Y340" s="6" t="str">
        <f t="array" ref="Y340">_xlfn.IFNA((INDEX('DMR 001C TIN &amp; TP'!$A$3:$M$10005,MATCH(('Reg 85'!$X$6&amp;'Reg 85'!$X$10&amp;'Reg 85'!$B340),('DMR 001C TIN &amp; TP'!$E$3:$E$10005&amp;'DMR 001C TIN &amp; TP'!$B$3:$B$10005&amp;'DMR 001C TIN &amp; TP'!$A$3:$A$10005),0),MATCH('Reg 85'!$Y$11,'DMR 001C TIN &amp; TP'!$A$2:$M$2,0))),"")</f>
        <v/>
      </c>
      <c r="Z340" s="6" t="str">
        <f t="array" ref="Z340">_xlfn.IFNA((INDEX('DMR 001C TIN &amp; TP'!$A$3:$M$10005,MATCH(('Reg 85'!$X$6&amp;'Reg 85'!$X$10&amp;'Reg 85'!$B340),('DMR 001C TIN &amp; TP'!$E$3:$E$10005&amp;'DMR 001C TIN &amp; TP'!$B$3:$B$10005&amp;'DMR 001C TIN &amp; TP'!$A$3:$A$10005),0),MATCH('Reg 85'!$Z$11,'DMR 001C TIN &amp; TP'!$A$2:$M$2,0))),"")</f>
        <v/>
      </c>
      <c r="AA340" s="53" t="str">
        <f t="shared" si="135"/>
        <v/>
      </c>
      <c r="AB340" s="5" t="str">
        <f t="shared" si="136"/>
        <v/>
      </c>
      <c r="AC340" s="6" t="str">
        <f t="array" ref="AC340">_xlfn.IFNA((INDEX('DMR 001C TIN &amp; TP'!$A$3:$M$10005,MATCH(('Reg 85'!$X$6&amp;'Reg 85'!$AB$10&amp;'Reg 85'!$B340),('DMR 001C TIN &amp; TP'!$E$3:$E$10005&amp;'DMR 001C TIN &amp; TP'!$B$3:$B$10005&amp;'DMR 001C TIN &amp; TP'!$A$3:$A$10005),0),MATCH('Reg 85'!$AC$11,'DMR 001C TIN &amp; TP'!$A$2:$M$2,0))),"")</f>
        <v/>
      </c>
      <c r="AD340" s="6" t="str">
        <f t="array" ref="AD340">_xlfn.IFNA((INDEX('DMR 001C TIN &amp; TP'!$A$3:$M$10005,MATCH(('Reg 85'!$X$6&amp;'Reg 85'!$AB$10&amp;'Reg 85'!$B340),('DMR 001C TIN &amp; TP'!$E$3:$E$10005&amp;'DMR 001C TIN &amp; TP'!$B$3:$B$10005&amp;'DMR 001C TIN &amp; TP'!$A$3:$A$10005),0),MATCH('Reg 85'!$AD$11,'DMR 001C TIN &amp; TP'!$A$2:$M$2,0))),"")</f>
        <v/>
      </c>
      <c r="AE340" s="53" t="str">
        <f t="shared" si="137"/>
        <v/>
      </c>
      <c r="AF340" s="7" t="str">
        <f t="shared" si="138"/>
        <v/>
      </c>
      <c r="AG340" s="6" t="str">
        <f t="array" ref="AG340">_xlfn.IFNA((INDEX('DMR 001C TIN &amp; TP'!$A$3:$M$10005,MATCH(('Reg 85'!$X$6&amp;'Reg 85'!AG$10&amp;'Reg 85'!$B340),('DMR 001C TIN &amp; TP'!$E$3:$E$10005&amp;'DMR 001C TIN &amp; TP'!$B$3:$B$10005&amp;'DMR 001C TIN &amp; TP'!$A$3:$A$10005),0),MATCH('Reg 85'!$AG$11,'DMR 001C TIN &amp; TP'!$A$2:$M$2,0))),"")</f>
        <v/>
      </c>
      <c r="AH340" s="6" t="str">
        <f t="array" ref="AH340">_xlfn.IFNA((INDEX('DMR 001C TIN &amp; TP'!$A$3:$M$10005,MATCH(('Reg 85'!$X$6&amp;'Reg 85'!AH$10&amp;'Reg 85'!$B340),('DMR 001C TIN &amp; TP'!$E$3:$E$10005&amp;'DMR 001C TIN &amp; TP'!$B$3:$B$10005&amp;'DMR 001C TIN &amp; TP'!$A$3:$A$10005),0),MATCH('Reg 85'!$AG$11,'DMR 001C TIN &amp; TP'!$A$2:$M$2,0))),"")</f>
        <v/>
      </c>
      <c r="AI340" s="6" t="str">
        <f t="array" ref="AI340">_xlfn.IFNA((INDEX('DMR 001C TIN &amp; TP'!$A$3:$M$10005,MATCH(('Reg 85'!$X$6&amp;'Reg 85'!AI$10&amp;'Reg 85'!$B340),('DMR 001C TIN &amp; TP'!$E$3:$E$10005&amp;'DMR 001C TIN &amp; TP'!$B$3:$B$10005&amp;'DMR 001C TIN &amp; TP'!$A$3:$A$10005),0),MATCH('Reg 85'!$AG$11,'DMR 001C TIN &amp; TP'!$A$2:$M$2,0))),"")</f>
        <v/>
      </c>
      <c r="AJ340" s="6" t="str">
        <f t="array" ref="AJ340">_xlfn.IFNA((INDEX('DMR 001C TIN &amp; TP'!$A$3:$M$10005,MATCH(('Reg 85'!$X$6&amp;'Reg 85'!AJ$10&amp;'Reg 85'!$B340),('DMR 001C TIN &amp; TP'!$E$3:$E$10005&amp;'DMR 001C TIN &amp; TP'!$B$3:$B$10005&amp;'DMR 001C TIN &amp; TP'!$A$3:$A$10005),0),MATCH('Reg 85'!$AG$11,'DMR 001C TIN &amp; TP'!$A$2:$M$2,0))),"")</f>
        <v/>
      </c>
      <c r="AK340" s="6" t="str">
        <f t="array" ref="AK340">_xlfn.IFNA((INDEX('DMR 001C TIN &amp; TP'!$A$3:$M$10005,MATCH(('Reg 85'!$X$6&amp;'Reg 85'!AK$10&amp;'Reg 85'!$B340),('DMR 001C TIN &amp; TP'!$E$3:$E$10005&amp;'DMR 001C TIN &amp; TP'!$B$3:$B$10005&amp;'DMR 001C TIN &amp; TP'!$A$3:$A$10005),0),MATCH('Reg 85'!$AG$11,'DMR 001C TIN &amp; TP'!$A$2:$M$2,0))),"")</f>
        <v/>
      </c>
      <c r="AL340" s="6" t="str">
        <f t="array" ref="AL340">_xlfn.IFNA((INDEX('DMR 001C TIN &amp; TP'!$A$3:$M$10005,MATCH(('Reg 85'!$X$6&amp;'Reg 85'!AL$10&amp;'Reg 85'!$B340),('DMR 001C TIN &amp; TP'!$E$3:$E$10005&amp;'DMR 001C TIN &amp; TP'!$B$3:$B$10005&amp;'DMR 001C TIN &amp; TP'!$A$3:$A$10005),0),MATCH('Reg 85'!$AG$11,'DMR 001C TIN &amp; TP'!$A$2:$M$2,0))),"")</f>
        <v/>
      </c>
      <c r="AM340" s="76"/>
      <c r="AN340" s="6"/>
      <c r="AO340" s="54" t="str">
        <f t="shared" si="125"/>
        <v/>
      </c>
      <c r="AP340" s="77" t="str">
        <f t="shared" si="123"/>
        <v/>
      </c>
      <c r="AQ340" s="47"/>
      <c r="AR340" s="6" t="str">
        <f t="array" ref="AR340">_xlfn.IFNA((INDEX('DMR 001C TIN &amp; TP'!$A$3:$M$10005,MATCH(('Reg 85'!$AQ$6&amp;'Reg 85'!$AQ$10&amp;'Reg 85'!$B340),('DMR 001C TIN &amp; TP'!$E$3:$E$10005&amp;'DMR 001C TIN &amp; TP'!$B$3:$B$10005&amp;'DMR 001C TIN &amp; TP'!$A$3:$A$10005),0),MATCH('Reg 85'!$AR$11,'DMR 001C TIN &amp; TP'!$A$2:$M$2,0))),"")</f>
        <v>0.03</v>
      </c>
      <c r="AS340" s="6">
        <f t="array" ref="AS340">_xlfn.IFNA((INDEX('DMR 001C TIN &amp; TP'!$A$3:$M$10005,MATCH(('Reg 85'!$AQ$6&amp;'Reg 85'!$AQ$10&amp;'Reg 85'!$B340),('DMR 001C TIN &amp; TP'!$E$3:$E$10005&amp;'DMR 001C TIN &amp; TP'!$B$3:$B$10005&amp;'DMR 001C TIN &amp; TP'!$A$3:$A$10005),0),MATCH('Reg 85'!$AS$11,'DMR 001C TIN &amp; TP'!$A$2:$M$2,0))),"")</f>
        <v>0.37</v>
      </c>
      <c r="AT340" s="53">
        <f t="shared" si="139"/>
        <v>0.37</v>
      </c>
      <c r="AV340" s="6" t="str">
        <f t="array" ref="AV340">_xlfn.IFNA((INDEX('DMR 001C TIN &amp; TP'!$A$3:$M$10005,MATCH(('Reg 85'!$AQ$6&amp;'Reg 85'!$AU$10&amp;'Reg 85'!$B340),('DMR 001C TIN &amp; TP'!$E$3:$E$10005&amp;'DMR 001C TIN &amp; TP'!$B$3:$B$10005&amp;'DMR 001C TIN &amp; TP'!$A$3:$A$10005),0),MATCH('Reg 85'!$AV$11,'DMR 001C TIN &amp; TP'!$A$2:$M$2,0))),"")</f>
        <v>0.06</v>
      </c>
      <c r="AW340" s="6">
        <f t="array" ref="AW340">_xlfn.IFNA((INDEX('DMR 001C TIN &amp; TP'!$A$3:$M$10005,MATCH(('Reg 85'!$AQ$6&amp;'Reg 85'!$AU$10&amp;'Reg 85'!$B340),('DMR 001C TIN &amp; TP'!$E$3:$E$10005&amp;'DMR 001C TIN &amp; TP'!$B$3:$B$10005&amp;'DMR 001C TIN &amp; TP'!$A$3:$A$10005),0),MATCH('Reg 85'!$AW$11,'DMR 001C TIN &amp; TP'!$A$2:$M$2,0))),"")</f>
        <v>0.37</v>
      </c>
      <c r="AX340" s="53">
        <f t="shared" si="140"/>
        <v>0.37</v>
      </c>
      <c r="AY340" s="55">
        <f t="shared" si="141"/>
        <v>0.37</v>
      </c>
      <c r="AZ340" s="77" t="str">
        <f t="shared" si="124"/>
        <v/>
      </c>
      <c r="BA340" s="6" t="str">
        <f t="array" ref="BA340">_xlfn.IFNA((INDEX('DMR 001C TIN &amp; TP'!$A$3:$M$10005,MATCH(('Reg 85'!$AQ$6&amp;'Reg 85'!BA$10&amp;'Reg 85'!$B340),('DMR 001C TIN &amp; TP'!$E$3:$E$10005&amp;'DMR 001C TIN &amp; TP'!$B$3:$B$10005&amp;'DMR 001C TIN &amp; TP'!$A$3:$A$10005),0),MATCH('Reg 85'!$AG$11,'DMR 001C TIN &amp; TP'!$A$2:$M$2,0))),"")</f>
        <v/>
      </c>
      <c r="BB340" s="6" t="str">
        <f t="array" ref="BB340">_xlfn.IFNA((INDEX('DMR 001C TIN &amp; TP'!$A$3:$M$10005,MATCH(('Reg 85'!$AQ$6&amp;'Reg 85'!BB$10&amp;'Reg 85'!$B340),('DMR 001C TIN &amp; TP'!$E$3:$E$10005&amp;'DMR 001C TIN &amp; TP'!$B$3:$B$10005&amp;'DMR 001C TIN &amp; TP'!$A$3:$A$10005),0),MATCH('Reg 85'!$AG$11,'DMR 001C TIN &amp; TP'!$A$2:$M$2,0))),"")</f>
        <v/>
      </c>
      <c r="BC340" s="6" t="str">
        <f t="array" ref="BC340">_xlfn.IFNA((INDEX('DMR 001C TIN &amp; TP'!$A$3:$M$10005,MATCH(('Reg 85'!$AQ$6&amp;'Reg 85'!BC$10&amp;'Reg 85'!$B340),('DMR 001C TIN &amp; TP'!$E$3:$E$10005&amp;'DMR 001C TIN &amp; TP'!$B$3:$B$10005&amp;'DMR 001C TIN &amp; TP'!$A$3:$A$10005),0),MATCH('Reg 85'!$AG$11,'DMR 001C TIN &amp; TP'!$A$2:$M$2,0))),"")</f>
        <v/>
      </c>
      <c r="BD340" s="6" t="str">
        <f t="array" ref="BD340">_xlfn.IFNA((INDEX('DMR 001C TIN &amp; TP'!$A$3:$M$10005,MATCH(('Reg 85'!$AQ$6&amp;'Reg 85'!BD$10&amp;'Reg 85'!$B340),('DMR 001C TIN &amp; TP'!$E$3:$E$10005&amp;'DMR 001C TIN &amp; TP'!$B$3:$B$10005&amp;'DMR 001C TIN &amp; TP'!$A$3:$A$10005),0),MATCH('Reg 85'!$AG$11,'DMR 001C TIN &amp; TP'!$A$2:$M$2,0))),"")</f>
        <v/>
      </c>
      <c r="BE340" s="6" t="str">
        <f t="array" ref="BE340">_xlfn.IFNA((INDEX('DMR 001C TIN &amp; TP'!$A$3:$M$10005,MATCH(('Reg 85'!$AQ$6&amp;'Reg 85'!BE$10&amp;'Reg 85'!$B340),('DMR 001C TIN &amp; TP'!$E$3:$E$10005&amp;'DMR 001C TIN &amp; TP'!$B$3:$B$10005&amp;'DMR 001C TIN &amp; TP'!$A$3:$A$10005),0),MATCH('Reg 85'!$AG$11,'DMR 001C TIN &amp; TP'!$A$2:$M$2,0))),"")</f>
        <v/>
      </c>
      <c r="BF340" s="6" t="str">
        <f t="array" ref="BF340">_xlfn.IFNA((INDEX('DMR 001C TIN &amp; TP'!$A$3:$M$10005,MATCH(('Reg 85'!$AQ$6&amp;'Reg 85'!BF$10&amp;'Reg 85'!$B340),('DMR 001C TIN &amp; TP'!$E$3:$E$10005&amp;'DMR 001C TIN &amp; TP'!$B$3:$B$10005&amp;'DMR 001C TIN &amp; TP'!$A$3:$A$10005),0),MATCH('Reg 85'!$AG$11,'DMR 001C TIN &amp; TP'!$A$2:$M$2,0))),"")</f>
        <v/>
      </c>
    </row>
    <row r="341" spans="1:58">
      <c r="A341" s="3" t="str">
        <f t="shared" si="126"/>
        <v>Sat</v>
      </c>
      <c r="B341" s="96">
        <f t="shared" si="142"/>
        <v>43673</v>
      </c>
      <c r="C341" s="96">
        <f t="shared" si="127"/>
        <v>43677</v>
      </c>
      <c r="D341" s="96">
        <f t="shared" si="128"/>
        <v>43647</v>
      </c>
      <c r="E341" s="95">
        <f t="shared" si="129"/>
        <v>31</v>
      </c>
      <c r="F341" s="7">
        <f t="array" ref="F341">_xlfn.IFNA(INDEX('DMR Flows-Effluent'!$A$3:$F$9999,MATCH(($F$10&amp;$B341),('DMR Flows-Effluent'!$B$3:$B$9999&amp;'DMR Flows-Effluent'!$A$3:$A$9999),0),MATCH($F$8,'DMR Flows-Effluent'!$A$2:$F$2,0)),"")</f>
        <v>54.690800000000003</v>
      </c>
      <c r="G341" s="7">
        <f t="array" ref="G341">_xlfn.IFNA(INDEX('DMR Flows-Effluent'!$A$3:$F$9999,MATCH(($G$10&amp;$B341),('DMR Flows-Effluent'!$B$3:$B$9999&amp;'DMR Flows-Effluent'!$A$3:$A$9999),0),MATCH($F$8,'DMR Flows-Effluent'!$A$2:$F$2,0)),"")</f>
        <v>70.388999999999996</v>
      </c>
      <c r="H341" s="7">
        <f t="shared" si="130"/>
        <v>125.07980000000001</v>
      </c>
      <c r="I341" s="45" t="str">
        <f t="shared" si="131"/>
        <v/>
      </c>
      <c r="J341" s="6" t="str">
        <f t="array" ref="J341">_xlfn.IFNA((INDEX('DMR 001C TIN &amp; TP'!$A$3:$M$10005,MATCH(('Reg 85'!$I$6:$Q$6&amp;'Reg 85'!$I$10:$K$10&amp;'Reg 85'!$B341),('DMR 001C TIN &amp; TP'!$E$3:$E$10005&amp;'DMR 001C TIN &amp; TP'!$B$3:$B$10005&amp;'DMR 001C TIN &amp; TP'!$A$3:$A$10005),0),MATCH('Reg 85'!$J$11,'DMR 001C TIN &amp; TP'!$A$2:$M$2,0))),"")</f>
        <v/>
      </c>
      <c r="K341" s="6" t="str">
        <f t="array" ref="K341">_xlfn.IFNA((INDEX('DMR 001C TIN &amp; TP'!$A$3:$M$10005,MATCH(('Reg 85'!$I$6:$Q$6&amp;'Reg 85'!$I$10:$K$10&amp;'Reg 85'!$B341),('DMR 001C TIN &amp; TP'!$E$3:$E$10005&amp;'DMR 001C TIN &amp; TP'!$B$3:$B$10005&amp;'DMR 001C TIN &amp; TP'!$A$3:$A$10005),0),MATCH('Reg 85'!$K$11,'DMR 001C TIN &amp; TP'!$A$2:$M$2,0))),"")</f>
        <v/>
      </c>
      <c r="L341" s="53" t="str">
        <f t="shared" si="143"/>
        <v/>
      </c>
      <c r="M341" s="5" t="str">
        <f t="shared" si="132"/>
        <v/>
      </c>
      <c r="N341" s="6" t="str">
        <f t="array" ref="N341">_xlfn.IFNA((INDEX('DMR 001C TIN &amp; TP'!$A$3:$M$10005,MATCH(('Reg 85'!$I$6:$Q$6&amp;'Reg 85'!$M$10&amp;'Reg 85'!$B341),('DMR 001C TIN &amp; TP'!$E$3:$E$10005&amp;'DMR 001C TIN &amp; TP'!$B$3:$B$10005&amp;'DMR 001C TIN &amp; TP'!$A$3:$A$10005),0),MATCH('Reg 85'!$N$11,'DMR 001C TIN &amp; TP'!$A$2:$M$2,0))),"")</f>
        <v/>
      </c>
      <c r="O341" s="6" t="str">
        <f t="array" ref="O341">_xlfn.IFNA((INDEX('DMR 001C TIN &amp; TP'!$A$3:$M$10005,MATCH(('Reg 85'!$I$6:$Q$6&amp;'Reg 85'!$M$10&amp;'Reg 85'!$B341),('DMR 001C TIN &amp; TP'!$E$3:$E$10005&amp;'DMR 001C TIN &amp; TP'!$B$3:$B$10005&amp;'DMR 001C TIN &amp; TP'!$A$3:$A$10005),0),MATCH('Reg 85'!$O$11,'DMR 001C TIN &amp; TP'!$A$2:$M$2,0))),"")</f>
        <v/>
      </c>
      <c r="P341" s="53" t="str">
        <f t="shared" si="133"/>
        <v/>
      </c>
      <c r="Q341" s="73" t="str">
        <f t="array" ref="Q341">IFERROR(((L341*$F341)+(P341*$G341))/($H341),"")</f>
        <v/>
      </c>
      <c r="R341" s="6" t="str">
        <f t="array" ref="R341">_xlfn.IFNA((INDEX('DMR 001C TIN &amp; TP'!$A$3:$M$10005,MATCH(('Reg 85'!$I$6:$Q$6&amp;'Reg 85'!R$10&amp;'Reg 85'!$B341),('DMR 001C TIN &amp; TP'!$E$3:$E$10005&amp;'DMR 001C TIN &amp; TP'!$B$3:$B$10005&amp;'DMR 001C TIN &amp; TP'!$A$3:$A$10005),0),MATCH('Reg 85'!$O$11,'DMR 001C TIN &amp; TP'!$A$2:$M$2,0))),"")</f>
        <v/>
      </c>
      <c r="S341" s="6" t="str">
        <f t="array" ref="S341">_xlfn.IFNA((INDEX('DMR 001C TIN &amp; TP'!$A$3:$M$10005,MATCH(('Reg 85'!$I$6:$Q$6&amp;'Reg 85'!S$10&amp;'Reg 85'!$B341),('DMR 001C TIN &amp; TP'!$E$3:$E$10005&amp;'DMR 001C TIN &amp; TP'!$B$3:$B$10005&amp;'DMR 001C TIN &amp; TP'!$A$3:$A$10005),0),MATCH('Reg 85'!$O$11,'DMR 001C TIN &amp; TP'!$A$2:$M$2,0))),"")</f>
        <v/>
      </c>
      <c r="T341" s="6" t="str">
        <f t="array" ref="T341">_xlfn.IFNA((INDEX('DMR 001C TIN &amp; TP'!$A$3:$M$10005,MATCH(('Reg 85'!$I$6:$Q$6&amp;'Reg 85'!T$10&amp;'Reg 85'!$B341),('DMR 001C TIN &amp; TP'!$E$3:$E$10005&amp;'DMR 001C TIN &amp; TP'!$B$3:$B$10005&amp;'DMR 001C TIN &amp; TP'!$A$3:$A$10005),0),MATCH('Reg 85'!$O$11,'DMR 001C TIN &amp; TP'!$A$2:$M$2,0))),"")</f>
        <v/>
      </c>
      <c r="U341" s="6" t="str">
        <f t="array" ref="U341">_xlfn.IFNA((INDEX('DMR 001C TIN &amp; TP'!$A$3:$M$10005,MATCH(('Reg 85'!$I$6:$Q$6&amp;'Reg 85'!U$10&amp;'Reg 85'!$B341),('DMR 001C TIN &amp; TP'!$E$3:$E$10005&amp;'DMR 001C TIN &amp; TP'!$B$3:$B$10005&amp;'DMR 001C TIN &amp; TP'!$A$3:$A$10005),0),MATCH('Reg 85'!$O$11,'DMR 001C TIN &amp; TP'!$A$2:$M$2,0))),"")</f>
        <v/>
      </c>
      <c r="V341" s="6" t="str">
        <f t="array" ref="V341">_xlfn.IFNA((INDEX('DMR 001C TIN &amp; TP'!$A$3:$M$10005,MATCH(('Reg 85'!$I$6:$Q$6&amp;'Reg 85'!V$10&amp;'Reg 85'!$B341),('DMR 001C TIN &amp; TP'!$E$3:$E$10005&amp;'DMR 001C TIN &amp; TP'!$B$3:$B$10005&amp;'DMR 001C TIN &amp; TP'!$A$3:$A$10005),0),MATCH('Reg 85'!$O$11,'DMR 001C TIN &amp; TP'!$A$2:$M$2,0))),"")</f>
        <v/>
      </c>
      <c r="W341" s="6" t="str">
        <f t="array" ref="W341">_xlfn.IFNA((INDEX('DMR 001C TIN &amp; TP'!$A$3:$M$10005,MATCH(('Reg 85'!$I$6:$Q$6&amp;'Reg 85'!W$10&amp;'Reg 85'!$B341),('DMR 001C TIN &amp; TP'!$E$3:$E$10005&amp;'DMR 001C TIN &amp; TP'!$B$3:$B$10005&amp;'DMR 001C TIN &amp; TP'!$A$3:$A$10005),0),MATCH('Reg 85'!$O$11,'DMR 001C TIN &amp; TP'!$A$2:$M$2,0))),"")</f>
        <v/>
      </c>
      <c r="X341" s="5" t="str">
        <f t="shared" si="134"/>
        <v/>
      </c>
      <c r="Y341" s="6" t="str">
        <f t="array" ref="Y341">_xlfn.IFNA((INDEX('DMR 001C TIN &amp; TP'!$A$3:$M$10005,MATCH(('Reg 85'!$X$6&amp;'Reg 85'!$X$10&amp;'Reg 85'!$B341),('DMR 001C TIN &amp; TP'!$E$3:$E$10005&amp;'DMR 001C TIN &amp; TP'!$B$3:$B$10005&amp;'DMR 001C TIN &amp; TP'!$A$3:$A$10005),0),MATCH('Reg 85'!$Y$11,'DMR 001C TIN &amp; TP'!$A$2:$M$2,0))),"")</f>
        <v/>
      </c>
      <c r="Z341" s="6" t="str">
        <f t="array" ref="Z341">_xlfn.IFNA((INDEX('DMR 001C TIN &amp; TP'!$A$3:$M$10005,MATCH(('Reg 85'!$X$6&amp;'Reg 85'!$X$10&amp;'Reg 85'!$B341),('DMR 001C TIN &amp; TP'!$E$3:$E$10005&amp;'DMR 001C TIN &amp; TP'!$B$3:$B$10005&amp;'DMR 001C TIN &amp; TP'!$A$3:$A$10005),0),MATCH('Reg 85'!$Z$11,'DMR 001C TIN &amp; TP'!$A$2:$M$2,0))),"")</f>
        <v/>
      </c>
      <c r="AA341" s="53" t="str">
        <f t="shared" si="135"/>
        <v/>
      </c>
      <c r="AB341" s="5" t="str">
        <f t="shared" si="136"/>
        <v/>
      </c>
      <c r="AC341" s="6" t="str">
        <f t="array" ref="AC341">_xlfn.IFNA((INDEX('DMR 001C TIN &amp; TP'!$A$3:$M$10005,MATCH(('Reg 85'!$X$6&amp;'Reg 85'!$AB$10&amp;'Reg 85'!$B341),('DMR 001C TIN &amp; TP'!$E$3:$E$10005&amp;'DMR 001C TIN &amp; TP'!$B$3:$B$10005&amp;'DMR 001C TIN &amp; TP'!$A$3:$A$10005),0),MATCH('Reg 85'!$AC$11,'DMR 001C TIN &amp; TP'!$A$2:$M$2,0))),"")</f>
        <v/>
      </c>
      <c r="AD341" s="6" t="str">
        <f t="array" ref="AD341">_xlfn.IFNA((INDEX('DMR 001C TIN &amp; TP'!$A$3:$M$10005,MATCH(('Reg 85'!$X$6&amp;'Reg 85'!$AB$10&amp;'Reg 85'!$B341),('DMR 001C TIN &amp; TP'!$E$3:$E$10005&amp;'DMR 001C TIN &amp; TP'!$B$3:$B$10005&amp;'DMR 001C TIN &amp; TP'!$A$3:$A$10005),0),MATCH('Reg 85'!$AD$11,'DMR 001C TIN &amp; TP'!$A$2:$M$2,0))),"")</f>
        <v/>
      </c>
      <c r="AE341" s="53" t="str">
        <f t="shared" si="137"/>
        <v/>
      </c>
      <c r="AF341" s="7" t="str">
        <f t="shared" si="138"/>
        <v/>
      </c>
      <c r="AG341" s="6" t="str">
        <f t="array" ref="AG341">_xlfn.IFNA((INDEX('DMR 001C TIN &amp; TP'!$A$3:$M$10005,MATCH(('Reg 85'!$X$6&amp;'Reg 85'!AG$10&amp;'Reg 85'!$B341),('DMR 001C TIN &amp; TP'!$E$3:$E$10005&amp;'DMR 001C TIN &amp; TP'!$B$3:$B$10005&amp;'DMR 001C TIN &amp; TP'!$A$3:$A$10005),0),MATCH('Reg 85'!$AG$11,'DMR 001C TIN &amp; TP'!$A$2:$M$2,0))),"")</f>
        <v/>
      </c>
      <c r="AH341" s="6" t="str">
        <f t="array" ref="AH341">_xlfn.IFNA((INDEX('DMR 001C TIN &amp; TP'!$A$3:$M$10005,MATCH(('Reg 85'!$X$6&amp;'Reg 85'!AH$10&amp;'Reg 85'!$B341),('DMR 001C TIN &amp; TP'!$E$3:$E$10005&amp;'DMR 001C TIN &amp; TP'!$B$3:$B$10005&amp;'DMR 001C TIN &amp; TP'!$A$3:$A$10005),0),MATCH('Reg 85'!$AG$11,'DMR 001C TIN &amp; TP'!$A$2:$M$2,0))),"")</f>
        <v/>
      </c>
      <c r="AI341" s="6" t="str">
        <f t="array" ref="AI341">_xlfn.IFNA((INDEX('DMR 001C TIN &amp; TP'!$A$3:$M$10005,MATCH(('Reg 85'!$X$6&amp;'Reg 85'!AI$10&amp;'Reg 85'!$B341),('DMR 001C TIN &amp; TP'!$E$3:$E$10005&amp;'DMR 001C TIN &amp; TP'!$B$3:$B$10005&amp;'DMR 001C TIN &amp; TP'!$A$3:$A$10005),0),MATCH('Reg 85'!$AG$11,'DMR 001C TIN &amp; TP'!$A$2:$M$2,0))),"")</f>
        <v/>
      </c>
      <c r="AJ341" s="6" t="str">
        <f t="array" ref="AJ341">_xlfn.IFNA((INDEX('DMR 001C TIN &amp; TP'!$A$3:$M$10005,MATCH(('Reg 85'!$X$6&amp;'Reg 85'!AJ$10&amp;'Reg 85'!$B341),('DMR 001C TIN &amp; TP'!$E$3:$E$10005&amp;'DMR 001C TIN &amp; TP'!$B$3:$B$10005&amp;'DMR 001C TIN &amp; TP'!$A$3:$A$10005),0),MATCH('Reg 85'!$AG$11,'DMR 001C TIN &amp; TP'!$A$2:$M$2,0))),"")</f>
        <v/>
      </c>
      <c r="AK341" s="6" t="str">
        <f t="array" ref="AK341">_xlfn.IFNA((INDEX('DMR 001C TIN &amp; TP'!$A$3:$M$10005,MATCH(('Reg 85'!$X$6&amp;'Reg 85'!AK$10&amp;'Reg 85'!$B341),('DMR 001C TIN &amp; TP'!$E$3:$E$10005&amp;'DMR 001C TIN &amp; TP'!$B$3:$B$10005&amp;'DMR 001C TIN &amp; TP'!$A$3:$A$10005),0),MATCH('Reg 85'!$AG$11,'DMR 001C TIN &amp; TP'!$A$2:$M$2,0))),"")</f>
        <v/>
      </c>
      <c r="AL341" s="6" t="str">
        <f t="array" ref="AL341">_xlfn.IFNA((INDEX('DMR 001C TIN &amp; TP'!$A$3:$M$10005,MATCH(('Reg 85'!$X$6&amp;'Reg 85'!AL$10&amp;'Reg 85'!$B341),('DMR 001C TIN &amp; TP'!$E$3:$E$10005&amp;'DMR 001C TIN &amp; TP'!$B$3:$B$10005&amp;'DMR 001C TIN &amp; TP'!$A$3:$A$10005),0),MATCH('Reg 85'!$AG$11,'DMR 001C TIN &amp; TP'!$A$2:$M$2,0))),"")</f>
        <v/>
      </c>
      <c r="AM341" s="76"/>
      <c r="AN341" s="6"/>
      <c r="AO341" s="54" t="str">
        <f t="shared" si="125"/>
        <v/>
      </c>
      <c r="AP341" s="77" t="str">
        <f t="shared" si="123"/>
        <v/>
      </c>
      <c r="AQ341" s="47"/>
      <c r="AR341" s="6" t="str">
        <f t="array" ref="AR341">_xlfn.IFNA((INDEX('DMR 001C TIN &amp; TP'!$A$3:$M$10005,MATCH(('Reg 85'!$AQ$6&amp;'Reg 85'!$AQ$10&amp;'Reg 85'!$B341),('DMR 001C TIN &amp; TP'!$E$3:$E$10005&amp;'DMR 001C TIN &amp; TP'!$B$3:$B$10005&amp;'DMR 001C TIN &amp; TP'!$A$3:$A$10005),0),MATCH('Reg 85'!$AR$11,'DMR 001C TIN &amp; TP'!$A$2:$M$2,0))),"")</f>
        <v/>
      </c>
      <c r="AS341" s="6" t="str">
        <f t="array" ref="AS341">_xlfn.IFNA((INDEX('DMR 001C TIN &amp; TP'!$A$3:$M$10005,MATCH(('Reg 85'!$AQ$6&amp;'Reg 85'!$AQ$10&amp;'Reg 85'!$B341),('DMR 001C TIN &amp; TP'!$E$3:$E$10005&amp;'DMR 001C TIN &amp; TP'!$B$3:$B$10005&amp;'DMR 001C TIN &amp; TP'!$A$3:$A$10005),0),MATCH('Reg 85'!$AS$11,'DMR 001C TIN &amp; TP'!$A$2:$M$2,0))),"")</f>
        <v/>
      </c>
      <c r="AT341" s="53" t="str">
        <f t="shared" si="139"/>
        <v/>
      </c>
      <c r="AV341" s="6" t="str">
        <f t="array" ref="AV341">_xlfn.IFNA((INDEX('DMR 001C TIN &amp; TP'!$A$3:$M$10005,MATCH(('Reg 85'!$AQ$6&amp;'Reg 85'!$AU$10&amp;'Reg 85'!$B341),('DMR 001C TIN &amp; TP'!$E$3:$E$10005&amp;'DMR 001C TIN &amp; TP'!$B$3:$B$10005&amp;'DMR 001C TIN &amp; TP'!$A$3:$A$10005),0),MATCH('Reg 85'!$AV$11,'DMR 001C TIN &amp; TP'!$A$2:$M$2,0))),"")</f>
        <v/>
      </c>
      <c r="AW341" s="6" t="str">
        <f t="array" ref="AW341">_xlfn.IFNA((INDEX('DMR 001C TIN &amp; TP'!$A$3:$M$10005,MATCH(('Reg 85'!$AQ$6&amp;'Reg 85'!$AU$10&amp;'Reg 85'!$B341),('DMR 001C TIN &amp; TP'!$E$3:$E$10005&amp;'DMR 001C TIN &amp; TP'!$B$3:$B$10005&amp;'DMR 001C TIN &amp; TP'!$A$3:$A$10005),0),MATCH('Reg 85'!$AW$11,'DMR 001C TIN &amp; TP'!$A$2:$M$2,0))),"")</f>
        <v/>
      </c>
      <c r="AX341" s="53" t="str">
        <f t="shared" si="140"/>
        <v/>
      </c>
      <c r="AY341" s="55" t="str">
        <f t="shared" si="141"/>
        <v/>
      </c>
      <c r="AZ341" s="77" t="str">
        <f t="shared" si="124"/>
        <v/>
      </c>
      <c r="BA341" s="6" t="str">
        <f t="array" ref="BA341">_xlfn.IFNA((INDEX('DMR 001C TIN &amp; TP'!$A$3:$M$10005,MATCH(('Reg 85'!$AQ$6&amp;'Reg 85'!BA$10&amp;'Reg 85'!$B341),('DMR 001C TIN &amp; TP'!$E$3:$E$10005&amp;'DMR 001C TIN &amp; TP'!$B$3:$B$10005&amp;'DMR 001C TIN &amp; TP'!$A$3:$A$10005),0),MATCH('Reg 85'!$AG$11,'DMR 001C TIN &amp; TP'!$A$2:$M$2,0))),"")</f>
        <v/>
      </c>
      <c r="BB341" s="6" t="str">
        <f t="array" ref="BB341">_xlfn.IFNA((INDEX('DMR 001C TIN &amp; TP'!$A$3:$M$10005,MATCH(('Reg 85'!$AQ$6&amp;'Reg 85'!BB$10&amp;'Reg 85'!$B341),('DMR 001C TIN &amp; TP'!$E$3:$E$10005&amp;'DMR 001C TIN &amp; TP'!$B$3:$B$10005&amp;'DMR 001C TIN &amp; TP'!$A$3:$A$10005),0),MATCH('Reg 85'!$AG$11,'DMR 001C TIN &amp; TP'!$A$2:$M$2,0))),"")</f>
        <v/>
      </c>
      <c r="BC341" s="6" t="str">
        <f t="array" ref="BC341">_xlfn.IFNA((INDEX('DMR 001C TIN &amp; TP'!$A$3:$M$10005,MATCH(('Reg 85'!$AQ$6&amp;'Reg 85'!BC$10&amp;'Reg 85'!$B341),('DMR 001C TIN &amp; TP'!$E$3:$E$10005&amp;'DMR 001C TIN &amp; TP'!$B$3:$B$10005&amp;'DMR 001C TIN &amp; TP'!$A$3:$A$10005),0),MATCH('Reg 85'!$AG$11,'DMR 001C TIN &amp; TP'!$A$2:$M$2,0))),"")</f>
        <v/>
      </c>
      <c r="BD341" s="6" t="str">
        <f t="array" ref="BD341">_xlfn.IFNA((INDEX('DMR 001C TIN &amp; TP'!$A$3:$M$10005,MATCH(('Reg 85'!$AQ$6&amp;'Reg 85'!BD$10&amp;'Reg 85'!$B341),('DMR 001C TIN &amp; TP'!$E$3:$E$10005&amp;'DMR 001C TIN &amp; TP'!$B$3:$B$10005&amp;'DMR 001C TIN &amp; TP'!$A$3:$A$10005),0),MATCH('Reg 85'!$AG$11,'DMR 001C TIN &amp; TP'!$A$2:$M$2,0))),"")</f>
        <v/>
      </c>
      <c r="BE341" s="6" t="str">
        <f t="array" ref="BE341">_xlfn.IFNA((INDEX('DMR 001C TIN &amp; TP'!$A$3:$M$10005,MATCH(('Reg 85'!$AQ$6&amp;'Reg 85'!BE$10&amp;'Reg 85'!$B341),('DMR 001C TIN &amp; TP'!$E$3:$E$10005&amp;'DMR 001C TIN &amp; TP'!$B$3:$B$10005&amp;'DMR 001C TIN &amp; TP'!$A$3:$A$10005),0),MATCH('Reg 85'!$AG$11,'DMR 001C TIN &amp; TP'!$A$2:$M$2,0))),"")</f>
        <v/>
      </c>
      <c r="BF341" s="6" t="str">
        <f t="array" ref="BF341">_xlfn.IFNA((INDEX('DMR 001C TIN &amp; TP'!$A$3:$M$10005,MATCH(('Reg 85'!$AQ$6&amp;'Reg 85'!BF$10&amp;'Reg 85'!$B341),('DMR 001C TIN &amp; TP'!$E$3:$E$10005&amp;'DMR 001C TIN &amp; TP'!$B$3:$B$10005&amp;'DMR 001C TIN &amp; TP'!$A$3:$A$10005),0),MATCH('Reg 85'!$AG$11,'DMR 001C TIN &amp; TP'!$A$2:$M$2,0))),"")</f>
        <v/>
      </c>
    </row>
    <row r="342" spans="1:58">
      <c r="A342" s="3" t="str">
        <f t="shared" si="126"/>
        <v>Sun</v>
      </c>
      <c r="B342" s="96">
        <f t="shared" si="142"/>
        <v>43674</v>
      </c>
      <c r="C342" s="96">
        <f t="shared" si="127"/>
        <v>43677</v>
      </c>
      <c r="D342" s="96">
        <f t="shared" si="128"/>
        <v>43647</v>
      </c>
      <c r="E342" s="95">
        <f t="shared" si="129"/>
        <v>31</v>
      </c>
      <c r="F342" s="7">
        <f t="array" ref="F342">_xlfn.IFNA(INDEX('DMR Flows-Effluent'!$A$3:$F$9999,MATCH(($F$10&amp;$B342),('DMR Flows-Effluent'!$B$3:$B$9999&amp;'DMR Flows-Effluent'!$A$3:$A$9999),0),MATCH($F$8,'DMR Flows-Effluent'!$A$2:$F$2,0)),"")</f>
        <v>54.6066</v>
      </c>
      <c r="G342" s="7">
        <f t="array" ref="G342">_xlfn.IFNA(INDEX('DMR Flows-Effluent'!$A$3:$F$9999,MATCH(($G$10&amp;$B342),('DMR Flows-Effluent'!$B$3:$B$9999&amp;'DMR Flows-Effluent'!$A$3:$A$9999),0),MATCH($F$8,'DMR Flows-Effluent'!$A$2:$F$2,0)),"")</f>
        <v>71.099900000000005</v>
      </c>
      <c r="H342" s="7">
        <f t="shared" si="130"/>
        <v>125.70650000000001</v>
      </c>
      <c r="I342" s="45" t="str">
        <f t="shared" si="131"/>
        <v/>
      </c>
      <c r="J342" s="6" t="str">
        <f t="array" ref="J342">_xlfn.IFNA((INDEX('DMR 001C TIN &amp; TP'!$A$3:$M$10005,MATCH(('Reg 85'!$I$6:$Q$6&amp;'Reg 85'!$I$10:$K$10&amp;'Reg 85'!$B342),('DMR 001C TIN &amp; TP'!$E$3:$E$10005&amp;'DMR 001C TIN &amp; TP'!$B$3:$B$10005&amp;'DMR 001C TIN &amp; TP'!$A$3:$A$10005),0),MATCH('Reg 85'!$J$11,'DMR 001C TIN &amp; TP'!$A$2:$M$2,0))),"")</f>
        <v>0.15</v>
      </c>
      <c r="K342" s="6">
        <f t="array" ref="K342">_xlfn.IFNA((INDEX('DMR 001C TIN &amp; TP'!$A$3:$M$10005,MATCH(('Reg 85'!$I$6:$Q$6&amp;'Reg 85'!$I$10:$K$10&amp;'Reg 85'!$B342),('DMR 001C TIN &amp; TP'!$E$3:$E$10005&amp;'DMR 001C TIN &amp; TP'!$B$3:$B$10005&amp;'DMR 001C TIN &amp; TP'!$A$3:$A$10005),0),MATCH('Reg 85'!$K$11,'DMR 001C TIN &amp; TP'!$A$2:$M$2,0))),"")</f>
        <v>0.94</v>
      </c>
      <c r="L342" s="53">
        <f t="shared" si="143"/>
        <v>0.94</v>
      </c>
      <c r="M342" s="5" t="str">
        <f t="shared" si="132"/>
        <v>&lt;</v>
      </c>
      <c r="N342" s="6" t="str">
        <f t="array" ref="N342">_xlfn.IFNA((INDEX('DMR 001C TIN &amp; TP'!$A$3:$M$10005,MATCH(('Reg 85'!$I$6:$Q$6&amp;'Reg 85'!$M$10&amp;'Reg 85'!$B342),('DMR 001C TIN &amp; TP'!$E$3:$E$10005&amp;'DMR 001C TIN &amp; TP'!$B$3:$B$10005&amp;'DMR 001C TIN &amp; TP'!$A$3:$A$10005),0),MATCH('Reg 85'!$N$11,'DMR 001C TIN &amp; TP'!$A$2:$M$2,0))),"")</f>
        <v>0.15</v>
      </c>
      <c r="O342" s="6">
        <f t="array" ref="O342">_xlfn.IFNA((INDEX('DMR 001C TIN &amp; TP'!$A$3:$M$10005,MATCH(('Reg 85'!$I$6:$Q$6&amp;'Reg 85'!$M$10&amp;'Reg 85'!$B342),('DMR 001C TIN &amp; TP'!$E$3:$E$10005&amp;'DMR 001C TIN &amp; TP'!$B$3:$B$10005&amp;'DMR 001C TIN &amp; TP'!$A$3:$A$10005),0),MATCH('Reg 85'!$O$11,'DMR 001C TIN &amp; TP'!$A$2:$M$2,0))),"")</f>
        <v>0.13</v>
      </c>
      <c r="P342" s="53">
        <f t="shared" si="133"/>
        <v>0</v>
      </c>
      <c r="Q342" s="73">
        <f t="array" ref="Q342">IFERROR(((L342*$F342)+(P342*$G342))/($H342),"")</f>
        <v>0.4083337297593998</v>
      </c>
      <c r="R342" s="6" t="str">
        <f t="array" ref="R342">_xlfn.IFNA((INDEX('DMR 001C TIN &amp; TP'!$A$3:$M$10005,MATCH(('Reg 85'!$I$6:$Q$6&amp;'Reg 85'!R$10&amp;'Reg 85'!$B342),('DMR 001C TIN &amp; TP'!$E$3:$E$10005&amp;'DMR 001C TIN &amp; TP'!$B$3:$B$10005&amp;'DMR 001C TIN &amp; TP'!$A$3:$A$10005),0),MATCH('Reg 85'!$O$11,'DMR 001C TIN &amp; TP'!$A$2:$M$2,0))),"")</f>
        <v/>
      </c>
      <c r="S342" s="6" t="str">
        <f t="array" ref="S342">_xlfn.IFNA((INDEX('DMR 001C TIN &amp; TP'!$A$3:$M$10005,MATCH(('Reg 85'!$I$6:$Q$6&amp;'Reg 85'!S$10&amp;'Reg 85'!$B342),('DMR 001C TIN &amp; TP'!$E$3:$E$10005&amp;'DMR 001C TIN &amp; TP'!$B$3:$B$10005&amp;'DMR 001C TIN &amp; TP'!$A$3:$A$10005),0),MATCH('Reg 85'!$O$11,'DMR 001C TIN &amp; TP'!$A$2:$M$2,0))),"")</f>
        <v/>
      </c>
      <c r="T342" s="6" t="str">
        <f t="array" ref="T342">_xlfn.IFNA((INDEX('DMR 001C TIN &amp; TP'!$A$3:$M$10005,MATCH(('Reg 85'!$I$6:$Q$6&amp;'Reg 85'!T$10&amp;'Reg 85'!$B342),('DMR 001C TIN &amp; TP'!$E$3:$E$10005&amp;'DMR 001C TIN &amp; TP'!$B$3:$B$10005&amp;'DMR 001C TIN &amp; TP'!$A$3:$A$10005),0),MATCH('Reg 85'!$O$11,'DMR 001C TIN &amp; TP'!$A$2:$M$2,0))),"")</f>
        <v/>
      </c>
      <c r="U342" s="6" t="str">
        <f t="array" ref="U342">_xlfn.IFNA((INDEX('DMR 001C TIN &amp; TP'!$A$3:$M$10005,MATCH(('Reg 85'!$I$6:$Q$6&amp;'Reg 85'!U$10&amp;'Reg 85'!$B342),('DMR 001C TIN &amp; TP'!$E$3:$E$10005&amp;'DMR 001C TIN &amp; TP'!$B$3:$B$10005&amp;'DMR 001C TIN &amp; TP'!$A$3:$A$10005),0),MATCH('Reg 85'!$O$11,'DMR 001C TIN &amp; TP'!$A$2:$M$2,0))),"")</f>
        <v/>
      </c>
      <c r="V342" s="6" t="str">
        <f t="array" ref="V342">_xlfn.IFNA((INDEX('DMR 001C TIN &amp; TP'!$A$3:$M$10005,MATCH(('Reg 85'!$I$6:$Q$6&amp;'Reg 85'!V$10&amp;'Reg 85'!$B342),('DMR 001C TIN &amp; TP'!$E$3:$E$10005&amp;'DMR 001C TIN &amp; TP'!$B$3:$B$10005&amp;'DMR 001C TIN &amp; TP'!$A$3:$A$10005),0),MATCH('Reg 85'!$O$11,'DMR 001C TIN &amp; TP'!$A$2:$M$2,0))),"")</f>
        <v/>
      </c>
      <c r="W342" s="6" t="str">
        <f t="array" ref="W342">_xlfn.IFNA((INDEX('DMR 001C TIN &amp; TP'!$A$3:$M$10005,MATCH(('Reg 85'!$I$6:$Q$6&amp;'Reg 85'!W$10&amp;'Reg 85'!$B342),('DMR 001C TIN &amp; TP'!$E$3:$E$10005&amp;'DMR 001C TIN &amp; TP'!$B$3:$B$10005&amp;'DMR 001C TIN &amp; TP'!$A$3:$A$10005),0),MATCH('Reg 85'!$O$11,'DMR 001C TIN &amp; TP'!$A$2:$M$2,0))),"")</f>
        <v/>
      </c>
      <c r="X342" s="5" t="str">
        <f t="shared" si="134"/>
        <v/>
      </c>
      <c r="Y342" s="6" t="str">
        <f t="array" ref="Y342">_xlfn.IFNA((INDEX('DMR 001C TIN &amp; TP'!$A$3:$M$10005,MATCH(('Reg 85'!$X$6&amp;'Reg 85'!$X$10&amp;'Reg 85'!$B342),('DMR 001C TIN &amp; TP'!$E$3:$E$10005&amp;'DMR 001C TIN &amp; TP'!$B$3:$B$10005&amp;'DMR 001C TIN &amp; TP'!$A$3:$A$10005),0),MATCH('Reg 85'!$Y$11,'DMR 001C TIN &amp; TP'!$A$2:$M$2,0))),"")</f>
        <v>0.06</v>
      </c>
      <c r="Z342" s="6">
        <f t="array" ref="Z342">_xlfn.IFNA((INDEX('DMR 001C TIN &amp; TP'!$A$3:$M$10005,MATCH(('Reg 85'!$X$6&amp;'Reg 85'!$X$10&amp;'Reg 85'!$B342),('DMR 001C TIN &amp; TP'!$E$3:$E$10005&amp;'DMR 001C TIN &amp; TP'!$B$3:$B$10005&amp;'DMR 001C TIN &amp; TP'!$A$3:$A$10005),0),MATCH('Reg 85'!$Z$11,'DMR 001C TIN &amp; TP'!$A$2:$M$2,0))),"")</f>
        <v>4.28</v>
      </c>
      <c r="AA342" s="53">
        <f t="shared" si="135"/>
        <v>4.28</v>
      </c>
      <c r="AB342" s="5" t="str">
        <f t="shared" si="136"/>
        <v/>
      </c>
      <c r="AC342" s="6" t="str">
        <f t="array" ref="AC342">_xlfn.IFNA((INDEX('DMR 001C TIN &amp; TP'!$A$3:$M$10005,MATCH(('Reg 85'!$X$6&amp;'Reg 85'!$AB$10&amp;'Reg 85'!$B342),('DMR 001C TIN &amp; TP'!$E$3:$E$10005&amp;'DMR 001C TIN &amp; TP'!$B$3:$B$10005&amp;'DMR 001C TIN &amp; TP'!$A$3:$A$10005),0),MATCH('Reg 85'!$AC$11,'DMR 001C TIN &amp; TP'!$A$2:$M$2,0))),"")</f>
        <v>0.06</v>
      </c>
      <c r="AD342" s="6">
        <f t="array" ref="AD342">_xlfn.IFNA((INDEX('DMR 001C TIN &amp; TP'!$A$3:$M$10005,MATCH(('Reg 85'!$X$6&amp;'Reg 85'!$AB$10&amp;'Reg 85'!$B342),('DMR 001C TIN &amp; TP'!$E$3:$E$10005&amp;'DMR 001C TIN &amp; TP'!$B$3:$B$10005&amp;'DMR 001C TIN &amp; TP'!$A$3:$A$10005),0),MATCH('Reg 85'!$AD$11,'DMR 001C TIN &amp; TP'!$A$2:$M$2,0))),"")</f>
        <v>6.53</v>
      </c>
      <c r="AE342" s="53">
        <f t="shared" si="137"/>
        <v>6.53</v>
      </c>
      <c r="AF342" s="7">
        <f t="shared" si="138"/>
        <v>5.5526054340865425</v>
      </c>
      <c r="AG342" s="6" t="str">
        <f t="array" ref="AG342">_xlfn.IFNA((INDEX('DMR 001C TIN &amp; TP'!$A$3:$M$10005,MATCH(('Reg 85'!$X$6&amp;'Reg 85'!AG$10&amp;'Reg 85'!$B342),('DMR 001C TIN &amp; TP'!$E$3:$E$10005&amp;'DMR 001C TIN &amp; TP'!$B$3:$B$10005&amp;'DMR 001C TIN &amp; TP'!$A$3:$A$10005),0),MATCH('Reg 85'!$AG$11,'DMR 001C TIN &amp; TP'!$A$2:$M$2,0))),"")</f>
        <v/>
      </c>
      <c r="AH342" s="6" t="str">
        <f t="array" ref="AH342">_xlfn.IFNA((INDEX('DMR 001C TIN &amp; TP'!$A$3:$M$10005,MATCH(('Reg 85'!$X$6&amp;'Reg 85'!AH$10&amp;'Reg 85'!$B342),('DMR 001C TIN &amp; TP'!$E$3:$E$10005&amp;'DMR 001C TIN &amp; TP'!$B$3:$B$10005&amp;'DMR 001C TIN &amp; TP'!$A$3:$A$10005),0),MATCH('Reg 85'!$AG$11,'DMR 001C TIN &amp; TP'!$A$2:$M$2,0))),"")</f>
        <v/>
      </c>
      <c r="AI342" s="6" t="str">
        <f t="array" ref="AI342">_xlfn.IFNA((INDEX('DMR 001C TIN &amp; TP'!$A$3:$M$10005,MATCH(('Reg 85'!$X$6&amp;'Reg 85'!AI$10&amp;'Reg 85'!$B342),('DMR 001C TIN &amp; TP'!$E$3:$E$10005&amp;'DMR 001C TIN &amp; TP'!$B$3:$B$10005&amp;'DMR 001C TIN &amp; TP'!$A$3:$A$10005),0),MATCH('Reg 85'!$AG$11,'DMR 001C TIN &amp; TP'!$A$2:$M$2,0))),"")</f>
        <v/>
      </c>
      <c r="AJ342" s="6" t="str">
        <f t="array" ref="AJ342">_xlfn.IFNA((INDEX('DMR 001C TIN &amp; TP'!$A$3:$M$10005,MATCH(('Reg 85'!$X$6&amp;'Reg 85'!AJ$10&amp;'Reg 85'!$B342),('DMR 001C TIN &amp; TP'!$E$3:$E$10005&amp;'DMR 001C TIN &amp; TP'!$B$3:$B$10005&amp;'DMR 001C TIN &amp; TP'!$A$3:$A$10005),0),MATCH('Reg 85'!$AG$11,'DMR 001C TIN &amp; TP'!$A$2:$M$2,0))),"")</f>
        <v/>
      </c>
      <c r="AK342" s="6" t="str">
        <f t="array" ref="AK342">_xlfn.IFNA((INDEX('DMR 001C TIN &amp; TP'!$A$3:$M$10005,MATCH(('Reg 85'!$X$6&amp;'Reg 85'!AK$10&amp;'Reg 85'!$B342),('DMR 001C TIN &amp; TP'!$E$3:$E$10005&amp;'DMR 001C TIN &amp; TP'!$B$3:$B$10005&amp;'DMR 001C TIN &amp; TP'!$A$3:$A$10005),0),MATCH('Reg 85'!$AG$11,'DMR 001C TIN &amp; TP'!$A$2:$M$2,0))),"")</f>
        <v/>
      </c>
      <c r="AL342" s="6" t="str">
        <f t="array" ref="AL342">_xlfn.IFNA((INDEX('DMR 001C TIN &amp; TP'!$A$3:$M$10005,MATCH(('Reg 85'!$X$6&amp;'Reg 85'!AL$10&amp;'Reg 85'!$B342),('DMR 001C TIN &amp; TP'!$E$3:$E$10005&amp;'DMR 001C TIN &amp; TP'!$B$3:$B$10005&amp;'DMR 001C TIN &amp; TP'!$A$3:$A$10005),0),MATCH('Reg 85'!$AG$11,'DMR 001C TIN &amp; TP'!$A$2:$M$2,0))),"")</f>
        <v/>
      </c>
      <c r="AM342" s="76"/>
      <c r="AN342" s="6"/>
      <c r="AO342" s="54">
        <f t="shared" si="125"/>
        <v>5.9609391638459419</v>
      </c>
      <c r="AP342" s="77" t="str">
        <f t="shared" si="123"/>
        <v/>
      </c>
      <c r="AQ342" s="47"/>
      <c r="AR342" s="6" t="str">
        <f t="array" ref="AR342">_xlfn.IFNA((INDEX('DMR 001C TIN &amp; TP'!$A$3:$M$10005,MATCH(('Reg 85'!$AQ$6&amp;'Reg 85'!$AQ$10&amp;'Reg 85'!$B342),('DMR 001C TIN &amp; TP'!$E$3:$E$10005&amp;'DMR 001C TIN &amp; TP'!$B$3:$B$10005&amp;'DMR 001C TIN &amp; TP'!$A$3:$A$10005),0),MATCH('Reg 85'!$AR$11,'DMR 001C TIN &amp; TP'!$A$2:$M$2,0))),"")</f>
        <v/>
      </c>
      <c r="AS342" s="6" t="str">
        <f t="array" ref="AS342">_xlfn.IFNA((INDEX('DMR 001C TIN &amp; TP'!$A$3:$M$10005,MATCH(('Reg 85'!$AQ$6&amp;'Reg 85'!$AQ$10&amp;'Reg 85'!$B342),('DMR 001C TIN &amp; TP'!$E$3:$E$10005&amp;'DMR 001C TIN &amp; TP'!$B$3:$B$10005&amp;'DMR 001C TIN &amp; TP'!$A$3:$A$10005),0),MATCH('Reg 85'!$AS$11,'DMR 001C TIN &amp; TP'!$A$2:$M$2,0))),"")</f>
        <v/>
      </c>
      <c r="AT342" s="53" t="str">
        <f t="shared" si="139"/>
        <v/>
      </c>
      <c r="AV342" s="6" t="str">
        <f t="array" ref="AV342">_xlfn.IFNA((INDEX('DMR 001C TIN &amp; TP'!$A$3:$M$10005,MATCH(('Reg 85'!$AQ$6&amp;'Reg 85'!$AU$10&amp;'Reg 85'!$B342),('DMR 001C TIN &amp; TP'!$E$3:$E$10005&amp;'DMR 001C TIN &amp; TP'!$B$3:$B$10005&amp;'DMR 001C TIN &amp; TP'!$A$3:$A$10005),0),MATCH('Reg 85'!$AV$11,'DMR 001C TIN &amp; TP'!$A$2:$M$2,0))),"")</f>
        <v/>
      </c>
      <c r="AW342" s="6" t="str">
        <f t="array" ref="AW342">_xlfn.IFNA((INDEX('DMR 001C TIN &amp; TP'!$A$3:$M$10005,MATCH(('Reg 85'!$AQ$6&amp;'Reg 85'!$AU$10&amp;'Reg 85'!$B342),('DMR 001C TIN &amp; TP'!$E$3:$E$10005&amp;'DMR 001C TIN &amp; TP'!$B$3:$B$10005&amp;'DMR 001C TIN &amp; TP'!$A$3:$A$10005),0),MATCH('Reg 85'!$AW$11,'DMR 001C TIN &amp; TP'!$A$2:$M$2,0))),"")</f>
        <v/>
      </c>
      <c r="AX342" s="53" t="str">
        <f t="shared" si="140"/>
        <v/>
      </c>
      <c r="AY342" s="55" t="str">
        <f t="shared" si="141"/>
        <v/>
      </c>
      <c r="AZ342" s="77" t="str">
        <f t="shared" si="124"/>
        <v/>
      </c>
      <c r="BA342" s="6" t="str">
        <f t="array" ref="BA342">_xlfn.IFNA((INDEX('DMR 001C TIN &amp; TP'!$A$3:$M$10005,MATCH(('Reg 85'!$AQ$6&amp;'Reg 85'!BA$10&amp;'Reg 85'!$B342),('DMR 001C TIN &amp; TP'!$E$3:$E$10005&amp;'DMR 001C TIN &amp; TP'!$B$3:$B$10005&amp;'DMR 001C TIN &amp; TP'!$A$3:$A$10005),0),MATCH('Reg 85'!$AG$11,'DMR 001C TIN &amp; TP'!$A$2:$M$2,0))),"")</f>
        <v/>
      </c>
      <c r="BB342" s="6" t="str">
        <f t="array" ref="BB342">_xlfn.IFNA((INDEX('DMR 001C TIN &amp; TP'!$A$3:$M$10005,MATCH(('Reg 85'!$AQ$6&amp;'Reg 85'!BB$10&amp;'Reg 85'!$B342),('DMR 001C TIN &amp; TP'!$E$3:$E$10005&amp;'DMR 001C TIN &amp; TP'!$B$3:$B$10005&amp;'DMR 001C TIN &amp; TP'!$A$3:$A$10005),0),MATCH('Reg 85'!$AG$11,'DMR 001C TIN &amp; TP'!$A$2:$M$2,0))),"")</f>
        <v/>
      </c>
      <c r="BC342" s="6" t="str">
        <f t="array" ref="BC342">_xlfn.IFNA((INDEX('DMR 001C TIN &amp; TP'!$A$3:$M$10005,MATCH(('Reg 85'!$AQ$6&amp;'Reg 85'!BC$10&amp;'Reg 85'!$B342),('DMR 001C TIN &amp; TP'!$E$3:$E$10005&amp;'DMR 001C TIN &amp; TP'!$B$3:$B$10005&amp;'DMR 001C TIN &amp; TP'!$A$3:$A$10005),0),MATCH('Reg 85'!$AG$11,'DMR 001C TIN &amp; TP'!$A$2:$M$2,0))),"")</f>
        <v/>
      </c>
      <c r="BD342" s="6" t="str">
        <f t="array" ref="BD342">_xlfn.IFNA((INDEX('DMR 001C TIN &amp; TP'!$A$3:$M$10005,MATCH(('Reg 85'!$AQ$6&amp;'Reg 85'!BD$10&amp;'Reg 85'!$B342),('DMR 001C TIN &amp; TP'!$E$3:$E$10005&amp;'DMR 001C TIN &amp; TP'!$B$3:$B$10005&amp;'DMR 001C TIN &amp; TP'!$A$3:$A$10005),0),MATCH('Reg 85'!$AG$11,'DMR 001C TIN &amp; TP'!$A$2:$M$2,0))),"")</f>
        <v/>
      </c>
      <c r="BE342" s="6" t="str">
        <f t="array" ref="BE342">_xlfn.IFNA((INDEX('DMR 001C TIN &amp; TP'!$A$3:$M$10005,MATCH(('Reg 85'!$AQ$6&amp;'Reg 85'!BE$10&amp;'Reg 85'!$B342),('DMR 001C TIN &amp; TP'!$E$3:$E$10005&amp;'DMR 001C TIN &amp; TP'!$B$3:$B$10005&amp;'DMR 001C TIN &amp; TP'!$A$3:$A$10005),0),MATCH('Reg 85'!$AG$11,'DMR 001C TIN &amp; TP'!$A$2:$M$2,0))),"")</f>
        <v/>
      </c>
      <c r="BF342" s="6" t="str">
        <f t="array" ref="BF342">_xlfn.IFNA((INDEX('DMR 001C TIN &amp; TP'!$A$3:$M$10005,MATCH(('Reg 85'!$AQ$6&amp;'Reg 85'!BF$10&amp;'Reg 85'!$B342),('DMR 001C TIN &amp; TP'!$E$3:$E$10005&amp;'DMR 001C TIN &amp; TP'!$B$3:$B$10005&amp;'DMR 001C TIN &amp; TP'!$A$3:$A$10005),0),MATCH('Reg 85'!$AG$11,'DMR 001C TIN &amp; TP'!$A$2:$M$2,0))),"")</f>
        <v/>
      </c>
    </row>
    <row r="343" spans="1:58">
      <c r="A343" s="3" t="str">
        <f t="shared" si="126"/>
        <v>Mon</v>
      </c>
      <c r="B343" s="96">
        <f t="shared" si="142"/>
        <v>43675</v>
      </c>
      <c r="C343" s="96">
        <f t="shared" si="127"/>
        <v>43677</v>
      </c>
      <c r="D343" s="96">
        <f t="shared" si="128"/>
        <v>43647</v>
      </c>
      <c r="E343" s="95">
        <f t="shared" si="129"/>
        <v>31</v>
      </c>
      <c r="F343" s="7">
        <f t="array" ref="F343">_xlfn.IFNA(INDEX('DMR Flows-Effluent'!$A$3:$F$9999,MATCH(($F$10&amp;$B343),('DMR Flows-Effluent'!$B$3:$B$9999&amp;'DMR Flows-Effluent'!$A$3:$A$9999),0),MATCH($F$8,'DMR Flows-Effluent'!$A$2:$F$2,0)),"")</f>
        <v>54.201000000000001</v>
      </c>
      <c r="G343" s="7">
        <f t="array" ref="G343">_xlfn.IFNA(INDEX('DMR Flows-Effluent'!$A$3:$F$9999,MATCH(($G$10&amp;$B343),('DMR Flows-Effluent'!$B$3:$B$9999&amp;'DMR Flows-Effluent'!$A$3:$A$9999),0),MATCH($F$8,'DMR Flows-Effluent'!$A$2:$F$2,0)),"")</f>
        <v>69.071700000000007</v>
      </c>
      <c r="H343" s="7">
        <f t="shared" si="130"/>
        <v>123.27270000000001</v>
      </c>
      <c r="I343" s="45" t="str">
        <f t="shared" si="131"/>
        <v/>
      </c>
      <c r="J343" s="6" t="str">
        <f t="array" ref="J343">_xlfn.IFNA((INDEX('DMR 001C TIN &amp; TP'!$A$3:$M$10005,MATCH(('Reg 85'!$I$6:$Q$6&amp;'Reg 85'!$I$10:$K$10&amp;'Reg 85'!$B343),('DMR 001C TIN &amp; TP'!$E$3:$E$10005&amp;'DMR 001C TIN &amp; TP'!$B$3:$B$10005&amp;'DMR 001C TIN &amp; TP'!$A$3:$A$10005),0),MATCH('Reg 85'!$J$11,'DMR 001C TIN &amp; TP'!$A$2:$M$2,0))),"")</f>
        <v>0.15</v>
      </c>
      <c r="K343" s="6">
        <f t="array" ref="K343">_xlfn.IFNA((INDEX('DMR 001C TIN &amp; TP'!$A$3:$M$10005,MATCH(('Reg 85'!$I$6:$Q$6&amp;'Reg 85'!$I$10:$K$10&amp;'Reg 85'!$B343),('DMR 001C TIN &amp; TP'!$E$3:$E$10005&amp;'DMR 001C TIN &amp; TP'!$B$3:$B$10005&amp;'DMR 001C TIN &amp; TP'!$A$3:$A$10005),0),MATCH('Reg 85'!$K$11,'DMR 001C TIN &amp; TP'!$A$2:$M$2,0))),"")</f>
        <v>0.22</v>
      </c>
      <c r="L343" s="53">
        <f t="shared" si="143"/>
        <v>0.22</v>
      </c>
      <c r="M343" s="5" t="str">
        <f t="shared" si="132"/>
        <v>&lt;</v>
      </c>
      <c r="N343" s="6" t="str">
        <f t="array" ref="N343">_xlfn.IFNA((INDEX('DMR 001C TIN &amp; TP'!$A$3:$M$10005,MATCH(('Reg 85'!$I$6:$Q$6&amp;'Reg 85'!$M$10&amp;'Reg 85'!$B343),('DMR 001C TIN &amp; TP'!$E$3:$E$10005&amp;'DMR 001C TIN &amp; TP'!$B$3:$B$10005&amp;'DMR 001C TIN &amp; TP'!$A$3:$A$10005),0),MATCH('Reg 85'!$N$11,'DMR 001C TIN &amp; TP'!$A$2:$M$2,0))),"")</f>
        <v>0.15</v>
      </c>
      <c r="O343" s="6">
        <f t="array" ref="O343">_xlfn.IFNA((INDEX('DMR 001C TIN &amp; TP'!$A$3:$M$10005,MATCH(('Reg 85'!$I$6:$Q$6&amp;'Reg 85'!$M$10&amp;'Reg 85'!$B343),('DMR 001C TIN &amp; TP'!$E$3:$E$10005&amp;'DMR 001C TIN &amp; TP'!$B$3:$B$10005&amp;'DMR 001C TIN &amp; TP'!$A$3:$A$10005),0),MATCH('Reg 85'!$O$11,'DMR 001C TIN &amp; TP'!$A$2:$M$2,0))),"")</f>
        <v>0.13</v>
      </c>
      <c r="P343" s="53">
        <f t="shared" si="133"/>
        <v>0</v>
      </c>
      <c r="Q343" s="73">
        <f t="array" ref="Q343">IFERROR(((L343*$F343)+(P343*$G343))/($H343),"")</f>
        <v>9.6730419630623801E-2</v>
      </c>
      <c r="R343" s="6" t="str">
        <f t="array" ref="R343">_xlfn.IFNA((INDEX('DMR 001C TIN &amp; TP'!$A$3:$M$10005,MATCH(('Reg 85'!$I$6:$Q$6&amp;'Reg 85'!R$10&amp;'Reg 85'!$B343),('DMR 001C TIN &amp; TP'!$E$3:$E$10005&amp;'DMR 001C TIN &amp; TP'!$B$3:$B$10005&amp;'DMR 001C TIN &amp; TP'!$A$3:$A$10005),0),MATCH('Reg 85'!$O$11,'DMR 001C TIN &amp; TP'!$A$2:$M$2,0))),"")</f>
        <v/>
      </c>
      <c r="S343" s="6" t="str">
        <f t="array" ref="S343">_xlfn.IFNA((INDEX('DMR 001C TIN &amp; TP'!$A$3:$M$10005,MATCH(('Reg 85'!$I$6:$Q$6&amp;'Reg 85'!S$10&amp;'Reg 85'!$B343),('DMR 001C TIN &amp; TP'!$E$3:$E$10005&amp;'DMR 001C TIN &amp; TP'!$B$3:$B$10005&amp;'DMR 001C TIN &amp; TP'!$A$3:$A$10005),0),MATCH('Reg 85'!$O$11,'DMR 001C TIN &amp; TP'!$A$2:$M$2,0))),"")</f>
        <v/>
      </c>
      <c r="T343" s="6" t="str">
        <f t="array" ref="T343">_xlfn.IFNA((INDEX('DMR 001C TIN &amp; TP'!$A$3:$M$10005,MATCH(('Reg 85'!$I$6:$Q$6&amp;'Reg 85'!T$10&amp;'Reg 85'!$B343),('DMR 001C TIN &amp; TP'!$E$3:$E$10005&amp;'DMR 001C TIN &amp; TP'!$B$3:$B$10005&amp;'DMR 001C TIN &amp; TP'!$A$3:$A$10005),0),MATCH('Reg 85'!$O$11,'DMR 001C TIN &amp; TP'!$A$2:$M$2,0))),"")</f>
        <v/>
      </c>
      <c r="U343" s="6" t="str">
        <f t="array" ref="U343">_xlfn.IFNA((INDEX('DMR 001C TIN &amp; TP'!$A$3:$M$10005,MATCH(('Reg 85'!$I$6:$Q$6&amp;'Reg 85'!U$10&amp;'Reg 85'!$B343),('DMR 001C TIN &amp; TP'!$E$3:$E$10005&amp;'DMR 001C TIN &amp; TP'!$B$3:$B$10005&amp;'DMR 001C TIN &amp; TP'!$A$3:$A$10005),0),MATCH('Reg 85'!$O$11,'DMR 001C TIN &amp; TP'!$A$2:$M$2,0))),"")</f>
        <v/>
      </c>
      <c r="V343" s="6" t="str">
        <f t="array" ref="V343">_xlfn.IFNA((INDEX('DMR 001C TIN &amp; TP'!$A$3:$M$10005,MATCH(('Reg 85'!$I$6:$Q$6&amp;'Reg 85'!V$10&amp;'Reg 85'!$B343),('DMR 001C TIN &amp; TP'!$E$3:$E$10005&amp;'DMR 001C TIN &amp; TP'!$B$3:$B$10005&amp;'DMR 001C TIN &amp; TP'!$A$3:$A$10005),0),MATCH('Reg 85'!$O$11,'DMR 001C TIN &amp; TP'!$A$2:$M$2,0))),"")</f>
        <v/>
      </c>
      <c r="W343" s="6" t="str">
        <f t="array" ref="W343">_xlfn.IFNA((INDEX('DMR 001C TIN &amp; TP'!$A$3:$M$10005,MATCH(('Reg 85'!$I$6:$Q$6&amp;'Reg 85'!W$10&amp;'Reg 85'!$B343),('DMR 001C TIN &amp; TP'!$E$3:$E$10005&amp;'DMR 001C TIN &amp; TP'!$B$3:$B$10005&amp;'DMR 001C TIN &amp; TP'!$A$3:$A$10005),0),MATCH('Reg 85'!$O$11,'DMR 001C TIN &amp; TP'!$A$2:$M$2,0))),"")</f>
        <v/>
      </c>
      <c r="X343" s="5" t="str">
        <f t="shared" si="134"/>
        <v/>
      </c>
      <c r="Y343" s="6" t="str">
        <f t="array" ref="Y343">_xlfn.IFNA((INDEX('DMR 001C TIN &amp; TP'!$A$3:$M$10005,MATCH(('Reg 85'!$X$6&amp;'Reg 85'!$X$10&amp;'Reg 85'!$B343),('DMR 001C TIN &amp; TP'!$E$3:$E$10005&amp;'DMR 001C TIN &amp; TP'!$B$3:$B$10005&amp;'DMR 001C TIN &amp; TP'!$A$3:$A$10005),0),MATCH('Reg 85'!$Y$11,'DMR 001C TIN &amp; TP'!$A$2:$M$2,0))),"")</f>
        <v>0.06</v>
      </c>
      <c r="Z343" s="6">
        <f t="array" ref="Z343">_xlfn.IFNA((INDEX('DMR 001C TIN &amp; TP'!$A$3:$M$10005,MATCH(('Reg 85'!$X$6&amp;'Reg 85'!$X$10&amp;'Reg 85'!$B343),('DMR 001C TIN &amp; TP'!$E$3:$E$10005&amp;'DMR 001C TIN &amp; TP'!$B$3:$B$10005&amp;'DMR 001C TIN &amp; TP'!$A$3:$A$10005),0),MATCH('Reg 85'!$Z$11,'DMR 001C TIN &amp; TP'!$A$2:$M$2,0))),"")</f>
        <v>5.18</v>
      </c>
      <c r="AA343" s="53">
        <f t="shared" si="135"/>
        <v>5.18</v>
      </c>
      <c r="AB343" s="5" t="str">
        <f t="shared" si="136"/>
        <v/>
      </c>
      <c r="AC343" s="6" t="str">
        <f t="array" ref="AC343">_xlfn.IFNA((INDEX('DMR 001C TIN &amp; TP'!$A$3:$M$10005,MATCH(('Reg 85'!$X$6&amp;'Reg 85'!$AB$10&amp;'Reg 85'!$B343),('DMR 001C TIN &amp; TP'!$E$3:$E$10005&amp;'DMR 001C TIN &amp; TP'!$B$3:$B$10005&amp;'DMR 001C TIN &amp; TP'!$A$3:$A$10005),0),MATCH('Reg 85'!$AC$11,'DMR 001C TIN &amp; TP'!$A$2:$M$2,0))),"")</f>
        <v>0.06</v>
      </c>
      <c r="AD343" s="6">
        <f t="array" ref="AD343">_xlfn.IFNA((INDEX('DMR 001C TIN &amp; TP'!$A$3:$M$10005,MATCH(('Reg 85'!$X$6&amp;'Reg 85'!$AB$10&amp;'Reg 85'!$B343),('DMR 001C TIN &amp; TP'!$E$3:$E$10005&amp;'DMR 001C TIN &amp; TP'!$B$3:$B$10005&amp;'DMR 001C TIN &amp; TP'!$A$3:$A$10005),0),MATCH('Reg 85'!$AD$11,'DMR 001C TIN &amp; TP'!$A$2:$M$2,0))),"")</f>
        <v>5.78</v>
      </c>
      <c r="AE343" s="53">
        <f t="shared" si="137"/>
        <v>5.78</v>
      </c>
      <c r="AF343" s="7">
        <f t="shared" si="138"/>
        <v>5.5161897646437525</v>
      </c>
      <c r="AG343" s="6" t="str">
        <f t="array" ref="AG343">_xlfn.IFNA((INDEX('DMR 001C TIN &amp; TP'!$A$3:$M$10005,MATCH(('Reg 85'!$X$6&amp;'Reg 85'!AG$10&amp;'Reg 85'!$B343),('DMR 001C TIN &amp; TP'!$E$3:$E$10005&amp;'DMR 001C TIN &amp; TP'!$B$3:$B$10005&amp;'DMR 001C TIN &amp; TP'!$A$3:$A$10005),0),MATCH('Reg 85'!$AG$11,'DMR 001C TIN &amp; TP'!$A$2:$M$2,0))),"")</f>
        <v/>
      </c>
      <c r="AH343" s="6" t="str">
        <f t="array" ref="AH343">_xlfn.IFNA((INDEX('DMR 001C TIN &amp; TP'!$A$3:$M$10005,MATCH(('Reg 85'!$X$6&amp;'Reg 85'!AH$10&amp;'Reg 85'!$B343),('DMR 001C TIN &amp; TP'!$E$3:$E$10005&amp;'DMR 001C TIN &amp; TP'!$B$3:$B$10005&amp;'DMR 001C TIN &amp; TP'!$A$3:$A$10005),0),MATCH('Reg 85'!$AG$11,'DMR 001C TIN &amp; TP'!$A$2:$M$2,0))),"")</f>
        <v/>
      </c>
      <c r="AI343" s="6" t="str">
        <f t="array" ref="AI343">_xlfn.IFNA((INDEX('DMR 001C TIN &amp; TP'!$A$3:$M$10005,MATCH(('Reg 85'!$X$6&amp;'Reg 85'!AI$10&amp;'Reg 85'!$B343),('DMR 001C TIN &amp; TP'!$E$3:$E$10005&amp;'DMR 001C TIN &amp; TP'!$B$3:$B$10005&amp;'DMR 001C TIN &amp; TP'!$A$3:$A$10005),0),MATCH('Reg 85'!$AG$11,'DMR 001C TIN &amp; TP'!$A$2:$M$2,0))),"")</f>
        <v/>
      </c>
      <c r="AJ343" s="6" t="str">
        <f t="array" ref="AJ343">_xlfn.IFNA((INDEX('DMR 001C TIN &amp; TP'!$A$3:$M$10005,MATCH(('Reg 85'!$X$6&amp;'Reg 85'!AJ$10&amp;'Reg 85'!$B343),('DMR 001C TIN &amp; TP'!$E$3:$E$10005&amp;'DMR 001C TIN &amp; TP'!$B$3:$B$10005&amp;'DMR 001C TIN &amp; TP'!$A$3:$A$10005),0),MATCH('Reg 85'!$AG$11,'DMR 001C TIN &amp; TP'!$A$2:$M$2,0))),"")</f>
        <v/>
      </c>
      <c r="AK343" s="6" t="str">
        <f t="array" ref="AK343">_xlfn.IFNA((INDEX('DMR 001C TIN &amp; TP'!$A$3:$M$10005,MATCH(('Reg 85'!$X$6&amp;'Reg 85'!AK$10&amp;'Reg 85'!$B343),('DMR 001C TIN &amp; TP'!$E$3:$E$10005&amp;'DMR 001C TIN &amp; TP'!$B$3:$B$10005&amp;'DMR 001C TIN &amp; TP'!$A$3:$A$10005),0),MATCH('Reg 85'!$AG$11,'DMR 001C TIN &amp; TP'!$A$2:$M$2,0))),"")</f>
        <v/>
      </c>
      <c r="AL343" s="6" t="str">
        <f t="array" ref="AL343">_xlfn.IFNA((INDEX('DMR 001C TIN &amp; TP'!$A$3:$M$10005,MATCH(('Reg 85'!$X$6&amp;'Reg 85'!AL$10&amp;'Reg 85'!$B343),('DMR 001C TIN &amp; TP'!$E$3:$E$10005&amp;'DMR 001C TIN &amp; TP'!$B$3:$B$10005&amp;'DMR 001C TIN &amp; TP'!$A$3:$A$10005),0),MATCH('Reg 85'!$AG$11,'DMR 001C TIN &amp; TP'!$A$2:$M$2,0))),"")</f>
        <v/>
      </c>
      <c r="AM343" s="76"/>
      <c r="AN343" s="6"/>
      <c r="AO343" s="54">
        <f t="shared" si="125"/>
        <v>5.6129201842743761</v>
      </c>
      <c r="AP343" s="77" t="str">
        <f t="shared" si="123"/>
        <v/>
      </c>
      <c r="AQ343" s="47"/>
      <c r="AR343" s="6" t="str">
        <f t="array" ref="AR343">_xlfn.IFNA((INDEX('DMR 001C TIN &amp; TP'!$A$3:$M$10005,MATCH(('Reg 85'!$AQ$6&amp;'Reg 85'!$AQ$10&amp;'Reg 85'!$B343),('DMR 001C TIN &amp; TP'!$E$3:$E$10005&amp;'DMR 001C TIN &amp; TP'!$B$3:$B$10005&amp;'DMR 001C TIN &amp; TP'!$A$3:$A$10005),0),MATCH('Reg 85'!$AR$11,'DMR 001C TIN &amp; TP'!$A$2:$M$2,0))),"")</f>
        <v/>
      </c>
      <c r="AS343" s="6" t="str">
        <f t="array" ref="AS343">_xlfn.IFNA((INDEX('DMR 001C TIN &amp; TP'!$A$3:$M$10005,MATCH(('Reg 85'!$AQ$6&amp;'Reg 85'!$AQ$10&amp;'Reg 85'!$B343),('DMR 001C TIN &amp; TP'!$E$3:$E$10005&amp;'DMR 001C TIN &amp; TP'!$B$3:$B$10005&amp;'DMR 001C TIN &amp; TP'!$A$3:$A$10005),0),MATCH('Reg 85'!$AS$11,'DMR 001C TIN &amp; TP'!$A$2:$M$2,0))),"")</f>
        <v/>
      </c>
      <c r="AT343" s="53" t="str">
        <f t="shared" si="139"/>
        <v/>
      </c>
      <c r="AV343" s="6" t="str">
        <f t="array" ref="AV343">_xlfn.IFNA((INDEX('DMR 001C TIN &amp; TP'!$A$3:$M$10005,MATCH(('Reg 85'!$AQ$6&amp;'Reg 85'!$AU$10&amp;'Reg 85'!$B343),('DMR 001C TIN &amp; TP'!$E$3:$E$10005&amp;'DMR 001C TIN &amp; TP'!$B$3:$B$10005&amp;'DMR 001C TIN &amp; TP'!$A$3:$A$10005),0),MATCH('Reg 85'!$AV$11,'DMR 001C TIN &amp; TP'!$A$2:$M$2,0))),"")</f>
        <v/>
      </c>
      <c r="AW343" s="6" t="str">
        <f t="array" ref="AW343">_xlfn.IFNA((INDEX('DMR 001C TIN &amp; TP'!$A$3:$M$10005,MATCH(('Reg 85'!$AQ$6&amp;'Reg 85'!$AU$10&amp;'Reg 85'!$B343),('DMR 001C TIN &amp; TP'!$E$3:$E$10005&amp;'DMR 001C TIN &amp; TP'!$B$3:$B$10005&amp;'DMR 001C TIN &amp; TP'!$A$3:$A$10005),0),MATCH('Reg 85'!$AW$11,'DMR 001C TIN &amp; TP'!$A$2:$M$2,0))),"")</f>
        <v/>
      </c>
      <c r="AX343" s="53" t="str">
        <f t="shared" si="140"/>
        <v/>
      </c>
      <c r="AY343" s="55" t="str">
        <f t="shared" si="141"/>
        <v/>
      </c>
      <c r="AZ343" s="77" t="str">
        <f t="shared" si="124"/>
        <v/>
      </c>
      <c r="BA343" s="6" t="str">
        <f t="array" ref="BA343">_xlfn.IFNA((INDEX('DMR 001C TIN &amp; TP'!$A$3:$M$10005,MATCH(('Reg 85'!$AQ$6&amp;'Reg 85'!BA$10&amp;'Reg 85'!$B343),('DMR 001C TIN &amp; TP'!$E$3:$E$10005&amp;'DMR 001C TIN &amp; TP'!$B$3:$B$10005&amp;'DMR 001C TIN &amp; TP'!$A$3:$A$10005),0),MATCH('Reg 85'!$AG$11,'DMR 001C TIN &amp; TP'!$A$2:$M$2,0))),"")</f>
        <v/>
      </c>
      <c r="BB343" s="6" t="str">
        <f t="array" ref="BB343">_xlfn.IFNA((INDEX('DMR 001C TIN &amp; TP'!$A$3:$M$10005,MATCH(('Reg 85'!$AQ$6&amp;'Reg 85'!BB$10&amp;'Reg 85'!$B343),('DMR 001C TIN &amp; TP'!$E$3:$E$10005&amp;'DMR 001C TIN &amp; TP'!$B$3:$B$10005&amp;'DMR 001C TIN &amp; TP'!$A$3:$A$10005),0),MATCH('Reg 85'!$AG$11,'DMR 001C TIN &amp; TP'!$A$2:$M$2,0))),"")</f>
        <v/>
      </c>
      <c r="BC343" s="6" t="str">
        <f t="array" ref="BC343">_xlfn.IFNA((INDEX('DMR 001C TIN &amp; TP'!$A$3:$M$10005,MATCH(('Reg 85'!$AQ$6&amp;'Reg 85'!BC$10&amp;'Reg 85'!$B343),('DMR 001C TIN &amp; TP'!$E$3:$E$10005&amp;'DMR 001C TIN &amp; TP'!$B$3:$B$10005&amp;'DMR 001C TIN &amp; TP'!$A$3:$A$10005),0),MATCH('Reg 85'!$AG$11,'DMR 001C TIN &amp; TP'!$A$2:$M$2,0))),"")</f>
        <v/>
      </c>
      <c r="BD343" s="6" t="str">
        <f t="array" ref="BD343">_xlfn.IFNA((INDEX('DMR 001C TIN &amp; TP'!$A$3:$M$10005,MATCH(('Reg 85'!$AQ$6&amp;'Reg 85'!BD$10&amp;'Reg 85'!$B343),('DMR 001C TIN &amp; TP'!$E$3:$E$10005&amp;'DMR 001C TIN &amp; TP'!$B$3:$B$10005&amp;'DMR 001C TIN &amp; TP'!$A$3:$A$10005),0),MATCH('Reg 85'!$AG$11,'DMR 001C TIN &amp; TP'!$A$2:$M$2,0))),"")</f>
        <v/>
      </c>
      <c r="BE343" s="6" t="str">
        <f t="array" ref="BE343">_xlfn.IFNA((INDEX('DMR 001C TIN &amp; TP'!$A$3:$M$10005,MATCH(('Reg 85'!$AQ$6&amp;'Reg 85'!BE$10&amp;'Reg 85'!$B343),('DMR 001C TIN &amp; TP'!$E$3:$E$10005&amp;'DMR 001C TIN &amp; TP'!$B$3:$B$10005&amp;'DMR 001C TIN &amp; TP'!$A$3:$A$10005),0),MATCH('Reg 85'!$AG$11,'DMR 001C TIN &amp; TP'!$A$2:$M$2,0))),"")</f>
        <v/>
      </c>
      <c r="BF343" s="6" t="str">
        <f t="array" ref="BF343">_xlfn.IFNA((INDEX('DMR 001C TIN &amp; TP'!$A$3:$M$10005,MATCH(('Reg 85'!$AQ$6&amp;'Reg 85'!BF$10&amp;'Reg 85'!$B343),('DMR 001C TIN &amp; TP'!$E$3:$E$10005&amp;'DMR 001C TIN &amp; TP'!$B$3:$B$10005&amp;'DMR 001C TIN &amp; TP'!$A$3:$A$10005),0),MATCH('Reg 85'!$AG$11,'DMR 001C TIN &amp; TP'!$A$2:$M$2,0))),"")</f>
        <v/>
      </c>
    </row>
    <row r="344" spans="1:58">
      <c r="A344" s="3" t="str">
        <f t="shared" si="126"/>
        <v>Tue</v>
      </c>
      <c r="B344" s="96">
        <f t="shared" si="142"/>
        <v>43676</v>
      </c>
      <c r="C344" s="96">
        <f t="shared" si="127"/>
        <v>43677</v>
      </c>
      <c r="D344" s="96">
        <f t="shared" si="128"/>
        <v>43647</v>
      </c>
      <c r="E344" s="95">
        <f t="shared" si="129"/>
        <v>31</v>
      </c>
      <c r="F344" s="7">
        <f t="array" ref="F344">_xlfn.IFNA(INDEX('DMR Flows-Effluent'!$A$3:$F$9999,MATCH(($F$10&amp;$B344),('DMR Flows-Effluent'!$B$3:$B$9999&amp;'DMR Flows-Effluent'!$A$3:$A$9999),0),MATCH($F$8,'DMR Flows-Effluent'!$A$2:$F$2,0)),"")</f>
        <v>48.517600000000002</v>
      </c>
      <c r="G344" s="7">
        <f t="array" ref="G344">_xlfn.IFNA(INDEX('DMR Flows-Effluent'!$A$3:$F$9999,MATCH(($G$10&amp;$B344),('DMR Flows-Effluent'!$B$3:$B$9999&amp;'DMR Flows-Effluent'!$A$3:$A$9999),0),MATCH($F$8,'DMR Flows-Effluent'!$A$2:$F$2,0)),"")</f>
        <v>72.546800000000005</v>
      </c>
      <c r="H344" s="7">
        <f t="shared" si="130"/>
        <v>121.06440000000001</v>
      </c>
      <c r="I344" s="45" t="str">
        <f t="shared" si="131"/>
        <v/>
      </c>
      <c r="J344" s="6" t="str">
        <f t="array" ref="J344">_xlfn.IFNA((INDEX('DMR 001C TIN &amp; TP'!$A$3:$M$10005,MATCH(('Reg 85'!$I$6:$Q$6&amp;'Reg 85'!$I$10:$K$10&amp;'Reg 85'!$B344),('DMR 001C TIN &amp; TP'!$E$3:$E$10005&amp;'DMR 001C TIN &amp; TP'!$B$3:$B$10005&amp;'DMR 001C TIN &amp; TP'!$A$3:$A$10005),0),MATCH('Reg 85'!$J$11,'DMR 001C TIN &amp; TP'!$A$2:$M$2,0))),"")</f>
        <v/>
      </c>
      <c r="K344" s="6" t="str">
        <f t="array" ref="K344">_xlfn.IFNA((INDEX('DMR 001C TIN &amp; TP'!$A$3:$M$10005,MATCH(('Reg 85'!$I$6:$Q$6&amp;'Reg 85'!$I$10:$K$10&amp;'Reg 85'!$B344),('DMR 001C TIN &amp; TP'!$E$3:$E$10005&amp;'DMR 001C TIN &amp; TP'!$B$3:$B$10005&amp;'DMR 001C TIN &amp; TP'!$A$3:$A$10005),0),MATCH('Reg 85'!$K$11,'DMR 001C TIN &amp; TP'!$A$2:$M$2,0))),"")</f>
        <v/>
      </c>
      <c r="L344" s="53" t="str">
        <f t="shared" si="143"/>
        <v/>
      </c>
      <c r="M344" s="5" t="str">
        <f t="shared" si="132"/>
        <v/>
      </c>
      <c r="N344" s="6" t="str">
        <f t="array" ref="N344">_xlfn.IFNA((INDEX('DMR 001C TIN &amp; TP'!$A$3:$M$10005,MATCH(('Reg 85'!$I$6:$Q$6&amp;'Reg 85'!$M$10&amp;'Reg 85'!$B344),('DMR 001C TIN &amp; TP'!$E$3:$E$10005&amp;'DMR 001C TIN &amp; TP'!$B$3:$B$10005&amp;'DMR 001C TIN &amp; TP'!$A$3:$A$10005),0),MATCH('Reg 85'!$N$11,'DMR 001C TIN &amp; TP'!$A$2:$M$2,0))),"")</f>
        <v/>
      </c>
      <c r="O344" s="6" t="str">
        <f t="array" ref="O344">_xlfn.IFNA((INDEX('DMR 001C TIN &amp; TP'!$A$3:$M$10005,MATCH(('Reg 85'!$I$6:$Q$6&amp;'Reg 85'!$M$10&amp;'Reg 85'!$B344),('DMR 001C TIN &amp; TP'!$E$3:$E$10005&amp;'DMR 001C TIN &amp; TP'!$B$3:$B$10005&amp;'DMR 001C TIN &amp; TP'!$A$3:$A$10005),0),MATCH('Reg 85'!$O$11,'DMR 001C TIN &amp; TP'!$A$2:$M$2,0))),"")</f>
        <v/>
      </c>
      <c r="P344" s="53" t="str">
        <f t="shared" si="133"/>
        <v/>
      </c>
      <c r="Q344" s="73" t="str">
        <f t="array" ref="Q344">IFERROR(((L344*$F344)+(P344*$G344))/($H344),"")</f>
        <v/>
      </c>
      <c r="R344" s="6" t="str">
        <f t="array" ref="R344">_xlfn.IFNA((INDEX('DMR 001C TIN &amp; TP'!$A$3:$M$10005,MATCH(('Reg 85'!$I$6:$Q$6&amp;'Reg 85'!R$10&amp;'Reg 85'!$B344),('DMR 001C TIN &amp; TP'!$E$3:$E$10005&amp;'DMR 001C TIN &amp; TP'!$B$3:$B$10005&amp;'DMR 001C TIN &amp; TP'!$A$3:$A$10005),0),MATCH('Reg 85'!$O$11,'DMR 001C TIN &amp; TP'!$A$2:$M$2,0))),"")</f>
        <v/>
      </c>
      <c r="S344" s="6" t="str">
        <f t="array" ref="S344">_xlfn.IFNA((INDEX('DMR 001C TIN &amp; TP'!$A$3:$M$10005,MATCH(('Reg 85'!$I$6:$Q$6&amp;'Reg 85'!S$10&amp;'Reg 85'!$B344),('DMR 001C TIN &amp; TP'!$E$3:$E$10005&amp;'DMR 001C TIN &amp; TP'!$B$3:$B$10005&amp;'DMR 001C TIN &amp; TP'!$A$3:$A$10005),0),MATCH('Reg 85'!$O$11,'DMR 001C TIN &amp; TP'!$A$2:$M$2,0))),"")</f>
        <v/>
      </c>
      <c r="T344" s="6" t="str">
        <f t="array" ref="T344">_xlfn.IFNA((INDEX('DMR 001C TIN &amp; TP'!$A$3:$M$10005,MATCH(('Reg 85'!$I$6:$Q$6&amp;'Reg 85'!T$10&amp;'Reg 85'!$B344),('DMR 001C TIN &amp; TP'!$E$3:$E$10005&amp;'DMR 001C TIN &amp; TP'!$B$3:$B$10005&amp;'DMR 001C TIN &amp; TP'!$A$3:$A$10005),0),MATCH('Reg 85'!$O$11,'DMR 001C TIN &amp; TP'!$A$2:$M$2,0))),"")</f>
        <v/>
      </c>
      <c r="U344" s="6" t="str">
        <f t="array" ref="U344">_xlfn.IFNA((INDEX('DMR 001C TIN &amp; TP'!$A$3:$M$10005,MATCH(('Reg 85'!$I$6:$Q$6&amp;'Reg 85'!U$10&amp;'Reg 85'!$B344),('DMR 001C TIN &amp; TP'!$E$3:$E$10005&amp;'DMR 001C TIN &amp; TP'!$B$3:$B$10005&amp;'DMR 001C TIN &amp; TP'!$A$3:$A$10005),0),MATCH('Reg 85'!$O$11,'DMR 001C TIN &amp; TP'!$A$2:$M$2,0))),"")</f>
        <v/>
      </c>
      <c r="V344" s="6" t="str">
        <f t="array" ref="V344">_xlfn.IFNA((INDEX('DMR 001C TIN &amp; TP'!$A$3:$M$10005,MATCH(('Reg 85'!$I$6:$Q$6&amp;'Reg 85'!V$10&amp;'Reg 85'!$B344),('DMR 001C TIN &amp; TP'!$E$3:$E$10005&amp;'DMR 001C TIN &amp; TP'!$B$3:$B$10005&amp;'DMR 001C TIN &amp; TP'!$A$3:$A$10005),0),MATCH('Reg 85'!$O$11,'DMR 001C TIN &amp; TP'!$A$2:$M$2,0))),"")</f>
        <v/>
      </c>
      <c r="W344" s="6" t="str">
        <f t="array" ref="W344">_xlfn.IFNA((INDEX('DMR 001C TIN &amp; TP'!$A$3:$M$10005,MATCH(('Reg 85'!$I$6:$Q$6&amp;'Reg 85'!W$10&amp;'Reg 85'!$B344),('DMR 001C TIN &amp; TP'!$E$3:$E$10005&amp;'DMR 001C TIN &amp; TP'!$B$3:$B$10005&amp;'DMR 001C TIN &amp; TP'!$A$3:$A$10005),0),MATCH('Reg 85'!$O$11,'DMR 001C TIN &amp; TP'!$A$2:$M$2,0))),"")</f>
        <v/>
      </c>
      <c r="X344" s="5" t="str">
        <f t="shared" si="134"/>
        <v/>
      </c>
      <c r="Y344" s="6" t="str">
        <f t="array" ref="Y344">_xlfn.IFNA((INDEX('DMR 001C TIN &amp; TP'!$A$3:$M$10005,MATCH(('Reg 85'!$X$6&amp;'Reg 85'!$X$10&amp;'Reg 85'!$B344),('DMR 001C TIN &amp; TP'!$E$3:$E$10005&amp;'DMR 001C TIN &amp; TP'!$B$3:$B$10005&amp;'DMR 001C TIN &amp; TP'!$A$3:$A$10005),0),MATCH('Reg 85'!$Y$11,'DMR 001C TIN &amp; TP'!$A$2:$M$2,0))),"")</f>
        <v/>
      </c>
      <c r="Z344" s="6" t="str">
        <f t="array" ref="Z344">_xlfn.IFNA((INDEX('DMR 001C TIN &amp; TP'!$A$3:$M$10005,MATCH(('Reg 85'!$X$6&amp;'Reg 85'!$X$10&amp;'Reg 85'!$B344),('DMR 001C TIN &amp; TP'!$E$3:$E$10005&amp;'DMR 001C TIN &amp; TP'!$B$3:$B$10005&amp;'DMR 001C TIN &amp; TP'!$A$3:$A$10005),0),MATCH('Reg 85'!$Z$11,'DMR 001C TIN &amp; TP'!$A$2:$M$2,0))),"")</f>
        <v/>
      </c>
      <c r="AA344" s="53" t="str">
        <f t="shared" si="135"/>
        <v/>
      </c>
      <c r="AB344" s="5" t="str">
        <f t="shared" si="136"/>
        <v/>
      </c>
      <c r="AC344" s="6" t="str">
        <f t="array" ref="AC344">_xlfn.IFNA((INDEX('DMR 001C TIN &amp; TP'!$A$3:$M$10005,MATCH(('Reg 85'!$X$6&amp;'Reg 85'!$AB$10&amp;'Reg 85'!$B344),('DMR 001C TIN &amp; TP'!$E$3:$E$10005&amp;'DMR 001C TIN &amp; TP'!$B$3:$B$10005&amp;'DMR 001C TIN &amp; TP'!$A$3:$A$10005),0),MATCH('Reg 85'!$AC$11,'DMR 001C TIN &amp; TP'!$A$2:$M$2,0))),"")</f>
        <v/>
      </c>
      <c r="AD344" s="6" t="str">
        <f t="array" ref="AD344">_xlfn.IFNA((INDEX('DMR 001C TIN &amp; TP'!$A$3:$M$10005,MATCH(('Reg 85'!$X$6&amp;'Reg 85'!$AB$10&amp;'Reg 85'!$B344),('DMR 001C TIN &amp; TP'!$E$3:$E$10005&amp;'DMR 001C TIN &amp; TP'!$B$3:$B$10005&amp;'DMR 001C TIN &amp; TP'!$A$3:$A$10005),0),MATCH('Reg 85'!$AD$11,'DMR 001C TIN &amp; TP'!$A$2:$M$2,0))),"")</f>
        <v/>
      </c>
      <c r="AE344" s="53" t="str">
        <f t="shared" si="137"/>
        <v/>
      </c>
      <c r="AF344" s="7" t="str">
        <f t="shared" si="138"/>
        <v/>
      </c>
      <c r="AG344" s="6" t="str">
        <f t="array" ref="AG344">_xlfn.IFNA((INDEX('DMR 001C TIN &amp; TP'!$A$3:$M$10005,MATCH(('Reg 85'!$X$6&amp;'Reg 85'!AG$10&amp;'Reg 85'!$B344),('DMR 001C TIN &amp; TP'!$E$3:$E$10005&amp;'DMR 001C TIN &amp; TP'!$B$3:$B$10005&amp;'DMR 001C TIN &amp; TP'!$A$3:$A$10005),0),MATCH('Reg 85'!$AG$11,'DMR 001C TIN &amp; TP'!$A$2:$M$2,0))),"")</f>
        <v/>
      </c>
      <c r="AH344" s="6" t="str">
        <f t="array" ref="AH344">_xlfn.IFNA((INDEX('DMR 001C TIN &amp; TP'!$A$3:$M$10005,MATCH(('Reg 85'!$X$6&amp;'Reg 85'!AH$10&amp;'Reg 85'!$B344),('DMR 001C TIN &amp; TP'!$E$3:$E$10005&amp;'DMR 001C TIN &amp; TP'!$B$3:$B$10005&amp;'DMR 001C TIN &amp; TP'!$A$3:$A$10005),0),MATCH('Reg 85'!$AG$11,'DMR 001C TIN &amp; TP'!$A$2:$M$2,0))),"")</f>
        <v/>
      </c>
      <c r="AI344" s="6" t="str">
        <f t="array" ref="AI344">_xlfn.IFNA((INDEX('DMR 001C TIN &amp; TP'!$A$3:$M$10005,MATCH(('Reg 85'!$X$6&amp;'Reg 85'!AI$10&amp;'Reg 85'!$B344),('DMR 001C TIN &amp; TP'!$E$3:$E$10005&amp;'DMR 001C TIN &amp; TP'!$B$3:$B$10005&amp;'DMR 001C TIN &amp; TP'!$A$3:$A$10005),0),MATCH('Reg 85'!$AG$11,'DMR 001C TIN &amp; TP'!$A$2:$M$2,0))),"")</f>
        <v/>
      </c>
      <c r="AJ344" s="6" t="str">
        <f t="array" ref="AJ344">_xlfn.IFNA((INDEX('DMR 001C TIN &amp; TP'!$A$3:$M$10005,MATCH(('Reg 85'!$X$6&amp;'Reg 85'!AJ$10&amp;'Reg 85'!$B344),('DMR 001C TIN &amp; TP'!$E$3:$E$10005&amp;'DMR 001C TIN &amp; TP'!$B$3:$B$10005&amp;'DMR 001C TIN &amp; TP'!$A$3:$A$10005),0),MATCH('Reg 85'!$AG$11,'DMR 001C TIN &amp; TP'!$A$2:$M$2,0))),"")</f>
        <v/>
      </c>
      <c r="AK344" s="6" t="str">
        <f t="array" ref="AK344">_xlfn.IFNA((INDEX('DMR 001C TIN &amp; TP'!$A$3:$M$10005,MATCH(('Reg 85'!$X$6&amp;'Reg 85'!AK$10&amp;'Reg 85'!$B344),('DMR 001C TIN &amp; TP'!$E$3:$E$10005&amp;'DMR 001C TIN &amp; TP'!$B$3:$B$10005&amp;'DMR 001C TIN &amp; TP'!$A$3:$A$10005),0),MATCH('Reg 85'!$AG$11,'DMR 001C TIN &amp; TP'!$A$2:$M$2,0))),"")</f>
        <v/>
      </c>
      <c r="AL344" s="6" t="str">
        <f t="array" ref="AL344">_xlfn.IFNA((INDEX('DMR 001C TIN &amp; TP'!$A$3:$M$10005,MATCH(('Reg 85'!$X$6&amp;'Reg 85'!AL$10&amp;'Reg 85'!$B344),('DMR 001C TIN &amp; TP'!$E$3:$E$10005&amp;'DMR 001C TIN &amp; TP'!$B$3:$B$10005&amp;'DMR 001C TIN &amp; TP'!$A$3:$A$10005),0),MATCH('Reg 85'!$AG$11,'DMR 001C TIN &amp; TP'!$A$2:$M$2,0))),"")</f>
        <v/>
      </c>
      <c r="AM344" s="76"/>
      <c r="AN344" s="6"/>
      <c r="AO344" s="54" t="str">
        <f t="shared" si="125"/>
        <v/>
      </c>
      <c r="AP344" s="77" t="str">
        <f t="shared" si="123"/>
        <v/>
      </c>
      <c r="AQ344" s="47"/>
      <c r="AR344" s="6" t="str">
        <f t="array" ref="AR344">_xlfn.IFNA((INDEX('DMR 001C TIN &amp; TP'!$A$3:$M$10005,MATCH(('Reg 85'!$AQ$6&amp;'Reg 85'!$AQ$10&amp;'Reg 85'!$B344),('DMR 001C TIN &amp; TP'!$E$3:$E$10005&amp;'DMR 001C TIN &amp; TP'!$B$3:$B$10005&amp;'DMR 001C TIN &amp; TP'!$A$3:$A$10005),0),MATCH('Reg 85'!$AR$11,'DMR 001C TIN &amp; TP'!$A$2:$M$2,0))),"")</f>
        <v>0.03</v>
      </c>
      <c r="AS344" s="6">
        <f t="array" ref="AS344">_xlfn.IFNA((INDEX('DMR 001C TIN &amp; TP'!$A$3:$M$10005,MATCH(('Reg 85'!$AQ$6&amp;'Reg 85'!$AQ$10&amp;'Reg 85'!$B344),('DMR 001C TIN &amp; TP'!$E$3:$E$10005&amp;'DMR 001C TIN &amp; TP'!$B$3:$B$10005&amp;'DMR 001C TIN &amp; TP'!$A$3:$A$10005),0),MATCH('Reg 85'!$AS$11,'DMR 001C TIN &amp; TP'!$A$2:$M$2,0))),"")</f>
        <v>0.36</v>
      </c>
      <c r="AT344" s="53">
        <f t="shared" si="139"/>
        <v>0.36</v>
      </c>
      <c r="AV344" s="6" t="str">
        <f t="array" ref="AV344">_xlfn.IFNA((INDEX('DMR 001C TIN &amp; TP'!$A$3:$M$10005,MATCH(('Reg 85'!$AQ$6&amp;'Reg 85'!$AU$10&amp;'Reg 85'!$B344),('DMR 001C TIN &amp; TP'!$E$3:$E$10005&amp;'DMR 001C TIN &amp; TP'!$B$3:$B$10005&amp;'DMR 001C TIN &amp; TP'!$A$3:$A$10005),0),MATCH('Reg 85'!$AV$11,'DMR 001C TIN &amp; TP'!$A$2:$M$2,0))),"")</f>
        <v>0.03</v>
      </c>
      <c r="AW344" s="6">
        <f t="array" ref="AW344">_xlfn.IFNA((INDEX('DMR 001C TIN &amp; TP'!$A$3:$M$10005,MATCH(('Reg 85'!$AQ$6&amp;'Reg 85'!$AU$10&amp;'Reg 85'!$B344),('DMR 001C TIN &amp; TP'!$E$3:$E$10005&amp;'DMR 001C TIN &amp; TP'!$B$3:$B$10005&amp;'DMR 001C TIN &amp; TP'!$A$3:$A$10005),0),MATCH('Reg 85'!$AW$11,'DMR 001C TIN &amp; TP'!$A$2:$M$2,0))),"")</f>
        <v>3.12</v>
      </c>
      <c r="AX344" s="53">
        <f t="shared" si="140"/>
        <v>3.12</v>
      </c>
      <c r="AY344" s="55">
        <f t="shared" si="141"/>
        <v>2.0139062515487627</v>
      </c>
      <c r="AZ344" s="77" t="str">
        <f t="shared" si="124"/>
        <v/>
      </c>
      <c r="BA344" s="6" t="str">
        <f t="array" ref="BA344">_xlfn.IFNA((INDEX('DMR 001C TIN &amp; TP'!$A$3:$M$10005,MATCH(('Reg 85'!$AQ$6&amp;'Reg 85'!BA$10&amp;'Reg 85'!$B344),('DMR 001C TIN &amp; TP'!$E$3:$E$10005&amp;'DMR 001C TIN &amp; TP'!$B$3:$B$10005&amp;'DMR 001C TIN &amp; TP'!$A$3:$A$10005),0),MATCH('Reg 85'!$AG$11,'DMR 001C TIN &amp; TP'!$A$2:$M$2,0))),"")</f>
        <v/>
      </c>
      <c r="BB344" s="6" t="str">
        <f t="array" ref="BB344">_xlfn.IFNA((INDEX('DMR 001C TIN &amp; TP'!$A$3:$M$10005,MATCH(('Reg 85'!$AQ$6&amp;'Reg 85'!BB$10&amp;'Reg 85'!$B344),('DMR 001C TIN &amp; TP'!$E$3:$E$10005&amp;'DMR 001C TIN &amp; TP'!$B$3:$B$10005&amp;'DMR 001C TIN &amp; TP'!$A$3:$A$10005),0),MATCH('Reg 85'!$AG$11,'DMR 001C TIN &amp; TP'!$A$2:$M$2,0))),"")</f>
        <v/>
      </c>
      <c r="BC344" s="6" t="str">
        <f t="array" ref="BC344">_xlfn.IFNA((INDEX('DMR 001C TIN &amp; TP'!$A$3:$M$10005,MATCH(('Reg 85'!$AQ$6&amp;'Reg 85'!BC$10&amp;'Reg 85'!$B344),('DMR 001C TIN &amp; TP'!$E$3:$E$10005&amp;'DMR 001C TIN &amp; TP'!$B$3:$B$10005&amp;'DMR 001C TIN &amp; TP'!$A$3:$A$10005),0),MATCH('Reg 85'!$AG$11,'DMR 001C TIN &amp; TP'!$A$2:$M$2,0))),"")</f>
        <v/>
      </c>
      <c r="BD344" s="6" t="str">
        <f t="array" ref="BD344">_xlfn.IFNA((INDEX('DMR 001C TIN &amp; TP'!$A$3:$M$10005,MATCH(('Reg 85'!$AQ$6&amp;'Reg 85'!BD$10&amp;'Reg 85'!$B344),('DMR 001C TIN &amp; TP'!$E$3:$E$10005&amp;'DMR 001C TIN &amp; TP'!$B$3:$B$10005&amp;'DMR 001C TIN &amp; TP'!$A$3:$A$10005),0),MATCH('Reg 85'!$AG$11,'DMR 001C TIN &amp; TP'!$A$2:$M$2,0))),"")</f>
        <v/>
      </c>
      <c r="BE344" s="6" t="str">
        <f t="array" ref="BE344">_xlfn.IFNA((INDEX('DMR 001C TIN &amp; TP'!$A$3:$M$10005,MATCH(('Reg 85'!$AQ$6&amp;'Reg 85'!BE$10&amp;'Reg 85'!$B344),('DMR 001C TIN &amp; TP'!$E$3:$E$10005&amp;'DMR 001C TIN &amp; TP'!$B$3:$B$10005&amp;'DMR 001C TIN &amp; TP'!$A$3:$A$10005),0),MATCH('Reg 85'!$AG$11,'DMR 001C TIN &amp; TP'!$A$2:$M$2,0))),"")</f>
        <v/>
      </c>
      <c r="BF344" s="6" t="str">
        <f t="array" ref="BF344">_xlfn.IFNA((INDEX('DMR 001C TIN &amp; TP'!$A$3:$M$10005,MATCH(('Reg 85'!$AQ$6&amp;'Reg 85'!BF$10&amp;'Reg 85'!$B344),('DMR 001C TIN &amp; TP'!$E$3:$E$10005&amp;'DMR 001C TIN &amp; TP'!$B$3:$B$10005&amp;'DMR 001C TIN &amp; TP'!$A$3:$A$10005),0),MATCH('Reg 85'!$AG$11,'DMR 001C TIN &amp; TP'!$A$2:$M$2,0))),"")</f>
        <v/>
      </c>
    </row>
    <row r="345" spans="1:58">
      <c r="A345" s="3" t="str">
        <f t="shared" si="126"/>
        <v>Wed</v>
      </c>
      <c r="B345" s="96">
        <f t="shared" si="142"/>
        <v>43677</v>
      </c>
      <c r="C345" s="96">
        <f t="shared" si="127"/>
        <v>43677</v>
      </c>
      <c r="D345" s="96">
        <f t="shared" si="128"/>
        <v>43647</v>
      </c>
      <c r="E345" s="95">
        <f t="shared" si="129"/>
        <v>31</v>
      </c>
      <c r="F345" s="7">
        <f t="array" ref="F345">_xlfn.IFNA(INDEX('DMR Flows-Effluent'!$A$3:$F$9999,MATCH(($F$10&amp;$B345),('DMR Flows-Effluent'!$B$3:$B$9999&amp;'DMR Flows-Effluent'!$A$3:$A$9999),0),MATCH($F$8,'DMR Flows-Effluent'!$A$2:$F$2,0)),"")</f>
        <v>49.512799999999999</v>
      </c>
      <c r="G345" s="7">
        <f t="array" ref="G345">_xlfn.IFNA(INDEX('DMR Flows-Effluent'!$A$3:$F$9999,MATCH(($G$10&amp;$B345),('DMR Flows-Effluent'!$B$3:$B$9999&amp;'DMR Flows-Effluent'!$A$3:$A$9999),0),MATCH($F$8,'DMR Flows-Effluent'!$A$2:$F$2,0)),"")</f>
        <v>74.994799999999998</v>
      </c>
      <c r="H345" s="7">
        <f t="shared" si="130"/>
        <v>124.5076</v>
      </c>
      <c r="I345" s="45" t="str">
        <f t="shared" si="131"/>
        <v/>
      </c>
      <c r="J345" s="6" t="str">
        <f t="array" ref="J345">_xlfn.IFNA((INDEX('DMR 001C TIN &amp; TP'!$A$3:$M$10005,MATCH(('Reg 85'!$I$6:$Q$6&amp;'Reg 85'!$I$10:$K$10&amp;'Reg 85'!$B345),('DMR 001C TIN &amp; TP'!$E$3:$E$10005&amp;'DMR 001C TIN &amp; TP'!$B$3:$B$10005&amp;'DMR 001C TIN &amp; TP'!$A$3:$A$10005),0),MATCH('Reg 85'!$J$11,'DMR 001C TIN &amp; TP'!$A$2:$M$2,0))),"")</f>
        <v>0.15</v>
      </c>
      <c r="K345" s="6">
        <f t="array" ref="K345">_xlfn.IFNA((INDEX('DMR 001C TIN &amp; TP'!$A$3:$M$10005,MATCH(('Reg 85'!$I$6:$Q$6&amp;'Reg 85'!$I$10:$K$10&amp;'Reg 85'!$B345),('DMR 001C TIN &amp; TP'!$E$3:$E$10005&amp;'DMR 001C TIN &amp; TP'!$B$3:$B$10005&amp;'DMR 001C TIN &amp; TP'!$A$3:$A$10005),0),MATCH('Reg 85'!$K$11,'DMR 001C TIN &amp; TP'!$A$2:$M$2,0))),"")</f>
        <v>0.41</v>
      </c>
      <c r="L345" s="53">
        <f t="shared" si="143"/>
        <v>0.41</v>
      </c>
      <c r="M345" s="5" t="str">
        <f t="shared" si="132"/>
        <v/>
      </c>
      <c r="N345" s="6" t="str">
        <f t="array" ref="N345">_xlfn.IFNA((INDEX('DMR 001C TIN &amp; TP'!$A$3:$M$10005,MATCH(('Reg 85'!$I$6:$Q$6&amp;'Reg 85'!$M$10&amp;'Reg 85'!$B345),('DMR 001C TIN &amp; TP'!$E$3:$E$10005&amp;'DMR 001C TIN &amp; TP'!$B$3:$B$10005&amp;'DMR 001C TIN &amp; TP'!$A$3:$A$10005),0),MATCH('Reg 85'!$N$11,'DMR 001C TIN &amp; TP'!$A$2:$M$2,0))),"")</f>
        <v>0.15</v>
      </c>
      <c r="O345" s="6">
        <f t="array" ref="O345">_xlfn.IFNA((INDEX('DMR 001C TIN &amp; TP'!$A$3:$M$10005,MATCH(('Reg 85'!$I$6:$Q$6&amp;'Reg 85'!$M$10&amp;'Reg 85'!$B345),('DMR 001C TIN &amp; TP'!$E$3:$E$10005&amp;'DMR 001C TIN &amp; TP'!$B$3:$B$10005&amp;'DMR 001C TIN &amp; TP'!$A$3:$A$10005),0),MATCH('Reg 85'!$O$11,'DMR 001C TIN &amp; TP'!$A$2:$M$2,0))),"")</f>
        <v>0.36</v>
      </c>
      <c r="P345" s="53">
        <f t="shared" si="133"/>
        <v>0.36</v>
      </c>
      <c r="Q345" s="73">
        <f t="array" ref="Q345">IFERROR(((L345*$F345)+(P345*$G345))/($H345),"")</f>
        <v>0.37988344486601622</v>
      </c>
      <c r="R345" s="6" t="str">
        <f t="array" ref="R345">_xlfn.IFNA((INDEX('DMR 001C TIN &amp; TP'!$A$3:$M$10005,MATCH(('Reg 85'!$I$6:$Q$6&amp;'Reg 85'!R$10&amp;'Reg 85'!$B345),('DMR 001C TIN &amp; TP'!$E$3:$E$10005&amp;'DMR 001C TIN &amp; TP'!$B$3:$B$10005&amp;'DMR 001C TIN &amp; TP'!$A$3:$A$10005),0),MATCH('Reg 85'!$O$11,'DMR 001C TIN &amp; TP'!$A$2:$M$2,0))),"")</f>
        <v/>
      </c>
      <c r="S345" s="6" t="str">
        <f t="array" ref="S345">_xlfn.IFNA((INDEX('DMR 001C TIN &amp; TP'!$A$3:$M$10005,MATCH(('Reg 85'!$I$6:$Q$6&amp;'Reg 85'!S$10&amp;'Reg 85'!$B345),('DMR 001C TIN &amp; TP'!$E$3:$E$10005&amp;'DMR 001C TIN &amp; TP'!$B$3:$B$10005&amp;'DMR 001C TIN &amp; TP'!$A$3:$A$10005),0),MATCH('Reg 85'!$O$11,'DMR 001C TIN &amp; TP'!$A$2:$M$2,0))),"")</f>
        <v/>
      </c>
      <c r="T345" s="6" t="str">
        <f t="array" ref="T345">_xlfn.IFNA((INDEX('DMR 001C TIN &amp; TP'!$A$3:$M$10005,MATCH(('Reg 85'!$I$6:$Q$6&amp;'Reg 85'!T$10&amp;'Reg 85'!$B345),('DMR 001C TIN &amp; TP'!$E$3:$E$10005&amp;'DMR 001C TIN &amp; TP'!$B$3:$B$10005&amp;'DMR 001C TIN &amp; TP'!$A$3:$A$10005),0),MATCH('Reg 85'!$O$11,'DMR 001C TIN &amp; TP'!$A$2:$M$2,0))),"")</f>
        <v/>
      </c>
      <c r="U345" s="6" t="str">
        <f t="array" ref="U345">_xlfn.IFNA((INDEX('DMR 001C TIN &amp; TP'!$A$3:$M$10005,MATCH(('Reg 85'!$I$6:$Q$6&amp;'Reg 85'!U$10&amp;'Reg 85'!$B345),('DMR 001C TIN &amp; TP'!$E$3:$E$10005&amp;'DMR 001C TIN &amp; TP'!$B$3:$B$10005&amp;'DMR 001C TIN &amp; TP'!$A$3:$A$10005),0),MATCH('Reg 85'!$O$11,'DMR 001C TIN &amp; TP'!$A$2:$M$2,0))),"")</f>
        <v/>
      </c>
      <c r="V345" s="6" t="str">
        <f t="array" ref="V345">_xlfn.IFNA((INDEX('DMR 001C TIN &amp; TP'!$A$3:$M$10005,MATCH(('Reg 85'!$I$6:$Q$6&amp;'Reg 85'!V$10&amp;'Reg 85'!$B345),('DMR 001C TIN &amp; TP'!$E$3:$E$10005&amp;'DMR 001C TIN &amp; TP'!$B$3:$B$10005&amp;'DMR 001C TIN &amp; TP'!$A$3:$A$10005),0),MATCH('Reg 85'!$O$11,'DMR 001C TIN &amp; TP'!$A$2:$M$2,0))),"")</f>
        <v/>
      </c>
      <c r="W345" s="6" t="str">
        <f t="array" ref="W345">_xlfn.IFNA((INDEX('DMR 001C TIN &amp; TP'!$A$3:$M$10005,MATCH(('Reg 85'!$I$6:$Q$6&amp;'Reg 85'!W$10&amp;'Reg 85'!$B345),('DMR 001C TIN &amp; TP'!$E$3:$E$10005&amp;'DMR 001C TIN &amp; TP'!$B$3:$B$10005&amp;'DMR 001C TIN &amp; TP'!$A$3:$A$10005),0),MATCH('Reg 85'!$O$11,'DMR 001C TIN &amp; TP'!$A$2:$M$2,0))),"")</f>
        <v/>
      </c>
      <c r="X345" s="5" t="str">
        <f t="shared" si="134"/>
        <v/>
      </c>
      <c r="Y345" s="6" t="str">
        <f t="array" ref="Y345">_xlfn.IFNA((INDEX('DMR 001C TIN &amp; TP'!$A$3:$M$10005,MATCH(('Reg 85'!$X$6&amp;'Reg 85'!$X$10&amp;'Reg 85'!$B345),('DMR 001C TIN &amp; TP'!$E$3:$E$10005&amp;'DMR 001C TIN &amp; TP'!$B$3:$B$10005&amp;'DMR 001C TIN &amp; TP'!$A$3:$A$10005),0),MATCH('Reg 85'!$Y$11,'DMR 001C TIN &amp; TP'!$A$2:$M$2,0))),"")</f>
        <v>0.06</v>
      </c>
      <c r="Z345" s="6">
        <f t="array" ref="Z345">_xlfn.IFNA((INDEX('DMR 001C TIN &amp; TP'!$A$3:$M$10005,MATCH(('Reg 85'!$X$6&amp;'Reg 85'!$X$10&amp;'Reg 85'!$B345),('DMR 001C TIN &amp; TP'!$E$3:$E$10005&amp;'DMR 001C TIN &amp; TP'!$B$3:$B$10005&amp;'DMR 001C TIN &amp; TP'!$A$3:$A$10005),0),MATCH('Reg 85'!$Z$11,'DMR 001C TIN &amp; TP'!$A$2:$M$2,0))),"")</f>
        <v>4.49</v>
      </c>
      <c r="AA345" s="53">
        <f t="shared" si="135"/>
        <v>4.49</v>
      </c>
      <c r="AB345" s="5" t="str">
        <f t="shared" si="136"/>
        <v/>
      </c>
      <c r="AC345" s="6" t="str">
        <f t="array" ref="AC345">_xlfn.IFNA((INDEX('DMR 001C TIN &amp; TP'!$A$3:$M$10005,MATCH(('Reg 85'!$X$6&amp;'Reg 85'!$AB$10&amp;'Reg 85'!$B345),('DMR 001C TIN &amp; TP'!$E$3:$E$10005&amp;'DMR 001C TIN &amp; TP'!$B$3:$B$10005&amp;'DMR 001C TIN &amp; TP'!$A$3:$A$10005),0),MATCH('Reg 85'!$AC$11,'DMR 001C TIN &amp; TP'!$A$2:$M$2,0))),"")</f>
        <v>0.06</v>
      </c>
      <c r="AD345" s="6">
        <f t="array" ref="AD345">_xlfn.IFNA((INDEX('DMR 001C TIN &amp; TP'!$A$3:$M$10005,MATCH(('Reg 85'!$X$6&amp;'Reg 85'!$AB$10&amp;'Reg 85'!$B345),('DMR 001C TIN &amp; TP'!$E$3:$E$10005&amp;'DMR 001C TIN &amp; TP'!$B$3:$B$10005&amp;'DMR 001C TIN &amp; TP'!$A$3:$A$10005),0),MATCH('Reg 85'!$AD$11,'DMR 001C TIN &amp; TP'!$A$2:$M$2,0))),"")</f>
        <v>4.63</v>
      </c>
      <c r="AE345" s="53">
        <f t="shared" si="137"/>
        <v>4.63</v>
      </c>
      <c r="AF345" s="7">
        <f t="shared" si="138"/>
        <v>4.5743263543751542</v>
      </c>
      <c r="AG345" s="6" t="str">
        <f t="array" ref="AG345">_xlfn.IFNA((INDEX('DMR 001C TIN &amp; TP'!$A$3:$M$10005,MATCH(('Reg 85'!$X$6&amp;'Reg 85'!AG$10&amp;'Reg 85'!$B345),('DMR 001C TIN &amp; TP'!$E$3:$E$10005&amp;'DMR 001C TIN &amp; TP'!$B$3:$B$10005&amp;'DMR 001C TIN &amp; TP'!$A$3:$A$10005),0),MATCH('Reg 85'!$AG$11,'DMR 001C TIN &amp; TP'!$A$2:$M$2,0))),"")</f>
        <v/>
      </c>
      <c r="AH345" s="6" t="str">
        <f t="array" ref="AH345">_xlfn.IFNA((INDEX('DMR 001C TIN &amp; TP'!$A$3:$M$10005,MATCH(('Reg 85'!$X$6&amp;'Reg 85'!AH$10&amp;'Reg 85'!$B345),('DMR 001C TIN &amp; TP'!$E$3:$E$10005&amp;'DMR 001C TIN &amp; TP'!$B$3:$B$10005&amp;'DMR 001C TIN &amp; TP'!$A$3:$A$10005),0),MATCH('Reg 85'!$AG$11,'DMR 001C TIN &amp; TP'!$A$2:$M$2,0))),"")</f>
        <v/>
      </c>
      <c r="AI345" s="6" t="str">
        <f t="array" ref="AI345">_xlfn.IFNA((INDEX('DMR 001C TIN &amp; TP'!$A$3:$M$10005,MATCH(('Reg 85'!$X$6&amp;'Reg 85'!AI$10&amp;'Reg 85'!$B345),('DMR 001C TIN &amp; TP'!$E$3:$E$10005&amp;'DMR 001C TIN &amp; TP'!$B$3:$B$10005&amp;'DMR 001C TIN &amp; TP'!$A$3:$A$10005),0),MATCH('Reg 85'!$AG$11,'DMR 001C TIN &amp; TP'!$A$2:$M$2,0))),"")</f>
        <v/>
      </c>
      <c r="AJ345" s="6" t="str">
        <f t="array" ref="AJ345">_xlfn.IFNA((INDEX('DMR 001C TIN &amp; TP'!$A$3:$M$10005,MATCH(('Reg 85'!$X$6&amp;'Reg 85'!AJ$10&amp;'Reg 85'!$B345),('DMR 001C TIN &amp; TP'!$E$3:$E$10005&amp;'DMR 001C TIN &amp; TP'!$B$3:$B$10005&amp;'DMR 001C TIN &amp; TP'!$A$3:$A$10005),0),MATCH('Reg 85'!$AG$11,'DMR 001C TIN &amp; TP'!$A$2:$M$2,0))),"")</f>
        <v/>
      </c>
      <c r="AK345" s="6" t="str">
        <f t="array" ref="AK345">_xlfn.IFNA((INDEX('DMR 001C TIN &amp; TP'!$A$3:$M$10005,MATCH(('Reg 85'!$X$6&amp;'Reg 85'!AK$10&amp;'Reg 85'!$B345),('DMR 001C TIN &amp; TP'!$E$3:$E$10005&amp;'DMR 001C TIN &amp; TP'!$B$3:$B$10005&amp;'DMR 001C TIN &amp; TP'!$A$3:$A$10005),0),MATCH('Reg 85'!$AG$11,'DMR 001C TIN &amp; TP'!$A$2:$M$2,0))),"")</f>
        <v/>
      </c>
      <c r="AL345" s="6" t="str">
        <f t="array" ref="AL345">_xlfn.IFNA((INDEX('DMR 001C TIN &amp; TP'!$A$3:$M$10005,MATCH(('Reg 85'!$X$6&amp;'Reg 85'!AL$10&amp;'Reg 85'!$B345),('DMR 001C TIN &amp; TP'!$E$3:$E$10005&amp;'DMR 001C TIN &amp; TP'!$B$3:$B$10005&amp;'DMR 001C TIN &amp; TP'!$A$3:$A$10005),0),MATCH('Reg 85'!$AG$11,'DMR 001C TIN &amp; TP'!$A$2:$M$2,0))),"")</f>
        <v/>
      </c>
      <c r="AM345" s="76"/>
      <c r="AN345" s="6"/>
      <c r="AO345" s="54">
        <f t="shared" si="125"/>
        <v>4.9542097992411707</v>
      </c>
      <c r="AP345" s="77">
        <f>COUNT(AO315:AO345)</f>
        <v>15</v>
      </c>
      <c r="AQ345" s="47"/>
      <c r="AR345" s="6" t="str">
        <f t="array" ref="AR345">_xlfn.IFNA((INDEX('DMR 001C TIN &amp; TP'!$A$3:$M$10005,MATCH(('Reg 85'!$AQ$6&amp;'Reg 85'!$AQ$10&amp;'Reg 85'!$B345),('DMR 001C TIN &amp; TP'!$E$3:$E$10005&amp;'DMR 001C TIN &amp; TP'!$B$3:$B$10005&amp;'DMR 001C TIN &amp; TP'!$A$3:$A$10005),0),MATCH('Reg 85'!$AR$11,'DMR 001C TIN &amp; TP'!$A$2:$M$2,0))),"")</f>
        <v/>
      </c>
      <c r="AS345" s="6" t="str">
        <f t="array" ref="AS345">_xlfn.IFNA((INDEX('DMR 001C TIN &amp; TP'!$A$3:$M$10005,MATCH(('Reg 85'!$AQ$6&amp;'Reg 85'!$AQ$10&amp;'Reg 85'!$B345),('DMR 001C TIN &amp; TP'!$E$3:$E$10005&amp;'DMR 001C TIN &amp; TP'!$B$3:$B$10005&amp;'DMR 001C TIN &amp; TP'!$A$3:$A$10005),0),MATCH('Reg 85'!$AS$11,'DMR 001C TIN &amp; TP'!$A$2:$M$2,0))),"")</f>
        <v/>
      </c>
      <c r="AT345" s="53" t="str">
        <f t="shared" si="139"/>
        <v/>
      </c>
      <c r="AV345" s="6" t="str">
        <f t="array" ref="AV345">_xlfn.IFNA((INDEX('DMR 001C TIN &amp; TP'!$A$3:$M$10005,MATCH(('Reg 85'!$AQ$6&amp;'Reg 85'!$AU$10&amp;'Reg 85'!$B345),('DMR 001C TIN &amp; TP'!$E$3:$E$10005&amp;'DMR 001C TIN &amp; TP'!$B$3:$B$10005&amp;'DMR 001C TIN &amp; TP'!$A$3:$A$10005),0),MATCH('Reg 85'!$AV$11,'DMR 001C TIN &amp; TP'!$A$2:$M$2,0))),"")</f>
        <v/>
      </c>
      <c r="AW345" s="6" t="str">
        <f t="array" ref="AW345">_xlfn.IFNA((INDEX('DMR 001C TIN &amp; TP'!$A$3:$M$10005,MATCH(('Reg 85'!$AQ$6&amp;'Reg 85'!$AU$10&amp;'Reg 85'!$B345),('DMR 001C TIN &amp; TP'!$E$3:$E$10005&amp;'DMR 001C TIN &amp; TP'!$B$3:$B$10005&amp;'DMR 001C TIN &amp; TP'!$A$3:$A$10005),0),MATCH('Reg 85'!$AW$11,'DMR 001C TIN &amp; TP'!$A$2:$M$2,0))),"")</f>
        <v/>
      </c>
      <c r="AX345" s="53" t="str">
        <f t="shared" si="140"/>
        <v/>
      </c>
      <c r="AY345" s="55" t="str">
        <f t="shared" si="141"/>
        <v/>
      </c>
      <c r="AZ345" s="77">
        <f>COUNT(AY315:AY345)</f>
        <v>8</v>
      </c>
      <c r="BA345" s="6" t="str">
        <f t="array" ref="BA345">_xlfn.IFNA((INDEX('DMR 001C TIN &amp; TP'!$A$3:$M$10005,MATCH(('Reg 85'!$AQ$6&amp;'Reg 85'!BA$10&amp;'Reg 85'!$B345),('DMR 001C TIN &amp; TP'!$E$3:$E$10005&amp;'DMR 001C TIN &amp; TP'!$B$3:$B$10005&amp;'DMR 001C TIN &amp; TP'!$A$3:$A$10005),0),MATCH('Reg 85'!$AG$11,'DMR 001C TIN &amp; TP'!$A$2:$M$2,0))),"")</f>
        <v/>
      </c>
      <c r="BB345" s="6" t="str">
        <f t="array" ref="BB345">_xlfn.IFNA((INDEX('DMR 001C TIN &amp; TP'!$A$3:$M$10005,MATCH(('Reg 85'!$AQ$6&amp;'Reg 85'!BB$10&amp;'Reg 85'!$B345),('DMR 001C TIN &amp; TP'!$E$3:$E$10005&amp;'DMR 001C TIN &amp; TP'!$B$3:$B$10005&amp;'DMR 001C TIN &amp; TP'!$A$3:$A$10005),0),MATCH('Reg 85'!$AG$11,'DMR 001C TIN &amp; TP'!$A$2:$M$2,0))),"")</f>
        <v/>
      </c>
      <c r="BC345" s="6" t="str">
        <f t="array" ref="BC345">_xlfn.IFNA((INDEX('DMR 001C TIN &amp; TP'!$A$3:$M$10005,MATCH(('Reg 85'!$AQ$6&amp;'Reg 85'!BC$10&amp;'Reg 85'!$B345),('DMR 001C TIN &amp; TP'!$E$3:$E$10005&amp;'DMR 001C TIN &amp; TP'!$B$3:$B$10005&amp;'DMR 001C TIN &amp; TP'!$A$3:$A$10005),0),MATCH('Reg 85'!$AG$11,'DMR 001C TIN &amp; TP'!$A$2:$M$2,0))),"")</f>
        <v/>
      </c>
      <c r="BD345" s="6" t="str">
        <f t="array" ref="BD345">_xlfn.IFNA((INDEX('DMR 001C TIN &amp; TP'!$A$3:$M$10005,MATCH(('Reg 85'!$AQ$6&amp;'Reg 85'!BD$10&amp;'Reg 85'!$B345),('DMR 001C TIN &amp; TP'!$E$3:$E$10005&amp;'DMR 001C TIN &amp; TP'!$B$3:$B$10005&amp;'DMR 001C TIN &amp; TP'!$A$3:$A$10005),0),MATCH('Reg 85'!$AG$11,'DMR 001C TIN &amp; TP'!$A$2:$M$2,0))),"")</f>
        <v/>
      </c>
      <c r="BE345" s="6" t="str">
        <f t="array" ref="BE345">_xlfn.IFNA((INDEX('DMR 001C TIN &amp; TP'!$A$3:$M$10005,MATCH(('Reg 85'!$AQ$6&amp;'Reg 85'!BE$10&amp;'Reg 85'!$B345),('DMR 001C TIN &amp; TP'!$E$3:$E$10005&amp;'DMR 001C TIN &amp; TP'!$B$3:$B$10005&amp;'DMR 001C TIN &amp; TP'!$A$3:$A$10005),0),MATCH('Reg 85'!$AG$11,'DMR 001C TIN &amp; TP'!$A$2:$M$2,0))),"")</f>
        <v/>
      </c>
      <c r="BF345" s="6" t="str">
        <f t="array" ref="BF345">_xlfn.IFNA((INDEX('DMR 001C TIN &amp; TP'!$A$3:$M$10005,MATCH(('Reg 85'!$AQ$6&amp;'Reg 85'!BF$10&amp;'Reg 85'!$B345),('DMR 001C TIN &amp; TP'!$E$3:$E$10005&amp;'DMR 001C TIN &amp; TP'!$B$3:$B$10005&amp;'DMR 001C TIN &amp; TP'!$A$3:$A$10005),0),MATCH('Reg 85'!$AG$11,'DMR 001C TIN &amp; TP'!$A$2:$M$2,0))),"")</f>
        <v/>
      </c>
    </row>
    <row r="346" spans="1:58">
      <c r="A346" s="3" t="str">
        <f t="shared" si="126"/>
        <v>Thu</v>
      </c>
      <c r="B346" s="96">
        <f t="shared" si="142"/>
        <v>43678</v>
      </c>
      <c r="C346" s="96">
        <f t="shared" si="127"/>
        <v>43708</v>
      </c>
      <c r="D346" s="96">
        <f t="shared" si="128"/>
        <v>43678</v>
      </c>
      <c r="E346" s="95">
        <f t="shared" si="129"/>
        <v>31</v>
      </c>
      <c r="F346" s="7">
        <f t="array" ref="F346">_xlfn.IFNA(INDEX('DMR Flows-Effluent'!$A$3:$F$9999,MATCH(($F$10&amp;$B346),('DMR Flows-Effluent'!$B$3:$B$9999&amp;'DMR Flows-Effluent'!$A$3:$A$9999),0),MATCH($F$8,'DMR Flows-Effluent'!$A$2:$F$2,0)),"")</f>
        <v>56.402900000000002</v>
      </c>
      <c r="G346" s="7">
        <f t="array" ref="G346">_xlfn.IFNA(INDEX('DMR Flows-Effluent'!$A$3:$F$9999,MATCH(($G$10&amp;$B346),('DMR Flows-Effluent'!$B$3:$B$9999&amp;'DMR Flows-Effluent'!$A$3:$A$9999),0),MATCH($F$8,'DMR Flows-Effluent'!$A$2:$F$2,0)),"")</f>
        <v>72.420100000000005</v>
      </c>
      <c r="H346" s="7">
        <f t="shared" si="130"/>
        <v>128.82300000000001</v>
      </c>
      <c r="I346" s="45" t="str">
        <f t="shared" si="131"/>
        <v/>
      </c>
      <c r="J346" s="6" t="str">
        <f t="array" ref="J346">_xlfn.IFNA((INDEX('DMR 001C TIN &amp; TP'!$A$3:$M$10005,MATCH(('Reg 85'!$I$6:$Q$6&amp;'Reg 85'!$I$10:$K$10&amp;'Reg 85'!$B346),('DMR 001C TIN &amp; TP'!$E$3:$E$10005&amp;'DMR 001C TIN &amp; TP'!$B$3:$B$10005&amp;'DMR 001C TIN &amp; TP'!$A$3:$A$10005),0),MATCH('Reg 85'!$J$11,'DMR 001C TIN &amp; TP'!$A$2:$M$2,0))),"")</f>
        <v/>
      </c>
      <c r="K346" s="6" t="str">
        <f t="array" ref="K346">_xlfn.IFNA((INDEX('DMR 001C TIN &amp; TP'!$A$3:$M$10005,MATCH(('Reg 85'!$I$6:$Q$6&amp;'Reg 85'!$I$10:$K$10&amp;'Reg 85'!$B346),('DMR 001C TIN &amp; TP'!$E$3:$E$10005&amp;'DMR 001C TIN &amp; TP'!$B$3:$B$10005&amp;'DMR 001C TIN &amp; TP'!$A$3:$A$10005),0),MATCH('Reg 85'!$K$11,'DMR 001C TIN &amp; TP'!$A$2:$M$2,0))),"")</f>
        <v/>
      </c>
      <c r="L346" s="53" t="str">
        <f t="shared" si="143"/>
        <v/>
      </c>
      <c r="M346" s="5" t="str">
        <f t="shared" si="132"/>
        <v/>
      </c>
      <c r="N346" s="6" t="str">
        <f t="array" ref="N346">_xlfn.IFNA((INDEX('DMR 001C TIN &amp; TP'!$A$3:$M$10005,MATCH(('Reg 85'!$I$6:$Q$6&amp;'Reg 85'!$M$10&amp;'Reg 85'!$B346),('DMR 001C TIN &amp; TP'!$E$3:$E$10005&amp;'DMR 001C TIN &amp; TP'!$B$3:$B$10005&amp;'DMR 001C TIN &amp; TP'!$A$3:$A$10005),0),MATCH('Reg 85'!$N$11,'DMR 001C TIN &amp; TP'!$A$2:$M$2,0))),"")</f>
        <v/>
      </c>
      <c r="O346" s="6" t="str">
        <f t="array" ref="O346">_xlfn.IFNA((INDEX('DMR 001C TIN &amp; TP'!$A$3:$M$10005,MATCH(('Reg 85'!$I$6:$Q$6&amp;'Reg 85'!$M$10&amp;'Reg 85'!$B346),('DMR 001C TIN &amp; TP'!$E$3:$E$10005&amp;'DMR 001C TIN &amp; TP'!$B$3:$B$10005&amp;'DMR 001C TIN &amp; TP'!$A$3:$A$10005),0),MATCH('Reg 85'!$O$11,'DMR 001C TIN &amp; TP'!$A$2:$M$2,0))),"")</f>
        <v/>
      </c>
      <c r="P346" s="53" t="str">
        <f t="shared" si="133"/>
        <v/>
      </c>
      <c r="Q346" s="73" t="str">
        <f t="array" ref="Q346">IFERROR(((L346*$F346)+(P346*$G346))/($H346),"")</f>
        <v/>
      </c>
      <c r="R346" s="6" t="str">
        <f t="array" ref="R346">_xlfn.IFNA((INDEX('DMR 001C TIN &amp; TP'!$A$3:$M$10005,MATCH(('Reg 85'!$I$6:$Q$6&amp;'Reg 85'!R$10&amp;'Reg 85'!$B346),('DMR 001C TIN &amp; TP'!$E$3:$E$10005&amp;'DMR 001C TIN &amp; TP'!$B$3:$B$10005&amp;'DMR 001C TIN &amp; TP'!$A$3:$A$10005),0),MATCH('Reg 85'!$O$11,'DMR 001C TIN &amp; TP'!$A$2:$M$2,0))),"")</f>
        <v/>
      </c>
      <c r="S346" s="6" t="str">
        <f t="array" ref="S346">_xlfn.IFNA((INDEX('DMR 001C TIN &amp; TP'!$A$3:$M$10005,MATCH(('Reg 85'!$I$6:$Q$6&amp;'Reg 85'!S$10&amp;'Reg 85'!$B346),('DMR 001C TIN &amp; TP'!$E$3:$E$10005&amp;'DMR 001C TIN &amp; TP'!$B$3:$B$10005&amp;'DMR 001C TIN &amp; TP'!$A$3:$A$10005),0),MATCH('Reg 85'!$O$11,'DMR 001C TIN &amp; TP'!$A$2:$M$2,0))),"")</f>
        <v/>
      </c>
      <c r="T346" s="6" t="str">
        <f t="array" ref="T346">_xlfn.IFNA((INDEX('DMR 001C TIN &amp; TP'!$A$3:$M$10005,MATCH(('Reg 85'!$I$6:$Q$6&amp;'Reg 85'!T$10&amp;'Reg 85'!$B346),('DMR 001C TIN &amp; TP'!$E$3:$E$10005&amp;'DMR 001C TIN &amp; TP'!$B$3:$B$10005&amp;'DMR 001C TIN &amp; TP'!$A$3:$A$10005),0),MATCH('Reg 85'!$O$11,'DMR 001C TIN &amp; TP'!$A$2:$M$2,0))),"")</f>
        <v/>
      </c>
      <c r="U346" s="6" t="str">
        <f t="array" ref="U346">_xlfn.IFNA((INDEX('DMR 001C TIN &amp; TP'!$A$3:$M$10005,MATCH(('Reg 85'!$I$6:$Q$6&amp;'Reg 85'!U$10&amp;'Reg 85'!$B346),('DMR 001C TIN &amp; TP'!$E$3:$E$10005&amp;'DMR 001C TIN &amp; TP'!$B$3:$B$10005&amp;'DMR 001C TIN &amp; TP'!$A$3:$A$10005),0),MATCH('Reg 85'!$O$11,'DMR 001C TIN &amp; TP'!$A$2:$M$2,0))),"")</f>
        <v/>
      </c>
      <c r="V346" s="6" t="str">
        <f t="array" ref="V346">_xlfn.IFNA((INDEX('DMR 001C TIN &amp; TP'!$A$3:$M$10005,MATCH(('Reg 85'!$I$6:$Q$6&amp;'Reg 85'!V$10&amp;'Reg 85'!$B346),('DMR 001C TIN &amp; TP'!$E$3:$E$10005&amp;'DMR 001C TIN &amp; TP'!$B$3:$B$10005&amp;'DMR 001C TIN &amp; TP'!$A$3:$A$10005),0),MATCH('Reg 85'!$O$11,'DMR 001C TIN &amp; TP'!$A$2:$M$2,0))),"")</f>
        <v/>
      </c>
      <c r="W346" s="6" t="str">
        <f t="array" ref="W346">_xlfn.IFNA((INDEX('DMR 001C TIN &amp; TP'!$A$3:$M$10005,MATCH(('Reg 85'!$I$6:$Q$6&amp;'Reg 85'!W$10&amp;'Reg 85'!$B346),('DMR 001C TIN &amp; TP'!$E$3:$E$10005&amp;'DMR 001C TIN &amp; TP'!$B$3:$B$10005&amp;'DMR 001C TIN &amp; TP'!$A$3:$A$10005),0),MATCH('Reg 85'!$O$11,'DMR 001C TIN &amp; TP'!$A$2:$M$2,0))),"")</f>
        <v/>
      </c>
      <c r="X346" s="5" t="str">
        <f t="shared" si="134"/>
        <v/>
      </c>
      <c r="Y346" s="6" t="str">
        <f t="array" ref="Y346">_xlfn.IFNA((INDEX('DMR 001C TIN &amp; TP'!$A$3:$M$10005,MATCH(('Reg 85'!$X$6&amp;'Reg 85'!$X$10&amp;'Reg 85'!$B346),('DMR 001C TIN &amp; TP'!$E$3:$E$10005&amp;'DMR 001C TIN &amp; TP'!$B$3:$B$10005&amp;'DMR 001C TIN &amp; TP'!$A$3:$A$10005),0),MATCH('Reg 85'!$Y$11,'DMR 001C TIN &amp; TP'!$A$2:$M$2,0))),"")</f>
        <v/>
      </c>
      <c r="Z346" s="6" t="str">
        <f t="array" ref="Z346">_xlfn.IFNA((INDEX('DMR 001C TIN &amp; TP'!$A$3:$M$10005,MATCH(('Reg 85'!$X$6&amp;'Reg 85'!$X$10&amp;'Reg 85'!$B346),('DMR 001C TIN &amp; TP'!$E$3:$E$10005&amp;'DMR 001C TIN &amp; TP'!$B$3:$B$10005&amp;'DMR 001C TIN &amp; TP'!$A$3:$A$10005),0),MATCH('Reg 85'!$Z$11,'DMR 001C TIN &amp; TP'!$A$2:$M$2,0))),"")</f>
        <v/>
      </c>
      <c r="AA346" s="53" t="str">
        <f t="shared" si="135"/>
        <v/>
      </c>
      <c r="AB346" s="5" t="str">
        <f t="shared" si="136"/>
        <v/>
      </c>
      <c r="AC346" s="6" t="str">
        <f t="array" ref="AC346">_xlfn.IFNA((INDEX('DMR 001C TIN &amp; TP'!$A$3:$M$10005,MATCH(('Reg 85'!$X$6&amp;'Reg 85'!$AB$10&amp;'Reg 85'!$B346),('DMR 001C TIN &amp; TP'!$E$3:$E$10005&amp;'DMR 001C TIN &amp; TP'!$B$3:$B$10005&amp;'DMR 001C TIN &amp; TP'!$A$3:$A$10005),0),MATCH('Reg 85'!$AC$11,'DMR 001C TIN &amp; TP'!$A$2:$M$2,0))),"")</f>
        <v/>
      </c>
      <c r="AD346" s="6" t="str">
        <f t="array" ref="AD346">_xlfn.IFNA((INDEX('DMR 001C TIN &amp; TP'!$A$3:$M$10005,MATCH(('Reg 85'!$X$6&amp;'Reg 85'!$AB$10&amp;'Reg 85'!$B346),('DMR 001C TIN &amp; TP'!$E$3:$E$10005&amp;'DMR 001C TIN &amp; TP'!$B$3:$B$10005&amp;'DMR 001C TIN &amp; TP'!$A$3:$A$10005),0),MATCH('Reg 85'!$AD$11,'DMR 001C TIN &amp; TP'!$A$2:$M$2,0))),"")</f>
        <v/>
      </c>
      <c r="AE346" s="53" t="str">
        <f t="shared" si="137"/>
        <v/>
      </c>
      <c r="AF346" s="7" t="str">
        <f t="shared" si="138"/>
        <v/>
      </c>
      <c r="AG346" s="6" t="str">
        <f t="array" ref="AG346">_xlfn.IFNA((INDEX('DMR 001C TIN &amp; TP'!$A$3:$M$10005,MATCH(('Reg 85'!$X$6&amp;'Reg 85'!AG$10&amp;'Reg 85'!$B346),('DMR 001C TIN &amp; TP'!$E$3:$E$10005&amp;'DMR 001C TIN &amp; TP'!$B$3:$B$10005&amp;'DMR 001C TIN &amp; TP'!$A$3:$A$10005),0),MATCH('Reg 85'!$AG$11,'DMR 001C TIN &amp; TP'!$A$2:$M$2,0))),"")</f>
        <v/>
      </c>
      <c r="AH346" s="6" t="str">
        <f t="array" ref="AH346">_xlfn.IFNA((INDEX('DMR 001C TIN &amp; TP'!$A$3:$M$10005,MATCH(('Reg 85'!$X$6&amp;'Reg 85'!AH$10&amp;'Reg 85'!$B346),('DMR 001C TIN &amp; TP'!$E$3:$E$10005&amp;'DMR 001C TIN &amp; TP'!$B$3:$B$10005&amp;'DMR 001C TIN &amp; TP'!$A$3:$A$10005),0),MATCH('Reg 85'!$AG$11,'DMR 001C TIN &amp; TP'!$A$2:$M$2,0))),"")</f>
        <v/>
      </c>
      <c r="AI346" s="6" t="str">
        <f t="array" ref="AI346">_xlfn.IFNA((INDEX('DMR 001C TIN &amp; TP'!$A$3:$M$10005,MATCH(('Reg 85'!$X$6&amp;'Reg 85'!AI$10&amp;'Reg 85'!$B346),('DMR 001C TIN &amp; TP'!$E$3:$E$10005&amp;'DMR 001C TIN &amp; TP'!$B$3:$B$10005&amp;'DMR 001C TIN &amp; TP'!$A$3:$A$10005),0),MATCH('Reg 85'!$AG$11,'DMR 001C TIN &amp; TP'!$A$2:$M$2,0))),"")</f>
        <v/>
      </c>
      <c r="AJ346" s="6" t="str">
        <f t="array" ref="AJ346">_xlfn.IFNA((INDEX('DMR 001C TIN &amp; TP'!$A$3:$M$10005,MATCH(('Reg 85'!$X$6&amp;'Reg 85'!AJ$10&amp;'Reg 85'!$B346),('DMR 001C TIN &amp; TP'!$E$3:$E$10005&amp;'DMR 001C TIN &amp; TP'!$B$3:$B$10005&amp;'DMR 001C TIN &amp; TP'!$A$3:$A$10005),0),MATCH('Reg 85'!$AG$11,'DMR 001C TIN &amp; TP'!$A$2:$M$2,0))),"")</f>
        <v/>
      </c>
      <c r="AK346" s="6" t="str">
        <f t="array" ref="AK346">_xlfn.IFNA((INDEX('DMR 001C TIN &amp; TP'!$A$3:$M$10005,MATCH(('Reg 85'!$X$6&amp;'Reg 85'!AK$10&amp;'Reg 85'!$B346),('DMR 001C TIN &amp; TP'!$E$3:$E$10005&amp;'DMR 001C TIN &amp; TP'!$B$3:$B$10005&amp;'DMR 001C TIN &amp; TP'!$A$3:$A$10005),0),MATCH('Reg 85'!$AG$11,'DMR 001C TIN &amp; TP'!$A$2:$M$2,0))),"")</f>
        <v/>
      </c>
      <c r="AL346" s="6" t="str">
        <f t="array" ref="AL346">_xlfn.IFNA((INDEX('DMR 001C TIN &amp; TP'!$A$3:$M$10005,MATCH(('Reg 85'!$X$6&amp;'Reg 85'!AL$10&amp;'Reg 85'!$B346),('DMR 001C TIN &amp; TP'!$E$3:$E$10005&amp;'DMR 001C TIN &amp; TP'!$B$3:$B$10005&amp;'DMR 001C TIN &amp; TP'!$A$3:$A$10005),0),MATCH('Reg 85'!$AG$11,'DMR 001C TIN &amp; TP'!$A$2:$M$2,0))),"")</f>
        <v/>
      </c>
      <c r="AM346" s="76"/>
      <c r="AN346" s="6"/>
      <c r="AO346" s="54" t="str">
        <f t="shared" si="125"/>
        <v/>
      </c>
      <c r="AP346" s="77" t="str">
        <f t="shared" si="123"/>
        <v/>
      </c>
      <c r="AQ346" s="47"/>
      <c r="AR346" s="6" t="str">
        <f t="array" ref="AR346">_xlfn.IFNA((INDEX('DMR 001C TIN &amp; TP'!$A$3:$M$10005,MATCH(('Reg 85'!$AQ$6&amp;'Reg 85'!$AQ$10&amp;'Reg 85'!$B346),('DMR 001C TIN &amp; TP'!$E$3:$E$10005&amp;'DMR 001C TIN &amp; TP'!$B$3:$B$10005&amp;'DMR 001C TIN &amp; TP'!$A$3:$A$10005),0),MATCH('Reg 85'!$AR$11,'DMR 001C TIN &amp; TP'!$A$2:$M$2,0))),"")</f>
        <v/>
      </c>
      <c r="AS346" s="6" t="str">
        <f t="array" ref="AS346">_xlfn.IFNA((INDEX('DMR 001C TIN &amp; TP'!$A$3:$M$10005,MATCH(('Reg 85'!$AQ$6&amp;'Reg 85'!$AQ$10&amp;'Reg 85'!$B346),('DMR 001C TIN &amp; TP'!$E$3:$E$10005&amp;'DMR 001C TIN &amp; TP'!$B$3:$B$10005&amp;'DMR 001C TIN &amp; TP'!$A$3:$A$10005),0),MATCH('Reg 85'!$AS$11,'DMR 001C TIN &amp; TP'!$A$2:$M$2,0))),"")</f>
        <v/>
      </c>
      <c r="AT346" s="53" t="str">
        <f t="shared" si="139"/>
        <v/>
      </c>
      <c r="AV346" s="6" t="str">
        <f t="array" ref="AV346">_xlfn.IFNA((INDEX('DMR 001C TIN &amp; TP'!$A$3:$M$10005,MATCH(('Reg 85'!$AQ$6&amp;'Reg 85'!$AU$10&amp;'Reg 85'!$B346),('DMR 001C TIN &amp; TP'!$E$3:$E$10005&amp;'DMR 001C TIN &amp; TP'!$B$3:$B$10005&amp;'DMR 001C TIN &amp; TP'!$A$3:$A$10005),0),MATCH('Reg 85'!$AV$11,'DMR 001C TIN &amp; TP'!$A$2:$M$2,0))),"")</f>
        <v/>
      </c>
      <c r="AW346" s="6" t="str">
        <f t="array" ref="AW346">_xlfn.IFNA((INDEX('DMR 001C TIN &amp; TP'!$A$3:$M$10005,MATCH(('Reg 85'!$AQ$6&amp;'Reg 85'!$AU$10&amp;'Reg 85'!$B346),('DMR 001C TIN &amp; TP'!$E$3:$E$10005&amp;'DMR 001C TIN &amp; TP'!$B$3:$B$10005&amp;'DMR 001C TIN &amp; TP'!$A$3:$A$10005),0),MATCH('Reg 85'!$AW$11,'DMR 001C TIN &amp; TP'!$A$2:$M$2,0))),"")</f>
        <v/>
      </c>
      <c r="AX346" s="53" t="str">
        <f t="shared" si="140"/>
        <v/>
      </c>
      <c r="AY346" s="55" t="str">
        <f t="shared" si="141"/>
        <v/>
      </c>
      <c r="AZ346" s="77" t="str">
        <f t="shared" si="124"/>
        <v/>
      </c>
      <c r="BA346" s="6" t="str">
        <f t="array" ref="BA346">_xlfn.IFNA((INDEX('DMR 001C TIN &amp; TP'!$A$3:$M$10005,MATCH(('Reg 85'!$AQ$6&amp;'Reg 85'!BA$10&amp;'Reg 85'!$B346),('DMR 001C TIN &amp; TP'!$E$3:$E$10005&amp;'DMR 001C TIN &amp; TP'!$B$3:$B$10005&amp;'DMR 001C TIN &amp; TP'!$A$3:$A$10005),0),MATCH('Reg 85'!$AG$11,'DMR 001C TIN &amp; TP'!$A$2:$M$2,0))),"")</f>
        <v/>
      </c>
      <c r="BB346" s="6" t="str">
        <f t="array" ref="BB346">_xlfn.IFNA((INDEX('DMR 001C TIN &amp; TP'!$A$3:$M$10005,MATCH(('Reg 85'!$AQ$6&amp;'Reg 85'!BB$10&amp;'Reg 85'!$B346),('DMR 001C TIN &amp; TP'!$E$3:$E$10005&amp;'DMR 001C TIN &amp; TP'!$B$3:$B$10005&amp;'DMR 001C TIN &amp; TP'!$A$3:$A$10005),0),MATCH('Reg 85'!$AG$11,'DMR 001C TIN &amp; TP'!$A$2:$M$2,0))),"")</f>
        <v/>
      </c>
      <c r="BC346" s="6" t="str">
        <f t="array" ref="BC346">_xlfn.IFNA((INDEX('DMR 001C TIN &amp; TP'!$A$3:$M$10005,MATCH(('Reg 85'!$AQ$6&amp;'Reg 85'!BC$10&amp;'Reg 85'!$B346),('DMR 001C TIN &amp; TP'!$E$3:$E$10005&amp;'DMR 001C TIN &amp; TP'!$B$3:$B$10005&amp;'DMR 001C TIN &amp; TP'!$A$3:$A$10005),0),MATCH('Reg 85'!$AG$11,'DMR 001C TIN &amp; TP'!$A$2:$M$2,0))),"")</f>
        <v/>
      </c>
      <c r="BD346" s="6" t="str">
        <f t="array" ref="BD346">_xlfn.IFNA((INDEX('DMR 001C TIN &amp; TP'!$A$3:$M$10005,MATCH(('Reg 85'!$AQ$6&amp;'Reg 85'!BD$10&amp;'Reg 85'!$B346),('DMR 001C TIN &amp; TP'!$E$3:$E$10005&amp;'DMR 001C TIN &amp; TP'!$B$3:$B$10005&amp;'DMR 001C TIN &amp; TP'!$A$3:$A$10005),0),MATCH('Reg 85'!$AG$11,'DMR 001C TIN &amp; TP'!$A$2:$M$2,0))),"")</f>
        <v/>
      </c>
      <c r="BE346" s="6" t="str">
        <f t="array" ref="BE346">_xlfn.IFNA((INDEX('DMR 001C TIN &amp; TP'!$A$3:$M$10005,MATCH(('Reg 85'!$AQ$6&amp;'Reg 85'!BE$10&amp;'Reg 85'!$B346),('DMR 001C TIN &amp; TP'!$E$3:$E$10005&amp;'DMR 001C TIN &amp; TP'!$B$3:$B$10005&amp;'DMR 001C TIN &amp; TP'!$A$3:$A$10005),0),MATCH('Reg 85'!$AG$11,'DMR 001C TIN &amp; TP'!$A$2:$M$2,0))),"")</f>
        <v/>
      </c>
      <c r="BF346" s="6" t="str">
        <f t="array" ref="BF346">_xlfn.IFNA((INDEX('DMR 001C TIN &amp; TP'!$A$3:$M$10005,MATCH(('Reg 85'!$AQ$6&amp;'Reg 85'!BF$10&amp;'Reg 85'!$B346),('DMR 001C TIN &amp; TP'!$E$3:$E$10005&amp;'DMR 001C TIN &amp; TP'!$B$3:$B$10005&amp;'DMR 001C TIN &amp; TP'!$A$3:$A$10005),0),MATCH('Reg 85'!$AG$11,'DMR 001C TIN &amp; TP'!$A$2:$M$2,0))),"")</f>
        <v/>
      </c>
    </row>
    <row r="347" spans="1:58">
      <c r="A347" s="3" t="str">
        <f t="shared" si="126"/>
        <v>Fri</v>
      </c>
      <c r="B347" s="96">
        <f t="shared" si="142"/>
        <v>43679</v>
      </c>
      <c r="C347" s="96">
        <f t="shared" si="127"/>
        <v>43708</v>
      </c>
      <c r="D347" s="96">
        <f t="shared" si="128"/>
        <v>43678</v>
      </c>
      <c r="E347" s="95">
        <f t="shared" si="129"/>
        <v>31</v>
      </c>
      <c r="F347" s="7">
        <f t="array" ref="F347">_xlfn.IFNA(INDEX('DMR Flows-Effluent'!$A$3:$F$9999,MATCH(($F$10&amp;$B347),('DMR Flows-Effluent'!$B$3:$B$9999&amp;'DMR Flows-Effluent'!$A$3:$A$9999),0),MATCH($F$8,'DMR Flows-Effluent'!$A$2:$F$2,0)),"")</f>
        <v>54.080399999999997</v>
      </c>
      <c r="G347" s="7">
        <f t="array" ref="G347">_xlfn.IFNA(INDEX('DMR Flows-Effluent'!$A$3:$F$9999,MATCH(($G$10&amp;$B347),('DMR Flows-Effluent'!$B$3:$B$9999&amp;'DMR Flows-Effluent'!$A$3:$A$9999),0),MATCH($F$8,'DMR Flows-Effluent'!$A$2:$F$2,0)),"")</f>
        <v>71.528000000000006</v>
      </c>
      <c r="H347" s="7">
        <f t="shared" si="130"/>
        <v>125.6084</v>
      </c>
      <c r="I347" s="45" t="str">
        <f t="shared" si="131"/>
        <v/>
      </c>
      <c r="J347" s="6" t="str">
        <f t="array" ref="J347">_xlfn.IFNA((INDEX('DMR 001C TIN &amp; TP'!$A$3:$M$10005,MATCH(('Reg 85'!$I$6:$Q$6&amp;'Reg 85'!$I$10:$K$10&amp;'Reg 85'!$B347),('DMR 001C TIN &amp; TP'!$E$3:$E$10005&amp;'DMR 001C TIN &amp; TP'!$B$3:$B$10005&amp;'DMR 001C TIN &amp; TP'!$A$3:$A$10005),0),MATCH('Reg 85'!$J$11,'DMR 001C TIN &amp; TP'!$A$2:$M$2,0))),"")</f>
        <v/>
      </c>
      <c r="K347" s="6" t="str">
        <f t="array" ref="K347">_xlfn.IFNA((INDEX('DMR 001C TIN &amp; TP'!$A$3:$M$10005,MATCH(('Reg 85'!$I$6:$Q$6&amp;'Reg 85'!$I$10:$K$10&amp;'Reg 85'!$B347),('DMR 001C TIN &amp; TP'!$E$3:$E$10005&amp;'DMR 001C TIN &amp; TP'!$B$3:$B$10005&amp;'DMR 001C TIN &amp; TP'!$A$3:$A$10005),0),MATCH('Reg 85'!$K$11,'DMR 001C TIN &amp; TP'!$A$2:$M$2,0))),"")</f>
        <v/>
      </c>
      <c r="L347" s="53" t="str">
        <f t="shared" si="143"/>
        <v/>
      </c>
      <c r="M347" s="5" t="str">
        <f t="shared" si="132"/>
        <v/>
      </c>
      <c r="N347" s="6" t="str">
        <f t="array" ref="N347">_xlfn.IFNA((INDEX('DMR 001C TIN &amp; TP'!$A$3:$M$10005,MATCH(('Reg 85'!$I$6:$Q$6&amp;'Reg 85'!$M$10&amp;'Reg 85'!$B347),('DMR 001C TIN &amp; TP'!$E$3:$E$10005&amp;'DMR 001C TIN &amp; TP'!$B$3:$B$10005&amp;'DMR 001C TIN &amp; TP'!$A$3:$A$10005),0),MATCH('Reg 85'!$N$11,'DMR 001C TIN &amp; TP'!$A$2:$M$2,0))),"")</f>
        <v/>
      </c>
      <c r="O347" s="6" t="str">
        <f t="array" ref="O347">_xlfn.IFNA((INDEX('DMR 001C TIN &amp; TP'!$A$3:$M$10005,MATCH(('Reg 85'!$I$6:$Q$6&amp;'Reg 85'!$M$10&amp;'Reg 85'!$B347),('DMR 001C TIN &amp; TP'!$E$3:$E$10005&amp;'DMR 001C TIN &amp; TP'!$B$3:$B$10005&amp;'DMR 001C TIN &amp; TP'!$A$3:$A$10005),0),MATCH('Reg 85'!$O$11,'DMR 001C TIN &amp; TP'!$A$2:$M$2,0))),"")</f>
        <v/>
      </c>
      <c r="P347" s="53" t="str">
        <f t="shared" si="133"/>
        <v/>
      </c>
      <c r="Q347" s="73" t="str">
        <f t="array" ref="Q347">IFERROR(((L347*$F347)+(P347*$G347))/($H347),"")</f>
        <v/>
      </c>
      <c r="R347" s="6" t="str">
        <f t="array" ref="R347">_xlfn.IFNA((INDEX('DMR 001C TIN &amp; TP'!$A$3:$M$10005,MATCH(('Reg 85'!$I$6:$Q$6&amp;'Reg 85'!R$10&amp;'Reg 85'!$B347),('DMR 001C TIN &amp; TP'!$E$3:$E$10005&amp;'DMR 001C TIN &amp; TP'!$B$3:$B$10005&amp;'DMR 001C TIN &amp; TP'!$A$3:$A$10005),0),MATCH('Reg 85'!$O$11,'DMR 001C TIN &amp; TP'!$A$2:$M$2,0))),"")</f>
        <v/>
      </c>
      <c r="S347" s="6" t="str">
        <f t="array" ref="S347">_xlfn.IFNA((INDEX('DMR 001C TIN &amp; TP'!$A$3:$M$10005,MATCH(('Reg 85'!$I$6:$Q$6&amp;'Reg 85'!S$10&amp;'Reg 85'!$B347),('DMR 001C TIN &amp; TP'!$E$3:$E$10005&amp;'DMR 001C TIN &amp; TP'!$B$3:$B$10005&amp;'DMR 001C TIN &amp; TP'!$A$3:$A$10005),0),MATCH('Reg 85'!$O$11,'DMR 001C TIN &amp; TP'!$A$2:$M$2,0))),"")</f>
        <v/>
      </c>
      <c r="T347" s="6" t="str">
        <f t="array" ref="T347">_xlfn.IFNA((INDEX('DMR 001C TIN &amp; TP'!$A$3:$M$10005,MATCH(('Reg 85'!$I$6:$Q$6&amp;'Reg 85'!T$10&amp;'Reg 85'!$B347),('DMR 001C TIN &amp; TP'!$E$3:$E$10005&amp;'DMR 001C TIN &amp; TP'!$B$3:$B$10005&amp;'DMR 001C TIN &amp; TP'!$A$3:$A$10005),0),MATCH('Reg 85'!$O$11,'DMR 001C TIN &amp; TP'!$A$2:$M$2,0))),"")</f>
        <v/>
      </c>
      <c r="U347" s="6" t="str">
        <f t="array" ref="U347">_xlfn.IFNA((INDEX('DMR 001C TIN &amp; TP'!$A$3:$M$10005,MATCH(('Reg 85'!$I$6:$Q$6&amp;'Reg 85'!U$10&amp;'Reg 85'!$B347),('DMR 001C TIN &amp; TP'!$E$3:$E$10005&amp;'DMR 001C TIN &amp; TP'!$B$3:$B$10005&amp;'DMR 001C TIN &amp; TP'!$A$3:$A$10005),0),MATCH('Reg 85'!$O$11,'DMR 001C TIN &amp; TP'!$A$2:$M$2,0))),"")</f>
        <v/>
      </c>
      <c r="V347" s="6" t="str">
        <f t="array" ref="V347">_xlfn.IFNA((INDEX('DMR 001C TIN &amp; TP'!$A$3:$M$10005,MATCH(('Reg 85'!$I$6:$Q$6&amp;'Reg 85'!V$10&amp;'Reg 85'!$B347),('DMR 001C TIN &amp; TP'!$E$3:$E$10005&amp;'DMR 001C TIN &amp; TP'!$B$3:$B$10005&amp;'DMR 001C TIN &amp; TP'!$A$3:$A$10005),0),MATCH('Reg 85'!$O$11,'DMR 001C TIN &amp; TP'!$A$2:$M$2,0))),"")</f>
        <v/>
      </c>
      <c r="W347" s="6" t="str">
        <f t="array" ref="W347">_xlfn.IFNA((INDEX('DMR 001C TIN &amp; TP'!$A$3:$M$10005,MATCH(('Reg 85'!$I$6:$Q$6&amp;'Reg 85'!W$10&amp;'Reg 85'!$B347),('DMR 001C TIN &amp; TP'!$E$3:$E$10005&amp;'DMR 001C TIN &amp; TP'!$B$3:$B$10005&amp;'DMR 001C TIN &amp; TP'!$A$3:$A$10005),0),MATCH('Reg 85'!$O$11,'DMR 001C TIN &amp; TP'!$A$2:$M$2,0))),"")</f>
        <v/>
      </c>
      <c r="X347" s="5" t="str">
        <f t="shared" si="134"/>
        <v/>
      </c>
      <c r="Y347" s="6" t="str">
        <f t="array" ref="Y347">_xlfn.IFNA((INDEX('DMR 001C TIN &amp; TP'!$A$3:$M$10005,MATCH(('Reg 85'!$X$6&amp;'Reg 85'!$X$10&amp;'Reg 85'!$B347),('DMR 001C TIN &amp; TP'!$E$3:$E$10005&amp;'DMR 001C TIN &amp; TP'!$B$3:$B$10005&amp;'DMR 001C TIN &amp; TP'!$A$3:$A$10005),0),MATCH('Reg 85'!$Y$11,'DMR 001C TIN &amp; TP'!$A$2:$M$2,0))),"")</f>
        <v/>
      </c>
      <c r="Z347" s="6" t="str">
        <f t="array" ref="Z347">_xlfn.IFNA((INDEX('DMR 001C TIN &amp; TP'!$A$3:$M$10005,MATCH(('Reg 85'!$X$6&amp;'Reg 85'!$X$10&amp;'Reg 85'!$B347),('DMR 001C TIN &amp; TP'!$E$3:$E$10005&amp;'DMR 001C TIN &amp; TP'!$B$3:$B$10005&amp;'DMR 001C TIN &amp; TP'!$A$3:$A$10005),0),MATCH('Reg 85'!$Z$11,'DMR 001C TIN &amp; TP'!$A$2:$M$2,0))),"")</f>
        <v/>
      </c>
      <c r="AA347" s="53" t="str">
        <f t="shared" si="135"/>
        <v/>
      </c>
      <c r="AB347" s="5" t="str">
        <f t="shared" si="136"/>
        <v/>
      </c>
      <c r="AC347" s="6" t="str">
        <f t="array" ref="AC347">_xlfn.IFNA((INDEX('DMR 001C TIN &amp; TP'!$A$3:$M$10005,MATCH(('Reg 85'!$X$6&amp;'Reg 85'!$AB$10&amp;'Reg 85'!$B347),('DMR 001C TIN &amp; TP'!$E$3:$E$10005&amp;'DMR 001C TIN &amp; TP'!$B$3:$B$10005&amp;'DMR 001C TIN &amp; TP'!$A$3:$A$10005),0),MATCH('Reg 85'!$AC$11,'DMR 001C TIN &amp; TP'!$A$2:$M$2,0))),"")</f>
        <v/>
      </c>
      <c r="AD347" s="6" t="str">
        <f t="array" ref="AD347">_xlfn.IFNA((INDEX('DMR 001C TIN &amp; TP'!$A$3:$M$10005,MATCH(('Reg 85'!$X$6&amp;'Reg 85'!$AB$10&amp;'Reg 85'!$B347),('DMR 001C TIN &amp; TP'!$E$3:$E$10005&amp;'DMR 001C TIN &amp; TP'!$B$3:$B$10005&amp;'DMR 001C TIN &amp; TP'!$A$3:$A$10005),0),MATCH('Reg 85'!$AD$11,'DMR 001C TIN &amp; TP'!$A$2:$M$2,0))),"")</f>
        <v/>
      </c>
      <c r="AE347" s="53" t="str">
        <f t="shared" si="137"/>
        <v/>
      </c>
      <c r="AF347" s="7" t="str">
        <f t="shared" si="138"/>
        <v/>
      </c>
      <c r="AG347" s="6" t="str">
        <f t="array" ref="AG347">_xlfn.IFNA((INDEX('DMR 001C TIN &amp; TP'!$A$3:$M$10005,MATCH(('Reg 85'!$X$6&amp;'Reg 85'!AG$10&amp;'Reg 85'!$B347),('DMR 001C TIN &amp; TP'!$E$3:$E$10005&amp;'DMR 001C TIN &amp; TP'!$B$3:$B$10005&amp;'DMR 001C TIN &amp; TP'!$A$3:$A$10005),0),MATCH('Reg 85'!$AG$11,'DMR 001C TIN &amp; TP'!$A$2:$M$2,0))),"")</f>
        <v/>
      </c>
      <c r="AH347" s="6" t="str">
        <f t="array" ref="AH347">_xlfn.IFNA((INDEX('DMR 001C TIN &amp; TP'!$A$3:$M$10005,MATCH(('Reg 85'!$X$6&amp;'Reg 85'!AH$10&amp;'Reg 85'!$B347),('DMR 001C TIN &amp; TP'!$E$3:$E$10005&amp;'DMR 001C TIN &amp; TP'!$B$3:$B$10005&amp;'DMR 001C TIN &amp; TP'!$A$3:$A$10005),0),MATCH('Reg 85'!$AG$11,'DMR 001C TIN &amp; TP'!$A$2:$M$2,0))),"")</f>
        <v/>
      </c>
      <c r="AI347" s="6" t="str">
        <f t="array" ref="AI347">_xlfn.IFNA((INDEX('DMR 001C TIN &amp; TP'!$A$3:$M$10005,MATCH(('Reg 85'!$X$6&amp;'Reg 85'!AI$10&amp;'Reg 85'!$B347),('DMR 001C TIN &amp; TP'!$E$3:$E$10005&amp;'DMR 001C TIN &amp; TP'!$B$3:$B$10005&amp;'DMR 001C TIN &amp; TP'!$A$3:$A$10005),0),MATCH('Reg 85'!$AG$11,'DMR 001C TIN &amp; TP'!$A$2:$M$2,0))),"")</f>
        <v/>
      </c>
      <c r="AJ347" s="6" t="str">
        <f t="array" ref="AJ347">_xlfn.IFNA((INDEX('DMR 001C TIN &amp; TP'!$A$3:$M$10005,MATCH(('Reg 85'!$X$6&amp;'Reg 85'!AJ$10&amp;'Reg 85'!$B347),('DMR 001C TIN &amp; TP'!$E$3:$E$10005&amp;'DMR 001C TIN &amp; TP'!$B$3:$B$10005&amp;'DMR 001C TIN &amp; TP'!$A$3:$A$10005),0),MATCH('Reg 85'!$AG$11,'DMR 001C TIN &amp; TP'!$A$2:$M$2,0))),"")</f>
        <v/>
      </c>
      <c r="AK347" s="6" t="str">
        <f t="array" ref="AK347">_xlfn.IFNA((INDEX('DMR 001C TIN &amp; TP'!$A$3:$M$10005,MATCH(('Reg 85'!$X$6&amp;'Reg 85'!AK$10&amp;'Reg 85'!$B347),('DMR 001C TIN &amp; TP'!$E$3:$E$10005&amp;'DMR 001C TIN &amp; TP'!$B$3:$B$10005&amp;'DMR 001C TIN &amp; TP'!$A$3:$A$10005),0),MATCH('Reg 85'!$AG$11,'DMR 001C TIN &amp; TP'!$A$2:$M$2,0))),"")</f>
        <v/>
      </c>
      <c r="AL347" s="6" t="str">
        <f t="array" ref="AL347">_xlfn.IFNA((INDEX('DMR 001C TIN &amp; TP'!$A$3:$M$10005,MATCH(('Reg 85'!$X$6&amp;'Reg 85'!AL$10&amp;'Reg 85'!$B347),('DMR 001C TIN &amp; TP'!$E$3:$E$10005&amp;'DMR 001C TIN &amp; TP'!$B$3:$B$10005&amp;'DMR 001C TIN &amp; TP'!$A$3:$A$10005),0),MATCH('Reg 85'!$AG$11,'DMR 001C TIN &amp; TP'!$A$2:$M$2,0))),"")</f>
        <v/>
      </c>
      <c r="AM347" s="76"/>
      <c r="AN347" s="6"/>
      <c r="AO347" s="54" t="str">
        <f t="shared" si="125"/>
        <v/>
      </c>
      <c r="AP347" s="77" t="str">
        <f t="shared" si="123"/>
        <v/>
      </c>
      <c r="AQ347" s="47"/>
      <c r="AR347" s="6" t="str">
        <f t="array" ref="AR347">_xlfn.IFNA((INDEX('DMR 001C TIN &amp; TP'!$A$3:$M$10005,MATCH(('Reg 85'!$AQ$6&amp;'Reg 85'!$AQ$10&amp;'Reg 85'!$B347),('DMR 001C TIN &amp; TP'!$E$3:$E$10005&amp;'DMR 001C TIN &amp; TP'!$B$3:$B$10005&amp;'DMR 001C TIN &amp; TP'!$A$3:$A$10005),0),MATCH('Reg 85'!$AR$11,'DMR 001C TIN &amp; TP'!$A$2:$M$2,0))),"")</f>
        <v>0.03</v>
      </c>
      <c r="AS347" s="6">
        <f t="array" ref="AS347">_xlfn.IFNA((INDEX('DMR 001C TIN &amp; TP'!$A$3:$M$10005,MATCH(('Reg 85'!$AQ$6&amp;'Reg 85'!$AQ$10&amp;'Reg 85'!$B347),('DMR 001C TIN &amp; TP'!$E$3:$E$10005&amp;'DMR 001C TIN &amp; TP'!$B$3:$B$10005&amp;'DMR 001C TIN &amp; TP'!$A$3:$A$10005),0),MATCH('Reg 85'!$AS$11,'DMR 001C TIN &amp; TP'!$A$2:$M$2,0))),"")</f>
        <v>0.43</v>
      </c>
      <c r="AT347" s="53">
        <f t="shared" si="139"/>
        <v>0.43</v>
      </c>
      <c r="AV347" s="6" t="str">
        <f t="array" ref="AV347">_xlfn.IFNA((INDEX('DMR 001C TIN &amp; TP'!$A$3:$M$10005,MATCH(('Reg 85'!$AQ$6&amp;'Reg 85'!$AU$10&amp;'Reg 85'!$B347),('DMR 001C TIN &amp; TP'!$E$3:$E$10005&amp;'DMR 001C TIN &amp; TP'!$B$3:$B$10005&amp;'DMR 001C TIN &amp; TP'!$A$3:$A$10005),0),MATCH('Reg 85'!$AV$11,'DMR 001C TIN &amp; TP'!$A$2:$M$2,0))),"")</f>
        <v>0.03</v>
      </c>
      <c r="AW347" s="6">
        <f t="array" ref="AW347">_xlfn.IFNA((INDEX('DMR 001C TIN &amp; TP'!$A$3:$M$10005,MATCH(('Reg 85'!$AQ$6&amp;'Reg 85'!$AU$10&amp;'Reg 85'!$B347),('DMR 001C TIN &amp; TP'!$E$3:$E$10005&amp;'DMR 001C TIN &amp; TP'!$B$3:$B$10005&amp;'DMR 001C TIN &amp; TP'!$A$3:$A$10005),0),MATCH('Reg 85'!$AW$11,'DMR 001C TIN &amp; TP'!$A$2:$M$2,0))),"")</f>
        <v>1.2</v>
      </c>
      <c r="AX347" s="53">
        <f t="shared" si="140"/>
        <v>1.2</v>
      </c>
      <c r="AY347" s="55">
        <f t="shared" si="141"/>
        <v>0.86847831832902889</v>
      </c>
      <c r="AZ347" s="77" t="str">
        <f t="shared" si="124"/>
        <v/>
      </c>
      <c r="BA347" s="6" t="str">
        <f t="array" ref="BA347">_xlfn.IFNA((INDEX('DMR 001C TIN &amp; TP'!$A$3:$M$10005,MATCH(('Reg 85'!$AQ$6&amp;'Reg 85'!BA$10&amp;'Reg 85'!$B347),('DMR 001C TIN &amp; TP'!$E$3:$E$10005&amp;'DMR 001C TIN &amp; TP'!$B$3:$B$10005&amp;'DMR 001C TIN &amp; TP'!$A$3:$A$10005),0),MATCH('Reg 85'!$AG$11,'DMR 001C TIN &amp; TP'!$A$2:$M$2,0))),"")</f>
        <v/>
      </c>
      <c r="BB347" s="6" t="str">
        <f t="array" ref="BB347">_xlfn.IFNA((INDEX('DMR 001C TIN &amp; TP'!$A$3:$M$10005,MATCH(('Reg 85'!$AQ$6&amp;'Reg 85'!BB$10&amp;'Reg 85'!$B347),('DMR 001C TIN &amp; TP'!$E$3:$E$10005&amp;'DMR 001C TIN &amp; TP'!$B$3:$B$10005&amp;'DMR 001C TIN &amp; TP'!$A$3:$A$10005),0),MATCH('Reg 85'!$AG$11,'DMR 001C TIN &amp; TP'!$A$2:$M$2,0))),"")</f>
        <v/>
      </c>
      <c r="BC347" s="6" t="str">
        <f t="array" ref="BC347">_xlfn.IFNA((INDEX('DMR 001C TIN &amp; TP'!$A$3:$M$10005,MATCH(('Reg 85'!$AQ$6&amp;'Reg 85'!BC$10&amp;'Reg 85'!$B347),('DMR 001C TIN &amp; TP'!$E$3:$E$10005&amp;'DMR 001C TIN &amp; TP'!$B$3:$B$10005&amp;'DMR 001C TIN &amp; TP'!$A$3:$A$10005),0),MATCH('Reg 85'!$AG$11,'DMR 001C TIN &amp; TP'!$A$2:$M$2,0))),"")</f>
        <v/>
      </c>
      <c r="BD347" s="6" t="str">
        <f t="array" ref="BD347">_xlfn.IFNA((INDEX('DMR 001C TIN &amp; TP'!$A$3:$M$10005,MATCH(('Reg 85'!$AQ$6&amp;'Reg 85'!BD$10&amp;'Reg 85'!$B347),('DMR 001C TIN &amp; TP'!$E$3:$E$10005&amp;'DMR 001C TIN &amp; TP'!$B$3:$B$10005&amp;'DMR 001C TIN &amp; TP'!$A$3:$A$10005),0),MATCH('Reg 85'!$AG$11,'DMR 001C TIN &amp; TP'!$A$2:$M$2,0))),"")</f>
        <v/>
      </c>
      <c r="BE347" s="6" t="str">
        <f t="array" ref="BE347">_xlfn.IFNA((INDEX('DMR 001C TIN &amp; TP'!$A$3:$M$10005,MATCH(('Reg 85'!$AQ$6&amp;'Reg 85'!BE$10&amp;'Reg 85'!$B347),('DMR 001C TIN &amp; TP'!$E$3:$E$10005&amp;'DMR 001C TIN &amp; TP'!$B$3:$B$10005&amp;'DMR 001C TIN &amp; TP'!$A$3:$A$10005),0),MATCH('Reg 85'!$AG$11,'DMR 001C TIN &amp; TP'!$A$2:$M$2,0))),"")</f>
        <v/>
      </c>
      <c r="BF347" s="6" t="str">
        <f t="array" ref="BF347">_xlfn.IFNA((INDEX('DMR 001C TIN &amp; TP'!$A$3:$M$10005,MATCH(('Reg 85'!$AQ$6&amp;'Reg 85'!BF$10&amp;'Reg 85'!$B347),('DMR 001C TIN &amp; TP'!$E$3:$E$10005&amp;'DMR 001C TIN &amp; TP'!$B$3:$B$10005&amp;'DMR 001C TIN &amp; TP'!$A$3:$A$10005),0),MATCH('Reg 85'!$AG$11,'DMR 001C TIN &amp; TP'!$A$2:$M$2,0))),"")</f>
        <v/>
      </c>
    </row>
    <row r="348" spans="1:58">
      <c r="A348" s="3" t="str">
        <f t="shared" si="126"/>
        <v>Sat</v>
      </c>
      <c r="B348" s="96">
        <f t="shared" si="142"/>
        <v>43680</v>
      </c>
      <c r="C348" s="96">
        <f t="shared" si="127"/>
        <v>43708</v>
      </c>
      <c r="D348" s="96">
        <f t="shared" si="128"/>
        <v>43678</v>
      </c>
      <c r="E348" s="95">
        <f t="shared" si="129"/>
        <v>31</v>
      </c>
      <c r="F348" s="7">
        <f t="array" ref="F348">_xlfn.IFNA(INDEX('DMR Flows-Effluent'!$A$3:$F$9999,MATCH(($F$10&amp;$B348),('DMR Flows-Effluent'!$B$3:$B$9999&amp;'DMR Flows-Effluent'!$A$3:$A$9999),0),MATCH($F$8,'DMR Flows-Effluent'!$A$2:$F$2,0)),"")</f>
        <v>53.453699999999998</v>
      </c>
      <c r="G348" s="7">
        <f t="array" ref="G348">_xlfn.IFNA(INDEX('DMR Flows-Effluent'!$A$3:$F$9999,MATCH(($G$10&amp;$B348),('DMR Flows-Effluent'!$B$3:$B$9999&amp;'DMR Flows-Effluent'!$A$3:$A$9999),0),MATCH($F$8,'DMR Flows-Effluent'!$A$2:$F$2,0)),"")</f>
        <v>70.555999999999997</v>
      </c>
      <c r="H348" s="7">
        <f t="shared" si="130"/>
        <v>124.0097</v>
      </c>
      <c r="I348" s="45" t="str">
        <f t="shared" si="131"/>
        <v/>
      </c>
      <c r="J348" s="6" t="str">
        <f t="array" ref="J348">_xlfn.IFNA((INDEX('DMR 001C TIN &amp; TP'!$A$3:$M$10005,MATCH(('Reg 85'!$I$6:$Q$6&amp;'Reg 85'!$I$10:$K$10&amp;'Reg 85'!$B348),('DMR 001C TIN &amp; TP'!$E$3:$E$10005&amp;'DMR 001C TIN &amp; TP'!$B$3:$B$10005&amp;'DMR 001C TIN &amp; TP'!$A$3:$A$10005),0),MATCH('Reg 85'!$J$11,'DMR 001C TIN &amp; TP'!$A$2:$M$2,0))),"")</f>
        <v/>
      </c>
      <c r="K348" s="6" t="str">
        <f t="array" ref="K348">_xlfn.IFNA((INDEX('DMR 001C TIN &amp; TP'!$A$3:$M$10005,MATCH(('Reg 85'!$I$6:$Q$6&amp;'Reg 85'!$I$10:$K$10&amp;'Reg 85'!$B348),('DMR 001C TIN &amp; TP'!$E$3:$E$10005&amp;'DMR 001C TIN &amp; TP'!$B$3:$B$10005&amp;'DMR 001C TIN &amp; TP'!$A$3:$A$10005),0),MATCH('Reg 85'!$K$11,'DMR 001C TIN &amp; TP'!$A$2:$M$2,0))),"")</f>
        <v/>
      </c>
      <c r="L348" s="53" t="str">
        <f t="shared" si="143"/>
        <v/>
      </c>
      <c r="M348" s="5" t="str">
        <f t="shared" si="132"/>
        <v/>
      </c>
      <c r="N348" s="6" t="str">
        <f t="array" ref="N348">_xlfn.IFNA((INDEX('DMR 001C TIN &amp; TP'!$A$3:$M$10005,MATCH(('Reg 85'!$I$6:$Q$6&amp;'Reg 85'!$M$10&amp;'Reg 85'!$B348),('DMR 001C TIN &amp; TP'!$E$3:$E$10005&amp;'DMR 001C TIN &amp; TP'!$B$3:$B$10005&amp;'DMR 001C TIN &amp; TP'!$A$3:$A$10005),0),MATCH('Reg 85'!$N$11,'DMR 001C TIN &amp; TP'!$A$2:$M$2,0))),"")</f>
        <v/>
      </c>
      <c r="O348" s="6" t="str">
        <f t="array" ref="O348">_xlfn.IFNA((INDEX('DMR 001C TIN &amp; TP'!$A$3:$M$10005,MATCH(('Reg 85'!$I$6:$Q$6&amp;'Reg 85'!$M$10&amp;'Reg 85'!$B348),('DMR 001C TIN &amp; TP'!$E$3:$E$10005&amp;'DMR 001C TIN &amp; TP'!$B$3:$B$10005&amp;'DMR 001C TIN &amp; TP'!$A$3:$A$10005),0),MATCH('Reg 85'!$O$11,'DMR 001C TIN &amp; TP'!$A$2:$M$2,0))),"")</f>
        <v/>
      </c>
      <c r="P348" s="53" t="str">
        <f t="shared" si="133"/>
        <v/>
      </c>
      <c r="Q348" s="73" t="str">
        <f t="array" ref="Q348">IFERROR(((L348*$F348)+(P348*$G348))/($H348),"")</f>
        <v/>
      </c>
      <c r="R348" s="6" t="str">
        <f t="array" ref="R348">_xlfn.IFNA((INDEX('DMR 001C TIN &amp; TP'!$A$3:$M$10005,MATCH(('Reg 85'!$I$6:$Q$6&amp;'Reg 85'!R$10&amp;'Reg 85'!$B348),('DMR 001C TIN &amp; TP'!$E$3:$E$10005&amp;'DMR 001C TIN &amp; TP'!$B$3:$B$10005&amp;'DMR 001C TIN &amp; TP'!$A$3:$A$10005),0),MATCH('Reg 85'!$O$11,'DMR 001C TIN &amp; TP'!$A$2:$M$2,0))),"")</f>
        <v/>
      </c>
      <c r="S348" s="6" t="str">
        <f t="array" ref="S348">_xlfn.IFNA((INDEX('DMR 001C TIN &amp; TP'!$A$3:$M$10005,MATCH(('Reg 85'!$I$6:$Q$6&amp;'Reg 85'!S$10&amp;'Reg 85'!$B348),('DMR 001C TIN &amp; TP'!$E$3:$E$10005&amp;'DMR 001C TIN &amp; TP'!$B$3:$B$10005&amp;'DMR 001C TIN &amp; TP'!$A$3:$A$10005),0),MATCH('Reg 85'!$O$11,'DMR 001C TIN &amp; TP'!$A$2:$M$2,0))),"")</f>
        <v/>
      </c>
      <c r="T348" s="6" t="str">
        <f t="array" ref="T348">_xlfn.IFNA((INDEX('DMR 001C TIN &amp; TP'!$A$3:$M$10005,MATCH(('Reg 85'!$I$6:$Q$6&amp;'Reg 85'!T$10&amp;'Reg 85'!$B348),('DMR 001C TIN &amp; TP'!$E$3:$E$10005&amp;'DMR 001C TIN &amp; TP'!$B$3:$B$10005&amp;'DMR 001C TIN &amp; TP'!$A$3:$A$10005),0),MATCH('Reg 85'!$O$11,'DMR 001C TIN &amp; TP'!$A$2:$M$2,0))),"")</f>
        <v/>
      </c>
      <c r="U348" s="6" t="str">
        <f t="array" ref="U348">_xlfn.IFNA((INDEX('DMR 001C TIN &amp; TP'!$A$3:$M$10005,MATCH(('Reg 85'!$I$6:$Q$6&amp;'Reg 85'!U$10&amp;'Reg 85'!$B348),('DMR 001C TIN &amp; TP'!$E$3:$E$10005&amp;'DMR 001C TIN &amp; TP'!$B$3:$B$10005&amp;'DMR 001C TIN &amp; TP'!$A$3:$A$10005),0),MATCH('Reg 85'!$O$11,'DMR 001C TIN &amp; TP'!$A$2:$M$2,0))),"")</f>
        <v/>
      </c>
      <c r="V348" s="6" t="str">
        <f t="array" ref="V348">_xlfn.IFNA((INDEX('DMR 001C TIN &amp; TP'!$A$3:$M$10005,MATCH(('Reg 85'!$I$6:$Q$6&amp;'Reg 85'!V$10&amp;'Reg 85'!$B348),('DMR 001C TIN &amp; TP'!$E$3:$E$10005&amp;'DMR 001C TIN &amp; TP'!$B$3:$B$10005&amp;'DMR 001C TIN &amp; TP'!$A$3:$A$10005),0),MATCH('Reg 85'!$O$11,'DMR 001C TIN &amp; TP'!$A$2:$M$2,0))),"")</f>
        <v/>
      </c>
      <c r="W348" s="6" t="str">
        <f t="array" ref="W348">_xlfn.IFNA((INDEX('DMR 001C TIN &amp; TP'!$A$3:$M$10005,MATCH(('Reg 85'!$I$6:$Q$6&amp;'Reg 85'!W$10&amp;'Reg 85'!$B348),('DMR 001C TIN &amp; TP'!$E$3:$E$10005&amp;'DMR 001C TIN &amp; TP'!$B$3:$B$10005&amp;'DMR 001C TIN &amp; TP'!$A$3:$A$10005),0),MATCH('Reg 85'!$O$11,'DMR 001C TIN &amp; TP'!$A$2:$M$2,0))),"")</f>
        <v/>
      </c>
      <c r="X348" s="5" t="str">
        <f t="shared" si="134"/>
        <v/>
      </c>
      <c r="Y348" s="6" t="str">
        <f t="array" ref="Y348">_xlfn.IFNA((INDEX('DMR 001C TIN &amp; TP'!$A$3:$M$10005,MATCH(('Reg 85'!$X$6&amp;'Reg 85'!$X$10&amp;'Reg 85'!$B348),('DMR 001C TIN &amp; TP'!$E$3:$E$10005&amp;'DMR 001C TIN &amp; TP'!$B$3:$B$10005&amp;'DMR 001C TIN &amp; TP'!$A$3:$A$10005),0),MATCH('Reg 85'!$Y$11,'DMR 001C TIN &amp; TP'!$A$2:$M$2,0))),"")</f>
        <v/>
      </c>
      <c r="Z348" s="6" t="str">
        <f t="array" ref="Z348">_xlfn.IFNA((INDEX('DMR 001C TIN &amp; TP'!$A$3:$M$10005,MATCH(('Reg 85'!$X$6&amp;'Reg 85'!$X$10&amp;'Reg 85'!$B348),('DMR 001C TIN &amp; TP'!$E$3:$E$10005&amp;'DMR 001C TIN &amp; TP'!$B$3:$B$10005&amp;'DMR 001C TIN &amp; TP'!$A$3:$A$10005),0),MATCH('Reg 85'!$Z$11,'DMR 001C TIN &amp; TP'!$A$2:$M$2,0))),"")</f>
        <v/>
      </c>
      <c r="AA348" s="53" t="str">
        <f t="shared" si="135"/>
        <v/>
      </c>
      <c r="AB348" s="5" t="str">
        <f t="shared" si="136"/>
        <v/>
      </c>
      <c r="AC348" s="6" t="str">
        <f t="array" ref="AC348">_xlfn.IFNA((INDEX('DMR 001C TIN &amp; TP'!$A$3:$M$10005,MATCH(('Reg 85'!$X$6&amp;'Reg 85'!$AB$10&amp;'Reg 85'!$B348),('DMR 001C TIN &amp; TP'!$E$3:$E$10005&amp;'DMR 001C TIN &amp; TP'!$B$3:$B$10005&amp;'DMR 001C TIN &amp; TP'!$A$3:$A$10005),0),MATCH('Reg 85'!$AC$11,'DMR 001C TIN &amp; TP'!$A$2:$M$2,0))),"")</f>
        <v/>
      </c>
      <c r="AD348" s="6" t="str">
        <f t="array" ref="AD348">_xlfn.IFNA((INDEX('DMR 001C TIN &amp; TP'!$A$3:$M$10005,MATCH(('Reg 85'!$X$6&amp;'Reg 85'!$AB$10&amp;'Reg 85'!$B348),('DMR 001C TIN &amp; TP'!$E$3:$E$10005&amp;'DMR 001C TIN &amp; TP'!$B$3:$B$10005&amp;'DMR 001C TIN &amp; TP'!$A$3:$A$10005),0),MATCH('Reg 85'!$AD$11,'DMR 001C TIN &amp; TP'!$A$2:$M$2,0))),"")</f>
        <v/>
      </c>
      <c r="AE348" s="53" t="str">
        <f t="shared" si="137"/>
        <v/>
      </c>
      <c r="AF348" s="7" t="str">
        <f t="shared" si="138"/>
        <v/>
      </c>
      <c r="AG348" s="6" t="str">
        <f t="array" ref="AG348">_xlfn.IFNA((INDEX('DMR 001C TIN &amp; TP'!$A$3:$M$10005,MATCH(('Reg 85'!$X$6&amp;'Reg 85'!AG$10&amp;'Reg 85'!$B348),('DMR 001C TIN &amp; TP'!$E$3:$E$10005&amp;'DMR 001C TIN &amp; TP'!$B$3:$B$10005&amp;'DMR 001C TIN &amp; TP'!$A$3:$A$10005),0),MATCH('Reg 85'!$AG$11,'DMR 001C TIN &amp; TP'!$A$2:$M$2,0))),"")</f>
        <v/>
      </c>
      <c r="AH348" s="6" t="str">
        <f t="array" ref="AH348">_xlfn.IFNA((INDEX('DMR 001C TIN &amp; TP'!$A$3:$M$10005,MATCH(('Reg 85'!$X$6&amp;'Reg 85'!AH$10&amp;'Reg 85'!$B348),('DMR 001C TIN &amp; TP'!$E$3:$E$10005&amp;'DMR 001C TIN &amp; TP'!$B$3:$B$10005&amp;'DMR 001C TIN &amp; TP'!$A$3:$A$10005),0),MATCH('Reg 85'!$AG$11,'DMR 001C TIN &amp; TP'!$A$2:$M$2,0))),"")</f>
        <v/>
      </c>
      <c r="AI348" s="6" t="str">
        <f t="array" ref="AI348">_xlfn.IFNA((INDEX('DMR 001C TIN &amp; TP'!$A$3:$M$10005,MATCH(('Reg 85'!$X$6&amp;'Reg 85'!AI$10&amp;'Reg 85'!$B348),('DMR 001C TIN &amp; TP'!$E$3:$E$10005&amp;'DMR 001C TIN &amp; TP'!$B$3:$B$10005&amp;'DMR 001C TIN &amp; TP'!$A$3:$A$10005),0),MATCH('Reg 85'!$AG$11,'DMR 001C TIN &amp; TP'!$A$2:$M$2,0))),"")</f>
        <v/>
      </c>
      <c r="AJ348" s="6" t="str">
        <f t="array" ref="AJ348">_xlfn.IFNA((INDEX('DMR 001C TIN &amp; TP'!$A$3:$M$10005,MATCH(('Reg 85'!$X$6&amp;'Reg 85'!AJ$10&amp;'Reg 85'!$B348),('DMR 001C TIN &amp; TP'!$E$3:$E$10005&amp;'DMR 001C TIN &amp; TP'!$B$3:$B$10005&amp;'DMR 001C TIN &amp; TP'!$A$3:$A$10005),0),MATCH('Reg 85'!$AG$11,'DMR 001C TIN &amp; TP'!$A$2:$M$2,0))),"")</f>
        <v/>
      </c>
      <c r="AK348" s="6" t="str">
        <f t="array" ref="AK348">_xlfn.IFNA((INDEX('DMR 001C TIN &amp; TP'!$A$3:$M$10005,MATCH(('Reg 85'!$X$6&amp;'Reg 85'!AK$10&amp;'Reg 85'!$B348),('DMR 001C TIN &amp; TP'!$E$3:$E$10005&amp;'DMR 001C TIN &amp; TP'!$B$3:$B$10005&amp;'DMR 001C TIN &amp; TP'!$A$3:$A$10005),0),MATCH('Reg 85'!$AG$11,'DMR 001C TIN &amp; TP'!$A$2:$M$2,0))),"")</f>
        <v/>
      </c>
      <c r="AL348" s="6" t="str">
        <f t="array" ref="AL348">_xlfn.IFNA((INDEX('DMR 001C TIN &amp; TP'!$A$3:$M$10005,MATCH(('Reg 85'!$X$6&amp;'Reg 85'!AL$10&amp;'Reg 85'!$B348),('DMR 001C TIN &amp; TP'!$E$3:$E$10005&amp;'DMR 001C TIN &amp; TP'!$B$3:$B$10005&amp;'DMR 001C TIN &amp; TP'!$A$3:$A$10005),0),MATCH('Reg 85'!$AG$11,'DMR 001C TIN &amp; TP'!$A$2:$M$2,0))),"")</f>
        <v/>
      </c>
      <c r="AM348" s="76"/>
      <c r="AN348" s="6"/>
      <c r="AO348" s="54" t="str">
        <f t="shared" si="125"/>
        <v/>
      </c>
      <c r="AP348" s="77" t="str">
        <f t="shared" si="123"/>
        <v/>
      </c>
      <c r="AQ348" s="47"/>
      <c r="AR348" s="6" t="str">
        <f t="array" ref="AR348">_xlfn.IFNA((INDEX('DMR 001C TIN &amp; TP'!$A$3:$M$10005,MATCH(('Reg 85'!$AQ$6&amp;'Reg 85'!$AQ$10&amp;'Reg 85'!$B348),('DMR 001C TIN &amp; TP'!$E$3:$E$10005&amp;'DMR 001C TIN &amp; TP'!$B$3:$B$10005&amp;'DMR 001C TIN &amp; TP'!$A$3:$A$10005),0),MATCH('Reg 85'!$AR$11,'DMR 001C TIN &amp; TP'!$A$2:$M$2,0))),"")</f>
        <v/>
      </c>
      <c r="AS348" s="6" t="str">
        <f t="array" ref="AS348">_xlfn.IFNA((INDEX('DMR 001C TIN &amp; TP'!$A$3:$M$10005,MATCH(('Reg 85'!$AQ$6&amp;'Reg 85'!$AQ$10&amp;'Reg 85'!$B348),('DMR 001C TIN &amp; TP'!$E$3:$E$10005&amp;'DMR 001C TIN &amp; TP'!$B$3:$B$10005&amp;'DMR 001C TIN &amp; TP'!$A$3:$A$10005),0),MATCH('Reg 85'!$AS$11,'DMR 001C TIN &amp; TP'!$A$2:$M$2,0))),"")</f>
        <v/>
      </c>
      <c r="AT348" s="53" t="str">
        <f t="shared" si="139"/>
        <v/>
      </c>
      <c r="AV348" s="6" t="str">
        <f t="array" ref="AV348">_xlfn.IFNA((INDEX('DMR 001C TIN &amp; TP'!$A$3:$M$10005,MATCH(('Reg 85'!$AQ$6&amp;'Reg 85'!$AU$10&amp;'Reg 85'!$B348),('DMR 001C TIN &amp; TP'!$E$3:$E$10005&amp;'DMR 001C TIN &amp; TP'!$B$3:$B$10005&amp;'DMR 001C TIN &amp; TP'!$A$3:$A$10005),0),MATCH('Reg 85'!$AV$11,'DMR 001C TIN &amp; TP'!$A$2:$M$2,0))),"")</f>
        <v/>
      </c>
      <c r="AW348" s="6" t="str">
        <f t="array" ref="AW348">_xlfn.IFNA((INDEX('DMR 001C TIN &amp; TP'!$A$3:$M$10005,MATCH(('Reg 85'!$AQ$6&amp;'Reg 85'!$AU$10&amp;'Reg 85'!$B348),('DMR 001C TIN &amp; TP'!$E$3:$E$10005&amp;'DMR 001C TIN &amp; TP'!$B$3:$B$10005&amp;'DMR 001C TIN &amp; TP'!$A$3:$A$10005),0),MATCH('Reg 85'!$AW$11,'DMR 001C TIN &amp; TP'!$A$2:$M$2,0))),"")</f>
        <v/>
      </c>
      <c r="AX348" s="53" t="str">
        <f t="shared" si="140"/>
        <v/>
      </c>
      <c r="AY348" s="55" t="str">
        <f t="shared" si="141"/>
        <v/>
      </c>
      <c r="AZ348" s="77" t="str">
        <f t="shared" si="124"/>
        <v/>
      </c>
      <c r="BA348" s="6" t="str">
        <f t="array" ref="BA348">_xlfn.IFNA((INDEX('DMR 001C TIN &amp; TP'!$A$3:$M$10005,MATCH(('Reg 85'!$AQ$6&amp;'Reg 85'!BA$10&amp;'Reg 85'!$B348),('DMR 001C TIN &amp; TP'!$E$3:$E$10005&amp;'DMR 001C TIN &amp; TP'!$B$3:$B$10005&amp;'DMR 001C TIN &amp; TP'!$A$3:$A$10005),0),MATCH('Reg 85'!$AG$11,'DMR 001C TIN &amp; TP'!$A$2:$M$2,0))),"")</f>
        <v/>
      </c>
      <c r="BB348" s="6" t="str">
        <f t="array" ref="BB348">_xlfn.IFNA((INDEX('DMR 001C TIN &amp; TP'!$A$3:$M$10005,MATCH(('Reg 85'!$AQ$6&amp;'Reg 85'!BB$10&amp;'Reg 85'!$B348),('DMR 001C TIN &amp; TP'!$E$3:$E$10005&amp;'DMR 001C TIN &amp; TP'!$B$3:$B$10005&amp;'DMR 001C TIN &amp; TP'!$A$3:$A$10005),0),MATCH('Reg 85'!$AG$11,'DMR 001C TIN &amp; TP'!$A$2:$M$2,0))),"")</f>
        <v/>
      </c>
      <c r="BC348" s="6" t="str">
        <f t="array" ref="BC348">_xlfn.IFNA((INDEX('DMR 001C TIN &amp; TP'!$A$3:$M$10005,MATCH(('Reg 85'!$AQ$6&amp;'Reg 85'!BC$10&amp;'Reg 85'!$B348),('DMR 001C TIN &amp; TP'!$E$3:$E$10005&amp;'DMR 001C TIN &amp; TP'!$B$3:$B$10005&amp;'DMR 001C TIN &amp; TP'!$A$3:$A$10005),0),MATCH('Reg 85'!$AG$11,'DMR 001C TIN &amp; TP'!$A$2:$M$2,0))),"")</f>
        <v/>
      </c>
      <c r="BD348" s="6" t="str">
        <f t="array" ref="BD348">_xlfn.IFNA((INDEX('DMR 001C TIN &amp; TP'!$A$3:$M$10005,MATCH(('Reg 85'!$AQ$6&amp;'Reg 85'!BD$10&amp;'Reg 85'!$B348),('DMR 001C TIN &amp; TP'!$E$3:$E$10005&amp;'DMR 001C TIN &amp; TP'!$B$3:$B$10005&amp;'DMR 001C TIN &amp; TP'!$A$3:$A$10005),0),MATCH('Reg 85'!$AG$11,'DMR 001C TIN &amp; TP'!$A$2:$M$2,0))),"")</f>
        <v/>
      </c>
      <c r="BE348" s="6" t="str">
        <f t="array" ref="BE348">_xlfn.IFNA((INDEX('DMR 001C TIN &amp; TP'!$A$3:$M$10005,MATCH(('Reg 85'!$AQ$6&amp;'Reg 85'!BE$10&amp;'Reg 85'!$B348),('DMR 001C TIN &amp; TP'!$E$3:$E$10005&amp;'DMR 001C TIN &amp; TP'!$B$3:$B$10005&amp;'DMR 001C TIN &amp; TP'!$A$3:$A$10005),0),MATCH('Reg 85'!$AG$11,'DMR 001C TIN &amp; TP'!$A$2:$M$2,0))),"")</f>
        <v/>
      </c>
      <c r="BF348" s="6" t="str">
        <f t="array" ref="BF348">_xlfn.IFNA((INDEX('DMR 001C TIN &amp; TP'!$A$3:$M$10005,MATCH(('Reg 85'!$AQ$6&amp;'Reg 85'!BF$10&amp;'Reg 85'!$B348),('DMR 001C TIN &amp; TP'!$E$3:$E$10005&amp;'DMR 001C TIN &amp; TP'!$B$3:$B$10005&amp;'DMR 001C TIN &amp; TP'!$A$3:$A$10005),0),MATCH('Reg 85'!$AG$11,'DMR 001C TIN &amp; TP'!$A$2:$M$2,0))),"")</f>
        <v/>
      </c>
    </row>
    <row r="349" spans="1:58">
      <c r="A349" s="3" t="str">
        <f t="shared" si="126"/>
        <v>Sun</v>
      </c>
      <c r="B349" s="96">
        <f t="shared" si="142"/>
        <v>43681</v>
      </c>
      <c r="C349" s="96">
        <f t="shared" si="127"/>
        <v>43708</v>
      </c>
      <c r="D349" s="96">
        <f t="shared" si="128"/>
        <v>43678</v>
      </c>
      <c r="E349" s="95">
        <f t="shared" si="129"/>
        <v>31</v>
      </c>
      <c r="F349" s="7">
        <f t="array" ref="F349">_xlfn.IFNA(INDEX('DMR Flows-Effluent'!$A$3:$F$9999,MATCH(($F$10&amp;$B349),('DMR Flows-Effluent'!$B$3:$B$9999&amp;'DMR Flows-Effluent'!$A$3:$A$9999),0),MATCH($F$8,'DMR Flows-Effluent'!$A$2:$F$2,0)),"")</f>
        <v>54.512</v>
      </c>
      <c r="G349" s="7">
        <f t="array" ref="G349">_xlfn.IFNA(INDEX('DMR Flows-Effluent'!$A$3:$F$9999,MATCH(($G$10&amp;$B349),('DMR Flows-Effluent'!$B$3:$B$9999&amp;'DMR Flows-Effluent'!$A$3:$A$9999),0),MATCH($F$8,'DMR Flows-Effluent'!$A$2:$F$2,0)),"")</f>
        <v>72.327100000000002</v>
      </c>
      <c r="H349" s="7">
        <f t="shared" si="130"/>
        <v>126.8391</v>
      </c>
      <c r="I349" s="45" t="str">
        <f t="shared" si="131"/>
        <v/>
      </c>
      <c r="J349" s="6" t="str">
        <f t="array" ref="J349">_xlfn.IFNA((INDEX('DMR 001C TIN &amp; TP'!$A$3:$M$10005,MATCH(('Reg 85'!$I$6:$Q$6&amp;'Reg 85'!$I$10:$K$10&amp;'Reg 85'!$B349),('DMR 001C TIN &amp; TP'!$E$3:$E$10005&amp;'DMR 001C TIN &amp; TP'!$B$3:$B$10005&amp;'DMR 001C TIN &amp; TP'!$A$3:$A$10005),0),MATCH('Reg 85'!$J$11,'DMR 001C TIN &amp; TP'!$A$2:$M$2,0))),"")</f>
        <v>0.15</v>
      </c>
      <c r="K349" s="6">
        <f t="array" ref="K349">_xlfn.IFNA((INDEX('DMR 001C TIN &amp; TP'!$A$3:$M$10005,MATCH(('Reg 85'!$I$6:$Q$6&amp;'Reg 85'!$I$10:$K$10&amp;'Reg 85'!$B349),('DMR 001C TIN &amp; TP'!$E$3:$E$10005&amp;'DMR 001C TIN &amp; TP'!$B$3:$B$10005&amp;'DMR 001C TIN &amp; TP'!$A$3:$A$10005),0),MATCH('Reg 85'!$K$11,'DMR 001C TIN &amp; TP'!$A$2:$M$2,0))),"")</f>
        <v>0.38</v>
      </c>
      <c r="L349" s="53">
        <f t="shared" si="143"/>
        <v>0.38</v>
      </c>
      <c r="M349" s="5" t="str">
        <f t="shared" si="132"/>
        <v/>
      </c>
      <c r="N349" s="6" t="str">
        <f t="array" ref="N349">_xlfn.IFNA((INDEX('DMR 001C TIN &amp; TP'!$A$3:$M$10005,MATCH(('Reg 85'!$I$6:$Q$6&amp;'Reg 85'!$M$10&amp;'Reg 85'!$B349),('DMR 001C TIN &amp; TP'!$E$3:$E$10005&amp;'DMR 001C TIN &amp; TP'!$B$3:$B$10005&amp;'DMR 001C TIN &amp; TP'!$A$3:$A$10005),0),MATCH('Reg 85'!$N$11,'DMR 001C TIN &amp; TP'!$A$2:$M$2,0))),"")</f>
        <v>0.15</v>
      </c>
      <c r="O349" s="6">
        <f t="array" ref="O349">_xlfn.IFNA((INDEX('DMR 001C TIN &amp; TP'!$A$3:$M$10005,MATCH(('Reg 85'!$I$6:$Q$6&amp;'Reg 85'!$M$10&amp;'Reg 85'!$B349),('DMR 001C TIN &amp; TP'!$E$3:$E$10005&amp;'DMR 001C TIN &amp; TP'!$B$3:$B$10005&amp;'DMR 001C TIN &amp; TP'!$A$3:$A$10005),0),MATCH('Reg 85'!$O$11,'DMR 001C TIN &amp; TP'!$A$2:$M$2,0))),"")</f>
        <v>0.6</v>
      </c>
      <c r="P349" s="53">
        <f t="shared" si="133"/>
        <v>0.6</v>
      </c>
      <c r="Q349" s="73">
        <f t="array" ref="Q349">IFERROR(((L349*$F349)+(P349*$G349))/($H349),"")</f>
        <v>0.50544997559900684</v>
      </c>
      <c r="R349" s="6" t="str">
        <f t="array" ref="R349">_xlfn.IFNA((INDEX('DMR 001C TIN &amp; TP'!$A$3:$M$10005,MATCH(('Reg 85'!$I$6:$Q$6&amp;'Reg 85'!R$10&amp;'Reg 85'!$B349),('DMR 001C TIN &amp; TP'!$E$3:$E$10005&amp;'DMR 001C TIN &amp; TP'!$B$3:$B$10005&amp;'DMR 001C TIN &amp; TP'!$A$3:$A$10005),0),MATCH('Reg 85'!$O$11,'DMR 001C TIN &amp; TP'!$A$2:$M$2,0))),"")</f>
        <v/>
      </c>
      <c r="S349" s="6" t="str">
        <f t="array" ref="S349">_xlfn.IFNA((INDEX('DMR 001C TIN &amp; TP'!$A$3:$M$10005,MATCH(('Reg 85'!$I$6:$Q$6&amp;'Reg 85'!S$10&amp;'Reg 85'!$B349),('DMR 001C TIN &amp; TP'!$E$3:$E$10005&amp;'DMR 001C TIN &amp; TP'!$B$3:$B$10005&amp;'DMR 001C TIN &amp; TP'!$A$3:$A$10005),0),MATCH('Reg 85'!$O$11,'DMR 001C TIN &amp; TP'!$A$2:$M$2,0))),"")</f>
        <v/>
      </c>
      <c r="T349" s="6" t="str">
        <f t="array" ref="T349">_xlfn.IFNA((INDEX('DMR 001C TIN &amp; TP'!$A$3:$M$10005,MATCH(('Reg 85'!$I$6:$Q$6&amp;'Reg 85'!T$10&amp;'Reg 85'!$B349),('DMR 001C TIN &amp; TP'!$E$3:$E$10005&amp;'DMR 001C TIN &amp; TP'!$B$3:$B$10005&amp;'DMR 001C TIN &amp; TP'!$A$3:$A$10005),0),MATCH('Reg 85'!$O$11,'DMR 001C TIN &amp; TP'!$A$2:$M$2,0))),"")</f>
        <v/>
      </c>
      <c r="U349" s="6" t="str">
        <f t="array" ref="U349">_xlfn.IFNA((INDEX('DMR 001C TIN &amp; TP'!$A$3:$M$10005,MATCH(('Reg 85'!$I$6:$Q$6&amp;'Reg 85'!U$10&amp;'Reg 85'!$B349),('DMR 001C TIN &amp; TP'!$E$3:$E$10005&amp;'DMR 001C TIN &amp; TP'!$B$3:$B$10005&amp;'DMR 001C TIN &amp; TP'!$A$3:$A$10005),0),MATCH('Reg 85'!$O$11,'DMR 001C TIN &amp; TP'!$A$2:$M$2,0))),"")</f>
        <v/>
      </c>
      <c r="V349" s="6" t="str">
        <f t="array" ref="V349">_xlfn.IFNA((INDEX('DMR 001C TIN &amp; TP'!$A$3:$M$10005,MATCH(('Reg 85'!$I$6:$Q$6&amp;'Reg 85'!V$10&amp;'Reg 85'!$B349),('DMR 001C TIN &amp; TP'!$E$3:$E$10005&amp;'DMR 001C TIN &amp; TP'!$B$3:$B$10005&amp;'DMR 001C TIN &amp; TP'!$A$3:$A$10005),0),MATCH('Reg 85'!$O$11,'DMR 001C TIN &amp; TP'!$A$2:$M$2,0))),"")</f>
        <v/>
      </c>
      <c r="W349" s="6" t="str">
        <f t="array" ref="W349">_xlfn.IFNA((INDEX('DMR 001C TIN &amp; TP'!$A$3:$M$10005,MATCH(('Reg 85'!$I$6:$Q$6&amp;'Reg 85'!W$10&amp;'Reg 85'!$B349),('DMR 001C TIN &amp; TP'!$E$3:$E$10005&amp;'DMR 001C TIN &amp; TP'!$B$3:$B$10005&amp;'DMR 001C TIN &amp; TP'!$A$3:$A$10005),0),MATCH('Reg 85'!$O$11,'DMR 001C TIN &amp; TP'!$A$2:$M$2,0))),"")</f>
        <v/>
      </c>
      <c r="X349" s="5" t="str">
        <f t="shared" si="134"/>
        <v/>
      </c>
      <c r="Y349" s="6" t="str">
        <f t="array" ref="Y349">_xlfn.IFNA((INDEX('DMR 001C TIN &amp; TP'!$A$3:$M$10005,MATCH(('Reg 85'!$X$6&amp;'Reg 85'!$X$10&amp;'Reg 85'!$B349),('DMR 001C TIN &amp; TP'!$E$3:$E$10005&amp;'DMR 001C TIN &amp; TP'!$B$3:$B$10005&amp;'DMR 001C TIN &amp; TP'!$A$3:$A$10005),0),MATCH('Reg 85'!$Y$11,'DMR 001C TIN &amp; TP'!$A$2:$M$2,0))),"")</f>
        <v>0.06</v>
      </c>
      <c r="Z349" s="6">
        <f t="array" ref="Z349">_xlfn.IFNA((INDEX('DMR 001C TIN &amp; TP'!$A$3:$M$10005,MATCH(('Reg 85'!$X$6&amp;'Reg 85'!$X$10&amp;'Reg 85'!$B349),('DMR 001C TIN &amp; TP'!$E$3:$E$10005&amp;'DMR 001C TIN &amp; TP'!$B$3:$B$10005&amp;'DMR 001C TIN &amp; TP'!$A$3:$A$10005),0),MATCH('Reg 85'!$Z$11,'DMR 001C TIN &amp; TP'!$A$2:$M$2,0))),"")</f>
        <v>5.37</v>
      </c>
      <c r="AA349" s="53">
        <f t="shared" si="135"/>
        <v>5.37</v>
      </c>
      <c r="AB349" s="5" t="str">
        <f t="shared" si="136"/>
        <v/>
      </c>
      <c r="AC349" s="6" t="str">
        <f t="array" ref="AC349">_xlfn.IFNA((INDEX('DMR 001C TIN &amp; TP'!$A$3:$M$10005,MATCH(('Reg 85'!$X$6&amp;'Reg 85'!$AB$10&amp;'Reg 85'!$B349),('DMR 001C TIN &amp; TP'!$E$3:$E$10005&amp;'DMR 001C TIN &amp; TP'!$B$3:$B$10005&amp;'DMR 001C TIN &amp; TP'!$A$3:$A$10005),0),MATCH('Reg 85'!$AC$11,'DMR 001C TIN &amp; TP'!$A$2:$M$2,0))),"")</f>
        <v>0.06</v>
      </c>
      <c r="AD349" s="6">
        <f t="array" ref="AD349">_xlfn.IFNA((INDEX('DMR 001C TIN &amp; TP'!$A$3:$M$10005,MATCH(('Reg 85'!$X$6&amp;'Reg 85'!$AB$10&amp;'Reg 85'!$B349),('DMR 001C TIN &amp; TP'!$E$3:$E$10005&amp;'DMR 001C TIN &amp; TP'!$B$3:$B$10005&amp;'DMR 001C TIN &amp; TP'!$A$3:$A$10005),0),MATCH('Reg 85'!$AD$11,'DMR 001C TIN &amp; TP'!$A$2:$M$2,0))),"")</f>
        <v>5.47</v>
      </c>
      <c r="AE349" s="53">
        <f t="shared" si="137"/>
        <v>5.47</v>
      </c>
      <c r="AF349" s="7">
        <f t="shared" si="138"/>
        <v>5.4270227161813667</v>
      </c>
      <c r="AG349" s="6" t="str">
        <f t="array" ref="AG349">_xlfn.IFNA((INDEX('DMR 001C TIN &amp; TP'!$A$3:$M$10005,MATCH(('Reg 85'!$X$6&amp;'Reg 85'!AG$10&amp;'Reg 85'!$B349),('DMR 001C TIN &amp; TP'!$E$3:$E$10005&amp;'DMR 001C TIN &amp; TP'!$B$3:$B$10005&amp;'DMR 001C TIN &amp; TP'!$A$3:$A$10005),0),MATCH('Reg 85'!$AG$11,'DMR 001C TIN &amp; TP'!$A$2:$M$2,0))),"")</f>
        <v/>
      </c>
      <c r="AH349" s="6" t="str">
        <f t="array" ref="AH349">_xlfn.IFNA((INDEX('DMR 001C TIN &amp; TP'!$A$3:$M$10005,MATCH(('Reg 85'!$X$6&amp;'Reg 85'!AH$10&amp;'Reg 85'!$B349),('DMR 001C TIN &amp; TP'!$E$3:$E$10005&amp;'DMR 001C TIN &amp; TP'!$B$3:$B$10005&amp;'DMR 001C TIN &amp; TP'!$A$3:$A$10005),0),MATCH('Reg 85'!$AG$11,'DMR 001C TIN &amp; TP'!$A$2:$M$2,0))),"")</f>
        <v/>
      </c>
      <c r="AI349" s="6" t="str">
        <f t="array" ref="AI349">_xlfn.IFNA((INDEX('DMR 001C TIN &amp; TP'!$A$3:$M$10005,MATCH(('Reg 85'!$X$6&amp;'Reg 85'!AI$10&amp;'Reg 85'!$B349),('DMR 001C TIN &amp; TP'!$E$3:$E$10005&amp;'DMR 001C TIN &amp; TP'!$B$3:$B$10005&amp;'DMR 001C TIN &amp; TP'!$A$3:$A$10005),0),MATCH('Reg 85'!$AG$11,'DMR 001C TIN &amp; TP'!$A$2:$M$2,0))),"")</f>
        <v/>
      </c>
      <c r="AJ349" s="6" t="str">
        <f t="array" ref="AJ349">_xlfn.IFNA((INDEX('DMR 001C TIN &amp; TP'!$A$3:$M$10005,MATCH(('Reg 85'!$X$6&amp;'Reg 85'!AJ$10&amp;'Reg 85'!$B349),('DMR 001C TIN &amp; TP'!$E$3:$E$10005&amp;'DMR 001C TIN &amp; TP'!$B$3:$B$10005&amp;'DMR 001C TIN &amp; TP'!$A$3:$A$10005),0),MATCH('Reg 85'!$AG$11,'DMR 001C TIN &amp; TP'!$A$2:$M$2,0))),"")</f>
        <v/>
      </c>
      <c r="AK349" s="6" t="str">
        <f t="array" ref="AK349">_xlfn.IFNA((INDEX('DMR 001C TIN &amp; TP'!$A$3:$M$10005,MATCH(('Reg 85'!$X$6&amp;'Reg 85'!AK$10&amp;'Reg 85'!$B349),('DMR 001C TIN &amp; TP'!$E$3:$E$10005&amp;'DMR 001C TIN &amp; TP'!$B$3:$B$10005&amp;'DMR 001C TIN &amp; TP'!$A$3:$A$10005),0),MATCH('Reg 85'!$AG$11,'DMR 001C TIN &amp; TP'!$A$2:$M$2,0))),"")</f>
        <v/>
      </c>
      <c r="AL349" s="6" t="str">
        <f t="array" ref="AL349">_xlfn.IFNA((INDEX('DMR 001C TIN &amp; TP'!$A$3:$M$10005,MATCH(('Reg 85'!$X$6&amp;'Reg 85'!AL$10&amp;'Reg 85'!$B349),('DMR 001C TIN &amp; TP'!$E$3:$E$10005&amp;'DMR 001C TIN &amp; TP'!$B$3:$B$10005&amp;'DMR 001C TIN &amp; TP'!$A$3:$A$10005),0),MATCH('Reg 85'!$AG$11,'DMR 001C TIN &amp; TP'!$A$2:$M$2,0))),"")</f>
        <v/>
      </c>
      <c r="AM349" s="76"/>
      <c r="AN349" s="6"/>
      <c r="AO349" s="54">
        <f t="shared" si="125"/>
        <v>5.9324726917803732</v>
      </c>
      <c r="AP349" s="77" t="str">
        <f t="shared" si="123"/>
        <v/>
      </c>
      <c r="AQ349" s="47"/>
      <c r="AR349" s="6" t="str">
        <f t="array" ref="AR349">_xlfn.IFNA((INDEX('DMR 001C TIN &amp; TP'!$A$3:$M$10005,MATCH(('Reg 85'!$AQ$6&amp;'Reg 85'!$AQ$10&amp;'Reg 85'!$B349),('DMR 001C TIN &amp; TP'!$E$3:$E$10005&amp;'DMR 001C TIN &amp; TP'!$B$3:$B$10005&amp;'DMR 001C TIN &amp; TP'!$A$3:$A$10005),0),MATCH('Reg 85'!$AR$11,'DMR 001C TIN &amp; TP'!$A$2:$M$2,0))),"")</f>
        <v/>
      </c>
      <c r="AS349" s="6" t="str">
        <f t="array" ref="AS349">_xlfn.IFNA((INDEX('DMR 001C TIN &amp; TP'!$A$3:$M$10005,MATCH(('Reg 85'!$AQ$6&amp;'Reg 85'!$AQ$10&amp;'Reg 85'!$B349),('DMR 001C TIN &amp; TP'!$E$3:$E$10005&amp;'DMR 001C TIN &amp; TP'!$B$3:$B$10005&amp;'DMR 001C TIN &amp; TP'!$A$3:$A$10005),0),MATCH('Reg 85'!$AS$11,'DMR 001C TIN &amp; TP'!$A$2:$M$2,0))),"")</f>
        <v/>
      </c>
      <c r="AT349" s="53" t="str">
        <f t="shared" si="139"/>
        <v/>
      </c>
      <c r="AV349" s="6" t="str">
        <f t="array" ref="AV349">_xlfn.IFNA((INDEX('DMR 001C TIN &amp; TP'!$A$3:$M$10005,MATCH(('Reg 85'!$AQ$6&amp;'Reg 85'!$AU$10&amp;'Reg 85'!$B349),('DMR 001C TIN &amp; TP'!$E$3:$E$10005&amp;'DMR 001C TIN &amp; TP'!$B$3:$B$10005&amp;'DMR 001C TIN &amp; TP'!$A$3:$A$10005),0),MATCH('Reg 85'!$AV$11,'DMR 001C TIN &amp; TP'!$A$2:$M$2,0))),"")</f>
        <v/>
      </c>
      <c r="AW349" s="6" t="str">
        <f t="array" ref="AW349">_xlfn.IFNA((INDEX('DMR 001C TIN &amp; TP'!$A$3:$M$10005,MATCH(('Reg 85'!$AQ$6&amp;'Reg 85'!$AU$10&amp;'Reg 85'!$B349),('DMR 001C TIN &amp; TP'!$E$3:$E$10005&amp;'DMR 001C TIN &amp; TP'!$B$3:$B$10005&amp;'DMR 001C TIN &amp; TP'!$A$3:$A$10005),0),MATCH('Reg 85'!$AW$11,'DMR 001C TIN &amp; TP'!$A$2:$M$2,0))),"")</f>
        <v/>
      </c>
      <c r="AX349" s="53" t="str">
        <f t="shared" si="140"/>
        <v/>
      </c>
      <c r="AY349" s="55" t="str">
        <f t="shared" si="141"/>
        <v/>
      </c>
      <c r="AZ349" s="77" t="str">
        <f t="shared" si="124"/>
        <v/>
      </c>
      <c r="BA349" s="6" t="str">
        <f t="array" ref="BA349">_xlfn.IFNA((INDEX('DMR 001C TIN &amp; TP'!$A$3:$M$10005,MATCH(('Reg 85'!$AQ$6&amp;'Reg 85'!BA$10&amp;'Reg 85'!$B349),('DMR 001C TIN &amp; TP'!$E$3:$E$10005&amp;'DMR 001C TIN &amp; TP'!$B$3:$B$10005&amp;'DMR 001C TIN &amp; TP'!$A$3:$A$10005),0),MATCH('Reg 85'!$AG$11,'DMR 001C TIN &amp; TP'!$A$2:$M$2,0))),"")</f>
        <v/>
      </c>
      <c r="BB349" s="6" t="str">
        <f t="array" ref="BB349">_xlfn.IFNA((INDEX('DMR 001C TIN &amp; TP'!$A$3:$M$10005,MATCH(('Reg 85'!$AQ$6&amp;'Reg 85'!BB$10&amp;'Reg 85'!$B349),('DMR 001C TIN &amp; TP'!$E$3:$E$10005&amp;'DMR 001C TIN &amp; TP'!$B$3:$B$10005&amp;'DMR 001C TIN &amp; TP'!$A$3:$A$10005),0),MATCH('Reg 85'!$AG$11,'DMR 001C TIN &amp; TP'!$A$2:$M$2,0))),"")</f>
        <v/>
      </c>
      <c r="BC349" s="6" t="str">
        <f t="array" ref="BC349">_xlfn.IFNA((INDEX('DMR 001C TIN &amp; TP'!$A$3:$M$10005,MATCH(('Reg 85'!$AQ$6&amp;'Reg 85'!BC$10&amp;'Reg 85'!$B349),('DMR 001C TIN &amp; TP'!$E$3:$E$10005&amp;'DMR 001C TIN &amp; TP'!$B$3:$B$10005&amp;'DMR 001C TIN &amp; TP'!$A$3:$A$10005),0),MATCH('Reg 85'!$AG$11,'DMR 001C TIN &amp; TP'!$A$2:$M$2,0))),"")</f>
        <v/>
      </c>
      <c r="BD349" s="6" t="str">
        <f t="array" ref="BD349">_xlfn.IFNA((INDEX('DMR 001C TIN &amp; TP'!$A$3:$M$10005,MATCH(('Reg 85'!$AQ$6&amp;'Reg 85'!BD$10&amp;'Reg 85'!$B349),('DMR 001C TIN &amp; TP'!$E$3:$E$10005&amp;'DMR 001C TIN &amp; TP'!$B$3:$B$10005&amp;'DMR 001C TIN &amp; TP'!$A$3:$A$10005),0),MATCH('Reg 85'!$AG$11,'DMR 001C TIN &amp; TP'!$A$2:$M$2,0))),"")</f>
        <v/>
      </c>
      <c r="BE349" s="6" t="str">
        <f t="array" ref="BE349">_xlfn.IFNA((INDEX('DMR 001C TIN &amp; TP'!$A$3:$M$10005,MATCH(('Reg 85'!$AQ$6&amp;'Reg 85'!BE$10&amp;'Reg 85'!$B349),('DMR 001C TIN &amp; TP'!$E$3:$E$10005&amp;'DMR 001C TIN &amp; TP'!$B$3:$B$10005&amp;'DMR 001C TIN &amp; TP'!$A$3:$A$10005),0),MATCH('Reg 85'!$AG$11,'DMR 001C TIN &amp; TP'!$A$2:$M$2,0))),"")</f>
        <v/>
      </c>
      <c r="BF349" s="6" t="str">
        <f t="array" ref="BF349">_xlfn.IFNA((INDEX('DMR 001C TIN &amp; TP'!$A$3:$M$10005,MATCH(('Reg 85'!$AQ$6&amp;'Reg 85'!BF$10&amp;'Reg 85'!$B349),('DMR 001C TIN &amp; TP'!$E$3:$E$10005&amp;'DMR 001C TIN &amp; TP'!$B$3:$B$10005&amp;'DMR 001C TIN &amp; TP'!$A$3:$A$10005),0),MATCH('Reg 85'!$AG$11,'DMR 001C TIN &amp; TP'!$A$2:$M$2,0))),"")</f>
        <v/>
      </c>
    </row>
    <row r="350" spans="1:58">
      <c r="A350" s="3" t="str">
        <f t="shared" si="126"/>
        <v>Mon</v>
      </c>
      <c r="B350" s="96">
        <f t="shared" si="142"/>
        <v>43682</v>
      </c>
      <c r="C350" s="96">
        <f t="shared" si="127"/>
        <v>43708</v>
      </c>
      <c r="D350" s="96">
        <f t="shared" si="128"/>
        <v>43678</v>
      </c>
      <c r="E350" s="95">
        <f t="shared" si="129"/>
        <v>31</v>
      </c>
      <c r="F350" s="7">
        <f t="array" ref="F350">_xlfn.IFNA(INDEX('DMR Flows-Effluent'!$A$3:$F$9999,MATCH(($F$10&amp;$B350),('DMR Flows-Effluent'!$B$3:$B$9999&amp;'DMR Flows-Effluent'!$A$3:$A$9999),0),MATCH($F$8,'DMR Flows-Effluent'!$A$2:$F$2,0)),"")</f>
        <v>52.2712</v>
      </c>
      <c r="G350" s="7">
        <f t="array" ref="G350">_xlfn.IFNA(INDEX('DMR Flows-Effluent'!$A$3:$F$9999,MATCH(($G$10&amp;$B350),('DMR Flows-Effluent'!$B$3:$B$9999&amp;'DMR Flows-Effluent'!$A$3:$A$9999),0),MATCH($F$8,'DMR Flows-Effluent'!$A$2:$F$2,0)),"")</f>
        <v>72.749200000000002</v>
      </c>
      <c r="H350" s="7">
        <f t="shared" si="130"/>
        <v>125.0204</v>
      </c>
      <c r="I350" s="45" t="str">
        <f t="shared" si="131"/>
        <v/>
      </c>
      <c r="J350" s="6" t="str">
        <f t="array" ref="J350">_xlfn.IFNA((INDEX('DMR 001C TIN &amp; TP'!$A$3:$M$10005,MATCH(('Reg 85'!$I$6:$Q$6&amp;'Reg 85'!$I$10:$K$10&amp;'Reg 85'!$B350),('DMR 001C TIN &amp; TP'!$E$3:$E$10005&amp;'DMR 001C TIN &amp; TP'!$B$3:$B$10005&amp;'DMR 001C TIN &amp; TP'!$A$3:$A$10005),0),MATCH('Reg 85'!$J$11,'DMR 001C TIN &amp; TP'!$A$2:$M$2,0))),"")</f>
        <v>0.15</v>
      </c>
      <c r="K350" s="6">
        <f t="array" ref="K350">_xlfn.IFNA((INDEX('DMR 001C TIN &amp; TP'!$A$3:$M$10005,MATCH(('Reg 85'!$I$6:$Q$6&amp;'Reg 85'!$I$10:$K$10&amp;'Reg 85'!$B350),('DMR 001C TIN &amp; TP'!$E$3:$E$10005&amp;'DMR 001C TIN &amp; TP'!$B$3:$B$10005&amp;'DMR 001C TIN &amp; TP'!$A$3:$A$10005),0),MATCH('Reg 85'!$K$11,'DMR 001C TIN &amp; TP'!$A$2:$M$2,0))),"")</f>
        <v>0.19</v>
      </c>
      <c r="L350" s="53">
        <f t="shared" si="143"/>
        <v>0.19</v>
      </c>
      <c r="M350" s="5" t="str">
        <f t="shared" si="132"/>
        <v/>
      </c>
      <c r="N350" s="6" t="str">
        <f t="array" ref="N350">_xlfn.IFNA((INDEX('DMR 001C TIN &amp; TP'!$A$3:$M$10005,MATCH(('Reg 85'!$I$6:$Q$6&amp;'Reg 85'!$M$10&amp;'Reg 85'!$B350),('DMR 001C TIN &amp; TP'!$E$3:$E$10005&amp;'DMR 001C TIN &amp; TP'!$B$3:$B$10005&amp;'DMR 001C TIN &amp; TP'!$A$3:$A$10005),0),MATCH('Reg 85'!$N$11,'DMR 001C TIN &amp; TP'!$A$2:$M$2,0))),"")</f>
        <v>0.15</v>
      </c>
      <c r="O350" s="6">
        <f t="array" ref="O350">_xlfn.IFNA((INDEX('DMR 001C TIN &amp; TP'!$A$3:$M$10005,MATCH(('Reg 85'!$I$6:$Q$6&amp;'Reg 85'!$M$10&amp;'Reg 85'!$B350),('DMR 001C TIN &amp; TP'!$E$3:$E$10005&amp;'DMR 001C TIN &amp; TP'!$B$3:$B$10005&amp;'DMR 001C TIN &amp; TP'!$A$3:$A$10005),0),MATCH('Reg 85'!$O$11,'DMR 001C TIN &amp; TP'!$A$2:$M$2,0))),"")</f>
        <v>0.83</v>
      </c>
      <c r="P350" s="53">
        <f t="shared" si="133"/>
        <v>0.83</v>
      </c>
      <c r="Q350" s="73">
        <f t="array" ref="Q350">IFERROR(((L350*$F350)+(P350*$G350))/($H350),"")</f>
        <v>0.56241512585146114</v>
      </c>
      <c r="R350" s="6" t="str">
        <f t="array" ref="R350">_xlfn.IFNA((INDEX('DMR 001C TIN &amp; TP'!$A$3:$M$10005,MATCH(('Reg 85'!$I$6:$Q$6&amp;'Reg 85'!R$10&amp;'Reg 85'!$B350),('DMR 001C TIN &amp; TP'!$E$3:$E$10005&amp;'DMR 001C TIN &amp; TP'!$B$3:$B$10005&amp;'DMR 001C TIN &amp; TP'!$A$3:$A$10005),0),MATCH('Reg 85'!$O$11,'DMR 001C TIN &amp; TP'!$A$2:$M$2,0))),"")</f>
        <v/>
      </c>
      <c r="S350" s="6" t="str">
        <f t="array" ref="S350">_xlfn.IFNA((INDEX('DMR 001C TIN &amp; TP'!$A$3:$M$10005,MATCH(('Reg 85'!$I$6:$Q$6&amp;'Reg 85'!S$10&amp;'Reg 85'!$B350),('DMR 001C TIN &amp; TP'!$E$3:$E$10005&amp;'DMR 001C TIN &amp; TP'!$B$3:$B$10005&amp;'DMR 001C TIN &amp; TP'!$A$3:$A$10005),0),MATCH('Reg 85'!$O$11,'DMR 001C TIN &amp; TP'!$A$2:$M$2,0))),"")</f>
        <v/>
      </c>
      <c r="T350" s="6" t="str">
        <f t="array" ref="T350">_xlfn.IFNA((INDEX('DMR 001C TIN &amp; TP'!$A$3:$M$10005,MATCH(('Reg 85'!$I$6:$Q$6&amp;'Reg 85'!T$10&amp;'Reg 85'!$B350),('DMR 001C TIN &amp; TP'!$E$3:$E$10005&amp;'DMR 001C TIN &amp; TP'!$B$3:$B$10005&amp;'DMR 001C TIN &amp; TP'!$A$3:$A$10005),0),MATCH('Reg 85'!$O$11,'DMR 001C TIN &amp; TP'!$A$2:$M$2,0))),"")</f>
        <v/>
      </c>
      <c r="U350" s="6" t="str">
        <f t="array" ref="U350">_xlfn.IFNA((INDEX('DMR 001C TIN &amp; TP'!$A$3:$M$10005,MATCH(('Reg 85'!$I$6:$Q$6&amp;'Reg 85'!U$10&amp;'Reg 85'!$B350),('DMR 001C TIN &amp; TP'!$E$3:$E$10005&amp;'DMR 001C TIN &amp; TP'!$B$3:$B$10005&amp;'DMR 001C TIN &amp; TP'!$A$3:$A$10005),0),MATCH('Reg 85'!$O$11,'DMR 001C TIN &amp; TP'!$A$2:$M$2,0))),"")</f>
        <v/>
      </c>
      <c r="V350" s="6" t="str">
        <f t="array" ref="V350">_xlfn.IFNA((INDEX('DMR 001C TIN &amp; TP'!$A$3:$M$10005,MATCH(('Reg 85'!$I$6:$Q$6&amp;'Reg 85'!V$10&amp;'Reg 85'!$B350),('DMR 001C TIN &amp; TP'!$E$3:$E$10005&amp;'DMR 001C TIN &amp; TP'!$B$3:$B$10005&amp;'DMR 001C TIN &amp; TP'!$A$3:$A$10005),0),MATCH('Reg 85'!$O$11,'DMR 001C TIN &amp; TP'!$A$2:$M$2,0))),"")</f>
        <v/>
      </c>
      <c r="W350" s="6" t="str">
        <f t="array" ref="W350">_xlfn.IFNA((INDEX('DMR 001C TIN &amp; TP'!$A$3:$M$10005,MATCH(('Reg 85'!$I$6:$Q$6&amp;'Reg 85'!W$10&amp;'Reg 85'!$B350),('DMR 001C TIN &amp; TP'!$E$3:$E$10005&amp;'DMR 001C TIN &amp; TP'!$B$3:$B$10005&amp;'DMR 001C TIN &amp; TP'!$A$3:$A$10005),0),MATCH('Reg 85'!$O$11,'DMR 001C TIN &amp; TP'!$A$2:$M$2,0))),"")</f>
        <v/>
      </c>
      <c r="X350" s="5" t="str">
        <f t="shared" si="134"/>
        <v/>
      </c>
      <c r="Y350" s="6" t="str">
        <f t="array" ref="Y350">_xlfn.IFNA((INDEX('DMR 001C TIN &amp; TP'!$A$3:$M$10005,MATCH(('Reg 85'!$X$6&amp;'Reg 85'!$X$10&amp;'Reg 85'!$B350),('DMR 001C TIN &amp; TP'!$E$3:$E$10005&amp;'DMR 001C TIN &amp; TP'!$B$3:$B$10005&amp;'DMR 001C TIN &amp; TP'!$A$3:$A$10005),0),MATCH('Reg 85'!$Y$11,'DMR 001C TIN &amp; TP'!$A$2:$M$2,0))),"")</f>
        <v>0.06</v>
      </c>
      <c r="Z350" s="6">
        <f t="array" ref="Z350">_xlfn.IFNA((INDEX('DMR 001C TIN &amp; TP'!$A$3:$M$10005,MATCH(('Reg 85'!$X$6&amp;'Reg 85'!$X$10&amp;'Reg 85'!$B350),('DMR 001C TIN &amp; TP'!$E$3:$E$10005&amp;'DMR 001C TIN &amp; TP'!$B$3:$B$10005&amp;'DMR 001C TIN &amp; TP'!$A$3:$A$10005),0),MATCH('Reg 85'!$Z$11,'DMR 001C TIN &amp; TP'!$A$2:$M$2,0))),"")</f>
        <v>5.3</v>
      </c>
      <c r="AA350" s="53">
        <f t="shared" si="135"/>
        <v>5.3</v>
      </c>
      <c r="AB350" s="5" t="str">
        <f t="shared" si="136"/>
        <v/>
      </c>
      <c r="AC350" s="6" t="str">
        <f t="array" ref="AC350">_xlfn.IFNA((INDEX('DMR 001C TIN &amp; TP'!$A$3:$M$10005,MATCH(('Reg 85'!$X$6&amp;'Reg 85'!$AB$10&amp;'Reg 85'!$B350),('DMR 001C TIN &amp; TP'!$E$3:$E$10005&amp;'DMR 001C TIN &amp; TP'!$B$3:$B$10005&amp;'DMR 001C TIN &amp; TP'!$A$3:$A$10005),0),MATCH('Reg 85'!$AC$11,'DMR 001C TIN &amp; TP'!$A$2:$M$2,0))),"")</f>
        <v>0.06</v>
      </c>
      <c r="AD350" s="6">
        <f t="array" ref="AD350">_xlfn.IFNA((INDEX('DMR 001C TIN &amp; TP'!$A$3:$M$10005,MATCH(('Reg 85'!$X$6&amp;'Reg 85'!$AB$10&amp;'Reg 85'!$B350),('DMR 001C TIN &amp; TP'!$E$3:$E$10005&amp;'DMR 001C TIN &amp; TP'!$B$3:$B$10005&amp;'DMR 001C TIN &amp; TP'!$A$3:$A$10005),0),MATCH('Reg 85'!$AD$11,'DMR 001C TIN &amp; TP'!$A$2:$M$2,0))),"")</f>
        <v>4.84</v>
      </c>
      <c r="AE350" s="53">
        <f t="shared" si="137"/>
        <v>4.84</v>
      </c>
      <c r="AF350" s="7">
        <f t="shared" si="138"/>
        <v>5.0323266282942622</v>
      </c>
      <c r="AG350" s="6" t="str">
        <f t="array" ref="AG350">_xlfn.IFNA((INDEX('DMR 001C TIN &amp; TP'!$A$3:$M$10005,MATCH(('Reg 85'!$X$6&amp;'Reg 85'!AG$10&amp;'Reg 85'!$B350),('DMR 001C TIN &amp; TP'!$E$3:$E$10005&amp;'DMR 001C TIN &amp; TP'!$B$3:$B$10005&amp;'DMR 001C TIN &amp; TP'!$A$3:$A$10005),0),MATCH('Reg 85'!$AG$11,'DMR 001C TIN &amp; TP'!$A$2:$M$2,0))),"")</f>
        <v/>
      </c>
      <c r="AH350" s="6" t="str">
        <f t="array" ref="AH350">_xlfn.IFNA((INDEX('DMR 001C TIN &amp; TP'!$A$3:$M$10005,MATCH(('Reg 85'!$X$6&amp;'Reg 85'!AH$10&amp;'Reg 85'!$B350),('DMR 001C TIN &amp; TP'!$E$3:$E$10005&amp;'DMR 001C TIN &amp; TP'!$B$3:$B$10005&amp;'DMR 001C TIN &amp; TP'!$A$3:$A$10005),0),MATCH('Reg 85'!$AG$11,'DMR 001C TIN &amp; TP'!$A$2:$M$2,0))),"")</f>
        <v/>
      </c>
      <c r="AI350" s="6" t="str">
        <f t="array" ref="AI350">_xlfn.IFNA((INDEX('DMR 001C TIN &amp; TP'!$A$3:$M$10005,MATCH(('Reg 85'!$X$6&amp;'Reg 85'!AI$10&amp;'Reg 85'!$B350),('DMR 001C TIN &amp; TP'!$E$3:$E$10005&amp;'DMR 001C TIN &amp; TP'!$B$3:$B$10005&amp;'DMR 001C TIN &amp; TP'!$A$3:$A$10005),0),MATCH('Reg 85'!$AG$11,'DMR 001C TIN &amp; TP'!$A$2:$M$2,0))),"")</f>
        <v/>
      </c>
      <c r="AJ350" s="6" t="str">
        <f t="array" ref="AJ350">_xlfn.IFNA((INDEX('DMR 001C TIN &amp; TP'!$A$3:$M$10005,MATCH(('Reg 85'!$X$6&amp;'Reg 85'!AJ$10&amp;'Reg 85'!$B350),('DMR 001C TIN &amp; TP'!$E$3:$E$10005&amp;'DMR 001C TIN &amp; TP'!$B$3:$B$10005&amp;'DMR 001C TIN &amp; TP'!$A$3:$A$10005),0),MATCH('Reg 85'!$AG$11,'DMR 001C TIN &amp; TP'!$A$2:$M$2,0))),"")</f>
        <v/>
      </c>
      <c r="AK350" s="6" t="str">
        <f t="array" ref="AK350">_xlfn.IFNA((INDEX('DMR 001C TIN &amp; TP'!$A$3:$M$10005,MATCH(('Reg 85'!$X$6&amp;'Reg 85'!AK$10&amp;'Reg 85'!$B350),('DMR 001C TIN &amp; TP'!$E$3:$E$10005&amp;'DMR 001C TIN &amp; TP'!$B$3:$B$10005&amp;'DMR 001C TIN &amp; TP'!$A$3:$A$10005),0),MATCH('Reg 85'!$AG$11,'DMR 001C TIN &amp; TP'!$A$2:$M$2,0))),"")</f>
        <v/>
      </c>
      <c r="AL350" s="6" t="str">
        <f t="array" ref="AL350">_xlfn.IFNA((INDEX('DMR 001C TIN &amp; TP'!$A$3:$M$10005,MATCH(('Reg 85'!$X$6&amp;'Reg 85'!AL$10&amp;'Reg 85'!$B350),('DMR 001C TIN &amp; TP'!$E$3:$E$10005&amp;'DMR 001C TIN &amp; TP'!$B$3:$B$10005&amp;'DMR 001C TIN &amp; TP'!$A$3:$A$10005),0),MATCH('Reg 85'!$AG$11,'DMR 001C TIN &amp; TP'!$A$2:$M$2,0))),"")</f>
        <v/>
      </c>
      <c r="AM350" s="76"/>
      <c r="AN350" s="6"/>
      <c r="AO350" s="54">
        <f t="shared" si="125"/>
        <v>5.5947417541457236</v>
      </c>
      <c r="AP350" s="77" t="str">
        <f t="shared" si="123"/>
        <v/>
      </c>
      <c r="AQ350" s="47"/>
      <c r="AR350" s="6" t="str">
        <f t="array" ref="AR350">_xlfn.IFNA((INDEX('DMR 001C TIN &amp; TP'!$A$3:$M$10005,MATCH(('Reg 85'!$AQ$6&amp;'Reg 85'!$AQ$10&amp;'Reg 85'!$B350),('DMR 001C TIN &amp; TP'!$E$3:$E$10005&amp;'DMR 001C TIN &amp; TP'!$B$3:$B$10005&amp;'DMR 001C TIN &amp; TP'!$A$3:$A$10005),0),MATCH('Reg 85'!$AR$11,'DMR 001C TIN &amp; TP'!$A$2:$M$2,0))),"")</f>
        <v/>
      </c>
      <c r="AS350" s="6" t="str">
        <f t="array" ref="AS350">_xlfn.IFNA((INDEX('DMR 001C TIN &amp; TP'!$A$3:$M$10005,MATCH(('Reg 85'!$AQ$6&amp;'Reg 85'!$AQ$10&amp;'Reg 85'!$B350),('DMR 001C TIN &amp; TP'!$E$3:$E$10005&amp;'DMR 001C TIN &amp; TP'!$B$3:$B$10005&amp;'DMR 001C TIN &amp; TP'!$A$3:$A$10005),0),MATCH('Reg 85'!$AS$11,'DMR 001C TIN &amp; TP'!$A$2:$M$2,0))),"")</f>
        <v/>
      </c>
      <c r="AT350" s="53" t="str">
        <f t="shared" si="139"/>
        <v/>
      </c>
      <c r="AV350" s="6" t="str">
        <f t="array" ref="AV350">_xlfn.IFNA((INDEX('DMR 001C TIN &amp; TP'!$A$3:$M$10005,MATCH(('Reg 85'!$AQ$6&amp;'Reg 85'!$AU$10&amp;'Reg 85'!$B350),('DMR 001C TIN &amp; TP'!$E$3:$E$10005&amp;'DMR 001C TIN &amp; TP'!$B$3:$B$10005&amp;'DMR 001C TIN &amp; TP'!$A$3:$A$10005),0),MATCH('Reg 85'!$AV$11,'DMR 001C TIN &amp; TP'!$A$2:$M$2,0))),"")</f>
        <v/>
      </c>
      <c r="AW350" s="6" t="str">
        <f t="array" ref="AW350">_xlfn.IFNA((INDEX('DMR 001C TIN &amp; TP'!$A$3:$M$10005,MATCH(('Reg 85'!$AQ$6&amp;'Reg 85'!$AU$10&amp;'Reg 85'!$B350),('DMR 001C TIN &amp; TP'!$E$3:$E$10005&amp;'DMR 001C TIN &amp; TP'!$B$3:$B$10005&amp;'DMR 001C TIN &amp; TP'!$A$3:$A$10005),0),MATCH('Reg 85'!$AW$11,'DMR 001C TIN &amp; TP'!$A$2:$M$2,0))),"")</f>
        <v/>
      </c>
      <c r="AX350" s="53" t="str">
        <f t="shared" si="140"/>
        <v/>
      </c>
      <c r="AY350" s="55" t="str">
        <f t="shared" si="141"/>
        <v/>
      </c>
      <c r="AZ350" s="77" t="str">
        <f t="shared" si="124"/>
        <v/>
      </c>
      <c r="BA350" s="6" t="str">
        <f t="array" ref="BA350">_xlfn.IFNA((INDEX('DMR 001C TIN &amp; TP'!$A$3:$M$10005,MATCH(('Reg 85'!$AQ$6&amp;'Reg 85'!BA$10&amp;'Reg 85'!$B350),('DMR 001C TIN &amp; TP'!$E$3:$E$10005&amp;'DMR 001C TIN &amp; TP'!$B$3:$B$10005&amp;'DMR 001C TIN &amp; TP'!$A$3:$A$10005),0),MATCH('Reg 85'!$AG$11,'DMR 001C TIN &amp; TP'!$A$2:$M$2,0))),"")</f>
        <v/>
      </c>
      <c r="BB350" s="6" t="str">
        <f t="array" ref="BB350">_xlfn.IFNA((INDEX('DMR 001C TIN &amp; TP'!$A$3:$M$10005,MATCH(('Reg 85'!$AQ$6&amp;'Reg 85'!BB$10&amp;'Reg 85'!$B350),('DMR 001C TIN &amp; TP'!$E$3:$E$10005&amp;'DMR 001C TIN &amp; TP'!$B$3:$B$10005&amp;'DMR 001C TIN &amp; TP'!$A$3:$A$10005),0),MATCH('Reg 85'!$AG$11,'DMR 001C TIN &amp; TP'!$A$2:$M$2,0))),"")</f>
        <v/>
      </c>
      <c r="BC350" s="6" t="str">
        <f t="array" ref="BC350">_xlfn.IFNA((INDEX('DMR 001C TIN &amp; TP'!$A$3:$M$10005,MATCH(('Reg 85'!$AQ$6&amp;'Reg 85'!BC$10&amp;'Reg 85'!$B350),('DMR 001C TIN &amp; TP'!$E$3:$E$10005&amp;'DMR 001C TIN &amp; TP'!$B$3:$B$10005&amp;'DMR 001C TIN &amp; TP'!$A$3:$A$10005),0),MATCH('Reg 85'!$AG$11,'DMR 001C TIN &amp; TP'!$A$2:$M$2,0))),"")</f>
        <v/>
      </c>
      <c r="BD350" s="6" t="str">
        <f t="array" ref="BD350">_xlfn.IFNA((INDEX('DMR 001C TIN &amp; TP'!$A$3:$M$10005,MATCH(('Reg 85'!$AQ$6&amp;'Reg 85'!BD$10&amp;'Reg 85'!$B350),('DMR 001C TIN &amp; TP'!$E$3:$E$10005&amp;'DMR 001C TIN &amp; TP'!$B$3:$B$10005&amp;'DMR 001C TIN &amp; TP'!$A$3:$A$10005),0),MATCH('Reg 85'!$AG$11,'DMR 001C TIN &amp; TP'!$A$2:$M$2,0))),"")</f>
        <v/>
      </c>
      <c r="BE350" s="6" t="str">
        <f t="array" ref="BE350">_xlfn.IFNA((INDEX('DMR 001C TIN &amp; TP'!$A$3:$M$10005,MATCH(('Reg 85'!$AQ$6&amp;'Reg 85'!BE$10&amp;'Reg 85'!$B350),('DMR 001C TIN &amp; TP'!$E$3:$E$10005&amp;'DMR 001C TIN &amp; TP'!$B$3:$B$10005&amp;'DMR 001C TIN &amp; TP'!$A$3:$A$10005),0),MATCH('Reg 85'!$AG$11,'DMR 001C TIN &amp; TP'!$A$2:$M$2,0))),"")</f>
        <v/>
      </c>
      <c r="BF350" s="6" t="str">
        <f t="array" ref="BF350">_xlfn.IFNA((INDEX('DMR 001C TIN &amp; TP'!$A$3:$M$10005,MATCH(('Reg 85'!$AQ$6&amp;'Reg 85'!BF$10&amp;'Reg 85'!$B350),('DMR 001C TIN &amp; TP'!$E$3:$E$10005&amp;'DMR 001C TIN &amp; TP'!$B$3:$B$10005&amp;'DMR 001C TIN &amp; TP'!$A$3:$A$10005),0),MATCH('Reg 85'!$AG$11,'DMR 001C TIN &amp; TP'!$A$2:$M$2,0))),"")</f>
        <v/>
      </c>
    </row>
    <row r="351" spans="1:58">
      <c r="A351" s="3" t="str">
        <f t="shared" si="126"/>
        <v>Tue</v>
      </c>
      <c r="B351" s="96">
        <f t="shared" si="142"/>
        <v>43683</v>
      </c>
      <c r="C351" s="96">
        <f t="shared" si="127"/>
        <v>43708</v>
      </c>
      <c r="D351" s="96">
        <f t="shared" si="128"/>
        <v>43678</v>
      </c>
      <c r="E351" s="95">
        <f t="shared" si="129"/>
        <v>31</v>
      </c>
      <c r="F351" s="7">
        <f t="array" ref="F351">_xlfn.IFNA(INDEX('DMR Flows-Effluent'!$A$3:$F$9999,MATCH(($F$10&amp;$B351),('DMR Flows-Effluent'!$B$3:$B$9999&amp;'DMR Flows-Effluent'!$A$3:$A$9999),0),MATCH($F$8,'DMR Flows-Effluent'!$A$2:$F$2,0)),"")</f>
        <v>53.790799999999997</v>
      </c>
      <c r="G351" s="7">
        <f t="array" ref="G351">_xlfn.IFNA(INDEX('DMR Flows-Effluent'!$A$3:$F$9999,MATCH(($G$10&amp;$B351),('DMR Flows-Effluent'!$B$3:$B$9999&amp;'DMR Flows-Effluent'!$A$3:$A$9999),0),MATCH($F$8,'DMR Flows-Effluent'!$A$2:$F$2,0)),"")</f>
        <v>70.638599999999997</v>
      </c>
      <c r="H351" s="7">
        <f t="shared" si="130"/>
        <v>124.42939999999999</v>
      </c>
      <c r="I351" s="45" t="str">
        <f t="shared" si="131"/>
        <v/>
      </c>
      <c r="J351" s="6" t="str">
        <f t="array" ref="J351">_xlfn.IFNA((INDEX('DMR 001C TIN &amp; TP'!$A$3:$M$10005,MATCH(('Reg 85'!$I$6:$Q$6&amp;'Reg 85'!$I$10:$K$10&amp;'Reg 85'!$B351),('DMR 001C TIN &amp; TP'!$E$3:$E$10005&amp;'DMR 001C TIN &amp; TP'!$B$3:$B$10005&amp;'DMR 001C TIN &amp; TP'!$A$3:$A$10005),0),MATCH('Reg 85'!$J$11,'DMR 001C TIN &amp; TP'!$A$2:$M$2,0))),"")</f>
        <v/>
      </c>
      <c r="K351" s="6" t="str">
        <f t="array" ref="K351">_xlfn.IFNA((INDEX('DMR 001C TIN &amp; TP'!$A$3:$M$10005,MATCH(('Reg 85'!$I$6:$Q$6&amp;'Reg 85'!$I$10:$K$10&amp;'Reg 85'!$B351),('DMR 001C TIN &amp; TP'!$E$3:$E$10005&amp;'DMR 001C TIN &amp; TP'!$B$3:$B$10005&amp;'DMR 001C TIN &amp; TP'!$A$3:$A$10005),0),MATCH('Reg 85'!$K$11,'DMR 001C TIN &amp; TP'!$A$2:$M$2,0))),"")</f>
        <v/>
      </c>
      <c r="L351" s="53" t="str">
        <f t="shared" si="143"/>
        <v/>
      </c>
      <c r="M351" s="5" t="str">
        <f t="shared" si="132"/>
        <v/>
      </c>
      <c r="N351" s="6" t="str">
        <f t="array" ref="N351">_xlfn.IFNA((INDEX('DMR 001C TIN &amp; TP'!$A$3:$M$10005,MATCH(('Reg 85'!$I$6:$Q$6&amp;'Reg 85'!$M$10&amp;'Reg 85'!$B351),('DMR 001C TIN &amp; TP'!$E$3:$E$10005&amp;'DMR 001C TIN &amp; TP'!$B$3:$B$10005&amp;'DMR 001C TIN &amp; TP'!$A$3:$A$10005),0),MATCH('Reg 85'!$N$11,'DMR 001C TIN &amp; TP'!$A$2:$M$2,0))),"")</f>
        <v/>
      </c>
      <c r="O351" s="6" t="str">
        <f t="array" ref="O351">_xlfn.IFNA((INDEX('DMR 001C TIN &amp; TP'!$A$3:$M$10005,MATCH(('Reg 85'!$I$6:$Q$6&amp;'Reg 85'!$M$10&amp;'Reg 85'!$B351),('DMR 001C TIN &amp; TP'!$E$3:$E$10005&amp;'DMR 001C TIN &amp; TP'!$B$3:$B$10005&amp;'DMR 001C TIN &amp; TP'!$A$3:$A$10005),0),MATCH('Reg 85'!$O$11,'DMR 001C TIN &amp; TP'!$A$2:$M$2,0))),"")</f>
        <v/>
      </c>
      <c r="P351" s="53" t="str">
        <f t="shared" si="133"/>
        <v/>
      </c>
      <c r="Q351" s="73" t="str">
        <f t="array" ref="Q351">IFERROR(((L351*$F351)+(P351*$G351))/($H351),"")</f>
        <v/>
      </c>
      <c r="R351" s="6" t="str">
        <f t="array" ref="R351">_xlfn.IFNA((INDEX('DMR 001C TIN &amp; TP'!$A$3:$M$10005,MATCH(('Reg 85'!$I$6:$Q$6&amp;'Reg 85'!R$10&amp;'Reg 85'!$B351),('DMR 001C TIN &amp; TP'!$E$3:$E$10005&amp;'DMR 001C TIN &amp; TP'!$B$3:$B$10005&amp;'DMR 001C TIN &amp; TP'!$A$3:$A$10005),0),MATCH('Reg 85'!$O$11,'DMR 001C TIN &amp; TP'!$A$2:$M$2,0))),"")</f>
        <v/>
      </c>
      <c r="S351" s="6" t="str">
        <f t="array" ref="S351">_xlfn.IFNA((INDEX('DMR 001C TIN &amp; TP'!$A$3:$M$10005,MATCH(('Reg 85'!$I$6:$Q$6&amp;'Reg 85'!S$10&amp;'Reg 85'!$B351),('DMR 001C TIN &amp; TP'!$E$3:$E$10005&amp;'DMR 001C TIN &amp; TP'!$B$3:$B$10005&amp;'DMR 001C TIN &amp; TP'!$A$3:$A$10005),0),MATCH('Reg 85'!$O$11,'DMR 001C TIN &amp; TP'!$A$2:$M$2,0))),"")</f>
        <v/>
      </c>
      <c r="T351" s="6" t="str">
        <f t="array" ref="T351">_xlfn.IFNA((INDEX('DMR 001C TIN &amp; TP'!$A$3:$M$10005,MATCH(('Reg 85'!$I$6:$Q$6&amp;'Reg 85'!T$10&amp;'Reg 85'!$B351),('DMR 001C TIN &amp; TP'!$E$3:$E$10005&amp;'DMR 001C TIN &amp; TP'!$B$3:$B$10005&amp;'DMR 001C TIN &amp; TP'!$A$3:$A$10005),0),MATCH('Reg 85'!$O$11,'DMR 001C TIN &amp; TP'!$A$2:$M$2,0))),"")</f>
        <v/>
      </c>
      <c r="U351" s="6" t="str">
        <f t="array" ref="U351">_xlfn.IFNA((INDEX('DMR 001C TIN &amp; TP'!$A$3:$M$10005,MATCH(('Reg 85'!$I$6:$Q$6&amp;'Reg 85'!U$10&amp;'Reg 85'!$B351),('DMR 001C TIN &amp; TP'!$E$3:$E$10005&amp;'DMR 001C TIN &amp; TP'!$B$3:$B$10005&amp;'DMR 001C TIN &amp; TP'!$A$3:$A$10005),0),MATCH('Reg 85'!$O$11,'DMR 001C TIN &amp; TP'!$A$2:$M$2,0))),"")</f>
        <v/>
      </c>
      <c r="V351" s="6" t="str">
        <f t="array" ref="V351">_xlfn.IFNA((INDEX('DMR 001C TIN &amp; TP'!$A$3:$M$10005,MATCH(('Reg 85'!$I$6:$Q$6&amp;'Reg 85'!V$10&amp;'Reg 85'!$B351),('DMR 001C TIN &amp; TP'!$E$3:$E$10005&amp;'DMR 001C TIN &amp; TP'!$B$3:$B$10005&amp;'DMR 001C TIN &amp; TP'!$A$3:$A$10005),0),MATCH('Reg 85'!$O$11,'DMR 001C TIN &amp; TP'!$A$2:$M$2,0))),"")</f>
        <v/>
      </c>
      <c r="W351" s="6" t="str">
        <f t="array" ref="W351">_xlfn.IFNA((INDEX('DMR 001C TIN &amp; TP'!$A$3:$M$10005,MATCH(('Reg 85'!$I$6:$Q$6&amp;'Reg 85'!W$10&amp;'Reg 85'!$B351),('DMR 001C TIN &amp; TP'!$E$3:$E$10005&amp;'DMR 001C TIN &amp; TP'!$B$3:$B$10005&amp;'DMR 001C TIN &amp; TP'!$A$3:$A$10005),0),MATCH('Reg 85'!$O$11,'DMR 001C TIN &amp; TP'!$A$2:$M$2,0))),"")</f>
        <v/>
      </c>
      <c r="X351" s="5" t="str">
        <f t="shared" si="134"/>
        <v/>
      </c>
      <c r="Y351" s="6" t="str">
        <f t="array" ref="Y351">_xlfn.IFNA((INDEX('DMR 001C TIN &amp; TP'!$A$3:$M$10005,MATCH(('Reg 85'!$X$6&amp;'Reg 85'!$X$10&amp;'Reg 85'!$B351),('DMR 001C TIN &amp; TP'!$E$3:$E$10005&amp;'DMR 001C TIN &amp; TP'!$B$3:$B$10005&amp;'DMR 001C TIN &amp; TP'!$A$3:$A$10005),0),MATCH('Reg 85'!$Y$11,'DMR 001C TIN &amp; TP'!$A$2:$M$2,0))),"")</f>
        <v/>
      </c>
      <c r="Z351" s="6" t="str">
        <f t="array" ref="Z351">_xlfn.IFNA((INDEX('DMR 001C TIN &amp; TP'!$A$3:$M$10005,MATCH(('Reg 85'!$X$6&amp;'Reg 85'!$X$10&amp;'Reg 85'!$B351),('DMR 001C TIN &amp; TP'!$E$3:$E$10005&amp;'DMR 001C TIN &amp; TP'!$B$3:$B$10005&amp;'DMR 001C TIN &amp; TP'!$A$3:$A$10005),0),MATCH('Reg 85'!$Z$11,'DMR 001C TIN &amp; TP'!$A$2:$M$2,0))),"")</f>
        <v/>
      </c>
      <c r="AA351" s="53" t="str">
        <f t="shared" si="135"/>
        <v/>
      </c>
      <c r="AB351" s="5" t="str">
        <f t="shared" si="136"/>
        <v/>
      </c>
      <c r="AC351" s="6" t="str">
        <f t="array" ref="AC351">_xlfn.IFNA((INDEX('DMR 001C TIN &amp; TP'!$A$3:$M$10005,MATCH(('Reg 85'!$X$6&amp;'Reg 85'!$AB$10&amp;'Reg 85'!$B351),('DMR 001C TIN &amp; TP'!$E$3:$E$10005&amp;'DMR 001C TIN &amp; TP'!$B$3:$B$10005&amp;'DMR 001C TIN &amp; TP'!$A$3:$A$10005),0),MATCH('Reg 85'!$AC$11,'DMR 001C TIN &amp; TP'!$A$2:$M$2,0))),"")</f>
        <v/>
      </c>
      <c r="AD351" s="6" t="str">
        <f t="array" ref="AD351">_xlfn.IFNA((INDEX('DMR 001C TIN &amp; TP'!$A$3:$M$10005,MATCH(('Reg 85'!$X$6&amp;'Reg 85'!$AB$10&amp;'Reg 85'!$B351),('DMR 001C TIN &amp; TP'!$E$3:$E$10005&amp;'DMR 001C TIN &amp; TP'!$B$3:$B$10005&amp;'DMR 001C TIN &amp; TP'!$A$3:$A$10005),0),MATCH('Reg 85'!$AD$11,'DMR 001C TIN &amp; TP'!$A$2:$M$2,0))),"")</f>
        <v/>
      </c>
      <c r="AE351" s="53" t="str">
        <f t="shared" si="137"/>
        <v/>
      </c>
      <c r="AF351" s="7" t="str">
        <f t="shared" si="138"/>
        <v/>
      </c>
      <c r="AG351" s="6" t="str">
        <f t="array" ref="AG351">_xlfn.IFNA((INDEX('DMR 001C TIN &amp; TP'!$A$3:$M$10005,MATCH(('Reg 85'!$X$6&amp;'Reg 85'!AG$10&amp;'Reg 85'!$B351),('DMR 001C TIN &amp; TP'!$E$3:$E$10005&amp;'DMR 001C TIN &amp; TP'!$B$3:$B$10005&amp;'DMR 001C TIN &amp; TP'!$A$3:$A$10005),0),MATCH('Reg 85'!$AG$11,'DMR 001C TIN &amp; TP'!$A$2:$M$2,0))),"")</f>
        <v/>
      </c>
      <c r="AH351" s="6" t="str">
        <f t="array" ref="AH351">_xlfn.IFNA((INDEX('DMR 001C TIN &amp; TP'!$A$3:$M$10005,MATCH(('Reg 85'!$X$6&amp;'Reg 85'!AH$10&amp;'Reg 85'!$B351),('DMR 001C TIN &amp; TP'!$E$3:$E$10005&amp;'DMR 001C TIN &amp; TP'!$B$3:$B$10005&amp;'DMR 001C TIN &amp; TP'!$A$3:$A$10005),0),MATCH('Reg 85'!$AG$11,'DMR 001C TIN &amp; TP'!$A$2:$M$2,0))),"")</f>
        <v/>
      </c>
      <c r="AI351" s="6" t="str">
        <f t="array" ref="AI351">_xlfn.IFNA((INDEX('DMR 001C TIN &amp; TP'!$A$3:$M$10005,MATCH(('Reg 85'!$X$6&amp;'Reg 85'!AI$10&amp;'Reg 85'!$B351),('DMR 001C TIN &amp; TP'!$E$3:$E$10005&amp;'DMR 001C TIN &amp; TP'!$B$3:$B$10005&amp;'DMR 001C TIN &amp; TP'!$A$3:$A$10005),0),MATCH('Reg 85'!$AG$11,'DMR 001C TIN &amp; TP'!$A$2:$M$2,0))),"")</f>
        <v/>
      </c>
      <c r="AJ351" s="6" t="str">
        <f t="array" ref="AJ351">_xlfn.IFNA((INDEX('DMR 001C TIN &amp; TP'!$A$3:$M$10005,MATCH(('Reg 85'!$X$6&amp;'Reg 85'!AJ$10&amp;'Reg 85'!$B351),('DMR 001C TIN &amp; TP'!$E$3:$E$10005&amp;'DMR 001C TIN &amp; TP'!$B$3:$B$10005&amp;'DMR 001C TIN &amp; TP'!$A$3:$A$10005),0),MATCH('Reg 85'!$AG$11,'DMR 001C TIN &amp; TP'!$A$2:$M$2,0))),"")</f>
        <v/>
      </c>
      <c r="AK351" s="6" t="str">
        <f t="array" ref="AK351">_xlfn.IFNA((INDEX('DMR 001C TIN &amp; TP'!$A$3:$M$10005,MATCH(('Reg 85'!$X$6&amp;'Reg 85'!AK$10&amp;'Reg 85'!$B351),('DMR 001C TIN &amp; TP'!$E$3:$E$10005&amp;'DMR 001C TIN &amp; TP'!$B$3:$B$10005&amp;'DMR 001C TIN &amp; TP'!$A$3:$A$10005),0),MATCH('Reg 85'!$AG$11,'DMR 001C TIN &amp; TP'!$A$2:$M$2,0))),"")</f>
        <v/>
      </c>
      <c r="AL351" s="6" t="str">
        <f t="array" ref="AL351">_xlfn.IFNA((INDEX('DMR 001C TIN &amp; TP'!$A$3:$M$10005,MATCH(('Reg 85'!$X$6&amp;'Reg 85'!AL$10&amp;'Reg 85'!$B351),('DMR 001C TIN &amp; TP'!$E$3:$E$10005&amp;'DMR 001C TIN &amp; TP'!$B$3:$B$10005&amp;'DMR 001C TIN &amp; TP'!$A$3:$A$10005),0),MATCH('Reg 85'!$AG$11,'DMR 001C TIN &amp; TP'!$A$2:$M$2,0))),"")</f>
        <v/>
      </c>
      <c r="AM351" s="76"/>
      <c r="AN351" s="6"/>
      <c r="AO351" s="54" t="str">
        <f t="shared" si="125"/>
        <v/>
      </c>
      <c r="AP351" s="77" t="str">
        <f t="shared" si="123"/>
        <v/>
      </c>
      <c r="AQ351" s="47"/>
      <c r="AR351" s="6" t="str">
        <f t="array" ref="AR351">_xlfn.IFNA((INDEX('DMR 001C TIN &amp; TP'!$A$3:$M$10005,MATCH(('Reg 85'!$AQ$6&amp;'Reg 85'!$AQ$10&amp;'Reg 85'!$B351),('DMR 001C TIN &amp; TP'!$E$3:$E$10005&amp;'DMR 001C TIN &amp; TP'!$B$3:$B$10005&amp;'DMR 001C TIN &amp; TP'!$A$3:$A$10005),0),MATCH('Reg 85'!$AR$11,'DMR 001C TIN &amp; TP'!$A$2:$M$2,0))),"")</f>
        <v>0.03</v>
      </c>
      <c r="AS351" s="6">
        <f t="array" ref="AS351">_xlfn.IFNA((INDEX('DMR 001C TIN &amp; TP'!$A$3:$M$10005,MATCH(('Reg 85'!$AQ$6&amp;'Reg 85'!$AQ$10&amp;'Reg 85'!$B351),('DMR 001C TIN &amp; TP'!$E$3:$E$10005&amp;'DMR 001C TIN &amp; TP'!$B$3:$B$10005&amp;'DMR 001C TIN &amp; TP'!$A$3:$A$10005),0),MATCH('Reg 85'!$AS$11,'DMR 001C TIN &amp; TP'!$A$2:$M$2,0))),"")</f>
        <v>0.48</v>
      </c>
      <c r="AT351" s="53">
        <f t="shared" si="139"/>
        <v>0.48</v>
      </c>
      <c r="AV351" s="6" t="str">
        <f t="array" ref="AV351">_xlfn.IFNA((INDEX('DMR 001C TIN &amp; TP'!$A$3:$M$10005,MATCH(('Reg 85'!$AQ$6&amp;'Reg 85'!$AU$10&amp;'Reg 85'!$B351),('DMR 001C TIN &amp; TP'!$E$3:$E$10005&amp;'DMR 001C TIN &amp; TP'!$B$3:$B$10005&amp;'DMR 001C TIN &amp; TP'!$A$3:$A$10005),0),MATCH('Reg 85'!$AV$11,'DMR 001C TIN &amp; TP'!$A$2:$M$2,0))),"")</f>
        <v>0.03</v>
      </c>
      <c r="AW351" s="6">
        <f t="array" ref="AW351">_xlfn.IFNA((INDEX('DMR 001C TIN &amp; TP'!$A$3:$M$10005,MATCH(('Reg 85'!$AQ$6&amp;'Reg 85'!$AU$10&amp;'Reg 85'!$B351),('DMR 001C TIN &amp; TP'!$E$3:$E$10005&amp;'DMR 001C TIN &amp; TP'!$B$3:$B$10005&amp;'DMR 001C TIN &amp; TP'!$A$3:$A$10005),0),MATCH('Reg 85'!$AW$11,'DMR 001C TIN &amp; TP'!$A$2:$M$2,0))),"")</f>
        <v>2.11</v>
      </c>
      <c r="AX351" s="53">
        <f t="shared" si="140"/>
        <v>2.11</v>
      </c>
      <c r="AY351" s="55">
        <f t="shared" si="141"/>
        <v>1.4053513880160153</v>
      </c>
      <c r="AZ351" s="77" t="str">
        <f t="shared" si="124"/>
        <v/>
      </c>
      <c r="BA351" s="6" t="str">
        <f t="array" ref="BA351">_xlfn.IFNA((INDEX('DMR 001C TIN &amp; TP'!$A$3:$M$10005,MATCH(('Reg 85'!$AQ$6&amp;'Reg 85'!BA$10&amp;'Reg 85'!$B351),('DMR 001C TIN &amp; TP'!$E$3:$E$10005&amp;'DMR 001C TIN &amp; TP'!$B$3:$B$10005&amp;'DMR 001C TIN &amp; TP'!$A$3:$A$10005),0),MATCH('Reg 85'!$AG$11,'DMR 001C TIN &amp; TP'!$A$2:$M$2,0))),"")</f>
        <v/>
      </c>
      <c r="BB351" s="6" t="str">
        <f t="array" ref="BB351">_xlfn.IFNA((INDEX('DMR 001C TIN &amp; TP'!$A$3:$M$10005,MATCH(('Reg 85'!$AQ$6&amp;'Reg 85'!BB$10&amp;'Reg 85'!$B351),('DMR 001C TIN &amp; TP'!$E$3:$E$10005&amp;'DMR 001C TIN &amp; TP'!$B$3:$B$10005&amp;'DMR 001C TIN &amp; TP'!$A$3:$A$10005),0),MATCH('Reg 85'!$AG$11,'DMR 001C TIN &amp; TP'!$A$2:$M$2,0))),"")</f>
        <v/>
      </c>
      <c r="BC351" s="6" t="str">
        <f t="array" ref="BC351">_xlfn.IFNA((INDEX('DMR 001C TIN &amp; TP'!$A$3:$M$10005,MATCH(('Reg 85'!$AQ$6&amp;'Reg 85'!BC$10&amp;'Reg 85'!$B351),('DMR 001C TIN &amp; TP'!$E$3:$E$10005&amp;'DMR 001C TIN &amp; TP'!$B$3:$B$10005&amp;'DMR 001C TIN &amp; TP'!$A$3:$A$10005),0),MATCH('Reg 85'!$AG$11,'DMR 001C TIN &amp; TP'!$A$2:$M$2,0))),"")</f>
        <v/>
      </c>
      <c r="BD351" s="6" t="str">
        <f t="array" ref="BD351">_xlfn.IFNA((INDEX('DMR 001C TIN &amp; TP'!$A$3:$M$10005,MATCH(('Reg 85'!$AQ$6&amp;'Reg 85'!BD$10&amp;'Reg 85'!$B351),('DMR 001C TIN &amp; TP'!$E$3:$E$10005&amp;'DMR 001C TIN &amp; TP'!$B$3:$B$10005&amp;'DMR 001C TIN &amp; TP'!$A$3:$A$10005),0),MATCH('Reg 85'!$AG$11,'DMR 001C TIN &amp; TP'!$A$2:$M$2,0))),"")</f>
        <v/>
      </c>
      <c r="BE351" s="6" t="str">
        <f t="array" ref="BE351">_xlfn.IFNA((INDEX('DMR 001C TIN &amp; TP'!$A$3:$M$10005,MATCH(('Reg 85'!$AQ$6&amp;'Reg 85'!BE$10&amp;'Reg 85'!$B351),('DMR 001C TIN &amp; TP'!$E$3:$E$10005&amp;'DMR 001C TIN &amp; TP'!$B$3:$B$10005&amp;'DMR 001C TIN &amp; TP'!$A$3:$A$10005),0),MATCH('Reg 85'!$AG$11,'DMR 001C TIN &amp; TP'!$A$2:$M$2,0))),"")</f>
        <v/>
      </c>
      <c r="BF351" s="6" t="str">
        <f t="array" ref="BF351">_xlfn.IFNA((INDEX('DMR 001C TIN &amp; TP'!$A$3:$M$10005,MATCH(('Reg 85'!$AQ$6&amp;'Reg 85'!BF$10&amp;'Reg 85'!$B351),('DMR 001C TIN &amp; TP'!$E$3:$E$10005&amp;'DMR 001C TIN &amp; TP'!$B$3:$B$10005&amp;'DMR 001C TIN &amp; TP'!$A$3:$A$10005),0),MATCH('Reg 85'!$AG$11,'DMR 001C TIN &amp; TP'!$A$2:$M$2,0))),"")</f>
        <v/>
      </c>
    </row>
    <row r="352" spans="1:58">
      <c r="A352" s="3" t="str">
        <f t="shared" si="126"/>
        <v>Wed</v>
      </c>
      <c r="B352" s="96">
        <f t="shared" si="142"/>
        <v>43684</v>
      </c>
      <c r="C352" s="96">
        <f t="shared" si="127"/>
        <v>43708</v>
      </c>
      <c r="D352" s="96">
        <f t="shared" si="128"/>
        <v>43678</v>
      </c>
      <c r="E352" s="95">
        <f t="shared" si="129"/>
        <v>31</v>
      </c>
      <c r="F352" s="7">
        <f t="array" ref="F352">_xlfn.IFNA(INDEX('DMR Flows-Effluent'!$A$3:$F$9999,MATCH(($F$10&amp;$B352),('DMR Flows-Effluent'!$B$3:$B$9999&amp;'DMR Flows-Effluent'!$A$3:$A$9999),0),MATCH($F$8,'DMR Flows-Effluent'!$A$2:$F$2,0)),"")</f>
        <v>58.594700000000003</v>
      </c>
      <c r="G352" s="7">
        <f t="array" ref="G352">_xlfn.IFNA(INDEX('DMR Flows-Effluent'!$A$3:$F$9999,MATCH(($G$10&amp;$B352),('DMR Flows-Effluent'!$B$3:$B$9999&amp;'DMR Flows-Effluent'!$A$3:$A$9999),0),MATCH($F$8,'DMR Flows-Effluent'!$A$2:$F$2,0)),"")</f>
        <v>64.610699999999994</v>
      </c>
      <c r="H352" s="7">
        <f t="shared" si="130"/>
        <v>123.2054</v>
      </c>
      <c r="I352" s="45" t="str">
        <f t="shared" si="131"/>
        <v/>
      </c>
      <c r="J352" s="6" t="str">
        <f t="array" ref="J352">_xlfn.IFNA((INDEX('DMR 001C TIN &amp; TP'!$A$3:$M$10005,MATCH(('Reg 85'!$I$6:$Q$6&amp;'Reg 85'!$I$10:$K$10&amp;'Reg 85'!$B352),('DMR 001C TIN &amp; TP'!$E$3:$E$10005&amp;'DMR 001C TIN &amp; TP'!$B$3:$B$10005&amp;'DMR 001C TIN &amp; TP'!$A$3:$A$10005),0),MATCH('Reg 85'!$J$11,'DMR 001C TIN &amp; TP'!$A$2:$M$2,0))),"")</f>
        <v>0.15</v>
      </c>
      <c r="K352" s="6">
        <f t="array" ref="K352">_xlfn.IFNA((INDEX('DMR 001C TIN &amp; TP'!$A$3:$M$10005,MATCH(('Reg 85'!$I$6:$Q$6&amp;'Reg 85'!$I$10:$K$10&amp;'Reg 85'!$B352),('DMR 001C TIN &amp; TP'!$E$3:$E$10005&amp;'DMR 001C TIN &amp; TP'!$B$3:$B$10005&amp;'DMR 001C TIN &amp; TP'!$A$3:$A$10005),0),MATCH('Reg 85'!$K$11,'DMR 001C TIN &amp; TP'!$A$2:$M$2,0))),"")</f>
        <v>0.51</v>
      </c>
      <c r="L352" s="53">
        <f t="shared" si="143"/>
        <v>0.51</v>
      </c>
      <c r="M352" s="5" t="str">
        <f t="shared" si="132"/>
        <v/>
      </c>
      <c r="N352" s="6" t="str">
        <f t="array" ref="N352">_xlfn.IFNA((INDEX('DMR 001C TIN &amp; TP'!$A$3:$M$10005,MATCH(('Reg 85'!$I$6:$Q$6&amp;'Reg 85'!$M$10&amp;'Reg 85'!$B352),('DMR 001C TIN &amp; TP'!$E$3:$E$10005&amp;'DMR 001C TIN &amp; TP'!$B$3:$B$10005&amp;'DMR 001C TIN &amp; TP'!$A$3:$A$10005),0),MATCH('Reg 85'!$N$11,'DMR 001C TIN &amp; TP'!$A$2:$M$2,0))),"")</f>
        <v>0.15</v>
      </c>
      <c r="O352" s="6">
        <f t="array" ref="O352">_xlfn.IFNA((INDEX('DMR 001C TIN &amp; TP'!$A$3:$M$10005,MATCH(('Reg 85'!$I$6:$Q$6&amp;'Reg 85'!$M$10&amp;'Reg 85'!$B352),('DMR 001C TIN &amp; TP'!$E$3:$E$10005&amp;'DMR 001C TIN &amp; TP'!$B$3:$B$10005&amp;'DMR 001C TIN &amp; TP'!$A$3:$A$10005),0),MATCH('Reg 85'!$O$11,'DMR 001C TIN &amp; TP'!$A$2:$M$2,0))),"")</f>
        <v>0.73</v>
      </c>
      <c r="P352" s="53">
        <f t="shared" si="133"/>
        <v>0.73</v>
      </c>
      <c r="Q352" s="73">
        <f t="array" ref="Q352">IFERROR(((L352*$F352)+(P352*$G352))/($H352),"")</f>
        <v>0.62537119314575507</v>
      </c>
      <c r="R352" s="6" t="str">
        <f t="array" ref="R352">_xlfn.IFNA((INDEX('DMR 001C TIN &amp; TP'!$A$3:$M$10005,MATCH(('Reg 85'!$I$6:$Q$6&amp;'Reg 85'!R$10&amp;'Reg 85'!$B352),('DMR 001C TIN &amp; TP'!$E$3:$E$10005&amp;'DMR 001C TIN &amp; TP'!$B$3:$B$10005&amp;'DMR 001C TIN &amp; TP'!$A$3:$A$10005),0),MATCH('Reg 85'!$O$11,'DMR 001C TIN &amp; TP'!$A$2:$M$2,0))),"")</f>
        <v/>
      </c>
      <c r="S352" s="6" t="str">
        <f t="array" ref="S352">_xlfn.IFNA((INDEX('DMR 001C TIN &amp; TP'!$A$3:$M$10005,MATCH(('Reg 85'!$I$6:$Q$6&amp;'Reg 85'!S$10&amp;'Reg 85'!$B352),('DMR 001C TIN &amp; TP'!$E$3:$E$10005&amp;'DMR 001C TIN &amp; TP'!$B$3:$B$10005&amp;'DMR 001C TIN &amp; TP'!$A$3:$A$10005),0),MATCH('Reg 85'!$O$11,'DMR 001C TIN &amp; TP'!$A$2:$M$2,0))),"")</f>
        <v/>
      </c>
      <c r="T352" s="6" t="str">
        <f t="array" ref="T352">_xlfn.IFNA((INDEX('DMR 001C TIN &amp; TP'!$A$3:$M$10005,MATCH(('Reg 85'!$I$6:$Q$6&amp;'Reg 85'!T$10&amp;'Reg 85'!$B352),('DMR 001C TIN &amp; TP'!$E$3:$E$10005&amp;'DMR 001C TIN &amp; TP'!$B$3:$B$10005&amp;'DMR 001C TIN &amp; TP'!$A$3:$A$10005),0),MATCH('Reg 85'!$O$11,'DMR 001C TIN &amp; TP'!$A$2:$M$2,0))),"")</f>
        <v/>
      </c>
      <c r="U352" s="6" t="str">
        <f t="array" ref="U352">_xlfn.IFNA((INDEX('DMR 001C TIN &amp; TP'!$A$3:$M$10005,MATCH(('Reg 85'!$I$6:$Q$6&amp;'Reg 85'!U$10&amp;'Reg 85'!$B352),('DMR 001C TIN &amp; TP'!$E$3:$E$10005&amp;'DMR 001C TIN &amp; TP'!$B$3:$B$10005&amp;'DMR 001C TIN &amp; TP'!$A$3:$A$10005),0),MATCH('Reg 85'!$O$11,'DMR 001C TIN &amp; TP'!$A$2:$M$2,0))),"")</f>
        <v/>
      </c>
      <c r="V352" s="6" t="str">
        <f t="array" ref="V352">_xlfn.IFNA((INDEX('DMR 001C TIN &amp; TP'!$A$3:$M$10005,MATCH(('Reg 85'!$I$6:$Q$6&amp;'Reg 85'!V$10&amp;'Reg 85'!$B352),('DMR 001C TIN &amp; TP'!$E$3:$E$10005&amp;'DMR 001C TIN &amp; TP'!$B$3:$B$10005&amp;'DMR 001C TIN &amp; TP'!$A$3:$A$10005),0),MATCH('Reg 85'!$O$11,'DMR 001C TIN &amp; TP'!$A$2:$M$2,0))),"")</f>
        <v/>
      </c>
      <c r="W352" s="6" t="str">
        <f t="array" ref="W352">_xlfn.IFNA((INDEX('DMR 001C TIN &amp; TP'!$A$3:$M$10005,MATCH(('Reg 85'!$I$6:$Q$6&amp;'Reg 85'!W$10&amp;'Reg 85'!$B352),('DMR 001C TIN &amp; TP'!$E$3:$E$10005&amp;'DMR 001C TIN &amp; TP'!$B$3:$B$10005&amp;'DMR 001C TIN &amp; TP'!$A$3:$A$10005),0),MATCH('Reg 85'!$O$11,'DMR 001C TIN &amp; TP'!$A$2:$M$2,0))),"")</f>
        <v/>
      </c>
      <c r="X352" s="5" t="str">
        <f t="shared" si="134"/>
        <v/>
      </c>
      <c r="Y352" s="6" t="str">
        <f t="array" ref="Y352">_xlfn.IFNA((INDEX('DMR 001C TIN &amp; TP'!$A$3:$M$10005,MATCH(('Reg 85'!$X$6&amp;'Reg 85'!$X$10&amp;'Reg 85'!$B352),('DMR 001C TIN &amp; TP'!$E$3:$E$10005&amp;'DMR 001C TIN &amp; TP'!$B$3:$B$10005&amp;'DMR 001C TIN &amp; TP'!$A$3:$A$10005),0),MATCH('Reg 85'!$Y$11,'DMR 001C TIN &amp; TP'!$A$2:$M$2,0))),"")</f>
        <v>0.18</v>
      </c>
      <c r="Z352" s="6">
        <f t="array" ref="Z352">_xlfn.IFNA((INDEX('DMR 001C TIN &amp; TP'!$A$3:$M$10005,MATCH(('Reg 85'!$X$6&amp;'Reg 85'!$X$10&amp;'Reg 85'!$B352),('DMR 001C TIN &amp; TP'!$E$3:$E$10005&amp;'DMR 001C TIN &amp; TP'!$B$3:$B$10005&amp;'DMR 001C TIN &amp; TP'!$A$3:$A$10005),0),MATCH('Reg 85'!$Z$11,'DMR 001C TIN &amp; TP'!$A$2:$M$2,0))),"")</f>
        <v>2.76</v>
      </c>
      <c r="AA352" s="53">
        <f t="shared" si="135"/>
        <v>2.76</v>
      </c>
      <c r="AB352" s="5" t="str">
        <f t="shared" si="136"/>
        <v/>
      </c>
      <c r="AC352" s="6" t="str">
        <f t="array" ref="AC352">_xlfn.IFNA((INDEX('DMR 001C TIN &amp; TP'!$A$3:$M$10005,MATCH(('Reg 85'!$X$6&amp;'Reg 85'!$AB$10&amp;'Reg 85'!$B352),('DMR 001C TIN &amp; TP'!$E$3:$E$10005&amp;'DMR 001C TIN &amp; TP'!$B$3:$B$10005&amp;'DMR 001C TIN &amp; TP'!$A$3:$A$10005),0),MATCH('Reg 85'!$AC$11,'DMR 001C TIN &amp; TP'!$A$2:$M$2,0))),"")</f>
        <v>0.06</v>
      </c>
      <c r="AD352" s="6">
        <f t="array" ref="AD352">_xlfn.IFNA((INDEX('DMR 001C TIN &amp; TP'!$A$3:$M$10005,MATCH(('Reg 85'!$X$6&amp;'Reg 85'!$AB$10&amp;'Reg 85'!$B352),('DMR 001C TIN &amp; TP'!$E$3:$E$10005&amp;'DMR 001C TIN &amp; TP'!$B$3:$B$10005&amp;'DMR 001C TIN &amp; TP'!$A$3:$A$10005),0),MATCH('Reg 85'!$AD$11,'DMR 001C TIN &amp; TP'!$A$2:$M$2,0))),"")</f>
        <v>5.12</v>
      </c>
      <c r="AE352" s="53">
        <f t="shared" si="137"/>
        <v>5.12</v>
      </c>
      <c r="AF352" s="7">
        <f t="shared" si="138"/>
        <v>3.9976182537453715</v>
      </c>
      <c r="AG352" s="6" t="str">
        <f t="array" ref="AG352">_xlfn.IFNA((INDEX('DMR 001C TIN &amp; TP'!$A$3:$M$10005,MATCH(('Reg 85'!$X$6&amp;'Reg 85'!AG$10&amp;'Reg 85'!$B352),('DMR 001C TIN &amp; TP'!$E$3:$E$10005&amp;'DMR 001C TIN &amp; TP'!$B$3:$B$10005&amp;'DMR 001C TIN &amp; TP'!$A$3:$A$10005),0),MATCH('Reg 85'!$AG$11,'DMR 001C TIN &amp; TP'!$A$2:$M$2,0))),"")</f>
        <v/>
      </c>
      <c r="AH352" s="6" t="str">
        <f t="array" ref="AH352">_xlfn.IFNA((INDEX('DMR 001C TIN &amp; TP'!$A$3:$M$10005,MATCH(('Reg 85'!$X$6&amp;'Reg 85'!AH$10&amp;'Reg 85'!$B352),('DMR 001C TIN &amp; TP'!$E$3:$E$10005&amp;'DMR 001C TIN &amp; TP'!$B$3:$B$10005&amp;'DMR 001C TIN &amp; TP'!$A$3:$A$10005),0),MATCH('Reg 85'!$AG$11,'DMR 001C TIN &amp; TP'!$A$2:$M$2,0))),"")</f>
        <v/>
      </c>
      <c r="AI352" s="6" t="str">
        <f t="array" ref="AI352">_xlfn.IFNA((INDEX('DMR 001C TIN &amp; TP'!$A$3:$M$10005,MATCH(('Reg 85'!$X$6&amp;'Reg 85'!AI$10&amp;'Reg 85'!$B352),('DMR 001C TIN &amp; TP'!$E$3:$E$10005&amp;'DMR 001C TIN &amp; TP'!$B$3:$B$10005&amp;'DMR 001C TIN &amp; TP'!$A$3:$A$10005),0),MATCH('Reg 85'!$AG$11,'DMR 001C TIN &amp; TP'!$A$2:$M$2,0))),"")</f>
        <v/>
      </c>
      <c r="AJ352" s="6" t="str">
        <f t="array" ref="AJ352">_xlfn.IFNA((INDEX('DMR 001C TIN &amp; TP'!$A$3:$M$10005,MATCH(('Reg 85'!$X$6&amp;'Reg 85'!AJ$10&amp;'Reg 85'!$B352),('DMR 001C TIN &amp; TP'!$E$3:$E$10005&amp;'DMR 001C TIN &amp; TP'!$B$3:$B$10005&amp;'DMR 001C TIN &amp; TP'!$A$3:$A$10005),0),MATCH('Reg 85'!$AG$11,'DMR 001C TIN &amp; TP'!$A$2:$M$2,0))),"")</f>
        <v/>
      </c>
      <c r="AK352" s="6" t="str">
        <f t="array" ref="AK352">_xlfn.IFNA((INDEX('DMR 001C TIN &amp; TP'!$A$3:$M$10005,MATCH(('Reg 85'!$X$6&amp;'Reg 85'!AK$10&amp;'Reg 85'!$B352),('DMR 001C TIN &amp; TP'!$E$3:$E$10005&amp;'DMR 001C TIN &amp; TP'!$B$3:$B$10005&amp;'DMR 001C TIN &amp; TP'!$A$3:$A$10005),0),MATCH('Reg 85'!$AG$11,'DMR 001C TIN &amp; TP'!$A$2:$M$2,0))),"")</f>
        <v/>
      </c>
      <c r="AL352" s="6" t="str">
        <f t="array" ref="AL352">_xlfn.IFNA((INDEX('DMR 001C TIN &amp; TP'!$A$3:$M$10005,MATCH(('Reg 85'!$X$6&amp;'Reg 85'!AL$10&amp;'Reg 85'!$B352),('DMR 001C TIN &amp; TP'!$E$3:$E$10005&amp;'DMR 001C TIN &amp; TP'!$B$3:$B$10005&amp;'DMR 001C TIN &amp; TP'!$A$3:$A$10005),0),MATCH('Reg 85'!$AG$11,'DMR 001C TIN &amp; TP'!$A$2:$M$2,0))),"")</f>
        <v/>
      </c>
      <c r="AM352" s="76"/>
      <c r="AN352" s="6"/>
      <c r="AO352" s="54">
        <f t="shared" si="125"/>
        <v>4.6229894468911263</v>
      </c>
      <c r="AP352" s="77" t="str">
        <f t="shared" si="123"/>
        <v/>
      </c>
      <c r="AQ352" s="47"/>
      <c r="AR352" s="6" t="str">
        <f t="array" ref="AR352">_xlfn.IFNA((INDEX('DMR 001C TIN &amp; TP'!$A$3:$M$10005,MATCH(('Reg 85'!$AQ$6&amp;'Reg 85'!$AQ$10&amp;'Reg 85'!$B352),('DMR 001C TIN &amp; TP'!$E$3:$E$10005&amp;'DMR 001C TIN &amp; TP'!$B$3:$B$10005&amp;'DMR 001C TIN &amp; TP'!$A$3:$A$10005),0),MATCH('Reg 85'!$AR$11,'DMR 001C TIN &amp; TP'!$A$2:$M$2,0))),"")</f>
        <v/>
      </c>
      <c r="AS352" s="6" t="str">
        <f t="array" ref="AS352">_xlfn.IFNA((INDEX('DMR 001C TIN &amp; TP'!$A$3:$M$10005,MATCH(('Reg 85'!$AQ$6&amp;'Reg 85'!$AQ$10&amp;'Reg 85'!$B352),('DMR 001C TIN &amp; TP'!$E$3:$E$10005&amp;'DMR 001C TIN &amp; TP'!$B$3:$B$10005&amp;'DMR 001C TIN &amp; TP'!$A$3:$A$10005),0),MATCH('Reg 85'!$AS$11,'DMR 001C TIN &amp; TP'!$A$2:$M$2,0))),"")</f>
        <v/>
      </c>
      <c r="AT352" s="53" t="str">
        <f t="shared" si="139"/>
        <v/>
      </c>
      <c r="AV352" s="6" t="str">
        <f t="array" ref="AV352">_xlfn.IFNA((INDEX('DMR 001C TIN &amp; TP'!$A$3:$M$10005,MATCH(('Reg 85'!$AQ$6&amp;'Reg 85'!$AU$10&amp;'Reg 85'!$B352),('DMR 001C TIN &amp; TP'!$E$3:$E$10005&amp;'DMR 001C TIN &amp; TP'!$B$3:$B$10005&amp;'DMR 001C TIN &amp; TP'!$A$3:$A$10005),0),MATCH('Reg 85'!$AV$11,'DMR 001C TIN &amp; TP'!$A$2:$M$2,0))),"")</f>
        <v/>
      </c>
      <c r="AW352" s="6" t="str">
        <f t="array" ref="AW352">_xlfn.IFNA((INDEX('DMR 001C TIN &amp; TP'!$A$3:$M$10005,MATCH(('Reg 85'!$AQ$6&amp;'Reg 85'!$AU$10&amp;'Reg 85'!$B352),('DMR 001C TIN &amp; TP'!$E$3:$E$10005&amp;'DMR 001C TIN &amp; TP'!$B$3:$B$10005&amp;'DMR 001C TIN &amp; TP'!$A$3:$A$10005),0),MATCH('Reg 85'!$AW$11,'DMR 001C TIN &amp; TP'!$A$2:$M$2,0))),"")</f>
        <v/>
      </c>
      <c r="AX352" s="53" t="str">
        <f t="shared" si="140"/>
        <v/>
      </c>
      <c r="AY352" s="55" t="str">
        <f t="shared" si="141"/>
        <v/>
      </c>
      <c r="AZ352" s="77" t="str">
        <f t="shared" si="124"/>
        <v/>
      </c>
      <c r="BA352" s="6" t="str">
        <f t="array" ref="BA352">_xlfn.IFNA((INDEX('DMR 001C TIN &amp; TP'!$A$3:$M$10005,MATCH(('Reg 85'!$AQ$6&amp;'Reg 85'!BA$10&amp;'Reg 85'!$B352),('DMR 001C TIN &amp; TP'!$E$3:$E$10005&amp;'DMR 001C TIN &amp; TP'!$B$3:$B$10005&amp;'DMR 001C TIN &amp; TP'!$A$3:$A$10005),0),MATCH('Reg 85'!$AG$11,'DMR 001C TIN &amp; TP'!$A$2:$M$2,0))),"")</f>
        <v/>
      </c>
      <c r="BB352" s="6" t="str">
        <f t="array" ref="BB352">_xlfn.IFNA((INDEX('DMR 001C TIN &amp; TP'!$A$3:$M$10005,MATCH(('Reg 85'!$AQ$6&amp;'Reg 85'!BB$10&amp;'Reg 85'!$B352),('DMR 001C TIN &amp; TP'!$E$3:$E$10005&amp;'DMR 001C TIN &amp; TP'!$B$3:$B$10005&amp;'DMR 001C TIN &amp; TP'!$A$3:$A$10005),0),MATCH('Reg 85'!$AG$11,'DMR 001C TIN &amp; TP'!$A$2:$M$2,0))),"")</f>
        <v/>
      </c>
      <c r="BC352" s="6" t="str">
        <f t="array" ref="BC352">_xlfn.IFNA((INDEX('DMR 001C TIN &amp; TP'!$A$3:$M$10005,MATCH(('Reg 85'!$AQ$6&amp;'Reg 85'!BC$10&amp;'Reg 85'!$B352),('DMR 001C TIN &amp; TP'!$E$3:$E$10005&amp;'DMR 001C TIN &amp; TP'!$B$3:$B$10005&amp;'DMR 001C TIN &amp; TP'!$A$3:$A$10005),0),MATCH('Reg 85'!$AG$11,'DMR 001C TIN &amp; TP'!$A$2:$M$2,0))),"")</f>
        <v/>
      </c>
      <c r="BD352" s="6" t="str">
        <f t="array" ref="BD352">_xlfn.IFNA((INDEX('DMR 001C TIN &amp; TP'!$A$3:$M$10005,MATCH(('Reg 85'!$AQ$6&amp;'Reg 85'!BD$10&amp;'Reg 85'!$B352),('DMR 001C TIN &amp; TP'!$E$3:$E$10005&amp;'DMR 001C TIN &amp; TP'!$B$3:$B$10005&amp;'DMR 001C TIN &amp; TP'!$A$3:$A$10005),0),MATCH('Reg 85'!$AG$11,'DMR 001C TIN &amp; TP'!$A$2:$M$2,0))),"")</f>
        <v/>
      </c>
      <c r="BE352" s="6" t="str">
        <f t="array" ref="BE352">_xlfn.IFNA((INDEX('DMR 001C TIN &amp; TP'!$A$3:$M$10005,MATCH(('Reg 85'!$AQ$6&amp;'Reg 85'!BE$10&amp;'Reg 85'!$B352),('DMR 001C TIN &amp; TP'!$E$3:$E$10005&amp;'DMR 001C TIN &amp; TP'!$B$3:$B$10005&amp;'DMR 001C TIN &amp; TP'!$A$3:$A$10005),0),MATCH('Reg 85'!$AG$11,'DMR 001C TIN &amp; TP'!$A$2:$M$2,0))),"")</f>
        <v/>
      </c>
      <c r="BF352" s="6" t="str">
        <f t="array" ref="BF352">_xlfn.IFNA((INDEX('DMR 001C TIN &amp; TP'!$A$3:$M$10005,MATCH(('Reg 85'!$AQ$6&amp;'Reg 85'!BF$10&amp;'Reg 85'!$B352),('DMR 001C TIN &amp; TP'!$E$3:$E$10005&amp;'DMR 001C TIN &amp; TP'!$B$3:$B$10005&amp;'DMR 001C TIN &amp; TP'!$A$3:$A$10005),0),MATCH('Reg 85'!$AG$11,'DMR 001C TIN &amp; TP'!$A$2:$M$2,0))),"")</f>
        <v/>
      </c>
    </row>
    <row r="353" spans="1:58">
      <c r="A353" s="3" t="str">
        <f t="shared" si="126"/>
        <v>Thu</v>
      </c>
      <c r="B353" s="96">
        <f t="shared" si="142"/>
        <v>43685</v>
      </c>
      <c r="C353" s="96">
        <f t="shared" si="127"/>
        <v>43708</v>
      </c>
      <c r="D353" s="96">
        <f t="shared" si="128"/>
        <v>43678</v>
      </c>
      <c r="E353" s="95">
        <f t="shared" si="129"/>
        <v>31</v>
      </c>
      <c r="F353" s="7">
        <f t="array" ref="F353">_xlfn.IFNA(INDEX('DMR Flows-Effluent'!$A$3:$F$9999,MATCH(($F$10&amp;$B353),('DMR Flows-Effluent'!$B$3:$B$9999&amp;'DMR Flows-Effluent'!$A$3:$A$9999),0),MATCH($F$8,'DMR Flows-Effluent'!$A$2:$F$2,0)),"")</f>
        <v>53.7104</v>
      </c>
      <c r="G353" s="7">
        <f t="array" ref="G353">_xlfn.IFNA(INDEX('DMR Flows-Effluent'!$A$3:$F$9999,MATCH(($G$10&amp;$B353),('DMR Flows-Effluent'!$B$3:$B$9999&amp;'DMR Flows-Effluent'!$A$3:$A$9999),0),MATCH($F$8,'DMR Flows-Effluent'!$A$2:$F$2,0)),"")</f>
        <v>70.550399999999996</v>
      </c>
      <c r="H353" s="7">
        <f t="shared" si="130"/>
        <v>124.26079999999999</v>
      </c>
      <c r="I353" s="45" t="str">
        <f t="shared" si="131"/>
        <v/>
      </c>
      <c r="J353" s="6" t="str">
        <f t="array" ref="J353">_xlfn.IFNA((INDEX('DMR 001C TIN &amp; TP'!$A$3:$M$10005,MATCH(('Reg 85'!$I$6:$Q$6&amp;'Reg 85'!$I$10:$K$10&amp;'Reg 85'!$B353),('DMR 001C TIN &amp; TP'!$E$3:$E$10005&amp;'DMR 001C TIN &amp; TP'!$B$3:$B$10005&amp;'DMR 001C TIN &amp; TP'!$A$3:$A$10005),0),MATCH('Reg 85'!$J$11,'DMR 001C TIN &amp; TP'!$A$2:$M$2,0))),"")</f>
        <v/>
      </c>
      <c r="K353" s="6" t="str">
        <f t="array" ref="K353">_xlfn.IFNA((INDEX('DMR 001C TIN &amp; TP'!$A$3:$M$10005,MATCH(('Reg 85'!$I$6:$Q$6&amp;'Reg 85'!$I$10:$K$10&amp;'Reg 85'!$B353),('DMR 001C TIN &amp; TP'!$E$3:$E$10005&amp;'DMR 001C TIN &amp; TP'!$B$3:$B$10005&amp;'DMR 001C TIN &amp; TP'!$A$3:$A$10005),0),MATCH('Reg 85'!$K$11,'DMR 001C TIN &amp; TP'!$A$2:$M$2,0))),"")</f>
        <v/>
      </c>
      <c r="L353" s="53" t="str">
        <f t="shared" si="143"/>
        <v/>
      </c>
      <c r="M353" s="5" t="str">
        <f t="shared" si="132"/>
        <v/>
      </c>
      <c r="N353" s="6" t="str">
        <f t="array" ref="N353">_xlfn.IFNA((INDEX('DMR 001C TIN &amp; TP'!$A$3:$M$10005,MATCH(('Reg 85'!$I$6:$Q$6&amp;'Reg 85'!$M$10&amp;'Reg 85'!$B353),('DMR 001C TIN &amp; TP'!$E$3:$E$10005&amp;'DMR 001C TIN &amp; TP'!$B$3:$B$10005&amp;'DMR 001C TIN &amp; TP'!$A$3:$A$10005),0),MATCH('Reg 85'!$N$11,'DMR 001C TIN &amp; TP'!$A$2:$M$2,0))),"")</f>
        <v/>
      </c>
      <c r="O353" s="6" t="str">
        <f t="array" ref="O353">_xlfn.IFNA((INDEX('DMR 001C TIN &amp; TP'!$A$3:$M$10005,MATCH(('Reg 85'!$I$6:$Q$6&amp;'Reg 85'!$M$10&amp;'Reg 85'!$B353),('DMR 001C TIN &amp; TP'!$E$3:$E$10005&amp;'DMR 001C TIN &amp; TP'!$B$3:$B$10005&amp;'DMR 001C TIN &amp; TP'!$A$3:$A$10005),0),MATCH('Reg 85'!$O$11,'DMR 001C TIN &amp; TP'!$A$2:$M$2,0))),"")</f>
        <v/>
      </c>
      <c r="P353" s="53" t="str">
        <f t="shared" si="133"/>
        <v/>
      </c>
      <c r="Q353" s="73" t="str">
        <f t="array" ref="Q353">IFERROR(((L353*$F353)+(P353*$G353))/($H353),"")</f>
        <v/>
      </c>
      <c r="R353" s="6" t="str">
        <f t="array" ref="R353">_xlfn.IFNA((INDEX('DMR 001C TIN &amp; TP'!$A$3:$M$10005,MATCH(('Reg 85'!$I$6:$Q$6&amp;'Reg 85'!R$10&amp;'Reg 85'!$B353),('DMR 001C TIN &amp; TP'!$E$3:$E$10005&amp;'DMR 001C TIN &amp; TP'!$B$3:$B$10005&amp;'DMR 001C TIN &amp; TP'!$A$3:$A$10005),0),MATCH('Reg 85'!$O$11,'DMR 001C TIN &amp; TP'!$A$2:$M$2,0))),"")</f>
        <v/>
      </c>
      <c r="S353" s="6" t="str">
        <f t="array" ref="S353">_xlfn.IFNA((INDEX('DMR 001C TIN &amp; TP'!$A$3:$M$10005,MATCH(('Reg 85'!$I$6:$Q$6&amp;'Reg 85'!S$10&amp;'Reg 85'!$B353),('DMR 001C TIN &amp; TP'!$E$3:$E$10005&amp;'DMR 001C TIN &amp; TP'!$B$3:$B$10005&amp;'DMR 001C TIN &amp; TP'!$A$3:$A$10005),0),MATCH('Reg 85'!$O$11,'DMR 001C TIN &amp; TP'!$A$2:$M$2,0))),"")</f>
        <v/>
      </c>
      <c r="T353" s="6" t="str">
        <f t="array" ref="T353">_xlfn.IFNA((INDEX('DMR 001C TIN &amp; TP'!$A$3:$M$10005,MATCH(('Reg 85'!$I$6:$Q$6&amp;'Reg 85'!T$10&amp;'Reg 85'!$B353),('DMR 001C TIN &amp; TP'!$E$3:$E$10005&amp;'DMR 001C TIN &amp; TP'!$B$3:$B$10005&amp;'DMR 001C TIN &amp; TP'!$A$3:$A$10005),0),MATCH('Reg 85'!$O$11,'DMR 001C TIN &amp; TP'!$A$2:$M$2,0))),"")</f>
        <v/>
      </c>
      <c r="U353" s="6" t="str">
        <f t="array" ref="U353">_xlfn.IFNA((INDEX('DMR 001C TIN &amp; TP'!$A$3:$M$10005,MATCH(('Reg 85'!$I$6:$Q$6&amp;'Reg 85'!U$10&amp;'Reg 85'!$B353),('DMR 001C TIN &amp; TP'!$E$3:$E$10005&amp;'DMR 001C TIN &amp; TP'!$B$3:$B$10005&amp;'DMR 001C TIN &amp; TP'!$A$3:$A$10005),0),MATCH('Reg 85'!$O$11,'DMR 001C TIN &amp; TP'!$A$2:$M$2,0))),"")</f>
        <v/>
      </c>
      <c r="V353" s="6" t="str">
        <f t="array" ref="V353">_xlfn.IFNA((INDEX('DMR 001C TIN &amp; TP'!$A$3:$M$10005,MATCH(('Reg 85'!$I$6:$Q$6&amp;'Reg 85'!V$10&amp;'Reg 85'!$B353),('DMR 001C TIN &amp; TP'!$E$3:$E$10005&amp;'DMR 001C TIN &amp; TP'!$B$3:$B$10005&amp;'DMR 001C TIN &amp; TP'!$A$3:$A$10005),0),MATCH('Reg 85'!$O$11,'DMR 001C TIN &amp; TP'!$A$2:$M$2,0))),"")</f>
        <v/>
      </c>
      <c r="W353" s="6" t="str">
        <f t="array" ref="W353">_xlfn.IFNA((INDEX('DMR 001C TIN &amp; TP'!$A$3:$M$10005,MATCH(('Reg 85'!$I$6:$Q$6&amp;'Reg 85'!W$10&amp;'Reg 85'!$B353),('DMR 001C TIN &amp; TP'!$E$3:$E$10005&amp;'DMR 001C TIN &amp; TP'!$B$3:$B$10005&amp;'DMR 001C TIN &amp; TP'!$A$3:$A$10005),0),MATCH('Reg 85'!$O$11,'DMR 001C TIN &amp; TP'!$A$2:$M$2,0))),"")</f>
        <v/>
      </c>
      <c r="X353" s="5" t="str">
        <f t="shared" si="134"/>
        <v/>
      </c>
      <c r="Y353" s="6" t="str">
        <f t="array" ref="Y353">_xlfn.IFNA((INDEX('DMR 001C TIN &amp; TP'!$A$3:$M$10005,MATCH(('Reg 85'!$X$6&amp;'Reg 85'!$X$10&amp;'Reg 85'!$B353),('DMR 001C TIN &amp; TP'!$E$3:$E$10005&amp;'DMR 001C TIN &amp; TP'!$B$3:$B$10005&amp;'DMR 001C TIN &amp; TP'!$A$3:$A$10005),0),MATCH('Reg 85'!$Y$11,'DMR 001C TIN &amp; TP'!$A$2:$M$2,0))),"")</f>
        <v/>
      </c>
      <c r="Z353" s="6" t="str">
        <f t="array" ref="Z353">_xlfn.IFNA((INDEX('DMR 001C TIN &amp; TP'!$A$3:$M$10005,MATCH(('Reg 85'!$X$6&amp;'Reg 85'!$X$10&amp;'Reg 85'!$B353),('DMR 001C TIN &amp; TP'!$E$3:$E$10005&amp;'DMR 001C TIN &amp; TP'!$B$3:$B$10005&amp;'DMR 001C TIN &amp; TP'!$A$3:$A$10005),0),MATCH('Reg 85'!$Z$11,'DMR 001C TIN &amp; TP'!$A$2:$M$2,0))),"")</f>
        <v/>
      </c>
      <c r="AA353" s="53" t="str">
        <f t="shared" si="135"/>
        <v/>
      </c>
      <c r="AB353" s="5" t="str">
        <f t="shared" si="136"/>
        <v/>
      </c>
      <c r="AC353" s="6" t="str">
        <f t="array" ref="AC353">_xlfn.IFNA((INDEX('DMR 001C TIN &amp; TP'!$A$3:$M$10005,MATCH(('Reg 85'!$X$6&amp;'Reg 85'!$AB$10&amp;'Reg 85'!$B353),('DMR 001C TIN &amp; TP'!$E$3:$E$10005&amp;'DMR 001C TIN &amp; TP'!$B$3:$B$10005&amp;'DMR 001C TIN &amp; TP'!$A$3:$A$10005),0),MATCH('Reg 85'!$AC$11,'DMR 001C TIN &amp; TP'!$A$2:$M$2,0))),"")</f>
        <v/>
      </c>
      <c r="AD353" s="6" t="str">
        <f t="array" ref="AD353">_xlfn.IFNA((INDEX('DMR 001C TIN &amp; TP'!$A$3:$M$10005,MATCH(('Reg 85'!$X$6&amp;'Reg 85'!$AB$10&amp;'Reg 85'!$B353),('DMR 001C TIN &amp; TP'!$E$3:$E$10005&amp;'DMR 001C TIN &amp; TP'!$B$3:$B$10005&amp;'DMR 001C TIN &amp; TP'!$A$3:$A$10005),0),MATCH('Reg 85'!$AD$11,'DMR 001C TIN &amp; TP'!$A$2:$M$2,0))),"")</f>
        <v/>
      </c>
      <c r="AE353" s="53" t="str">
        <f t="shared" si="137"/>
        <v/>
      </c>
      <c r="AF353" s="7" t="str">
        <f t="shared" si="138"/>
        <v/>
      </c>
      <c r="AG353" s="6" t="str">
        <f t="array" ref="AG353">_xlfn.IFNA((INDEX('DMR 001C TIN &amp; TP'!$A$3:$M$10005,MATCH(('Reg 85'!$X$6&amp;'Reg 85'!AG$10&amp;'Reg 85'!$B353),('DMR 001C TIN &amp; TP'!$E$3:$E$10005&amp;'DMR 001C TIN &amp; TP'!$B$3:$B$10005&amp;'DMR 001C TIN &amp; TP'!$A$3:$A$10005),0),MATCH('Reg 85'!$AG$11,'DMR 001C TIN &amp; TP'!$A$2:$M$2,0))),"")</f>
        <v/>
      </c>
      <c r="AH353" s="6" t="str">
        <f t="array" ref="AH353">_xlfn.IFNA((INDEX('DMR 001C TIN &amp; TP'!$A$3:$M$10005,MATCH(('Reg 85'!$X$6&amp;'Reg 85'!AH$10&amp;'Reg 85'!$B353),('DMR 001C TIN &amp; TP'!$E$3:$E$10005&amp;'DMR 001C TIN &amp; TP'!$B$3:$B$10005&amp;'DMR 001C TIN &amp; TP'!$A$3:$A$10005),0),MATCH('Reg 85'!$AG$11,'DMR 001C TIN &amp; TP'!$A$2:$M$2,0))),"")</f>
        <v/>
      </c>
      <c r="AI353" s="6" t="str">
        <f t="array" ref="AI353">_xlfn.IFNA((INDEX('DMR 001C TIN &amp; TP'!$A$3:$M$10005,MATCH(('Reg 85'!$X$6&amp;'Reg 85'!AI$10&amp;'Reg 85'!$B353),('DMR 001C TIN &amp; TP'!$E$3:$E$10005&amp;'DMR 001C TIN &amp; TP'!$B$3:$B$10005&amp;'DMR 001C TIN &amp; TP'!$A$3:$A$10005),0),MATCH('Reg 85'!$AG$11,'DMR 001C TIN &amp; TP'!$A$2:$M$2,0))),"")</f>
        <v/>
      </c>
      <c r="AJ353" s="6" t="str">
        <f t="array" ref="AJ353">_xlfn.IFNA((INDEX('DMR 001C TIN &amp; TP'!$A$3:$M$10005,MATCH(('Reg 85'!$X$6&amp;'Reg 85'!AJ$10&amp;'Reg 85'!$B353),('DMR 001C TIN &amp; TP'!$E$3:$E$10005&amp;'DMR 001C TIN &amp; TP'!$B$3:$B$10005&amp;'DMR 001C TIN &amp; TP'!$A$3:$A$10005),0),MATCH('Reg 85'!$AG$11,'DMR 001C TIN &amp; TP'!$A$2:$M$2,0))),"")</f>
        <v/>
      </c>
      <c r="AK353" s="6" t="str">
        <f t="array" ref="AK353">_xlfn.IFNA((INDEX('DMR 001C TIN &amp; TP'!$A$3:$M$10005,MATCH(('Reg 85'!$X$6&amp;'Reg 85'!AK$10&amp;'Reg 85'!$B353),('DMR 001C TIN &amp; TP'!$E$3:$E$10005&amp;'DMR 001C TIN &amp; TP'!$B$3:$B$10005&amp;'DMR 001C TIN &amp; TP'!$A$3:$A$10005),0),MATCH('Reg 85'!$AG$11,'DMR 001C TIN &amp; TP'!$A$2:$M$2,0))),"")</f>
        <v/>
      </c>
      <c r="AL353" s="6" t="str">
        <f t="array" ref="AL353">_xlfn.IFNA((INDEX('DMR 001C TIN &amp; TP'!$A$3:$M$10005,MATCH(('Reg 85'!$X$6&amp;'Reg 85'!AL$10&amp;'Reg 85'!$B353),('DMR 001C TIN &amp; TP'!$E$3:$E$10005&amp;'DMR 001C TIN &amp; TP'!$B$3:$B$10005&amp;'DMR 001C TIN &amp; TP'!$A$3:$A$10005),0),MATCH('Reg 85'!$AG$11,'DMR 001C TIN &amp; TP'!$A$2:$M$2,0))),"")</f>
        <v/>
      </c>
      <c r="AM353" s="76"/>
      <c r="AN353" s="6"/>
      <c r="AO353" s="54" t="str">
        <f t="shared" si="125"/>
        <v/>
      </c>
      <c r="AP353" s="77" t="str">
        <f t="shared" si="123"/>
        <v/>
      </c>
      <c r="AQ353" s="47"/>
      <c r="AR353" s="6" t="str">
        <f t="array" ref="AR353">_xlfn.IFNA((INDEX('DMR 001C TIN &amp; TP'!$A$3:$M$10005,MATCH(('Reg 85'!$AQ$6&amp;'Reg 85'!$AQ$10&amp;'Reg 85'!$B353),('DMR 001C TIN &amp; TP'!$E$3:$E$10005&amp;'DMR 001C TIN &amp; TP'!$B$3:$B$10005&amp;'DMR 001C TIN &amp; TP'!$A$3:$A$10005),0),MATCH('Reg 85'!$AR$11,'DMR 001C TIN &amp; TP'!$A$2:$M$2,0))),"")</f>
        <v/>
      </c>
      <c r="AS353" s="6" t="str">
        <f t="array" ref="AS353">_xlfn.IFNA((INDEX('DMR 001C TIN &amp; TP'!$A$3:$M$10005,MATCH(('Reg 85'!$AQ$6&amp;'Reg 85'!$AQ$10&amp;'Reg 85'!$B353),('DMR 001C TIN &amp; TP'!$E$3:$E$10005&amp;'DMR 001C TIN &amp; TP'!$B$3:$B$10005&amp;'DMR 001C TIN &amp; TP'!$A$3:$A$10005),0),MATCH('Reg 85'!$AS$11,'DMR 001C TIN &amp; TP'!$A$2:$M$2,0))),"")</f>
        <v/>
      </c>
      <c r="AT353" s="53" t="str">
        <f t="shared" si="139"/>
        <v/>
      </c>
      <c r="AV353" s="6" t="str">
        <f t="array" ref="AV353">_xlfn.IFNA((INDEX('DMR 001C TIN &amp; TP'!$A$3:$M$10005,MATCH(('Reg 85'!$AQ$6&amp;'Reg 85'!$AU$10&amp;'Reg 85'!$B353),('DMR 001C TIN &amp; TP'!$E$3:$E$10005&amp;'DMR 001C TIN &amp; TP'!$B$3:$B$10005&amp;'DMR 001C TIN &amp; TP'!$A$3:$A$10005),0),MATCH('Reg 85'!$AV$11,'DMR 001C TIN &amp; TP'!$A$2:$M$2,0))),"")</f>
        <v/>
      </c>
      <c r="AW353" s="6" t="str">
        <f t="array" ref="AW353">_xlfn.IFNA((INDEX('DMR 001C TIN &amp; TP'!$A$3:$M$10005,MATCH(('Reg 85'!$AQ$6&amp;'Reg 85'!$AU$10&amp;'Reg 85'!$B353),('DMR 001C TIN &amp; TP'!$E$3:$E$10005&amp;'DMR 001C TIN &amp; TP'!$B$3:$B$10005&amp;'DMR 001C TIN &amp; TP'!$A$3:$A$10005),0),MATCH('Reg 85'!$AW$11,'DMR 001C TIN &amp; TP'!$A$2:$M$2,0))),"")</f>
        <v/>
      </c>
      <c r="AX353" s="53" t="str">
        <f t="shared" si="140"/>
        <v/>
      </c>
      <c r="AY353" s="55" t="str">
        <f t="shared" si="141"/>
        <v/>
      </c>
      <c r="AZ353" s="77" t="str">
        <f t="shared" si="124"/>
        <v/>
      </c>
      <c r="BA353" s="6" t="str">
        <f t="array" ref="BA353">_xlfn.IFNA((INDEX('DMR 001C TIN &amp; TP'!$A$3:$M$10005,MATCH(('Reg 85'!$AQ$6&amp;'Reg 85'!BA$10&amp;'Reg 85'!$B353),('DMR 001C TIN &amp; TP'!$E$3:$E$10005&amp;'DMR 001C TIN &amp; TP'!$B$3:$B$10005&amp;'DMR 001C TIN &amp; TP'!$A$3:$A$10005),0),MATCH('Reg 85'!$AG$11,'DMR 001C TIN &amp; TP'!$A$2:$M$2,0))),"")</f>
        <v/>
      </c>
      <c r="BB353" s="6" t="str">
        <f t="array" ref="BB353">_xlfn.IFNA((INDEX('DMR 001C TIN &amp; TP'!$A$3:$M$10005,MATCH(('Reg 85'!$AQ$6&amp;'Reg 85'!BB$10&amp;'Reg 85'!$B353),('DMR 001C TIN &amp; TP'!$E$3:$E$10005&amp;'DMR 001C TIN &amp; TP'!$B$3:$B$10005&amp;'DMR 001C TIN &amp; TP'!$A$3:$A$10005),0),MATCH('Reg 85'!$AG$11,'DMR 001C TIN &amp; TP'!$A$2:$M$2,0))),"")</f>
        <v/>
      </c>
      <c r="BC353" s="6" t="str">
        <f t="array" ref="BC353">_xlfn.IFNA((INDEX('DMR 001C TIN &amp; TP'!$A$3:$M$10005,MATCH(('Reg 85'!$AQ$6&amp;'Reg 85'!BC$10&amp;'Reg 85'!$B353),('DMR 001C TIN &amp; TP'!$E$3:$E$10005&amp;'DMR 001C TIN &amp; TP'!$B$3:$B$10005&amp;'DMR 001C TIN &amp; TP'!$A$3:$A$10005),0),MATCH('Reg 85'!$AG$11,'DMR 001C TIN &amp; TP'!$A$2:$M$2,0))),"")</f>
        <v/>
      </c>
      <c r="BD353" s="6" t="str">
        <f t="array" ref="BD353">_xlfn.IFNA((INDEX('DMR 001C TIN &amp; TP'!$A$3:$M$10005,MATCH(('Reg 85'!$AQ$6&amp;'Reg 85'!BD$10&amp;'Reg 85'!$B353),('DMR 001C TIN &amp; TP'!$E$3:$E$10005&amp;'DMR 001C TIN &amp; TP'!$B$3:$B$10005&amp;'DMR 001C TIN &amp; TP'!$A$3:$A$10005),0),MATCH('Reg 85'!$AG$11,'DMR 001C TIN &amp; TP'!$A$2:$M$2,0))),"")</f>
        <v/>
      </c>
      <c r="BE353" s="6" t="str">
        <f t="array" ref="BE353">_xlfn.IFNA((INDEX('DMR 001C TIN &amp; TP'!$A$3:$M$10005,MATCH(('Reg 85'!$AQ$6&amp;'Reg 85'!BE$10&amp;'Reg 85'!$B353),('DMR 001C TIN &amp; TP'!$E$3:$E$10005&amp;'DMR 001C TIN &amp; TP'!$B$3:$B$10005&amp;'DMR 001C TIN &amp; TP'!$A$3:$A$10005),0),MATCH('Reg 85'!$AG$11,'DMR 001C TIN &amp; TP'!$A$2:$M$2,0))),"")</f>
        <v/>
      </c>
      <c r="BF353" s="6" t="str">
        <f t="array" ref="BF353">_xlfn.IFNA((INDEX('DMR 001C TIN &amp; TP'!$A$3:$M$10005,MATCH(('Reg 85'!$AQ$6&amp;'Reg 85'!BF$10&amp;'Reg 85'!$B353),('DMR 001C TIN &amp; TP'!$E$3:$E$10005&amp;'DMR 001C TIN &amp; TP'!$B$3:$B$10005&amp;'DMR 001C TIN &amp; TP'!$A$3:$A$10005),0),MATCH('Reg 85'!$AG$11,'DMR 001C TIN &amp; TP'!$A$2:$M$2,0))),"")</f>
        <v/>
      </c>
    </row>
    <row r="354" spans="1:58">
      <c r="A354" s="3" t="str">
        <f t="shared" si="126"/>
        <v>Fri</v>
      </c>
      <c r="B354" s="96">
        <f t="shared" si="142"/>
        <v>43686</v>
      </c>
      <c r="C354" s="96">
        <f t="shared" si="127"/>
        <v>43708</v>
      </c>
      <c r="D354" s="96">
        <f t="shared" si="128"/>
        <v>43678</v>
      </c>
      <c r="E354" s="95">
        <f t="shared" si="129"/>
        <v>31</v>
      </c>
      <c r="F354" s="7">
        <f t="array" ref="F354">_xlfn.IFNA(INDEX('DMR Flows-Effluent'!$A$3:$F$9999,MATCH(($F$10&amp;$B354),('DMR Flows-Effluent'!$B$3:$B$9999&amp;'DMR Flows-Effluent'!$A$3:$A$9999),0),MATCH($F$8,'DMR Flows-Effluent'!$A$2:$F$2,0)),"")</f>
        <v>55.0336</v>
      </c>
      <c r="G354" s="7">
        <f t="array" ref="G354">_xlfn.IFNA(INDEX('DMR Flows-Effluent'!$A$3:$F$9999,MATCH(($G$10&amp;$B354),('DMR Flows-Effluent'!$B$3:$B$9999&amp;'DMR Flows-Effluent'!$A$3:$A$9999),0),MATCH($F$8,'DMR Flows-Effluent'!$A$2:$F$2,0)),"")</f>
        <v>71.215900000000005</v>
      </c>
      <c r="H354" s="7">
        <f t="shared" si="130"/>
        <v>126.24950000000001</v>
      </c>
      <c r="I354" s="45" t="str">
        <f t="shared" si="131"/>
        <v/>
      </c>
      <c r="J354" s="6" t="str">
        <f t="array" ref="J354">_xlfn.IFNA((INDEX('DMR 001C TIN &amp; TP'!$A$3:$M$10005,MATCH(('Reg 85'!$I$6:$Q$6&amp;'Reg 85'!$I$10:$K$10&amp;'Reg 85'!$B354),('DMR 001C TIN &amp; TP'!$E$3:$E$10005&amp;'DMR 001C TIN &amp; TP'!$B$3:$B$10005&amp;'DMR 001C TIN &amp; TP'!$A$3:$A$10005),0),MATCH('Reg 85'!$J$11,'DMR 001C TIN &amp; TP'!$A$2:$M$2,0))),"")</f>
        <v/>
      </c>
      <c r="K354" s="6" t="str">
        <f t="array" ref="K354">_xlfn.IFNA((INDEX('DMR 001C TIN &amp; TP'!$A$3:$M$10005,MATCH(('Reg 85'!$I$6:$Q$6&amp;'Reg 85'!$I$10:$K$10&amp;'Reg 85'!$B354),('DMR 001C TIN &amp; TP'!$E$3:$E$10005&amp;'DMR 001C TIN &amp; TP'!$B$3:$B$10005&amp;'DMR 001C TIN &amp; TP'!$A$3:$A$10005),0),MATCH('Reg 85'!$K$11,'DMR 001C TIN &amp; TP'!$A$2:$M$2,0))),"")</f>
        <v/>
      </c>
      <c r="L354" s="53" t="str">
        <f t="shared" si="143"/>
        <v/>
      </c>
      <c r="M354" s="5" t="str">
        <f t="shared" si="132"/>
        <v/>
      </c>
      <c r="N354" s="6" t="str">
        <f t="array" ref="N354">_xlfn.IFNA((INDEX('DMR 001C TIN &amp; TP'!$A$3:$M$10005,MATCH(('Reg 85'!$I$6:$Q$6&amp;'Reg 85'!$M$10&amp;'Reg 85'!$B354),('DMR 001C TIN &amp; TP'!$E$3:$E$10005&amp;'DMR 001C TIN &amp; TP'!$B$3:$B$10005&amp;'DMR 001C TIN &amp; TP'!$A$3:$A$10005),0),MATCH('Reg 85'!$N$11,'DMR 001C TIN &amp; TP'!$A$2:$M$2,0))),"")</f>
        <v/>
      </c>
      <c r="O354" s="6" t="str">
        <f t="array" ref="O354">_xlfn.IFNA((INDEX('DMR 001C TIN &amp; TP'!$A$3:$M$10005,MATCH(('Reg 85'!$I$6:$Q$6&amp;'Reg 85'!$M$10&amp;'Reg 85'!$B354),('DMR 001C TIN &amp; TP'!$E$3:$E$10005&amp;'DMR 001C TIN &amp; TP'!$B$3:$B$10005&amp;'DMR 001C TIN &amp; TP'!$A$3:$A$10005),0),MATCH('Reg 85'!$O$11,'DMR 001C TIN &amp; TP'!$A$2:$M$2,0))),"")</f>
        <v/>
      </c>
      <c r="P354" s="53" t="str">
        <f t="shared" si="133"/>
        <v/>
      </c>
      <c r="Q354" s="73" t="str">
        <f t="array" ref="Q354">IFERROR(((L354*$F354)+(P354*$G354))/($H354),"")</f>
        <v/>
      </c>
      <c r="R354" s="6" t="str">
        <f t="array" ref="R354">_xlfn.IFNA((INDEX('DMR 001C TIN &amp; TP'!$A$3:$M$10005,MATCH(('Reg 85'!$I$6:$Q$6&amp;'Reg 85'!R$10&amp;'Reg 85'!$B354),('DMR 001C TIN &amp; TP'!$E$3:$E$10005&amp;'DMR 001C TIN &amp; TP'!$B$3:$B$10005&amp;'DMR 001C TIN &amp; TP'!$A$3:$A$10005),0),MATCH('Reg 85'!$O$11,'DMR 001C TIN &amp; TP'!$A$2:$M$2,0))),"")</f>
        <v/>
      </c>
      <c r="S354" s="6" t="str">
        <f t="array" ref="S354">_xlfn.IFNA((INDEX('DMR 001C TIN &amp; TP'!$A$3:$M$10005,MATCH(('Reg 85'!$I$6:$Q$6&amp;'Reg 85'!S$10&amp;'Reg 85'!$B354),('DMR 001C TIN &amp; TP'!$E$3:$E$10005&amp;'DMR 001C TIN &amp; TP'!$B$3:$B$10005&amp;'DMR 001C TIN &amp; TP'!$A$3:$A$10005),0),MATCH('Reg 85'!$O$11,'DMR 001C TIN &amp; TP'!$A$2:$M$2,0))),"")</f>
        <v/>
      </c>
      <c r="T354" s="6" t="str">
        <f t="array" ref="T354">_xlfn.IFNA((INDEX('DMR 001C TIN &amp; TP'!$A$3:$M$10005,MATCH(('Reg 85'!$I$6:$Q$6&amp;'Reg 85'!T$10&amp;'Reg 85'!$B354),('DMR 001C TIN &amp; TP'!$E$3:$E$10005&amp;'DMR 001C TIN &amp; TP'!$B$3:$B$10005&amp;'DMR 001C TIN &amp; TP'!$A$3:$A$10005),0),MATCH('Reg 85'!$O$11,'DMR 001C TIN &amp; TP'!$A$2:$M$2,0))),"")</f>
        <v/>
      </c>
      <c r="U354" s="6" t="str">
        <f t="array" ref="U354">_xlfn.IFNA((INDEX('DMR 001C TIN &amp; TP'!$A$3:$M$10005,MATCH(('Reg 85'!$I$6:$Q$6&amp;'Reg 85'!U$10&amp;'Reg 85'!$B354),('DMR 001C TIN &amp; TP'!$E$3:$E$10005&amp;'DMR 001C TIN &amp; TP'!$B$3:$B$10005&amp;'DMR 001C TIN &amp; TP'!$A$3:$A$10005),0),MATCH('Reg 85'!$O$11,'DMR 001C TIN &amp; TP'!$A$2:$M$2,0))),"")</f>
        <v/>
      </c>
      <c r="V354" s="6" t="str">
        <f t="array" ref="V354">_xlfn.IFNA((INDEX('DMR 001C TIN &amp; TP'!$A$3:$M$10005,MATCH(('Reg 85'!$I$6:$Q$6&amp;'Reg 85'!V$10&amp;'Reg 85'!$B354),('DMR 001C TIN &amp; TP'!$E$3:$E$10005&amp;'DMR 001C TIN &amp; TP'!$B$3:$B$10005&amp;'DMR 001C TIN &amp; TP'!$A$3:$A$10005),0),MATCH('Reg 85'!$O$11,'DMR 001C TIN &amp; TP'!$A$2:$M$2,0))),"")</f>
        <v/>
      </c>
      <c r="W354" s="6" t="str">
        <f t="array" ref="W354">_xlfn.IFNA((INDEX('DMR 001C TIN &amp; TP'!$A$3:$M$10005,MATCH(('Reg 85'!$I$6:$Q$6&amp;'Reg 85'!W$10&amp;'Reg 85'!$B354),('DMR 001C TIN &amp; TP'!$E$3:$E$10005&amp;'DMR 001C TIN &amp; TP'!$B$3:$B$10005&amp;'DMR 001C TIN &amp; TP'!$A$3:$A$10005),0),MATCH('Reg 85'!$O$11,'DMR 001C TIN &amp; TP'!$A$2:$M$2,0))),"")</f>
        <v/>
      </c>
      <c r="X354" s="5" t="str">
        <f t="shared" si="134"/>
        <v/>
      </c>
      <c r="Y354" s="6" t="str">
        <f t="array" ref="Y354">_xlfn.IFNA((INDEX('DMR 001C TIN &amp; TP'!$A$3:$M$10005,MATCH(('Reg 85'!$X$6&amp;'Reg 85'!$X$10&amp;'Reg 85'!$B354),('DMR 001C TIN &amp; TP'!$E$3:$E$10005&amp;'DMR 001C TIN &amp; TP'!$B$3:$B$10005&amp;'DMR 001C TIN &amp; TP'!$A$3:$A$10005),0),MATCH('Reg 85'!$Y$11,'DMR 001C TIN &amp; TP'!$A$2:$M$2,0))),"")</f>
        <v/>
      </c>
      <c r="Z354" s="6" t="str">
        <f t="array" ref="Z354">_xlfn.IFNA((INDEX('DMR 001C TIN &amp; TP'!$A$3:$M$10005,MATCH(('Reg 85'!$X$6&amp;'Reg 85'!$X$10&amp;'Reg 85'!$B354),('DMR 001C TIN &amp; TP'!$E$3:$E$10005&amp;'DMR 001C TIN &amp; TP'!$B$3:$B$10005&amp;'DMR 001C TIN &amp; TP'!$A$3:$A$10005),0),MATCH('Reg 85'!$Z$11,'DMR 001C TIN &amp; TP'!$A$2:$M$2,0))),"")</f>
        <v/>
      </c>
      <c r="AA354" s="53" t="str">
        <f t="shared" si="135"/>
        <v/>
      </c>
      <c r="AB354" s="5" t="str">
        <f t="shared" si="136"/>
        <v/>
      </c>
      <c r="AC354" s="6" t="str">
        <f t="array" ref="AC354">_xlfn.IFNA((INDEX('DMR 001C TIN &amp; TP'!$A$3:$M$10005,MATCH(('Reg 85'!$X$6&amp;'Reg 85'!$AB$10&amp;'Reg 85'!$B354),('DMR 001C TIN &amp; TP'!$E$3:$E$10005&amp;'DMR 001C TIN &amp; TP'!$B$3:$B$10005&amp;'DMR 001C TIN &amp; TP'!$A$3:$A$10005),0),MATCH('Reg 85'!$AC$11,'DMR 001C TIN &amp; TP'!$A$2:$M$2,0))),"")</f>
        <v/>
      </c>
      <c r="AD354" s="6" t="str">
        <f t="array" ref="AD354">_xlfn.IFNA((INDEX('DMR 001C TIN &amp; TP'!$A$3:$M$10005,MATCH(('Reg 85'!$X$6&amp;'Reg 85'!$AB$10&amp;'Reg 85'!$B354),('DMR 001C TIN &amp; TP'!$E$3:$E$10005&amp;'DMR 001C TIN &amp; TP'!$B$3:$B$10005&amp;'DMR 001C TIN &amp; TP'!$A$3:$A$10005),0),MATCH('Reg 85'!$AD$11,'DMR 001C TIN &amp; TP'!$A$2:$M$2,0))),"")</f>
        <v/>
      </c>
      <c r="AE354" s="53" t="str">
        <f t="shared" si="137"/>
        <v/>
      </c>
      <c r="AF354" s="7" t="str">
        <f t="shared" si="138"/>
        <v/>
      </c>
      <c r="AG354" s="6" t="str">
        <f t="array" ref="AG354">_xlfn.IFNA((INDEX('DMR 001C TIN &amp; TP'!$A$3:$M$10005,MATCH(('Reg 85'!$X$6&amp;'Reg 85'!AG$10&amp;'Reg 85'!$B354),('DMR 001C TIN &amp; TP'!$E$3:$E$10005&amp;'DMR 001C TIN &amp; TP'!$B$3:$B$10005&amp;'DMR 001C TIN &amp; TP'!$A$3:$A$10005),0),MATCH('Reg 85'!$AG$11,'DMR 001C TIN &amp; TP'!$A$2:$M$2,0))),"")</f>
        <v/>
      </c>
      <c r="AH354" s="6" t="str">
        <f t="array" ref="AH354">_xlfn.IFNA((INDEX('DMR 001C TIN &amp; TP'!$A$3:$M$10005,MATCH(('Reg 85'!$X$6&amp;'Reg 85'!AH$10&amp;'Reg 85'!$B354),('DMR 001C TIN &amp; TP'!$E$3:$E$10005&amp;'DMR 001C TIN &amp; TP'!$B$3:$B$10005&amp;'DMR 001C TIN &amp; TP'!$A$3:$A$10005),0),MATCH('Reg 85'!$AG$11,'DMR 001C TIN &amp; TP'!$A$2:$M$2,0))),"")</f>
        <v/>
      </c>
      <c r="AI354" s="6" t="str">
        <f t="array" ref="AI354">_xlfn.IFNA((INDEX('DMR 001C TIN &amp; TP'!$A$3:$M$10005,MATCH(('Reg 85'!$X$6&amp;'Reg 85'!AI$10&amp;'Reg 85'!$B354),('DMR 001C TIN &amp; TP'!$E$3:$E$10005&amp;'DMR 001C TIN &amp; TP'!$B$3:$B$10005&amp;'DMR 001C TIN &amp; TP'!$A$3:$A$10005),0),MATCH('Reg 85'!$AG$11,'DMR 001C TIN &amp; TP'!$A$2:$M$2,0))),"")</f>
        <v/>
      </c>
      <c r="AJ354" s="6" t="str">
        <f t="array" ref="AJ354">_xlfn.IFNA((INDEX('DMR 001C TIN &amp; TP'!$A$3:$M$10005,MATCH(('Reg 85'!$X$6&amp;'Reg 85'!AJ$10&amp;'Reg 85'!$B354),('DMR 001C TIN &amp; TP'!$E$3:$E$10005&amp;'DMR 001C TIN &amp; TP'!$B$3:$B$10005&amp;'DMR 001C TIN &amp; TP'!$A$3:$A$10005),0),MATCH('Reg 85'!$AG$11,'DMR 001C TIN &amp; TP'!$A$2:$M$2,0))),"")</f>
        <v/>
      </c>
      <c r="AK354" s="6" t="str">
        <f t="array" ref="AK354">_xlfn.IFNA((INDEX('DMR 001C TIN &amp; TP'!$A$3:$M$10005,MATCH(('Reg 85'!$X$6&amp;'Reg 85'!AK$10&amp;'Reg 85'!$B354),('DMR 001C TIN &amp; TP'!$E$3:$E$10005&amp;'DMR 001C TIN &amp; TP'!$B$3:$B$10005&amp;'DMR 001C TIN &amp; TP'!$A$3:$A$10005),0),MATCH('Reg 85'!$AG$11,'DMR 001C TIN &amp; TP'!$A$2:$M$2,0))),"")</f>
        <v/>
      </c>
      <c r="AL354" s="6" t="str">
        <f t="array" ref="AL354">_xlfn.IFNA((INDEX('DMR 001C TIN &amp; TP'!$A$3:$M$10005,MATCH(('Reg 85'!$X$6&amp;'Reg 85'!AL$10&amp;'Reg 85'!$B354),('DMR 001C TIN &amp; TP'!$E$3:$E$10005&amp;'DMR 001C TIN &amp; TP'!$B$3:$B$10005&amp;'DMR 001C TIN &amp; TP'!$A$3:$A$10005),0),MATCH('Reg 85'!$AG$11,'DMR 001C TIN &amp; TP'!$A$2:$M$2,0))),"")</f>
        <v/>
      </c>
      <c r="AM354" s="76"/>
      <c r="AN354" s="6"/>
      <c r="AO354" s="54" t="str">
        <f t="shared" si="125"/>
        <v/>
      </c>
      <c r="AP354" s="77" t="str">
        <f t="shared" si="123"/>
        <v/>
      </c>
      <c r="AQ354" s="47"/>
      <c r="AR354" s="6" t="str">
        <f t="array" ref="AR354">_xlfn.IFNA((INDEX('DMR 001C TIN &amp; TP'!$A$3:$M$10005,MATCH(('Reg 85'!$AQ$6&amp;'Reg 85'!$AQ$10&amp;'Reg 85'!$B354),('DMR 001C TIN &amp; TP'!$E$3:$E$10005&amp;'DMR 001C TIN &amp; TP'!$B$3:$B$10005&amp;'DMR 001C TIN &amp; TP'!$A$3:$A$10005),0),MATCH('Reg 85'!$AR$11,'DMR 001C TIN &amp; TP'!$A$2:$M$2,0))),"")</f>
        <v>0.03</v>
      </c>
      <c r="AS354" s="6">
        <f t="array" ref="AS354">_xlfn.IFNA((INDEX('DMR 001C TIN &amp; TP'!$A$3:$M$10005,MATCH(('Reg 85'!$AQ$6&amp;'Reg 85'!$AQ$10&amp;'Reg 85'!$B354),('DMR 001C TIN &amp; TP'!$E$3:$E$10005&amp;'DMR 001C TIN &amp; TP'!$B$3:$B$10005&amp;'DMR 001C TIN &amp; TP'!$A$3:$A$10005),0),MATCH('Reg 85'!$AS$11,'DMR 001C TIN &amp; TP'!$A$2:$M$2,0))),"")</f>
        <v>0.42</v>
      </c>
      <c r="AT354" s="53">
        <f t="shared" si="139"/>
        <v>0.42</v>
      </c>
      <c r="AV354" s="6" t="str">
        <f t="array" ref="AV354">_xlfn.IFNA((INDEX('DMR 001C TIN &amp; TP'!$A$3:$M$10005,MATCH(('Reg 85'!$AQ$6&amp;'Reg 85'!$AU$10&amp;'Reg 85'!$B354),('DMR 001C TIN &amp; TP'!$E$3:$E$10005&amp;'DMR 001C TIN &amp; TP'!$B$3:$B$10005&amp;'DMR 001C TIN &amp; TP'!$A$3:$A$10005),0),MATCH('Reg 85'!$AV$11,'DMR 001C TIN &amp; TP'!$A$2:$M$2,0))),"")</f>
        <v>0.03</v>
      </c>
      <c r="AW354" s="6">
        <f t="array" ref="AW354">_xlfn.IFNA((INDEX('DMR 001C TIN &amp; TP'!$A$3:$M$10005,MATCH(('Reg 85'!$AQ$6&amp;'Reg 85'!$AU$10&amp;'Reg 85'!$B354),('DMR 001C TIN &amp; TP'!$E$3:$E$10005&amp;'DMR 001C TIN &amp; TP'!$B$3:$B$10005&amp;'DMR 001C TIN &amp; TP'!$A$3:$A$10005),0),MATCH('Reg 85'!$AW$11,'DMR 001C TIN &amp; TP'!$A$2:$M$2,0))),"")</f>
        <v>3.31</v>
      </c>
      <c r="AX354" s="53">
        <f t="shared" si="140"/>
        <v>3.31</v>
      </c>
      <c r="AY354" s="55">
        <f t="shared" si="141"/>
        <v>2.0502159691721551</v>
      </c>
      <c r="AZ354" s="77" t="str">
        <f t="shared" si="124"/>
        <v/>
      </c>
      <c r="BA354" s="6" t="str">
        <f t="array" ref="BA354">_xlfn.IFNA((INDEX('DMR 001C TIN &amp; TP'!$A$3:$M$10005,MATCH(('Reg 85'!$AQ$6&amp;'Reg 85'!BA$10&amp;'Reg 85'!$B354),('DMR 001C TIN &amp; TP'!$E$3:$E$10005&amp;'DMR 001C TIN &amp; TP'!$B$3:$B$10005&amp;'DMR 001C TIN &amp; TP'!$A$3:$A$10005),0),MATCH('Reg 85'!$AG$11,'DMR 001C TIN &amp; TP'!$A$2:$M$2,0))),"")</f>
        <v/>
      </c>
      <c r="BB354" s="6" t="str">
        <f t="array" ref="BB354">_xlfn.IFNA((INDEX('DMR 001C TIN &amp; TP'!$A$3:$M$10005,MATCH(('Reg 85'!$AQ$6&amp;'Reg 85'!BB$10&amp;'Reg 85'!$B354),('DMR 001C TIN &amp; TP'!$E$3:$E$10005&amp;'DMR 001C TIN &amp; TP'!$B$3:$B$10005&amp;'DMR 001C TIN &amp; TP'!$A$3:$A$10005),0),MATCH('Reg 85'!$AG$11,'DMR 001C TIN &amp; TP'!$A$2:$M$2,0))),"")</f>
        <v/>
      </c>
      <c r="BC354" s="6" t="str">
        <f t="array" ref="BC354">_xlfn.IFNA((INDEX('DMR 001C TIN &amp; TP'!$A$3:$M$10005,MATCH(('Reg 85'!$AQ$6&amp;'Reg 85'!BC$10&amp;'Reg 85'!$B354),('DMR 001C TIN &amp; TP'!$E$3:$E$10005&amp;'DMR 001C TIN &amp; TP'!$B$3:$B$10005&amp;'DMR 001C TIN &amp; TP'!$A$3:$A$10005),0),MATCH('Reg 85'!$AG$11,'DMR 001C TIN &amp; TP'!$A$2:$M$2,0))),"")</f>
        <v/>
      </c>
      <c r="BD354" s="6" t="str">
        <f t="array" ref="BD354">_xlfn.IFNA((INDEX('DMR 001C TIN &amp; TP'!$A$3:$M$10005,MATCH(('Reg 85'!$AQ$6&amp;'Reg 85'!BD$10&amp;'Reg 85'!$B354),('DMR 001C TIN &amp; TP'!$E$3:$E$10005&amp;'DMR 001C TIN &amp; TP'!$B$3:$B$10005&amp;'DMR 001C TIN &amp; TP'!$A$3:$A$10005),0),MATCH('Reg 85'!$AG$11,'DMR 001C TIN &amp; TP'!$A$2:$M$2,0))),"")</f>
        <v/>
      </c>
      <c r="BE354" s="6" t="str">
        <f t="array" ref="BE354">_xlfn.IFNA((INDEX('DMR 001C TIN &amp; TP'!$A$3:$M$10005,MATCH(('Reg 85'!$AQ$6&amp;'Reg 85'!BE$10&amp;'Reg 85'!$B354),('DMR 001C TIN &amp; TP'!$E$3:$E$10005&amp;'DMR 001C TIN &amp; TP'!$B$3:$B$10005&amp;'DMR 001C TIN &amp; TP'!$A$3:$A$10005),0),MATCH('Reg 85'!$AG$11,'DMR 001C TIN &amp; TP'!$A$2:$M$2,0))),"")</f>
        <v/>
      </c>
      <c r="BF354" s="6" t="str">
        <f t="array" ref="BF354">_xlfn.IFNA((INDEX('DMR 001C TIN &amp; TP'!$A$3:$M$10005,MATCH(('Reg 85'!$AQ$6&amp;'Reg 85'!BF$10&amp;'Reg 85'!$B354),('DMR 001C TIN &amp; TP'!$E$3:$E$10005&amp;'DMR 001C TIN &amp; TP'!$B$3:$B$10005&amp;'DMR 001C TIN &amp; TP'!$A$3:$A$10005),0),MATCH('Reg 85'!$AG$11,'DMR 001C TIN &amp; TP'!$A$2:$M$2,0))),"")</f>
        <v/>
      </c>
    </row>
    <row r="355" spans="1:58">
      <c r="A355" s="3" t="str">
        <f t="shared" si="126"/>
        <v>Sat</v>
      </c>
      <c r="B355" s="96">
        <f t="shared" si="142"/>
        <v>43687</v>
      </c>
      <c r="C355" s="96">
        <f t="shared" si="127"/>
        <v>43708</v>
      </c>
      <c r="D355" s="96">
        <f t="shared" si="128"/>
        <v>43678</v>
      </c>
      <c r="E355" s="95">
        <f t="shared" si="129"/>
        <v>31</v>
      </c>
      <c r="F355" s="7">
        <f t="array" ref="F355">_xlfn.IFNA(INDEX('DMR Flows-Effluent'!$A$3:$F$9999,MATCH(($F$10&amp;$B355),('DMR Flows-Effluent'!$B$3:$B$9999&amp;'DMR Flows-Effluent'!$A$3:$A$9999),0),MATCH($F$8,'DMR Flows-Effluent'!$A$2:$F$2,0)),"")</f>
        <v>51.062100000000001</v>
      </c>
      <c r="G355" s="7">
        <f t="array" ref="G355">_xlfn.IFNA(INDEX('DMR Flows-Effluent'!$A$3:$F$9999,MATCH(($G$10&amp;$B355),('DMR Flows-Effluent'!$B$3:$B$9999&amp;'DMR Flows-Effluent'!$A$3:$A$9999),0),MATCH($F$8,'DMR Flows-Effluent'!$A$2:$F$2,0)),"")</f>
        <v>70.581500000000005</v>
      </c>
      <c r="H355" s="7">
        <f t="shared" si="130"/>
        <v>121.64360000000001</v>
      </c>
      <c r="I355" s="45" t="str">
        <f t="shared" si="131"/>
        <v/>
      </c>
      <c r="J355" s="6" t="str">
        <f t="array" ref="J355">_xlfn.IFNA((INDEX('DMR 001C TIN &amp; TP'!$A$3:$M$10005,MATCH(('Reg 85'!$I$6:$Q$6&amp;'Reg 85'!$I$10:$K$10&amp;'Reg 85'!$B355),('DMR 001C TIN &amp; TP'!$E$3:$E$10005&amp;'DMR 001C TIN &amp; TP'!$B$3:$B$10005&amp;'DMR 001C TIN &amp; TP'!$A$3:$A$10005),0),MATCH('Reg 85'!$J$11,'DMR 001C TIN &amp; TP'!$A$2:$M$2,0))),"")</f>
        <v/>
      </c>
      <c r="K355" s="6" t="str">
        <f t="array" ref="K355">_xlfn.IFNA((INDEX('DMR 001C TIN &amp; TP'!$A$3:$M$10005,MATCH(('Reg 85'!$I$6:$Q$6&amp;'Reg 85'!$I$10:$K$10&amp;'Reg 85'!$B355),('DMR 001C TIN &amp; TP'!$E$3:$E$10005&amp;'DMR 001C TIN &amp; TP'!$B$3:$B$10005&amp;'DMR 001C TIN &amp; TP'!$A$3:$A$10005),0),MATCH('Reg 85'!$K$11,'DMR 001C TIN &amp; TP'!$A$2:$M$2,0))),"")</f>
        <v/>
      </c>
      <c r="L355" s="53" t="str">
        <f t="shared" si="143"/>
        <v/>
      </c>
      <c r="M355" s="5" t="str">
        <f t="shared" si="132"/>
        <v/>
      </c>
      <c r="N355" s="6" t="str">
        <f t="array" ref="N355">_xlfn.IFNA((INDEX('DMR 001C TIN &amp; TP'!$A$3:$M$10005,MATCH(('Reg 85'!$I$6:$Q$6&amp;'Reg 85'!$M$10&amp;'Reg 85'!$B355),('DMR 001C TIN &amp; TP'!$E$3:$E$10005&amp;'DMR 001C TIN &amp; TP'!$B$3:$B$10005&amp;'DMR 001C TIN &amp; TP'!$A$3:$A$10005),0),MATCH('Reg 85'!$N$11,'DMR 001C TIN &amp; TP'!$A$2:$M$2,0))),"")</f>
        <v/>
      </c>
      <c r="O355" s="6" t="str">
        <f t="array" ref="O355">_xlfn.IFNA((INDEX('DMR 001C TIN &amp; TP'!$A$3:$M$10005,MATCH(('Reg 85'!$I$6:$Q$6&amp;'Reg 85'!$M$10&amp;'Reg 85'!$B355),('DMR 001C TIN &amp; TP'!$E$3:$E$10005&amp;'DMR 001C TIN &amp; TP'!$B$3:$B$10005&amp;'DMR 001C TIN &amp; TP'!$A$3:$A$10005),0),MATCH('Reg 85'!$O$11,'DMR 001C TIN &amp; TP'!$A$2:$M$2,0))),"")</f>
        <v/>
      </c>
      <c r="P355" s="53" t="str">
        <f t="shared" si="133"/>
        <v/>
      </c>
      <c r="Q355" s="73" t="str">
        <f t="array" ref="Q355">IFERROR(((L355*$F355)+(P355*$G355))/($H355),"")</f>
        <v/>
      </c>
      <c r="R355" s="6" t="str">
        <f t="array" ref="R355">_xlfn.IFNA((INDEX('DMR 001C TIN &amp; TP'!$A$3:$M$10005,MATCH(('Reg 85'!$I$6:$Q$6&amp;'Reg 85'!R$10&amp;'Reg 85'!$B355),('DMR 001C TIN &amp; TP'!$E$3:$E$10005&amp;'DMR 001C TIN &amp; TP'!$B$3:$B$10005&amp;'DMR 001C TIN &amp; TP'!$A$3:$A$10005),0),MATCH('Reg 85'!$O$11,'DMR 001C TIN &amp; TP'!$A$2:$M$2,0))),"")</f>
        <v/>
      </c>
      <c r="S355" s="6" t="str">
        <f t="array" ref="S355">_xlfn.IFNA((INDEX('DMR 001C TIN &amp; TP'!$A$3:$M$10005,MATCH(('Reg 85'!$I$6:$Q$6&amp;'Reg 85'!S$10&amp;'Reg 85'!$B355),('DMR 001C TIN &amp; TP'!$E$3:$E$10005&amp;'DMR 001C TIN &amp; TP'!$B$3:$B$10005&amp;'DMR 001C TIN &amp; TP'!$A$3:$A$10005),0),MATCH('Reg 85'!$O$11,'DMR 001C TIN &amp; TP'!$A$2:$M$2,0))),"")</f>
        <v/>
      </c>
      <c r="T355" s="6" t="str">
        <f t="array" ref="T355">_xlfn.IFNA((INDEX('DMR 001C TIN &amp; TP'!$A$3:$M$10005,MATCH(('Reg 85'!$I$6:$Q$6&amp;'Reg 85'!T$10&amp;'Reg 85'!$B355),('DMR 001C TIN &amp; TP'!$E$3:$E$10005&amp;'DMR 001C TIN &amp; TP'!$B$3:$B$10005&amp;'DMR 001C TIN &amp; TP'!$A$3:$A$10005),0),MATCH('Reg 85'!$O$11,'DMR 001C TIN &amp; TP'!$A$2:$M$2,0))),"")</f>
        <v/>
      </c>
      <c r="U355" s="6" t="str">
        <f t="array" ref="U355">_xlfn.IFNA((INDEX('DMR 001C TIN &amp; TP'!$A$3:$M$10005,MATCH(('Reg 85'!$I$6:$Q$6&amp;'Reg 85'!U$10&amp;'Reg 85'!$B355),('DMR 001C TIN &amp; TP'!$E$3:$E$10005&amp;'DMR 001C TIN &amp; TP'!$B$3:$B$10005&amp;'DMR 001C TIN &amp; TP'!$A$3:$A$10005),0),MATCH('Reg 85'!$O$11,'DMR 001C TIN &amp; TP'!$A$2:$M$2,0))),"")</f>
        <v/>
      </c>
      <c r="V355" s="6" t="str">
        <f t="array" ref="V355">_xlfn.IFNA((INDEX('DMR 001C TIN &amp; TP'!$A$3:$M$10005,MATCH(('Reg 85'!$I$6:$Q$6&amp;'Reg 85'!V$10&amp;'Reg 85'!$B355),('DMR 001C TIN &amp; TP'!$E$3:$E$10005&amp;'DMR 001C TIN &amp; TP'!$B$3:$B$10005&amp;'DMR 001C TIN &amp; TP'!$A$3:$A$10005),0),MATCH('Reg 85'!$O$11,'DMR 001C TIN &amp; TP'!$A$2:$M$2,0))),"")</f>
        <v/>
      </c>
      <c r="W355" s="6" t="str">
        <f t="array" ref="W355">_xlfn.IFNA((INDEX('DMR 001C TIN &amp; TP'!$A$3:$M$10005,MATCH(('Reg 85'!$I$6:$Q$6&amp;'Reg 85'!W$10&amp;'Reg 85'!$B355),('DMR 001C TIN &amp; TP'!$E$3:$E$10005&amp;'DMR 001C TIN &amp; TP'!$B$3:$B$10005&amp;'DMR 001C TIN &amp; TP'!$A$3:$A$10005),0),MATCH('Reg 85'!$O$11,'DMR 001C TIN &amp; TP'!$A$2:$M$2,0))),"")</f>
        <v/>
      </c>
      <c r="X355" s="5" t="str">
        <f t="shared" si="134"/>
        <v/>
      </c>
      <c r="Y355" s="6" t="str">
        <f t="array" ref="Y355">_xlfn.IFNA((INDEX('DMR 001C TIN &amp; TP'!$A$3:$M$10005,MATCH(('Reg 85'!$X$6&amp;'Reg 85'!$X$10&amp;'Reg 85'!$B355),('DMR 001C TIN &amp; TP'!$E$3:$E$10005&amp;'DMR 001C TIN &amp; TP'!$B$3:$B$10005&amp;'DMR 001C TIN &amp; TP'!$A$3:$A$10005),0),MATCH('Reg 85'!$Y$11,'DMR 001C TIN &amp; TP'!$A$2:$M$2,0))),"")</f>
        <v/>
      </c>
      <c r="Z355" s="6" t="str">
        <f t="array" ref="Z355">_xlfn.IFNA((INDEX('DMR 001C TIN &amp; TP'!$A$3:$M$10005,MATCH(('Reg 85'!$X$6&amp;'Reg 85'!$X$10&amp;'Reg 85'!$B355),('DMR 001C TIN &amp; TP'!$E$3:$E$10005&amp;'DMR 001C TIN &amp; TP'!$B$3:$B$10005&amp;'DMR 001C TIN &amp; TP'!$A$3:$A$10005),0),MATCH('Reg 85'!$Z$11,'DMR 001C TIN &amp; TP'!$A$2:$M$2,0))),"")</f>
        <v/>
      </c>
      <c r="AA355" s="53" t="str">
        <f t="shared" si="135"/>
        <v/>
      </c>
      <c r="AB355" s="5" t="str">
        <f t="shared" si="136"/>
        <v/>
      </c>
      <c r="AC355" s="6" t="str">
        <f t="array" ref="AC355">_xlfn.IFNA((INDEX('DMR 001C TIN &amp; TP'!$A$3:$M$10005,MATCH(('Reg 85'!$X$6&amp;'Reg 85'!$AB$10&amp;'Reg 85'!$B355),('DMR 001C TIN &amp; TP'!$E$3:$E$10005&amp;'DMR 001C TIN &amp; TP'!$B$3:$B$10005&amp;'DMR 001C TIN &amp; TP'!$A$3:$A$10005),0),MATCH('Reg 85'!$AC$11,'DMR 001C TIN &amp; TP'!$A$2:$M$2,0))),"")</f>
        <v/>
      </c>
      <c r="AD355" s="6" t="str">
        <f t="array" ref="AD355">_xlfn.IFNA((INDEX('DMR 001C TIN &amp; TP'!$A$3:$M$10005,MATCH(('Reg 85'!$X$6&amp;'Reg 85'!$AB$10&amp;'Reg 85'!$B355),('DMR 001C TIN &amp; TP'!$E$3:$E$10005&amp;'DMR 001C TIN &amp; TP'!$B$3:$B$10005&amp;'DMR 001C TIN &amp; TP'!$A$3:$A$10005),0),MATCH('Reg 85'!$AD$11,'DMR 001C TIN &amp; TP'!$A$2:$M$2,0))),"")</f>
        <v/>
      </c>
      <c r="AE355" s="53" t="str">
        <f t="shared" si="137"/>
        <v/>
      </c>
      <c r="AF355" s="7" t="str">
        <f t="shared" si="138"/>
        <v/>
      </c>
      <c r="AG355" s="6" t="str">
        <f t="array" ref="AG355">_xlfn.IFNA((INDEX('DMR 001C TIN &amp; TP'!$A$3:$M$10005,MATCH(('Reg 85'!$X$6&amp;'Reg 85'!AG$10&amp;'Reg 85'!$B355),('DMR 001C TIN &amp; TP'!$E$3:$E$10005&amp;'DMR 001C TIN &amp; TP'!$B$3:$B$10005&amp;'DMR 001C TIN &amp; TP'!$A$3:$A$10005),0),MATCH('Reg 85'!$AG$11,'DMR 001C TIN &amp; TP'!$A$2:$M$2,0))),"")</f>
        <v/>
      </c>
      <c r="AH355" s="6" t="str">
        <f t="array" ref="AH355">_xlfn.IFNA((INDEX('DMR 001C TIN &amp; TP'!$A$3:$M$10005,MATCH(('Reg 85'!$X$6&amp;'Reg 85'!AH$10&amp;'Reg 85'!$B355),('DMR 001C TIN &amp; TP'!$E$3:$E$10005&amp;'DMR 001C TIN &amp; TP'!$B$3:$B$10005&amp;'DMR 001C TIN &amp; TP'!$A$3:$A$10005),0),MATCH('Reg 85'!$AG$11,'DMR 001C TIN &amp; TP'!$A$2:$M$2,0))),"")</f>
        <v/>
      </c>
      <c r="AI355" s="6" t="str">
        <f t="array" ref="AI355">_xlfn.IFNA((INDEX('DMR 001C TIN &amp; TP'!$A$3:$M$10005,MATCH(('Reg 85'!$X$6&amp;'Reg 85'!AI$10&amp;'Reg 85'!$B355),('DMR 001C TIN &amp; TP'!$E$3:$E$10005&amp;'DMR 001C TIN &amp; TP'!$B$3:$B$10005&amp;'DMR 001C TIN &amp; TP'!$A$3:$A$10005),0),MATCH('Reg 85'!$AG$11,'DMR 001C TIN &amp; TP'!$A$2:$M$2,0))),"")</f>
        <v/>
      </c>
      <c r="AJ355" s="6" t="str">
        <f t="array" ref="AJ355">_xlfn.IFNA((INDEX('DMR 001C TIN &amp; TP'!$A$3:$M$10005,MATCH(('Reg 85'!$X$6&amp;'Reg 85'!AJ$10&amp;'Reg 85'!$B355),('DMR 001C TIN &amp; TP'!$E$3:$E$10005&amp;'DMR 001C TIN &amp; TP'!$B$3:$B$10005&amp;'DMR 001C TIN &amp; TP'!$A$3:$A$10005),0),MATCH('Reg 85'!$AG$11,'DMR 001C TIN &amp; TP'!$A$2:$M$2,0))),"")</f>
        <v/>
      </c>
      <c r="AK355" s="6" t="str">
        <f t="array" ref="AK355">_xlfn.IFNA((INDEX('DMR 001C TIN &amp; TP'!$A$3:$M$10005,MATCH(('Reg 85'!$X$6&amp;'Reg 85'!AK$10&amp;'Reg 85'!$B355),('DMR 001C TIN &amp; TP'!$E$3:$E$10005&amp;'DMR 001C TIN &amp; TP'!$B$3:$B$10005&amp;'DMR 001C TIN &amp; TP'!$A$3:$A$10005),0),MATCH('Reg 85'!$AG$11,'DMR 001C TIN &amp; TP'!$A$2:$M$2,0))),"")</f>
        <v/>
      </c>
      <c r="AL355" s="6" t="str">
        <f t="array" ref="AL355">_xlfn.IFNA((INDEX('DMR 001C TIN &amp; TP'!$A$3:$M$10005,MATCH(('Reg 85'!$X$6&amp;'Reg 85'!AL$10&amp;'Reg 85'!$B355),('DMR 001C TIN &amp; TP'!$E$3:$E$10005&amp;'DMR 001C TIN &amp; TP'!$B$3:$B$10005&amp;'DMR 001C TIN &amp; TP'!$A$3:$A$10005),0),MATCH('Reg 85'!$AG$11,'DMR 001C TIN &amp; TP'!$A$2:$M$2,0))),"")</f>
        <v/>
      </c>
      <c r="AM355" s="76"/>
      <c r="AN355" s="6"/>
      <c r="AO355" s="54" t="str">
        <f t="shared" si="125"/>
        <v/>
      </c>
      <c r="AP355" s="77" t="str">
        <f t="shared" si="123"/>
        <v/>
      </c>
      <c r="AQ355" s="47"/>
      <c r="AR355" s="6" t="str">
        <f t="array" ref="AR355">_xlfn.IFNA((INDEX('DMR 001C TIN &amp; TP'!$A$3:$M$10005,MATCH(('Reg 85'!$AQ$6&amp;'Reg 85'!$AQ$10&amp;'Reg 85'!$B355),('DMR 001C TIN &amp; TP'!$E$3:$E$10005&amp;'DMR 001C TIN &amp; TP'!$B$3:$B$10005&amp;'DMR 001C TIN &amp; TP'!$A$3:$A$10005),0),MATCH('Reg 85'!$AR$11,'DMR 001C TIN &amp; TP'!$A$2:$M$2,0))),"")</f>
        <v/>
      </c>
      <c r="AS355" s="6" t="str">
        <f t="array" ref="AS355">_xlfn.IFNA((INDEX('DMR 001C TIN &amp; TP'!$A$3:$M$10005,MATCH(('Reg 85'!$AQ$6&amp;'Reg 85'!$AQ$10&amp;'Reg 85'!$B355),('DMR 001C TIN &amp; TP'!$E$3:$E$10005&amp;'DMR 001C TIN &amp; TP'!$B$3:$B$10005&amp;'DMR 001C TIN &amp; TP'!$A$3:$A$10005),0),MATCH('Reg 85'!$AS$11,'DMR 001C TIN &amp; TP'!$A$2:$M$2,0))),"")</f>
        <v/>
      </c>
      <c r="AT355" s="53" t="str">
        <f t="shared" si="139"/>
        <v/>
      </c>
      <c r="AV355" s="6" t="str">
        <f t="array" ref="AV355">_xlfn.IFNA((INDEX('DMR 001C TIN &amp; TP'!$A$3:$M$10005,MATCH(('Reg 85'!$AQ$6&amp;'Reg 85'!$AU$10&amp;'Reg 85'!$B355),('DMR 001C TIN &amp; TP'!$E$3:$E$10005&amp;'DMR 001C TIN &amp; TP'!$B$3:$B$10005&amp;'DMR 001C TIN &amp; TP'!$A$3:$A$10005),0),MATCH('Reg 85'!$AV$11,'DMR 001C TIN &amp; TP'!$A$2:$M$2,0))),"")</f>
        <v/>
      </c>
      <c r="AW355" s="6" t="str">
        <f t="array" ref="AW355">_xlfn.IFNA((INDEX('DMR 001C TIN &amp; TP'!$A$3:$M$10005,MATCH(('Reg 85'!$AQ$6&amp;'Reg 85'!$AU$10&amp;'Reg 85'!$B355),('DMR 001C TIN &amp; TP'!$E$3:$E$10005&amp;'DMR 001C TIN &amp; TP'!$B$3:$B$10005&amp;'DMR 001C TIN &amp; TP'!$A$3:$A$10005),0),MATCH('Reg 85'!$AW$11,'DMR 001C TIN &amp; TP'!$A$2:$M$2,0))),"")</f>
        <v/>
      </c>
      <c r="AX355" s="53" t="str">
        <f t="shared" si="140"/>
        <v/>
      </c>
      <c r="AY355" s="55" t="str">
        <f t="shared" si="141"/>
        <v/>
      </c>
      <c r="AZ355" s="77" t="str">
        <f t="shared" si="124"/>
        <v/>
      </c>
      <c r="BA355" s="6" t="str">
        <f t="array" ref="BA355">_xlfn.IFNA((INDEX('DMR 001C TIN &amp; TP'!$A$3:$M$10005,MATCH(('Reg 85'!$AQ$6&amp;'Reg 85'!BA$10&amp;'Reg 85'!$B355),('DMR 001C TIN &amp; TP'!$E$3:$E$10005&amp;'DMR 001C TIN &amp; TP'!$B$3:$B$10005&amp;'DMR 001C TIN &amp; TP'!$A$3:$A$10005),0),MATCH('Reg 85'!$AG$11,'DMR 001C TIN &amp; TP'!$A$2:$M$2,0))),"")</f>
        <v/>
      </c>
      <c r="BB355" s="6" t="str">
        <f t="array" ref="BB355">_xlfn.IFNA((INDEX('DMR 001C TIN &amp; TP'!$A$3:$M$10005,MATCH(('Reg 85'!$AQ$6&amp;'Reg 85'!BB$10&amp;'Reg 85'!$B355),('DMR 001C TIN &amp; TP'!$E$3:$E$10005&amp;'DMR 001C TIN &amp; TP'!$B$3:$B$10005&amp;'DMR 001C TIN &amp; TP'!$A$3:$A$10005),0),MATCH('Reg 85'!$AG$11,'DMR 001C TIN &amp; TP'!$A$2:$M$2,0))),"")</f>
        <v/>
      </c>
      <c r="BC355" s="6" t="str">
        <f t="array" ref="BC355">_xlfn.IFNA((INDEX('DMR 001C TIN &amp; TP'!$A$3:$M$10005,MATCH(('Reg 85'!$AQ$6&amp;'Reg 85'!BC$10&amp;'Reg 85'!$B355),('DMR 001C TIN &amp; TP'!$E$3:$E$10005&amp;'DMR 001C TIN &amp; TP'!$B$3:$B$10005&amp;'DMR 001C TIN &amp; TP'!$A$3:$A$10005),0),MATCH('Reg 85'!$AG$11,'DMR 001C TIN &amp; TP'!$A$2:$M$2,0))),"")</f>
        <v/>
      </c>
      <c r="BD355" s="6" t="str">
        <f t="array" ref="BD355">_xlfn.IFNA((INDEX('DMR 001C TIN &amp; TP'!$A$3:$M$10005,MATCH(('Reg 85'!$AQ$6&amp;'Reg 85'!BD$10&amp;'Reg 85'!$B355),('DMR 001C TIN &amp; TP'!$E$3:$E$10005&amp;'DMR 001C TIN &amp; TP'!$B$3:$B$10005&amp;'DMR 001C TIN &amp; TP'!$A$3:$A$10005),0),MATCH('Reg 85'!$AG$11,'DMR 001C TIN &amp; TP'!$A$2:$M$2,0))),"")</f>
        <v/>
      </c>
      <c r="BE355" s="6" t="str">
        <f t="array" ref="BE355">_xlfn.IFNA((INDEX('DMR 001C TIN &amp; TP'!$A$3:$M$10005,MATCH(('Reg 85'!$AQ$6&amp;'Reg 85'!BE$10&amp;'Reg 85'!$B355),('DMR 001C TIN &amp; TP'!$E$3:$E$10005&amp;'DMR 001C TIN &amp; TP'!$B$3:$B$10005&amp;'DMR 001C TIN &amp; TP'!$A$3:$A$10005),0),MATCH('Reg 85'!$AG$11,'DMR 001C TIN &amp; TP'!$A$2:$M$2,0))),"")</f>
        <v/>
      </c>
      <c r="BF355" s="6" t="str">
        <f t="array" ref="BF355">_xlfn.IFNA((INDEX('DMR 001C TIN &amp; TP'!$A$3:$M$10005,MATCH(('Reg 85'!$AQ$6&amp;'Reg 85'!BF$10&amp;'Reg 85'!$B355),('DMR 001C TIN &amp; TP'!$E$3:$E$10005&amp;'DMR 001C TIN &amp; TP'!$B$3:$B$10005&amp;'DMR 001C TIN &amp; TP'!$A$3:$A$10005),0),MATCH('Reg 85'!$AG$11,'DMR 001C TIN &amp; TP'!$A$2:$M$2,0))),"")</f>
        <v/>
      </c>
    </row>
    <row r="356" spans="1:58">
      <c r="A356" s="3" t="str">
        <f t="shared" si="126"/>
        <v>Sun</v>
      </c>
      <c r="B356" s="96">
        <f t="shared" si="142"/>
        <v>43688</v>
      </c>
      <c r="C356" s="96">
        <f t="shared" si="127"/>
        <v>43708</v>
      </c>
      <c r="D356" s="96">
        <f t="shared" si="128"/>
        <v>43678</v>
      </c>
      <c r="E356" s="95">
        <f t="shared" si="129"/>
        <v>31</v>
      </c>
      <c r="F356" s="7">
        <f t="array" ref="F356">_xlfn.IFNA(INDEX('DMR Flows-Effluent'!$A$3:$F$9999,MATCH(($F$10&amp;$B356),('DMR Flows-Effluent'!$B$3:$B$9999&amp;'DMR Flows-Effluent'!$A$3:$A$9999),0),MATCH($F$8,'DMR Flows-Effluent'!$A$2:$F$2,0)),"")</f>
        <v>52.520299999999999</v>
      </c>
      <c r="G356" s="7">
        <f t="array" ref="G356">_xlfn.IFNA(INDEX('DMR Flows-Effluent'!$A$3:$F$9999,MATCH(($G$10&amp;$B356),('DMR Flows-Effluent'!$B$3:$B$9999&amp;'DMR Flows-Effluent'!$A$3:$A$9999),0),MATCH($F$8,'DMR Flows-Effluent'!$A$2:$F$2,0)),"")</f>
        <v>82.240700000000004</v>
      </c>
      <c r="H356" s="7">
        <f t="shared" si="130"/>
        <v>134.761</v>
      </c>
      <c r="I356" s="45" t="str">
        <f t="shared" si="131"/>
        <v/>
      </c>
      <c r="J356" s="6" t="str">
        <f t="array" ref="J356">_xlfn.IFNA((INDEX('DMR 001C TIN &amp; TP'!$A$3:$M$10005,MATCH(('Reg 85'!$I$6:$Q$6&amp;'Reg 85'!$I$10:$K$10&amp;'Reg 85'!$B356),('DMR 001C TIN &amp; TP'!$E$3:$E$10005&amp;'DMR 001C TIN &amp; TP'!$B$3:$B$10005&amp;'DMR 001C TIN &amp; TP'!$A$3:$A$10005),0),MATCH('Reg 85'!$J$11,'DMR 001C TIN &amp; TP'!$A$2:$M$2,0))),"")</f>
        <v>0.15</v>
      </c>
      <c r="K356" s="6">
        <f t="array" ref="K356">_xlfn.IFNA((INDEX('DMR 001C TIN &amp; TP'!$A$3:$M$10005,MATCH(('Reg 85'!$I$6:$Q$6&amp;'Reg 85'!$I$10:$K$10&amp;'Reg 85'!$B356),('DMR 001C TIN &amp; TP'!$E$3:$E$10005&amp;'DMR 001C TIN &amp; TP'!$B$3:$B$10005&amp;'DMR 001C TIN &amp; TP'!$A$3:$A$10005),0),MATCH('Reg 85'!$K$11,'DMR 001C TIN &amp; TP'!$A$2:$M$2,0))),"")</f>
        <v>0.72</v>
      </c>
      <c r="L356" s="53">
        <f t="shared" si="143"/>
        <v>0.72</v>
      </c>
      <c r="M356" s="5" t="str">
        <f t="shared" si="132"/>
        <v/>
      </c>
      <c r="N356" s="6" t="str">
        <f t="array" ref="N356">_xlfn.IFNA((INDEX('DMR 001C TIN &amp; TP'!$A$3:$M$10005,MATCH(('Reg 85'!$I$6:$Q$6&amp;'Reg 85'!$M$10&amp;'Reg 85'!$B356),('DMR 001C TIN &amp; TP'!$E$3:$E$10005&amp;'DMR 001C TIN &amp; TP'!$B$3:$B$10005&amp;'DMR 001C TIN &amp; TP'!$A$3:$A$10005),0),MATCH('Reg 85'!$N$11,'DMR 001C TIN &amp; TP'!$A$2:$M$2,0))),"")</f>
        <v>0.15</v>
      </c>
      <c r="O356" s="6">
        <f t="array" ref="O356">_xlfn.IFNA((INDEX('DMR 001C TIN &amp; TP'!$A$3:$M$10005,MATCH(('Reg 85'!$I$6:$Q$6&amp;'Reg 85'!$M$10&amp;'Reg 85'!$B356),('DMR 001C TIN &amp; TP'!$E$3:$E$10005&amp;'DMR 001C TIN &amp; TP'!$B$3:$B$10005&amp;'DMR 001C TIN &amp; TP'!$A$3:$A$10005),0),MATCH('Reg 85'!$O$11,'DMR 001C TIN &amp; TP'!$A$2:$M$2,0))),"")</f>
        <v>0.57999999999999996</v>
      </c>
      <c r="P356" s="53">
        <f t="shared" si="133"/>
        <v>0.57999999999999996</v>
      </c>
      <c r="Q356" s="73">
        <f t="array" ref="Q356">IFERROR(((L356*$F356)+(P356*$G356))/($H356),"")</f>
        <v>0.63456209140626729</v>
      </c>
      <c r="R356" s="6" t="str">
        <f t="array" ref="R356">_xlfn.IFNA((INDEX('DMR 001C TIN &amp; TP'!$A$3:$M$10005,MATCH(('Reg 85'!$I$6:$Q$6&amp;'Reg 85'!R$10&amp;'Reg 85'!$B356),('DMR 001C TIN &amp; TP'!$E$3:$E$10005&amp;'DMR 001C TIN &amp; TP'!$B$3:$B$10005&amp;'DMR 001C TIN &amp; TP'!$A$3:$A$10005),0),MATCH('Reg 85'!$O$11,'DMR 001C TIN &amp; TP'!$A$2:$M$2,0))),"")</f>
        <v/>
      </c>
      <c r="S356" s="6" t="str">
        <f t="array" ref="S356">_xlfn.IFNA((INDEX('DMR 001C TIN &amp; TP'!$A$3:$M$10005,MATCH(('Reg 85'!$I$6:$Q$6&amp;'Reg 85'!S$10&amp;'Reg 85'!$B356),('DMR 001C TIN &amp; TP'!$E$3:$E$10005&amp;'DMR 001C TIN &amp; TP'!$B$3:$B$10005&amp;'DMR 001C TIN &amp; TP'!$A$3:$A$10005),0),MATCH('Reg 85'!$O$11,'DMR 001C TIN &amp; TP'!$A$2:$M$2,0))),"")</f>
        <v/>
      </c>
      <c r="T356" s="6" t="str">
        <f t="array" ref="T356">_xlfn.IFNA((INDEX('DMR 001C TIN &amp; TP'!$A$3:$M$10005,MATCH(('Reg 85'!$I$6:$Q$6&amp;'Reg 85'!T$10&amp;'Reg 85'!$B356),('DMR 001C TIN &amp; TP'!$E$3:$E$10005&amp;'DMR 001C TIN &amp; TP'!$B$3:$B$10005&amp;'DMR 001C TIN &amp; TP'!$A$3:$A$10005),0),MATCH('Reg 85'!$O$11,'DMR 001C TIN &amp; TP'!$A$2:$M$2,0))),"")</f>
        <v/>
      </c>
      <c r="U356" s="6" t="str">
        <f t="array" ref="U356">_xlfn.IFNA((INDEX('DMR 001C TIN &amp; TP'!$A$3:$M$10005,MATCH(('Reg 85'!$I$6:$Q$6&amp;'Reg 85'!U$10&amp;'Reg 85'!$B356),('DMR 001C TIN &amp; TP'!$E$3:$E$10005&amp;'DMR 001C TIN &amp; TP'!$B$3:$B$10005&amp;'DMR 001C TIN &amp; TP'!$A$3:$A$10005),0),MATCH('Reg 85'!$O$11,'DMR 001C TIN &amp; TP'!$A$2:$M$2,0))),"")</f>
        <v/>
      </c>
      <c r="V356" s="6" t="str">
        <f t="array" ref="V356">_xlfn.IFNA((INDEX('DMR 001C TIN &amp; TP'!$A$3:$M$10005,MATCH(('Reg 85'!$I$6:$Q$6&amp;'Reg 85'!V$10&amp;'Reg 85'!$B356),('DMR 001C TIN &amp; TP'!$E$3:$E$10005&amp;'DMR 001C TIN &amp; TP'!$B$3:$B$10005&amp;'DMR 001C TIN &amp; TP'!$A$3:$A$10005),0),MATCH('Reg 85'!$O$11,'DMR 001C TIN &amp; TP'!$A$2:$M$2,0))),"")</f>
        <v/>
      </c>
      <c r="W356" s="6" t="str">
        <f t="array" ref="W356">_xlfn.IFNA((INDEX('DMR 001C TIN &amp; TP'!$A$3:$M$10005,MATCH(('Reg 85'!$I$6:$Q$6&amp;'Reg 85'!W$10&amp;'Reg 85'!$B356),('DMR 001C TIN &amp; TP'!$E$3:$E$10005&amp;'DMR 001C TIN &amp; TP'!$B$3:$B$10005&amp;'DMR 001C TIN &amp; TP'!$A$3:$A$10005),0),MATCH('Reg 85'!$O$11,'DMR 001C TIN &amp; TP'!$A$2:$M$2,0))),"")</f>
        <v/>
      </c>
      <c r="X356" s="5" t="str">
        <f t="shared" si="134"/>
        <v/>
      </c>
      <c r="Y356" s="6" t="str">
        <f t="array" ref="Y356">_xlfn.IFNA((INDEX('DMR 001C TIN &amp; TP'!$A$3:$M$10005,MATCH(('Reg 85'!$X$6&amp;'Reg 85'!$X$10&amp;'Reg 85'!$B356),('DMR 001C TIN &amp; TP'!$E$3:$E$10005&amp;'DMR 001C TIN &amp; TP'!$B$3:$B$10005&amp;'DMR 001C TIN &amp; TP'!$A$3:$A$10005),0),MATCH('Reg 85'!$Y$11,'DMR 001C TIN &amp; TP'!$A$2:$M$2,0))),"")</f>
        <v>0.06</v>
      </c>
      <c r="Z356" s="6">
        <f t="array" ref="Z356">_xlfn.IFNA((INDEX('DMR 001C TIN &amp; TP'!$A$3:$M$10005,MATCH(('Reg 85'!$X$6&amp;'Reg 85'!$X$10&amp;'Reg 85'!$B356),('DMR 001C TIN &amp; TP'!$E$3:$E$10005&amp;'DMR 001C TIN &amp; TP'!$B$3:$B$10005&amp;'DMR 001C TIN &amp; TP'!$A$3:$A$10005),0),MATCH('Reg 85'!$Z$11,'DMR 001C TIN &amp; TP'!$A$2:$M$2,0))),"")</f>
        <v>4.3499999999999996</v>
      </c>
      <c r="AA356" s="53">
        <f t="shared" si="135"/>
        <v>4.3499999999999996</v>
      </c>
      <c r="AB356" s="5" t="str">
        <f t="shared" si="136"/>
        <v/>
      </c>
      <c r="AC356" s="6" t="str">
        <f t="array" ref="AC356">_xlfn.IFNA((INDEX('DMR 001C TIN &amp; TP'!$A$3:$M$10005,MATCH(('Reg 85'!$X$6&amp;'Reg 85'!$AB$10&amp;'Reg 85'!$B356),('DMR 001C TIN &amp; TP'!$E$3:$E$10005&amp;'DMR 001C TIN &amp; TP'!$B$3:$B$10005&amp;'DMR 001C TIN &amp; TP'!$A$3:$A$10005),0),MATCH('Reg 85'!$AC$11,'DMR 001C TIN &amp; TP'!$A$2:$M$2,0))),"")</f>
        <v>0.06</v>
      </c>
      <c r="AD356" s="6">
        <f t="array" ref="AD356">_xlfn.IFNA((INDEX('DMR 001C TIN &amp; TP'!$A$3:$M$10005,MATCH(('Reg 85'!$X$6&amp;'Reg 85'!$AB$10&amp;'Reg 85'!$B356),('DMR 001C TIN &amp; TP'!$E$3:$E$10005&amp;'DMR 001C TIN &amp; TP'!$B$3:$B$10005&amp;'DMR 001C TIN &amp; TP'!$A$3:$A$10005),0),MATCH('Reg 85'!$AD$11,'DMR 001C TIN &amp; TP'!$A$2:$M$2,0))),"")</f>
        <v>6.28</v>
      </c>
      <c r="AE356" s="53">
        <f t="shared" si="137"/>
        <v>6.28</v>
      </c>
      <c r="AF356" s="7">
        <f t="shared" si="138"/>
        <v>5.5278225970421717</v>
      </c>
      <c r="AG356" s="6" t="str">
        <f t="array" ref="AG356">_xlfn.IFNA((INDEX('DMR 001C TIN &amp; TP'!$A$3:$M$10005,MATCH(('Reg 85'!$X$6&amp;'Reg 85'!AG$10&amp;'Reg 85'!$B356),('DMR 001C TIN &amp; TP'!$E$3:$E$10005&amp;'DMR 001C TIN &amp; TP'!$B$3:$B$10005&amp;'DMR 001C TIN &amp; TP'!$A$3:$A$10005),0),MATCH('Reg 85'!$AG$11,'DMR 001C TIN &amp; TP'!$A$2:$M$2,0))),"")</f>
        <v/>
      </c>
      <c r="AH356" s="6" t="str">
        <f t="array" ref="AH356">_xlfn.IFNA((INDEX('DMR 001C TIN &amp; TP'!$A$3:$M$10005,MATCH(('Reg 85'!$X$6&amp;'Reg 85'!AH$10&amp;'Reg 85'!$B356),('DMR 001C TIN &amp; TP'!$E$3:$E$10005&amp;'DMR 001C TIN &amp; TP'!$B$3:$B$10005&amp;'DMR 001C TIN &amp; TP'!$A$3:$A$10005),0),MATCH('Reg 85'!$AG$11,'DMR 001C TIN &amp; TP'!$A$2:$M$2,0))),"")</f>
        <v/>
      </c>
      <c r="AI356" s="6" t="str">
        <f t="array" ref="AI356">_xlfn.IFNA((INDEX('DMR 001C TIN &amp; TP'!$A$3:$M$10005,MATCH(('Reg 85'!$X$6&amp;'Reg 85'!AI$10&amp;'Reg 85'!$B356),('DMR 001C TIN &amp; TP'!$E$3:$E$10005&amp;'DMR 001C TIN &amp; TP'!$B$3:$B$10005&amp;'DMR 001C TIN &amp; TP'!$A$3:$A$10005),0),MATCH('Reg 85'!$AG$11,'DMR 001C TIN &amp; TP'!$A$2:$M$2,0))),"")</f>
        <v/>
      </c>
      <c r="AJ356" s="6" t="str">
        <f t="array" ref="AJ356">_xlfn.IFNA((INDEX('DMR 001C TIN &amp; TP'!$A$3:$M$10005,MATCH(('Reg 85'!$X$6&amp;'Reg 85'!AJ$10&amp;'Reg 85'!$B356),('DMR 001C TIN &amp; TP'!$E$3:$E$10005&amp;'DMR 001C TIN &amp; TP'!$B$3:$B$10005&amp;'DMR 001C TIN &amp; TP'!$A$3:$A$10005),0),MATCH('Reg 85'!$AG$11,'DMR 001C TIN &amp; TP'!$A$2:$M$2,0))),"")</f>
        <v/>
      </c>
      <c r="AK356" s="6" t="str">
        <f t="array" ref="AK356">_xlfn.IFNA((INDEX('DMR 001C TIN &amp; TP'!$A$3:$M$10005,MATCH(('Reg 85'!$X$6&amp;'Reg 85'!AK$10&amp;'Reg 85'!$B356),('DMR 001C TIN &amp; TP'!$E$3:$E$10005&amp;'DMR 001C TIN &amp; TP'!$B$3:$B$10005&amp;'DMR 001C TIN &amp; TP'!$A$3:$A$10005),0),MATCH('Reg 85'!$AG$11,'DMR 001C TIN &amp; TP'!$A$2:$M$2,0))),"")</f>
        <v/>
      </c>
      <c r="AL356" s="6" t="str">
        <f t="array" ref="AL356">_xlfn.IFNA((INDEX('DMR 001C TIN &amp; TP'!$A$3:$M$10005,MATCH(('Reg 85'!$X$6&amp;'Reg 85'!AL$10&amp;'Reg 85'!$B356),('DMR 001C TIN &amp; TP'!$E$3:$E$10005&amp;'DMR 001C TIN &amp; TP'!$B$3:$B$10005&amp;'DMR 001C TIN &amp; TP'!$A$3:$A$10005),0),MATCH('Reg 85'!$AG$11,'DMR 001C TIN &amp; TP'!$A$2:$M$2,0))),"")</f>
        <v/>
      </c>
      <c r="AM356" s="76"/>
      <c r="AN356" s="6"/>
      <c r="AO356" s="54">
        <f t="shared" si="125"/>
        <v>6.162384688448439</v>
      </c>
      <c r="AP356" s="77" t="str">
        <f t="shared" si="123"/>
        <v/>
      </c>
      <c r="AQ356" s="47"/>
      <c r="AR356" s="6" t="str">
        <f t="array" ref="AR356">_xlfn.IFNA((INDEX('DMR 001C TIN &amp; TP'!$A$3:$M$10005,MATCH(('Reg 85'!$AQ$6&amp;'Reg 85'!$AQ$10&amp;'Reg 85'!$B356),('DMR 001C TIN &amp; TP'!$E$3:$E$10005&amp;'DMR 001C TIN &amp; TP'!$B$3:$B$10005&amp;'DMR 001C TIN &amp; TP'!$A$3:$A$10005),0),MATCH('Reg 85'!$AR$11,'DMR 001C TIN &amp; TP'!$A$2:$M$2,0))),"")</f>
        <v/>
      </c>
      <c r="AS356" s="6" t="str">
        <f t="array" ref="AS356">_xlfn.IFNA((INDEX('DMR 001C TIN &amp; TP'!$A$3:$M$10005,MATCH(('Reg 85'!$AQ$6&amp;'Reg 85'!$AQ$10&amp;'Reg 85'!$B356),('DMR 001C TIN &amp; TP'!$E$3:$E$10005&amp;'DMR 001C TIN &amp; TP'!$B$3:$B$10005&amp;'DMR 001C TIN &amp; TP'!$A$3:$A$10005),0),MATCH('Reg 85'!$AS$11,'DMR 001C TIN &amp; TP'!$A$2:$M$2,0))),"")</f>
        <v/>
      </c>
      <c r="AT356" s="53" t="str">
        <f t="shared" si="139"/>
        <v/>
      </c>
      <c r="AV356" s="6" t="str">
        <f t="array" ref="AV356">_xlfn.IFNA((INDEX('DMR 001C TIN &amp; TP'!$A$3:$M$10005,MATCH(('Reg 85'!$AQ$6&amp;'Reg 85'!$AU$10&amp;'Reg 85'!$B356),('DMR 001C TIN &amp; TP'!$E$3:$E$10005&amp;'DMR 001C TIN &amp; TP'!$B$3:$B$10005&amp;'DMR 001C TIN &amp; TP'!$A$3:$A$10005),0),MATCH('Reg 85'!$AV$11,'DMR 001C TIN &amp; TP'!$A$2:$M$2,0))),"")</f>
        <v/>
      </c>
      <c r="AW356" s="6" t="str">
        <f t="array" ref="AW356">_xlfn.IFNA((INDEX('DMR 001C TIN &amp; TP'!$A$3:$M$10005,MATCH(('Reg 85'!$AQ$6&amp;'Reg 85'!$AU$10&amp;'Reg 85'!$B356),('DMR 001C TIN &amp; TP'!$E$3:$E$10005&amp;'DMR 001C TIN &amp; TP'!$B$3:$B$10005&amp;'DMR 001C TIN &amp; TP'!$A$3:$A$10005),0),MATCH('Reg 85'!$AW$11,'DMR 001C TIN &amp; TP'!$A$2:$M$2,0))),"")</f>
        <v/>
      </c>
      <c r="AX356" s="53" t="str">
        <f t="shared" si="140"/>
        <v/>
      </c>
      <c r="AY356" s="55" t="str">
        <f t="shared" si="141"/>
        <v/>
      </c>
      <c r="AZ356" s="77" t="str">
        <f t="shared" si="124"/>
        <v/>
      </c>
      <c r="BA356" s="6" t="str">
        <f t="array" ref="BA356">_xlfn.IFNA((INDEX('DMR 001C TIN &amp; TP'!$A$3:$M$10005,MATCH(('Reg 85'!$AQ$6&amp;'Reg 85'!BA$10&amp;'Reg 85'!$B356),('DMR 001C TIN &amp; TP'!$E$3:$E$10005&amp;'DMR 001C TIN &amp; TP'!$B$3:$B$10005&amp;'DMR 001C TIN &amp; TP'!$A$3:$A$10005),0),MATCH('Reg 85'!$AG$11,'DMR 001C TIN &amp; TP'!$A$2:$M$2,0))),"")</f>
        <v/>
      </c>
      <c r="BB356" s="6" t="str">
        <f t="array" ref="BB356">_xlfn.IFNA((INDEX('DMR 001C TIN &amp; TP'!$A$3:$M$10005,MATCH(('Reg 85'!$AQ$6&amp;'Reg 85'!BB$10&amp;'Reg 85'!$B356),('DMR 001C TIN &amp; TP'!$E$3:$E$10005&amp;'DMR 001C TIN &amp; TP'!$B$3:$B$10005&amp;'DMR 001C TIN &amp; TP'!$A$3:$A$10005),0),MATCH('Reg 85'!$AG$11,'DMR 001C TIN &amp; TP'!$A$2:$M$2,0))),"")</f>
        <v/>
      </c>
      <c r="BC356" s="6" t="str">
        <f t="array" ref="BC356">_xlfn.IFNA((INDEX('DMR 001C TIN &amp; TP'!$A$3:$M$10005,MATCH(('Reg 85'!$AQ$6&amp;'Reg 85'!BC$10&amp;'Reg 85'!$B356),('DMR 001C TIN &amp; TP'!$E$3:$E$10005&amp;'DMR 001C TIN &amp; TP'!$B$3:$B$10005&amp;'DMR 001C TIN &amp; TP'!$A$3:$A$10005),0),MATCH('Reg 85'!$AG$11,'DMR 001C TIN &amp; TP'!$A$2:$M$2,0))),"")</f>
        <v/>
      </c>
      <c r="BD356" s="6" t="str">
        <f t="array" ref="BD356">_xlfn.IFNA((INDEX('DMR 001C TIN &amp; TP'!$A$3:$M$10005,MATCH(('Reg 85'!$AQ$6&amp;'Reg 85'!BD$10&amp;'Reg 85'!$B356),('DMR 001C TIN &amp; TP'!$E$3:$E$10005&amp;'DMR 001C TIN &amp; TP'!$B$3:$B$10005&amp;'DMR 001C TIN &amp; TP'!$A$3:$A$10005),0),MATCH('Reg 85'!$AG$11,'DMR 001C TIN &amp; TP'!$A$2:$M$2,0))),"")</f>
        <v/>
      </c>
      <c r="BE356" s="6" t="str">
        <f t="array" ref="BE356">_xlfn.IFNA((INDEX('DMR 001C TIN &amp; TP'!$A$3:$M$10005,MATCH(('Reg 85'!$AQ$6&amp;'Reg 85'!BE$10&amp;'Reg 85'!$B356),('DMR 001C TIN &amp; TP'!$E$3:$E$10005&amp;'DMR 001C TIN &amp; TP'!$B$3:$B$10005&amp;'DMR 001C TIN &amp; TP'!$A$3:$A$10005),0),MATCH('Reg 85'!$AG$11,'DMR 001C TIN &amp; TP'!$A$2:$M$2,0))),"")</f>
        <v/>
      </c>
      <c r="BF356" s="6" t="str">
        <f t="array" ref="BF356">_xlfn.IFNA((INDEX('DMR 001C TIN &amp; TP'!$A$3:$M$10005,MATCH(('Reg 85'!$AQ$6&amp;'Reg 85'!BF$10&amp;'Reg 85'!$B356),('DMR 001C TIN &amp; TP'!$E$3:$E$10005&amp;'DMR 001C TIN &amp; TP'!$B$3:$B$10005&amp;'DMR 001C TIN &amp; TP'!$A$3:$A$10005),0),MATCH('Reg 85'!$AG$11,'DMR 001C TIN &amp; TP'!$A$2:$M$2,0))),"")</f>
        <v/>
      </c>
    </row>
    <row r="357" spans="1:58">
      <c r="A357" s="3" t="str">
        <f t="shared" si="126"/>
        <v>Mon</v>
      </c>
      <c r="B357" s="96">
        <f t="shared" si="142"/>
        <v>43689</v>
      </c>
      <c r="C357" s="96">
        <f t="shared" si="127"/>
        <v>43708</v>
      </c>
      <c r="D357" s="96">
        <f t="shared" si="128"/>
        <v>43678</v>
      </c>
      <c r="E357" s="95">
        <f t="shared" si="129"/>
        <v>31</v>
      </c>
      <c r="F357" s="7">
        <f t="array" ref="F357">_xlfn.IFNA(INDEX('DMR Flows-Effluent'!$A$3:$F$9999,MATCH(($F$10&amp;$B357),('DMR Flows-Effluent'!$B$3:$B$9999&amp;'DMR Flows-Effluent'!$A$3:$A$9999),0),MATCH($F$8,'DMR Flows-Effluent'!$A$2:$F$2,0)),"")</f>
        <v>53.8855</v>
      </c>
      <c r="G357" s="7">
        <f t="array" ref="G357">_xlfn.IFNA(INDEX('DMR Flows-Effluent'!$A$3:$F$9999,MATCH(($G$10&amp;$B357),('DMR Flows-Effluent'!$B$3:$B$9999&amp;'DMR Flows-Effluent'!$A$3:$A$9999),0),MATCH($F$8,'DMR Flows-Effluent'!$A$2:$F$2,0)),"")</f>
        <v>78.660200000000003</v>
      </c>
      <c r="H357" s="7">
        <f t="shared" si="130"/>
        <v>132.54570000000001</v>
      </c>
      <c r="I357" s="45" t="str">
        <f t="shared" si="131"/>
        <v/>
      </c>
      <c r="J357" s="6" t="str">
        <f t="array" ref="J357">_xlfn.IFNA((INDEX('DMR 001C TIN &amp; TP'!$A$3:$M$10005,MATCH(('Reg 85'!$I$6:$Q$6&amp;'Reg 85'!$I$10:$K$10&amp;'Reg 85'!$B357),('DMR 001C TIN &amp; TP'!$E$3:$E$10005&amp;'DMR 001C TIN &amp; TP'!$B$3:$B$10005&amp;'DMR 001C TIN &amp; TP'!$A$3:$A$10005),0),MATCH('Reg 85'!$J$11,'DMR 001C TIN &amp; TP'!$A$2:$M$2,0))),"")</f>
        <v/>
      </c>
      <c r="K357" s="6" t="str">
        <f t="array" ref="K357">_xlfn.IFNA((INDEX('DMR 001C TIN &amp; TP'!$A$3:$M$10005,MATCH(('Reg 85'!$I$6:$Q$6&amp;'Reg 85'!$I$10:$K$10&amp;'Reg 85'!$B357),('DMR 001C TIN &amp; TP'!$E$3:$E$10005&amp;'DMR 001C TIN &amp; TP'!$B$3:$B$10005&amp;'DMR 001C TIN &amp; TP'!$A$3:$A$10005),0),MATCH('Reg 85'!$K$11,'DMR 001C TIN &amp; TP'!$A$2:$M$2,0))),"")</f>
        <v/>
      </c>
      <c r="L357" s="53" t="str">
        <f t="shared" si="143"/>
        <v/>
      </c>
      <c r="M357" s="5" t="str">
        <f t="shared" si="132"/>
        <v/>
      </c>
      <c r="N357" s="6" t="str">
        <f t="array" ref="N357">_xlfn.IFNA((INDEX('DMR 001C TIN &amp; TP'!$A$3:$M$10005,MATCH(('Reg 85'!$I$6:$Q$6&amp;'Reg 85'!$M$10&amp;'Reg 85'!$B357),('DMR 001C TIN &amp; TP'!$E$3:$E$10005&amp;'DMR 001C TIN &amp; TP'!$B$3:$B$10005&amp;'DMR 001C TIN &amp; TP'!$A$3:$A$10005),0),MATCH('Reg 85'!$N$11,'DMR 001C TIN &amp; TP'!$A$2:$M$2,0))),"")</f>
        <v/>
      </c>
      <c r="O357" s="6" t="str">
        <f t="array" ref="O357">_xlfn.IFNA((INDEX('DMR 001C TIN &amp; TP'!$A$3:$M$10005,MATCH(('Reg 85'!$I$6:$Q$6&amp;'Reg 85'!$M$10&amp;'Reg 85'!$B357),('DMR 001C TIN &amp; TP'!$E$3:$E$10005&amp;'DMR 001C TIN &amp; TP'!$B$3:$B$10005&amp;'DMR 001C TIN &amp; TP'!$A$3:$A$10005),0),MATCH('Reg 85'!$O$11,'DMR 001C TIN &amp; TP'!$A$2:$M$2,0))),"")</f>
        <v/>
      </c>
      <c r="P357" s="53" t="str">
        <f t="shared" si="133"/>
        <v/>
      </c>
      <c r="Q357" s="73" t="str">
        <f t="array" ref="Q357">IFERROR(((L357*$F357)+(P357*$G357))/($H357),"")</f>
        <v/>
      </c>
      <c r="R357" s="6" t="str">
        <f t="array" ref="R357">_xlfn.IFNA((INDEX('DMR 001C TIN &amp; TP'!$A$3:$M$10005,MATCH(('Reg 85'!$I$6:$Q$6&amp;'Reg 85'!R$10&amp;'Reg 85'!$B357),('DMR 001C TIN &amp; TP'!$E$3:$E$10005&amp;'DMR 001C TIN &amp; TP'!$B$3:$B$10005&amp;'DMR 001C TIN &amp; TP'!$A$3:$A$10005),0),MATCH('Reg 85'!$O$11,'DMR 001C TIN &amp; TP'!$A$2:$M$2,0))),"")</f>
        <v/>
      </c>
      <c r="S357" s="6" t="str">
        <f t="array" ref="S357">_xlfn.IFNA((INDEX('DMR 001C TIN &amp; TP'!$A$3:$M$10005,MATCH(('Reg 85'!$I$6:$Q$6&amp;'Reg 85'!S$10&amp;'Reg 85'!$B357),('DMR 001C TIN &amp; TP'!$E$3:$E$10005&amp;'DMR 001C TIN &amp; TP'!$B$3:$B$10005&amp;'DMR 001C TIN &amp; TP'!$A$3:$A$10005),0),MATCH('Reg 85'!$O$11,'DMR 001C TIN &amp; TP'!$A$2:$M$2,0))),"")</f>
        <v/>
      </c>
      <c r="T357" s="6" t="str">
        <f t="array" ref="T357">_xlfn.IFNA((INDEX('DMR 001C TIN &amp; TP'!$A$3:$M$10005,MATCH(('Reg 85'!$I$6:$Q$6&amp;'Reg 85'!T$10&amp;'Reg 85'!$B357),('DMR 001C TIN &amp; TP'!$E$3:$E$10005&amp;'DMR 001C TIN &amp; TP'!$B$3:$B$10005&amp;'DMR 001C TIN &amp; TP'!$A$3:$A$10005),0),MATCH('Reg 85'!$O$11,'DMR 001C TIN &amp; TP'!$A$2:$M$2,0))),"")</f>
        <v/>
      </c>
      <c r="U357" s="6" t="str">
        <f t="array" ref="U357">_xlfn.IFNA((INDEX('DMR 001C TIN &amp; TP'!$A$3:$M$10005,MATCH(('Reg 85'!$I$6:$Q$6&amp;'Reg 85'!U$10&amp;'Reg 85'!$B357),('DMR 001C TIN &amp; TP'!$E$3:$E$10005&amp;'DMR 001C TIN &amp; TP'!$B$3:$B$10005&amp;'DMR 001C TIN &amp; TP'!$A$3:$A$10005),0),MATCH('Reg 85'!$O$11,'DMR 001C TIN &amp; TP'!$A$2:$M$2,0))),"")</f>
        <v/>
      </c>
      <c r="V357" s="6" t="str">
        <f t="array" ref="V357">_xlfn.IFNA((INDEX('DMR 001C TIN &amp; TP'!$A$3:$M$10005,MATCH(('Reg 85'!$I$6:$Q$6&amp;'Reg 85'!V$10&amp;'Reg 85'!$B357),('DMR 001C TIN &amp; TP'!$E$3:$E$10005&amp;'DMR 001C TIN &amp; TP'!$B$3:$B$10005&amp;'DMR 001C TIN &amp; TP'!$A$3:$A$10005),0),MATCH('Reg 85'!$O$11,'DMR 001C TIN &amp; TP'!$A$2:$M$2,0))),"")</f>
        <v/>
      </c>
      <c r="W357" s="6" t="str">
        <f t="array" ref="W357">_xlfn.IFNA((INDEX('DMR 001C TIN &amp; TP'!$A$3:$M$10005,MATCH(('Reg 85'!$I$6:$Q$6&amp;'Reg 85'!W$10&amp;'Reg 85'!$B357),('DMR 001C TIN &amp; TP'!$E$3:$E$10005&amp;'DMR 001C TIN &amp; TP'!$B$3:$B$10005&amp;'DMR 001C TIN &amp; TP'!$A$3:$A$10005),0),MATCH('Reg 85'!$O$11,'DMR 001C TIN &amp; TP'!$A$2:$M$2,0))),"")</f>
        <v/>
      </c>
      <c r="X357" s="5" t="str">
        <f t="shared" si="134"/>
        <v/>
      </c>
      <c r="Y357" s="6" t="str">
        <f t="array" ref="Y357">_xlfn.IFNA((INDEX('DMR 001C TIN &amp; TP'!$A$3:$M$10005,MATCH(('Reg 85'!$X$6&amp;'Reg 85'!$X$10&amp;'Reg 85'!$B357),('DMR 001C TIN &amp; TP'!$E$3:$E$10005&amp;'DMR 001C TIN &amp; TP'!$B$3:$B$10005&amp;'DMR 001C TIN &amp; TP'!$A$3:$A$10005),0),MATCH('Reg 85'!$Y$11,'DMR 001C TIN &amp; TP'!$A$2:$M$2,0))),"")</f>
        <v/>
      </c>
      <c r="Z357" s="6" t="str">
        <f t="array" ref="Z357">_xlfn.IFNA((INDEX('DMR 001C TIN &amp; TP'!$A$3:$M$10005,MATCH(('Reg 85'!$X$6&amp;'Reg 85'!$X$10&amp;'Reg 85'!$B357),('DMR 001C TIN &amp; TP'!$E$3:$E$10005&amp;'DMR 001C TIN &amp; TP'!$B$3:$B$10005&amp;'DMR 001C TIN &amp; TP'!$A$3:$A$10005),0),MATCH('Reg 85'!$Z$11,'DMR 001C TIN &amp; TP'!$A$2:$M$2,0))),"")</f>
        <v/>
      </c>
      <c r="AA357" s="53" t="str">
        <f t="shared" si="135"/>
        <v/>
      </c>
      <c r="AB357" s="5" t="str">
        <f t="shared" si="136"/>
        <v/>
      </c>
      <c r="AC357" s="6" t="str">
        <f t="array" ref="AC357">_xlfn.IFNA((INDEX('DMR 001C TIN &amp; TP'!$A$3:$M$10005,MATCH(('Reg 85'!$X$6&amp;'Reg 85'!$AB$10&amp;'Reg 85'!$B357),('DMR 001C TIN &amp; TP'!$E$3:$E$10005&amp;'DMR 001C TIN &amp; TP'!$B$3:$B$10005&amp;'DMR 001C TIN &amp; TP'!$A$3:$A$10005),0),MATCH('Reg 85'!$AC$11,'DMR 001C TIN &amp; TP'!$A$2:$M$2,0))),"")</f>
        <v/>
      </c>
      <c r="AD357" s="6" t="str">
        <f t="array" ref="AD357">_xlfn.IFNA((INDEX('DMR 001C TIN &amp; TP'!$A$3:$M$10005,MATCH(('Reg 85'!$X$6&amp;'Reg 85'!$AB$10&amp;'Reg 85'!$B357),('DMR 001C TIN &amp; TP'!$E$3:$E$10005&amp;'DMR 001C TIN &amp; TP'!$B$3:$B$10005&amp;'DMR 001C TIN &amp; TP'!$A$3:$A$10005),0),MATCH('Reg 85'!$AD$11,'DMR 001C TIN &amp; TP'!$A$2:$M$2,0))),"")</f>
        <v/>
      </c>
      <c r="AE357" s="53" t="str">
        <f t="shared" si="137"/>
        <v/>
      </c>
      <c r="AF357" s="7" t="str">
        <f t="shared" si="138"/>
        <v/>
      </c>
      <c r="AG357" s="6" t="str">
        <f t="array" ref="AG357">_xlfn.IFNA((INDEX('DMR 001C TIN &amp; TP'!$A$3:$M$10005,MATCH(('Reg 85'!$X$6&amp;'Reg 85'!AG$10&amp;'Reg 85'!$B357),('DMR 001C TIN &amp; TP'!$E$3:$E$10005&amp;'DMR 001C TIN &amp; TP'!$B$3:$B$10005&amp;'DMR 001C TIN &amp; TP'!$A$3:$A$10005),0),MATCH('Reg 85'!$AG$11,'DMR 001C TIN &amp; TP'!$A$2:$M$2,0))),"")</f>
        <v/>
      </c>
      <c r="AH357" s="6" t="str">
        <f t="array" ref="AH357">_xlfn.IFNA((INDEX('DMR 001C TIN &amp; TP'!$A$3:$M$10005,MATCH(('Reg 85'!$X$6&amp;'Reg 85'!AH$10&amp;'Reg 85'!$B357),('DMR 001C TIN &amp; TP'!$E$3:$E$10005&amp;'DMR 001C TIN &amp; TP'!$B$3:$B$10005&amp;'DMR 001C TIN &amp; TP'!$A$3:$A$10005),0),MATCH('Reg 85'!$AG$11,'DMR 001C TIN &amp; TP'!$A$2:$M$2,0))),"")</f>
        <v/>
      </c>
      <c r="AI357" s="6" t="str">
        <f t="array" ref="AI357">_xlfn.IFNA((INDEX('DMR 001C TIN &amp; TP'!$A$3:$M$10005,MATCH(('Reg 85'!$X$6&amp;'Reg 85'!AI$10&amp;'Reg 85'!$B357),('DMR 001C TIN &amp; TP'!$E$3:$E$10005&amp;'DMR 001C TIN &amp; TP'!$B$3:$B$10005&amp;'DMR 001C TIN &amp; TP'!$A$3:$A$10005),0),MATCH('Reg 85'!$AG$11,'DMR 001C TIN &amp; TP'!$A$2:$M$2,0))),"")</f>
        <v/>
      </c>
      <c r="AJ357" s="6" t="str">
        <f t="array" ref="AJ357">_xlfn.IFNA((INDEX('DMR 001C TIN &amp; TP'!$A$3:$M$10005,MATCH(('Reg 85'!$X$6&amp;'Reg 85'!AJ$10&amp;'Reg 85'!$B357),('DMR 001C TIN &amp; TP'!$E$3:$E$10005&amp;'DMR 001C TIN &amp; TP'!$B$3:$B$10005&amp;'DMR 001C TIN &amp; TP'!$A$3:$A$10005),0),MATCH('Reg 85'!$AG$11,'DMR 001C TIN &amp; TP'!$A$2:$M$2,0))),"")</f>
        <v/>
      </c>
      <c r="AK357" s="6" t="str">
        <f t="array" ref="AK357">_xlfn.IFNA((INDEX('DMR 001C TIN &amp; TP'!$A$3:$M$10005,MATCH(('Reg 85'!$X$6&amp;'Reg 85'!AK$10&amp;'Reg 85'!$B357),('DMR 001C TIN &amp; TP'!$E$3:$E$10005&amp;'DMR 001C TIN &amp; TP'!$B$3:$B$10005&amp;'DMR 001C TIN &amp; TP'!$A$3:$A$10005),0),MATCH('Reg 85'!$AG$11,'DMR 001C TIN &amp; TP'!$A$2:$M$2,0))),"")</f>
        <v/>
      </c>
      <c r="AL357" s="6" t="str">
        <f t="array" ref="AL357">_xlfn.IFNA((INDEX('DMR 001C TIN &amp; TP'!$A$3:$M$10005,MATCH(('Reg 85'!$X$6&amp;'Reg 85'!AL$10&amp;'Reg 85'!$B357),('DMR 001C TIN &amp; TP'!$E$3:$E$10005&amp;'DMR 001C TIN &amp; TP'!$B$3:$B$10005&amp;'DMR 001C TIN &amp; TP'!$A$3:$A$10005),0),MATCH('Reg 85'!$AG$11,'DMR 001C TIN &amp; TP'!$A$2:$M$2,0))),"")</f>
        <v/>
      </c>
      <c r="AM357" s="76"/>
      <c r="AN357" s="6"/>
      <c r="AO357" s="54" t="str">
        <f t="shared" si="125"/>
        <v/>
      </c>
      <c r="AP357" s="77" t="str">
        <f t="shared" si="123"/>
        <v/>
      </c>
      <c r="AQ357" s="47"/>
      <c r="AR357" s="6" t="str">
        <f t="array" ref="AR357">_xlfn.IFNA((INDEX('DMR 001C TIN &amp; TP'!$A$3:$M$10005,MATCH(('Reg 85'!$AQ$6&amp;'Reg 85'!$AQ$10&amp;'Reg 85'!$B357),('DMR 001C TIN &amp; TP'!$E$3:$E$10005&amp;'DMR 001C TIN &amp; TP'!$B$3:$B$10005&amp;'DMR 001C TIN &amp; TP'!$A$3:$A$10005),0),MATCH('Reg 85'!$AR$11,'DMR 001C TIN &amp; TP'!$A$2:$M$2,0))),"")</f>
        <v/>
      </c>
      <c r="AS357" s="6" t="str">
        <f t="array" ref="AS357">_xlfn.IFNA((INDEX('DMR 001C TIN &amp; TP'!$A$3:$M$10005,MATCH(('Reg 85'!$AQ$6&amp;'Reg 85'!$AQ$10&amp;'Reg 85'!$B357),('DMR 001C TIN &amp; TP'!$E$3:$E$10005&amp;'DMR 001C TIN &amp; TP'!$B$3:$B$10005&amp;'DMR 001C TIN &amp; TP'!$A$3:$A$10005),0),MATCH('Reg 85'!$AS$11,'DMR 001C TIN &amp; TP'!$A$2:$M$2,0))),"")</f>
        <v/>
      </c>
      <c r="AT357" s="53" t="str">
        <f t="shared" si="139"/>
        <v/>
      </c>
      <c r="AV357" s="6" t="str">
        <f t="array" ref="AV357">_xlfn.IFNA((INDEX('DMR 001C TIN &amp; TP'!$A$3:$M$10005,MATCH(('Reg 85'!$AQ$6&amp;'Reg 85'!$AU$10&amp;'Reg 85'!$B357),('DMR 001C TIN &amp; TP'!$E$3:$E$10005&amp;'DMR 001C TIN &amp; TP'!$B$3:$B$10005&amp;'DMR 001C TIN &amp; TP'!$A$3:$A$10005),0),MATCH('Reg 85'!$AV$11,'DMR 001C TIN &amp; TP'!$A$2:$M$2,0))),"")</f>
        <v/>
      </c>
      <c r="AW357" s="6" t="str">
        <f t="array" ref="AW357">_xlfn.IFNA((INDEX('DMR 001C TIN &amp; TP'!$A$3:$M$10005,MATCH(('Reg 85'!$AQ$6&amp;'Reg 85'!$AU$10&amp;'Reg 85'!$B357),('DMR 001C TIN &amp; TP'!$E$3:$E$10005&amp;'DMR 001C TIN &amp; TP'!$B$3:$B$10005&amp;'DMR 001C TIN &amp; TP'!$A$3:$A$10005),0),MATCH('Reg 85'!$AW$11,'DMR 001C TIN &amp; TP'!$A$2:$M$2,0))),"")</f>
        <v/>
      </c>
      <c r="AX357" s="53" t="str">
        <f t="shared" si="140"/>
        <v/>
      </c>
      <c r="AY357" s="55" t="str">
        <f t="shared" si="141"/>
        <v/>
      </c>
      <c r="AZ357" s="77" t="str">
        <f t="shared" si="124"/>
        <v/>
      </c>
      <c r="BA357" s="6" t="str">
        <f t="array" ref="BA357">_xlfn.IFNA((INDEX('DMR 001C TIN &amp; TP'!$A$3:$M$10005,MATCH(('Reg 85'!$AQ$6&amp;'Reg 85'!BA$10&amp;'Reg 85'!$B357),('DMR 001C TIN &amp; TP'!$E$3:$E$10005&amp;'DMR 001C TIN &amp; TP'!$B$3:$B$10005&amp;'DMR 001C TIN &amp; TP'!$A$3:$A$10005),0),MATCH('Reg 85'!$AG$11,'DMR 001C TIN &amp; TP'!$A$2:$M$2,0))),"")</f>
        <v/>
      </c>
      <c r="BB357" s="6" t="str">
        <f t="array" ref="BB357">_xlfn.IFNA((INDEX('DMR 001C TIN &amp; TP'!$A$3:$M$10005,MATCH(('Reg 85'!$AQ$6&amp;'Reg 85'!BB$10&amp;'Reg 85'!$B357),('DMR 001C TIN &amp; TP'!$E$3:$E$10005&amp;'DMR 001C TIN &amp; TP'!$B$3:$B$10005&amp;'DMR 001C TIN &amp; TP'!$A$3:$A$10005),0),MATCH('Reg 85'!$AG$11,'DMR 001C TIN &amp; TP'!$A$2:$M$2,0))),"")</f>
        <v/>
      </c>
      <c r="BC357" s="6" t="str">
        <f t="array" ref="BC357">_xlfn.IFNA((INDEX('DMR 001C TIN &amp; TP'!$A$3:$M$10005,MATCH(('Reg 85'!$AQ$6&amp;'Reg 85'!BC$10&amp;'Reg 85'!$B357),('DMR 001C TIN &amp; TP'!$E$3:$E$10005&amp;'DMR 001C TIN &amp; TP'!$B$3:$B$10005&amp;'DMR 001C TIN &amp; TP'!$A$3:$A$10005),0),MATCH('Reg 85'!$AG$11,'DMR 001C TIN &amp; TP'!$A$2:$M$2,0))),"")</f>
        <v/>
      </c>
      <c r="BD357" s="6" t="str">
        <f t="array" ref="BD357">_xlfn.IFNA((INDEX('DMR 001C TIN &amp; TP'!$A$3:$M$10005,MATCH(('Reg 85'!$AQ$6&amp;'Reg 85'!BD$10&amp;'Reg 85'!$B357),('DMR 001C TIN &amp; TP'!$E$3:$E$10005&amp;'DMR 001C TIN &amp; TP'!$B$3:$B$10005&amp;'DMR 001C TIN &amp; TP'!$A$3:$A$10005),0),MATCH('Reg 85'!$AG$11,'DMR 001C TIN &amp; TP'!$A$2:$M$2,0))),"")</f>
        <v/>
      </c>
      <c r="BE357" s="6" t="str">
        <f t="array" ref="BE357">_xlfn.IFNA((INDEX('DMR 001C TIN &amp; TP'!$A$3:$M$10005,MATCH(('Reg 85'!$AQ$6&amp;'Reg 85'!BE$10&amp;'Reg 85'!$B357),('DMR 001C TIN &amp; TP'!$E$3:$E$10005&amp;'DMR 001C TIN &amp; TP'!$B$3:$B$10005&amp;'DMR 001C TIN &amp; TP'!$A$3:$A$10005),0),MATCH('Reg 85'!$AG$11,'DMR 001C TIN &amp; TP'!$A$2:$M$2,0))),"")</f>
        <v/>
      </c>
      <c r="BF357" s="6" t="str">
        <f t="array" ref="BF357">_xlfn.IFNA((INDEX('DMR 001C TIN &amp; TP'!$A$3:$M$10005,MATCH(('Reg 85'!$AQ$6&amp;'Reg 85'!BF$10&amp;'Reg 85'!$B357),('DMR 001C TIN &amp; TP'!$E$3:$E$10005&amp;'DMR 001C TIN &amp; TP'!$B$3:$B$10005&amp;'DMR 001C TIN &amp; TP'!$A$3:$A$10005),0),MATCH('Reg 85'!$AG$11,'DMR 001C TIN &amp; TP'!$A$2:$M$2,0))),"")</f>
        <v/>
      </c>
    </row>
    <row r="358" spans="1:58">
      <c r="A358" s="3" t="str">
        <f t="shared" si="126"/>
        <v>Tue</v>
      </c>
      <c r="B358" s="96">
        <f t="shared" si="142"/>
        <v>43690</v>
      </c>
      <c r="C358" s="96">
        <f t="shared" si="127"/>
        <v>43708</v>
      </c>
      <c r="D358" s="96">
        <f t="shared" si="128"/>
        <v>43678</v>
      </c>
      <c r="E358" s="95">
        <f t="shared" si="129"/>
        <v>31</v>
      </c>
      <c r="F358" s="7">
        <f t="array" ref="F358">_xlfn.IFNA(INDEX('DMR Flows-Effluent'!$A$3:$F$9999,MATCH(($F$10&amp;$B358),('DMR Flows-Effluent'!$B$3:$B$9999&amp;'DMR Flows-Effluent'!$A$3:$A$9999),0),MATCH($F$8,'DMR Flows-Effluent'!$A$2:$F$2,0)),"")</f>
        <v>51.302599999999998</v>
      </c>
      <c r="G358" s="7">
        <f t="array" ref="G358">_xlfn.IFNA(INDEX('DMR Flows-Effluent'!$A$3:$F$9999,MATCH(($G$10&amp;$B358),('DMR Flows-Effluent'!$B$3:$B$9999&amp;'DMR Flows-Effluent'!$A$3:$A$9999),0),MATCH($F$8,'DMR Flows-Effluent'!$A$2:$F$2,0)),"")</f>
        <v>80.340500000000006</v>
      </c>
      <c r="H358" s="7">
        <f t="shared" si="130"/>
        <v>131.6431</v>
      </c>
      <c r="I358" s="45" t="str">
        <f t="shared" si="131"/>
        <v/>
      </c>
      <c r="J358" s="6" t="str">
        <f t="array" ref="J358">_xlfn.IFNA((INDEX('DMR 001C TIN &amp; TP'!$A$3:$M$10005,MATCH(('Reg 85'!$I$6:$Q$6&amp;'Reg 85'!$I$10:$K$10&amp;'Reg 85'!$B358),('DMR 001C TIN &amp; TP'!$E$3:$E$10005&amp;'DMR 001C TIN &amp; TP'!$B$3:$B$10005&amp;'DMR 001C TIN &amp; TP'!$A$3:$A$10005),0),MATCH('Reg 85'!$J$11,'DMR 001C TIN &amp; TP'!$A$2:$M$2,0))),"")</f>
        <v/>
      </c>
      <c r="K358" s="6" t="str">
        <f t="array" ref="K358">_xlfn.IFNA((INDEX('DMR 001C TIN &amp; TP'!$A$3:$M$10005,MATCH(('Reg 85'!$I$6:$Q$6&amp;'Reg 85'!$I$10:$K$10&amp;'Reg 85'!$B358),('DMR 001C TIN &amp; TP'!$E$3:$E$10005&amp;'DMR 001C TIN &amp; TP'!$B$3:$B$10005&amp;'DMR 001C TIN &amp; TP'!$A$3:$A$10005),0),MATCH('Reg 85'!$K$11,'DMR 001C TIN &amp; TP'!$A$2:$M$2,0))),"")</f>
        <v/>
      </c>
      <c r="L358" s="53" t="str">
        <f t="shared" si="143"/>
        <v/>
      </c>
      <c r="M358" s="5" t="str">
        <f t="shared" si="132"/>
        <v/>
      </c>
      <c r="N358" s="6" t="str">
        <f t="array" ref="N358">_xlfn.IFNA((INDEX('DMR 001C TIN &amp; TP'!$A$3:$M$10005,MATCH(('Reg 85'!$I$6:$Q$6&amp;'Reg 85'!$M$10&amp;'Reg 85'!$B358),('DMR 001C TIN &amp; TP'!$E$3:$E$10005&amp;'DMR 001C TIN &amp; TP'!$B$3:$B$10005&amp;'DMR 001C TIN &amp; TP'!$A$3:$A$10005),0),MATCH('Reg 85'!$N$11,'DMR 001C TIN &amp; TP'!$A$2:$M$2,0))),"")</f>
        <v/>
      </c>
      <c r="O358" s="6" t="str">
        <f t="array" ref="O358">_xlfn.IFNA((INDEX('DMR 001C TIN &amp; TP'!$A$3:$M$10005,MATCH(('Reg 85'!$I$6:$Q$6&amp;'Reg 85'!$M$10&amp;'Reg 85'!$B358),('DMR 001C TIN &amp; TP'!$E$3:$E$10005&amp;'DMR 001C TIN &amp; TP'!$B$3:$B$10005&amp;'DMR 001C TIN &amp; TP'!$A$3:$A$10005),0),MATCH('Reg 85'!$O$11,'DMR 001C TIN &amp; TP'!$A$2:$M$2,0))),"")</f>
        <v/>
      </c>
      <c r="P358" s="53" t="str">
        <f t="shared" si="133"/>
        <v/>
      </c>
      <c r="Q358" s="73" t="str">
        <f t="array" ref="Q358">IFERROR(((L358*$F358)+(P358*$G358))/($H358),"")</f>
        <v/>
      </c>
      <c r="R358" s="6" t="str">
        <f t="array" ref="R358">_xlfn.IFNA((INDEX('DMR 001C TIN &amp; TP'!$A$3:$M$10005,MATCH(('Reg 85'!$I$6:$Q$6&amp;'Reg 85'!R$10&amp;'Reg 85'!$B358),('DMR 001C TIN &amp; TP'!$E$3:$E$10005&amp;'DMR 001C TIN &amp; TP'!$B$3:$B$10005&amp;'DMR 001C TIN &amp; TP'!$A$3:$A$10005),0),MATCH('Reg 85'!$O$11,'DMR 001C TIN &amp; TP'!$A$2:$M$2,0))),"")</f>
        <v/>
      </c>
      <c r="S358" s="6" t="str">
        <f t="array" ref="S358">_xlfn.IFNA((INDEX('DMR 001C TIN &amp; TP'!$A$3:$M$10005,MATCH(('Reg 85'!$I$6:$Q$6&amp;'Reg 85'!S$10&amp;'Reg 85'!$B358),('DMR 001C TIN &amp; TP'!$E$3:$E$10005&amp;'DMR 001C TIN &amp; TP'!$B$3:$B$10005&amp;'DMR 001C TIN &amp; TP'!$A$3:$A$10005),0),MATCH('Reg 85'!$O$11,'DMR 001C TIN &amp; TP'!$A$2:$M$2,0))),"")</f>
        <v/>
      </c>
      <c r="T358" s="6" t="str">
        <f t="array" ref="T358">_xlfn.IFNA((INDEX('DMR 001C TIN &amp; TP'!$A$3:$M$10005,MATCH(('Reg 85'!$I$6:$Q$6&amp;'Reg 85'!T$10&amp;'Reg 85'!$B358),('DMR 001C TIN &amp; TP'!$E$3:$E$10005&amp;'DMR 001C TIN &amp; TP'!$B$3:$B$10005&amp;'DMR 001C TIN &amp; TP'!$A$3:$A$10005),0),MATCH('Reg 85'!$O$11,'DMR 001C TIN &amp; TP'!$A$2:$M$2,0))),"")</f>
        <v/>
      </c>
      <c r="U358" s="6" t="str">
        <f t="array" ref="U358">_xlfn.IFNA((INDEX('DMR 001C TIN &amp; TP'!$A$3:$M$10005,MATCH(('Reg 85'!$I$6:$Q$6&amp;'Reg 85'!U$10&amp;'Reg 85'!$B358),('DMR 001C TIN &amp; TP'!$E$3:$E$10005&amp;'DMR 001C TIN &amp; TP'!$B$3:$B$10005&amp;'DMR 001C TIN &amp; TP'!$A$3:$A$10005),0),MATCH('Reg 85'!$O$11,'DMR 001C TIN &amp; TP'!$A$2:$M$2,0))),"")</f>
        <v/>
      </c>
      <c r="V358" s="6" t="str">
        <f t="array" ref="V358">_xlfn.IFNA((INDEX('DMR 001C TIN &amp; TP'!$A$3:$M$10005,MATCH(('Reg 85'!$I$6:$Q$6&amp;'Reg 85'!V$10&amp;'Reg 85'!$B358),('DMR 001C TIN &amp; TP'!$E$3:$E$10005&amp;'DMR 001C TIN &amp; TP'!$B$3:$B$10005&amp;'DMR 001C TIN &amp; TP'!$A$3:$A$10005),0),MATCH('Reg 85'!$O$11,'DMR 001C TIN &amp; TP'!$A$2:$M$2,0))),"")</f>
        <v/>
      </c>
      <c r="W358" s="6" t="str">
        <f t="array" ref="W358">_xlfn.IFNA((INDEX('DMR 001C TIN &amp; TP'!$A$3:$M$10005,MATCH(('Reg 85'!$I$6:$Q$6&amp;'Reg 85'!W$10&amp;'Reg 85'!$B358),('DMR 001C TIN &amp; TP'!$E$3:$E$10005&amp;'DMR 001C TIN &amp; TP'!$B$3:$B$10005&amp;'DMR 001C TIN &amp; TP'!$A$3:$A$10005),0),MATCH('Reg 85'!$O$11,'DMR 001C TIN &amp; TP'!$A$2:$M$2,0))),"")</f>
        <v/>
      </c>
      <c r="X358" s="5" t="str">
        <f t="shared" si="134"/>
        <v/>
      </c>
      <c r="Y358" s="6" t="str">
        <f t="array" ref="Y358">_xlfn.IFNA((INDEX('DMR 001C TIN &amp; TP'!$A$3:$M$10005,MATCH(('Reg 85'!$X$6&amp;'Reg 85'!$X$10&amp;'Reg 85'!$B358),('DMR 001C TIN &amp; TP'!$E$3:$E$10005&amp;'DMR 001C TIN &amp; TP'!$B$3:$B$10005&amp;'DMR 001C TIN &amp; TP'!$A$3:$A$10005),0),MATCH('Reg 85'!$Y$11,'DMR 001C TIN &amp; TP'!$A$2:$M$2,0))),"")</f>
        <v/>
      </c>
      <c r="Z358" s="6" t="str">
        <f t="array" ref="Z358">_xlfn.IFNA((INDEX('DMR 001C TIN &amp; TP'!$A$3:$M$10005,MATCH(('Reg 85'!$X$6&amp;'Reg 85'!$X$10&amp;'Reg 85'!$B358),('DMR 001C TIN &amp; TP'!$E$3:$E$10005&amp;'DMR 001C TIN &amp; TP'!$B$3:$B$10005&amp;'DMR 001C TIN &amp; TP'!$A$3:$A$10005),0),MATCH('Reg 85'!$Z$11,'DMR 001C TIN &amp; TP'!$A$2:$M$2,0))),"")</f>
        <v/>
      </c>
      <c r="AA358" s="53" t="str">
        <f t="shared" si="135"/>
        <v/>
      </c>
      <c r="AB358" s="5" t="str">
        <f t="shared" si="136"/>
        <v/>
      </c>
      <c r="AC358" s="6" t="str">
        <f t="array" ref="AC358">_xlfn.IFNA((INDEX('DMR 001C TIN &amp; TP'!$A$3:$M$10005,MATCH(('Reg 85'!$X$6&amp;'Reg 85'!$AB$10&amp;'Reg 85'!$B358),('DMR 001C TIN &amp; TP'!$E$3:$E$10005&amp;'DMR 001C TIN &amp; TP'!$B$3:$B$10005&amp;'DMR 001C TIN &amp; TP'!$A$3:$A$10005),0),MATCH('Reg 85'!$AC$11,'DMR 001C TIN &amp; TP'!$A$2:$M$2,0))),"")</f>
        <v/>
      </c>
      <c r="AD358" s="6" t="str">
        <f t="array" ref="AD358">_xlfn.IFNA((INDEX('DMR 001C TIN &amp; TP'!$A$3:$M$10005,MATCH(('Reg 85'!$X$6&amp;'Reg 85'!$AB$10&amp;'Reg 85'!$B358),('DMR 001C TIN &amp; TP'!$E$3:$E$10005&amp;'DMR 001C TIN &amp; TP'!$B$3:$B$10005&amp;'DMR 001C TIN &amp; TP'!$A$3:$A$10005),0),MATCH('Reg 85'!$AD$11,'DMR 001C TIN &amp; TP'!$A$2:$M$2,0))),"")</f>
        <v/>
      </c>
      <c r="AE358" s="53" t="str">
        <f t="shared" si="137"/>
        <v/>
      </c>
      <c r="AF358" s="7" t="str">
        <f t="shared" si="138"/>
        <v/>
      </c>
      <c r="AG358" s="6" t="str">
        <f t="array" ref="AG358">_xlfn.IFNA((INDEX('DMR 001C TIN &amp; TP'!$A$3:$M$10005,MATCH(('Reg 85'!$X$6&amp;'Reg 85'!AG$10&amp;'Reg 85'!$B358),('DMR 001C TIN &amp; TP'!$E$3:$E$10005&amp;'DMR 001C TIN &amp; TP'!$B$3:$B$10005&amp;'DMR 001C TIN &amp; TP'!$A$3:$A$10005),0),MATCH('Reg 85'!$AG$11,'DMR 001C TIN &amp; TP'!$A$2:$M$2,0))),"")</f>
        <v/>
      </c>
      <c r="AH358" s="6" t="str">
        <f t="array" ref="AH358">_xlfn.IFNA((INDEX('DMR 001C TIN &amp; TP'!$A$3:$M$10005,MATCH(('Reg 85'!$X$6&amp;'Reg 85'!AH$10&amp;'Reg 85'!$B358),('DMR 001C TIN &amp; TP'!$E$3:$E$10005&amp;'DMR 001C TIN &amp; TP'!$B$3:$B$10005&amp;'DMR 001C TIN &amp; TP'!$A$3:$A$10005),0),MATCH('Reg 85'!$AG$11,'DMR 001C TIN &amp; TP'!$A$2:$M$2,0))),"")</f>
        <v/>
      </c>
      <c r="AI358" s="6" t="str">
        <f t="array" ref="AI358">_xlfn.IFNA((INDEX('DMR 001C TIN &amp; TP'!$A$3:$M$10005,MATCH(('Reg 85'!$X$6&amp;'Reg 85'!AI$10&amp;'Reg 85'!$B358),('DMR 001C TIN &amp; TP'!$E$3:$E$10005&amp;'DMR 001C TIN &amp; TP'!$B$3:$B$10005&amp;'DMR 001C TIN &amp; TP'!$A$3:$A$10005),0),MATCH('Reg 85'!$AG$11,'DMR 001C TIN &amp; TP'!$A$2:$M$2,0))),"")</f>
        <v/>
      </c>
      <c r="AJ358" s="6" t="str">
        <f t="array" ref="AJ358">_xlfn.IFNA((INDEX('DMR 001C TIN &amp; TP'!$A$3:$M$10005,MATCH(('Reg 85'!$X$6&amp;'Reg 85'!AJ$10&amp;'Reg 85'!$B358),('DMR 001C TIN &amp; TP'!$E$3:$E$10005&amp;'DMR 001C TIN &amp; TP'!$B$3:$B$10005&amp;'DMR 001C TIN &amp; TP'!$A$3:$A$10005),0),MATCH('Reg 85'!$AG$11,'DMR 001C TIN &amp; TP'!$A$2:$M$2,0))),"")</f>
        <v/>
      </c>
      <c r="AK358" s="6" t="str">
        <f t="array" ref="AK358">_xlfn.IFNA((INDEX('DMR 001C TIN &amp; TP'!$A$3:$M$10005,MATCH(('Reg 85'!$X$6&amp;'Reg 85'!AK$10&amp;'Reg 85'!$B358),('DMR 001C TIN &amp; TP'!$E$3:$E$10005&amp;'DMR 001C TIN &amp; TP'!$B$3:$B$10005&amp;'DMR 001C TIN &amp; TP'!$A$3:$A$10005),0),MATCH('Reg 85'!$AG$11,'DMR 001C TIN &amp; TP'!$A$2:$M$2,0))),"")</f>
        <v/>
      </c>
      <c r="AL358" s="6" t="str">
        <f t="array" ref="AL358">_xlfn.IFNA((INDEX('DMR 001C TIN &amp; TP'!$A$3:$M$10005,MATCH(('Reg 85'!$X$6&amp;'Reg 85'!AL$10&amp;'Reg 85'!$B358),('DMR 001C TIN &amp; TP'!$E$3:$E$10005&amp;'DMR 001C TIN &amp; TP'!$B$3:$B$10005&amp;'DMR 001C TIN &amp; TP'!$A$3:$A$10005),0),MATCH('Reg 85'!$AG$11,'DMR 001C TIN &amp; TP'!$A$2:$M$2,0))),"")</f>
        <v/>
      </c>
      <c r="AM358" s="76"/>
      <c r="AN358" s="6"/>
      <c r="AO358" s="54" t="str">
        <f t="shared" si="125"/>
        <v/>
      </c>
      <c r="AP358" s="77" t="str">
        <f t="shared" si="123"/>
        <v/>
      </c>
      <c r="AQ358" s="47"/>
      <c r="AR358" s="6" t="str">
        <f t="array" ref="AR358">_xlfn.IFNA((INDEX('DMR 001C TIN &amp; TP'!$A$3:$M$10005,MATCH(('Reg 85'!$AQ$6&amp;'Reg 85'!$AQ$10&amp;'Reg 85'!$B358),('DMR 001C TIN &amp; TP'!$E$3:$E$10005&amp;'DMR 001C TIN &amp; TP'!$B$3:$B$10005&amp;'DMR 001C TIN &amp; TP'!$A$3:$A$10005),0),MATCH('Reg 85'!$AR$11,'DMR 001C TIN &amp; TP'!$A$2:$M$2,0))),"")</f>
        <v>0.03</v>
      </c>
      <c r="AS358" s="6">
        <f t="array" ref="AS358">_xlfn.IFNA((INDEX('DMR 001C TIN &amp; TP'!$A$3:$M$10005,MATCH(('Reg 85'!$AQ$6&amp;'Reg 85'!$AQ$10&amp;'Reg 85'!$B358),('DMR 001C TIN &amp; TP'!$E$3:$E$10005&amp;'DMR 001C TIN &amp; TP'!$B$3:$B$10005&amp;'DMR 001C TIN &amp; TP'!$A$3:$A$10005),0),MATCH('Reg 85'!$AS$11,'DMR 001C TIN &amp; TP'!$A$2:$M$2,0))),"")</f>
        <v>0.44</v>
      </c>
      <c r="AT358" s="53">
        <f t="shared" si="139"/>
        <v>0.44</v>
      </c>
      <c r="AV358" s="6" t="str">
        <f t="array" ref="AV358">_xlfn.IFNA((INDEX('DMR 001C TIN &amp; TP'!$A$3:$M$10005,MATCH(('Reg 85'!$AQ$6&amp;'Reg 85'!$AU$10&amp;'Reg 85'!$B358),('DMR 001C TIN &amp; TP'!$E$3:$E$10005&amp;'DMR 001C TIN &amp; TP'!$B$3:$B$10005&amp;'DMR 001C TIN &amp; TP'!$A$3:$A$10005),0),MATCH('Reg 85'!$AV$11,'DMR 001C TIN &amp; TP'!$A$2:$M$2,0))),"")</f>
        <v>0.03</v>
      </c>
      <c r="AW358" s="6">
        <f t="array" ref="AW358">_xlfn.IFNA((INDEX('DMR 001C TIN &amp; TP'!$A$3:$M$10005,MATCH(('Reg 85'!$AQ$6&amp;'Reg 85'!$AU$10&amp;'Reg 85'!$B358),('DMR 001C TIN &amp; TP'!$E$3:$E$10005&amp;'DMR 001C TIN &amp; TP'!$B$3:$B$10005&amp;'DMR 001C TIN &amp; TP'!$A$3:$A$10005),0),MATCH('Reg 85'!$AW$11,'DMR 001C TIN &amp; TP'!$A$2:$M$2,0))),"")</f>
        <v>2.71</v>
      </c>
      <c r="AX358" s="53">
        <f t="shared" si="140"/>
        <v>2.71</v>
      </c>
      <c r="AY358" s="55">
        <f t="shared" si="141"/>
        <v>1.825358860434007</v>
      </c>
      <c r="AZ358" s="77" t="str">
        <f t="shared" si="124"/>
        <v/>
      </c>
      <c r="BA358" s="6" t="str">
        <f t="array" ref="BA358">_xlfn.IFNA((INDEX('DMR 001C TIN &amp; TP'!$A$3:$M$10005,MATCH(('Reg 85'!$AQ$6&amp;'Reg 85'!BA$10&amp;'Reg 85'!$B358),('DMR 001C TIN &amp; TP'!$E$3:$E$10005&amp;'DMR 001C TIN &amp; TP'!$B$3:$B$10005&amp;'DMR 001C TIN &amp; TP'!$A$3:$A$10005),0),MATCH('Reg 85'!$AG$11,'DMR 001C TIN &amp; TP'!$A$2:$M$2,0))),"")</f>
        <v/>
      </c>
      <c r="BB358" s="6" t="str">
        <f t="array" ref="BB358">_xlfn.IFNA((INDEX('DMR 001C TIN &amp; TP'!$A$3:$M$10005,MATCH(('Reg 85'!$AQ$6&amp;'Reg 85'!BB$10&amp;'Reg 85'!$B358),('DMR 001C TIN &amp; TP'!$E$3:$E$10005&amp;'DMR 001C TIN &amp; TP'!$B$3:$B$10005&amp;'DMR 001C TIN &amp; TP'!$A$3:$A$10005),0),MATCH('Reg 85'!$AG$11,'DMR 001C TIN &amp; TP'!$A$2:$M$2,0))),"")</f>
        <v/>
      </c>
      <c r="BC358" s="6" t="str">
        <f t="array" ref="BC358">_xlfn.IFNA((INDEX('DMR 001C TIN &amp; TP'!$A$3:$M$10005,MATCH(('Reg 85'!$AQ$6&amp;'Reg 85'!BC$10&amp;'Reg 85'!$B358),('DMR 001C TIN &amp; TP'!$E$3:$E$10005&amp;'DMR 001C TIN &amp; TP'!$B$3:$B$10005&amp;'DMR 001C TIN &amp; TP'!$A$3:$A$10005),0),MATCH('Reg 85'!$AG$11,'DMR 001C TIN &amp; TP'!$A$2:$M$2,0))),"")</f>
        <v/>
      </c>
      <c r="BD358" s="6" t="str">
        <f t="array" ref="BD358">_xlfn.IFNA((INDEX('DMR 001C TIN &amp; TP'!$A$3:$M$10005,MATCH(('Reg 85'!$AQ$6&amp;'Reg 85'!BD$10&amp;'Reg 85'!$B358),('DMR 001C TIN &amp; TP'!$E$3:$E$10005&amp;'DMR 001C TIN &amp; TP'!$B$3:$B$10005&amp;'DMR 001C TIN &amp; TP'!$A$3:$A$10005),0),MATCH('Reg 85'!$AG$11,'DMR 001C TIN &amp; TP'!$A$2:$M$2,0))),"")</f>
        <v/>
      </c>
      <c r="BE358" s="6" t="str">
        <f t="array" ref="BE358">_xlfn.IFNA((INDEX('DMR 001C TIN &amp; TP'!$A$3:$M$10005,MATCH(('Reg 85'!$AQ$6&amp;'Reg 85'!BE$10&amp;'Reg 85'!$B358),('DMR 001C TIN &amp; TP'!$E$3:$E$10005&amp;'DMR 001C TIN &amp; TP'!$B$3:$B$10005&amp;'DMR 001C TIN &amp; TP'!$A$3:$A$10005),0),MATCH('Reg 85'!$AG$11,'DMR 001C TIN &amp; TP'!$A$2:$M$2,0))),"")</f>
        <v/>
      </c>
      <c r="BF358" s="6" t="str">
        <f t="array" ref="BF358">_xlfn.IFNA((INDEX('DMR 001C TIN &amp; TP'!$A$3:$M$10005,MATCH(('Reg 85'!$AQ$6&amp;'Reg 85'!BF$10&amp;'Reg 85'!$B358),('DMR 001C TIN &amp; TP'!$E$3:$E$10005&amp;'DMR 001C TIN &amp; TP'!$B$3:$B$10005&amp;'DMR 001C TIN &amp; TP'!$A$3:$A$10005),0),MATCH('Reg 85'!$AG$11,'DMR 001C TIN &amp; TP'!$A$2:$M$2,0))),"")</f>
        <v/>
      </c>
    </row>
    <row r="359" spans="1:58">
      <c r="A359" s="3" t="str">
        <f t="shared" si="126"/>
        <v>Wed</v>
      </c>
      <c r="B359" s="96">
        <f t="shared" si="142"/>
        <v>43691</v>
      </c>
      <c r="C359" s="96">
        <f t="shared" si="127"/>
        <v>43708</v>
      </c>
      <c r="D359" s="96">
        <f t="shared" si="128"/>
        <v>43678</v>
      </c>
      <c r="E359" s="95">
        <f t="shared" si="129"/>
        <v>31</v>
      </c>
      <c r="F359" s="7">
        <f t="array" ref="F359">_xlfn.IFNA(INDEX('DMR Flows-Effluent'!$A$3:$F$9999,MATCH(($F$10&amp;$B359),('DMR Flows-Effluent'!$B$3:$B$9999&amp;'DMR Flows-Effluent'!$A$3:$A$9999),0),MATCH($F$8,'DMR Flows-Effluent'!$A$2:$F$2,0)),"")</f>
        <v>49.476100000000002</v>
      </c>
      <c r="G359" s="7">
        <f t="array" ref="G359">_xlfn.IFNA(INDEX('DMR Flows-Effluent'!$A$3:$F$9999,MATCH(($G$10&amp;$B359),('DMR Flows-Effluent'!$B$3:$B$9999&amp;'DMR Flows-Effluent'!$A$3:$A$9999),0),MATCH($F$8,'DMR Flows-Effluent'!$A$2:$F$2,0)),"")</f>
        <v>82.647400000000005</v>
      </c>
      <c r="H359" s="7">
        <f t="shared" si="130"/>
        <v>132.12350000000001</v>
      </c>
      <c r="I359" s="45" t="str">
        <f t="shared" si="131"/>
        <v/>
      </c>
      <c r="J359" s="6" t="str">
        <f t="array" ref="J359">_xlfn.IFNA((INDEX('DMR 001C TIN &amp; TP'!$A$3:$M$10005,MATCH(('Reg 85'!$I$6:$Q$6&amp;'Reg 85'!$I$10:$K$10&amp;'Reg 85'!$B359),('DMR 001C TIN &amp; TP'!$E$3:$E$10005&amp;'DMR 001C TIN &amp; TP'!$B$3:$B$10005&amp;'DMR 001C TIN &amp; TP'!$A$3:$A$10005),0),MATCH('Reg 85'!$J$11,'DMR 001C TIN &amp; TP'!$A$2:$M$2,0))),"")</f>
        <v/>
      </c>
      <c r="K359" s="6" t="str">
        <f t="array" ref="K359">_xlfn.IFNA((INDEX('DMR 001C TIN &amp; TP'!$A$3:$M$10005,MATCH(('Reg 85'!$I$6:$Q$6&amp;'Reg 85'!$I$10:$K$10&amp;'Reg 85'!$B359),('DMR 001C TIN &amp; TP'!$E$3:$E$10005&amp;'DMR 001C TIN &amp; TP'!$B$3:$B$10005&amp;'DMR 001C TIN &amp; TP'!$A$3:$A$10005),0),MATCH('Reg 85'!$K$11,'DMR 001C TIN &amp; TP'!$A$2:$M$2,0))),"")</f>
        <v/>
      </c>
      <c r="L359" s="53" t="str">
        <f t="shared" si="143"/>
        <v/>
      </c>
      <c r="M359" s="5" t="str">
        <f t="shared" si="132"/>
        <v/>
      </c>
      <c r="N359" s="6" t="str">
        <f t="array" ref="N359">_xlfn.IFNA((INDEX('DMR 001C TIN &amp; TP'!$A$3:$M$10005,MATCH(('Reg 85'!$I$6:$Q$6&amp;'Reg 85'!$M$10&amp;'Reg 85'!$B359),('DMR 001C TIN &amp; TP'!$E$3:$E$10005&amp;'DMR 001C TIN &amp; TP'!$B$3:$B$10005&amp;'DMR 001C TIN &amp; TP'!$A$3:$A$10005),0),MATCH('Reg 85'!$N$11,'DMR 001C TIN &amp; TP'!$A$2:$M$2,0))),"")</f>
        <v/>
      </c>
      <c r="O359" s="6" t="str">
        <f t="array" ref="O359">_xlfn.IFNA((INDEX('DMR 001C TIN &amp; TP'!$A$3:$M$10005,MATCH(('Reg 85'!$I$6:$Q$6&amp;'Reg 85'!$M$10&amp;'Reg 85'!$B359),('DMR 001C TIN &amp; TP'!$E$3:$E$10005&amp;'DMR 001C TIN &amp; TP'!$B$3:$B$10005&amp;'DMR 001C TIN &amp; TP'!$A$3:$A$10005),0),MATCH('Reg 85'!$O$11,'DMR 001C TIN &amp; TP'!$A$2:$M$2,0))),"")</f>
        <v/>
      </c>
      <c r="P359" s="53" t="str">
        <f t="shared" si="133"/>
        <v/>
      </c>
      <c r="Q359" s="73" t="str">
        <f t="array" ref="Q359">IFERROR(((L359*$F359)+(P359*$G359))/($H359),"")</f>
        <v/>
      </c>
      <c r="R359" s="6" t="str">
        <f t="array" ref="R359">_xlfn.IFNA((INDEX('DMR 001C TIN &amp; TP'!$A$3:$M$10005,MATCH(('Reg 85'!$I$6:$Q$6&amp;'Reg 85'!R$10&amp;'Reg 85'!$B359),('DMR 001C TIN &amp; TP'!$E$3:$E$10005&amp;'DMR 001C TIN &amp; TP'!$B$3:$B$10005&amp;'DMR 001C TIN &amp; TP'!$A$3:$A$10005),0),MATCH('Reg 85'!$O$11,'DMR 001C TIN &amp; TP'!$A$2:$M$2,0))),"")</f>
        <v/>
      </c>
      <c r="S359" s="6" t="str">
        <f t="array" ref="S359">_xlfn.IFNA((INDEX('DMR 001C TIN &amp; TP'!$A$3:$M$10005,MATCH(('Reg 85'!$I$6:$Q$6&amp;'Reg 85'!S$10&amp;'Reg 85'!$B359),('DMR 001C TIN &amp; TP'!$E$3:$E$10005&amp;'DMR 001C TIN &amp; TP'!$B$3:$B$10005&amp;'DMR 001C TIN &amp; TP'!$A$3:$A$10005),0),MATCH('Reg 85'!$O$11,'DMR 001C TIN &amp; TP'!$A$2:$M$2,0))),"")</f>
        <v/>
      </c>
      <c r="T359" s="6" t="str">
        <f t="array" ref="T359">_xlfn.IFNA((INDEX('DMR 001C TIN &amp; TP'!$A$3:$M$10005,MATCH(('Reg 85'!$I$6:$Q$6&amp;'Reg 85'!T$10&amp;'Reg 85'!$B359),('DMR 001C TIN &amp; TP'!$E$3:$E$10005&amp;'DMR 001C TIN &amp; TP'!$B$3:$B$10005&amp;'DMR 001C TIN &amp; TP'!$A$3:$A$10005),0),MATCH('Reg 85'!$O$11,'DMR 001C TIN &amp; TP'!$A$2:$M$2,0))),"")</f>
        <v/>
      </c>
      <c r="U359" s="6" t="str">
        <f t="array" ref="U359">_xlfn.IFNA((INDEX('DMR 001C TIN &amp; TP'!$A$3:$M$10005,MATCH(('Reg 85'!$I$6:$Q$6&amp;'Reg 85'!U$10&amp;'Reg 85'!$B359),('DMR 001C TIN &amp; TP'!$E$3:$E$10005&amp;'DMR 001C TIN &amp; TP'!$B$3:$B$10005&amp;'DMR 001C TIN &amp; TP'!$A$3:$A$10005),0),MATCH('Reg 85'!$O$11,'DMR 001C TIN &amp; TP'!$A$2:$M$2,0))),"")</f>
        <v/>
      </c>
      <c r="V359" s="6" t="str">
        <f t="array" ref="V359">_xlfn.IFNA((INDEX('DMR 001C TIN &amp; TP'!$A$3:$M$10005,MATCH(('Reg 85'!$I$6:$Q$6&amp;'Reg 85'!V$10&amp;'Reg 85'!$B359),('DMR 001C TIN &amp; TP'!$E$3:$E$10005&amp;'DMR 001C TIN &amp; TP'!$B$3:$B$10005&amp;'DMR 001C TIN &amp; TP'!$A$3:$A$10005),0),MATCH('Reg 85'!$O$11,'DMR 001C TIN &amp; TP'!$A$2:$M$2,0))),"")</f>
        <v/>
      </c>
      <c r="W359" s="6" t="str">
        <f t="array" ref="W359">_xlfn.IFNA((INDEX('DMR 001C TIN &amp; TP'!$A$3:$M$10005,MATCH(('Reg 85'!$I$6:$Q$6&amp;'Reg 85'!W$10&amp;'Reg 85'!$B359),('DMR 001C TIN &amp; TP'!$E$3:$E$10005&amp;'DMR 001C TIN &amp; TP'!$B$3:$B$10005&amp;'DMR 001C TIN &amp; TP'!$A$3:$A$10005),0),MATCH('Reg 85'!$O$11,'DMR 001C TIN &amp; TP'!$A$2:$M$2,0))),"")</f>
        <v/>
      </c>
      <c r="X359" s="5" t="str">
        <f t="shared" si="134"/>
        <v/>
      </c>
      <c r="Y359" s="6" t="str">
        <f t="array" ref="Y359">_xlfn.IFNA((INDEX('DMR 001C TIN &amp; TP'!$A$3:$M$10005,MATCH(('Reg 85'!$X$6&amp;'Reg 85'!$X$10&amp;'Reg 85'!$B359),('DMR 001C TIN &amp; TP'!$E$3:$E$10005&amp;'DMR 001C TIN &amp; TP'!$B$3:$B$10005&amp;'DMR 001C TIN &amp; TP'!$A$3:$A$10005),0),MATCH('Reg 85'!$Y$11,'DMR 001C TIN &amp; TP'!$A$2:$M$2,0))),"")</f>
        <v/>
      </c>
      <c r="Z359" s="6" t="str">
        <f t="array" ref="Z359">_xlfn.IFNA((INDEX('DMR 001C TIN &amp; TP'!$A$3:$M$10005,MATCH(('Reg 85'!$X$6&amp;'Reg 85'!$X$10&amp;'Reg 85'!$B359),('DMR 001C TIN &amp; TP'!$E$3:$E$10005&amp;'DMR 001C TIN &amp; TP'!$B$3:$B$10005&amp;'DMR 001C TIN &amp; TP'!$A$3:$A$10005),0),MATCH('Reg 85'!$Z$11,'DMR 001C TIN &amp; TP'!$A$2:$M$2,0))),"")</f>
        <v/>
      </c>
      <c r="AA359" s="53" t="str">
        <f t="shared" si="135"/>
        <v/>
      </c>
      <c r="AB359" s="5" t="str">
        <f t="shared" si="136"/>
        <v/>
      </c>
      <c r="AC359" s="6" t="str">
        <f t="array" ref="AC359">_xlfn.IFNA((INDEX('DMR 001C TIN &amp; TP'!$A$3:$M$10005,MATCH(('Reg 85'!$X$6&amp;'Reg 85'!$AB$10&amp;'Reg 85'!$B359),('DMR 001C TIN &amp; TP'!$E$3:$E$10005&amp;'DMR 001C TIN &amp; TP'!$B$3:$B$10005&amp;'DMR 001C TIN &amp; TP'!$A$3:$A$10005),0),MATCH('Reg 85'!$AC$11,'DMR 001C TIN &amp; TP'!$A$2:$M$2,0))),"")</f>
        <v/>
      </c>
      <c r="AD359" s="6" t="str">
        <f t="array" ref="AD359">_xlfn.IFNA((INDEX('DMR 001C TIN &amp; TP'!$A$3:$M$10005,MATCH(('Reg 85'!$X$6&amp;'Reg 85'!$AB$10&amp;'Reg 85'!$B359),('DMR 001C TIN &amp; TP'!$E$3:$E$10005&amp;'DMR 001C TIN &amp; TP'!$B$3:$B$10005&amp;'DMR 001C TIN &amp; TP'!$A$3:$A$10005),0),MATCH('Reg 85'!$AD$11,'DMR 001C TIN &amp; TP'!$A$2:$M$2,0))),"")</f>
        <v/>
      </c>
      <c r="AE359" s="53" t="str">
        <f t="shared" si="137"/>
        <v/>
      </c>
      <c r="AF359" s="7" t="str">
        <f t="shared" si="138"/>
        <v/>
      </c>
      <c r="AG359" s="6" t="str">
        <f t="array" ref="AG359">_xlfn.IFNA((INDEX('DMR 001C TIN &amp; TP'!$A$3:$M$10005,MATCH(('Reg 85'!$X$6&amp;'Reg 85'!AG$10&amp;'Reg 85'!$B359),('DMR 001C TIN &amp; TP'!$E$3:$E$10005&amp;'DMR 001C TIN &amp; TP'!$B$3:$B$10005&amp;'DMR 001C TIN &amp; TP'!$A$3:$A$10005),0),MATCH('Reg 85'!$AG$11,'DMR 001C TIN &amp; TP'!$A$2:$M$2,0))),"")</f>
        <v/>
      </c>
      <c r="AH359" s="6" t="str">
        <f t="array" ref="AH359">_xlfn.IFNA((INDEX('DMR 001C TIN &amp; TP'!$A$3:$M$10005,MATCH(('Reg 85'!$X$6&amp;'Reg 85'!AH$10&amp;'Reg 85'!$B359),('DMR 001C TIN &amp; TP'!$E$3:$E$10005&amp;'DMR 001C TIN &amp; TP'!$B$3:$B$10005&amp;'DMR 001C TIN &amp; TP'!$A$3:$A$10005),0),MATCH('Reg 85'!$AG$11,'DMR 001C TIN &amp; TP'!$A$2:$M$2,0))),"")</f>
        <v/>
      </c>
      <c r="AI359" s="6" t="str">
        <f t="array" ref="AI359">_xlfn.IFNA((INDEX('DMR 001C TIN &amp; TP'!$A$3:$M$10005,MATCH(('Reg 85'!$X$6&amp;'Reg 85'!AI$10&amp;'Reg 85'!$B359),('DMR 001C TIN &amp; TP'!$E$3:$E$10005&amp;'DMR 001C TIN &amp; TP'!$B$3:$B$10005&amp;'DMR 001C TIN &amp; TP'!$A$3:$A$10005),0),MATCH('Reg 85'!$AG$11,'DMR 001C TIN &amp; TP'!$A$2:$M$2,0))),"")</f>
        <v/>
      </c>
      <c r="AJ359" s="6" t="str">
        <f t="array" ref="AJ359">_xlfn.IFNA((INDEX('DMR 001C TIN &amp; TP'!$A$3:$M$10005,MATCH(('Reg 85'!$X$6&amp;'Reg 85'!AJ$10&amp;'Reg 85'!$B359),('DMR 001C TIN &amp; TP'!$E$3:$E$10005&amp;'DMR 001C TIN &amp; TP'!$B$3:$B$10005&amp;'DMR 001C TIN &amp; TP'!$A$3:$A$10005),0),MATCH('Reg 85'!$AG$11,'DMR 001C TIN &amp; TP'!$A$2:$M$2,0))),"")</f>
        <v/>
      </c>
      <c r="AK359" s="6" t="str">
        <f t="array" ref="AK359">_xlfn.IFNA((INDEX('DMR 001C TIN &amp; TP'!$A$3:$M$10005,MATCH(('Reg 85'!$X$6&amp;'Reg 85'!AK$10&amp;'Reg 85'!$B359),('DMR 001C TIN &amp; TP'!$E$3:$E$10005&amp;'DMR 001C TIN &amp; TP'!$B$3:$B$10005&amp;'DMR 001C TIN &amp; TP'!$A$3:$A$10005),0),MATCH('Reg 85'!$AG$11,'DMR 001C TIN &amp; TP'!$A$2:$M$2,0))),"")</f>
        <v/>
      </c>
      <c r="AL359" s="6" t="str">
        <f t="array" ref="AL359">_xlfn.IFNA((INDEX('DMR 001C TIN &amp; TP'!$A$3:$M$10005,MATCH(('Reg 85'!$X$6&amp;'Reg 85'!AL$10&amp;'Reg 85'!$B359),('DMR 001C TIN &amp; TP'!$E$3:$E$10005&amp;'DMR 001C TIN &amp; TP'!$B$3:$B$10005&amp;'DMR 001C TIN &amp; TP'!$A$3:$A$10005),0),MATCH('Reg 85'!$AG$11,'DMR 001C TIN &amp; TP'!$A$2:$M$2,0))),"")</f>
        <v/>
      </c>
      <c r="AM359" s="76"/>
      <c r="AN359" s="6"/>
      <c r="AO359" s="54" t="str">
        <f t="shared" si="125"/>
        <v/>
      </c>
      <c r="AP359" s="77" t="str">
        <f t="shared" si="123"/>
        <v/>
      </c>
      <c r="AQ359" s="47"/>
      <c r="AR359" s="6" t="str">
        <f t="array" ref="AR359">_xlfn.IFNA((INDEX('DMR 001C TIN &amp; TP'!$A$3:$M$10005,MATCH(('Reg 85'!$AQ$6&amp;'Reg 85'!$AQ$10&amp;'Reg 85'!$B359),('DMR 001C TIN &amp; TP'!$E$3:$E$10005&amp;'DMR 001C TIN &amp; TP'!$B$3:$B$10005&amp;'DMR 001C TIN &amp; TP'!$A$3:$A$10005),0),MATCH('Reg 85'!$AR$11,'DMR 001C TIN &amp; TP'!$A$2:$M$2,0))),"")</f>
        <v/>
      </c>
      <c r="AS359" s="6" t="str">
        <f t="array" ref="AS359">_xlfn.IFNA((INDEX('DMR 001C TIN &amp; TP'!$A$3:$M$10005,MATCH(('Reg 85'!$AQ$6&amp;'Reg 85'!$AQ$10&amp;'Reg 85'!$B359),('DMR 001C TIN &amp; TP'!$E$3:$E$10005&amp;'DMR 001C TIN &amp; TP'!$B$3:$B$10005&amp;'DMR 001C TIN &amp; TP'!$A$3:$A$10005),0),MATCH('Reg 85'!$AS$11,'DMR 001C TIN &amp; TP'!$A$2:$M$2,0))),"")</f>
        <v/>
      </c>
      <c r="AT359" s="53" t="str">
        <f t="shared" si="139"/>
        <v/>
      </c>
      <c r="AV359" s="6" t="str">
        <f t="array" ref="AV359">_xlfn.IFNA((INDEX('DMR 001C TIN &amp; TP'!$A$3:$M$10005,MATCH(('Reg 85'!$AQ$6&amp;'Reg 85'!$AU$10&amp;'Reg 85'!$B359),('DMR 001C TIN &amp; TP'!$E$3:$E$10005&amp;'DMR 001C TIN &amp; TP'!$B$3:$B$10005&amp;'DMR 001C TIN &amp; TP'!$A$3:$A$10005),0),MATCH('Reg 85'!$AV$11,'DMR 001C TIN &amp; TP'!$A$2:$M$2,0))),"")</f>
        <v/>
      </c>
      <c r="AW359" s="6" t="str">
        <f t="array" ref="AW359">_xlfn.IFNA((INDEX('DMR 001C TIN &amp; TP'!$A$3:$M$10005,MATCH(('Reg 85'!$AQ$6&amp;'Reg 85'!$AU$10&amp;'Reg 85'!$B359),('DMR 001C TIN &amp; TP'!$E$3:$E$10005&amp;'DMR 001C TIN &amp; TP'!$B$3:$B$10005&amp;'DMR 001C TIN &amp; TP'!$A$3:$A$10005),0),MATCH('Reg 85'!$AW$11,'DMR 001C TIN &amp; TP'!$A$2:$M$2,0))),"")</f>
        <v/>
      </c>
      <c r="AX359" s="53" t="str">
        <f t="shared" si="140"/>
        <v/>
      </c>
      <c r="AY359" s="55" t="str">
        <f t="shared" si="141"/>
        <v/>
      </c>
      <c r="AZ359" s="77" t="str">
        <f t="shared" si="124"/>
        <v/>
      </c>
      <c r="BA359" s="6" t="str">
        <f t="array" ref="BA359">_xlfn.IFNA((INDEX('DMR 001C TIN &amp; TP'!$A$3:$M$10005,MATCH(('Reg 85'!$AQ$6&amp;'Reg 85'!BA$10&amp;'Reg 85'!$B359),('DMR 001C TIN &amp; TP'!$E$3:$E$10005&amp;'DMR 001C TIN &amp; TP'!$B$3:$B$10005&amp;'DMR 001C TIN &amp; TP'!$A$3:$A$10005),0),MATCH('Reg 85'!$AG$11,'DMR 001C TIN &amp; TP'!$A$2:$M$2,0))),"")</f>
        <v/>
      </c>
      <c r="BB359" s="6" t="str">
        <f t="array" ref="BB359">_xlfn.IFNA((INDEX('DMR 001C TIN &amp; TP'!$A$3:$M$10005,MATCH(('Reg 85'!$AQ$6&amp;'Reg 85'!BB$10&amp;'Reg 85'!$B359),('DMR 001C TIN &amp; TP'!$E$3:$E$10005&amp;'DMR 001C TIN &amp; TP'!$B$3:$B$10005&amp;'DMR 001C TIN &amp; TP'!$A$3:$A$10005),0),MATCH('Reg 85'!$AG$11,'DMR 001C TIN &amp; TP'!$A$2:$M$2,0))),"")</f>
        <v/>
      </c>
      <c r="BC359" s="6" t="str">
        <f t="array" ref="BC359">_xlfn.IFNA((INDEX('DMR 001C TIN &amp; TP'!$A$3:$M$10005,MATCH(('Reg 85'!$AQ$6&amp;'Reg 85'!BC$10&amp;'Reg 85'!$B359),('DMR 001C TIN &amp; TP'!$E$3:$E$10005&amp;'DMR 001C TIN &amp; TP'!$B$3:$B$10005&amp;'DMR 001C TIN &amp; TP'!$A$3:$A$10005),0),MATCH('Reg 85'!$AG$11,'DMR 001C TIN &amp; TP'!$A$2:$M$2,0))),"")</f>
        <v/>
      </c>
      <c r="BD359" s="6" t="str">
        <f t="array" ref="BD359">_xlfn.IFNA((INDEX('DMR 001C TIN &amp; TP'!$A$3:$M$10005,MATCH(('Reg 85'!$AQ$6&amp;'Reg 85'!BD$10&amp;'Reg 85'!$B359),('DMR 001C TIN &amp; TP'!$E$3:$E$10005&amp;'DMR 001C TIN &amp; TP'!$B$3:$B$10005&amp;'DMR 001C TIN &amp; TP'!$A$3:$A$10005),0),MATCH('Reg 85'!$AG$11,'DMR 001C TIN &amp; TP'!$A$2:$M$2,0))),"")</f>
        <v/>
      </c>
      <c r="BE359" s="6" t="str">
        <f t="array" ref="BE359">_xlfn.IFNA((INDEX('DMR 001C TIN &amp; TP'!$A$3:$M$10005,MATCH(('Reg 85'!$AQ$6&amp;'Reg 85'!BE$10&amp;'Reg 85'!$B359),('DMR 001C TIN &amp; TP'!$E$3:$E$10005&amp;'DMR 001C TIN &amp; TP'!$B$3:$B$10005&amp;'DMR 001C TIN &amp; TP'!$A$3:$A$10005),0),MATCH('Reg 85'!$AG$11,'DMR 001C TIN &amp; TP'!$A$2:$M$2,0))),"")</f>
        <v/>
      </c>
      <c r="BF359" s="6" t="str">
        <f t="array" ref="BF359">_xlfn.IFNA((INDEX('DMR 001C TIN &amp; TP'!$A$3:$M$10005,MATCH(('Reg 85'!$AQ$6&amp;'Reg 85'!BF$10&amp;'Reg 85'!$B359),('DMR 001C TIN &amp; TP'!$E$3:$E$10005&amp;'DMR 001C TIN &amp; TP'!$B$3:$B$10005&amp;'DMR 001C TIN &amp; TP'!$A$3:$A$10005),0),MATCH('Reg 85'!$AG$11,'DMR 001C TIN &amp; TP'!$A$2:$M$2,0))),"")</f>
        <v/>
      </c>
    </row>
    <row r="360" spans="1:58">
      <c r="A360" s="3" t="str">
        <f t="shared" si="126"/>
        <v>Thu</v>
      </c>
      <c r="B360" s="96">
        <f t="shared" si="142"/>
        <v>43692</v>
      </c>
      <c r="C360" s="96">
        <f t="shared" si="127"/>
        <v>43708</v>
      </c>
      <c r="D360" s="96">
        <f t="shared" si="128"/>
        <v>43678</v>
      </c>
      <c r="E360" s="95">
        <f t="shared" si="129"/>
        <v>31</v>
      </c>
      <c r="F360" s="7">
        <f t="array" ref="F360">_xlfn.IFNA(INDEX('DMR Flows-Effluent'!$A$3:$F$9999,MATCH(($F$10&amp;$B360),('DMR Flows-Effluent'!$B$3:$B$9999&amp;'DMR Flows-Effluent'!$A$3:$A$9999),0),MATCH($F$8,'DMR Flows-Effluent'!$A$2:$F$2,0)),"")</f>
        <v>44.199100000000001</v>
      </c>
      <c r="G360" s="7">
        <f t="array" ref="G360">_xlfn.IFNA(INDEX('DMR Flows-Effluent'!$A$3:$F$9999,MATCH(($G$10&amp;$B360),('DMR Flows-Effluent'!$B$3:$B$9999&amp;'DMR Flows-Effluent'!$A$3:$A$9999),0),MATCH($F$8,'DMR Flows-Effluent'!$A$2:$F$2,0)),"")</f>
        <v>84.138400000000004</v>
      </c>
      <c r="H360" s="7">
        <f t="shared" si="130"/>
        <v>128.33750000000001</v>
      </c>
      <c r="I360" s="45" t="str">
        <f t="shared" si="131"/>
        <v/>
      </c>
      <c r="J360" s="6" t="str">
        <f t="array" ref="J360">_xlfn.IFNA((INDEX('DMR 001C TIN &amp; TP'!$A$3:$M$10005,MATCH(('Reg 85'!$I$6:$Q$6&amp;'Reg 85'!$I$10:$K$10&amp;'Reg 85'!$B360),('DMR 001C TIN &amp; TP'!$E$3:$E$10005&amp;'DMR 001C TIN &amp; TP'!$B$3:$B$10005&amp;'DMR 001C TIN &amp; TP'!$A$3:$A$10005),0),MATCH('Reg 85'!$J$11,'DMR 001C TIN &amp; TP'!$A$2:$M$2,0))),"")</f>
        <v>0.15</v>
      </c>
      <c r="K360" s="6">
        <f t="array" ref="K360">_xlfn.IFNA((INDEX('DMR 001C TIN &amp; TP'!$A$3:$M$10005,MATCH(('Reg 85'!$I$6:$Q$6&amp;'Reg 85'!$I$10:$K$10&amp;'Reg 85'!$B360),('DMR 001C TIN &amp; TP'!$E$3:$E$10005&amp;'DMR 001C TIN &amp; TP'!$B$3:$B$10005&amp;'DMR 001C TIN &amp; TP'!$A$3:$A$10005),0),MATCH('Reg 85'!$K$11,'DMR 001C TIN &amp; TP'!$A$2:$M$2,0))),"")</f>
        <v>0.34</v>
      </c>
      <c r="L360" s="53">
        <f t="shared" si="143"/>
        <v>0.34</v>
      </c>
      <c r="M360" s="5" t="str">
        <f t="shared" si="132"/>
        <v/>
      </c>
      <c r="N360" s="6" t="str">
        <f t="array" ref="N360">_xlfn.IFNA((INDEX('DMR 001C TIN &amp; TP'!$A$3:$M$10005,MATCH(('Reg 85'!$I$6:$Q$6&amp;'Reg 85'!$M$10&amp;'Reg 85'!$B360),('DMR 001C TIN &amp; TP'!$E$3:$E$10005&amp;'DMR 001C TIN &amp; TP'!$B$3:$B$10005&amp;'DMR 001C TIN &amp; TP'!$A$3:$A$10005),0),MATCH('Reg 85'!$N$11,'DMR 001C TIN &amp; TP'!$A$2:$M$2,0))),"")</f>
        <v>0.15</v>
      </c>
      <c r="O360" s="6">
        <f t="array" ref="O360">_xlfn.IFNA((INDEX('DMR 001C TIN &amp; TP'!$A$3:$M$10005,MATCH(('Reg 85'!$I$6:$Q$6&amp;'Reg 85'!$M$10&amp;'Reg 85'!$B360),('DMR 001C TIN &amp; TP'!$E$3:$E$10005&amp;'DMR 001C TIN &amp; TP'!$B$3:$B$10005&amp;'DMR 001C TIN &amp; TP'!$A$3:$A$10005),0),MATCH('Reg 85'!$O$11,'DMR 001C TIN &amp; TP'!$A$2:$M$2,0))),"")</f>
        <v>1.1599999999999999</v>
      </c>
      <c r="P360" s="53">
        <f t="shared" si="133"/>
        <v>1.1599999999999999</v>
      </c>
      <c r="Q360" s="73">
        <f t="array" ref="Q360">IFERROR(((L360*$F360)+(P360*$G360))/($H360),"")</f>
        <v>0.87759414044998529</v>
      </c>
      <c r="R360" s="6" t="str">
        <f t="array" ref="R360">_xlfn.IFNA((INDEX('DMR 001C TIN &amp; TP'!$A$3:$M$10005,MATCH(('Reg 85'!$I$6:$Q$6&amp;'Reg 85'!R$10&amp;'Reg 85'!$B360),('DMR 001C TIN &amp; TP'!$E$3:$E$10005&amp;'DMR 001C TIN &amp; TP'!$B$3:$B$10005&amp;'DMR 001C TIN &amp; TP'!$A$3:$A$10005),0),MATCH('Reg 85'!$O$11,'DMR 001C TIN &amp; TP'!$A$2:$M$2,0))),"")</f>
        <v/>
      </c>
      <c r="S360" s="6" t="str">
        <f t="array" ref="S360">_xlfn.IFNA((INDEX('DMR 001C TIN &amp; TP'!$A$3:$M$10005,MATCH(('Reg 85'!$I$6:$Q$6&amp;'Reg 85'!S$10&amp;'Reg 85'!$B360),('DMR 001C TIN &amp; TP'!$E$3:$E$10005&amp;'DMR 001C TIN &amp; TP'!$B$3:$B$10005&amp;'DMR 001C TIN &amp; TP'!$A$3:$A$10005),0),MATCH('Reg 85'!$O$11,'DMR 001C TIN &amp; TP'!$A$2:$M$2,0))),"")</f>
        <v/>
      </c>
      <c r="T360" s="6" t="str">
        <f t="array" ref="T360">_xlfn.IFNA((INDEX('DMR 001C TIN &amp; TP'!$A$3:$M$10005,MATCH(('Reg 85'!$I$6:$Q$6&amp;'Reg 85'!T$10&amp;'Reg 85'!$B360),('DMR 001C TIN &amp; TP'!$E$3:$E$10005&amp;'DMR 001C TIN &amp; TP'!$B$3:$B$10005&amp;'DMR 001C TIN &amp; TP'!$A$3:$A$10005),0),MATCH('Reg 85'!$O$11,'DMR 001C TIN &amp; TP'!$A$2:$M$2,0))),"")</f>
        <v/>
      </c>
      <c r="U360" s="6" t="str">
        <f t="array" ref="U360">_xlfn.IFNA((INDEX('DMR 001C TIN &amp; TP'!$A$3:$M$10005,MATCH(('Reg 85'!$I$6:$Q$6&amp;'Reg 85'!U$10&amp;'Reg 85'!$B360),('DMR 001C TIN &amp; TP'!$E$3:$E$10005&amp;'DMR 001C TIN &amp; TP'!$B$3:$B$10005&amp;'DMR 001C TIN &amp; TP'!$A$3:$A$10005),0),MATCH('Reg 85'!$O$11,'DMR 001C TIN &amp; TP'!$A$2:$M$2,0))),"")</f>
        <v/>
      </c>
      <c r="V360" s="6" t="str">
        <f t="array" ref="V360">_xlfn.IFNA((INDEX('DMR 001C TIN &amp; TP'!$A$3:$M$10005,MATCH(('Reg 85'!$I$6:$Q$6&amp;'Reg 85'!V$10&amp;'Reg 85'!$B360),('DMR 001C TIN &amp; TP'!$E$3:$E$10005&amp;'DMR 001C TIN &amp; TP'!$B$3:$B$10005&amp;'DMR 001C TIN &amp; TP'!$A$3:$A$10005),0),MATCH('Reg 85'!$O$11,'DMR 001C TIN &amp; TP'!$A$2:$M$2,0))),"")</f>
        <v/>
      </c>
      <c r="W360" s="6" t="str">
        <f t="array" ref="W360">_xlfn.IFNA((INDEX('DMR 001C TIN &amp; TP'!$A$3:$M$10005,MATCH(('Reg 85'!$I$6:$Q$6&amp;'Reg 85'!W$10&amp;'Reg 85'!$B360),('DMR 001C TIN &amp; TP'!$E$3:$E$10005&amp;'DMR 001C TIN &amp; TP'!$B$3:$B$10005&amp;'DMR 001C TIN &amp; TP'!$A$3:$A$10005),0),MATCH('Reg 85'!$O$11,'DMR 001C TIN &amp; TP'!$A$2:$M$2,0))),"")</f>
        <v/>
      </c>
      <c r="X360" s="5" t="str">
        <f t="shared" si="134"/>
        <v/>
      </c>
      <c r="Y360" s="6" t="str">
        <f t="array" ref="Y360">_xlfn.IFNA((INDEX('DMR 001C TIN &amp; TP'!$A$3:$M$10005,MATCH(('Reg 85'!$X$6&amp;'Reg 85'!$X$10&amp;'Reg 85'!$B360),('DMR 001C TIN &amp; TP'!$E$3:$E$10005&amp;'DMR 001C TIN &amp; TP'!$B$3:$B$10005&amp;'DMR 001C TIN &amp; TP'!$A$3:$A$10005),0),MATCH('Reg 85'!$Y$11,'DMR 001C TIN &amp; TP'!$A$2:$M$2,0))),"")</f>
        <v>0.06</v>
      </c>
      <c r="Z360" s="6">
        <f t="array" ref="Z360">_xlfn.IFNA((INDEX('DMR 001C TIN &amp; TP'!$A$3:$M$10005,MATCH(('Reg 85'!$X$6&amp;'Reg 85'!$X$10&amp;'Reg 85'!$B360),('DMR 001C TIN &amp; TP'!$E$3:$E$10005&amp;'DMR 001C TIN &amp; TP'!$B$3:$B$10005&amp;'DMR 001C TIN &amp; TP'!$A$3:$A$10005),0),MATCH('Reg 85'!$Z$11,'DMR 001C TIN &amp; TP'!$A$2:$M$2,0))),"")</f>
        <v>3.89</v>
      </c>
      <c r="AA360" s="53">
        <f t="shared" si="135"/>
        <v>3.89</v>
      </c>
      <c r="AB360" s="5" t="str">
        <f t="shared" si="136"/>
        <v/>
      </c>
      <c r="AC360" s="6" t="str">
        <f t="array" ref="AC360">_xlfn.IFNA((INDEX('DMR 001C TIN &amp; TP'!$A$3:$M$10005,MATCH(('Reg 85'!$X$6&amp;'Reg 85'!$AB$10&amp;'Reg 85'!$B360),('DMR 001C TIN &amp; TP'!$E$3:$E$10005&amp;'DMR 001C TIN &amp; TP'!$B$3:$B$10005&amp;'DMR 001C TIN &amp; TP'!$A$3:$A$10005),0),MATCH('Reg 85'!$AC$11,'DMR 001C TIN &amp; TP'!$A$2:$M$2,0))),"")</f>
        <v>0.06</v>
      </c>
      <c r="AD360" s="6">
        <f t="array" ref="AD360">_xlfn.IFNA((INDEX('DMR 001C TIN &amp; TP'!$A$3:$M$10005,MATCH(('Reg 85'!$X$6&amp;'Reg 85'!$AB$10&amp;'Reg 85'!$B360),('DMR 001C TIN &amp; TP'!$E$3:$E$10005&amp;'DMR 001C TIN &amp; TP'!$B$3:$B$10005&amp;'DMR 001C TIN &amp; TP'!$A$3:$A$10005),0),MATCH('Reg 85'!$AD$11,'DMR 001C TIN &amp; TP'!$A$2:$M$2,0))),"")</f>
        <v>5.12</v>
      </c>
      <c r="AE360" s="53">
        <f t="shared" si="137"/>
        <v>5.12</v>
      </c>
      <c r="AF360" s="7">
        <f t="shared" si="138"/>
        <v>4.6963912106749781</v>
      </c>
      <c r="AG360" s="6" t="str">
        <f t="array" ref="AG360">_xlfn.IFNA((INDEX('DMR 001C TIN &amp; TP'!$A$3:$M$10005,MATCH(('Reg 85'!$X$6&amp;'Reg 85'!AG$10&amp;'Reg 85'!$B360),('DMR 001C TIN &amp; TP'!$E$3:$E$10005&amp;'DMR 001C TIN &amp; TP'!$B$3:$B$10005&amp;'DMR 001C TIN &amp; TP'!$A$3:$A$10005),0),MATCH('Reg 85'!$AG$11,'DMR 001C TIN &amp; TP'!$A$2:$M$2,0))),"")</f>
        <v/>
      </c>
      <c r="AH360" s="6" t="str">
        <f t="array" ref="AH360">_xlfn.IFNA((INDEX('DMR 001C TIN &amp; TP'!$A$3:$M$10005,MATCH(('Reg 85'!$X$6&amp;'Reg 85'!AH$10&amp;'Reg 85'!$B360),('DMR 001C TIN &amp; TP'!$E$3:$E$10005&amp;'DMR 001C TIN &amp; TP'!$B$3:$B$10005&amp;'DMR 001C TIN &amp; TP'!$A$3:$A$10005),0),MATCH('Reg 85'!$AG$11,'DMR 001C TIN &amp; TP'!$A$2:$M$2,0))),"")</f>
        <v/>
      </c>
      <c r="AI360" s="6" t="str">
        <f t="array" ref="AI360">_xlfn.IFNA((INDEX('DMR 001C TIN &amp; TP'!$A$3:$M$10005,MATCH(('Reg 85'!$X$6&amp;'Reg 85'!AI$10&amp;'Reg 85'!$B360),('DMR 001C TIN &amp; TP'!$E$3:$E$10005&amp;'DMR 001C TIN &amp; TP'!$B$3:$B$10005&amp;'DMR 001C TIN &amp; TP'!$A$3:$A$10005),0),MATCH('Reg 85'!$AG$11,'DMR 001C TIN &amp; TP'!$A$2:$M$2,0))),"")</f>
        <v/>
      </c>
      <c r="AJ360" s="6" t="str">
        <f t="array" ref="AJ360">_xlfn.IFNA((INDEX('DMR 001C TIN &amp; TP'!$A$3:$M$10005,MATCH(('Reg 85'!$X$6&amp;'Reg 85'!AJ$10&amp;'Reg 85'!$B360),('DMR 001C TIN &amp; TP'!$E$3:$E$10005&amp;'DMR 001C TIN &amp; TP'!$B$3:$B$10005&amp;'DMR 001C TIN &amp; TP'!$A$3:$A$10005),0),MATCH('Reg 85'!$AG$11,'DMR 001C TIN &amp; TP'!$A$2:$M$2,0))),"")</f>
        <v/>
      </c>
      <c r="AK360" s="6" t="str">
        <f t="array" ref="AK360">_xlfn.IFNA((INDEX('DMR 001C TIN &amp; TP'!$A$3:$M$10005,MATCH(('Reg 85'!$X$6&amp;'Reg 85'!AK$10&amp;'Reg 85'!$B360),('DMR 001C TIN &amp; TP'!$E$3:$E$10005&amp;'DMR 001C TIN &amp; TP'!$B$3:$B$10005&amp;'DMR 001C TIN &amp; TP'!$A$3:$A$10005),0),MATCH('Reg 85'!$AG$11,'DMR 001C TIN &amp; TP'!$A$2:$M$2,0))),"")</f>
        <v/>
      </c>
      <c r="AL360" s="6" t="str">
        <f t="array" ref="AL360">_xlfn.IFNA((INDEX('DMR 001C TIN &amp; TP'!$A$3:$M$10005,MATCH(('Reg 85'!$X$6&amp;'Reg 85'!AL$10&amp;'Reg 85'!$B360),('DMR 001C TIN &amp; TP'!$E$3:$E$10005&amp;'DMR 001C TIN &amp; TP'!$B$3:$B$10005&amp;'DMR 001C TIN &amp; TP'!$A$3:$A$10005),0),MATCH('Reg 85'!$AG$11,'DMR 001C TIN &amp; TP'!$A$2:$M$2,0))),"")</f>
        <v/>
      </c>
      <c r="AM360" s="76"/>
      <c r="AN360" s="6"/>
      <c r="AO360" s="54">
        <f t="shared" si="125"/>
        <v>5.5739853511249633</v>
      </c>
      <c r="AP360" s="77" t="str">
        <f t="shared" si="123"/>
        <v/>
      </c>
      <c r="AQ360" s="47"/>
      <c r="AR360" s="6" t="str">
        <f t="array" ref="AR360">_xlfn.IFNA((INDEX('DMR 001C TIN &amp; TP'!$A$3:$M$10005,MATCH(('Reg 85'!$AQ$6&amp;'Reg 85'!$AQ$10&amp;'Reg 85'!$B360),('DMR 001C TIN &amp; TP'!$E$3:$E$10005&amp;'DMR 001C TIN &amp; TP'!$B$3:$B$10005&amp;'DMR 001C TIN &amp; TP'!$A$3:$A$10005),0),MATCH('Reg 85'!$AR$11,'DMR 001C TIN &amp; TP'!$A$2:$M$2,0))),"")</f>
        <v/>
      </c>
      <c r="AS360" s="6" t="str">
        <f t="array" ref="AS360">_xlfn.IFNA((INDEX('DMR 001C TIN &amp; TP'!$A$3:$M$10005,MATCH(('Reg 85'!$AQ$6&amp;'Reg 85'!$AQ$10&amp;'Reg 85'!$B360),('DMR 001C TIN &amp; TP'!$E$3:$E$10005&amp;'DMR 001C TIN &amp; TP'!$B$3:$B$10005&amp;'DMR 001C TIN &amp; TP'!$A$3:$A$10005),0),MATCH('Reg 85'!$AS$11,'DMR 001C TIN &amp; TP'!$A$2:$M$2,0))),"")</f>
        <v/>
      </c>
      <c r="AT360" s="53" t="str">
        <f t="shared" si="139"/>
        <v/>
      </c>
      <c r="AV360" s="6" t="str">
        <f t="array" ref="AV360">_xlfn.IFNA((INDEX('DMR 001C TIN &amp; TP'!$A$3:$M$10005,MATCH(('Reg 85'!$AQ$6&amp;'Reg 85'!$AU$10&amp;'Reg 85'!$B360),('DMR 001C TIN &amp; TP'!$E$3:$E$10005&amp;'DMR 001C TIN &amp; TP'!$B$3:$B$10005&amp;'DMR 001C TIN &amp; TP'!$A$3:$A$10005),0),MATCH('Reg 85'!$AV$11,'DMR 001C TIN &amp; TP'!$A$2:$M$2,0))),"")</f>
        <v/>
      </c>
      <c r="AW360" s="6" t="str">
        <f t="array" ref="AW360">_xlfn.IFNA((INDEX('DMR 001C TIN &amp; TP'!$A$3:$M$10005,MATCH(('Reg 85'!$AQ$6&amp;'Reg 85'!$AU$10&amp;'Reg 85'!$B360),('DMR 001C TIN &amp; TP'!$E$3:$E$10005&amp;'DMR 001C TIN &amp; TP'!$B$3:$B$10005&amp;'DMR 001C TIN &amp; TP'!$A$3:$A$10005),0),MATCH('Reg 85'!$AW$11,'DMR 001C TIN &amp; TP'!$A$2:$M$2,0))),"")</f>
        <v/>
      </c>
      <c r="AX360" s="53" t="str">
        <f t="shared" si="140"/>
        <v/>
      </c>
      <c r="AY360" s="55" t="str">
        <f t="shared" si="141"/>
        <v/>
      </c>
      <c r="AZ360" s="77" t="str">
        <f t="shared" si="124"/>
        <v/>
      </c>
      <c r="BA360" s="6" t="str">
        <f t="array" ref="BA360">_xlfn.IFNA((INDEX('DMR 001C TIN &amp; TP'!$A$3:$M$10005,MATCH(('Reg 85'!$AQ$6&amp;'Reg 85'!BA$10&amp;'Reg 85'!$B360),('DMR 001C TIN &amp; TP'!$E$3:$E$10005&amp;'DMR 001C TIN &amp; TP'!$B$3:$B$10005&amp;'DMR 001C TIN &amp; TP'!$A$3:$A$10005),0),MATCH('Reg 85'!$AG$11,'DMR 001C TIN &amp; TP'!$A$2:$M$2,0))),"")</f>
        <v/>
      </c>
      <c r="BB360" s="6" t="str">
        <f t="array" ref="BB360">_xlfn.IFNA((INDEX('DMR 001C TIN &amp; TP'!$A$3:$M$10005,MATCH(('Reg 85'!$AQ$6&amp;'Reg 85'!BB$10&amp;'Reg 85'!$B360),('DMR 001C TIN &amp; TP'!$E$3:$E$10005&amp;'DMR 001C TIN &amp; TP'!$B$3:$B$10005&amp;'DMR 001C TIN &amp; TP'!$A$3:$A$10005),0),MATCH('Reg 85'!$AG$11,'DMR 001C TIN &amp; TP'!$A$2:$M$2,0))),"")</f>
        <v/>
      </c>
      <c r="BC360" s="6" t="str">
        <f t="array" ref="BC360">_xlfn.IFNA((INDEX('DMR 001C TIN &amp; TP'!$A$3:$M$10005,MATCH(('Reg 85'!$AQ$6&amp;'Reg 85'!BC$10&amp;'Reg 85'!$B360),('DMR 001C TIN &amp; TP'!$E$3:$E$10005&amp;'DMR 001C TIN &amp; TP'!$B$3:$B$10005&amp;'DMR 001C TIN &amp; TP'!$A$3:$A$10005),0),MATCH('Reg 85'!$AG$11,'DMR 001C TIN &amp; TP'!$A$2:$M$2,0))),"")</f>
        <v/>
      </c>
      <c r="BD360" s="6" t="str">
        <f t="array" ref="BD360">_xlfn.IFNA((INDEX('DMR 001C TIN &amp; TP'!$A$3:$M$10005,MATCH(('Reg 85'!$AQ$6&amp;'Reg 85'!BD$10&amp;'Reg 85'!$B360),('DMR 001C TIN &amp; TP'!$E$3:$E$10005&amp;'DMR 001C TIN &amp; TP'!$B$3:$B$10005&amp;'DMR 001C TIN &amp; TP'!$A$3:$A$10005),0),MATCH('Reg 85'!$AG$11,'DMR 001C TIN &amp; TP'!$A$2:$M$2,0))),"")</f>
        <v/>
      </c>
      <c r="BE360" s="6" t="str">
        <f t="array" ref="BE360">_xlfn.IFNA((INDEX('DMR 001C TIN &amp; TP'!$A$3:$M$10005,MATCH(('Reg 85'!$AQ$6&amp;'Reg 85'!BE$10&amp;'Reg 85'!$B360),('DMR 001C TIN &amp; TP'!$E$3:$E$10005&amp;'DMR 001C TIN &amp; TP'!$B$3:$B$10005&amp;'DMR 001C TIN &amp; TP'!$A$3:$A$10005),0),MATCH('Reg 85'!$AG$11,'DMR 001C TIN &amp; TP'!$A$2:$M$2,0))),"")</f>
        <v/>
      </c>
      <c r="BF360" s="6" t="str">
        <f t="array" ref="BF360">_xlfn.IFNA((INDEX('DMR 001C TIN &amp; TP'!$A$3:$M$10005,MATCH(('Reg 85'!$AQ$6&amp;'Reg 85'!BF$10&amp;'Reg 85'!$B360),('DMR 001C TIN &amp; TP'!$E$3:$E$10005&amp;'DMR 001C TIN &amp; TP'!$B$3:$B$10005&amp;'DMR 001C TIN &amp; TP'!$A$3:$A$10005),0),MATCH('Reg 85'!$AG$11,'DMR 001C TIN &amp; TP'!$A$2:$M$2,0))),"")</f>
        <v/>
      </c>
    </row>
    <row r="361" spans="1:58">
      <c r="A361" s="3" t="str">
        <f t="shared" si="126"/>
        <v>Fri</v>
      </c>
      <c r="B361" s="96">
        <f t="shared" si="142"/>
        <v>43693</v>
      </c>
      <c r="C361" s="96">
        <f t="shared" si="127"/>
        <v>43708</v>
      </c>
      <c r="D361" s="96">
        <f t="shared" si="128"/>
        <v>43678</v>
      </c>
      <c r="E361" s="95">
        <f t="shared" si="129"/>
        <v>31</v>
      </c>
      <c r="F361" s="7">
        <f t="array" ref="F361">_xlfn.IFNA(INDEX('DMR Flows-Effluent'!$A$3:$F$9999,MATCH(($F$10&amp;$B361),('DMR Flows-Effluent'!$B$3:$B$9999&amp;'DMR Flows-Effluent'!$A$3:$A$9999),0),MATCH($F$8,'DMR Flows-Effluent'!$A$2:$F$2,0)),"")</f>
        <v>45.667099999999998</v>
      </c>
      <c r="G361" s="7">
        <f t="array" ref="G361">_xlfn.IFNA(INDEX('DMR Flows-Effluent'!$A$3:$F$9999,MATCH(($G$10&amp;$B361),('DMR Flows-Effluent'!$B$3:$B$9999&amp;'DMR Flows-Effluent'!$A$3:$A$9999),0),MATCH($F$8,'DMR Flows-Effluent'!$A$2:$F$2,0)),"")</f>
        <v>78.309799999999996</v>
      </c>
      <c r="H361" s="7">
        <f t="shared" si="130"/>
        <v>123.9769</v>
      </c>
      <c r="I361" s="45" t="str">
        <f t="shared" si="131"/>
        <v/>
      </c>
      <c r="J361" s="6" t="str">
        <f t="array" ref="J361">_xlfn.IFNA((INDEX('DMR 001C TIN &amp; TP'!$A$3:$M$10005,MATCH(('Reg 85'!$I$6:$Q$6&amp;'Reg 85'!$I$10:$K$10&amp;'Reg 85'!$B361),('DMR 001C TIN &amp; TP'!$E$3:$E$10005&amp;'DMR 001C TIN &amp; TP'!$B$3:$B$10005&amp;'DMR 001C TIN &amp; TP'!$A$3:$A$10005),0),MATCH('Reg 85'!$J$11,'DMR 001C TIN &amp; TP'!$A$2:$M$2,0))),"")</f>
        <v>0.15</v>
      </c>
      <c r="K361" s="6">
        <f t="array" ref="K361">_xlfn.IFNA((INDEX('DMR 001C TIN &amp; TP'!$A$3:$M$10005,MATCH(('Reg 85'!$I$6:$Q$6&amp;'Reg 85'!$I$10:$K$10&amp;'Reg 85'!$B361),('DMR 001C TIN &amp; TP'!$E$3:$E$10005&amp;'DMR 001C TIN &amp; TP'!$B$3:$B$10005&amp;'DMR 001C TIN &amp; TP'!$A$3:$A$10005),0),MATCH('Reg 85'!$K$11,'DMR 001C TIN &amp; TP'!$A$2:$M$2,0))),"")</f>
        <v>0.51</v>
      </c>
      <c r="L361" s="53">
        <f t="shared" si="143"/>
        <v>0.51</v>
      </c>
      <c r="M361" s="5" t="str">
        <f t="shared" si="132"/>
        <v/>
      </c>
      <c r="N361" s="6" t="str">
        <f t="array" ref="N361">_xlfn.IFNA((INDEX('DMR 001C TIN &amp; TP'!$A$3:$M$10005,MATCH(('Reg 85'!$I$6:$Q$6&amp;'Reg 85'!$M$10&amp;'Reg 85'!$B361),('DMR 001C TIN &amp; TP'!$E$3:$E$10005&amp;'DMR 001C TIN &amp; TP'!$B$3:$B$10005&amp;'DMR 001C TIN &amp; TP'!$A$3:$A$10005),0),MATCH('Reg 85'!$N$11,'DMR 001C TIN &amp; TP'!$A$2:$M$2,0))),"")</f>
        <v>0.15</v>
      </c>
      <c r="O361" s="6">
        <f t="array" ref="O361">_xlfn.IFNA((INDEX('DMR 001C TIN &amp; TP'!$A$3:$M$10005,MATCH(('Reg 85'!$I$6:$Q$6&amp;'Reg 85'!$M$10&amp;'Reg 85'!$B361),('DMR 001C TIN &amp; TP'!$E$3:$E$10005&amp;'DMR 001C TIN &amp; TP'!$B$3:$B$10005&amp;'DMR 001C TIN &amp; TP'!$A$3:$A$10005),0),MATCH('Reg 85'!$O$11,'DMR 001C TIN &amp; TP'!$A$2:$M$2,0))),"")</f>
        <v>1.48</v>
      </c>
      <c r="P361" s="53">
        <f t="shared" si="133"/>
        <v>1.48</v>
      </c>
      <c r="Q361" s="73">
        <f t="array" ref="Q361">IFERROR(((L361*$F361)+(P361*$G361))/($H361),"")</f>
        <v>1.122698865675783</v>
      </c>
      <c r="R361" s="6" t="str">
        <f t="array" ref="R361">_xlfn.IFNA((INDEX('DMR 001C TIN &amp; TP'!$A$3:$M$10005,MATCH(('Reg 85'!$I$6:$Q$6&amp;'Reg 85'!R$10&amp;'Reg 85'!$B361),('DMR 001C TIN &amp; TP'!$E$3:$E$10005&amp;'DMR 001C TIN &amp; TP'!$B$3:$B$10005&amp;'DMR 001C TIN &amp; TP'!$A$3:$A$10005),0),MATCH('Reg 85'!$O$11,'DMR 001C TIN &amp; TP'!$A$2:$M$2,0))),"")</f>
        <v/>
      </c>
      <c r="S361" s="6" t="str">
        <f t="array" ref="S361">_xlfn.IFNA((INDEX('DMR 001C TIN &amp; TP'!$A$3:$M$10005,MATCH(('Reg 85'!$I$6:$Q$6&amp;'Reg 85'!S$10&amp;'Reg 85'!$B361),('DMR 001C TIN &amp; TP'!$E$3:$E$10005&amp;'DMR 001C TIN &amp; TP'!$B$3:$B$10005&amp;'DMR 001C TIN &amp; TP'!$A$3:$A$10005),0),MATCH('Reg 85'!$O$11,'DMR 001C TIN &amp; TP'!$A$2:$M$2,0))),"")</f>
        <v/>
      </c>
      <c r="T361" s="6" t="str">
        <f t="array" ref="T361">_xlfn.IFNA((INDEX('DMR 001C TIN &amp; TP'!$A$3:$M$10005,MATCH(('Reg 85'!$I$6:$Q$6&amp;'Reg 85'!T$10&amp;'Reg 85'!$B361),('DMR 001C TIN &amp; TP'!$E$3:$E$10005&amp;'DMR 001C TIN &amp; TP'!$B$3:$B$10005&amp;'DMR 001C TIN &amp; TP'!$A$3:$A$10005),0),MATCH('Reg 85'!$O$11,'DMR 001C TIN &amp; TP'!$A$2:$M$2,0))),"")</f>
        <v/>
      </c>
      <c r="U361" s="6" t="str">
        <f t="array" ref="U361">_xlfn.IFNA((INDEX('DMR 001C TIN &amp; TP'!$A$3:$M$10005,MATCH(('Reg 85'!$I$6:$Q$6&amp;'Reg 85'!U$10&amp;'Reg 85'!$B361),('DMR 001C TIN &amp; TP'!$E$3:$E$10005&amp;'DMR 001C TIN &amp; TP'!$B$3:$B$10005&amp;'DMR 001C TIN &amp; TP'!$A$3:$A$10005),0),MATCH('Reg 85'!$O$11,'DMR 001C TIN &amp; TP'!$A$2:$M$2,0))),"")</f>
        <v/>
      </c>
      <c r="V361" s="6" t="str">
        <f t="array" ref="V361">_xlfn.IFNA((INDEX('DMR 001C TIN &amp; TP'!$A$3:$M$10005,MATCH(('Reg 85'!$I$6:$Q$6&amp;'Reg 85'!V$10&amp;'Reg 85'!$B361),('DMR 001C TIN &amp; TP'!$E$3:$E$10005&amp;'DMR 001C TIN &amp; TP'!$B$3:$B$10005&amp;'DMR 001C TIN &amp; TP'!$A$3:$A$10005),0),MATCH('Reg 85'!$O$11,'DMR 001C TIN &amp; TP'!$A$2:$M$2,0))),"")</f>
        <v/>
      </c>
      <c r="W361" s="6" t="str">
        <f t="array" ref="W361">_xlfn.IFNA((INDEX('DMR 001C TIN &amp; TP'!$A$3:$M$10005,MATCH(('Reg 85'!$I$6:$Q$6&amp;'Reg 85'!W$10&amp;'Reg 85'!$B361),('DMR 001C TIN &amp; TP'!$E$3:$E$10005&amp;'DMR 001C TIN &amp; TP'!$B$3:$B$10005&amp;'DMR 001C TIN &amp; TP'!$A$3:$A$10005),0),MATCH('Reg 85'!$O$11,'DMR 001C TIN &amp; TP'!$A$2:$M$2,0))),"")</f>
        <v/>
      </c>
      <c r="X361" s="5" t="str">
        <f t="shared" si="134"/>
        <v/>
      </c>
      <c r="Y361" s="6" t="str">
        <f t="array" ref="Y361">_xlfn.IFNA((INDEX('DMR 001C TIN &amp; TP'!$A$3:$M$10005,MATCH(('Reg 85'!$X$6&amp;'Reg 85'!$X$10&amp;'Reg 85'!$B361),('DMR 001C TIN &amp; TP'!$E$3:$E$10005&amp;'DMR 001C TIN &amp; TP'!$B$3:$B$10005&amp;'DMR 001C TIN &amp; TP'!$A$3:$A$10005),0),MATCH('Reg 85'!$Y$11,'DMR 001C TIN &amp; TP'!$A$2:$M$2,0))),"")</f>
        <v>0.06</v>
      </c>
      <c r="Z361" s="6">
        <f t="array" ref="Z361">_xlfn.IFNA((INDEX('DMR 001C TIN &amp; TP'!$A$3:$M$10005,MATCH(('Reg 85'!$X$6&amp;'Reg 85'!$X$10&amp;'Reg 85'!$B361),('DMR 001C TIN &amp; TP'!$E$3:$E$10005&amp;'DMR 001C TIN &amp; TP'!$B$3:$B$10005&amp;'DMR 001C TIN &amp; TP'!$A$3:$A$10005),0),MATCH('Reg 85'!$Z$11,'DMR 001C TIN &amp; TP'!$A$2:$M$2,0))),"")</f>
        <v>4.59</v>
      </c>
      <c r="AA361" s="53">
        <f t="shared" si="135"/>
        <v>4.59</v>
      </c>
      <c r="AB361" s="5" t="str">
        <f t="shared" si="136"/>
        <v/>
      </c>
      <c r="AC361" s="6" t="str">
        <f t="array" ref="AC361">_xlfn.IFNA((INDEX('DMR 001C TIN &amp; TP'!$A$3:$M$10005,MATCH(('Reg 85'!$X$6&amp;'Reg 85'!$AB$10&amp;'Reg 85'!$B361),('DMR 001C TIN &amp; TP'!$E$3:$E$10005&amp;'DMR 001C TIN &amp; TP'!$B$3:$B$10005&amp;'DMR 001C TIN &amp; TP'!$A$3:$A$10005),0),MATCH('Reg 85'!$AC$11,'DMR 001C TIN &amp; TP'!$A$2:$M$2,0))),"")</f>
        <v>0.06</v>
      </c>
      <c r="AD361" s="6">
        <f t="array" ref="AD361">_xlfn.IFNA((INDEX('DMR 001C TIN &amp; TP'!$A$3:$M$10005,MATCH(('Reg 85'!$X$6&amp;'Reg 85'!$AB$10&amp;'Reg 85'!$B361),('DMR 001C TIN &amp; TP'!$E$3:$E$10005&amp;'DMR 001C TIN &amp; TP'!$B$3:$B$10005&amp;'DMR 001C TIN &amp; TP'!$A$3:$A$10005),0),MATCH('Reg 85'!$AD$11,'DMR 001C TIN &amp; TP'!$A$2:$M$2,0))),"")</f>
        <v>5.87</v>
      </c>
      <c r="AE361" s="53">
        <f t="shared" si="137"/>
        <v>5.87</v>
      </c>
      <c r="AF361" s="7">
        <f t="shared" si="138"/>
        <v>5.3985098433659813</v>
      </c>
      <c r="AG361" s="6" t="str">
        <f t="array" ref="AG361">_xlfn.IFNA((INDEX('DMR 001C TIN &amp; TP'!$A$3:$M$10005,MATCH(('Reg 85'!$X$6&amp;'Reg 85'!AG$10&amp;'Reg 85'!$B361),('DMR 001C TIN &amp; TP'!$E$3:$E$10005&amp;'DMR 001C TIN &amp; TP'!$B$3:$B$10005&amp;'DMR 001C TIN &amp; TP'!$A$3:$A$10005),0),MATCH('Reg 85'!$AG$11,'DMR 001C TIN &amp; TP'!$A$2:$M$2,0))),"")</f>
        <v/>
      </c>
      <c r="AH361" s="6" t="str">
        <f t="array" ref="AH361">_xlfn.IFNA((INDEX('DMR 001C TIN &amp; TP'!$A$3:$M$10005,MATCH(('Reg 85'!$X$6&amp;'Reg 85'!AH$10&amp;'Reg 85'!$B361),('DMR 001C TIN &amp; TP'!$E$3:$E$10005&amp;'DMR 001C TIN &amp; TP'!$B$3:$B$10005&amp;'DMR 001C TIN &amp; TP'!$A$3:$A$10005),0),MATCH('Reg 85'!$AG$11,'DMR 001C TIN &amp; TP'!$A$2:$M$2,0))),"")</f>
        <v/>
      </c>
      <c r="AI361" s="6" t="str">
        <f t="array" ref="AI361">_xlfn.IFNA((INDEX('DMR 001C TIN &amp; TP'!$A$3:$M$10005,MATCH(('Reg 85'!$X$6&amp;'Reg 85'!AI$10&amp;'Reg 85'!$B361),('DMR 001C TIN &amp; TP'!$E$3:$E$10005&amp;'DMR 001C TIN &amp; TP'!$B$3:$B$10005&amp;'DMR 001C TIN &amp; TP'!$A$3:$A$10005),0),MATCH('Reg 85'!$AG$11,'DMR 001C TIN &amp; TP'!$A$2:$M$2,0))),"")</f>
        <v/>
      </c>
      <c r="AJ361" s="6" t="str">
        <f t="array" ref="AJ361">_xlfn.IFNA((INDEX('DMR 001C TIN &amp; TP'!$A$3:$M$10005,MATCH(('Reg 85'!$X$6&amp;'Reg 85'!AJ$10&amp;'Reg 85'!$B361),('DMR 001C TIN &amp; TP'!$E$3:$E$10005&amp;'DMR 001C TIN &amp; TP'!$B$3:$B$10005&amp;'DMR 001C TIN &amp; TP'!$A$3:$A$10005),0),MATCH('Reg 85'!$AG$11,'DMR 001C TIN &amp; TP'!$A$2:$M$2,0))),"")</f>
        <v/>
      </c>
      <c r="AK361" s="6" t="str">
        <f t="array" ref="AK361">_xlfn.IFNA((INDEX('DMR 001C TIN &amp; TP'!$A$3:$M$10005,MATCH(('Reg 85'!$X$6&amp;'Reg 85'!AK$10&amp;'Reg 85'!$B361),('DMR 001C TIN &amp; TP'!$E$3:$E$10005&amp;'DMR 001C TIN &amp; TP'!$B$3:$B$10005&amp;'DMR 001C TIN &amp; TP'!$A$3:$A$10005),0),MATCH('Reg 85'!$AG$11,'DMR 001C TIN &amp; TP'!$A$2:$M$2,0))),"")</f>
        <v/>
      </c>
      <c r="AL361" s="6" t="str">
        <f t="array" ref="AL361">_xlfn.IFNA((INDEX('DMR 001C TIN &amp; TP'!$A$3:$M$10005,MATCH(('Reg 85'!$X$6&amp;'Reg 85'!AL$10&amp;'Reg 85'!$B361),('DMR 001C TIN &amp; TP'!$E$3:$E$10005&amp;'DMR 001C TIN &amp; TP'!$B$3:$B$10005&amp;'DMR 001C TIN &amp; TP'!$A$3:$A$10005),0),MATCH('Reg 85'!$AG$11,'DMR 001C TIN &amp; TP'!$A$2:$M$2,0))),"")</f>
        <v/>
      </c>
      <c r="AM361" s="76"/>
      <c r="AN361" s="6"/>
      <c r="AO361" s="54">
        <f t="shared" si="125"/>
        <v>6.5212087090417645</v>
      </c>
      <c r="AP361" s="77" t="str">
        <f t="shared" si="123"/>
        <v/>
      </c>
      <c r="AQ361" s="47"/>
      <c r="AR361" s="6" t="str">
        <f t="array" ref="AR361">_xlfn.IFNA((INDEX('DMR 001C TIN &amp; TP'!$A$3:$M$10005,MATCH(('Reg 85'!$AQ$6&amp;'Reg 85'!$AQ$10&amp;'Reg 85'!$B361),('DMR 001C TIN &amp; TP'!$E$3:$E$10005&amp;'DMR 001C TIN &amp; TP'!$B$3:$B$10005&amp;'DMR 001C TIN &amp; TP'!$A$3:$A$10005),0),MATCH('Reg 85'!$AR$11,'DMR 001C TIN &amp; TP'!$A$2:$M$2,0))),"")</f>
        <v/>
      </c>
      <c r="AS361" s="6" t="str">
        <f t="array" ref="AS361">_xlfn.IFNA((INDEX('DMR 001C TIN &amp; TP'!$A$3:$M$10005,MATCH(('Reg 85'!$AQ$6&amp;'Reg 85'!$AQ$10&amp;'Reg 85'!$B361),('DMR 001C TIN &amp; TP'!$E$3:$E$10005&amp;'DMR 001C TIN &amp; TP'!$B$3:$B$10005&amp;'DMR 001C TIN &amp; TP'!$A$3:$A$10005),0),MATCH('Reg 85'!$AS$11,'DMR 001C TIN &amp; TP'!$A$2:$M$2,0))),"")</f>
        <v/>
      </c>
      <c r="AT361" s="53" t="str">
        <f t="shared" si="139"/>
        <v/>
      </c>
      <c r="AV361" s="6" t="str">
        <f t="array" ref="AV361">_xlfn.IFNA((INDEX('DMR 001C TIN &amp; TP'!$A$3:$M$10005,MATCH(('Reg 85'!$AQ$6&amp;'Reg 85'!$AU$10&amp;'Reg 85'!$B361),('DMR 001C TIN &amp; TP'!$E$3:$E$10005&amp;'DMR 001C TIN &amp; TP'!$B$3:$B$10005&amp;'DMR 001C TIN &amp; TP'!$A$3:$A$10005),0),MATCH('Reg 85'!$AV$11,'DMR 001C TIN &amp; TP'!$A$2:$M$2,0))),"")</f>
        <v/>
      </c>
      <c r="AW361" s="6" t="str">
        <f t="array" ref="AW361">_xlfn.IFNA((INDEX('DMR 001C TIN &amp; TP'!$A$3:$M$10005,MATCH(('Reg 85'!$AQ$6&amp;'Reg 85'!$AU$10&amp;'Reg 85'!$B361),('DMR 001C TIN &amp; TP'!$E$3:$E$10005&amp;'DMR 001C TIN &amp; TP'!$B$3:$B$10005&amp;'DMR 001C TIN &amp; TP'!$A$3:$A$10005),0),MATCH('Reg 85'!$AW$11,'DMR 001C TIN &amp; TP'!$A$2:$M$2,0))),"")</f>
        <v/>
      </c>
      <c r="AX361" s="53" t="str">
        <f t="shared" si="140"/>
        <v/>
      </c>
      <c r="AY361" s="55" t="str">
        <f t="shared" si="141"/>
        <v/>
      </c>
      <c r="AZ361" s="77" t="str">
        <f t="shared" si="124"/>
        <v/>
      </c>
      <c r="BA361" s="6" t="str">
        <f t="array" ref="BA361">_xlfn.IFNA((INDEX('DMR 001C TIN &amp; TP'!$A$3:$M$10005,MATCH(('Reg 85'!$AQ$6&amp;'Reg 85'!BA$10&amp;'Reg 85'!$B361),('DMR 001C TIN &amp; TP'!$E$3:$E$10005&amp;'DMR 001C TIN &amp; TP'!$B$3:$B$10005&amp;'DMR 001C TIN &amp; TP'!$A$3:$A$10005),0),MATCH('Reg 85'!$AG$11,'DMR 001C TIN &amp; TP'!$A$2:$M$2,0))),"")</f>
        <v/>
      </c>
      <c r="BB361" s="6" t="str">
        <f t="array" ref="BB361">_xlfn.IFNA((INDEX('DMR 001C TIN &amp; TP'!$A$3:$M$10005,MATCH(('Reg 85'!$AQ$6&amp;'Reg 85'!BB$10&amp;'Reg 85'!$B361),('DMR 001C TIN &amp; TP'!$E$3:$E$10005&amp;'DMR 001C TIN &amp; TP'!$B$3:$B$10005&amp;'DMR 001C TIN &amp; TP'!$A$3:$A$10005),0),MATCH('Reg 85'!$AG$11,'DMR 001C TIN &amp; TP'!$A$2:$M$2,0))),"")</f>
        <v/>
      </c>
      <c r="BC361" s="6" t="str">
        <f t="array" ref="BC361">_xlfn.IFNA((INDEX('DMR 001C TIN &amp; TP'!$A$3:$M$10005,MATCH(('Reg 85'!$AQ$6&amp;'Reg 85'!BC$10&amp;'Reg 85'!$B361),('DMR 001C TIN &amp; TP'!$E$3:$E$10005&amp;'DMR 001C TIN &amp; TP'!$B$3:$B$10005&amp;'DMR 001C TIN &amp; TP'!$A$3:$A$10005),0),MATCH('Reg 85'!$AG$11,'DMR 001C TIN &amp; TP'!$A$2:$M$2,0))),"")</f>
        <v/>
      </c>
      <c r="BD361" s="6" t="str">
        <f t="array" ref="BD361">_xlfn.IFNA((INDEX('DMR 001C TIN &amp; TP'!$A$3:$M$10005,MATCH(('Reg 85'!$AQ$6&amp;'Reg 85'!BD$10&amp;'Reg 85'!$B361),('DMR 001C TIN &amp; TP'!$E$3:$E$10005&amp;'DMR 001C TIN &amp; TP'!$B$3:$B$10005&amp;'DMR 001C TIN &amp; TP'!$A$3:$A$10005),0),MATCH('Reg 85'!$AG$11,'DMR 001C TIN &amp; TP'!$A$2:$M$2,0))),"")</f>
        <v/>
      </c>
      <c r="BE361" s="6" t="str">
        <f t="array" ref="BE361">_xlfn.IFNA((INDEX('DMR 001C TIN &amp; TP'!$A$3:$M$10005,MATCH(('Reg 85'!$AQ$6&amp;'Reg 85'!BE$10&amp;'Reg 85'!$B361),('DMR 001C TIN &amp; TP'!$E$3:$E$10005&amp;'DMR 001C TIN &amp; TP'!$B$3:$B$10005&amp;'DMR 001C TIN &amp; TP'!$A$3:$A$10005),0),MATCH('Reg 85'!$AG$11,'DMR 001C TIN &amp; TP'!$A$2:$M$2,0))),"")</f>
        <v/>
      </c>
      <c r="BF361" s="6" t="str">
        <f t="array" ref="BF361">_xlfn.IFNA((INDEX('DMR 001C TIN &amp; TP'!$A$3:$M$10005,MATCH(('Reg 85'!$AQ$6&amp;'Reg 85'!BF$10&amp;'Reg 85'!$B361),('DMR 001C TIN &amp; TP'!$E$3:$E$10005&amp;'DMR 001C TIN &amp; TP'!$B$3:$B$10005&amp;'DMR 001C TIN &amp; TP'!$A$3:$A$10005),0),MATCH('Reg 85'!$AG$11,'DMR 001C TIN &amp; TP'!$A$2:$M$2,0))),"")</f>
        <v/>
      </c>
    </row>
    <row r="362" spans="1:58">
      <c r="A362" s="3" t="str">
        <f t="shared" si="126"/>
        <v>Sat</v>
      </c>
      <c r="B362" s="96">
        <f t="shared" si="142"/>
        <v>43694</v>
      </c>
      <c r="C362" s="96">
        <f t="shared" si="127"/>
        <v>43708</v>
      </c>
      <c r="D362" s="96">
        <f t="shared" si="128"/>
        <v>43678</v>
      </c>
      <c r="E362" s="95">
        <f t="shared" si="129"/>
        <v>31</v>
      </c>
      <c r="F362" s="7">
        <f t="array" ref="F362">_xlfn.IFNA(INDEX('DMR Flows-Effluent'!$A$3:$F$9999,MATCH(($F$10&amp;$B362),('DMR Flows-Effluent'!$B$3:$B$9999&amp;'DMR Flows-Effluent'!$A$3:$A$9999),0),MATCH($F$8,'DMR Flows-Effluent'!$A$2:$F$2,0)),"")</f>
        <v>42.549500000000002</v>
      </c>
      <c r="G362" s="7">
        <f t="array" ref="G362">_xlfn.IFNA(INDEX('DMR Flows-Effluent'!$A$3:$F$9999,MATCH(($G$10&amp;$B362),('DMR Flows-Effluent'!$B$3:$B$9999&amp;'DMR Flows-Effluent'!$A$3:$A$9999),0),MATCH($F$8,'DMR Flows-Effluent'!$A$2:$F$2,0)),"")</f>
        <v>79.905600000000007</v>
      </c>
      <c r="H362" s="7">
        <f t="shared" si="130"/>
        <v>122.45510000000002</v>
      </c>
      <c r="I362" s="45" t="str">
        <f t="shared" si="131"/>
        <v/>
      </c>
      <c r="J362" s="6" t="str">
        <f t="array" ref="J362">_xlfn.IFNA((INDEX('DMR 001C TIN &amp; TP'!$A$3:$M$10005,MATCH(('Reg 85'!$I$6:$Q$6&amp;'Reg 85'!$I$10:$K$10&amp;'Reg 85'!$B362),('DMR 001C TIN &amp; TP'!$E$3:$E$10005&amp;'DMR 001C TIN &amp; TP'!$B$3:$B$10005&amp;'DMR 001C TIN &amp; TP'!$A$3:$A$10005),0),MATCH('Reg 85'!$J$11,'DMR 001C TIN &amp; TP'!$A$2:$M$2,0))),"")</f>
        <v/>
      </c>
      <c r="K362" s="6" t="str">
        <f t="array" ref="K362">_xlfn.IFNA((INDEX('DMR 001C TIN &amp; TP'!$A$3:$M$10005,MATCH(('Reg 85'!$I$6:$Q$6&amp;'Reg 85'!$I$10:$K$10&amp;'Reg 85'!$B362),('DMR 001C TIN &amp; TP'!$E$3:$E$10005&amp;'DMR 001C TIN &amp; TP'!$B$3:$B$10005&amp;'DMR 001C TIN &amp; TP'!$A$3:$A$10005),0),MATCH('Reg 85'!$K$11,'DMR 001C TIN &amp; TP'!$A$2:$M$2,0))),"")</f>
        <v/>
      </c>
      <c r="L362" s="53" t="str">
        <f t="shared" si="143"/>
        <v/>
      </c>
      <c r="M362" s="5" t="str">
        <f t="shared" si="132"/>
        <v/>
      </c>
      <c r="N362" s="6" t="str">
        <f t="array" ref="N362">_xlfn.IFNA((INDEX('DMR 001C TIN &amp; TP'!$A$3:$M$10005,MATCH(('Reg 85'!$I$6:$Q$6&amp;'Reg 85'!$M$10&amp;'Reg 85'!$B362),('DMR 001C TIN &amp; TP'!$E$3:$E$10005&amp;'DMR 001C TIN &amp; TP'!$B$3:$B$10005&amp;'DMR 001C TIN &amp; TP'!$A$3:$A$10005),0),MATCH('Reg 85'!$N$11,'DMR 001C TIN &amp; TP'!$A$2:$M$2,0))),"")</f>
        <v/>
      </c>
      <c r="O362" s="6" t="str">
        <f t="array" ref="O362">_xlfn.IFNA((INDEX('DMR 001C TIN &amp; TP'!$A$3:$M$10005,MATCH(('Reg 85'!$I$6:$Q$6&amp;'Reg 85'!$M$10&amp;'Reg 85'!$B362),('DMR 001C TIN &amp; TP'!$E$3:$E$10005&amp;'DMR 001C TIN &amp; TP'!$B$3:$B$10005&amp;'DMR 001C TIN &amp; TP'!$A$3:$A$10005),0),MATCH('Reg 85'!$O$11,'DMR 001C TIN &amp; TP'!$A$2:$M$2,0))),"")</f>
        <v/>
      </c>
      <c r="P362" s="53" t="str">
        <f t="shared" si="133"/>
        <v/>
      </c>
      <c r="Q362" s="73" t="str">
        <f t="array" ref="Q362">IFERROR(((L362*$F362)+(P362*$G362))/($H362),"")</f>
        <v/>
      </c>
      <c r="R362" s="6" t="str">
        <f t="array" ref="R362">_xlfn.IFNA((INDEX('DMR 001C TIN &amp; TP'!$A$3:$M$10005,MATCH(('Reg 85'!$I$6:$Q$6&amp;'Reg 85'!R$10&amp;'Reg 85'!$B362),('DMR 001C TIN &amp; TP'!$E$3:$E$10005&amp;'DMR 001C TIN &amp; TP'!$B$3:$B$10005&amp;'DMR 001C TIN &amp; TP'!$A$3:$A$10005),0),MATCH('Reg 85'!$O$11,'DMR 001C TIN &amp; TP'!$A$2:$M$2,0))),"")</f>
        <v/>
      </c>
      <c r="S362" s="6" t="str">
        <f t="array" ref="S362">_xlfn.IFNA((INDEX('DMR 001C TIN &amp; TP'!$A$3:$M$10005,MATCH(('Reg 85'!$I$6:$Q$6&amp;'Reg 85'!S$10&amp;'Reg 85'!$B362),('DMR 001C TIN &amp; TP'!$E$3:$E$10005&amp;'DMR 001C TIN &amp; TP'!$B$3:$B$10005&amp;'DMR 001C TIN &amp; TP'!$A$3:$A$10005),0),MATCH('Reg 85'!$O$11,'DMR 001C TIN &amp; TP'!$A$2:$M$2,0))),"")</f>
        <v/>
      </c>
      <c r="T362" s="6" t="str">
        <f t="array" ref="T362">_xlfn.IFNA((INDEX('DMR 001C TIN &amp; TP'!$A$3:$M$10005,MATCH(('Reg 85'!$I$6:$Q$6&amp;'Reg 85'!T$10&amp;'Reg 85'!$B362),('DMR 001C TIN &amp; TP'!$E$3:$E$10005&amp;'DMR 001C TIN &amp; TP'!$B$3:$B$10005&amp;'DMR 001C TIN &amp; TP'!$A$3:$A$10005),0),MATCH('Reg 85'!$O$11,'DMR 001C TIN &amp; TP'!$A$2:$M$2,0))),"")</f>
        <v/>
      </c>
      <c r="U362" s="6" t="str">
        <f t="array" ref="U362">_xlfn.IFNA((INDEX('DMR 001C TIN &amp; TP'!$A$3:$M$10005,MATCH(('Reg 85'!$I$6:$Q$6&amp;'Reg 85'!U$10&amp;'Reg 85'!$B362),('DMR 001C TIN &amp; TP'!$E$3:$E$10005&amp;'DMR 001C TIN &amp; TP'!$B$3:$B$10005&amp;'DMR 001C TIN &amp; TP'!$A$3:$A$10005),0),MATCH('Reg 85'!$O$11,'DMR 001C TIN &amp; TP'!$A$2:$M$2,0))),"")</f>
        <v/>
      </c>
      <c r="V362" s="6" t="str">
        <f t="array" ref="V362">_xlfn.IFNA((INDEX('DMR 001C TIN &amp; TP'!$A$3:$M$10005,MATCH(('Reg 85'!$I$6:$Q$6&amp;'Reg 85'!V$10&amp;'Reg 85'!$B362),('DMR 001C TIN &amp; TP'!$E$3:$E$10005&amp;'DMR 001C TIN &amp; TP'!$B$3:$B$10005&amp;'DMR 001C TIN &amp; TP'!$A$3:$A$10005),0),MATCH('Reg 85'!$O$11,'DMR 001C TIN &amp; TP'!$A$2:$M$2,0))),"")</f>
        <v/>
      </c>
      <c r="W362" s="6" t="str">
        <f t="array" ref="W362">_xlfn.IFNA((INDEX('DMR 001C TIN &amp; TP'!$A$3:$M$10005,MATCH(('Reg 85'!$I$6:$Q$6&amp;'Reg 85'!W$10&amp;'Reg 85'!$B362),('DMR 001C TIN &amp; TP'!$E$3:$E$10005&amp;'DMR 001C TIN &amp; TP'!$B$3:$B$10005&amp;'DMR 001C TIN &amp; TP'!$A$3:$A$10005),0),MATCH('Reg 85'!$O$11,'DMR 001C TIN &amp; TP'!$A$2:$M$2,0))),"")</f>
        <v/>
      </c>
      <c r="X362" s="5" t="str">
        <f t="shared" si="134"/>
        <v/>
      </c>
      <c r="Y362" s="6" t="str">
        <f t="array" ref="Y362">_xlfn.IFNA((INDEX('DMR 001C TIN &amp; TP'!$A$3:$M$10005,MATCH(('Reg 85'!$X$6&amp;'Reg 85'!$X$10&amp;'Reg 85'!$B362),('DMR 001C TIN &amp; TP'!$E$3:$E$10005&amp;'DMR 001C TIN &amp; TP'!$B$3:$B$10005&amp;'DMR 001C TIN &amp; TP'!$A$3:$A$10005),0),MATCH('Reg 85'!$Y$11,'DMR 001C TIN &amp; TP'!$A$2:$M$2,0))),"")</f>
        <v/>
      </c>
      <c r="Z362" s="6" t="str">
        <f t="array" ref="Z362">_xlfn.IFNA((INDEX('DMR 001C TIN &amp; TP'!$A$3:$M$10005,MATCH(('Reg 85'!$X$6&amp;'Reg 85'!$X$10&amp;'Reg 85'!$B362),('DMR 001C TIN &amp; TP'!$E$3:$E$10005&amp;'DMR 001C TIN &amp; TP'!$B$3:$B$10005&amp;'DMR 001C TIN &amp; TP'!$A$3:$A$10005),0),MATCH('Reg 85'!$Z$11,'DMR 001C TIN &amp; TP'!$A$2:$M$2,0))),"")</f>
        <v/>
      </c>
      <c r="AA362" s="53" t="str">
        <f t="shared" si="135"/>
        <v/>
      </c>
      <c r="AB362" s="5" t="str">
        <f t="shared" si="136"/>
        <v/>
      </c>
      <c r="AC362" s="6" t="str">
        <f t="array" ref="AC362">_xlfn.IFNA((INDEX('DMR 001C TIN &amp; TP'!$A$3:$M$10005,MATCH(('Reg 85'!$X$6&amp;'Reg 85'!$AB$10&amp;'Reg 85'!$B362),('DMR 001C TIN &amp; TP'!$E$3:$E$10005&amp;'DMR 001C TIN &amp; TP'!$B$3:$B$10005&amp;'DMR 001C TIN &amp; TP'!$A$3:$A$10005),0),MATCH('Reg 85'!$AC$11,'DMR 001C TIN &amp; TP'!$A$2:$M$2,0))),"")</f>
        <v/>
      </c>
      <c r="AD362" s="6" t="str">
        <f t="array" ref="AD362">_xlfn.IFNA((INDEX('DMR 001C TIN &amp; TP'!$A$3:$M$10005,MATCH(('Reg 85'!$X$6&amp;'Reg 85'!$AB$10&amp;'Reg 85'!$B362),('DMR 001C TIN &amp; TP'!$E$3:$E$10005&amp;'DMR 001C TIN &amp; TP'!$B$3:$B$10005&amp;'DMR 001C TIN &amp; TP'!$A$3:$A$10005),0),MATCH('Reg 85'!$AD$11,'DMR 001C TIN &amp; TP'!$A$2:$M$2,0))),"")</f>
        <v/>
      </c>
      <c r="AE362" s="53" t="str">
        <f t="shared" si="137"/>
        <v/>
      </c>
      <c r="AF362" s="7" t="str">
        <f t="shared" si="138"/>
        <v/>
      </c>
      <c r="AG362" s="6" t="str">
        <f t="array" ref="AG362">_xlfn.IFNA((INDEX('DMR 001C TIN &amp; TP'!$A$3:$M$10005,MATCH(('Reg 85'!$X$6&amp;'Reg 85'!AG$10&amp;'Reg 85'!$B362),('DMR 001C TIN &amp; TP'!$E$3:$E$10005&amp;'DMR 001C TIN &amp; TP'!$B$3:$B$10005&amp;'DMR 001C TIN &amp; TP'!$A$3:$A$10005),0),MATCH('Reg 85'!$AG$11,'DMR 001C TIN &amp; TP'!$A$2:$M$2,0))),"")</f>
        <v/>
      </c>
      <c r="AH362" s="6" t="str">
        <f t="array" ref="AH362">_xlfn.IFNA((INDEX('DMR 001C TIN &amp; TP'!$A$3:$M$10005,MATCH(('Reg 85'!$X$6&amp;'Reg 85'!AH$10&amp;'Reg 85'!$B362),('DMR 001C TIN &amp; TP'!$E$3:$E$10005&amp;'DMR 001C TIN &amp; TP'!$B$3:$B$10005&amp;'DMR 001C TIN &amp; TP'!$A$3:$A$10005),0),MATCH('Reg 85'!$AG$11,'DMR 001C TIN &amp; TP'!$A$2:$M$2,0))),"")</f>
        <v/>
      </c>
      <c r="AI362" s="6" t="str">
        <f t="array" ref="AI362">_xlfn.IFNA((INDEX('DMR 001C TIN &amp; TP'!$A$3:$M$10005,MATCH(('Reg 85'!$X$6&amp;'Reg 85'!AI$10&amp;'Reg 85'!$B362),('DMR 001C TIN &amp; TP'!$E$3:$E$10005&amp;'DMR 001C TIN &amp; TP'!$B$3:$B$10005&amp;'DMR 001C TIN &amp; TP'!$A$3:$A$10005),0),MATCH('Reg 85'!$AG$11,'DMR 001C TIN &amp; TP'!$A$2:$M$2,0))),"")</f>
        <v/>
      </c>
      <c r="AJ362" s="6" t="str">
        <f t="array" ref="AJ362">_xlfn.IFNA((INDEX('DMR 001C TIN &amp; TP'!$A$3:$M$10005,MATCH(('Reg 85'!$X$6&amp;'Reg 85'!AJ$10&amp;'Reg 85'!$B362),('DMR 001C TIN &amp; TP'!$E$3:$E$10005&amp;'DMR 001C TIN &amp; TP'!$B$3:$B$10005&amp;'DMR 001C TIN &amp; TP'!$A$3:$A$10005),0),MATCH('Reg 85'!$AG$11,'DMR 001C TIN &amp; TP'!$A$2:$M$2,0))),"")</f>
        <v/>
      </c>
      <c r="AK362" s="6" t="str">
        <f t="array" ref="AK362">_xlfn.IFNA((INDEX('DMR 001C TIN &amp; TP'!$A$3:$M$10005,MATCH(('Reg 85'!$X$6&amp;'Reg 85'!AK$10&amp;'Reg 85'!$B362),('DMR 001C TIN &amp; TP'!$E$3:$E$10005&amp;'DMR 001C TIN &amp; TP'!$B$3:$B$10005&amp;'DMR 001C TIN &amp; TP'!$A$3:$A$10005),0),MATCH('Reg 85'!$AG$11,'DMR 001C TIN &amp; TP'!$A$2:$M$2,0))),"")</f>
        <v/>
      </c>
      <c r="AL362" s="6" t="str">
        <f t="array" ref="AL362">_xlfn.IFNA((INDEX('DMR 001C TIN &amp; TP'!$A$3:$M$10005,MATCH(('Reg 85'!$X$6&amp;'Reg 85'!AL$10&amp;'Reg 85'!$B362),('DMR 001C TIN &amp; TP'!$E$3:$E$10005&amp;'DMR 001C TIN &amp; TP'!$B$3:$B$10005&amp;'DMR 001C TIN &amp; TP'!$A$3:$A$10005),0),MATCH('Reg 85'!$AG$11,'DMR 001C TIN &amp; TP'!$A$2:$M$2,0))),"")</f>
        <v/>
      </c>
      <c r="AM362" s="76"/>
      <c r="AN362" s="6"/>
      <c r="AO362" s="54" t="str">
        <f t="shared" si="125"/>
        <v/>
      </c>
      <c r="AP362" s="77" t="str">
        <f t="shared" ref="AP362:AP375" si="144">IF(COUNT(IF((B333:B362&lt;=C362)*(B333:B362&gt;=D362)*(B362=EOMONTH(B362,0)),AO333:AO362,""))=0,"",COUNT(IF((B333:B362&lt;=C362)*(B333:B362&gt;=D362)*(B362=EOMONTH(B362,0)),AO333:AO362,"")))</f>
        <v/>
      </c>
      <c r="AQ362" s="47"/>
      <c r="AR362" s="6" t="str">
        <f t="array" ref="AR362">_xlfn.IFNA((INDEX('DMR 001C TIN &amp; TP'!$A$3:$M$10005,MATCH(('Reg 85'!$AQ$6&amp;'Reg 85'!$AQ$10&amp;'Reg 85'!$B362),('DMR 001C TIN &amp; TP'!$E$3:$E$10005&amp;'DMR 001C TIN &amp; TP'!$B$3:$B$10005&amp;'DMR 001C TIN &amp; TP'!$A$3:$A$10005),0),MATCH('Reg 85'!$AR$11,'DMR 001C TIN &amp; TP'!$A$2:$M$2,0))),"")</f>
        <v>0.03</v>
      </c>
      <c r="AS362" s="6">
        <f t="array" ref="AS362">_xlfn.IFNA((INDEX('DMR 001C TIN &amp; TP'!$A$3:$M$10005,MATCH(('Reg 85'!$AQ$6&amp;'Reg 85'!$AQ$10&amp;'Reg 85'!$B362),('DMR 001C TIN &amp; TP'!$E$3:$E$10005&amp;'DMR 001C TIN &amp; TP'!$B$3:$B$10005&amp;'DMR 001C TIN &amp; TP'!$A$3:$A$10005),0),MATCH('Reg 85'!$AS$11,'DMR 001C TIN &amp; TP'!$A$2:$M$2,0))),"")</f>
        <v>0.4</v>
      </c>
      <c r="AT362" s="53">
        <f t="shared" si="139"/>
        <v>0.4</v>
      </c>
      <c r="AV362" s="6" t="str">
        <f t="array" ref="AV362">_xlfn.IFNA((INDEX('DMR 001C TIN &amp; TP'!$A$3:$M$10005,MATCH(('Reg 85'!$AQ$6&amp;'Reg 85'!$AU$10&amp;'Reg 85'!$B362),('DMR 001C TIN &amp; TP'!$E$3:$E$10005&amp;'DMR 001C TIN &amp; TP'!$B$3:$B$10005&amp;'DMR 001C TIN &amp; TP'!$A$3:$A$10005),0),MATCH('Reg 85'!$AV$11,'DMR 001C TIN &amp; TP'!$A$2:$M$2,0))),"")</f>
        <v>0.03</v>
      </c>
      <c r="AW362" s="6">
        <f t="array" ref="AW362">_xlfn.IFNA((INDEX('DMR 001C TIN &amp; TP'!$A$3:$M$10005,MATCH(('Reg 85'!$AQ$6&amp;'Reg 85'!$AU$10&amp;'Reg 85'!$B362),('DMR 001C TIN &amp; TP'!$E$3:$E$10005&amp;'DMR 001C TIN &amp; TP'!$B$3:$B$10005&amp;'DMR 001C TIN &amp; TP'!$A$3:$A$10005),0),MATCH('Reg 85'!$AW$11,'DMR 001C TIN &amp; TP'!$A$2:$M$2,0))),"")</f>
        <v>3.7</v>
      </c>
      <c r="AX362" s="53">
        <f t="shared" si="140"/>
        <v>3.7</v>
      </c>
      <c r="AY362" s="55">
        <f t="shared" si="141"/>
        <v>2.5533482884747141</v>
      </c>
      <c r="AZ362" s="77" t="str">
        <f t="shared" si="124"/>
        <v/>
      </c>
      <c r="BA362" s="6" t="str">
        <f t="array" ref="BA362">_xlfn.IFNA((INDEX('DMR 001C TIN &amp; TP'!$A$3:$M$10005,MATCH(('Reg 85'!$AQ$6&amp;'Reg 85'!BA$10&amp;'Reg 85'!$B362),('DMR 001C TIN &amp; TP'!$E$3:$E$10005&amp;'DMR 001C TIN &amp; TP'!$B$3:$B$10005&amp;'DMR 001C TIN &amp; TP'!$A$3:$A$10005),0),MATCH('Reg 85'!$AG$11,'DMR 001C TIN &amp; TP'!$A$2:$M$2,0))),"")</f>
        <v/>
      </c>
      <c r="BB362" s="6" t="str">
        <f t="array" ref="BB362">_xlfn.IFNA((INDEX('DMR 001C TIN &amp; TP'!$A$3:$M$10005,MATCH(('Reg 85'!$AQ$6&amp;'Reg 85'!BB$10&amp;'Reg 85'!$B362),('DMR 001C TIN &amp; TP'!$E$3:$E$10005&amp;'DMR 001C TIN &amp; TP'!$B$3:$B$10005&amp;'DMR 001C TIN &amp; TP'!$A$3:$A$10005),0),MATCH('Reg 85'!$AG$11,'DMR 001C TIN &amp; TP'!$A$2:$M$2,0))),"")</f>
        <v/>
      </c>
      <c r="BC362" s="6" t="str">
        <f t="array" ref="BC362">_xlfn.IFNA((INDEX('DMR 001C TIN &amp; TP'!$A$3:$M$10005,MATCH(('Reg 85'!$AQ$6&amp;'Reg 85'!BC$10&amp;'Reg 85'!$B362),('DMR 001C TIN &amp; TP'!$E$3:$E$10005&amp;'DMR 001C TIN &amp; TP'!$B$3:$B$10005&amp;'DMR 001C TIN &amp; TP'!$A$3:$A$10005),0),MATCH('Reg 85'!$AG$11,'DMR 001C TIN &amp; TP'!$A$2:$M$2,0))),"")</f>
        <v/>
      </c>
      <c r="BD362" s="6" t="str">
        <f t="array" ref="BD362">_xlfn.IFNA((INDEX('DMR 001C TIN &amp; TP'!$A$3:$M$10005,MATCH(('Reg 85'!$AQ$6&amp;'Reg 85'!BD$10&amp;'Reg 85'!$B362),('DMR 001C TIN &amp; TP'!$E$3:$E$10005&amp;'DMR 001C TIN &amp; TP'!$B$3:$B$10005&amp;'DMR 001C TIN &amp; TP'!$A$3:$A$10005),0),MATCH('Reg 85'!$AG$11,'DMR 001C TIN &amp; TP'!$A$2:$M$2,0))),"")</f>
        <v/>
      </c>
      <c r="BE362" s="6" t="str">
        <f t="array" ref="BE362">_xlfn.IFNA((INDEX('DMR 001C TIN &amp; TP'!$A$3:$M$10005,MATCH(('Reg 85'!$AQ$6&amp;'Reg 85'!BE$10&amp;'Reg 85'!$B362),('DMR 001C TIN &amp; TP'!$E$3:$E$10005&amp;'DMR 001C TIN &amp; TP'!$B$3:$B$10005&amp;'DMR 001C TIN &amp; TP'!$A$3:$A$10005),0),MATCH('Reg 85'!$AG$11,'DMR 001C TIN &amp; TP'!$A$2:$M$2,0))),"")</f>
        <v/>
      </c>
      <c r="BF362" s="6" t="str">
        <f t="array" ref="BF362">_xlfn.IFNA((INDEX('DMR 001C TIN &amp; TP'!$A$3:$M$10005,MATCH(('Reg 85'!$AQ$6&amp;'Reg 85'!BF$10&amp;'Reg 85'!$B362),('DMR 001C TIN &amp; TP'!$E$3:$E$10005&amp;'DMR 001C TIN &amp; TP'!$B$3:$B$10005&amp;'DMR 001C TIN &amp; TP'!$A$3:$A$10005),0),MATCH('Reg 85'!$AG$11,'DMR 001C TIN &amp; TP'!$A$2:$M$2,0))),"")</f>
        <v/>
      </c>
    </row>
    <row r="363" spans="1:58">
      <c r="A363" s="3" t="str">
        <f t="shared" si="126"/>
        <v>Sun</v>
      </c>
      <c r="B363" s="96">
        <f t="shared" si="142"/>
        <v>43695</v>
      </c>
      <c r="C363" s="96">
        <f t="shared" si="127"/>
        <v>43708</v>
      </c>
      <c r="D363" s="96">
        <f t="shared" si="128"/>
        <v>43678</v>
      </c>
      <c r="E363" s="95">
        <f t="shared" si="129"/>
        <v>31</v>
      </c>
      <c r="F363" s="7">
        <f t="array" ref="F363">_xlfn.IFNA(INDEX('DMR Flows-Effluent'!$A$3:$F$9999,MATCH(($F$10&amp;$B363),('DMR Flows-Effluent'!$B$3:$B$9999&amp;'DMR Flows-Effluent'!$A$3:$A$9999),0),MATCH($F$8,'DMR Flows-Effluent'!$A$2:$F$2,0)),"")</f>
        <v>45.984499999999997</v>
      </c>
      <c r="G363" s="7">
        <f t="array" ref="G363">_xlfn.IFNA(INDEX('DMR Flows-Effluent'!$A$3:$F$9999,MATCH(($G$10&amp;$B363),('DMR Flows-Effluent'!$B$3:$B$9999&amp;'DMR Flows-Effluent'!$A$3:$A$9999),0),MATCH($F$8,'DMR Flows-Effluent'!$A$2:$F$2,0)),"")</f>
        <v>80.689300000000003</v>
      </c>
      <c r="H363" s="7">
        <f t="shared" si="130"/>
        <v>126.6738</v>
      </c>
      <c r="I363" s="45" t="str">
        <f t="shared" si="131"/>
        <v/>
      </c>
      <c r="J363" s="6" t="str">
        <f t="array" ref="J363">_xlfn.IFNA((INDEX('DMR 001C TIN &amp; TP'!$A$3:$M$10005,MATCH(('Reg 85'!$I$6:$Q$6&amp;'Reg 85'!$I$10:$K$10&amp;'Reg 85'!$B363),('DMR 001C TIN &amp; TP'!$E$3:$E$10005&amp;'DMR 001C TIN &amp; TP'!$B$3:$B$10005&amp;'DMR 001C TIN &amp; TP'!$A$3:$A$10005),0),MATCH('Reg 85'!$J$11,'DMR 001C TIN &amp; TP'!$A$2:$M$2,0))),"")</f>
        <v>0.15</v>
      </c>
      <c r="K363" s="6">
        <f t="array" ref="K363">_xlfn.IFNA((INDEX('DMR 001C TIN &amp; TP'!$A$3:$M$10005,MATCH(('Reg 85'!$I$6:$Q$6&amp;'Reg 85'!$I$10:$K$10&amp;'Reg 85'!$B363),('DMR 001C TIN &amp; TP'!$E$3:$E$10005&amp;'DMR 001C TIN &amp; TP'!$B$3:$B$10005&amp;'DMR 001C TIN &amp; TP'!$A$3:$A$10005),0),MATCH('Reg 85'!$K$11,'DMR 001C TIN &amp; TP'!$A$2:$M$2,0))),"")</f>
        <v>2.68</v>
      </c>
      <c r="L363" s="53">
        <f t="shared" si="143"/>
        <v>2.68</v>
      </c>
      <c r="M363" s="5" t="str">
        <f t="shared" si="132"/>
        <v/>
      </c>
      <c r="N363" s="6" t="str">
        <f t="array" ref="N363">_xlfn.IFNA((INDEX('DMR 001C TIN &amp; TP'!$A$3:$M$10005,MATCH(('Reg 85'!$I$6:$Q$6&amp;'Reg 85'!$M$10&amp;'Reg 85'!$B363),('DMR 001C TIN &amp; TP'!$E$3:$E$10005&amp;'DMR 001C TIN &amp; TP'!$B$3:$B$10005&amp;'DMR 001C TIN &amp; TP'!$A$3:$A$10005),0),MATCH('Reg 85'!$N$11,'DMR 001C TIN &amp; TP'!$A$2:$M$2,0))),"")</f>
        <v>0.15</v>
      </c>
      <c r="O363" s="6">
        <f t="array" ref="O363">_xlfn.IFNA((INDEX('DMR 001C TIN &amp; TP'!$A$3:$M$10005,MATCH(('Reg 85'!$I$6:$Q$6&amp;'Reg 85'!$M$10&amp;'Reg 85'!$B363),('DMR 001C TIN &amp; TP'!$E$3:$E$10005&amp;'DMR 001C TIN &amp; TP'!$B$3:$B$10005&amp;'DMR 001C TIN &amp; TP'!$A$3:$A$10005),0),MATCH('Reg 85'!$O$11,'DMR 001C TIN &amp; TP'!$A$2:$M$2,0))),"")</f>
        <v>1.4</v>
      </c>
      <c r="P363" s="53">
        <f t="shared" si="133"/>
        <v>1.4</v>
      </c>
      <c r="Q363" s="73">
        <f t="array" ref="Q363">IFERROR(((L363*$F363)+(P363*$G363))/($H363),"")</f>
        <v>1.8646593060285552</v>
      </c>
      <c r="R363" s="6" t="str">
        <f t="array" ref="R363">_xlfn.IFNA((INDEX('DMR 001C TIN &amp; TP'!$A$3:$M$10005,MATCH(('Reg 85'!$I$6:$Q$6&amp;'Reg 85'!R$10&amp;'Reg 85'!$B363),('DMR 001C TIN &amp; TP'!$E$3:$E$10005&amp;'DMR 001C TIN &amp; TP'!$B$3:$B$10005&amp;'DMR 001C TIN &amp; TP'!$A$3:$A$10005),0),MATCH('Reg 85'!$O$11,'DMR 001C TIN &amp; TP'!$A$2:$M$2,0))),"")</f>
        <v/>
      </c>
      <c r="S363" s="6" t="str">
        <f t="array" ref="S363">_xlfn.IFNA((INDEX('DMR 001C TIN &amp; TP'!$A$3:$M$10005,MATCH(('Reg 85'!$I$6:$Q$6&amp;'Reg 85'!S$10&amp;'Reg 85'!$B363),('DMR 001C TIN &amp; TP'!$E$3:$E$10005&amp;'DMR 001C TIN &amp; TP'!$B$3:$B$10005&amp;'DMR 001C TIN &amp; TP'!$A$3:$A$10005),0),MATCH('Reg 85'!$O$11,'DMR 001C TIN &amp; TP'!$A$2:$M$2,0))),"")</f>
        <v/>
      </c>
      <c r="T363" s="6" t="str">
        <f t="array" ref="T363">_xlfn.IFNA((INDEX('DMR 001C TIN &amp; TP'!$A$3:$M$10005,MATCH(('Reg 85'!$I$6:$Q$6&amp;'Reg 85'!T$10&amp;'Reg 85'!$B363),('DMR 001C TIN &amp; TP'!$E$3:$E$10005&amp;'DMR 001C TIN &amp; TP'!$B$3:$B$10005&amp;'DMR 001C TIN &amp; TP'!$A$3:$A$10005),0),MATCH('Reg 85'!$O$11,'DMR 001C TIN &amp; TP'!$A$2:$M$2,0))),"")</f>
        <v/>
      </c>
      <c r="U363" s="6" t="str">
        <f t="array" ref="U363">_xlfn.IFNA((INDEX('DMR 001C TIN &amp; TP'!$A$3:$M$10005,MATCH(('Reg 85'!$I$6:$Q$6&amp;'Reg 85'!U$10&amp;'Reg 85'!$B363),('DMR 001C TIN &amp; TP'!$E$3:$E$10005&amp;'DMR 001C TIN &amp; TP'!$B$3:$B$10005&amp;'DMR 001C TIN &amp; TP'!$A$3:$A$10005),0),MATCH('Reg 85'!$O$11,'DMR 001C TIN &amp; TP'!$A$2:$M$2,0))),"")</f>
        <v/>
      </c>
      <c r="V363" s="6" t="str">
        <f t="array" ref="V363">_xlfn.IFNA((INDEX('DMR 001C TIN &amp; TP'!$A$3:$M$10005,MATCH(('Reg 85'!$I$6:$Q$6&amp;'Reg 85'!V$10&amp;'Reg 85'!$B363),('DMR 001C TIN &amp; TP'!$E$3:$E$10005&amp;'DMR 001C TIN &amp; TP'!$B$3:$B$10005&amp;'DMR 001C TIN &amp; TP'!$A$3:$A$10005),0),MATCH('Reg 85'!$O$11,'DMR 001C TIN &amp; TP'!$A$2:$M$2,0))),"")</f>
        <v/>
      </c>
      <c r="W363" s="6" t="str">
        <f t="array" ref="W363">_xlfn.IFNA((INDEX('DMR 001C TIN &amp; TP'!$A$3:$M$10005,MATCH(('Reg 85'!$I$6:$Q$6&amp;'Reg 85'!W$10&amp;'Reg 85'!$B363),('DMR 001C TIN &amp; TP'!$E$3:$E$10005&amp;'DMR 001C TIN &amp; TP'!$B$3:$B$10005&amp;'DMR 001C TIN &amp; TP'!$A$3:$A$10005),0),MATCH('Reg 85'!$O$11,'DMR 001C TIN &amp; TP'!$A$2:$M$2,0))),"")</f>
        <v/>
      </c>
      <c r="X363" s="5" t="str">
        <f t="shared" si="134"/>
        <v/>
      </c>
      <c r="Y363" s="6" t="str">
        <f t="array" ref="Y363">_xlfn.IFNA((INDEX('DMR 001C TIN &amp; TP'!$A$3:$M$10005,MATCH(('Reg 85'!$X$6&amp;'Reg 85'!$X$10&amp;'Reg 85'!$B363),('DMR 001C TIN &amp; TP'!$E$3:$E$10005&amp;'DMR 001C TIN &amp; TP'!$B$3:$B$10005&amp;'DMR 001C TIN &amp; TP'!$A$3:$A$10005),0),MATCH('Reg 85'!$Y$11,'DMR 001C TIN &amp; TP'!$A$2:$M$2,0))),"")</f>
        <v>0.06</v>
      </c>
      <c r="Z363" s="6">
        <f t="array" ref="Z363">_xlfn.IFNA((INDEX('DMR 001C TIN &amp; TP'!$A$3:$M$10005,MATCH(('Reg 85'!$X$6&amp;'Reg 85'!$X$10&amp;'Reg 85'!$B363),('DMR 001C TIN &amp; TP'!$E$3:$E$10005&amp;'DMR 001C TIN &amp; TP'!$B$3:$B$10005&amp;'DMR 001C TIN &amp; TP'!$A$3:$A$10005),0),MATCH('Reg 85'!$Z$11,'DMR 001C TIN &amp; TP'!$A$2:$M$2,0))),"")</f>
        <v>4.57</v>
      </c>
      <c r="AA363" s="53">
        <f t="shared" si="135"/>
        <v>4.57</v>
      </c>
      <c r="AB363" s="5" t="str">
        <f t="shared" si="136"/>
        <v/>
      </c>
      <c r="AC363" s="6" t="str">
        <f t="array" ref="AC363">_xlfn.IFNA((INDEX('DMR 001C TIN &amp; TP'!$A$3:$M$10005,MATCH(('Reg 85'!$X$6&amp;'Reg 85'!$AB$10&amp;'Reg 85'!$B363),('DMR 001C TIN &amp; TP'!$E$3:$E$10005&amp;'DMR 001C TIN &amp; TP'!$B$3:$B$10005&amp;'DMR 001C TIN &amp; TP'!$A$3:$A$10005),0),MATCH('Reg 85'!$AC$11,'DMR 001C TIN &amp; TP'!$A$2:$M$2,0))),"")</f>
        <v>0.06</v>
      </c>
      <c r="AD363" s="6">
        <f t="array" ref="AD363">_xlfn.IFNA((INDEX('DMR 001C TIN &amp; TP'!$A$3:$M$10005,MATCH(('Reg 85'!$X$6&amp;'Reg 85'!$AB$10&amp;'Reg 85'!$B363),('DMR 001C TIN &amp; TP'!$E$3:$E$10005&amp;'DMR 001C TIN &amp; TP'!$B$3:$B$10005&amp;'DMR 001C TIN &amp; TP'!$A$3:$A$10005),0),MATCH('Reg 85'!$AD$11,'DMR 001C TIN &amp; TP'!$A$2:$M$2,0))),"")</f>
        <v>6.2</v>
      </c>
      <c r="AE363" s="53">
        <f t="shared" si="137"/>
        <v>6.2</v>
      </c>
      <c r="AF363" s="7">
        <f t="shared" si="138"/>
        <v>5.608285414979262</v>
      </c>
      <c r="AG363" s="6" t="str">
        <f t="array" ref="AG363">_xlfn.IFNA((INDEX('DMR 001C TIN &amp; TP'!$A$3:$M$10005,MATCH(('Reg 85'!$X$6&amp;'Reg 85'!AG$10&amp;'Reg 85'!$B363),('DMR 001C TIN &amp; TP'!$E$3:$E$10005&amp;'DMR 001C TIN &amp; TP'!$B$3:$B$10005&amp;'DMR 001C TIN &amp; TP'!$A$3:$A$10005),0),MATCH('Reg 85'!$AG$11,'DMR 001C TIN &amp; TP'!$A$2:$M$2,0))),"")</f>
        <v/>
      </c>
      <c r="AH363" s="6" t="str">
        <f t="array" ref="AH363">_xlfn.IFNA((INDEX('DMR 001C TIN &amp; TP'!$A$3:$M$10005,MATCH(('Reg 85'!$X$6&amp;'Reg 85'!AH$10&amp;'Reg 85'!$B363),('DMR 001C TIN &amp; TP'!$E$3:$E$10005&amp;'DMR 001C TIN &amp; TP'!$B$3:$B$10005&amp;'DMR 001C TIN &amp; TP'!$A$3:$A$10005),0),MATCH('Reg 85'!$AG$11,'DMR 001C TIN &amp; TP'!$A$2:$M$2,0))),"")</f>
        <v/>
      </c>
      <c r="AI363" s="6" t="str">
        <f t="array" ref="AI363">_xlfn.IFNA((INDEX('DMR 001C TIN &amp; TP'!$A$3:$M$10005,MATCH(('Reg 85'!$X$6&amp;'Reg 85'!AI$10&amp;'Reg 85'!$B363),('DMR 001C TIN &amp; TP'!$E$3:$E$10005&amp;'DMR 001C TIN &amp; TP'!$B$3:$B$10005&amp;'DMR 001C TIN &amp; TP'!$A$3:$A$10005),0),MATCH('Reg 85'!$AG$11,'DMR 001C TIN &amp; TP'!$A$2:$M$2,0))),"")</f>
        <v/>
      </c>
      <c r="AJ363" s="6" t="str">
        <f t="array" ref="AJ363">_xlfn.IFNA((INDEX('DMR 001C TIN &amp; TP'!$A$3:$M$10005,MATCH(('Reg 85'!$X$6&amp;'Reg 85'!AJ$10&amp;'Reg 85'!$B363),('DMR 001C TIN &amp; TP'!$E$3:$E$10005&amp;'DMR 001C TIN &amp; TP'!$B$3:$B$10005&amp;'DMR 001C TIN &amp; TP'!$A$3:$A$10005),0),MATCH('Reg 85'!$AG$11,'DMR 001C TIN &amp; TP'!$A$2:$M$2,0))),"")</f>
        <v/>
      </c>
      <c r="AK363" s="6" t="str">
        <f t="array" ref="AK363">_xlfn.IFNA((INDEX('DMR 001C TIN &amp; TP'!$A$3:$M$10005,MATCH(('Reg 85'!$X$6&amp;'Reg 85'!AK$10&amp;'Reg 85'!$B363),('DMR 001C TIN &amp; TP'!$E$3:$E$10005&amp;'DMR 001C TIN &amp; TP'!$B$3:$B$10005&amp;'DMR 001C TIN &amp; TP'!$A$3:$A$10005),0),MATCH('Reg 85'!$AG$11,'DMR 001C TIN &amp; TP'!$A$2:$M$2,0))),"")</f>
        <v/>
      </c>
      <c r="AL363" s="6" t="str">
        <f t="array" ref="AL363">_xlfn.IFNA((INDEX('DMR 001C TIN &amp; TP'!$A$3:$M$10005,MATCH(('Reg 85'!$X$6&amp;'Reg 85'!AL$10&amp;'Reg 85'!$B363),('DMR 001C TIN &amp; TP'!$E$3:$E$10005&amp;'DMR 001C TIN &amp; TP'!$B$3:$B$10005&amp;'DMR 001C TIN &amp; TP'!$A$3:$A$10005),0),MATCH('Reg 85'!$AG$11,'DMR 001C TIN &amp; TP'!$A$2:$M$2,0))),"")</f>
        <v/>
      </c>
      <c r="AM363" s="76"/>
      <c r="AN363" s="6"/>
      <c r="AO363" s="54">
        <f t="shared" si="125"/>
        <v>7.472944721007817</v>
      </c>
      <c r="AP363" s="77" t="str">
        <f t="shared" si="144"/>
        <v/>
      </c>
      <c r="AQ363" s="47"/>
      <c r="AR363" s="6" t="str">
        <f t="array" ref="AR363">_xlfn.IFNA((INDEX('DMR 001C TIN &amp; TP'!$A$3:$M$10005,MATCH(('Reg 85'!$AQ$6&amp;'Reg 85'!$AQ$10&amp;'Reg 85'!$B363),('DMR 001C TIN &amp; TP'!$E$3:$E$10005&amp;'DMR 001C TIN &amp; TP'!$B$3:$B$10005&amp;'DMR 001C TIN &amp; TP'!$A$3:$A$10005),0),MATCH('Reg 85'!$AR$11,'DMR 001C TIN &amp; TP'!$A$2:$M$2,0))),"")</f>
        <v/>
      </c>
      <c r="AS363" s="6" t="str">
        <f t="array" ref="AS363">_xlfn.IFNA((INDEX('DMR 001C TIN &amp; TP'!$A$3:$M$10005,MATCH(('Reg 85'!$AQ$6&amp;'Reg 85'!$AQ$10&amp;'Reg 85'!$B363),('DMR 001C TIN &amp; TP'!$E$3:$E$10005&amp;'DMR 001C TIN &amp; TP'!$B$3:$B$10005&amp;'DMR 001C TIN &amp; TP'!$A$3:$A$10005),0),MATCH('Reg 85'!$AS$11,'DMR 001C TIN &amp; TP'!$A$2:$M$2,0))),"")</f>
        <v/>
      </c>
      <c r="AT363" s="53" t="str">
        <f t="shared" si="139"/>
        <v/>
      </c>
      <c r="AV363" s="6" t="str">
        <f t="array" ref="AV363">_xlfn.IFNA((INDEX('DMR 001C TIN &amp; TP'!$A$3:$M$10005,MATCH(('Reg 85'!$AQ$6&amp;'Reg 85'!$AU$10&amp;'Reg 85'!$B363),('DMR 001C TIN &amp; TP'!$E$3:$E$10005&amp;'DMR 001C TIN &amp; TP'!$B$3:$B$10005&amp;'DMR 001C TIN &amp; TP'!$A$3:$A$10005),0),MATCH('Reg 85'!$AV$11,'DMR 001C TIN &amp; TP'!$A$2:$M$2,0))),"")</f>
        <v/>
      </c>
      <c r="AW363" s="6" t="str">
        <f t="array" ref="AW363">_xlfn.IFNA((INDEX('DMR 001C TIN &amp; TP'!$A$3:$M$10005,MATCH(('Reg 85'!$AQ$6&amp;'Reg 85'!$AU$10&amp;'Reg 85'!$B363),('DMR 001C TIN &amp; TP'!$E$3:$E$10005&amp;'DMR 001C TIN &amp; TP'!$B$3:$B$10005&amp;'DMR 001C TIN &amp; TP'!$A$3:$A$10005),0),MATCH('Reg 85'!$AW$11,'DMR 001C TIN &amp; TP'!$A$2:$M$2,0))),"")</f>
        <v/>
      </c>
      <c r="AX363" s="53" t="str">
        <f t="shared" si="140"/>
        <v/>
      </c>
      <c r="AY363" s="55" t="str">
        <f t="shared" si="141"/>
        <v/>
      </c>
      <c r="AZ363" s="77" t="str">
        <f t="shared" ref="AZ363:AZ375" si="145">IF(COUNT(IF((B333:B363&lt;=C363)*(B333:B363&gt;=D363)*(B363=EOMONTH(B363,0)),AY333:AY363,""))=0,"",COUNT(IF((B333:B363&lt;=C363)*(B333:B363&gt;=D363)*(B363=EOMONTH(B363,0)),AY333:AY363,"")))</f>
        <v/>
      </c>
      <c r="BA363" s="6" t="str">
        <f t="array" ref="BA363">_xlfn.IFNA((INDEX('DMR 001C TIN &amp; TP'!$A$3:$M$10005,MATCH(('Reg 85'!$AQ$6&amp;'Reg 85'!BA$10&amp;'Reg 85'!$B363),('DMR 001C TIN &amp; TP'!$E$3:$E$10005&amp;'DMR 001C TIN &amp; TP'!$B$3:$B$10005&amp;'DMR 001C TIN &amp; TP'!$A$3:$A$10005),0),MATCH('Reg 85'!$AG$11,'DMR 001C TIN &amp; TP'!$A$2:$M$2,0))),"")</f>
        <v/>
      </c>
      <c r="BB363" s="6" t="str">
        <f t="array" ref="BB363">_xlfn.IFNA((INDEX('DMR 001C TIN &amp; TP'!$A$3:$M$10005,MATCH(('Reg 85'!$AQ$6&amp;'Reg 85'!BB$10&amp;'Reg 85'!$B363),('DMR 001C TIN &amp; TP'!$E$3:$E$10005&amp;'DMR 001C TIN &amp; TP'!$B$3:$B$10005&amp;'DMR 001C TIN &amp; TP'!$A$3:$A$10005),0),MATCH('Reg 85'!$AG$11,'DMR 001C TIN &amp; TP'!$A$2:$M$2,0))),"")</f>
        <v/>
      </c>
      <c r="BC363" s="6" t="str">
        <f t="array" ref="BC363">_xlfn.IFNA((INDEX('DMR 001C TIN &amp; TP'!$A$3:$M$10005,MATCH(('Reg 85'!$AQ$6&amp;'Reg 85'!BC$10&amp;'Reg 85'!$B363),('DMR 001C TIN &amp; TP'!$E$3:$E$10005&amp;'DMR 001C TIN &amp; TP'!$B$3:$B$10005&amp;'DMR 001C TIN &amp; TP'!$A$3:$A$10005),0),MATCH('Reg 85'!$AG$11,'DMR 001C TIN &amp; TP'!$A$2:$M$2,0))),"")</f>
        <v/>
      </c>
      <c r="BD363" s="6" t="str">
        <f t="array" ref="BD363">_xlfn.IFNA((INDEX('DMR 001C TIN &amp; TP'!$A$3:$M$10005,MATCH(('Reg 85'!$AQ$6&amp;'Reg 85'!BD$10&amp;'Reg 85'!$B363),('DMR 001C TIN &amp; TP'!$E$3:$E$10005&amp;'DMR 001C TIN &amp; TP'!$B$3:$B$10005&amp;'DMR 001C TIN &amp; TP'!$A$3:$A$10005),0),MATCH('Reg 85'!$AG$11,'DMR 001C TIN &amp; TP'!$A$2:$M$2,0))),"")</f>
        <v/>
      </c>
      <c r="BE363" s="6" t="str">
        <f t="array" ref="BE363">_xlfn.IFNA((INDEX('DMR 001C TIN &amp; TP'!$A$3:$M$10005,MATCH(('Reg 85'!$AQ$6&amp;'Reg 85'!BE$10&amp;'Reg 85'!$B363),('DMR 001C TIN &amp; TP'!$E$3:$E$10005&amp;'DMR 001C TIN &amp; TP'!$B$3:$B$10005&amp;'DMR 001C TIN &amp; TP'!$A$3:$A$10005),0),MATCH('Reg 85'!$AG$11,'DMR 001C TIN &amp; TP'!$A$2:$M$2,0))),"")</f>
        <v/>
      </c>
      <c r="BF363" s="6" t="str">
        <f t="array" ref="BF363">_xlfn.IFNA((INDEX('DMR 001C TIN &amp; TP'!$A$3:$M$10005,MATCH(('Reg 85'!$AQ$6&amp;'Reg 85'!BF$10&amp;'Reg 85'!$B363),('DMR 001C TIN &amp; TP'!$E$3:$E$10005&amp;'DMR 001C TIN &amp; TP'!$B$3:$B$10005&amp;'DMR 001C TIN &amp; TP'!$A$3:$A$10005),0),MATCH('Reg 85'!$AG$11,'DMR 001C TIN &amp; TP'!$A$2:$M$2,0))),"")</f>
        <v/>
      </c>
    </row>
    <row r="364" spans="1:58">
      <c r="A364" s="3" t="str">
        <f t="shared" si="126"/>
        <v>Mon</v>
      </c>
      <c r="B364" s="96">
        <f t="shared" si="142"/>
        <v>43696</v>
      </c>
      <c r="C364" s="96">
        <f t="shared" si="127"/>
        <v>43708</v>
      </c>
      <c r="D364" s="96">
        <f t="shared" si="128"/>
        <v>43678</v>
      </c>
      <c r="E364" s="95">
        <f t="shared" si="129"/>
        <v>31</v>
      </c>
      <c r="F364" s="7">
        <f t="array" ref="F364">_xlfn.IFNA(INDEX('DMR Flows-Effluent'!$A$3:$F$9999,MATCH(($F$10&amp;$B364),('DMR Flows-Effluent'!$B$3:$B$9999&amp;'DMR Flows-Effluent'!$A$3:$A$9999),0),MATCH($F$8,'DMR Flows-Effluent'!$A$2:$F$2,0)),"")</f>
        <v>36.557499999999997</v>
      </c>
      <c r="G364" s="7">
        <f t="array" ref="G364">_xlfn.IFNA(INDEX('DMR Flows-Effluent'!$A$3:$F$9999,MATCH(($G$10&amp;$B364),('DMR Flows-Effluent'!$B$3:$B$9999&amp;'DMR Flows-Effluent'!$A$3:$A$9999),0),MATCH($F$8,'DMR Flows-Effluent'!$A$2:$F$2,0)),"")</f>
        <v>90.935699999999997</v>
      </c>
      <c r="H364" s="7">
        <f t="shared" si="130"/>
        <v>127.4932</v>
      </c>
      <c r="I364" s="45" t="str">
        <f t="shared" si="131"/>
        <v/>
      </c>
      <c r="J364" s="6" t="str">
        <f t="array" ref="J364">_xlfn.IFNA((INDEX('DMR 001C TIN &amp; TP'!$A$3:$M$10005,MATCH(('Reg 85'!$I$6:$Q$6&amp;'Reg 85'!$I$10:$K$10&amp;'Reg 85'!$B364),('DMR 001C TIN &amp; TP'!$E$3:$E$10005&amp;'DMR 001C TIN &amp; TP'!$B$3:$B$10005&amp;'DMR 001C TIN &amp; TP'!$A$3:$A$10005),0),MATCH('Reg 85'!$J$11,'DMR 001C TIN &amp; TP'!$A$2:$M$2,0))),"")</f>
        <v/>
      </c>
      <c r="K364" s="6" t="str">
        <f t="array" ref="K364">_xlfn.IFNA((INDEX('DMR 001C TIN &amp; TP'!$A$3:$M$10005,MATCH(('Reg 85'!$I$6:$Q$6&amp;'Reg 85'!$I$10:$K$10&amp;'Reg 85'!$B364),('DMR 001C TIN &amp; TP'!$E$3:$E$10005&amp;'DMR 001C TIN &amp; TP'!$B$3:$B$10005&amp;'DMR 001C TIN &amp; TP'!$A$3:$A$10005),0),MATCH('Reg 85'!$K$11,'DMR 001C TIN &amp; TP'!$A$2:$M$2,0))),"")</f>
        <v/>
      </c>
      <c r="L364" s="53" t="str">
        <f t="shared" si="143"/>
        <v/>
      </c>
      <c r="M364" s="5" t="str">
        <f t="shared" si="132"/>
        <v/>
      </c>
      <c r="N364" s="6" t="str">
        <f t="array" ref="N364">_xlfn.IFNA((INDEX('DMR 001C TIN &amp; TP'!$A$3:$M$10005,MATCH(('Reg 85'!$I$6:$Q$6&amp;'Reg 85'!$M$10&amp;'Reg 85'!$B364),('DMR 001C TIN &amp; TP'!$E$3:$E$10005&amp;'DMR 001C TIN &amp; TP'!$B$3:$B$10005&amp;'DMR 001C TIN &amp; TP'!$A$3:$A$10005),0),MATCH('Reg 85'!$N$11,'DMR 001C TIN &amp; TP'!$A$2:$M$2,0))),"")</f>
        <v/>
      </c>
      <c r="O364" s="6" t="str">
        <f t="array" ref="O364">_xlfn.IFNA((INDEX('DMR 001C TIN &amp; TP'!$A$3:$M$10005,MATCH(('Reg 85'!$I$6:$Q$6&amp;'Reg 85'!$M$10&amp;'Reg 85'!$B364),('DMR 001C TIN &amp; TP'!$E$3:$E$10005&amp;'DMR 001C TIN &amp; TP'!$B$3:$B$10005&amp;'DMR 001C TIN &amp; TP'!$A$3:$A$10005),0),MATCH('Reg 85'!$O$11,'DMR 001C TIN &amp; TP'!$A$2:$M$2,0))),"")</f>
        <v/>
      </c>
      <c r="P364" s="53" t="str">
        <f t="shared" si="133"/>
        <v/>
      </c>
      <c r="Q364" s="73" t="str">
        <f t="array" ref="Q364">IFERROR(((L364*$F364)+(P364*$G364))/($H364),"")</f>
        <v/>
      </c>
      <c r="R364" s="6" t="str">
        <f t="array" ref="R364">_xlfn.IFNA((INDEX('DMR 001C TIN &amp; TP'!$A$3:$M$10005,MATCH(('Reg 85'!$I$6:$Q$6&amp;'Reg 85'!R$10&amp;'Reg 85'!$B364),('DMR 001C TIN &amp; TP'!$E$3:$E$10005&amp;'DMR 001C TIN &amp; TP'!$B$3:$B$10005&amp;'DMR 001C TIN &amp; TP'!$A$3:$A$10005),0),MATCH('Reg 85'!$O$11,'DMR 001C TIN &amp; TP'!$A$2:$M$2,0))),"")</f>
        <v/>
      </c>
      <c r="S364" s="6" t="str">
        <f t="array" ref="S364">_xlfn.IFNA((INDEX('DMR 001C TIN &amp; TP'!$A$3:$M$10005,MATCH(('Reg 85'!$I$6:$Q$6&amp;'Reg 85'!S$10&amp;'Reg 85'!$B364),('DMR 001C TIN &amp; TP'!$E$3:$E$10005&amp;'DMR 001C TIN &amp; TP'!$B$3:$B$10005&amp;'DMR 001C TIN &amp; TP'!$A$3:$A$10005),0),MATCH('Reg 85'!$O$11,'DMR 001C TIN &amp; TP'!$A$2:$M$2,0))),"")</f>
        <v/>
      </c>
      <c r="T364" s="6" t="str">
        <f t="array" ref="T364">_xlfn.IFNA((INDEX('DMR 001C TIN &amp; TP'!$A$3:$M$10005,MATCH(('Reg 85'!$I$6:$Q$6&amp;'Reg 85'!T$10&amp;'Reg 85'!$B364),('DMR 001C TIN &amp; TP'!$E$3:$E$10005&amp;'DMR 001C TIN &amp; TP'!$B$3:$B$10005&amp;'DMR 001C TIN &amp; TP'!$A$3:$A$10005),0),MATCH('Reg 85'!$O$11,'DMR 001C TIN &amp; TP'!$A$2:$M$2,0))),"")</f>
        <v/>
      </c>
      <c r="U364" s="6" t="str">
        <f t="array" ref="U364">_xlfn.IFNA((INDEX('DMR 001C TIN &amp; TP'!$A$3:$M$10005,MATCH(('Reg 85'!$I$6:$Q$6&amp;'Reg 85'!U$10&amp;'Reg 85'!$B364),('DMR 001C TIN &amp; TP'!$E$3:$E$10005&amp;'DMR 001C TIN &amp; TP'!$B$3:$B$10005&amp;'DMR 001C TIN &amp; TP'!$A$3:$A$10005),0),MATCH('Reg 85'!$O$11,'DMR 001C TIN &amp; TP'!$A$2:$M$2,0))),"")</f>
        <v/>
      </c>
      <c r="V364" s="6" t="str">
        <f t="array" ref="V364">_xlfn.IFNA((INDEX('DMR 001C TIN &amp; TP'!$A$3:$M$10005,MATCH(('Reg 85'!$I$6:$Q$6&amp;'Reg 85'!V$10&amp;'Reg 85'!$B364),('DMR 001C TIN &amp; TP'!$E$3:$E$10005&amp;'DMR 001C TIN &amp; TP'!$B$3:$B$10005&amp;'DMR 001C TIN &amp; TP'!$A$3:$A$10005),0),MATCH('Reg 85'!$O$11,'DMR 001C TIN &amp; TP'!$A$2:$M$2,0))),"")</f>
        <v/>
      </c>
      <c r="W364" s="6" t="str">
        <f t="array" ref="W364">_xlfn.IFNA((INDEX('DMR 001C TIN &amp; TP'!$A$3:$M$10005,MATCH(('Reg 85'!$I$6:$Q$6&amp;'Reg 85'!W$10&amp;'Reg 85'!$B364),('DMR 001C TIN &amp; TP'!$E$3:$E$10005&amp;'DMR 001C TIN &amp; TP'!$B$3:$B$10005&amp;'DMR 001C TIN &amp; TP'!$A$3:$A$10005),0),MATCH('Reg 85'!$O$11,'DMR 001C TIN &amp; TP'!$A$2:$M$2,0))),"")</f>
        <v/>
      </c>
      <c r="X364" s="5" t="str">
        <f t="shared" si="134"/>
        <v/>
      </c>
      <c r="Y364" s="6" t="str">
        <f t="array" ref="Y364">_xlfn.IFNA((INDEX('DMR 001C TIN &amp; TP'!$A$3:$M$10005,MATCH(('Reg 85'!$X$6&amp;'Reg 85'!$X$10&amp;'Reg 85'!$B364),('DMR 001C TIN &amp; TP'!$E$3:$E$10005&amp;'DMR 001C TIN &amp; TP'!$B$3:$B$10005&amp;'DMR 001C TIN &amp; TP'!$A$3:$A$10005),0),MATCH('Reg 85'!$Y$11,'DMR 001C TIN &amp; TP'!$A$2:$M$2,0))),"")</f>
        <v/>
      </c>
      <c r="Z364" s="6" t="str">
        <f t="array" ref="Z364">_xlfn.IFNA((INDEX('DMR 001C TIN &amp; TP'!$A$3:$M$10005,MATCH(('Reg 85'!$X$6&amp;'Reg 85'!$X$10&amp;'Reg 85'!$B364),('DMR 001C TIN &amp; TP'!$E$3:$E$10005&amp;'DMR 001C TIN &amp; TP'!$B$3:$B$10005&amp;'DMR 001C TIN &amp; TP'!$A$3:$A$10005),0),MATCH('Reg 85'!$Z$11,'DMR 001C TIN &amp; TP'!$A$2:$M$2,0))),"")</f>
        <v/>
      </c>
      <c r="AA364" s="53" t="str">
        <f t="shared" si="135"/>
        <v/>
      </c>
      <c r="AB364" s="5" t="str">
        <f t="shared" si="136"/>
        <v/>
      </c>
      <c r="AC364" s="6" t="str">
        <f t="array" ref="AC364">_xlfn.IFNA((INDEX('DMR 001C TIN &amp; TP'!$A$3:$M$10005,MATCH(('Reg 85'!$X$6&amp;'Reg 85'!$AB$10&amp;'Reg 85'!$B364),('DMR 001C TIN &amp; TP'!$E$3:$E$10005&amp;'DMR 001C TIN &amp; TP'!$B$3:$B$10005&amp;'DMR 001C TIN &amp; TP'!$A$3:$A$10005),0),MATCH('Reg 85'!$AC$11,'DMR 001C TIN &amp; TP'!$A$2:$M$2,0))),"")</f>
        <v/>
      </c>
      <c r="AD364" s="6" t="str">
        <f t="array" ref="AD364">_xlfn.IFNA((INDEX('DMR 001C TIN &amp; TP'!$A$3:$M$10005,MATCH(('Reg 85'!$X$6&amp;'Reg 85'!$AB$10&amp;'Reg 85'!$B364),('DMR 001C TIN &amp; TP'!$E$3:$E$10005&amp;'DMR 001C TIN &amp; TP'!$B$3:$B$10005&amp;'DMR 001C TIN &amp; TP'!$A$3:$A$10005),0),MATCH('Reg 85'!$AD$11,'DMR 001C TIN &amp; TP'!$A$2:$M$2,0))),"")</f>
        <v/>
      </c>
      <c r="AE364" s="53" t="str">
        <f t="shared" si="137"/>
        <v/>
      </c>
      <c r="AF364" s="7" t="str">
        <f t="shared" si="138"/>
        <v/>
      </c>
      <c r="AG364" s="6" t="str">
        <f t="array" ref="AG364">_xlfn.IFNA((INDEX('DMR 001C TIN &amp; TP'!$A$3:$M$10005,MATCH(('Reg 85'!$X$6&amp;'Reg 85'!AG$10&amp;'Reg 85'!$B364),('DMR 001C TIN &amp; TP'!$E$3:$E$10005&amp;'DMR 001C TIN &amp; TP'!$B$3:$B$10005&amp;'DMR 001C TIN &amp; TP'!$A$3:$A$10005),0),MATCH('Reg 85'!$AG$11,'DMR 001C TIN &amp; TP'!$A$2:$M$2,0))),"")</f>
        <v/>
      </c>
      <c r="AH364" s="6" t="str">
        <f t="array" ref="AH364">_xlfn.IFNA((INDEX('DMR 001C TIN &amp; TP'!$A$3:$M$10005,MATCH(('Reg 85'!$X$6&amp;'Reg 85'!AH$10&amp;'Reg 85'!$B364),('DMR 001C TIN &amp; TP'!$E$3:$E$10005&amp;'DMR 001C TIN &amp; TP'!$B$3:$B$10005&amp;'DMR 001C TIN &amp; TP'!$A$3:$A$10005),0),MATCH('Reg 85'!$AG$11,'DMR 001C TIN &amp; TP'!$A$2:$M$2,0))),"")</f>
        <v/>
      </c>
      <c r="AI364" s="6" t="str">
        <f t="array" ref="AI364">_xlfn.IFNA((INDEX('DMR 001C TIN &amp; TP'!$A$3:$M$10005,MATCH(('Reg 85'!$X$6&amp;'Reg 85'!AI$10&amp;'Reg 85'!$B364),('DMR 001C TIN &amp; TP'!$E$3:$E$10005&amp;'DMR 001C TIN &amp; TP'!$B$3:$B$10005&amp;'DMR 001C TIN &amp; TP'!$A$3:$A$10005),0),MATCH('Reg 85'!$AG$11,'DMR 001C TIN &amp; TP'!$A$2:$M$2,0))),"")</f>
        <v/>
      </c>
      <c r="AJ364" s="6" t="str">
        <f t="array" ref="AJ364">_xlfn.IFNA((INDEX('DMR 001C TIN &amp; TP'!$A$3:$M$10005,MATCH(('Reg 85'!$X$6&amp;'Reg 85'!AJ$10&amp;'Reg 85'!$B364),('DMR 001C TIN &amp; TP'!$E$3:$E$10005&amp;'DMR 001C TIN &amp; TP'!$B$3:$B$10005&amp;'DMR 001C TIN &amp; TP'!$A$3:$A$10005),0),MATCH('Reg 85'!$AG$11,'DMR 001C TIN &amp; TP'!$A$2:$M$2,0))),"")</f>
        <v/>
      </c>
      <c r="AK364" s="6" t="str">
        <f t="array" ref="AK364">_xlfn.IFNA((INDEX('DMR 001C TIN &amp; TP'!$A$3:$M$10005,MATCH(('Reg 85'!$X$6&amp;'Reg 85'!AK$10&amp;'Reg 85'!$B364),('DMR 001C TIN &amp; TP'!$E$3:$E$10005&amp;'DMR 001C TIN &amp; TP'!$B$3:$B$10005&amp;'DMR 001C TIN &amp; TP'!$A$3:$A$10005),0),MATCH('Reg 85'!$AG$11,'DMR 001C TIN &amp; TP'!$A$2:$M$2,0))),"")</f>
        <v/>
      </c>
      <c r="AL364" s="6" t="str">
        <f t="array" ref="AL364">_xlfn.IFNA((INDEX('DMR 001C TIN &amp; TP'!$A$3:$M$10005,MATCH(('Reg 85'!$X$6&amp;'Reg 85'!AL$10&amp;'Reg 85'!$B364),('DMR 001C TIN &amp; TP'!$E$3:$E$10005&amp;'DMR 001C TIN &amp; TP'!$B$3:$B$10005&amp;'DMR 001C TIN &amp; TP'!$A$3:$A$10005),0),MATCH('Reg 85'!$AG$11,'DMR 001C TIN &amp; TP'!$A$2:$M$2,0))),"")</f>
        <v/>
      </c>
      <c r="AM364" s="76"/>
      <c r="AN364" s="6"/>
      <c r="AO364" s="54" t="str">
        <f t="shared" si="125"/>
        <v/>
      </c>
      <c r="AP364" s="77" t="str">
        <f t="shared" si="144"/>
        <v/>
      </c>
      <c r="AQ364" s="47"/>
      <c r="AR364" s="6" t="str">
        <f t="array" ref="AR364">_xlfn.IFNA((INDEX('DMR 001C TIN &amp; TP'!$A$3:$M$10005,MATCH(('Reg 85'!$AQ$6&amp;'Reg 85'!$AQ$10&amp;'Reg 85'!$B364),('DMR 001C TIN &amp; TP'!$E$3:$E$10005&amp;'DMR 001C TIN &amp; TP'!$B$3:$B$10005&amp;'DMR 001C TIN &amp; TP'!$A$3:$A$10005),0),MATCH('Reg 85'!$AR$11,'DMR 001C TIN &amp; TP'!$A$2:$M$2,0))),"")</f>
        <v/>
      </c>
      <c r="AS364" s="6" t="str">
        <f t="array" ref="AS364">_xlfn.IFNA((INDEX('DMR 001C TIN &amp; TP'!$A$3:$M$10005,MATCH(('Reg 85'!$AQ$6&amp;'Reg 85'!$AQ$10&amp;'Reg 85'!$B364),('DMR 001C TIN &amp; TP'!$E$3:$E$10005&amp;'DMR 001C TIN &amp; TP'!$B$3:$B$10005&amp;'DMR 001C TIN &amp; TP'!$A$3:$A$10005),0),MATCH('Reg 85'!$AS$11,'DMR 001C TIN &amp; TP'!$A$2:$M$2,0))),"")</f>
        <v/>
      </c>
      <c r="AT364" s="53" t="str">
        <f t="shared" si="139"/>
        <v/>
      </c>
      <c r="AV364" s="6" t="str">
        <f t="array" ref="AV364">_xlfn.IFNA((INDEX('DMR 001C TIN &amp; TP'!$A$3:$M$10005,MATCH(('Reg 85'!$AQ$6&amp;'Reg 85'!$AU$10&amp;'Reg 85'!$B364),('DMR 001C TIN &amp; TP'!$E$3:$E$10005&amp;'DMR 001C TIN &amp; TP'!$B$3:$B$10005&amp;'DMR 001C TIN &amp; TP'!$A$3:$A$10005),0),MATCH('Reg 85'!$AV$11,'DMR 001C TIN &amp; TP'!$A$2:$M$2,0))),"")</f>
        <v/>
      </c>
      <c r="AW364" s="6" t="str">
        <f t="array" ref="AW364">_xlfn.IFNA((INDEX('DMR 001C TIN &amp; TP'!$A$3:$M$10005,MATCH(('Reg 85'!$AQ$6&amp;'Reg 85'!$AU$10&amp;'Reg 85'!$B364),('DMR 001C TIN &amp; TP'!$E$3:$E$10005&amp;'DMR 001C TIN &amp; TP'!$B$3:$B$10005&amp;'DMR 001C TIN &amp; TP'!$A$3:$A$10005),0),MATCH('Reg 85'!$AW$11,'DMR 001C TIN &amp; TP'!$A$2:$M$2,0))),"")</f>
        <v/>
      </c>
      <c r="AX364" s="53" t="str">
        <f t="shared" si="140"/>
        <v/>
      </c>
      <c r="AY364" s="55" t="str">
        <f t="shared" si="141"/>
        <v/>
      </c>
      <c r="AZ364" s="77" t="str">
        <f t="shared" si="145"/>
        <v/>
      </c>
      <c r="BA364" s="6" t="str">
        <f t="array" ref="BA364">_xlfn.IFNA((INDEX('DMR 001C TIN &amp; TP'!$A$3:$M$10005,MATCH(('Reg 85'!$AQ$6&amp;'Reg 85'!BA$10&amp;'Reg 85'!$B364),('DMR 001C TIN &amp; TP'!$E$3:$E$10005&amp;'DMR 001C TIN &amp; TP'!$B$3:$B$10005&amp;'DMR 001C TIN &amp; TP'!$A$3:$A$10005),0),MATCH('Reg 85'!$AG$11,'DMR 001C TIN &amp; TP'!$A$2:$M$2,0))),"")</f>
        <v/>
      </c>
      <c r="BB364" s="6" t="str">
        <f t="array" ref="BB364">_xlfn.IFNA((INDEX('DMR 001C TIN &amp; TP'!$A$3:$M$10005,MATCH(('Reg 85'!$AQ$6&amp;'Reg 85'!BB$10&amp;'Reg 85'!$B364),('DMR 001C TIN &amp; TP'!$E$3:$E$10005&amp;'DMR 001C TIN &amp; TP'!$B$3:$B$10005&amp;'DMR 001C TIN &amp; TP'!$A$3:$A$10005),0),MATCH('Reg 85'!$AG$11,'DMR 001C TIN &amp; TP'!$A$2:$M$2,0))),"")</f>
        <v/>
      </c>
      <c r="BC364" s="6" t="str">
        <f t="array" ref="BC364">_xlfn.IFNA((INDEX('DMR 001C TIN &amp; TP'!$A$3:$M$10005,MATCH(('Reg 85'!$AQ$6&amp;'Reg 85'!BC$10&amp;'Reg 85'!$B364),('DMR 001C TIN &amp; TP'!$E$3:$E$10005&amp;'DMR 001C TIN &amp; TP'!$B$3:$B$10005&amp;'DMR 001C TIN &amp; TP'!$A$3:$A$10005),0),MATCH('Reg 85'!$AG$11,'DMR 001C TIN &amp; TP'!$A$2:$M$2,0))),"")</f>
        <v/>
      </c>
      <c r="BD364" s="6" t="str">
        <f t="array" ref="BD364">_xlfn.IFNA((INDEX('DMR 001C TIN &amp; TP'!$A$3:$M$10005,MATCH(('Reg 85'!$AQ$6&amp;'Reg 85'!BD$10&amp;'Reg 85'!$B364),('DMR 001C TIN &amp; TP'!$E$3:$E$10005&amp;'DMR 001C TIN &amp; TP'!$B$3:$B$10005&amp;'DMR 001C TIN &amp; TP'!$A$3:$A$10005),0),MATCH('Reg 85'!$AG$11,'DMR 001C TIN &amp; TP'!$A$2:$M$2,0))),"")</f>
        <v/>
      </c>
      <c r="BE364" s="6" t="str">
        <f t="array" ref="BE364">_xlfn.IFNA((INDEX('DMR 001C TIN &amp; TP'!$A$3:$M$10005,MATCH(('Reg 85'!$AQ$6&amp;'Reg 85'!BE$10&amp;'Reg 85'!$B364),('DMR 001C TIN &amp; TP'!$E$3:$E$10005&amp;'DMR 001C TIN &amp; TP'!$B$3:$B$10005&amp;'DMR 001C TIN &amp; TP'!$A$3:$A$10005),0),MATCH('Reg 85'!$AG$11,'DMR 001C TIN &amp; TP'!$A$2:$M$2,0))),"")</f>
        <v/>
      </c>
      <c r="BF364" s="6" t="str">
        <f t="array" ref="BF364">_xlfn.IFNA((INDEX('DMR 001C TIN &amp; TP'!$A$3:$M$10005,MATCH(('Reg 85'!$AQ$6&amp;'Reg 85'!BF$10&amp;'Reg 85'!$B364),('DMR 001C TIN &amp; TP'!$E$3:$E$10005&amp;'DMR 001C TIN &amp; TP'!$B$3:$B$10005&amp;'DMR 001C TIN &amp; TP'!$A$3:$A$10005),0),MATCH('Reg 85'!$AG$11,'DMR 001C TIN &amp; TP'!$A$2:$M$2,0))),"")</f>
        <v/>
      </c>
    </row>
    <row r="365" spans="1:58">
      <c r="A365" s="3" t="str">
        <f t="shared" si="126"/>
        <v>Tue</v>
      </c>
      <c r="B365" s="96">
        <f t="shared" si="142"/>
        <v>43697</v>
      </c>
      <c r="C365" s="96">
        <f t="shared" si="127"/>
        <v>43708</v>
      </c>
      <c r="D365" s="96">
        <f t="shared" si="128"/>
        <v>43678</v>
      </c>
      <c r="E365" s="95">
        <f t="shared" si="129"/>
        <v>31</v>
      </c>
      <c r="F365" s="7">
        <f t="array" ref="F365">_xlfn.IFNA(INDEX('DMR Flows-Effluent'!$A$3:$F$9999,MATCH(($F$10&amp;$B365),('DMR Flows-Effluent'!$B$3:$B$9999&amp;'DMR Flows-Effluent'!$A$3:$A$9999),0),MATCH($F$8,'DMR Flows-Effluent'!$A$2:$F$2,0)),"")</f>
        <v>34.386499999999998</v>
      </c>
      <c r="G365" s="7">
        <f t="array" ref="G365">_xlfn.IFNA(INDEX('DMR Flows-Effluent'!$A$3:$F$9999,MATCH(($G$10&amp;$B365),('DMR Flows-Effluent'!$B$3:$B$9999&amp;'DMR Flows-Effluent'!$A$3:$A$9999),0),MATCH($F$8,'DMR Flows-Effluent'!$A$2:$F$2,0)),"")</f>
        <v>85.290199999999999</v>
      </c>
      <c r="H365" s="7">
        <f t="shared" si="130"/>
        <v>119.6767</v>
      </c>
      <c r="I365" s="45" t="str">
        <f t="shared" si="131"/>
        <v/>
      </c>
      <c r="J365" s="6" t="str">
        <f t="array" ref="J365">_xlfn.IFNA((INDEX('DMR 001C TIN &amp; TP'!$A$3:$M$10005,MATCH(('Reg 85'!$I$6:$Q$6&amp;'Reg 85'!$I$10:$K$10&amp;'Reg 85'!$B365),('DMR 001C TIN &amp; TP'!$E$3:$E$10005&amp;'DMR 001C TIN &amp; TP'!$B$3:$B$10005&amp;'DMR 001C TIN &amp; TP'!$A$3:$A$10005),0),MATCH('Reg 85'!$J$11,'DMR 001C TIN &amp; TP'!$A$2:$M$2,0))),"")</f>
        <v/>
      </c>
      <c r="K365" s="6" t="str">
        <f t="array" ref="K365">_xlfn.IFNA((INDEX('DMR 001C TIN &amp; TP'!$A$3:$M$10005,MATCH(('Reg 85'!$I$6:$Q$6&amp;'Reg 85'!$I$10:$K$10&amp;'Reg 85'!$B365),('DMR 001C TIN &amp; TP'!$E$3:$E$10005&amp;'DMR 001C TIN &amp; TP'!$B$3:$B$10005&amp;'DMR 001C TIN &amp; TP'!$A$3:$A$10005),0),MATCH('Reg 85'!$K$11,'DMR 001C TIN &amp; TP'!$A$2:$M$2,0))),"")</f>
        <v/>
      </c>
      <c r="L365" s="53" t="str">
        <f t="shared" si="143"/>
        <v/>
      </c>
      <c r="M365" s="5" t="str">
        <f t="shared" si="132"/>
        <v/>
      </c>
      <c r="N365" s="6" t="str">
        <f t="array" ref="N365">_xlfn.IFNA((INDEX('DMR 001C TIN &amp; TP'!$A$3:$M$10005,MATCH(('Reg 85'!$I$6:$Q$6&amp;'Reg 85'!$M$10&amp;'Reg 85'!$B365),('DMR 001C TIN &amp; TP'!$E$3:$E$10005&amp;'DMR 001C TIN &amp; TP'!$B$3:$B$10005&amp;'DMR 001C TIN &amp; TP'!$A$3:$A$10005),0),MATCH('Reg 85'!$N$11,'DMR 001C TIN &amp; TP'!$A$2:$M$2,0))),"")</f>
        <v/>
      </c>
      <c r="O365" s="6" t="str">
        <f t="array" ref="O365">_xlfn.IFNA((INDEX('DMR 001C TIN &amp; TP'!$A$3:$M$10005,MATCH(('Reg 85'!$I$6:$Q$6&amp;'Reg 85'!$M$10&amp;'Reg 85'!$B365),('DMR 001C TIN &amp; TP'!$E$3:$E$10005&amp;'DMR 001C TIN &amp; TP'!$B$3:$B$10005&amp;'DMR 001C TIN &amp; TP'!$A$3:$A$10005),0),MATCH('Reg 85'!$O$11,'DMR 001C TIN &amp; TP'!$A$2:$M$2,0))),"")</f>
        <v/>
      </c>
      <c r="P365" s="53" t="str">
        <f t="shared" si="133"/>
        <v/>
      </c>
      <c r="Q365" s="73" t="str">
        <f t="array" ref="Q365">IFERROR(((L365*$F365)+(P365*$G365))/($H365),"")</f>
        <v/>
      </c>
      <c r="R365" s="6" t="str">
        <f t="array" ref="R365">_xlfn.IFNA((INDEX('DMR 001C TIN &amp; TP'!$A$3:$M$10005,MATCH(('Reg 85'!$I$6:$Q$6&amp;'Reg 85'!R$10&amp;'Reg 85'!$B365),('DMR 001C TIN &amp; TP'!$E$3:$E$10005&amp;'DMR 001C TIN &amp; TP'!$B$3:$B$10005&amp;'DMR 001C TIN &amp; TP'!$A$3:$A$10005),0),MATCH('Reg 85'!$O$11,'DMR 001C TIN &amp; TP'!$A$2:$M$2,0))),"")</f>
        <v/>
      </c>
      <c r="S365" s="6" t="str">
        <f t="array" ref="S365">_xlfn.IFNA((INDEX('DMR 001C TIN &amp; TP'!$A$3:$M$10005,MATCH(('Reg 85'!$I$6:$Q$6&amp;'Reg 85'!S$10&amp;'Reg 85'!$B365),('DMR 001C TIN &amp; TP'!$E$3:$E$10005&amp;'DMR 001C TIN &amp; TP'!$B$3:$B$10005&amp;'DMR 001C TIN &amp; TP'!$A$3:$A$10005),0),MATCH('Reg 85'!$O$11,'DMR 001C TIN &amp; TP'!$A$2:$M$2,0))),"")</f>
        <v/>
      </c>
      <c r="T365" s="6" t="str">
        <f t="array" ref="T365">_xlfn.IFNA((INDEX('DMR 001C TIN &amp; TP'!$A$3:$M$10005,MATCH(('Reg 85'!$I$6:$Q$6&amp;'Reg 85'!T$10&amp;'Reg 85'!$B365),('DMR 001C TIN &amp; TP'!$E$3:$E$10005&amp;'DMR 001C TIN &amp; TP'!$B$3:$B$10005&amp;'DMR 001C TIN &amp; TP'!$A$3:$A$10005),0),MATCH('Reg 85'!$O$11,'DMR 001C TIN &amp; TP'!$A$2:$M$2,0))),"")</f>
        <v/>
      </c>
      <c r="U365" s="6" t="str">
        <f t="array" ref="U365">_xlfn.IFNA((INDEX('DMR 001C TIN &amp; TP'!$A$3:$M$10005,MATCH(('Reg 85'!$I$6:$Q$6&amp;'Reg 85'!U$10&amp;'Reg 85'!$B365),('DMR 001C TIN &amp; TP'!$E$3:$E$10005&amp;'DMR 001C TIN &amp; TP'!$B$3:$B$10005&amp;'DMR 001C TIN &amp; TP'!$A$3:$A$10005),0),MATCH('Reg 85'!$O$11,'DMR 001C TIN &amp; TP'!$A$2:$M$2,0))),"")</f>
        <v/>
      </c>
      <c r="V365" s="6" t="str">
        <f t="array" ref="V365">_xlfn.IFNA((INDEX('DMR 001C TIN &amp; TP'!$A$3:$M$10005,MATCH(('Reg 85'!$I$6:$Q$6&amp;'Reg 85'!V$10&amp;'Reg 85'!$B365),('DMR 001C TIN &amp; TP'!$E$3:$E$10005&amp;'DMR 001C TIN &amp; TP'!$B$3:$B$10005&amp;'DMR 001C TIN &amp; TP'!$A$3:$A$10005),0),MATCH('Reg 85'!$O$11,'DMR 001C TIN &amp; TP'!$A$2:$M$2,0))),"")</f>
        <v/>
      </c>
      <c r="W365" s="6" t="str">
        <f t="array" ref="W365">_xlfn.IFNA((INDEX('DMR 001C TIN &amp; TP'!$A$3:$M$10005,MATCH(('Reg 85'!$I$6:$Q$6&amp;'Reg 85'!W$10&amp;'Reg 85'!$B365),('DMR 001C TIN &amp; TP'!$E$3:$E$10005&amp;'DMR 001C TIN &amp; TP'!$B$3:$B$10005&amp;'DMR 001C TIN &amp; TP'!$A$3:$A$10005),0),MATCH('Reg 85'!$O$11,'DMR 001C TIN &amp; TP'!$A$2:$M$2,0))),"")</f>
        <v/>
      </c>
      <c r="X365" s="5" t="str">
        <f t="shared" si="134"/>
        <v/>
      </c>
      <c r="Y365" s="6" t="str">
        <f t="array" ref="Y365">_xlfn.IFNA((INDEX('DMR 001C TIN &amp; TP'!$A$3:$M$10005,MATCH(('Reg 85'!$X$6&amp;'Reg 85'!$X$10&amp;'Reg 85'!$B365),('DMR 001C TIN &amp; TP'!$E$3:$E$10005&amp;'DMR 001C TIN &amp; TP'!$B$3:$B$10005&amp;'DMR 001C TIN &amp; TP'!$A$3:$A$10005),0),MATCH('Reg 85'!$Y$11,'DMR 001C TIN &amp; TP'!$A$2:$M$2,0))),"")</f>
        <v/>
      </c>
      <c r="Z365" s="6" t="str">
        <f t="array" ref="Z365">_xlfn.IFNA((INDEX('DMR 001C TIN &amp; TP'!$A$3:$M$10005,MATCH(('Reg 85'!$X$6&amp;'Reg 85'!$X$10&amp;'Reg 85'!$B365),('DMR 001C TIN &amp; TP'!$E$3:$E$10005&amp;'DMR 001C TIN &amp; TP'!$B$3:$B$10005&amp;'DMR 001C TIN &amp; TP'!$A$3:$A$10005),0),MATCH('Reg 85'!$Z$11,'DMR 001C TIN &amp; TP'!$A$2:$M$2,0))),"")</f>
        <v/>
      </c>
      <c r="AA365" s="53" t="str">
        <f t="shared" si="135"/>
        <v/>
      </c>
      <c r="AB365" s="5" t="str">
        <f t="shared" si="136"/>
        <v/>
      </c>
      <c r="AC365" s="6" t="str">
        <f t="array" ref="AC365">_xlfn.IFNA((INDEX('DMR 001C TIN &amp; TP'!$A$3:$M$10005,MATCH(('Reg 85'!$X$6&amp;'Reg 85'!$AB$10&amp;'Reg 85'!$B365),('DMR 001C TIN &amp; TP'!$E$3:$E$10005&amp;'DMR 001C TIN &amp; TP'!$B$3:$B$10005&amp;'DMR 001C TIN &amp; TP'!$A$3:$A$10005),0),MATCH('Reg 85'!$AC$11,'DMR 001C TIN &amp; TP'!$A$2:$M$2,0))),"")</f>
        <v/>
      </c>
      <c r="AD365" s="6" t="str">
        <f t="array" ref="AD365">_xlfn.IFNA((INDEX('DMR 001C TIN &amp; TP'!$A$3:$M$10005,MATCH(('Reg 85'!$X$6&amp;'Reg 85'!$AB$10&amp;'Reg 85'!$B365),('DMR 001C TIN &amp; TP'!$E$3:$E$10005&amp;'DMR 001C TIN &amp; TP'!$B$3:$B$10005&amp;'DMR 001C TIN &amp; TP'!$A$3:$A$10005),0),MATCH('Reg 85'!$AD$11,'DMR 001C TIN &amp; TP'!$A$2:$M$2,0))),"")</f>
        <v/>
      </c>
      <c r="AE365" s="53" t="str">
        <f t="shared" si="137"/>
        <v/>
      </c>
      <c r="AF365" s="7" t="str">
        <f t="shared" si="138"/>
        <v/>
      </c>
      <c r="AG365" s="6" t="str">
        <f t="array" ref="AG365">_xlfn.IFNA((INDEX('DMR 001C TIN &amp; TP'!$A$3:$M$10005,MATCH(('Reg 85'!$X$6&amp;'Reg 85'!AG$10&amp;'Reg 85'!$B365),('DMR 001C TIN &amp; TP'!$E$3:$E$10005&amp;'DMR 001C TIN &amp; TP'!$B$3:$B$10005&amp;'DMR 001C TIN &amp; TP'!$A$3:$A$10005),0),MATCH('Reg 85'!$AG$11,'DMR 001C TIN &amp; TP'!$A$2:$M$2,0))),"")</f>
        <v/>
      </c>
      <c r="AH365" s="6" t="str">
        <f t="array" ref="AH365">_xlfn.IFNA((INDEX('DMR 001C TIN &amp; TP'!$A$3:$M$10005,MATCH(('Reg 85'!$X$6&amp;'Reg 85'!AH$10&amp;'Reg 85'!$B365),('DMR 001C TIN &amp; TP'!$E$3:$E$10005&amp;'DMR 001C TIN &amp; TP'!$B$3:$B$10005&amp;'DMR 001C TIN &amp; TP'!$A$3:$A$10005),0),MATCH('Reg 85'!$AG$11,'DMR 001C TIN &amp; TP'!$A$2:$M$2,0))),"")</f>
        <v/>
      </c>
      <c r="AI365" s="6" t="str">
        <f t="array" ref="AI365">_xlfn.IFNA((INDEX('DMR 001C TIN &amp; TP'!$A$3:$M$10005,MATCH(('Reg 85'!$X$6&amp;'Reg 85'!AI$10&amp;'Reg 85'!$B365),('DMR 001C TIN &amp; TP'!$E$3:$E$10005&amp;'DMR 001C TIN &amp; TP'!$B$3:$B$10005&amp;'DMR 001C TIN &amp; TP'!$A$3:$A$10005),0),MATCH('Reg 85'!$AG$11,'DMR 001C TIN &amp; TP'!$A$2:$M$2,0))),"")</f>
        <v/>
      </c>
      <c r="AJ365" s="6" t="str">
        <f t="array" ref="AJ365">_xlfn.IFNA((INDEX('DMR 001C TIN &amp; TP'!$A$3:$M$10005,MATCH(('Reg 85'!$X$6&amp;'Reg 85'!AJ$10&amp;'Reg 85'!$B365),('DMR 001C TIN &amp; TP'!$E$3:$E$10005&amp;'DMR 001C TIN &amp; TP'!$B$3:$B$10005&amp;'DMR 001C TIN &amp; TP'!$A$3:$A$10005),0),MATCH('Reg 85'!$AG$11,'DMR 001C TIN &amp; TP'!$A$2:$M$2,0))),"")</f>
        <v/>
      </c>
      <c r="AK365" s="6" t="str">
        <f t="array" ref="AK365">_xlfn.IFNA((INDEX('DMR 001C TIN &amp; TP'!$A$3:$M$10005,MATCH(('Reg 85'!$X$6&amp;'Reg 85'!AK$10&amp;'Reg 85'!$B365),('DMR 001C TIN &amp; TP'!$E$3:$E$10005&amp;'DMR 001C TIN &amp; TP'!$B$3:$B$10005&amp;'DMR 001C TIN &amp; TP'!$A$3:$A$10005),0),MATCH('Reg 85'!$AG$11,'DMR 001C TIN &amp; TP'!$A$2:$M$2,0))),"")</f>
        <v/>
      </c>
      <c r="AL365" s="6" t="str">
        <f t="array" ref="AL365">_xlfn.IFNA((INDEX('DMR 001C TIN &amp; TP'!$A$3:$M$10005,MATCH(('Reg 85'!$X$6&amp;'Reg 85'!AL$10&amp;'Reg 85'!$B365),('DMR 001C TIN &amp; TP'!$E$3:$E$10005&amp;'DMR 001C TIN &amp; TP'!$B$3:$B$10005&amp;'DMR 001C TIN &amp; TP'!$A$3:$A$10005),0),MATCH('Reg 85'!$AG$11,'DMR 001C TIN &amp; TP'!$A$2:$M$2,0))),"")</f>
        <v/>
      </c>
      <c r="AM365" s="76"/>
      <c r="AN365" s="6"/>
      <c r="AO365" s="54" t="str">
        <f t="shared" si="125"/>
        <v/>
      </c>
      <c r="AP365" s="77" t="str">
        <f t="shared" si="144"/>
        <v/>
      </c>
      <c r="AQ365" s="47"/>
      <c r="AR365" s="6" t="str">
        <f t="array" ref="AR365">_xlfn.IFNA((INDEX('DMR 001C TIN &amp; TP'!$A$3:$M$10005,MATCH(('Reg 85'!$AQ$6&amp;'Reg 85'!$AQ$10&amp;'Reg 85'!$B365),('DMR 001C TIN &amp; TP'!$E$3:$E$10005&amp;'DMR 001C TIN &amp; TP'!$B$3:$B$10005&amp;'DMR 001C TIN &amp; TP'!$A$3:$A$10005),0),MATCH('Reg 85'!$AR$11,'DMR 001C TIN &amp; TP'!$A$2:$M$2,0))),"")</f>
        <v>0.03</v>
      </c>
      <c r="AS365" s="6">
        <f t="array" ref="AS365">_xlfn.IFNA((INDEX('DMR 001C TIN &amp; TP'!$A$3:$M$10005,MATCH(('Reg 85'!$AQ$6&amp;'Reg 85'!$AQ$10&amp;'Reg 85'!$B365),('DMR 001C TIN &amp; TP'!$E$3:$E$10005&amp;'DMR 001C TIN &amp; TP'!$B$3:$B$10005&amp;'DMR 001C TIN &amp; TP'!$A$3:$A$10005),0),MATCH('Reg 85'!$AS$11,'DMR 001C TIN &amp; TP'!$A$2:$M$2,0))),"")</f>
        <v>0.47</v>
      </c>
      <c r="AT365" s="53">
        <f t="shared" si="139"/>
        <v>0.47</v>
      </c>
      <c r="AV365" s="6" t="str">
        <f t="array" ref="AV365">_xlfn.IFNA((INDEX('DMR 001C TIN &amp; TP'!$A$3:$M$10005,MATCH(('Reg 85'!$AQ$6&amp;'Reg 85'!$AU$10&amp;'Reg 85'!$B365),('DMR 001C TIN &amp; TP'!$E$3:$E$10005&amp;'DMR 001C TIN &amp; TP'!$B$3:$B$10005&amp;'DMR 001C TIN &amp; TP'!$A$3:$A$10005),0),MATCH('Reg 85'!$AV$11,'DMR 001C TIN &amp; TP'!$A$2:$M$2,0))),"")</f>
        <v>0.03</v>
      </c>
      <c r="AW365" s="6">
        <f t="array" ref="AW365">_xlfn.IFNA((INDEX('DMR 001C TIN &amp; TP'!$A$3:$M$10005,MATCH(('Reg 85'!$AQ$6&amp;'Reg 85'!$AU$10&amp;'Reg 85'!$B365),('DMR 001C TIN &amp; TP'!$E$3:$E$10005&amp;'DMR 001C TIN &amp; TP'!$B$3:$B$10005&amp;'DMR 001C TIN &amp; TP'!$A$3:$A$10005),0),MATCH('Reg 85'!$AW$11,'DMR 001C TIN &amp; TP'!$A$2:$M$2,0))),"")</f>
        <v>1.71</v>
      </c>
      <c r="AX365" s="53">
        <f t="shared" si="140"/>
        <v>1.71</v>
      </c>
      <c r="AY365" s="55">
        <f t="shared" si="141"/>
        <v>1.3537129366033656</v>
      </c>
      <c r="AZ365" s="77" t="str">
        <f t="shared" si="145"/>
        <v/>
      </c>
      <c r="BA365" s="6" t="str">
        <f t="array" ref="BA365">_xlfn.IFNA((INDEX('DMR 001C TIN &amp; TP'!$A$3:$M$10005,MATCH(('Reg 85'!$AQ$6&amp;'Reg 85'!BA$10&amp;'Reg 85'!$B365),('DMR 001C TIN &amp; TP'!$E$3:$E$10005&amp;'DMR 001C TIN &amp; TP'!$B$3:$B$10005&amp;'DMR 001C TIN &amp; TP'!$A$3:$A$10005),0),MATCH('Reg 85'!$AG$11,'DMR 001C TIN &amp; TP'!$A$2:$M$2,0))),"")</f>
        <v/>
      </c>
      <c r="BB365" s="6" t="str">
        <f t="array" ref="BB365">_xlfn.IFNA((INDEX('DMR 001C TIN &amp; TP'!$A$3:$M$10005,MATCH(('Reg 85'!$AQ$6&amp;'Reg 85'!BB$10&amp;'Reg 85'!$B365),('DMR 001C TIN &amp; TP'!$E$3:$E$10005&amp;'DMR 001C TIN &amp; TP'!$B$3:$B$10005&amp;'DMR 001C TIN &amp; TP'!$A$3:$A$10005),0),MATCH('Reg 85'!$AG$11,'DMR 001C TIN &amp; TP'!$A$2:$M$2,0))),"")</f>
        <v/>
      </c>
      <c r="BC365" s="6" t="str">
        <f t="array" ref="BC365">_xlfn.IFNA((INDEX('DMR 001C TIN &amp; TP'!$A$3:$M$10005,MATCH(('Reg 85'!$AQ$6&amp;'Reg 85'!BC$10&amp;'Reg 85'!$B365),('DMR 001C TIN &amp; TP'!$E$3:$E$10005&amp;'DMR 001C TIN &amp; TP'!$B$3:$B$10005&amp;'DMR 001C TIN &amp; TP'!$A$3:$A$10005),0),MATCH('Reg 85'!$AG$11,'DMR 001C TIN &amp; TP'!$A$2:$M$2,0))),"")</f>
        <v/>
      </c>
      <c r="BD365" s="6" t="str">
        <f t="array" ref="BD365">_xlfn.IFNA((INDEX('DMR 001C TIN &amp; TP'!$A$3:$M$10005,MATCH(('Reg 85'!$AQ$6&amp;'Reg 85'!BD$10&amp;'Reg 85'!$B365),('DMR 001C TIN &amp; TP'!$E$3:$E$10005&amp;'DMR 001C TIN &amp; TP'!$B$3:$B$10005&amp;'DMR 001C TIN &amp; TP'!$A$3:$A$10005),0),MATCH('Reg 85'!$AG$11,'DMR 001C TIN &amp; TP'!$A$2:$M$2,0))),"")</f>
        <v/>
      </c>
      <c r="BE365" s="6" t="str">
        <f t="array" ref="BE365">_xlfn.IFNA((INDEX('DMR 001C TIN &amp; TP'!$A$3:$M$10005,MATCH(('Reg 85'!$AQ$6&amp;'Reg 85'!BE$10&amp;'Reg 85'!$B365),('DMR 001C TIN &amp; TP'!$E$3:$E$10005&amp;'DMR 001C TIN &amp; TP'!$B$3:$B$10005&amp;'DMR 001C TIN &amp; TP'!$A$3:$A$10005),0),MATCH('Reg 85'!$AG$11,'DMR 001C TIN &amp; TP'!$A$2:$M$2,0))),"")</f>
        <v/>
      </c>
      <c r="BF365" s="6" t="str">
        <f t="array" ref="BF365">_xlfn.IFNA((INDEX('DMR 001C TIN &amp; TP'!$A$3:$M$10005,MATCH(('Reg 85'!$AQ$6&amp;'Reg 85'!BF$10&amp;'Reg 85'!$B365),('DMR 001C TIN &amp; TP'!$E$3:$E$10005&amp;'DMR 001C TIN &amp; TP'!$B$3:$B$10005&amp;'DMR 001C TIN &amp; TP'!$A$3:$A$10005),0),MATCH('Reg 85'!$AG$11,'DMR 001C TIN &amp; TP'!$A$2:$M$2,0))),"")</f>
        <v/>
      </c>
    </row>
    <row r="366" spans="1:58">
      <c r="A366" s="3" t="str">
        <f t="shared" si="126"/>
        <v>Wed</v>
      </c>
      <c r="B366" s="96">
        <f t="shared" si="142"/>
        <v>43698</v>
      </c>
      <c r="C366" s="96">
        <f t="shared" si="127"/>
        <v>43708</v>
      </c>
      <c r="D366" s="96">
        <f t="shared" si="128"/>
        <v>43678</v>
      </c>
      <c r="E366" s="95">
        <f t="shared" si="129"/>
        <v>31</v>
      </c>
      <c r="F366" s="7">
        <f t="array" ref="F366">_xlfn.IFNA(INDEX('DMR Flows-Effluent'!$A$3:$F$9999,MATCH(($F$10&amp;$B366),('DMR Flows-Effluent'!$B$3:$B$9999&amp;'DMR Flows-Effluent'!$A$3:$A$9999),0),MATCH($F$8,'DMR Flows-Effluent'!$A$2:$F$2,0)),"")</f>
        <v>43.136299999999999</v>
      </c>
      <c r="G366" s="7">
        <f t="array" ref="G366">_xlfn.IFNA(INDEX('DMR Flows-Effluent'!$A$3:$F$9999,MATCH(($G$10&amp;$B366),('DMR Flows-Effluent'!$B$3:$B$9999&amp;'DMR Flows-Effluent'!$A$3:$A$9999),0),MATCH($F$8,'DMR Flows-Effluent'!$A$2:$F$2,0)),"")</f>
        <v>84.528800000000004</v>
      </c>
      <c r="H366" s="7">
        <f t="shared" si="130"/>
        <v>127.6651</v>
      </c>
      <c r="I366" s="45" t="str">
        <f t="shared" si="131"/>
        <v/>
      </c>
      <c r="J366" s="6" t="str">
        <f t="array" ref="J366">_xlfn.IFNA((INDEX('DMR 001C TIN &amp; TP'!$A$3:$M$10005,MATCH(('Reg 85'!$I$6:$Q$6&amp;'Reg 85'!$I$10:$K$10&amp;'Reg 85'!$B366),('DMR 001C TIN &amp; TP'!$E$3:$E$10005&amp;'DMR 001C TIN &amp; TP'!$B$3:$B$10005&amp;'DMR 001C TIN &amp; TP'!$A$3:$A$10005),0),MATCH('Reg 85'!$J$11,'DMR 001C TIN &amp; TP'!$A$2:$M$2,0))),"")</f>
        <v/>
      </c>
      <c r="K366" s="6" t="str">
        <f t="array" ref="K366">_xlfn.IFNA((INDEX('DMR 001C TIN &amp; TP'!$A$3:$M$10005,MATCH(('Reg 85'!$I$6:$Q$6&amp;'Reg 85'!$I$10:$K$10&amp;'Reg 85'!$B366),('DMR 001C TIN &amp; TP'!$E$3:$E$10005&amp;'DMR 001C TIN &amp; TP'!$B$3:$B$10005&amp;'DMR 001C TIN &amp; TP'!$A$3:$A$10005),0),MATCH('Reg 85'!$K$11,'DMR 001C TIN &amp; TP'!$A$2:$M$2,0))),"")</f>
        <v/>
      </c>
      <c r="L366" s="53" t="str">
        <f t="shared" si="143"/>
        <v/>
      </c>
      <c r="M366" s="5" t="str">
        <f t="shared" si="132"/>
        <v/>
      </c>
      <c r="N366" s="6" t="str">
        <f t="array" ref="N366">_xlfn.IFNA((INDEX('DMR 001C TIN &amp; TP'!$A$3:$M$10005,MATCH(('Reg 85'!$I$6:$Q$6&amp;'Reg 85'!$M$10&amp;'Reg 85'!$B366),('DMR 001C TIN &amp; TP'!$E$3:$E$10005&amp;'DMR 001C TIN &amp; TP'!$B$3:$B$10005&amp;'DMR 001C TIN &amp; TP'!$A$3:$A$10005),0),MATCH('Reg 85'!$N$11,'DMR 001C TIN &amp; TP'!$A$2:$M$2,0))),"")</f>
        <v/>
      </c>
      <c r="O366" s="6" t="str">
        <f t="array" ref="O366">_xlfn.IFNA((INDEX('DMR 001C TIN &amp; TP'!$A$3:$M$10005,MATCH(('Reg 85'!$I$6:$Q$6&amp;'Reg 85'!$M$10&amp;'Reg 85'!$B366),('DMR 001C TIN &amp; TP'!$E$3:$E$10005&amp;'DMR 001C TIN &amp; TP'!$B$3:$B$10005&amp;'DMR 001C TIN &amp; TP'!$A$3:$A$10005),0),MATCH('Reg 85'!$O$11,'DMR 001C TIN &amp; TP'!$A$2:$M$2,0))),"")</f>
        <v/>
      </c>
      <c r="P366" s="53" t="str">
        <f t="shared" si="133"/>
        <v/>
      </c>
      <c r="Q366" s="73" t="str">
        <f t="array" ref="Q366">IFERROR(((L366*$F366)+(P366*$G366))/($H366),"")</f>
        <v/>
      </c>
      <c r="R366" s="6" t="str">
        <f t="array" ref="R366">_xlfn.IFNA((INDEX('DMR 001C TIN &amp; TP'!$A$3:$M$10005,MATCH(('Reg 85'!$I$6:$Q$6&amp;'Reg 85'!R$10&amp;'Reg 85'!$B366),('DMR 001C TIN &amp; TP'!$E$3:$E$10005&amp;'DMR 001C TIN &amp; TP'!$B$3:$B$10005&amp;'DMR 001C TIN &amp; TP'!$A$3:$A$10005),0),MATCH('Reg 85'!$O$11,'DMR 001C TIN &amp; TP'!$A$2:$M$2,0))),"")</f>
        <v/>
      </c>
      <c r="S366" s="6" t="str">
        <f t="array" ref="S366">_xlfn.IFNA((INDEX('DMR 001C TIN &amp; TP'!$A$3:$M$10005,MATCH(('Reg 85'!$I$6:$Q$6&amp;'Reg 85'!S$10&amp;'Reg 85'!$B366),('DMR 001C TIN &amp; TP'!$E$3:$E$10005&amp;'DMR 001C TIN &amp; TP'!$B$3:$B$10005&amp;'DMR 001C TIN &amp; TP'!$A$3:$A$10005),0),MATCH('Reg 85'!$O$11,'DMR 001C TIN &amp; TP'!$A$2:$M$2,0))),"")</f>
        <v/>
      </c>
      <c r="T366" s="6" t="str">
        <f t="array" ref="T366">_xlfn.IFNA((INDEX('DMR 001C TIN &amp; TP'!$A$3:$M$10005,MATCH(('Reg 85'!$I$6:$Q$6&amp;'Reg 85'!T$10&amp;'Reg 85'!$B366),('DMR 001C TIN &amp; TP'!$E$3:$E$10005&amp;'DMR 001C TIN &amp; TP'!$B$3:$B$10005&amp;'DMR 001C TIN &amp; TP'!$A$3:$A$10005),0),MATCH('Reg 85'!$O$11,'DMR 001C TIN &amp; TP'!$A$2:$M$2,0))),"")</f>
        <v/>
      </c>
      <c r="U366" s="6" t="str">
        <f t="array" ref="U366">_xlfn.IFNA((INDEX('DMR 001C TIN &amp; TP'!$A$3:$M$10005,MATCH(('Reg 85'!$I$6:$Q$6&amp;'Reg 85'!U$10&amp;'Reg 85'!$B366),('DMR 001C TIN &amp; TP'!$E$3:$E$10005&amp;'DMR 001C TIN &amp; TP'!$B$3:$B$10005&amp;'DMR 001C TIN &amp; TP'!$A$3:$A$10005),0),MATCH('Reg 85'!$O$11,'DMR 001C TIN &amp; TP'!$A$2:$M$2,0))),"")</f>
        <v/>
      </c>
      <c r="V366" s="6" t="str">
        <f t="array" ref="V366">_xlfn.IFNA((INDEX('DMR 001C TIN &amp; TP'!$A$3:$M$10005,MATCH(('Reg 85'!$I$6:$Q$6&amp;'Reg 85'!V$10&amp;'Reg 85'!$B366),('DMR 001C TIN &amp; TP'!$E$3:$E$10005&amp;'DMR 001C TIN &amp; TP'!$B$3:$B$10005&amp;'DMR 001C TIN &amp; TP'!$A$3:$A$10005),0),MATCH('Reg 85'!$O$11,'DMR 001C TIN &amp; TP'!$A$2:$M$2,0))),"")</f>
        <v/>
      </c>
      <c r="W366" s="6" t="str">
        <f t="array" ref="W366">_xlfn.IFNA((INDEX('DMR 001C TIN &amp; TP'!$A$3:$M$10005,MATCH(('Reg 85'!$I$6:$Q$6&amp;'Reg 85'!W$10&amp;'Reg 85'!$B366),('DMR 001C TIN &amp; TP'!$E$3:$E$10005&amp;'DMR 001C TIN &amp; TP'!$B$3:$B$10005&amp;'DMR 001C TIN &amp; TP'!$A$3:$A$10005),0),MATCH('Reg 85'!$O$11,'DMR 001C TIN &amp; TP'!$A$2:$M$2,0))),"")</f>
        <v/>
      </c>
      <c r="X366" s="5" t="str">
        <f t="shared" si="134"/>
        <v/>
      </c>
      <c r="Y366" s="6" t="str">
        <f t="array" ref="Y366">_xlfn.IFNA((INDEX('DMR 001C TIN &amp; TP'!$A$3:$M$10005,MATCH(('Reg 85'!$X$6&amp;'Reg 85'!$X$10&amp;'Reg 85'!$B366),('DMR 001C TIN &amp; TP'!$E$3:$E$10005&amp;'DMR 001C TIN &amp; TP'!$B$3:$B$10005&amp;'DMR 001C TIN &amp; TP'!$A$3:$A$10005),0),MATCH('Reg 85'!$Y$11,'DMR 001C TIN &amp; TP'!$A$2:$M$2,0))),"")</f>
        <v/>
      </c>
      <c r="Z366" s="6" t="str">
        <f t="array" ref="Z366">_xlfn.IFNA((INDEX('DMR 001C TIN &amp; TP'!$A$3:$M$10005,MATCH(('Reg 85'!$X$6&amp;'Reg 85'!$X$10&amp;'Reg 85'!$B366),('DMR 001C TIN &amp; TP'!$E$3:$E$10005&amp;'DMR 001C TIN &amp; TP'!$B$3:$B$10005&amp;'DMR 001C TIN &amp; TP'!$A$3:$A$10005),0),MATCH('Reg 85'!$Z$11,'DMR 001C TIN &amp; TP'!$A$2:$M$2,0))),"")</f>
        <v/>
      </c>
      <c r="AA366" s="53" t="str">
        <f t="shared" si="135"/>
        <v/>
      </c>
      <c r="AB366" s="5" t="str">
        <f t="shared" si="136"/>
        <v/>
      </c>
      <c r="AC366" s="6" t="str">
        <f t="array" ref="AC366">_xlfn.IFNA((INDEX('DMR 001C TIN &amp; TP'!$A$3:$M$10005,MATCH(('Reg 85'!$X$6&amp;'Reg 85'!$AB$10&amp;'Reg 85'!$B366),('DMR 001C TIN &amp; TP'!$E$3:$E$10005&amp;'DMR 001C TIN &amp; TP'!$B$3:$B$10005&amp;'DMR 001C TIN &amp; TP'!$A$3:$A$10005),0),MATCH('Reg 85'!$AC$11,'DMR 001C TIN &amp; TP'!$A$2:$M$2,0))),"")</f>
        <v/>
      </c>
      <c r="AD366" s="6" t="str">
        <f t="array" ref="AD366">_xlfn.IFNA((INDEX('DMR 001C TIN &amp; TP'!$A$3:$M$10005,MATCH(('Reg 85'!$X$6&amp;'Reg 85'!$AB$10&amp;'Reg 85'!$B366),('DMR 001C TIN &amp; TP'!$E$3:$E$10005&amp;'DMR 001C TIN &amp; TP'!$B$3:$B$10005&amp;'DMR 001C TIN &amp; TP'!$A$3:$A$10005),0),MATCH('Reg 85'!$AD$11,'DMR 001C TIN &amp; TP'!$A$2:$M$2,0))),"")</f>
        <v/>
      </c>
      <c r="AE366" s="53" t="str">
        <f t="shared" si="137"/>
        <v/>
      </c>
      <c r="AF366" s="7" t="str">
        <f t="shared" si="138"/>
        <v/>
      </c>
      <c r="AG366" s="6" t="str">
        <f t="array" ref="AG366">_xlfn.IFNA((INDEX('DMR 001C TIN &amp; TP'!$A$3:$M$10005,MATCH(('Reg 85'!$X$6&amp;'Reg 85'!AG$10&amp;'Reg 85'!$B366),('DMR 001C TIN &amp; TP'!$E$3:$E$10005&amp;'DMR 001C TIN &amp; TP'!$B$3:$B$10005&amp;'DMR 001C TIN &amp; TP'!$A$3:$A$10005),0),MATCH('Reg 85'!$AG$11,'DMR 001C TIN &amp; TP'!$A$2:$M$2,0))),"")</f>
        <v/>
      </c>
      <c r="AH366" s="6" t="str">
        <f t="array" ref="AH366">_xlfn.IFNA((INDEX('DMR 001C TIN &amp; TP'!$A$3:$M$10005,MATCH(('Reg 85'!$X$6&amp;'Reg 85'!AH$10&amp;'Reg 85'!$B366),('DMR 001C TIN &amp; TP'!$E$3:$E$10005&amp;'DMR 001C TIN &amp; TP'!$B$3:$B$10005&amp;'DMR 001C TIN &amp; TP'!$A$3:$A$10005),0),MATCH('Reg 85'!$AG$11,'DMR 001C TIN &amp; TP'!$A$2:$M$2,0))),"")</f>
        <v/>
      </c>
      <c r="AI366" s="6" t="str">
        <f t="array" ref="AI366">_xlfn.IFNA((INDEX('DMR 001C TIN &amp; TP'!$A$3:$M$10005,MATCH(('Reg 85'!$X$6&amp;'Reg 85'!AI$10&amp;'Reg 85'!$B366),('DMR 001C TIN &amp; TP'!$E$3:$E$10005&amp;'DMR 001C TIN &amp; TP'!$B$3:$B$10005&amp;'DMR 001C TIN &amp; TP'!$A$3:$A$10005),0),MATCH('Reg 85'!$AG$11,'DMR 001C TIN &amp; TP'!$A$2:$M$2,0))),"")</f>
        <v/>
      </c>
      <c r="AJ366" s="6" t="str">
        <f t="array" ref="AJ366">_xlfn.IFNA((INDEX('DMR 001C TIN &amp; TP'!$A$3:$M$10005,MATCH(('Reg 85'!$X$6&amp;'Reg 85'!AJ$10&amp;'Reg 85'!$B366),('DMR 001C TIN &amp; TP'!$E$3:$E$10005&amp;'DMR 001C TIN &amp; TP'!$B$3:$B$10005&amp;'DMR 001C TIN &amp; TP'!$A$3:$A$10005),0),MATCH('Reg 85'!$AG$11,'DMR 001C TIN &amp; TP'!$A$2:$M$2,0))),"")</f>
        <v/>
      </c>
      <c r="AK366" s="6" t="str">
        <f t="array" ref="AK366">_xlfn.IFNA((INDEX('DMR 001C TIN &amp; TP'!$A$3:$M$10005,MATCH(('Reg 85'!$X$6&amp;'Reg 85'!AK$10&amp;'Reg 85'!$B366),('DMR 001C TIN &amp; TP'!$E$3:$E$10005&amp;'DMR 001C TIN &amp; TP'!$B$3:$B$10005&amp;'DMR 001C TIN &amp; TP'!$A$3:$A$10005),0),MATCH('Reg 85'!$AG$11,'DMR 001C TIN &amp; TP'!$A$2:$M$2,0))),"")</f>
        <v/>
      </c>
      <c r="AL366" s="6" t="str">
        <f t="array" ref="AL366">_xlfn.IFNA((INDEX('DMR 001C TIN &amp; TP'!$A$3:$M$10005,MATCH(('Reg 85'!$X$6&amp;'Reg 85'!AL$10&amp;'Reg 85'!$B366),('DMR 001C TIN &amp; TP'!$E$3:$E$10005&amp;'DMR 001C TIN &amp; TP'!$B$3:$B$10005&amp;'DMR 001C TIN &amp; TP'!$A$3:$A$10005),0),MATCH('Reg 85'!$AG$11,'DMR 001C TIN &amp; TP'!$A$2:$M$2,0))),"")</f>
        <v/>
      </c>
      <c r="AM366" s="76"/>
      <c r="AN366" s="6"/>
      <c r="AO366" s="54" t="str">
        <f t="shared" si="125"/>
        <v/>
      </c>
      <c r="AP366" s="77" t="str">
        <f t="shared" si="144"/>
        <v/>
      </c>
      <c r="AQ366" s="47"/>
      <c r="AR366" s="6" t="str">
        <f t="array" ref="AR366">_xlfn.IFNA((INDEX('DMR 001C TIN &amp; TP'!$A$3:$M$10005,MATCH(('Reg 85'!$AQ$6&amp;'Reg 85'!$AQ$10&amp;'Reg 85'!$B366),('DMR 001C TIN &amp; TP'!$E$3:$E$10005&amp;'DMR 001C TIN &amp; TP'!$B$3:$B$10005&amp;'DMR 001C TIN &amp; TP'!$A$3:$A$10005),0),MATCH('Reg 85'!$AR$11,'DMR 001C TIN &amp; TP'!$A$2:$M$2,0))),"")</f>
        <v/>
      </c>
      <c r="AS366" s="6" t="str">
        <f t="array" ref="AS366">_xlfn.IFNA((INDEX('DMR 001C TIN &amp; TP'!$A$3:$M$10005,MATCH(('Reg 85'!$AQ$6&amp;'Reg 85'!$AQ$10&amp;'Reg 85'!$B366),('DMR 001C TIN &amp; TP'!$E$3:$E$10005&amp;'DMR 001C TIN &amp; TP'!$B$3:$B$10005&amp;'DMR 001C TIN &amp; TP'!$A$3:$A$10005),0),MATCH('Reg 85'!$AS$11,'DMR 001C TIN &amp; TP'!$A$2:$M$2,0))),"")</f>
        <v/>
      </c>
      <c r="AT366" s="53" t="str">
        <f t="shared" si="139"/>
        <v/>
      </c>
      <c r="AV366" s="6" t="str">
        <f t="array" ref="AV366">_xlfn.IFNA((INDEX('DMR 001C TIN &amp; TP'!$A$3:$M$10005,MATCH(('Reg 85'!$AQ$6&amp;'Reg 85'!$AU$10&amp;'Reg 85'!$B366),('DMR 001C TIN &amp; TP'!$E$3:$E$10005&amp;'DMR 001C TIN &amp; TP'!$B$3:$B$10005&amp;'DMR 001C TIN &amp; TP'!$A$3:$A$10005),0),MATCH('Reg 85'!$AV$11,'DMR 001C TIN &amp; TP'!$A$2:$M$2,0))),"")</f>
        <v/>
      </c>
      <c r="AW366" s="6" t="str">
        <f t="array" ref="AW366">_xlfn.IFNA((INDEX('DMR 001C TIN &amp; TP'!$A$3:$M$10005,MATCH(('Reg 85'!$AQ$6&amp;'Reg 85'!$AU$10&amp;'Reg 85'!$B366),('DMR 001C TIN &amp; TP'!$E$3:$E$10005&amp;'DMR 001C TIN &amp; TP'!$B$3:$B$10005&amp;'DMR 001C TIN &amp; TP'!$A$3:$A$10005),0),MATCH('Reg 85'!$AW$11,'DMR 001C TIN &amp; TP'!$A$2:$M$2,0))),"")</f>
        <v/>
      </c>
      <c r="AX366" s="53" t="str">
        <f t="shared" si="140"/>
        <v/>
      </c>
      <c r="AY366" s="55" t="str">
        <f t="shared" si="141"/>
        <v/>
      </c>
      <c r="AZ366" s="77" t="str">
        <f t="shared" si="145"/>
        <v/>
      </c>
      <c r="BA366" s="6" t="str">
        <f t="array" ref="BA366">_xlfn.IFNA((INDEX('DMR 001C TIN &amp; TP'!$A$3:$M$10005,MATCH(('Reg 85'!$AQ$6&amp;'Reg 85'!BA$10&amp;'Reg 85'!$B366),('DMR 001C TIN &amp; TP'!$E$3:$E$10005&amp;'DMR 001C TIN &amp; TP'!$B$3:$B$10005&amp;'DMR 001C TIN &amp; TP'!$A$3:$A$10005),0),MATCH('Reg 85'!$AG$11,'DMR 001C TIN &amp; TP'!$A$2:$M$2,0))),"")</f>
        <v/>
      </c>
      <c r="BB366" s="6" t="str">
        <f t="array" ref="BB366">_xlfn.IFNA((INDEX('DMR 001C TIN &amp; TP'!$A$3:$M$10005,MATCH(('Reg 85'!$AQ$6&amp;'Reg 85'!BB$10&amp;'Reg 85'!$B366),('DMR 001C TIN &amp; TP'!$E$3:$E$10005&amp;'DMR 001C TIN &amp; TP'!$B$3:$B$10005&amp;'DMR 001C TIN &amp; TP'!$A$3:$A$10005),0),MATCH('Reg 85'!$AG$11,'DMR 001C TIN &amp; TP'!$A$2:$M$2,0))),"")</f>
        <v/>
      </c>
      <c r="BC366" s="6" t="str">
        <f t="array" ref="BC366">_xlfn.IFNA((INDEX('DMR 001C TIN &amp; TP'!$A$3:$M$10005,MATCH(('Reg 85'!$AQ$6&amp;'Reg 85'!BC$10&amp;'Reg 85'!$B366),('DMR 001C TIN &amp; TP'!$E$3:$E$10005&amp;'DMR 001C TIN &amp; TP'!$B$3:$B$10005&amp;'DMR 001C TIN &amp; TP'!$A$3:$A$10005),0),MATCH('Reg 85'!$AG$11,'DMR 001C TIN &amp; TP'!$A$2:$M$2,0))),"")</f>
        <v/>
      </c>
      <c r="BD366" s="6" t="str">
        <f t="array" ref="BD366">_xlfn.IFNA((INDEX('DMR 001C TIN &amp; TP'!$A$3:$M$10005,MATCH(('Reg 85'!$AQ$6&amp;'Reg 85'!BD$10&amp;'Reg 85'!$B366),('DMR 001C TIN &amp; TP'!$E$3:$E$10005&amp;'DMR 001C TIN &amp; TP'!$B$3:$B$10005&amp;'DMR 001C TIN &amp; TP'!$A$3:$A$10005),0),MATCH('Reg 85'!$AG$11,'DMR 001C TIN &amp; TP'!$A$2:$M$2,0))),"")</f>
        <v/>
      </c>
      <c r="BE366" s="6" t="str">
        <f t="array" ref="BE366">_xlfn.IFNA((INDEX('DMR 001C TIN &amp; TP'!$A$3:$M$10005,MATCH(('Reg 85'!$AQ$6&amp;'Reg 85'!BE$10&amp;'Reg 85'!$B366),('DMR 001C TIN &amp; TP'!$E$3:$E$10005&amp;'DMR 001C TIN &amp; TP'!$B$3:$B$10005&amp;'DMR 001C TIN &amp; TP'!$A$3:$A$10005),0),MATCH('Reg 85'!$AG$11,'DMR 001C TIN &amp; TP'!$A$2:$M$2,0))),"")</f>
        <v/>
      </c>
      <c r="BF366" s="6" t="str">
        <f t="array" ref="BF366">_xlfn.IFNA((INDEX('DMR 001C TIN &amp; TP'!$A$3:$M$10005,MATCH(('Reg 85'!$AQ$6&amp;'Reg 85'!BF$10&amp;'Reg 85'!$B366),('DMR 001C TIN &amp; TP'!$E$3:$E$10005&amp;'DMR 001C TIN &amp; TP'!$B$3:$B$10005&amp;'DMR 001C TIN &amp; TP'!$A$3:$A$10005),0),MATCH('Reg 85'!$AG$11,'DMR 001C TIN &amp; TP'!$A$2:$M$2,0))),"")</f>
        <v/>
      </c>
    </row>
    <row r="367" spans="1:58">
      <c r="A367" s="3" t="str">
        <f t="shared" si="126"/>
        <v>Thu</v>
      </c>
      <c r="B367" s="96">
        <f t="shared" si="142"/>
        <v>43699</v>
      </c>
      <c r="C367" s="96">
        <f t="shared" si="127"/>
        <v>43708</v>
      </c>
      <c r="D367" s="96">
        <f t="shared" si="128"/>
        <v>43678</v>
      </c>
      <c r="E367" s="95">
        <f t="shared" si="129"/>
        <v>31</v>
      </c>
      <c r="F367" s="7">
        <f t="array" ref="F367">_xlfn.IFNA(INDEX('DMR Flows-Effluent'!$A$3:$F$9999,MATCH(($F$10&amp;$B367),('DMR Flows-Effluent'!$B$3:$B$9999&amp;'DMR Flows-Effluent'!$A$3:$A$9999),0),MATCH($F$8,'DMR Flows-Effluent'!$A$2:$F$2,0)),"")</f>
        <v>45.042499999999997</v>
      </c>
      <c r="G367" s="7">
        <f t="array" ref="G367">_xlfn.IFNA(INDEX('DMR Flows-Effluent'!$A$3:$F$9999,MATCH(($G$10&amp;$B367),('DMR Flows-Effluent'!$B$3:$B$9999&amp;'DMR Flows-Effluent'!$A$3:$A$9999),0),MATCH($F$8,'DMR Flows-Effluent'!$A$2:$F$2,0)),"")</f>
        <v>79.455399999999997</v>
      </c>
      <c r="H367" s="7">
        <f t="shared" si="130"/>
        <v>124.49789999999999</v>
      </c>
      <c r="I367" s="45" t="str">
        <f t="shared" si="131"/>
        <v/>
      </c>
      <c r="J367" s="6" t="str">
        <f t="array" ref="J367">_xlfn.IFNA((INDEX('DMR 001C TIN &amp; TP'!$A$3:$M$10005,MATCH(('Reg 85'!$I$6:$Q$6&amp;'Reg 85'!$I$10:$K$10&amp;'Reg 85'!$B367),('DMR 001C TIN &amp; TP'!$E$3:$E$10005&amp;'DMR 001C TIN &amp; TP'!$B$3:$B$10005&amp;'DMR 001C TIN &amp; TP'!$A$3:$A$10005),0),MATCH('Reg 85'!$J$11,'DMR 001C TIN &amp; TP'!$A$2:$M$2,0))),"")</f>
        <v>0.15</v>
      </c>
      <c r="K367" s="6">
        <f t="array" ref="K367">_xlfn.IFNA((INDEX('DMR 001C TIN &amp; TP'!$A$3:$M$10005,MATCH(('Reg 85'!$I$6:$Q$6&amp;'Reg 85'!$I$10:$K$10&amp;'Reg 85'!$B367),('DMR 001C TIN &amp; TP'!$E$3:$E$10005&amp;'DMR 001C TIN &amp; TP'!$B$3:$B$10005&amp;'DMR 001C TIN &amp; TP'!$A$3:$A$10005),0),MATCH('Reg 85'!$K$11,'DMR 001C TIN &amp; TP'!$A$2:$M$2,0))),"")</f>
        <v>1.88</v>
      </c>
      <c r="L367" s="53">
        <f t="shared" si="143"/>
        <v>1.88</v>
      </c>
      <c r="M367" s="5" t="str">
        <f t="shared" si="132"/>
        <v/>
      </c>
      <c r="N367" s="6" t="str">
        <f t="array" ref="N367">_xlfn.IFNA((INDEX('DMR 001C TIN &amp; TP'!$A$3:$M$10005,MATCH(('Reg 85'!$I$6:$Q$6&amp;'Reg 85'!$M$10&amp;'Reg 85'!$B367),('DMR 001C TIN &amp; TP'!$E$3:$E$10005&amp;'DMR 001C TIN &amp; TP'!$B$3:$B$10005&amp;'DMR 001C TIN &amp; TP'!$A$3:$A$10005),0),MATCH('Reg 85'!$N$11,'DMR 001C TIN &amp; TP'!$A$2:$M$2,0))),"")</f>
        <v>0.15</v>
      </c>
      <c r="O367" s="6">
        <f t="array" ref="O367">_xlfn.IFNA((INDEX('DMR 001C TIN &amp; TP'!$A$3:$M$10005,MATCH(('Reg 85'!$I$6:$Q$6&amp;'Reg 85'!$M$10&amp;'Reg 85'!$B367),('DMR 001C TIN &amp; TP'!$E$3:$E$10005&amp;'DMR 001C TIN &amp; TP'!$B$3:$B$10005&amp;'DMR 001C TIN &amp; TP'!$A$3:$A$10005),0),MATCH('Reg 85'!$O$11,'DMR 001C TIN &amp; TP'!$A$2:$M$2,0))),"")</f>
        <v>0.19</v>
      </c>
      <c r="P367" s="53">
        <f t="shared" si="133"/>
        <v>0.19</v>
      </c>
      <c r="Q367" s="73">
        <f t="array" ref="Q367">IFERROR(((L367*$F367)+(P367*$G367))/($H367),"")</f>
        <v>0.80143059441163267</v>
      </c>
      <c r="R367" s="6" t="str">
        <f t="array" ref="R367">_xlfn.IFNA((INDEX('DMR 001C TIN &amp; TP'!$A$3:$M$10005,MATCH(('Reg 85'!$I$6:$Q$6&amp;'Reg 85'!R$10&amp;'Reg 85'!$B367),('DMR 001C TIN &amp; TP'!$E$3:$E$10005&amp;'DMR 001C TIN &amp; TP'!$B$3:$B$10005&amp;'DMR 001C TIN &amp; TP'!$A$3:$A$10005),0),MATCH('Reg 85'!$O$11,'DMR 001C TIN &amp; TP'!$A$2:$M$2,0))),"")</f>
        <v/>
      </c>
      <c r="S367" s="6" t="str">
        <f t="array" ref="S367">_xlfn.IFNA((INDEX('DMR 001C TIN &amp; TP'!$A$3:$M$10005,MATCH(('Reg 85'!$I$6:$Q$6&amp;'Reg 85'!S$10&amp;'Reg 85'!$B367),('DMR 001C TIN &amp; TP'!$E$3:$E$10005&amp;'DMR 001C TIN &amp; TP'!$B$3:$B$10005&amp;'DMR 001C TIN &amp; TP'!$A$3:$A$10005),0),MATCH('Reg 85'!$O$11,'DMR 001C TIN &amp; TP'!$A$2:$M$2,0))),"")</f>
        <v/>
      </c>
      <c r="T367" s="6" t="str">
        <f t="array" ref="T367">_xlfn.IFNA((INDEX('DMR 001C TIN &amp; TP'!$A$3:$M$10005,MATCH(('Reg 85'!$I$6:$Q$6&amp;'Reg 85'!T$10&amp;'Reg 85'!$B367),('DMR 001C TIN &amp; TP'!$E$3:$E$10005&amp;'DMR 001C TIN &amp; TP'!$B$3:$B$10005&amp;'DMR 001C TIN &amp; TP'!$A$3:$A$10005),0),MATCH('Reg 85'!$O$11,'DMR 001C TIN &amp; TP'!$A$2:$M$2,0))),"")</f>
        <v/>
      </c>
      <c r="U367" s="6" t="str">
        <f t="array" ref="U367">_xlfn.IFNA((INDEX('DMR 001C TIN &amp; TP'!$A$3:$M$10005,MATCH(('Reg 85'!$I$6:$Q$6&amp;'Reg 85'!U$10&amp;'Reg 85'!$B367),('DMR 001C TIN &amp; TP'!$E$3:$E$10005&amp;'DMR 001C TIN &amp; TP'!$B$3:$B$10005&amp;'DMR 001C TIN &amp; TP'!$A$3:$A$10005),0),MATCH('Reg 85'!$O$11,'DMR 001C TIN &amp; TP'!$A$2:$M$2,0))),"")</f>
        <v/>
      </c>
      <c r="V367" s="6" t="str">
        <f t="array" ref="V367">_xlfn.IFNA((INDEX('DMR 001C TIN &amp; TP'!$A$3:$M$10005,MATCH(('Reg 85'!$I$6:$Q$6&amp;'Reg 85'!V$10&amp;'Reg 85'!$B367),('DMR 001C TIN &amp; TP'!$E$3:$E$10005&amp;'DMR 001C TIN &amp; TP'!$B$3:$B$10005&amp;'DMR 001C TIN &amp; TP'!$A$3:$A$10005),0),MATCH('Reg 85'!$O$11,'DMR 001C TIN &amp; TP'!$A$2:$M$2,0))),"")</f>
        <v/>
      </c>
      <c r="W367" s="6" t="str">
        <f t="array" ref="W367">_xlfn.IFNA((INDEX('DMR 001C TIN &amp; TP'!$A$3:$M$10005,MATCH(('Reg 85'!$I$6:$Q$6&amp;'Reg 85'!W$10&amp;'Reg 85'!$B367),('DMR 001C TIN &amp; TP'!$E$3:$E$10005&amp;'DMR 001C TIN &amp; TP'!$B$3:$B$10005&amp;'DMR 001C TIN &amp; TP'!$A$3:$A$10005),0),MATCH('Reg 85'!$O$11,'DMR 001C TIN &amp; TP'!$A$2:$M$2,0))),"")</f>
        <v/>
      </c>
      <c r="X367" s="5" t="str">
        <f t="shared" si="134"/>
        <v/>
      </c>
      <c r="Y367" s="6" t="str">
        <f t="array" ref="Y367">_xlfn.IFNA((INDEX('DMR 001C TIN &amp; TP'!$A$3:$M$10005,MATCH(('Reg 85'!$X$6&amp;'Reg 85'!$X$10&amp;'Reg 85'!$B367),('DMR 001C TIN &amp; TP'!$E$3:$E$10005&amp;'DMR 001C TIN &amp; TP'!$B$3:$B$10005&amp;'DMR 001C TIN &amp; TP'!$A$3:$A$10005),0),MATCH('Reg 85'!$Y$11,'DMR 001C TIN &amp; TP'!$A$2:$M$2,0))),"")</f>
        <v>0.06</v>
      </c>
      <c r="Z367" s="6">
        <f t="array" ref="Z367">_xlfn.IFNA((INDEX('DMR 001C TIN &amp; TP'!$A$3:$M$10005,MATCH(('Reg 85'!$X$6&amp;'Reg 85'!$X$10&amp;'Reg 85'!$B367),('DMR 001C TIN &amp; TP'!$E$3:$E$10005&amp;'DMR 001C TIN &amp; TP'!$B$3:$B$10005&amp;'DMR 001C TIN &amp; TP'!$A$3:$A$10005),0),MATCH('Reg 85'!$Z$11,'DMR 001C TIN &amp; TP'!$A$2:$M$2,0))),"")</f>
        <v>4.95</v>
      </c>
      <c r="AA367" s="53">
        <f t="shared" si="135"/>
        <v>4.95</v>
      </c>
      <c r="AB367" s="5" t="str">
        <f t="shared" si="136"/>
        <v/>
      </c>
      <c r="AC367" s="6" t="str">
        <f t="array" ref="AC367">_xlfn.IFNA((INDEX('DMR 001C TIN &amp; TP'!$A$3:$M$10005,MATCH(('Reg 85'!$X$6&amp;'Reg 85'!$AB$10&amp;'Reg 85'!$B367),('DMR 001C TIN &amp; TP'!$E$3:$E$10005&amp;'DMR 001C TIN &amp; TP'!$B$3:$B$10005&amp;'DMR 001C TIN &amp; TP'!$A$3:$A$10005),0),MATCH('Reg 85'!$AC$11,'DMR 001C TIN &amp; TP'!$A$2:$M$2,0))),"")</f>
        <v>0.06</v>
      </c>
      <c r="AD367" s="6">
        <f t="array" ref="AD367">_xlfn.IFNA((INDEX('DMR 001C TIN &amp; TP'!$A$3:$M$10005,MATCH(('Reg 85'!$X$6&amp;'Reg 85'!$AB$10&amp;'Reg 85'!$B367),('DMR 001C TIN &amp; TP'!$E$3:$E$10005&amp;'DMR 001C TIN &amp; TP'!$B$3:$B$10005&amp;'DMR 001C TIN &amp; TP'!$A$3:$A$10005),0),MATCH('Reg 85'!$AD$11,'DMR 001C TIN &amp; TP'!$A$2:$M$2,0))),"")</f>
        <v>6</v>
      </c>
      <c r="AE367" s="53">
        <f t="shared" si="137"/>
        <v>6</v>
      </c>
      <c r="AF367" s="7">
        <f t="shared" si="138"/>
        <v>5.6201170863123</v>
      </c>
      <c r="AG367" s="6" t="str">
        <f t="array" ref="AG367">_xlfn.IFNA((INDEX('DMR 001C TIN &amp; TP'!$A$3:$M$10005,MATCH(('Reg 85'!$X$6&amp;'Reg 85'!AG$10&amp;'Reg 85'!$B367),('DMR 001C TIN &amp; TP'!$E$3:$E$10005&amp;'DMR 001C TIN &amp; TP'!$B$3:$B$10005&amp;'DMR 001C TIN &amp; TP'!$A$3:$A$10005),0),MATCH('Reg 85'!$AG$11,'DMR 001C TIN &amp; TP'!$A$2:$M$2,0))),"")</f>
        <v/>
      </c>
      <c r="AH367" s="6" t="str">
        <f t="array" ref="AH367">_xlfn.IFNA((INDEX('DMR 001C TIN &amp; TP'!$A$3:$M$10005,MATCH(('Reg 85'!$X$6&amp;'Reg 85'!AH$10&amp;'Reg 85'!$B367),('DMR 001C TIN &amp; TP'!$E$3:$E$10005&amp;'DMR 001C TIN &amp; TP'!$B$3:$B$10005&amp;'DMR 001C TIN &amp; TP'!$A$3:$A$10005),0),MATCH('Reg 85'!$AG$11,'DMR 001C TIN &amp; TP'!$A$2:$M$2,0))),"")</f>
        <v/>
      </c>
      <c r="AI367" s="6" t="str">
        <f t="array" ref="AI367">_xlfn.IFNA((INDEX('DMR 001C TIN &amp; TP'!$A$3:$M$10005,MATCH(('Reg 85'!$X$6&amp;'Reg 85'!AI$10&amp;'Reg 85'!$B367),('DMR 001C TIN &amp; TP'!$E$3:$E$10005&amp;'DMR 001C TIN &amp; TP'!$B$3:$B$10005&amp;'DMR 001C TIN &amp; TP'!$A$3:$A$10005),0),MATCH('Reg 85'!$AG$11,'DMR 001C TIN &amp; TP'!$A$2:$M$2,0))),"")</f>
        <v/>
      </c>
      <c r="AJ367" s="6" t="str">
        <f t="array" ref="AJ367">_xlfn.IFNA((INDEX('DMR 001C TIN &amp; TP'!$A$3:$M$10005,MATCH(('Reg 85'!$X$6&amp;'Reg 85'!AJ$10&amp;'Reg 85'!$B367),('DMR 001C TIN &amp; TP'!$E$3:$E$10005&amp;'DMR 001C TIN &amp; TP'!$B$3:$B$10005&amp;'DMR 001C TIN &amp; TP'!$A$3:$A$10005),0),MATCH('Reg 85'!$AG$11,'DMR 001C TIN &amp; TP'!$A$2:$M$2,0))),"")</f>
        <v/>
      </c>
      <c r="AK367" s="6" t="str">
        <f t="array" ref="AK367">_xlfn.IFNA((INDEX('DMR 001C TIN &amp; TP'!$A$3:$M$10005,MATCH(('Reg 85'!$X$6&amp;'Reg 85'!AK$10&amp;'Reg 85'!$B367),('DMR 001C TIN &amp; TP'!$E$3:$E$10005&amp;'DMR 001C TIN &amp; TP'!$B$3:$B$10005&amp;'DMR 001C TIN &amp; TP'!$A$3:$A$10005),0),MATCH('Reg 85'!$AG$11,'DMR 001C TIN &amp; TP'!$A$2:$M$2,0))),"")</f>
        <v/>
      </c>
      <c r="AL367" s="6" t="str">
        <f t="array" ref="AL367">_xlfn.IFNA((INDEX('DMR 001C TIN &amp; TP'!$A$3:$M$10005,MATCH(('Reg 85'!$X$6&amp;'Reg 85'!AL$10&amp;'Reg 85'!$B367),('DMR 001C TIN &amp; TP'!$E$3:$E$10005&amp;'DMR 001C TIN &amp; TP'!$B$3:$B$10005&amp;'DMR 001C TIN &amp; TP'!$A$3:$A$10005),0),MATCH('Reg 85'!$AG$11,'DMR 001C TIN &amp; TP'!$A$2:$M$2,0))),"")</f>
        <v/>
      </c>
      <c r="AM367" s="76"/>
      <c r="AN367" s="6"/>
      <c r="AO367" s="54">
        <f t="shared" si="125"/>
        <v>6.4215476807239327</v>
      </c>
      <c r="AP367" s="77" t="str">
        <f t="shared" si="144"/>
        <v/>
      </c>
      <c r="AQ367" s="47"/>
      <c r="AR367" s="6" t="str">
        <f t="array" ref="AR367">_xlfn.IFNA((INDEX('DMR 001C TIN &amp; TP'!$A$3:$M$10005,MATCH(('Reg 85'!$AQ$6&amp;'Reg 85'!$AQ$10&amp;'Reg 85'!$B367),('DMR 001C TIN &amp; TP'!$E$3:$E$10005&amp;'DMR 001C TIN &amp; TP'!$B$3:$B$10005&amp;'DMR 001C TIN &amp; TP'!$A$3:$A$10005),0),MATCH('Reg 85'!$AR$11,'DMR 001C TIN &amp; TP'!$A$2:$M$2,0))),"")</f>
        <v/>
      </c>
      <c r="AS367" s="6" t="str">
        <f t="array" ref="AS367">_xlfn.IFNA((INDEX('DMR 001C TIN &amp; TP'!$A$3:$M$10005,MATCH(('Reg 85'!$AQ$6&amp;'Reg 85'!$AQ$10&amp;'Reg 85'!$B367),('DMR 001C TIN &amp; TP'!$E$3:$E$10005&amp;'DMR 001C TIN &amp; TP'!$B$3:$B$10005&amp;'DMR 001C TIN &amp; TP'!$A$3:$A$10005),0),MATCH('Reg 85'!$AS$11,'DMR 001C TIN &amp; TP'!$A$2:$M$2,0))),"")</f>
        <v/>
      </c>
      <c r="AT367" s="53" t="str">
        <f t="shared" si="139"/>
        <v/>
      </c>
      <c r="AV367" s="6" t="str">
        <f t="array" ref="AV367">_xlfn.IFNA((INDEX('DMR 001C TIN &amp; TP'!$A$3:$M$10005,MATCH(('Reg 85'!$AQ$6&amp;'Reg 85'!$AU$10&amp;'Reg 85'!$B367),('DMR 001C TIN &amp; TP'!$E$3:$E$10005&amp;'DMR 001C TIN &amp; TP'!$B$3:$B$10005&amp;'DMR 001C TIN &amp; TP'!$A$3:$A$10005),0),MATCH('Reg 85'!$AV$11,'DMR 001C TIN &amp; TP'!$A$2:$M$2,0))),"")</f>
        <v/>
      </c>
      <c r="AW367" s="6" t="str">
        <f t="array" ref="AW367">_xlfn.IFNA((INDEX('DMR 001C TIN &amp; TP'!$A$3:$M$10005,MATCH(('Reg 85'!$AQ$6&amp;'Reg 85'!$AU$10&amp;'Reg 85'!$B367),('DMR 001C TIN &amp; TP'!$E$3:$E$10005&amp;'DMR 001C TIN &amp; TP'!$B$3:$B$10005&amp;'DMR 001C TIN &amp; TP'!$A$3:$A$10005),0),MATCH('Reg 85'!$AW$11,'DMR 001C TIN &amp; TP'!$A$2:$M$2,0))),"")</f>
        <v/>
      </c>
      <c r="AX367" s="53" t="str">
        <f t="shared" si="140"/>
        <v/>
      </c>
      <c r="AY367" s="55" t="str">
        <f t="shared" si="141"/>
        <v/>
      </c>
      <c r="AZ367" s="77" t="str">
        <f t="shared" si="145"/>
        <v/>
      </c>
      <c r="BA367" s="6" t="str">
        <f t="array" ref="BA367">_xlfn.IFNA((INDEX('DMR 001C TIN &amp; TP'!$A$3:$M$10005,MATCH(('Reg 85'!$AQ$6&amp;'Reg 85'!BA$10&amp;'Reg 85'!$B367),('DMR 001C TIN &amp; TP'!$E$3:$E$10005&amp;'DMR 001C TIN &amp; TP'!$B$3:$B$10005&amp;'DMR 001C TIN &amp; TP'!$A$3:$A$10005),0),MATCH('Reg 85'!$AG$11,'DMR 001C TIN &amp; TP'!$A$2:$M$2,0))),"")</f>
        <v/>
      </c>
      <c r="BB367" s="6" t="str">
        <f t="array" ref="BB367">_xlfn.IFNA((INDEX('DMR 001C TIN &amp; TP'!$A$3:$M$10005,MATCH(('Reg 85'!$AQ$6&amp;'Reg 85'!BB$10&amp;'Reg 85'!$B367),('DMR 001C TIN &amp; TP'!$E$3:$E$10005&amp;'DMR 001C TIN &amp; TP'!$B$3:$B$10005&amp;'DMR 001C TIN &amp; TP'!$A$3:$A$10005),0),MATCH('Reg 85'!$AG$11,'DMR 001C TIN &amp; TP'!$A$2:$M$2,0))),"")</f>
        <v/>
      </c>
      <c r="BC367" s="6" t="str">
        <f t="array" ref="BC367">_xlfn.IFNA((INDEX('DMR 001C TIN &amp; TP'!$A$3:$M$10005,MATCH(('Reg 85'!$AQ$6&amp;'Reg 85'!BC$10&amp;'Reg 85'!$B367),('DMR 001C TIN &amp; TP'!$E$3:$E$10005&amp;'DMR 001C TIN &amp; TP'!$B$3:$B$10005&amp;'DMR 001C TIN &amp; TP'!$A$3:$A$10005),0),MATCH('Reg 85'!$AG$11,'DMR 001C TIN &amp; TP'!$A$2:$M$2,0))),"")</f>
        <v/>
      </c>
      <c r="BD367" s="6" t="str">
        <f t="array" ref="BD367">_xlfn.IFNA((INDEX('DMR 001C TIN &amp; TP'!$A$3:$M$10005,MATCH(('Reg 85'!$AQ$6&amp;'Reg 85'!BD$10&amp;'Reg 85'!$B367),('DMR 001C TIN &amp; TP'!$E$3:$E$10005&amp;'DMR 001C TIN &amp; TP'!$B$3:$B$10005&amp;'DMR 001C TIN &amp; TP'!$A$3:$A$10005),0),MATCH('Reg 85'!$AG$11,'DMR 001C TIN &amp; TP'!$A$2:$M$2,0))),"")</f>
        <v/>
      </c>
      <c r="BE367" s="6" t="str">
        <f t="array" ref="BE367">_xlfn.IFNA((INDEX('DMR 001C TIN &amp; TP'!$A$3:$M$10005,MATCH(('Reg 85'!$AQ$6&amp;'Reg 85'!BE$10&amp;'Reg 85'!$B367),('DMR 001C TIN &amp; TP'!$E$3:$E$10005&amp;'DMR 001C TIN &amp; TP'!$B$3:$B$10005&amp;'DMR 001C TIN &amp; TP'!$A$3:$A$10005),0),MATCH('Reg 85'!$AG$11,'DMR 001C TIN &amp; TP'!$A$2:$M$2,0))),"")</f>
        <v/>
      </c>
      <c r="BF367" s="6" t="str">
        <f t="array" ref="BF367">_xlfn.IFNA((INDEX('DMR 001C TIN &amp; TP'!$A$3:$M$10005,MATCH(('Reg 85'!$AQ$6&amp;'Reg 85'!BF$10&amp;'Reg 85'!$B367),('DMR 001C TIN &amp; TP'!$E$3:$E$10005&amp;'DMR 001C TIN &amp; TP'!$B$3:$B$10005&amp;'DMR 001C TIN &amp; TP'!$A$3:$A$10005),0),MATCH('Reg 85'!$AG$11,'DMR 001C TIN &amp; TP'!$A$2:$M$2,0))),"")</f>
        <v/>
      </c>
    </row>
    <row r="368" spans="1:58">
      <c r="A368" s="3" t="str">
        <f t="shared" si="126"/>
        <v>Fri</v>
      </c>
      <c r="B368" s="96">
        <f t="shared" si="142"/>
        <v>43700</v>
      </c>
      <c r="C368" s="96">
        <f t="shared" si="127"/>
        <v>43708</v>
      </c>
      <c r="D368" s="96">
        <f t="shared" si="128"/>
        <v>43678</v>
      </c>
      <c r="E368" s="95">
        <f t="shared" si="129"/>
        <v>31</v>
      </c>
      <c r="F368" s="7">
        <f t="array" ref="F368">_xlfn.IFNA(INDEX('DMR Flows-Effluent'!$A$3:$F$9999,MATCH(($F$10&amp;$B368),('DMR Flows-Effluent'!$B$3:$B$9999&amp;'DMR Flows-Effluent'!$A$3:$A$9999),0),MATCH($F$8,'DMR Flows-Effluent'!$A$2:$F$2,0)),"")</f>
        <v>37.699800000000003</v>
      </c>
      <c r="G368" s="7">
        <f t="array" ref="G368">_xlfn.IFNA(INDEX('DMR Flows-Effluent'!$A$3:$F$9999,MATCH(($G$10&amp;$B368),('DMR Flows-Effluent'!$B$3:$B$9999&amp;'DMR Flows-Effluent'!$A$3:$A$9999),0),MATCH($F$8,'DMR Flows-Effluent'!$A$2:$F$2,0)),"")</f>
        <v>83.436000000000007</v>
      </c>
      <c r="H368" s="7">
        <f t="shared" si="130"/>
        <v>121.13580000000002</v>
      </c>
      <c r="I368" s="45" t="str">
        <f t="shared" si="131"/>
        <v/>
      </c>
      <c r="J368" s="6" t="str">
        <f t="array" ref="J368">_xlfn.IFNA((INDEX('DMR 001C TIN &amp; TP'!$A$3:$M$10005,MATCH(('Reg 85'!$I$6:$Q$6&amp;'Reg 85'!$I$10:$K$10&amp;'Reg 85'!$B368),('DMR 001C TIN &amp; TP'!$E$3:$E$10005&amp;'DMR 001C TIN &amp; TP'!$B$3:$B$10005&amp;'DMR 001C TIN &amp; TP'!$A$3:$A$10005),0),MATCH('Reg 85'!$J$11,'DMR 001C TIN &amp; TP'!$A$2:$M$2,0))),"")</f>
        <v>0.15</v>
      </c>
      <c r="K368" s="6">
        <f t="array" ref="K368">_xlfn.IFNA((INDEX('DMR 001C TIN &amp; TP'!$A$3:$M$10005,MATCH(('Reg 85'!$I$6:$Q$6&amp;'Reg 85'!$I$10:$K$10&amp;'Reg 85'!$B368),('DMR 001C TIN &amp; TP'!$E$3:$E$10005&amp;'DMR 001C TIN &amp; TP'!$B$3:$B$10005&amp;'DMR 001C TIN &amp; TP'!$A$3:$A$10005),0),MATCH('Reg 85'!$K$11,'DMR 001C TIN &amp; TP'!$A$2:$M$2,0))),"")</f>
        <v>1.2</v>
      </c>
      <c r="L368" s="53">
        <f t="shared" si="143"/>
        <v>1.2</v>
      </c>
      <c r="M368" s="5" t="str">
        <f t="shared" si="132"/>
        <v/>
      </c>
      <c r="N368" s="6" t="str">
        <f t="array" ref="N368">_xlfn.IFNA((INDEX('DMR 001C TIN &amp; TP'!$A$3:$M$10005,MATCH(('Reg 85'!$I$6:$Q$6&amp;'Reg 85'!$M$10&amp;'Reg 85'!$B368),('DMR 001C TIN &amp; TP'!$E$3:$E$10005&amp;'DMR 001C TIN &amp; TP'!$B$3:$B$10005&amp;'DMR 001C TIN &amp; TP'!$A$3:$A$10005),0),MATCH('Reg 85'!$N$11,'DMR 001C TIN &amp; TP'!$A$2:$M$2,0))),"")</f>
        <v>0.15</v>
      </c>
      <c r="O368" s="6">
        <f t="array" ref="O368">_xlfn.IFNA((INDEX('DMR 001C TIN &amp; TP'!$A$3:$M$10005,MATCH(('Reg 85'!$I$6:$Q$6&amp;'Reg 85'!$M$10&amp;'Reg 85'!$B368),('DMR 001C TIN &amp; TP'!$E$3:$E$10005&amp;'DMR 001C TIN &amp; TP'!$B$3:$B$10005&amp;'DMR 001C TIN &amp; TP'!$A$3:$A$10005),0),MATCH('Reg 85'!$O$11,'DMR 001C TIN &amp; TP'!$A$2:$M$2,0))),"")</f>
        <v>0.71</v>
      </c>
      <c r="P368" s="53">
        <f t="shared" si="133"/>
        <v>0.71</v>
      </c>
      <c r="Q368" s="73">
        <f t="array" ref="Q368">IFERROR(((L368*$F368)+(P368*$G368))/($H368),"")</f>
        <v>0.86249746152665019</v>
      </c>
      <c r="R368" s="6" t="str">
        <f t="array" ref="R368">_xlfn.IFNA((INDEX('DMR 001C TIN &amp; TP'!$A$3:$M$10005,MATCH(('Reg 85'!$I$6:$Q$6&amp;'Reg 85'!R$10&amp;'Reg 85'!$B368),('DMR 001C TIN &amp; TP'!$E$3:$E$10005&amp;'DMR 001C TIN &amp; TP'!$B$3:$B$10005&amp;'DMR 001C TIN &amp; TP'!$A$3:$A$10005),0),MATCH('Reg 85'!$O$11,'DMR 001C TIN &amp; TP'!$A$2:$M$2,0))),"")</f>
        <v/>
      </c>
      <c r="S368" s="6" t="str">
        <f t="array" ref="S368">_xlfn.IFNA((INDEX('DMR 001C TIN &amp; TP'!$A$3:$M$10005,MATCH(('Reg 85'!$I$6:$Q$6&amp;'Reg 85'!S$10&amp;'Reg 85'!$B368),('DMR 001C TIN &amp; TP'!$E$3:$E$10005&amp;'DMR 001C TIN &amp; TP'!$B$3:$B$10005&amp;'DMR 001C TIN &amp; TP'!$A$3:$A$10005),0),MATCH('Reg 85'!$O$11,'DMR 001C TIN &amp; TP'!$A$2:$M$2,0))),"")</f>
        <v/>
      </c>
      <c r="T368" s="6" t="str">
        <f t="array" ref="T368">_xlfn.IFNA((INDEX('DMR 001C TIN &amp; TP'!$A$3:$M$10005,MATCH(('Reg 85'!$I$6:$Q$6&amp;'Reg 85'!T$10&amp;'Reg 85'!$B368),('DMR 001C TIN &amp; TP'!$E$3:$E$10005&amp;'DMR 001C TIN &amp; TP'!$B$3:$B$10005&amp;'DMR 001C TIN &amp; TP'!$A$3:$A$10005),0),MATCH('Reg 85'!$O$11,'DMR 001C TIN &amp; TP'!$A$2:$M$2,0))),"")</f>
        <v/>
      </c>
      <c r="U368" s="6" t="str">
        <f t="array" ref="U368">_xlfn.IFNA((INDEX('DMR 001C TIN &amp; TP'!$A$3:$M$10005,MATCH(('Reg 85'!$I$6:$Q$6&amp;'Reg 85'!U$10&amp;'Reg 85'!$B368),('DMR 001C TIN &amp; TP'!$E$3:$E$10005&amp;'DMR 001C TIN &amp; TP'!$B$3:$B$10005&amp;'DMR 001C TIN &amp; TP'!$A$3:$A$10005),0),MATCH('Reg 85'!$O$11,'DMR 001C TIN &amp; TP'!$A$2:$M$2,0))),"")</f>
        <v/>
      </c>
      <c r="V368" s="6" t="str">
        <f t="array" ref="V368">_xlfn.IFNA((INDEX('DMR 001C TIN &amp; TP'!$A$3:$M$10005,MATCH(('Reg 85'!$I$6:$Q$6&amp;'Reg 85'!V$10&amp;'Reg 85'!$B368),('DMR 001C TIN &amp; TP'!$E$3:$E$10005&amp;'DMR 001C TIN &amp; TP'!$B$3:$B$10005&amp;'DMR 001C TIN &amp; TP'!$A$3:$A$10005),0),MATCH('Reg 85'!$O$11,'DMR 001C TIN &amp; TP'!$A$2:$M$2,0))),"")</f>
        <v/>
      </c>
      <c r="W368" s="6" t="str">
        <f t="array" ref="W368">_xlfn.IFNA((INDEX('DMR 001C TIN &amp; TP'!$A$3:$M$10005,MATCH(('Reg 85'!$I$6:$Q$6&amp;'Reg 85'!W$10&amp;'Reg 85'!$B368),('DMR 001C TIN &amp; TP'!$E$3:$E$10005&amp;'DMR 001C TIN &amp; TP'!$B$3:$B$10005&amp;'DMR 001C TIN &amp; TP'!$A$3:$A$10005),0),MATCH('Reg 85'!$O$11,'DMR 001C TIN &amp; TP'!$A$2:$M$2,0))),"")</f>
        <v/>
      </c>
      <c r="X368" s="5" t="str">
        <f t="shared" si="134"/>
        <v/>
      </c>
      <c r="Y368" s="6" t="str">
        <f t="array" ref="Y368">_xlfn.IFNA((INDEX('DMR 001C TIN &amp; TP'!$A$3:$M$10005,MATCH(('Reg 85'!$X$6&amp;'Reg 85'!$X$10&amp;'Reg 85'!$B368),('DMR 001C TIN &amp; TP'!$E$3:$E$10005&amp;'DMR 001C TIN &amp; TP'!$B$3:$B$10005&amp;'DMR 001C TIN &amp; TP'!$A$3:$A$10005),0),MATCH('Reg 85'!$Y$11,'DMR 001C TIN &amp; TP'!$A$2:$M$2,0))),"")</f>
        <v>0.06</v>
      </c>
      <c r="Z368" s="6">
        <f t="array" ref="Z368">_xlfn.IFNA((INDEX('DMR 001C TIN &amp; TP'!$A$3:$M$10005,MATCH(('Reg 85'!$X$6&amp;'Reg 85'!$X$10&amp;'Reg 85'!$B368),('DMR 001C TIN &amp; TP'!$E$3:$E$10005&amp;'DMR 001C TIN &amp; TP'!$B$3:$B$10005&amp;'DMR 001C TIN &amp; TP'!$A$3:$A$10005),0),MATCH('Reg 85'!$Z$11,'DMR 001C TIN &amp; TP'!$A$2:$M$2,0))),"")</f>
        <v>5.36</v>
      </c>
      <c r="AA368" s="53">
        <f t="shared" si="135"/>
        <v>5.36</v>
      </c>
      <c r="AB368" s="5" t="str">
        <f t="shared" si="136"/>
        <v/>
      </c>
      <c r="AC368" s="6" t="str">
        <f t="array" ref="AC368">_xlfn.IFNA((INDEX('DMR 001C TIN &amp; TP'!$A$3:$M$10005,MATCH(('Reg 85'!$X$6&amp;'Reg 85'!$AB$10&amp;'Reg 85'!$B368),('DMR 001C TIN &amp; TP'!$E$3:$E$10005&amp;'DMR 001C TIN &amp; TP'!$B$3:$B$10005&amp;'DMR 001C TIN &amp; TP'!$A$3:$A$10005),0),MATCH('Reg 85'!$AC$11,'DMR 001C TIN &amp; TP'!$A$2:$M$2,0))),"")</f>
        <v>0.06</v>
      </c>
      <c r="AD368" s="6">
        <f t="array" ref="AD368">_xlfn.IFNA((INDEX('DMR 001C TIN &amp; TP'!$A$3:$M$10005,MATCH(('Reg 85'!$X$6&amp;'Reg 85'!$AB$10&amp;'Reg 85'!$B368),('DMR 001C TIN &amp; TP'!$E$3:$E$10005&amp;'DMR 001C TIN &amp; TP'!$B$3:$B$10005&amp;'DMR 001C TIN &amp; TP'!$A$3:$A$10005),0),MATCH('Reg 85'!$AD$11,'DMR 001C TIN &amp; TP'!$A$2:$M$2,0))),"")</f>
        <v>5.86</v>
      </c>
      <c r="AE368" s="53">
        <f t="shared" si="137"/>
        <v>5.86</v>
      </c>
      <c r="AF368" s="7">
        <f t="shared" si="138"/>
        <v>5.7043903453809692</v>
      </c>
      <c r="AG368" s="6" t="str">
        <f t="array" ref="AG368">_xlfn.IFNA((INDEX('DMR 001C TIN &amp; TP'!$A$3:$M$10005,MATCH(('Reg 85'!$X$6&amp;'Reg 85'!AG$10&amp;'Reg 85'!$B368),('DMR 001C TIN &amp; TP'!$E$3:$E$10005&amp;'DMR 001C TIN &amp; TP'!$B$3:$B$10005&amp;'DMR 001C TIN &amp; TP'!$A$3:$A$10005),0),MATCH('Reg 85'!$AG$11,'DMR 001C TIN &amp; TP'!$A$2:$M$2,0))),"")</f>
        <v/>
      </c>
      <c r="AH368" s="6" t="str">
        <f t="array" ref="AH368">_xlfn.IFNA((INDEX('DMR 001C TIN &amp; TP'!$A$3:$M$10005,MATCH(('Reg 85'!$X$6&amp;'Reg 85'!AH$10&amp;'Reg 85'!$B368),('DMR 001C TIN &amp; TP'!$E$3:$E$10005&amp;'DMR 001C TIN &amp; TP'!$B$3:$B$10005&amp;'DMR 001C TIN &amp; TP'!$A$3:$A$10005),0),MATCH('Reg 85'!$AG$11,'DMR 001C TIN &amp; TP'!$A$2:$M$2,0))),"")</f>
        <v/>
      </c>
      <c r="AI368" s="6" t="str">
        <f t="array" ref="AI368">_xlfn.IFNA((INDEX('DMR 001C TIN &amp; TP'!$A$3:$M$10005,MATCH(('Reg 85'!$X$6&amp;'Reg 85'!AI$10&amp;'Reg 85'!$B368),('DMR 001C TIN &amp; TP'!$E$3:$E$10005&amp;'DMR 001C TIN &amp; TP'!$B$3:$B$10005&amp;'DMR 001C TIN &amp; TP'!$A$3:$A$10005),0),MATCH('Reg 85'!$AG$11,'DMR 001C TIN &amp; TP'!$A$2:$M$2,0))),"")</f>
        <v/>
      </c>
      <c r="AJ368" s="6" t="str">
        <f t="array" ref="AJ368">_xlfn.IFNA((INDEX('DMR 001C TIN &amp; TP'!$A$3:$M$10005,MATCH(('Reg 85'!$X$6&amp;'Reg 85'!AJ$10&amp;'Reg 85'!$B368),('DMR 001C TIN &amp; TP'!$E$3:$E$10005&amp;'DMR 001C TIN &amp; TP'!$B$3:$B$10005&amp;'DMR 001C TIN &amp; TP'!$A$3:$A$10005),0),MATCH('Reg 85'!$AG$11,'DMR 001C TIN &amp; TP'!$A$2:$M$2,0))),"")</f>
        <v/>
      </c>
      <c r="AK368" s="6" t="str">
        <f t="array" ref="AK368">_xlfn.IFNA((INDEX('DMR 001C TIN &amp; TP'!$A$3:$M$10005,MATCH(('Reg 85'!$X$6&amp;'Reg 85'!AK$10&amp;'Reg 85'!$B368),('DMR 001C TIN &amp; TP'!$E$3:$E$10005&amp;'DMR 001C TIN &amp; TP'!$B$3:$B$10005&amp;'DMR 001C TIN &amp; TP'!$A$3:$A$10005),0),MATCH('Reg 85'!$AG$11,'DMR 001C TIN &amp; TP'!$A$2:$M$2,0))),"")</f>
        <v/>
      </c>
      <c r="AL368" s="6" t="str">
        <f t="array" ref="AL368">_xlfn.IFNA((INDEX('DMR 001C TIN &amp; TP'!$A$3:$M$10005,MATCH(('Reg 85'!$X$6&amp;'Reg 85'!AL$10&amp;'Reg 85'!$B368),('DMR 001C TIN &amp; TP'!$E$3:$E$10005&amp;'DMR 001C TIN &amp; TP'!$B$3:$B$10005&amp;'DMR 001C TIN &amp; TP'!$A$3:$A$10005),0),MATCH('Reg 85'!$AG$11,'DMR 001C TIN &amp; TP'!$A$2:$M$2,0))),"")</f>
        <v/>
      </c>
      <c r="AM368" s="76"/>
      <c r="AN368" s="6"/>
      <c r="AO368" s="54">
        <f t="shared" si="125"/>
        <v>6.5668878069076193</v>
      </c>
      <c r="AP368" s="77" t="str">
        <f t="shared" si="144"/>
        <v/>
      </c>
      <c r="AQ368" s="47"/>
      <c r="AR368" s="6" t="str">
        <f t="array" ref="AR368">_xlfn.IFNA((INDEX('DMR 001C TIN &amp; TP'!$A$3:$M$10005,MATCH(('Reg 85'!$AQ$6&amp;'Reg 85'!$AQ$10&amp;'Reg 85'!$B368),('DMR 001C TIN &amp; TP'!$E$3:$E$10005&amp;'DMR 001C TIN &amp; TP'!$B$3:$B$10005&amp;'DMR 001C TIN &amp; TP'!$A$3:$A$10005),0),MATCH('Reg 85'!$AR$11,'DMR 001C TIN &amp; TP'!$A$2:$M$2,0))),"")</f>
        <v/>
      </c>
      <c r="AS368" s="6" t="str">
        <f t="array" ref="AS368">_xlfn.IFNA((INDEX('DMR 001C TIN &amp; TP'!$A$3:$M$10005,MATCH(('Reg 85'!$AQ$6&amp;'Reg 85'!$AQ$10&amp;'Reg 85'!$B368),('DMR 001C TIN &amp; TP'!$E$3:$E$10005&amp;'DMR 001C TIN &amp; TP'!$B$3:$B$10005&amp;'DMR 001C TIN &amp; TP'!$A$3:$A$10005),0),MATCH('Reg 85'!$AS$11,'DMR 001C TIN &amp; TP'!$A$2:$M$2,0))),"")</f>
        <v/>
      </c>
      <c r="AT368" s="53" t="str">
        <f t="shared" si="139"/>
        <v/>
      </c>
      <c r="AV368" s="6" t="str">
        <f t="array" ref="AV368">_xlfn.IFNA((INDEX('DMR 001C TIN &amp; TP'!$A$3:$M$10005,MATCH(('Reg 85'!$AQ$6&amp;'Reg 85'!$AU$10&amp;'Reg 85'!$B368),('DMR 001C TIN &amp; TP'!$E$3:$E$10005&amp;'DMR 001C TIN &amp; TP'!$B$3:$B$10005&amp;'DMR 001C TIN &amp; TP'!$A$3:$A$10005),0),MATCH('Reg 85'!$AV$11,'DMR 001C TIN &amp; TP'!$A$2:$M$2,0))),"")</f>
        <v/>
      </c>
      <c r="AW368" s="6" t="str">
        <f t="array" ref="AW368">_xlfn.IFNA((INDEX('DMR 001C TIN &amp; TP'!$A$3:$M$10005,MATCH(('Reg 85'!$AQ$6&amp;'Reg 85'!$AU$10&amp;'Reg 85'!$B368),('DMR 001C TIN &amp; TP'!$E$3:$E$10005&amp;'DMR 001C TIN &amp; TP'!$B$3:$B$10005&amp;'DMR 001C TIN &amp; TP'!$A$3:$A$10005),0),MATCH('Reg 85'!$AW$11,'DMR 001C TIN &amp; TP'!$A$2:$M$2,0))),"")</f>
        <v/>
      </c>
      <c r="AX368" s="53" t="str">
        <f t="shared" si="140"/>
        <v/>
      </c>
      <c r="AY368" s="55" t="str">
        <f t="shared" si="141"/>
        <v/>
      </c>
      <c r="AZ368" s="77" t="str">
        <f t="shared" si="145"/>
        <v/>
      </c>
      <c r="BA368" s="6" t="str">
        <f t="array" ref="BA368">_xlfn.IFNA((INDEX('DMR 001C TIN &amp; TP'!$A$3:$M$10005,MATCH(('Reg 85'!$AQ$6&amp;'Reg 85'!BA$10&amp;'Reg 85'!$B368),('DMR 001C TIN &amp; TP'!$E$3:$E$10005&amp;'DMR 001C TIN &amp; TP'!$B$3:$B$10005&amp;'DMR 001C TIN &amp; TP'!$A$3:$A$10005),0),MATCH('Reg 85'!$AG$11,'DMR 001C TIN &amp; TP'!$A$2:$M$2,0))),"")</f>
        <v/>
      </c>
      <c r="BB368" s="6" t="str">
        <f t="array" ref="BB368">_xlfn.IFNA((INDEX('DMR 001C TIN &amp; TP'!$A$3:$M$10005,MATCH(('Reg 85'!$AQ$6&amp;'Reg 85'!BB$10&amp;'Reg 85'!$B368),('DMR 001C TIN &amp; TP'!$E$3:$E$10005&amp;'DMR 001C TIN &amp; TP'!$B$3:$B$10005&amp;'DMR 001C TIN &amp; TP'!$A$3:$A$10005),0),MATCH('Reg 85'!$AG$11,'DMR 001C TIN &amp; TP'!$A$2:$M$2,0))),"")</f>
        <v/>
      </c>
      <c r="BC368" s="6" t="str">
        <f t="array" ref="BC368">_xlfn.IFNA((INDEX('DMR 001C TIN &amp; TP'!$A$3:$M$10005,MATCH(('Reg 85'!$AQ$6&amp;'Reg 85'!BC$10&amp;'Reg 85'!$B368),('DMR 001C TIN &amp; TP'!$E$3:$E$10005&amp;'DMR 001C TIN &amp; TP'!$B$3:$B$10005&amp;'DMR 001C TIN &amp; TP'!$A$3:$A$10005),0),MATCH('Reg 85'!$AG$11,'DMR 001C TIN &amp; TP'!$A$2:$M$2,0))),"")</f>
        <v/>
      </c>
      <c r="BD368" s="6" t="str">
        <f t="array" ref="BD368">_xlfn.IFNA((INDEX('DMR 001C TIN &amp; TP'!$A$3:$M$10005,MATCH(('Reg 85'!$AQ$6&amp;'Reg 85'!BD$10&amp;'Reg 85'!$B368),('DMR 001C TIN &amp; TP'!$E$3:$E$10005&amp;'DMR 001C TIN &amp; TP'!$B$3:$B$10005&amp;'DMR 001C TIN &amp; TP'!$A$3:$A$10005),0),MATCH('Reg 85'!$AG$11,'DMR 001C TIN &amp; TP'!$A$2:$M$2,0))),"")</f>
        <v/>
      </c>
      <c r="BE368" s="6" t="str">
        <f t="array" ref="BE368">_xlfn.IFNA((INDEX('DMR 001C TIN &amp; TP'!$A$3:$M$10005,MATCH(('Reg 85'!$AQ$6&amp;'Reg 85'!BE$10&amp;'Reg 85'!$B368),('DMR 001C TIN &amp; TP'!$E$3:$E$10005&amp;'DMR 001C TIN &amp; TP'!$B$3:$B$10005&amp;'DMR 001C TIN &amp; TP'!$A$3:$A$10005),0),MATCH('Reg 85'!$AG$11,'DMR 001C TIN &amp; TP'!$A$2:$M$2,0))),"")</f>
        <v/>
      </c>
      <c r="BF368" s="6" t="str">
        <f t="array" ref="BF368">_xlfn.IFNA((INDEX('DMR 001C TIN &amp; TP'!$A$3:$M$10005,MATCH(('Reg 85'!$AQ$6&amp;'Reg 85'!BF$10&amp;'Reg 85'!$B368),('DMR 001C TIN &amp; TP'!$E$3:$E$10005&amp;'DMR 001C TIN &amp; TP'!$B$3:$B$10005&amp;'DMR 001C TIN &amp; TP'!$A$3:$A$10005),0),MATCH('Reg 85'!$AG$11,'DMR 001C TIN &amp; TP'!$A$2:$M$2,0))),"")</f>
        <v/>
      </c>
    </row>
    <row r="369" spans="1:58">
      <c r="A369" s="3" t="str">
        <f t="shared" si="126"/>
        <v>Sat</v>
      </c>
      <c r="B369" s="96">
        <f t="shared" si="142"/>
        <v>43701</v>
      </c>
      <c r="C369" s="96">
        <f t="shared" si="127"/>
        <v>43708</v>
      </c>
      <c r="D369" s="96">
        <f t="shared" si="128"/>
        <v>43678</v>
      </c>
      <c r="E369" s="95">
        <f t="shared" si="129"/>
        <v>31</v>
      </c>
      <c r="F369" s="7">
        <f t="array" ref="F369">_xlfn.IFNA(INDEX('DMR Flows-Effluent'!$A$3:$F$9999,MATCH(($F$10&amp;$B369),('DMR Flows-Effluent'!$B$3:$B$9999&amp;'DMR Flows-Effluent'!$A$3:$A$9999),0),MATCH($F$8,'DMR Flows-Effluent'!$A$2:$F$2,0)),"")</f>
        <v>38.890599999999999</v>
      </c>
      <c r="G369" s="7">
        <f t="array" ref="G369">_xlfn.IFNA(INDEX('DMR Flows-Effluent'!$A$3:$F$9999,MATCH(($G$10&amp;$B369),('DMR Flows-Effluent'!$B$3:$B$9999&amp;'DMR Flows-Effluent'!$A$3:$A$9999),0),MATCH($F$8,'DMR Flows-Effluent'!$A$2:$F$2,0)),"")</f>
        <v>78.685500000000005</v>
      </c>
      <c r="H369" s="7">
        <f t="shared" si="130"/>
        <v>117.5761</v>
      </c>
      <c r="I369" s="45" t="str">
        <f t="shared" si="131"/>
        <v/>
      </c>
      <c r="J369" s="6" t="str">
        <f t="array" ref="J369">_xlfn.IFNA((INDEX('DMR 001C TIN &amp; TP'!$A$3:$M$10005,MATCH(('Reg 85'!$I$6:$Q$6&amp;'Reg 85'!$I$10:$K$10&amp;'Reg 85'!$B369),('DMR 001C TIN &amp; TP'!$E$3:$E$10005&amp;'DMR 001C TIN &amp; TP'!$B$3:$B$10005&amp;'DMR 001C TIN &amp; TP'!$A$3:$A$10005),0),MATCH('Reg 85'!$J$11,'DMR 001C TIN &amp; TP'!$A$2:$M$2,0))),"")</f>
        <v/>
      </c>
      <c r="K369" s="6" t="str">
        <f t="array" ref="K369">_xlfn.IFNA((INDEX('DMR 001C TIN &amp; TP'!$A$3:$M$10005,MATCH(('Reg 85'!$I$6:$Q$6&amp;'Reg 85'!$I$10:$K$10&amp;'Reg 85'!$B369),('DMR 001C TIN &amp; TP'!$E$3:$E$10005&amp;'DMR 001C TIN &amp; TP'!$B$3:$B$10005&amp;'DMR 001C TIN &amp; TP'!$A$3:$A$10005),0),MATCH('Reg 85'!$K$11,'DMR 001C TIN &amp; TP'!$A$2:$M$2,0))),"")</f>
        <v/>
      </c>
      <c r="L369" s="53" t="str">
        <f t="shared" si="143"/>
        <v/>
      </c>
      <c r="M369" s="5" t="str">
        <f t="shared" si="132"/>
        <v/>
      </c>
      <c r="N369" s="6" t="str">
        <f t="array" ref="N369">_xlfn.IFNA((INDEX('DMR 001C TIN &amp; TP'!$A$3:$M$10005,MATCH(('Reg 85'!$I$6:$Q$6&amp;'Reg 85'!$M$10&amp;'Reg 85'!$B369),('DMR 001C TIN &amp; TP'!$E$3:$E$10005&amp;'DMR 001C TIN &amp; TP'!$B$3:$B$10005&amp;'DMR 001C TIN &amp; TP'!$A$3:$A$10005),0),MATCH('Reg 85'!$N$11,'DMR 001C TIN &amp; TP'!$A$2:$M$2,0))),"")</f>
        <v/>
      </c>
      <c r="O369" s="6" t="str">
        <f t="array" ref="O369">_xlfn.IFNA((INDEX('DMR 001C TIN &amp; TP'!$A$3:$M$10005,MATCH(('Reg 85'!$I$6:$Q$6&amp;'Reg 85'!$M$10&amp;'Reg 85'!$B369),('DMR 001C TIN &amp; TP'!$E$3:$E$10005&amp;'DMR 001C TIN &amp; TP'!$B$3:$B$10005&amp;'DMR 001C TIN &amp; TP'!$A$3:$A$10005),0),MATCH('Reg 85'!$O$11,'DMR 001C TIN &amp; TP'!$A$2:$M$2,0))),"")</f>
        <v/>
      </c>
      <c r="P369" s="53" t="str">
        <f t="shared" si="133"/>
        <v/>
      </c>
      <c r="Q369" s="73" t="str">
        <f t="array" ref="Q369">IFERROR(((L369*$F369)+(P369*$G369))/($H369),"")</f>
        <v/>
      </c>
      <c r="R369" s="6" t="str">
        <f t="array" ref="R369">_xlfn.IFNA((INDEX('DMR 001C TIN &amp; TP'!$A$3:$M$10005,MATCH(('Reg 85'!$I$6:$Q$6&amp;'Reg 85'!R$10&amp;'Reg 85'!$B369),('DMR 001C TIN &amp; TP'!$E$3:$E$10005&amp;'DMR 001C TIN &amp; TP'!$B$3:$B$10005&amp;'DMR 001C TIN &amp; TP'!$A$3:$A$10005),0),MATCH('Reg 85'!$O$11,'DMR 001C TIN &amp; TP'!$A$2:$M$2,0))),"")</f>
        <v/>
      </c>
      <c r="S369" s="6" t="str">
        <f t="array" ref="S369">_xlfn.IFNA((INDEX('DMR 001C TIN &amp; TP'!$A$3:$M$10005,MATCH(('Reg 85'!$I$6:$Q$6&amp;'Reg 85'!S$10&amp;'Reg 85'!$B369),('DMR 001C TIN &amp; TP'!$E$3:$E$10005&amp;'DMR 001C TIN &amp; TP'!$B$3:$B$10005&amp;'DMR 001C TIN &amp; TP'!$A$3:$A$10005),0),MATCH('Reg 85'!$O$11,'DMR 001C TIN &amp; TP'!$A$2:$M$2,0))),"")</f>
        <v/>
      </c>
      <c r="T369" s="6" t="str">
        <f t="array" ref="T369">_xlfn.IFNA((INDEX('DMR 001C TIN &amp; TP'!$A$3:$M$10005,MATCH(('Reg 85'!$I$6:$Q$6&amp;'Reg 85'!T$10&amp;'Reg 85'!$B369),('DMR 001C TIN &amp; TP'!$E$3:$E$10005&amp;'DMR 001C TIN &amp; TP'!$B$3:$B$10005&amp;'DMR 001C TIN &amp; TP'!$A$3:$A$10005),0),MATCH('Reg 85'!$O$11,'DMR 001C TIN &amp; TP'!$A$2:$M$2,0))),"")</f>
        <v/>
      </c>
      <c r="U369" s="6" t="str">
        <f t="array" ref="U369">_xlfn.IFNA((INDEX('DMR 001C TIN &amp; TP'!$A$3:$M$10005,MATCH(('Reg 85'!$I$6:$Q$6&amp;'Reg 85'!U$10&amp;'Reg 85'!$B369),('DMR 001C TIN &amp; TP'!$E$3:$E$10005&amp;'DMR 001C TIN &amp; TP'!$B$3:$B$10005&amp;'DMR 001C TIN &amp; TP'!$A$3:$A$10005),0),MATCH('Reg 85'!$O$11,'DMR 001C TIN &amp; TP'!$A$2:$M$2,0))),"")</f>
        <v/>
      </c>
      <c r="V369" s="6" t="str">
        <f t="array" ref="V369">_xlfn.IFNA((INDEX('DMR 001C TIN &amp; TP'!$A$3:$M$10005,MATCH(('Reg 85'!$I$6:$Q$6&amp;'Reg 85'!V$10&amp;'Reg 85'!$B369),('DMR 001C TIN &amp; TP'!$E$3:$E$10005&amp;'DMR 001C TIN &amp; TP'!$B$3:$B$10005&amp;'DMR 001C TIN &amp; TP'!$A$3:$A$10005),0),MATCH('Reg 85'!$O$11,'DMR 001C TIN &amp; TP'!$A$2:$M$2,0))),"")</f>
        <v/>
      </c>
      <c r="W369" s="6" t="str">
        <f t="array" ref="W369">_xlfn.IFNA((INDEX('DMR 001C TIN &amp; TP'!$A$3:$M$10005,MATCH(('Reg 85'!$I$6:$Q$6&amp;'Reg 85'!W$10&amp;'Reg 85'!$B369),('DMR 001C TIN &amp; TP'!$E$3:$E$10005&amp;'DMR 001C TIN &amp; TP'!$B$3:$B$10005&amp;'DMR 001C TIN &amp; TP'!$A$3:$A$10005),0),MATCH('Reg 85'!$O$11,'DMR 001C TIN &amp; TP'!$A$2:$M$2,0))),"")</f>
        <v/>
      </c>
      <c r="X369" s="5" t="str">
        <f t="shared" si="134"/>
        <v/>
      </c>
      <c r="Y369" s="6" t="str">
        <f t="array" ref="Y369">_xlfn.IFNA((INDEX('DMR 001C TIN &amp; TP'!$A$3:$M$10005,MATCH(('Reg 85'!$X$6&amp;'Reg 85'!$X$10&amp;'Reg 85'!$B369),('DMR 001C TIN &amp; TP'!$E$3:$E$10005&amp;'DMR 001C TIN &amp; TP'!$B$3:$B$10005&amp;'DMR 001C TIN &amp; TP'!$A$3:$A$10005),0),MATCH('Reg 85'!$Y$11,'DMR 001C TIN &amp; TP'!$A$2:$M$2,0))),"")</f>
        <v/>
      </c>
      <c r="Z369" s="6" t="str">
        <f t="array" ref="Z369">_xlfn.IFNA((INDEX('DMR 001C TIN &amp; TP'!$A$3:$M$10005,MATCH(('Reg 85'!$X$6&amp;'Reg 85'!$X$10&amp;'Reg 85'!$B369),('DMR 001C TIN &amp; TP'!$E$3:$E$10005&amp;'DMR 001C TIN &amp; TP'!$B$3:$B$10005&amp;'DMR 001C TIN &amp; TP'!$A$3:$A$10005),0),MATCH('Reg 85'!$Z$11,'DMR 001C TIN &amp; TP'!$A$2:$M$2,0))),"")</f>
        <v/>
      </c>
      <c r="AA369" s="53" t="str">
        <f t="shared" si="135"/>
        <v/>
      </c>
      <c r="AB369" s="5" t="str">
        <f t="shared" si="136"/>
        <v/>
      </c>
      <c r="AC369" s="6" t="str">
        <f t="array" ref="AC369">_xlfn.IFNA((INDEX('DMR 001C TIN &amp; TP'!$A$3:$M$10005,MATCH(('Reg 85'!$X$6&amp;'Reg 85'!$AB$10&amp;'Reg 85'!$B369),('DMR 001C TIN &amp; TP'!$E$3:$E$10005&amp;'DMR 001C TIN &amp; TP'!$B$3:$B$10005&amp;'DMR 001C TIN &amp; TP'!$A$3:$A$10005),0),MATCH('Reg 85'!$AC$11,'DMR 001C TIN &amp; TP'!$A$2:$M$2,0))),"")</f>
        <v/>
      </c>
      <c r="AD369" s="6" t="str">
        <f t="array" ref="AD369">_xlfn.IFNA((INDEX('DMR 001C TIN &amp; TP'!$A$3:$M$10005,MATCH(('Reg 85'!$X$6&amp;'Reg 85'!$AB$10&amp;'Reg 85'!$B369),('DMR 001C TIN &amp; TP'!$E$3:$E$10005&amp;'DMR 001C TIN &amp; TP'!$B$3:$B$10005&amp;'DMR 001C TIN &amp; TP'!$A$3:$A$10005),0),MATCH('Reg 85'!$AD$11,'DMR 001C TIN &amp; TP'!$A$2:$M$2,0))),"")</f>
        <v/>
      </c>
      <c r="AE369" s="53" t="str">
        <f t="shared" si="137"/>
        <v/>
      </c>
      <c r="AF369" s="7" t="str">
        <f t="shared" si="138"/>
        <v/>
      </c>
      <c r="AG369" s="6" t="str">
        <f t="array" ref="AG369">_xlfn.IFNA((INDEX('DMR 001C TIN &amp; TP'!$A$3:$M$10005,MATCH(('Reg 85'!$X$6&amp;'Reg 85'!AG$10&amp;'Reg 85'!$B369),('DMR 001C TIN &amp; TP'!$E$3:$E$10005&amp;'DMR 001C TIN &amp; TP'!$B$3:$B$10005&amp;'DMR 001C TIN &amp; TP'!$A$3:$A$10005),0),MATCH('Reg 85'!$AG$11,'DMR 001C TIN &amp; TP'!$A$2:$M$2,0))),"")</f>
        <v/>
      </c>
      <c r="AH369" s="6" t="str">
        <f t="array" ref="AH369">_xlfn.IFNA((INDEX('DMR 001C TIN &amp; TP'!$A$3:$M$10005,MATCH(('Reg 85'!$X$6&amp;'Reg 85'!AH$10&amp;'Reg 85'!$B369),('DMR 001C TIN &amp; TP'!$E$3:$E$10005&amp;'DMR 001C TIN &amp; TP'!$B$3:$B$10005&amp;'DMR 001C TIN &amp; TP'!$A$3:$A$10005),0),MATCH('Reg 85'!$AG$11,'DMR 001C TIN &amp; TP'!$A$2:$M$2,0))),"")</f>
        <v/>
      </c>
      <c r="AI369" s="6" t="str">
        <f t="array" ref="AI369">_xlfn.IFNA((INDEX('DMR 001C TIN &amp; TP'!$A$3:$M$10005,MATCH(('Reg 85'!$X$6&amp;'Reg 85'!AI$10&amp;'Reg 85'!$B369),('DMR 001C TIN &amp; TP'!$E$3:$E$10005&amp;'DMR 001C TIN &amp; TP'!$B$3:$B$10005&amp;'DMR 001C TIN &amp; TP'!$A$3:$A$10005),0),MATCH('Reg 85'!$AG$11,'DMR 001C TIN &amp; TP'!$A$2:$M$2,0))),"")</f>
        <v/>
      </c>
      <c r="AJ369" s="6" t="str">
        <f t="array" ref="AJ369">_xlfn.IFNA((INDEX('DMR 001C TIN &amp; TP'!$A$3:$M$10005,MATCH(('Reg 85'!$X$6&amp;'Reg 85'!AJ$10&amp;'Reg 85'!$B369),('DMR 001C TIN &amp; TP'!$E$3:$E$10005&amp;'DMR 001C TIN &amp; TP'!$B$3:$B$10005&amp;'DMR 001C TIN &amp; TP'!$A$3:$A$10005),0),MATCH('Reg 85'!$AG$11,'DMR 001C TIN &amp; TP'!$A$2:$M$2,0))),"")</f>
        <v/>
      </c>
      <c r="AK369" s="6" t="str">
        <f t="array" ref="AK369">_xlfn.IFNA((INDEX('DMR 001C TIN &amp; TP'!$A$3:$M$10005,MATCH(('Reg 85'!$X$6&amp;'Reg 85'!AK$10&amp;'Reg 85'!$B369),('DMR 001C TIN &amp; TP'!$E$3:$E$10005&amp;'DMR 001C TIN &amp; TP'!$B$3:$B$10005&amp;'DMR 001C TIN &amp; TP'!$A$3:$A$10005),0),MATCH('Reg 85'!$AG$11,'DMR 001C TIN &amp; TP'!$A$2:$M$2,0))),"")</f>
        <v/>
      </c>
      <c r="AL369" s="6" t="str">
        <f t="array" ref="AL369">_xlfn.IFNA((INDEX('DMR 001C TIN &amp; TP'!$A$3:$M$10005,MATCH(('Reg 85'!$X$6&amp;'Reg 85'!AL$10&amp;'Reg 85'!$B369),('DMR 001C TIN &amp; TP'!$E$3:$E$10005&amp;'DMR 001C TIN &amp; TP'!$B$3:$B$10005&amp;'DMR 001C TIN &amp; TP'!$A$3:$A$10005),0),MATCH('Reg 85'!$AG$11,'DMR 001C TIN &amp; TP'!$A$2:$M$2,0))),"")</f>
        <v/>
      </c>
      <c r="AM369" s="76"/>
      <c r="AN369" s="6"/>
      <c r="AO369" s="54" t="str">
        <f t="shared" si="125"/>
        <v/>
      </c>
      <c r="AP369" s="77" t="str">
        <f t="shared" si="144"/>
        <v/>
      </c>
      <c r="AQ369" s="47"/>
      <c r="AR369" s="6" t="str">
        <f t="array" ref="AR369">_xlfn.IFNA((INDEX('DMR 001C TIN &amp; TP'!$A$3:$M$10005,MATCH(('Reg 85'!$AQ$6&amp;'Reg 85'!$AQ$10&amp;'Reg 85'!$B369),('DMR 001C TIN &amp; TP'!$E$3:$E$10005&amp;'DMR 001C TIN &amp; TP'!$B$3:$B$10005&amp;'DMR 001C TIN &amp; TP'!$A$3:$A$10005),0),MATCH('Reg 85'!$AR$11,'DMR 001C TIN &amp; TP'!$A$2:$M$2,0))),"")</f>
        <v>0.03</v>
      </c>
      <c r="AS369" s="6">
        <f t="array" ref="AS369">_xlfn.IFNA((INDEX('DMR 001C TIN &amp; TP'!$A$3:$M$10005,MATCH(('Reg 85'!$AQ$6&amp;'Reg 85'!$AQ$10&amp;'Reg 85'!$B369),('DMR 001C TIN &amp; TP'!$E$3:$E$10005&amp;'DMR 001C TIN &amp; TP'!$B$3:$B$10005&amp;'DMR 001C TIN &amp; TP'!$A$3:$A$10005),0),MATCH('Reg 85'!$AS$11,'DMR 001C TIN &amp; TP'!$A$2:$M$2,0))),"")</f>
        <v>0.61</v>
      </c>
      <c r="AT369" s="53">
        <f t="shared" si="139"/>
        <v>0.61</v>
      </c>
      <c r="AV369" s="6" t="str">
        <f t="array" ref="AV369">_xlfn.IFNA((INDEX('DMR 001C TIN &amp; TP'!$A$3:$M$10005,MATCH(('Reg 85'!$AQ$6&amp;'Reg 85'!$AU$10&amp;'Reg 85'!$B369),('DMR 001C TIN &amp; TP'!$E$3:$E$10005&amp;'DMR 001C TIN &amp; TP'!$B$3:$B$10005&amp;'DMR 001C TIN &amp; TP'!$A$3:$A$10005),0),MATCH('Reg 85'!$AV$11,'DMR 001C TIN &amp; TP'!$A$2:$M$2,0))),"")</f>
        <v>0.03</v>
      </c>
      <c r="AW369" s="6">
        <f t="array" ref="AW369">_xlfn.IFNA((INDEX('DMR 001C TIN &amp; TP'!$A$3:$M$10005,MATCH(('Reg 85'!$AQ$6&amp;'Reg 85'!$AU$10&amp;'Reg 85'!$B369),('DMR 001C TIN &amp; TP'!$E$3:$E$10005&amp;'DMR 001C TIN &amp; TP'!$B$3:$B$10005&amp;'DMR 001C TIN &amp; TP'!$A$3:$A$10005),0),MATCH('Reg 85'!$AW$11,'DMR 001C TIN &amp; TP'!$A$2:$M$2,0))),"")</f>
        <v>2.9</v>
      </c>
      <c r="AX369" s="53">
        <f t="shared" si="140"/>
        <v>2.9</v>
      </c>
      <c r="AY369" s="55">
        <f t="shared" si="141"/>
        <v>2.1425376075579985</v>
      </c>
      <c r="AZ369" s="77" t="str">
        <f t="shared" si="145"/>
        <v/>
      </c>
      <c r="BA369" s="6" t="str">
        <f t="array" ref="BA369">_xlfn.IFNA((INDEX('DMR 001C TIN &amp; TP'!$A$3:$M$10005,MATCH(('Reg 85'!$AQ$6&amp;'Reg 85'!BA$10&amp;'Reg 85'!$B369),('DMR 001C TIN &amp; TP'!$E$3:$E$10005&amp;'DMR 001C TIN &amp; TP'!$B$3:$B$10005&amp;'DMR 001C TIN &amp; TP'!$A$3:$A$10005),0),MATCH('Reg 85'!$AG$11,'DMR 001C TIN &amp; TP'!$A$2:$M$2,0))),"")</f>
        <v/>
      </c>
      <c r="BB369" s="6" t="str">
        <f t="array" ref="BB369">_xlfn.IFNA((INDEX('DMR 001C TIN &amp; TP'!$A$3:$M$10005,MATCH(('Reg 85'!$AQ$6&amp;'Reg 85'!BB$10&amp;'Reg 85'!$B369),('DMR 001C TIN &amp; TP'!$E$3:$E$10005&amp;'DMR 001C TIN &amp; TP'!$B$3:$B$10005&amp;'DMR 001C TIN &amp; TP'!$A$3:$A$10005),0),MATCH('Reg 85'!$AG$11,'DMR 001C TIN &amp; TP'!$A$2:$M$2,0))),"")</f>
        <v/>
      </c>
      <c r="BC369" s="6" t="str">
        <f t="array" ref="BC369">_xlfn.IFNA((INDEX('DMR 001C TIN &amp; TP'!$A$3:$M$10005,MATCH(('Reg 85'!$AQ$6&amp;'Reg 85'!BC$10&amp;'Reg 85'!$B369),('DMR 001C TIN &amp; TP'!$E$3:$E$10005&amp;'DMR 001C TIN &amp; TP'!$B$3:$B$10005&amp;'DMR 001C TIN &amp; TP'!$A$3:$A$10005),0),MATCH('Reg 85'!$AG$11,'DMR 001C TIN &amp; TP'!$A$2:$M$2,0))),"")</f>
        <v/>
      </c>
      <c r="BD369" s="6" t="str">
        <f t="array" ref="BD369">_xlfn.IFNA((INDEX('DMR 001C TIN &amp; TP'!$A$3:$M$10005,MATCH(('Reg 85'!$AQ$6&amp;'Reg 85'!BD$10&amp;'Reg 85'!$B369),('DMR 001C TIN &amp; TP'!$E$3:$E$10005&amp;'DMR 001C TIN &amp; TP'!$B$3:$B$10005&amp;'DMR 001C TIN &amp; TP'!$A$3:$A$10005),0),MATCH('Reg 85'!$AG$11,'DMR 001C TIN &amp; TP'!$A$2:$M$2,0))),"")</f>
        <v/>
      </c>
      <c r="BE369" s="6" t="str">
        <f t="array" ref="BE369">_xlfn.IFNA((INDEX('DMR 001C TIN &amp; TP'!$A$3:$M$10005,MATCH(('Reg 85'!$AQ$6&amp;'Reg 85'!BE$10&amp;'Reg 85'!$B369),('DMR 001C TIN &amp; TP'!$E$3:$E$10005&amp;'DMR 001C TIN &amp; TP'!$B$3:$B$10005&amp;'DMR 001C TIN &amp; TP'!$A$3:$A$10005),0),MATCH('Reg 85'!$AG$11,'DMR 001C TIN &amp; TP'!$A$2:$M$2,0))),"")</f>
        <v/>
      </c>
      <c r="BF369" s="6" t="str">
        <f t="array" ref="BF369">_xlfn.IFNA((INDEX('DMR 001C TIN &amp; TP'!$A$3:$M$10005,MATCH(('Reg 85'!$AQ$6&amp;'Reg 85'!BF$10&amp;'Reg 85'!$B369),('DMR 001C TIN &amp; TP'!$E$3:$E$10005&amp;'DMR 001C TIN &amp; TP'!$B$3:$B$10005&amp;'DMR 001C TIN &amp; TP'!$A$3:$A$10005),0),MATCH('Reg 85'!$AG$11,'DMR 001C TIN &amp; TP'!$A$2:$M$2,0))),"")</f>
        <v/>
      </c>
    </row>
    <row r="370" spans="1:58">
      <c r="A370" s="3" t="str">
        <f t="shared" si="126"/>
        <v>Sun</v>
      </c>
      <c r="B370" s="96">
        <f t="shared" si="142"/>
        <v>43702</v>
      </c>
      <c r="C370" s="96">
        <f t="shared" si="127"/>
        <v>43708</v>
      </c>
      <c r="D370" s="96">
        <f t="shared" si="128"/>
        <v>43678</v>
      </c>
      <c r="E370" s="95">
        <f t="shared" si="129"/>
        <v>31</v>
      </c>
      <c r="F370" s="7">
        <f t="array" ref="F370">_xlfn.IFNA(INDEX('DMR Flows-Effluent'!$A$3:$F$9999,MATCH(($F$10&amp;$B370),('DMR Flows-Effluent'!$B$3:$B$9999&amp;'DMR Flows-Effluent'!$A$3:$A$9999),0),MATCH($F$8,'DMR Flows-Effluent'!$A$2:$F$2,0)),"")</f>
        <v>41.2331</v>
      </c>
      <c r="G370" s="7">
        <f t="array" ref="G370">_xlfn.IFNA(INDEX('DMR Flows-Effluent'!$A$3:$F$9999,MATCH(($G$10&amp;$B370),('DMR Flows-Effluent'!$B$3:$B$9999&amp;'DMR Flows-Effluent'!$A$3:$A$9999),0),MATCH($F$8,'DMR Flows-Effluent'!$A$2:$F$2,0)),"")</f>
        <v>81.317899999999995</v>
      </c>
      <c r="H370" s="7">
        <f t="shared" si="130"/>
        <v>122.55099999999999</v>
      </c>
      <c r="I370" s="45" t="str">
        <f t="shared" si="131"/>
        <v/>
      </c>
      <c r="J370" s="6" t="str">
        <f t="array" ref="J370">_xlfn.IFNA((INDEX('DMR 001C TIN &amp; TP'!$A$3:$M$10005,MATCH(('Reg 85'!$I$6:$Q$6&amp;'Reg 85'!$I$10:$K$10&amp;'Reg 85'!$B370),('DMR 001C TIN &amp; TP'!$E$3:$E$10005&amp;'DMR 001C TIN &amp; TP'!$B$3:$B$10005&amp;'DMR 001C TIN &amp; TP'!$A$3:$A$10005),0),MATCH('Reg 85'!$J$11,'DMR 001C TIN &amp; TP'!$A$2:$M$2,0))),"")</f>
        <v>0.15</v>
      </c>
      <c r="K370" s="6">
        <f t="array" ref="K370">_xlfn.IFNA((INDEX('DMR 001C TIN &amp; TP'!$A$3:$M$10005,MATCH(('Reg 85'!$I$6:$Q$6&amp;'Reg 85'!$I$10:$K$10&amp;'Reg 85'!$B370),('DMR 001C TIN &amp; TP'!$E$3:$E$10005&amp;'DMR 001C TIN &amp; TP'!$B$3:$B$10005&amp;'DMR 001C TIN &amp; TP'!$A$3:$A$10005),0),MATCH('Reg 85'!$K$11,'DMR 001C TIN &amp; TP'!$A$2:$M$2,0))),"")</f>
        <v>0.96</v>
      </c>
      <c r="L370" s="53">
        <f t="shared" si="143"/>
        <v>0.96</v>
      </c>
      <c r="M370" s="5" t="str">
        <f t="shared" si="132"/>
        <v/>
      </c>
      <c r="N370" s="6" t="str">
        <f t="array" ref="N370">_xlfn.IFNA((INDEX('DMR 001C TIN &amp; TP'!$A$3:$M$10005,MATCH(('Reg 85'!$I$6:$Q$6&amp;'Reg 85'!$M$10&amp;'Reg 85'!$B370),('DMR 001C TIN &amp; TP'!$E$3:$E$10005&amp;'DMR 001C TIN &amp; TP'!$B$3:$B$10005&amp;'DMR 001C TIN &amp; TP'!$A$3:$A$10005),0),MATCH('Reg 85'!$N$11,'DMR 001C TIN &amp; TP'!$A$2:$M$2,0))),"")</f>
        <v>0.15</v>
      </c>
      <c r="O370" s="6">
        <f t="array" ref="O370">_xlfn.IFNA((INDEX('DMR 001C TIN &amp; TP'!$A$3:$M$10005,MATCH(('Reg 85'!$I$6:$Q$6&amp;'Reg 85'!$M$10&amp;'Reg 85'!$B370),('DMR 001C TIN &amp; TP'!$E$3:$E$10005&amp;'DMR 001C TIN &amp; TP'!$B$3:$B$10005&amp;'DMR 001C TIN &amp; TP'!$A$3:$A$10005),0),MATCH('Reg 85'!$O$11,'DMR 001C TIN &amp; TP'!$A$2:$M$2,0))),"")</f>
        <v>1.65</v>
      </c>
      <c r="P370" s="53">
        <f t="shared" si="133"/>
        <v>1.65</v>
      </c>
      <c r="Q370" s="73">
        <f t="array" ref="Q370">IFERROR(((L370*$F370)+(P370*$G370))/($H370),"")</f>
        <v>1.4178449053863291</v>
      </c>
      <c r="R370" s="6" t="str">
        <f t="array" ref="R370">_xlfn.IFNA((INDEX('DMR 001C TIN &amp; TP'!$A$3:$M$10005,MATCH(('Reg 85'!$I$6:$Q$6&amp;'Reg 85'!R$10&amp;'Reg 85'!$B370),('DMR 001C TIN &amp; TP'!$E$3:$E$10005&amp;'DMR 001C TIN &amp; TP'!$B$3:$B$10005&amp;'DMR 001C TIN &amp; TP'!$A$3:$A$10005),0),MATCH('Reg 85'!$O$11,'DMR 001C TIN &amp; TP'!$A$2:$M$2,0))),"")</f>
        <v/>
      </c>
      <c r="S370" s="6" t="str">
        <f t="array" ref="S370">_xlfn.IFNA((INDEX('DMR 001C TIN &amp; TP'!$A$3:$M$10005,MATCH(('Reg 85'!$I$6:$Q$6&amp;'Reg 85'!S$10&amp;'Reg 85'!$B370),('DMR 001C TIN &amp; TP'!$E$3:$E$10005&amp;'DMR 001C TIN &amp; TP'!$B$3:$B$10005&amp;'DMR 001C TIN &amp; TP'!$A$3:$A$10005),0),MATCH('Reg 85'!$O$11,'DMR 001C TIN &amp; TP'!$A$2:$M$2,0))),"")</f>
        <v/>
      </c>
      <c r="T370" s="6" t="str">
        <f t="array" ref="T370">_xlfn.IFNA((INDEX('DMR 001C TIN &amp; TP'!$A$3:$M$10005,MATCH(('Reg 85'!$I$6:$Q$6&amp;'Reg 85'!T$10&amp;'Reg 85'!$B370),('DMR 001C TIN &amp; TP'!$E$3:$E$10005&amp;'DMR 001C TIN &amp; TP'!$B$3:$B$10005&amp;'DMR 001C TIN &amp; TP'!$A$3:$A$10005),0),MATCH('Reg 85'!$O$11,'DMR 001C TIN &amp; TP'!$A$2:$M$2,0))),"")</f>
        <v/>
      </c>
      <c r="U370" s="6" t="str">
        <f t="array" ref="U370">_xlfn.IFNA((INDEX('DMR 001C TIN &amp; TP'!$A$3:$M$10005,MATCH(('Reg 85'!$I$6:$Q$6&amp;'Reg 85'!U$10&amp;'Reg 85'!$B370),('DMR 001C TIN &amp; TP'!$E$3:$E$10005&amp;'DMR 001C TIN &amp; TP'!$B$3:$B$10005&amp;'DMR 001C TIN &amp; TP'!$A$3:$A$10005),0),MATCH('Reg 85'!$O$11,'DMR 001C TIN &amp; TP'!$A$2:$M$2,0))),"")</f>
        <v/>
      </c>
      <c r="V370" s="6" t="str">
        <f t="array" ref="V370">_xlfn.IFNA((INDEX('DMR 001C TIN &amp; TP'!$A$3:$M$10005,MATCH(('Reg 85'!$I$6:$Q$6&amp;'Reg 85'!V$10&amp;'Reg 85'!$B370),('DMR 001C TIN &amp; TP'!$E$3:$E$10005&amp;'DMR 001C TIN &amp; TP'!$B$3:$B$10005&amp;'DMR 001C TIN &amp; TP'!$A$3:$A$10005),0),MATCH('Reg 85'!$O$11,'DMR 001C TIN &amp; TP'!$A$2:$M$2,0))),"")</f>
        <v/>
      </c>
      <c r="W370" s="6" t="str">
        <f t="array" ref="W370">_xlfn.IFNA((INDEX('DMR 001C TIN &amp; TP'!$A$3:$M$10005,MATCH(('Reg 85'!$I$6:$Q$6&amp;'Reg 85'!W$10&amp;'Reg 85'!$B370),('DMR 001C TIN &amp; TP'!$E$3:$E$10005&amp;'DMR 001C TIN &amp; TP'!$B$3:$B$10005&amp;'DMR 001C TIN &amp; TP'!$A$3:$A$10005),0),MATCH('Reg 85'!$O$11,'DMR 001C TIN &amp; TP'!$A$2:$M$2,0))),"")</f>
        <v/>
      </c>
      <c r="X370" s="5" t="str">
        <f t="shared" si="134"/>
        <v/>
      </c>
      <c r="Y370" s="6" t="str">
        <f t="array" ref="Y370">_xlfn.IFNA((INDEX('DMR 001C TIN &amp; TP'!$A$3:$M$10005,MATCH(('Reg 85'!$X$6&amp;'Reg 85'!$X$10&amp;'Reg 85'!$B370),('DMR 001C TIN &amp; TP'!$E$3:$E$10005&amp;'DMR 001C TIN &amp; TP'!$B$3:$B$10005&amp;'DMR 001C TIN &amp; TP'!$A$3:$A$10005),0),MATCH('Reg 85'!$Y$11,'DMR 001C TIN &amp; TP'!$A$2:$M$2,0))),"")</f>
        <v>0.06</v>
      </c>
      <c r="Z370" s="6">
        <f t="array" ref="Z370">_xlfn.IFNA((INDEX('DMR 001C TIN &amp; TP'!$A$3:$M$10005,MATCH(('Reg 85'!$X$6&amp;'Reg 85'!$X$10&amp;'Reg 85'!$B370),('DMR 001C TIN &amp; TP'!$E$3:$E$10005&amp;'DMR 001C TIN &amp; TP'!$B$3:$B$10005&amp;'DMR 001C TIN &amp; TP'!$A$3:$A$10005),0),MATCH('Reg 85'!$Z$11,'DMR 001C TIN &amp; TP'!$A$2:$M$2,0))),"")</f>
        <v>5.46</v>
      </c>
      <c r="AA370" s="53">
        <f t="shared" si="135"/>
        <v>5.46</v>
      </c>
      <c r="AB370" s="5" t="str">
        <f t="shared" si="136"/>
        <v/>
      </c>
      <c r="AC370" s="6" t="str">
        <f t="array" ref="AC370">_xlfn.IFNA((INDEX('DMR 001C TIN &amp; TP'!$A$3:$M$10005,MATCH(('Reg 85'!$X$6&amp;'Reg 85'!$AB$10&amp;'Reg 85'!$B370),('DMR 001C TIN &amp; TP'!$E$3:$E$10005&amp;'DMR 001C TIN &amp; TP'!$B$3:$B$10005&amp;'DMR 001C TIN &amp; TP'!$A$3:$A$10005),0),MATCH('Reg 85'!$AC$11,'DMR 001C TIN &amp; TP'!$A$2:$M$2,0))),"")</f>
        <v>0.06</v>
      </c>
      <c r="AD370" s="6">
        <f t="array" ref="AD370">_xlfn.IFNA((INDEX('DMR 001C TIN &amp; TP'!$A$3:$M$10005,MATCH(('Reg 85'!$X$6&amp;'Reg 85'!$AB$10&amp;'Reg 85'!$B370),('DMR 001C TIN &amp; TP'!$E$3:$E$10005&amp;'DMR 001C TIN &amp; TP'!$B$3:$B$10005&amp;'DMR 001C TIN &amp; TP'!$A$3:$A$10005),0),MATCH('Reg 85'!$AD$11,'DMR 001C TIN &amp; TP'!$A$2:$M$2,0))),"")</f>
        <v>6.05</v>
      </c>
      <c r="AE370" s="53">
        <f t="shared" si="137"/>
        <v>6.05</v>
      </c>
      <c r="AF370" s="7">
        <f t="shared" si="138"/>
        <v>5.8514905712723682</v>
      </c>
      <c r="AG370" s="6" t="str">
        <f t="array" ref="AG370">_xlfn.IFNA((INDEX('DMR 001C TIN &amp; TP'!$A$3:$M$10005,MATCH(('Reg 85'!$X$6&amp;'Reg 85'!AG$10&amp;'Reg 85'!$B370),('DMR 001C TIN &amp; TP'!$E$3:$E$10005&amp;'DMR 001C TIN &amp; TP'!$B$3:$B$10005&amp;'DMR 001C TIN &amp; TP'!$A$3:$A$10005),0),MATCH('Reg 85'!$AG$11,'DMR 001C TIN &amp; TP'!$A$2:$M$2,0))),"")</f>
        <v/>
      </c>
      <c r="AH370" s="6" t="str">
        <f t="array" ref="AH370">_xlfn.IFNA((INDEX('DMR 001C TIN &amp; TP'!$A$3:$M$10005,MATCH(('Reg 85'!$X$6&amp;'Reg 85'!AH$10&amp;'Reg 85'!$B370),('DMR 001C TIN &amp; TP'!$E$3:$E$10005&amp;'DMR 001C TIN &amp; TP'!$B$3:$B$10005&amp;'DMR 001C TIN &amp; TP'!$A$3:$A$10005),0),MATCH('Reg 85'!$AG$11,'DMR 001C TIN &amp; TP'!$A$2:$M$2,0))),"")</f>
        <v/>
      </c>
      <c r="AI370" s="6" t="str">
        <f t="array" ref="AI370">_xlfn.IFNA((INDEX('DMR 001C TIN &amp; TP'!$A$3:$M$10005,MATCH(('Reg 85'!$X$6&amp;'Reg 85'!AI$10&amp;'Reg 85'!$B370),('DMR 001C TIN &amp; TP'!$E$3:$E$10005&amp;'DMR 001C TIN &amp; TP'!$B$3:$B$10005&amp;'DMR 001C TIN &amp; TP'!$A$3:$A$10005),0),MATCH('Reg 85'!$AG$11,'DMR 001C TIN &amp; TP'!$A$2:$M$2,0))),"")</f>
        <v/>
      </c>
      <c r="AJ370" s="6" t="str">
        <f t="array" ref="AJ370">_xlfn.IFNA((INDEX('DMR 001C TIN &amp; TP'!$A$3:$M$10005,MATCH(('Reg 85'!$X$6&amp;'Reg 85'!AJ$10&amp;'Reg 85'!$B370),('DMR 001C TIN &amp; TP'!$E$3:$E$10005&amp;'DMR 001C TIN &amp; TP'!$B$3:$B$10005&amp;'DMR 001C TIN &amp; TP'!$A$3:$A$10005),0),MATCH('Reg 85'!$AG$11,'DMR 001C TIN &amp; TP'!$A$2:$M$2,0))),"")</f>
        <v/>
      </c>
      <c r="AK370" s="6" t="str">
        <f t="array" ref="AK370">_xlfn.IFNA((INDEX('DMR 001C TIN &amp; TP'!$A$3:$M$10005,MATCH(('Reg 85'!$X$6&amp;'Reg 85'!AK$10&amp;'Reg 85'!$B370),('DMR 001C TIN &amp; TP'!$E$3:$E$10005&amp;'DMR 001C TIN &amp; TP'!$B$3:$B$10005&amp;'DMR 001C TIN &amp; TP'!$A$3:$A$10005),0),MATCH('Reg 85'!$AG$11,'DMR 001C TIN &amp; TP'!$A$2:$M$2,0))),"")</f>
        <v/>
      </c>
      <c r="AL370" s="6" t="str">
        <f t="array" ref="AL370">_xlfn.IFNA((INDEX('DMR 001C TIN &amp; TP'!$A$3:$M$10005,MATCH(('Reg 85'!$X$6&amp;'Reg 85'!AL$10&amp;'Reg 85'!$B370),('DMR 001C TIN &amp; TP'!$E$3:$E$10005&amp;'DMR 001C TIN &amp; TP'!$B$3:$B$10005&amp;'DMR 001C TIN &amp; TP'!$A$3:$A$10005),0),MATCH('Reg 85'!$AG$11,'DMR 001C TIN &amp; TP'!$A$2:$M$2,0))),"")</f>
        <v/>
      </c>
      <c r="AM370" s="76"/>
      <c r="AN370" s="6"/>
      <c r="AO370" s="54">
        <f t="shared" si="125"/>
        <v>7.2693354766586973</v>
      </c>
      <c r="AP370" s="77" t="str">
        <f t="shared" si="144"/>
        <v/>
      </c>
      <c r="AQ370" s="47"/>
      <c r="AR370" s="6" t="str">
        <f t="array" ref="AR370">_xlfn.IFNA((INDEX('DMR 001C TIN &amp; TP'!$A$3:$M$10005,MATCH(('Reg 85'!$AQ$6&amp;'Reg 85'!$AQ$10&amp;'Reg 85'!$B370),('DMR 001C TIN &amp; TP'!$E$3:$E$10005&amp;'DMR 001C TIN &amp; TP'!$B$3:$B$10005&amp;'DMR 001C TIN &amp; TP'!$A$3:$A$10005),0),MATCH('Reg 85'!$AR$11,'DMR 001C TIN &amp; TP'!$A$2:$M$2,0))),"")</f>
        <v/>
      </c>
      <c r="AS370" s="6" t="str">
        <f t="array" ref="AS370">_xlfn.IFNA((INDEX('DMR 001C TIN &amp; TP'!$A$3:$M$10005,MATCH(('Reg 85'!$AQ$6&amp;'Reg 85'!$AQ$10&amp;'Reg 85'!$B370),('DMR 001C TIN &amp; TP'!$E$3:$E$10005&amp;'DMR 001C TIN &amp; TP'!$B$3:$B$10005&amp;'DMR 001C TIN &amp; TP'!$A$3:$A$10005),0),MATCH('Reg 85'!$AS$11,'DMR 001C TIN &amp; TP'!$A$2:$M$2,0))),"")</f>
        <v/>
      </c>
      <c r="AT370" s="53" t="str">
        <f t="shared" si="139"/>
        <v/>
      </c>
      <c r="AV370" s="6" t="str">
        <f t="array" ref="AV370">_xlfn.IFNA((INDEX('DMR 001C TIN &amp; TP'!$A$3:$M$10005,MATCH(('Reg 85'!$AQ$6&amp;'Reg 85'!$AU$10&amp;'Reg 85'!$B370),('DMR 001C TIN &amp; TP'!$E$3:$E$10005&amp;'DMR 001C TIN &amp; TP'!$B$3:$B$10005&amp;'DMR 001C TIN &amp; TP'!$A$3:$A$10005),0),MATCH('Reg 85'!$AV$11,'DMR 001C TIN &amp; TP'!$A$2:$M$2,0))),"")</f>
        <v/>
      </c>
      <c r="AW370" s="6" t="str">
        <f t="array" ref="AW370">_xlfn.IFNA((INDEX('DMR 001C TIN &amp; TP'!$A$3:$M$10005,MATCH(('Reg 85'!$AQ$6&amp;'Reg 85'!$AU$10&amp;'Reg 85'!$B370),('DMR 001C TIN &amp; TP'!$E$3:$E$10005&amp;'DMR 001C TIN &amp; TP'!$B$3:$B$10005&amp;'DMR 001C TIN &amp; TP'!$A$3:$A$10005),0),MATCH('Reg 85'!$AW$11,'DMR 001C TIN &amp; TP'!$A$2:$M$2,0))),"")</f>
        <v/>
      </c>
      <c r="AX370" s="53" t="str">
        <f t="shared" si="140"/>
        <v/>
      </c>
      <c r="AY370" s="55" t="str">
        <f t="shared" si="141"/>
        <v/>
      </c>
      <c r="AZ370" s="77" t="str">
        <f t="shared" si="145"/>
        <v/>
      </c>
      <c r="BA370" s="6" t="str">
        <f t="array" ref="BA370">_xlfn.IFNA((INDEX('DMR 001C TIN &amp; TP'!$A$3:$M$10005,MATCH(('Reg 85'!$AQ$6&amp;'Reg 85'!BA$10&amp;'Reg 85'!$B370),('DMR 001C TIN &amp; TP'!$E$3:$E$10005&amp;'DMR 001C TIN &amp; TP'!$B$3:$B$10005&amp;'DMR 001C TIN &amp; TP'!$A$3:$A$10005),0),MATCH('Reg 85'!$AG$11,'DMR 001C TIN &amp; TP'!$A$2:$M$2,0))),"")</f>
        <v/>
      </c>
      <c r="BB370" s="6" t="str">
        <f t="array" ref="BB370">_xlfn.IFNA((INDEX('DMR 001C TIN &amp; TP'!$A$3:$M$10005,MATCH(('Reg 85'!$AQ$6&amp;'Reg 85'!BB$10&amp;'Reg 85'!$B370),('DMR 001C TIN &amp; TP'!$E$3:$E$10005&amp;'DMR 001C TIN &amp; TP'!$B$3:$B$10005&amp;'DMR 001C TIN &amp; TP'!$A$3:$A$10005),0),MATCH('Reg 85'!$AG$11,'DMR 001C TIN &amp; TP'!$A$2:$M$2,0))),"")</f>
        <v/>
      </c>
      <c r="BC370" s="6" t="str">
        <f t="array" ref="BC370">_xlfn.IFNA((INDEX('DMR 001C TIN &amp; TP'!$A$3:$M$10005,MATCH(('Reg 85'!$AQ$6&amp;'Reg 85'!BC$10&amp;'Reg 85'!$B370),('DMR 001C TIN &amp; TP'!$E$3:$E$10005&amp;'DMR 001C TIN &amp; TP'!$B$3:$B$10005&amp;'DMR 001C TIN &amp; TP'!$A$3:$A$10005),0),MATCH('Reg 85'!$AG$11,'DMR 001C TIN &amp; TP'!$A$2:$M$2,0))),"")</f>
        <v/>
      </c>
      <c r="BD370" s="6" t="str">
        <f t="array" ref="BD370">_xlfn.IFNA((INDEX('DMR 001C TIN &amp; TP'!$A$3:$M$10005,MATCH(('Reg 85'!$AQ$6&amp;'Reg 85'!BD$10&amp;'Reg 85'!$B370),('DMR 001C TIN &amp; TP'!$E$3:$E$10005&amp;'DMR 001C TIN &amp; TP'!$B$3:$B$10005&amp;'DMR 001C TIN &amp; TP'!$A$3:$A$10005),0),MATCH('Reg 85'!$AG$11,'DMR 001C TIN &amp; TP'!$A$2:$M$2,0))),"")</f>
        <v/>
      </c>
      <c r="BE370" s="6" t="str">
        <f t="array" ref="BE370">_xlfn.IFNA((INDEX('DMR 001C TIN &amp; TP'!$A$3:$M$10005,MATCH(('Reg 85'!$AQ$6&amp;'Reg 85'!BE$10&amp;'Reg 85'!$B370),('DMR 001C TIN &amp; TP'!$E$3:$E$10005&amp;'DMR 001C TIN &amp; TP'!$B$3:$B$10005&amp;'DMR 001C TIN &amp; TP'!$A$3:$A$10005),0),MATCH('Reg 85'!$AG$11,'DMR 001C TIN &amp; TP'!$A$2:$M$2,0))),"")</f>
        <v/>
      </c>
      <c r="BF370" s="6" t="str">
        <f t="array" ref="BF370">_xlfn.IFNA((INDEX('DMR 001C TIN &amp; TP'!$A$3:$M$10005,MATCH(('Reg 85'!$AQ$6&amp;'Reg 85'!BF$10&amp;'Reg 85'!$B370),('DMR 001C TIN &amp; TP'!$E$3:$E$10005&amp;'DMR 001C TIN &amp; TP'!$B$3:$B$10005&amp;'DMR 001C TIN &amp; TP'!$A$3:$A$10005),0),MATCH('Reg 85'!$AG$11,'DMR 001C TIN &amp; TP'!$A$2:$M$2,0))),"")</f>
        <v/>
      </c>
    </row>
    <row r="371" spans="1:58">
      <c r="A371" s="3" t="str">
        <f t="shared" si="126"/>
        <v>Mon</v>
      </c>
      <c r="B371" s="96">
        <f t="shared" si="142"/>
        <v>43703</v>
      </c>
      <c r="C371" s="96">
        <f t="shared" si="127"/>
        <v>43708</v>
      </c>
      <c r="D371" s="96">
        <f t="shared" si="128"/>
        <v>43678</v>
      </c>
      <c r="E371" s="95">
        <f t="shared" si="129"/>
        <v>31</v>
      </c>
      <c r="F371" s="7">
        <f t="array" ref="F371">_xlfn.IFNA(INDEX('DMR Flows-Effluent'!$A$3:$F$9999,MATCH(($F$10&amp;$B371),('DMR Flows-Effluent'!$B$3:$B$9999&amp;'DMR Flows-Effluent'!$A$3:$A$9999),0),MATCH($F$8,'DMR Flows-Effluent'!$A$2:$F$2,0)),"")</f>
        <v>45.248399999999997</v>
      </c>
      <c r="G371" s="7">
        <f t="array" ref="G371">_xlfn.IFNA(INDEX('DMR Flows-Effluent'!$A$3:$F$9999,MATCH(($G$10&amp;$B371),('DMR Flows-Effluent'!$B$3:$B$9999&amp;'DMR Flows-Effluent'!$A$3:$A$9999),0),MATCH($F$8,'DMR Flows-Effluent'!$A$2:$F$2,0)),"")</f>
        <v>74.948700000000002</v>
      </c>
      <c r="H371" s="7">
        <f t="shared" si="130"/>
        <v>120.19710000000001</v>
      </c>
      <c r="I371" s="45" t="str">
        <f t="shared" si="131"/>
        <v/>
      </c>
      <c r="J371" s="6" t="str">
        <f t="array" ref="J371">_xlfn.IFNA((INDEX('DMR 001C TIN &amp; TP'!$A$3:$M$10005,MATCH(('Reg 85'!$I$6:$Q$6&amp;'Reg 85'!$I$10:$K$10&amp;'Reg 85'!$B371),('DMR 001C TIN &amp; TP'!$E$3:$E$10005&amp;'DMR 001C TIN &amp; TP'!$B$3:$B$10005&amp;'DMR 001C TIN &amp; TP'!$A$3:$A$10005),0),MATCH('Reg 85'!$J$11,'DMR 001C TIN &amp; TP'!$A$2:$M$2,0))),"")</f>
        <v/>
      </c>
      <c r="K371" s="6" t="str">
        <f t="array" ref="K371">_xlfn.IFNA((INDEX('DMR 001C TIN &amp; TP'!$A$3:$M$10005,MATCH(('Reg 85'!$I$6:$Q$6&amp;'Reg 85'!$I$10:$K$10&amp;'Reg 85'!$B371),('DMR 001C TIN &amp; TP'!$E$3:$E$10005&amp;'DMR 001C TIN &amp; TP'!$B$3:$B$10005&amp;'DMR 001C TIN &amp; TP'!$A$3:$A$10005),0),MATCH('Reg 85'!$K$11,'DMR 001C TIN &amp; TP'!$A$2:$M$2,0))),"")</f>
        <v/>
      </c>
      <c r="L371" s="53" t="str">
        <f t="shared" si="143"/>
        <v/>
      </c>
      <c r="M371" s="5" t="str">
        <f t="shared" si="132"/>
        <v/>
      </c>
      <c r="N371" s="6" t="str">
        <f t="array" ref="N371">_xlfn.IFNA((INDEX('DMR 001C TIN &amp; TP'!$A$3:$M$10005,MATCH(('Reg 85'!$I$6:$Q$6&amp;'Reg 85'!$M$10&amp;'Reg 85'!$B371),('DMR 001C TIN &amp; TP'!$E$3:$E$10005&amp;'DMR 001C TIN &amp; TP'!$B$3:$B$10005&amp;'DMR 001C TIN &amp; TP'!$A$3:$A$10005),0),MATCH('Reg 85'!$N$11,'DMR 001C TIN &amp; TP'!$A$2:$M$2,0))),"")</f>
        <v/>
      </c>
      <c r="O371" s="6" t="str">
        <f t="array" ref="O371">_xlfn.IFNA((INDEX('DMR 001C TIN &amp; TP'!$A$3:$M$10005,MATCH(('Reg 85'!$I$6:$Q$6&amp;'Reg 85'!$M$10&amp;'Reg 85'!$B371),('DMR 001C TIN &amp; TP'!$E$3:$E$10005&amp;'DMR 001C TIN &amp; TP'!$B$3:$B$10005&amp;'DMR 001C TIN &amp; TP'!$A$3:$A$10005),0),MATCH('Reg 85'!$O$11,'DMR 001C TIN &amp; TP'!$A$2:$M$2,0))),"")</f>
        <v/>
      </c>
      <c r="P371" s="53" t="str">
        <f t="shared" si="133"/>
        <v/>
      </c>
      <c r="Q371" s="73" t="str">
        <f t="array" ref="Q371">IFERROR(((L371*$F371)+(P371*$G371))/($H371),"")</f>
        <v/>
      </c>
      <c r="R371" s="6" t="str">
        <f t="array" ref="R371">_xlfn.IFNA((INDEX('DMR 001C TIN &amp; TP'!$A$3:$M$10005,MATCH(('Reg 85'!$I$6:$Q$6&amp;'Reg 85'!R$10&amp;'Reg 85'!$B371),('DMR 001C TIN &amp; TP'!$E$3:$E$10005&amp;'DMR 001C TIN &amp; TP'!$B$3:$B$10005&amp;'DMR 001C TIN &amp; TP'!$A$3:$A$10005),0),MATCH('Reg 85'!$O$11,'DMR 001C TIN &amp; TP'!$A$2:$M$2,0))),"")</f>
        <v/>
      </c>
      <c r="S371" s="6" t="str">
        <f t="array" ref="S371">_xlfn.IFNA((INDEX('DMR 001C TIN &amp; TP'!$A$3:$M$10005,MATCH(('Reg 85'!$I$6:$Q$6&amp;'Reg 85'!S$10&amp;'Reg 85'!$B371),('DMR 001C TIN &amp; TP'!$E$3:$E$10005&amp;'DMR 001C TIN &amp; TP'!$B$3:$B$10005&amp;'DMR 001C TIN &amp; TP'!$A$3:$A$10005),0),MATCH('Reg 85'!$O$11,'DMR 001C TIN &amp; TP'!$A$2:$M$2,0))),"")</f>
        <v/>
      </c>
      <c r="T371" s="6" t="str">
        <f t="array" ref="T371">_xlfn.IFNA((INDEX('DMR 001C TIN &amp; TP'!$A$3:$M$10005,MATCH(('Reg 85'!$I$6:$Q$6&amp;'Reg 85'!T$10&amp;'Reg 85'!$B371),('DMR 001C TIN &amp; TP'!$E$3:$E$10005&amp;'DMR 001C TIN &amp; TP'!$B$3:$B$10005&amp;'DMR 001C TIN &amp; TP'!$A$3:$A$10005),0),MATCH('Reg 85'!$O$11,'DMR 001C TIN &amp; TP'!$A$2:$M$2,0))),"")</f>
        <v/>
      </c>
      <c r="U371" s="6" t="str">
        <f t="array" ref="U371">_xlfn.IFNA((INDEX('DMR 001C TIN &amp; TP'!$A$3:$M$10005,MATCH(('Reg 85'!$I$6:$Q$6&amp;'Reg 85'!U$10&amp;'Reg 85'!$B371),('DMR 001C TIN &amp; TP'!$E$3:$E$10005&amp;'DMR 001C TIN &amp; TP'!$B$3:$B$10005&amp;'DMR 001C TIN &amp; TP'!$A$3:$A$10005),0),MATCH('Reg 85'!$O$11,'DMR 001C TIN &amp; TP'!$A$2:$M$2,0))),"")</f>
        <v/>
      </c>
      <c r="V371" s="6" t="str">
        <f t="array" ref="V371">_xlfn.IFNA((INDEX('DMR 001C TIN &amp; TP'!$A$3:$M$10005,MATCH(('Reg 85'!$I$6:$Q$6&amp;'Reg 85'!V$10&amp;'Reg 85'!$B371),('DMR 001C TIN &amp; TP'!$E$3:$E$10005&amp;'DMR 001C TIN &amp; TP'!$B$3:$B$10005&amp;'DMR 001C TIN &amp; TP'!$A$3:$A$10005),0),MATCH('Reg 85'!$O$11,'DMR 001C TIN &amp; TP'!$A$2:$M$2,0))),"")</f>
        <v/>
      </c>
      <c r="W371" s="6" t="str">
        <f t="array" ref="W371">_xlfn.IFNA((INDEX('DMR 001C TIN &amp; TP'!$A$3:$M$10005,MATCH(('Reg 85'!$I$6:$Q$6&amp;'Reg 85'!W$10&amp;'Reg 85'!$B371),('DMR 001C TIN &amp; TP'!$E$3:$E$10005&amp;'DMR 001C TIN &amp; TP'!$B$3:$B$10005&amp;'DMR 001C TIN &amp; TP'!$A$3:$A$10005),0),MATCH('Reg 85'!$O$11,'DMR 001C TIN &amp; TP'!$A$2:$M$2,0))),"")</f>
        <v/>
      </c>
      <c r="X371" s="5" t="str">
        <f t="shared" si="134"/>
        <v/>
      </c>
      <c r="Y371" s="6" t="str">
        <f t="array" ref="Y371">_xlfn.IFNA((INDEX('DMR 001C TIN &amp; TP'!$A$3:$M$10005,MATCH(('Reg 85'!$X$6&amp;'Reg 85'!$X$10&amp;'Reg 85'!$B371),('DMR 001C TIN &amp; TP'!$E$3:$E$10005&amp;'DMR 001C TIN &amp; TP'!$B$3:$B$10005&amp;'DMR 001C TIN &amp; TP'!$A$3:$A$10005),0),MATCH('Reg 85'!$Y$11,'DMR 001C TIN &amp; TP'!$A$2:$M$2,0))),"")</f>
        <v/>
      </c>
      <c r="Z371" s="6" t="str">
        <f t="array" ref="Z371">_xlfn.IFNA((INDEX('DMR 001C TIN &amp; TP'!$A$3:$M$10005,MATCH(('Reg 85'!$X$6&amp;'Reg 85'!$X$10&amp;'Reg 85'!$B371),('DMR 001C TIN &amp; TP'!$E$3:$E$10005&amp;'DMR 001C TIN &amp; TP'!$B$3:$B$10005&amp;'DMR 001C TIN &amp; TP'!$A$3:$A$10005),0),MATCH('Reg 85'!$Z$11,'DMR 001C TIN &amp; TP'!$A$2:$M$2,0))),"")</f>
        <v/>
      </c>
      <c r="AA371" s="53" t="str">
        <f t="shared" si="135"/>
        <v/>
      </c>
      <c r="AB371" s="5" t="str">
        <f t="shared" si="136"/>
        <v/>
      </c>
      <c r="AC371" s="6" t="str">
        <f t="array" ref="AC371">_xlfn.IFNA((INDEX('DMR 001C TIN &amp; TP'!$A$3:$M$10005,MATCH(('Reg 85'!$X$6&amp;'Reg 85'!$AB$10&amp;'Reg 85'!$B371),('DMR 001C TIN &amp; TP'!$E$3:$E$10005&amp;'DMR 001C TIN &amp; TP'!$B$3:$B$10005&amp;'DMR 001C TIN &amp; TP'!$A$3:$A$10005),0),MATCH('Reg 85'!$AC$11,'DMR 001C TIN &amp; TP'!$A$2:$M$2,0))),"")</f>
        <v/>
      </c>
      <c r="AD371" s="6" t="str">
        <f t="array" ref="AD371">_xlfn.IFNA((INDEX('DMR 001C TIN &amp; TP'!$A$3:$M$10005,MATCH(('Reg 85'!$X$6&amp;'Reg 85'!$AB$10&amp;'Reg 85'!$B371),('DMR 001C TIN &amp; TP'!$E$3:$E$10005&amp;'DMR 001C TIN &amp; TP'!$B$3:$B$10005&amp;'DMR 001C TIN &amp; TP'!$A$3:$A$10005),0),MATCH('Reg 85'!$AD$11,'DMR 001C TIN &amp; TP'!$A$2:$M$2,0))),"")</f>
        <v/>
      </c>
      <c r="AE371" s="53" t="str">
        <f t="shared" si="137"/>
        <v/>
      </c>
      <c r="AF371" s="7" t="str">
        <f t="shared" si="138"/>
        <v/>
      </c>
      <c r="AG371" s="6" t="str">
        <f t="array" ref="AG371">_xlfn.IFNA((INDEX('DMR 001C TIN &amp; TP'!$A$3:$M$10005,MATCH(('Reg 85'!$X$6&amp;'Reg 85'!AG$10&amp;'Reg 85'!$B371),('DMR 001C TIN &amp; TP'!$E$3:$E$10005&amp;'DMR 001C TIN &amp; TP'!$B$3:$B$10005&amp;'DMR 001C TIN &amp; TP'!$A$3:$A$10005),0),MATCH('Reg 85'!$AG$11,'DMR 001C TIN &amp; TP'!$A$2:$M$2,0))),"")</f>
        <v/>
      </c>
      <c r="AH371" s="6" t="str">
        <f t="array" ref="AH371">_xlfn.IFNA((INDEX('DMR 001C TIN &amp; TP'!$A$3:$M$10005,MATCH(('Reg 85'!$X$6&amp;'Reg 85'!AH$10&amp;'Reg 85'!$B371),('DMR 001C TIN &amp; TP'!$E$3:$E$10005&amp;'DMR 001C TIN &amp; TP'!$B$3:$B$10005&amp;'DMR 001C TIN &amp; TP'!$A$3:$A$10005),0),MATCH('Reg 85'!$AG$11,'DMR 001C TIN &amp; TP'!$A$2:$M$2,0))),"")</f>
        <v/>
      </c>
      <c r="AI371" s="6" t="str">
        <f t="array" ref="AI371">_xlfn.IFNA((INDEX('DMR 001C TIN &amp; TP'!$A$3:$M$10005,MATCH(('Reg 85'!$X$6&amp;'Reg 85'!AI$10&amp;'Reg 85'!$B371),('DMR 001C TIN &amp; TP'!$E$3:$E$10005&amp;'DMR 001C TIN &amp; TP'!$B$3:$B$10005&amp;'DMR 001C TIN &amp; TP'!$A$3:$A$10005),0),MATCH('Reg 85'!$AG$11,'DMR 001C TIN &amp; TP'!$A$2:$M$2,0))),"")</f>
        <v/>
      </c>
      <c r="AJ371" s="6" t="str">
        <f t="array" ref="AJ371">_xlfn.IFNA((INDEX('DMR 001C TIN &amp; TP'!$A$3:$M$10005,MATCH(('Reg 85'!$X$6&amp;'Reg 85'!AJ$10&amp;'Reg 85'!$B371),('DMR 001C TIN &amp; TP'!$E$3:$E$10005&amp;'DMR 001C TIN &amp; TP'!$B$3:$B$10005&amp;'DMR 001C TIN &amp; TP'!$A$3:$A$10005),0),MATCH('Reg 85'!$AG$11,'DMR 001C TIN &amp; TP'!$A$2:$M$2,0))),"")</f>
        <v/>
      </c>
      <c r="AK371" s="6" t="str">
        <f t="array" ref="AK371">_xlfn.IFNA((INDEX('DMR 001C TIN &amp; TP'!$A$3:$M$10005,MATCH(('Reg 85'!$X$6&amp;'Reg 85'!AK$10&amp;'Reg 85'!$B371),('DMR 001C TIN &amp; TP'!$E$3:$E$10005&amp;'DMR 001C TIN &amp; TP'!$B$3:$B$10005&amp;'DMR 001C TIN &amp; TP'!$A$3:$A$10005),0),MATCH('Reg 85'!$AG$11,'DMR 001C TIN &amp; TP'!$A$2:$M$2,0))),"")</f>
        <v/>
      </c>
      <c r="AL371" s="6" t="str">
        <f t="array" ref="AL371">_xlfn.IFNA((INDEX('DMR 001C TIN &amp; TP'!$A$3:$M$10005,MATCH(('Reg 85'!$X$6&amp;'Reg 85'!AL$10&amp;'Reg 85'!$B371),('DMR 001C TIN &amp; TP'!$E$3:$E$10005&amp;'DMR 001C TIN &amp; TP'!$B$3:$B$10005&amp;'DMR 001C TIN &amp; TP'!$A$3:$A$10005),0),MATCH('Reg 85'!$AG$11,'DMR 001C TIN &amp; TP'!$A$2:$M$2,0))),"")</f>
        <v/>
      </c>
      <c r="AM371" s="76"/>
      <c r="AN371" s="6"/>
      <c r="AO371" s="54" t="str">
        <f t="shared" si="125"/>
        <v/>
      </c>
      <c r="AP371" s="77" t="str">
        <f t="shared" si="144"/>
        <v/>
      </c>
      <c r="AQ371" s="47"/>
      <c r="AR371" s="6" t="str">
        <f t="array" ref="AR371">_xlfn.IFNA((INDEX('DMR 001C TIN &amp; TP'!$A$3:$M$10005,MATCH(('Reg 85'!$AQ$6&amp;'Reg 85'!$AQ$10&amp;'Reg 85'!$B371),('DMR 001C TIN &amp; TP'!$E$3:$E$10005&amp;'DMR 001C TIN &amp; TP'!$B$3:$B$10005&amp;'DMR 001C TIN &amp; TP'!$A$3:$A$10005),0),MATCH('Reg 85'!$AR$11,'DMR 001C TIN &amp; TP'!$A$2:$M$2,0))),"")</f>
        <v/>
      </c>
      <c r="AS371" s="6" t="str">
        <f t="array" ref="AS371">_xlfn.IFNA((INDEX('DMR 001C TIN &amp; TP'!$A$3:$M$10005,MATCH(('Reg 85'!$AQ$6&amp;'Reg 85'!$AQ$10&amp;'Reg 85'!$B371),('DMR 001C TIN &amp; TP'!$E$3:$E$10005&amp;'DMR 001C TIN &amp; TP'!$B$3:$B$10005&amp;'DMR 001C TIN &amp; TP'!$A$3:$A$10005),0),MATCH('Reg 85'!$AS$11,'DMR 001C TIN &amp; TP'!$A$2:$M$2,0))),"")</f>
        <v/>
      </c>
      <c r="AT371" s="53" t="str">
        <f t="shared" si="139"/>
        <v/>
      </c>
      <c r="AV371" s="6" t="str">
        <f t="array" ref="AV371">_xlfn.IFNA((INDEX('DMR 001C TIN &amp; TP'!$A$3:$M$10005,MATCH(('Reg 85'!$AQ$6&amp;'Reg 85'!$AU$10&amp;'Reg 85'!$B371),('DMR 001C TIN &amp; TP'!$E$3:$E$10005&amp;'DMR 001C TIN &amp; TP'!$B$3:$B$10005&amp;'DMR 001C TIN &amp; TP'!$A$3:$A$10005),0),MATCH('Reg 85'!$AV$11,'DMR 001C TIN &amp; TP'!$A$2:$M$2,0))),"")</f>
        <v/>
      </c>
      <c r="AW371" s="6" t="str">
        <f t="array" ref="AW371">_xlfn.IFNA((INDEX('DMR 001C TIN &amp; TP'!$A$3:$M$10005,MATCH(('Reg 85'!$AQ$6&amp;'Reg 85'!$AU$10&amp;'Reg 85'!$B371),('DMR 001C TIN &amp; TP'!$E$3:$E$10005&amp;'DMR 001C TIN &amp; TP'!$B$3:$B$10005&amp;'DMR 001C TIN &amp; TP'!$A$3:$A$10005),0),MATCH('Reg 85'!$AW$11,'DMR 001C TIN &amp; TP'!$A$2:$M$2,0))),"")</f>
        <v/>
      </c>
      <c r="AX371" s="53" t="str">
        <f t="shared" si="140"/>
        <v/>
      </c>
      <c r="AY371" s="55" t="str">
        <f t="shared" si="141"/>
        <v/>
      </c>
      <c r="AZ371" s="77" t="str">
        <f t="shared" si="145"/>
        <v/>
      </c>
      <c r="BA371" s="6" t="str">
        <f t="array" ref="BA371">_xlfn.IFNA((INDEX('DMR 001C TIN &amp; TP'!$A$3:$M$10005,MATCH(('Reg 85'!$AQ$6&amp;'Reg 85'!BA$10&amp;'Reg 85'!$B371),('DMR 001C TIN &amp; TP'!$E$3:$E$10005&amp;'DMR 001C TIN &amp; TP'!$B$3:$B$10005&amp;'DMR 001C TIN &amp; TP'!$A$3:$A$10005),0),MATCH('Reg 85'!$AG$11,'DMR 001C TIN &amp; TP'!$A$2:$M$2,0))),"")</f>
        <v/>
      </c>
      <c r="BB371" s="6" t="str">
        <f t="array" ref="BB371">_xlfn.IFNA((INDEX('DMR 001C TIN &amp; TP'!$A$3:$M$10005,MATCH(('Reg 85'!$AQ$6&amp;'Reg 85'!BB$10&amp;'Reg 85'!$B371),('DMR 001C TIN &amp; TP'!$E$3:$E$10005&amp;'DMR 001C TIN &amp; TP'!$B$3:$B$10005&amp;'DMR 001C TIN &amp; TP'!$A$3:$A$10005),0),MATCH('Reg 85'!$AG$11,'DMR 001C TIN &amp; TP'!$A$2:$M$2,0))),"")</f>
        <v/>
      </c>
      <c r="BC371" s="6" t="str">
        <f t="array" ref="BC371">_xlfn.IFNA((INDEX('DMR 001C TIN &amp; TP'!$A$3:$M$10005,MATCH(('Reg 85'!$AQ$6&amp;'Reg 85'!BC$10&amp;'Reg 85'!$B371),('DMR 001C TIN &amp; TP'!$E$3:$E$10005&amp;'DMR 001C TIN &amp; TP'!$B$3:$B$10005&amp;'DMR 001C TIN &amp; TP'!$A$3:$A$10005),0),MATCH('Reg 85'!$AG$11,'DMR 001C TIN &amp; TP'!$A$2:$M$2,0))),"")</f>
        <v/>
      </c>
      <c r="BD371" s="6" t="str">
        <f t="array" ref="BD371">_xlfn.IFNA((INDEX('DMR 001C TIN &amp; TP'!$A$3:$M$10005,MATCH(('Reg 85'!$AQ$6&amp;'Reg 85'!BD$10&amp;'Reg 85'!$B371),('DMR 001C TIN &amp; TP'!$E$3:$E$10005&amp;'DMR 001C TIN &amp; TP'!$B$3:$B$10005&amp;'DMR 001C TIN &amp; TP'!$A$3:$A$10005),0),MATCH('Reg 85'!$AG$11,'DMR 001C TIN &amp; TP'!$A$2:$M$2,0))),"")</f>
        <v/>
      </c>
      <c r="BE371" s="6" t="str">
        <f t="array" ref="BE371">_xlfn.IFNA((INDEX('DMR 001C TIN &amp; TP'!$A$3:$M$10005,MATCH(('Reg 85'!$AQ$6&amp;'Reg 85'!BE$10&amp;'Reg 85'!$B371),('DMR 001C TIN &amp; TP'!$E$3:$E$10005&amp;'DMR 001C TIN &amp; TP'!$B$3:$B$10005&amp;'DMR 001C TIN &amp; TP'!$A$3:$A$10005),0),MATCH('Reg 85'!$AG$11,'DMR 001C TIN &amp; TP'!$A$2:$M$2,0))),"")</f>
        <v/>
      </c>
      <c r="BF371" s="6" t="str">
        <f t="array" ref="BF371">_xlfn.IFNA((INDEX('DMR 001C TIN &amp; TP'!$A$3:$M$10005,MATCH(('Reg 85'!$AQ$6&amp;'Reg 85'!BF$10&amp;'Reg 85'!$B371),('DMR 001C TIN &amp; TP'!$E$3:$E$10005&amp;'DMR 001C TIN &amp; TP'!$B$3:$B$10005&amp;'DMR 001C TIN &amp; TP'!$A$3:$A$10005),0),MATCH('Reg 85'!$AG$11,'DMR 001C TIN &amp; TP'!$A$2:$M$2,0))),"")</f>
        <v/>
      </c>
    </row>
    <row r="372" spans="1:58">
      <c r="A372" s="3" t="str">
        <f t="shared" si="126"/>
        <v>Tue</v>
      </c>
      <c r="B372" s="96">
        <f t="shared" si="142"/>
        <v>43704</v>
      </c>
      <c r="C372" s="96">
        <f t="shared" si="127"/>
        <v>43708</v>
      </c>
      <c r="D372" s="96">
        <f t="shared" si="128"/>
        <v>43678</v>
      </c>
      <c r="E372" s="95">
        <f t="shared" si="129"/>
        <v>31</v>
      </c>
      <c r="F372" s="7">
        <f t="array" ref="F372">_xlfn.IFNA(INDEX('DMR Flows-Effluent'!$A$3:$F$9999,MATCH(($F$10&amp;$B372),('DMR Flows-Effluent'!$B$3:$B$9999&amp;'DMR Flows-Effluent'!$A$3:$A$9999),0),MATCH($F$8,'DMR Flows-Effluent'!$A$2:$F$2,0)),"")</f>
        <v>41.087200000000003</v>
      </c>
      <c r="G372" s="7">
        <f t="array" ref="G372">_xlfn.IFNA(INDEX('DMR Flows-Effluent'!$A$3:$F$9999,MATCH(($G$10&amp;$B372),('DMR Flows-Effluent'!$B$3:$B$9999&amp;'DMR Flows-Effluent'!$A$3:$A$9999),0),MATCH($F$8,'DMR Flows-Effluent'!$A$2:$F$2,0)),"")</f>
        <v>75.825999999999993</v>
      </c>
      <c r="H372" s="7">
        <f t="shared" si="130"/>
        <v>116.91319999999999</v>
      </c>
      <c r="I372" s="45" t="str">
        <f t="shared" si="131"/>
        <v/>
      </c>
      <c r="J372" s="6" t="str">
        <f t="array" ref="J372">_xlfn.IFNA((INDEX('DMR 001C TIN &amp; TP'!$A$3:$M$10005,MATCH(('Reg 85'!$I$6:$Q$6&amp;'Reg 85'!$I$10:$K$10&amp;'Reg 85'!$B372),('DMR 001C TIN &amp; TP'!$E$3:$E$10005&amp;'DMR 001C TIN &amp; TP'!$B$3:$B$10005&amp;'DMR 001C TIN &amp; TP'!$A$3:$A$10005),0),MATCH('Reg 85'!$J$11,'DMR 001C TIN &amp; TP'!$A$2:$M$2,0))),"")</f>
        <v/>
      </c>
      <c r="K372" s="6" t="str">
        <f t="array" ref="K372">_xlfn.IFNA((INDEX('DMR 001C TIN &amp; TP'!$A$3:$M$10005,MATCH(('Reg 85'!$I$6:$Q$6&amp;'Reg 85'!$I$10:$K$10&amp;'Reg 85'!$B372),('DMR 001C TIN &amp; TP'!$E$3:$E$10005&amp;'DMR 001C TIN &amp; TP'!$B$3:$B$10005&amp;'DMR 001C TIN &amp; TP'!$A$3:$A$10005),0),MATCH('Reg 85'!$K$11,'DMR 001C TIN &amp; TP'!$A$2:$M$2,0))),"")</f>
        <v/>
      </c>
      <c r="L372" s="53" t="str">
        <f t="shared" si="143"/>
        <v/>
      </c>
      <c r="M372" s="5" t="str">
        <f t="shared" si="132"/>
        <v/>
      </c>
      <c r="N372" s="6" t="str">
        <f t="array" ref="N372">_xlfn.IFNA((INDEX('DMR 001C TIN &amp; TP'!$A$3:$M$10005,MATCH(('Reg 85'!$I$6:$Q$6&amp;'Reg 85'!$M$10&amp;'Reg 85'!$B372),('DMR 001C TIN &amp; TP'!$E$3:$E$10005&amp;'DMR 001C TIN &amp; TP'!$B$3:$B$10005&amp;'DMR 001C TIN &amp; TP'!$A$3:$A$10005),0),MATCH('Reg 85'!$N$11,'DMR 001C TIN &amp; TP'!$A$2:$M$2,0))),"")</f>
        <v/>
      </c>
      <c r="O372" s="6" t="str">
        <f t="array" ref="O372">_xlfn.IFNA((INDEX('DMR 001C TIN &amp; TP'!$A$3:$M$10005,MATCH(('Reg 85'!$I$6:$Q$6&amp;'Reg 85'!$M$10&amp;'Reg 85'!$B372),('DMR 001C TIN &amp; TP'!$E$3:$E$10005&amp;'DMR 001C TIN &amp; TP'!$B$3:$B$10005&amp;'DMR 001C TIN &amp; TP'!$A$3:$A$10005),0),MATCH('Reg 85'!$O$11,'DMR 001C TIN &amp; TP'!$A$2:$M$2,0))),"")</f>
        <v/>
      </c>
      <c r="P372" s="53" t="str">
        <f t="shared" si="133"/>
        <v/>
      </c>
      <c r="Q372" s="73" t="str">
        <f t="array" ref="Q372">IFERROR(((L372*$F372)+(P372*$G372))/($H372),"")</f>
        <v/>
      </c>
      <c r="R372" s="6" t="str">
        <f t="array" ref="R372">_xlfn.IFNA((INDEX('DMR 001C TIN &amp; TP'!$A$3:$M$10005,MATCH(('Reg 85'!$I$6:$Q$6&amp;'Reg 85'!R$10&amp;'Reg 85'!$B372),('DMR 001C TIN &amp; TP'!$E$3:$E$10005&amp;'DMR 001C TIN &amp; TP'!$B$3:$B$10005&amp;'DMR 001C TIN &amp; TP'!$A$3:$A$10005),0),MATCH('Reg 85'!$O$11,'DMR 001C TIN &amp; TP'!$A$2:$M$2,0))),"")</f>
        <v/>
      </c>
      <c r="S372" s="6" t="str">
        <f t="array" ref="S372">_xlfn.IFNA((INDEX('DMR 001C TIN &amp; TP'!$A$3:$M$10005,MATCH(('Reg 85'!$I$6:$Q$6&amp;'Reg 85'!S$10&amp;'Reg 85'!$B372),('DMR 001C TIN &amp; TP'!$E$3:$E$10005&amp;'DMR 001C TIN &amp; TP'!$B$3:$B$10005&amp;'DMR 001C TIN &amp; TP'!$A$3:$A$10005),0),MATCH('Reg 85'!$O$11,'DMR 001C TIN &amp; TP'!$A$2:$M$2,0))),"")</f>
        <v/>
      </c>
      <c r="T372" s="6" t="str">
        <f t="array" ref="T372">_xlfn.IFNA((INDEX('DMR 001C TIN &amp; TP'!$A$3:$M$10005,MATCH(('Reg 85'!$I$6:$Q$6&amp;'Reg 85'!T$10&amp;'Reg 85'!$B372),('DMR 001C TIN &amp; TP'!$E$3:$E$10005&amp;'DMR 001C TIN &amp; TP'!$B$3:$B$10005&amp;'DMR 001C TIN &amp; TP'!$A$3:$A$10005),0),MATCH('Reg 85'!$O$11,'DMR 001C TIN &amp; TP'!$A$2:$M$2,0))),"")</f>
        <v/>
      </c>
      <c r="U372" s="6" t="str">
        <f t="array" ref="U372">_xlfn.IFNA((INDEX('DMR 001C TIN &amp; TP'!$A$3:$M$10005,MATCH(('Reg 85'!$I$6:$Q$6&amp;'Reg 85'!U$10&amp;'Reg 85'!$B372),('DMR 001C TIN &amp; TP'!$E$3:$E$10005&amp;'DMR 001C TIN &amp; TP'!$B$3:$B$10005&amp;'DMR 001C TIN &amp; TP'!$A$3:$A$10005),0),MATCH('Reg 85'!$O$11,'DMR 001C TIN &amp; TP'!$A$2:$M$2,0))),"")</f>
        <v/>
      </c>
      <c r="V372" s="6" t="str">
        <f t="array" ref="V372">_xlfn.IFNA((INDEX('DMR 001C TIN &amp; TP'!$A$3:$M$10005,MATCH(('Reg 85'!$I$6:$Q$6&amp;'Reg 85'!V$10&amp;'Reg 85'!$B372),('DMR 001C TIN &amp; TP'!$E$3:$E$10005&amp;'DMR 001C TIN &amp; TP'!$B$3:$B$10005&amp;'DMR 001C TIN &amp; TP'!$A$3:$A$10005),0),MATCH('Reg 85'!$O$11,'DMR 001C TIN &amp; TP'!$A$2:$M$2,0))),"")</f>
        <v/>
      </c>
      <c r="W372" s="6" t="str">
        <f t="array" ref="W372">_xlfn.IFNA((INDEX('DMR 001C TIN &amp; TP'!$A$3:$M$10005,MATCH(('Reg 85'!$I$6:$Q$6&amp;'Reg 85'!W$10&amp;'Reg 85'!$B372),('DMR 001C TIN &amp; TP'!$E$3:$E$10005&amp;'DMR 001C TIN &amp; TP'!$B$3:$B$10005&amp;'DMR 001C TIN &amp; TP'!$A$3:$A$10005),0),MATCH('Reg 85'!$O$11,'DMR 001C TIN &amp; TP'!$A$2:$M$2,0))),"")</f>
        <v/>
      </c>
      <c r="X372" s="5" t="str">
        <f t="shared" si="134"/>
        <v/>
      </c>
      <c r="Y372" s="6" t="str">
        <f t="array" ref="Y372">_xlfn.IFNA((INDEX('DMR 001C TIN &amp; TP'!$A$3:$M$10005,MATCH(('Reg 85'!$X$6&amp;'Reg 85'!$X$10&amp;'Reg 85'!$B372),('DMR 001C TIN &amp; TP'!$E$3:$E$10005&amp;'DMR 001C TIN &amp; TP'!$B$3:$B$10005&amp;'DMR 001C TIN &amp; TP'!$A$3:$A$10005),0),MATCH('Reg 85'!$Y$11,'DMR 001C TIN &amp; TP'!$A$2:$M$2,0))),"")</f>
        <v/>
      </c>
      <c r="Z372" s="6" t="str">
        <f t="array" ref="Z372">_xlfn.IFNA((INDEX('DMR 001C TIN &amp; TP'!$A$3:$M$10005,MATCH(('Reg 85'!$X$6&amp;'Reg 85'!$X$10&amp;'Reg 85'!$B372),('DMR 001C TIN &amp; TP'!$E$3:$E$10005&amp;'DMR 001C TIN &amp; TP'!$B$3:$B$10005&amp;'DMR 001C TIN &amp; TP'!$A$3:$A$10005),0),MATCH('Reg 85'!$Z$11,'DMR 001C TIN &amp; TP'!$A$2:$M$2,0))),"")</f>
        <v/>
      </c>
      <c r="AA372" s="53" t="str">
        <f t="shared" si="135"/>
        <v/>
      </c>
      <c r="AB372" s="5" t="str">
        <f t="shared" si="136"/>
        <v/>
      </c>
      <c r="AC372" s="6" t="str">
        <f t="array" ref="AC372">_xlfn.IFNA((INDEX('DMR 001C TIN &amp; TP'!$A$3:$M$10005,MATCH(('Reg 85'!$X$6&amp;'Reg 85'!$AB$10&amp;'Reg 85'!$B372),('DMR 001C TIN &amp; TP'!$E$3:$E$10005&amp;'DMR 001C TIN &amp; TP'!$B$3:$B$10005&amp;'DMR 001C TIN &amp; TP'!$A$3:$A$10005),0),MATCH('Reg 85'!$AC$11,'DMR 001C TIN &amp; TP'!$A$2:$M$2,0))),"")</f>
        <v/>
      </c>
      <c r="AD372" s="6" t="str">
        <f t="array" ref="AD372">_xlfn.IFNA((INDEX('DMR 001C TIN &amp; TP'!$A$3:$M$10005,MATCH(('Reg 85'!$X$6&amp;'Reg 85'!$AB$10&amp;'Reg 85'!$B372),('DMR 001C TIN &amp; TP'!$E$3:$E$10005&amp;'DMR 001C TIN &amp; TP'!$B$3:$B$10005&amp;'DMR 001C TIN &amp; TP'!$A$3:$A$10005),0),MATCH('Reg 85'!$AD$11,'DMR 001C TIN &amp; TP'!$A$2:$M$2,0))),"")</f>
        <v/>
      </c>
      <c r="AE372" s="53" t="str">
        <f t="shared" si="137"/>
        <v/>
      </c>
      <c r="AF372" s="7" t="str">
        <f t="shared" si="138"/>
        <v/>
      </c>
      <c r="AG372" s="6" t="str">
        <f t="array" ref="AG372">_xlfn.IFNA((INDEX('DMR 001C TIN &amp; TP'!$A$3:$M$10005,MATCH(('Reg 85'!$X$6&amp;'Reg 85'!AG$10&amp;'Reg 85'!$B372),('DMR 001C TIN &amp; TP'!$E$3:$E$10005&amp;'DMR 001C TIN &amp; TP'!$B$3:$B$10005&amp;'DMR 001C TIN &amp; TP'!$A$3:$A$10005),0),MATCH('Reg 85'!$AG$11,'DMR 001C TIN &amp; TP'!$A$2:$M$2,0))),"")</f>
        <v/>
      </c>
      <c r="AH372" s="6" t="str">
        <f t="array" ref="AH372">_xlfn.IFNA((INDEX('DMR 001C TIN &amp; TP'!$A$3:$M$10005,MATCH(('Reg 85'!$X$6&amp;'Reg 85'!AH$10&amp;'Reg 85'!$B372),('DMR 001C TIN &amp; TP'!$E$3:$E$10005&amp;'DMR 001C TIN &amp; TP'!$B$3:$B$10005&amp;'DMR 001C TIN &amp; TP'!$A$3:$A$10005),0),MATCH('Reg 85'!$AG$11,'DMR 001C TIN &amp; TP'!$A$2:$M$2,0))),"")</f>
        <v/>
      </c>
      <c r="AI372" s="6" t="str">
        <f t="array" ref="AI372">_xlfn.IFNA((INDEX('DMR 001C TIN &amp; TP'!$A$3:$M$10005,MATCH(('Reg 85'!$X$6&amp;'Reg 85'!AI$10&amp;'Reg 85'!$B372),('DMR 001C TIN &amp; TP'!$E$3:$E$10005&amp;'DMR 001C TIN &amp; TP'!$B$3:$B$10005&amp;'DMR 001C TIN &amp; TP'!$A$3:$A$10005),0),MATCH('Reg 85'!$AG$11,'DMR 001C TIN &amp; TP'!$A$2:$M$2,0))),"")</f>
        <v/>
      </c>
      <c r="AJ372" s="6" t="str">
        <f t="array" ref="AJ372">_xlfn.IFNA((INDEX('DMR 001C TIN &amp; TP'!$A$3:$M$10005,MATCH(('Reg 85'!$X$6&amp;'Reg 85'!AJ$10&amp;'Reg 85'!$B372),('DMR 001C TIN &amp; TP'!$E$3:$E$10005&amp;'DMR 001C TIN &amp; TP'!$B$3:$B$10005&amp;'DMR 001C TIN &amp; TP'!$A$3:$A$10005),0),MATCH('Reg 85'!$AG$11,'DMR 001C TIN &amp; TP'!$A$2:$M$2,0))),"")</f>
        <v/>
      </c>
      <c r="AK372" s="6" t="str">
        <f t="array" ref="AK372">_xlfn.IFNA((INDEX('DMR 001C TIN &amp; TP'!$A$3:$M$10005,MATCH(('Reg 85'!$X$6&amp;'Reg 85'!AK$10&amp;'Reg 85'!$B372),('DMR 001C TIN &amp; TP'!$E$3:$E$10005&amp;'DMR 001C TIN &amp; TP'!$B$3:$B$10005&amp;'DMR 001C TIN &amp; TP'!$A$3:$A$10005),0),MATCH('Reg 85'!$AG$11,'DMR 001C TIN &amp; TP'!$A$2:$M$2,0))),"")</f>
        <v/>
      </c>
      <c r="AL372" s="6" t="str">
        <f t="array" ref="AL372">_xlfn.IFNA((INDEX('DMR 001C TIN &amp; TP'!$A$3:$M$10005,MATCH(('Reg 85'!$X$6&amp;'Reg 85'!AL$10&amp;'Reg 85'!$B372),('DMR 001C TIN &amp; TP'!$E$3:$E$10005&amp;'DMR 001C TIN &amp; TP'!$B$3:$B$10005&amp;'DMR 001C TIN &amp; TP'!$A$3:$A$10005),0),MATCH('Reg 85'!$AG$11,'DMR 001C TIN &amp; TP'!$A$2:$M$2,0))),"")</f>
        <v/>
      </c>
      <c r="AM372" s="76"/>
      <c r="AN372" s="6"/>
      <c r="AO372" s="54" t="str">
        <f t="shared" si="125"/>
        <v/>
      </c>
      <c r="AP372" s="77" t="str">
        <f t="shared" si="144"/>
        <v/>
      </c>
      <c r="AQ372" s="47"/>
      <c r="AR372" s="6" t="str">
        <f t="array" ref="AR372">_xlfn.IFNA((INDEX('DMR 001C TIN &amp; TP'!$A$3:$M$10005,MATCH(('Reg 85'!$AQ$6&amp;'Reg 85'!$AQ$10&amp;'Reg 85'!$B372),('DMR 001C TIN &amp; TP'!$E$3:$E$10005&amp;'DMR 001C TIN &amp; TP'!$B$3:$B$10005&amp;'DMR 001C TIN &amp; TP'!$A$3:$A$10005),0),MATCH('Reg 85'!$AR$11,'DMR 001C TIN &amp; TP'!$A$2:$M$2,0))),"")</f>
        <v>0.03</v>
      </c>
      <c r="AS372" s="6">
        <f t="array" ref="AS372">_xlfn.IFNA((INDEX('DMR 001C TIN &amp; TP'!$A$3:$M$10005,MATCH(('Reg 85'!$AQ$6&amp;'Reg 85'!$AQ$10&amp;'Reg 85'!$B372),('DMR 001C TIN &amp; TP'!$E$3:$E$10005&amp;'DMR 001C TIN &amp; TP'!$B$3:$B$10005&amp;'DMR 001C TIN &amp; TP'!$A$3:$A$10005),0),MATCH('Reg 85'!$AS$11,'DMR 001C TIN &amp; TP'!$A$2:$M$2,0))),"")</f>
        <v>0.56999999999999995</v>
      </c>
      <c r="AT372" s="53">
        <f t="shared" si="139"/>
        <v>0.56999999999999995</v>
      </c>
      <c r="AV372" s="6" t="str">
        <f t="array" ref="AV372">_xlfn.IFNA((INDEX('DMR 001C TIN &amp; TP'!$A$3:$M$10005,MATCH(('Reg 85'!$AQ$6&amp;'Reg 85'!$AU$10&amp;'Reg 85'!$B372),('DMR 001C TIN &amp; TP'!$E$3:$E$10005&amp;'DMR 001C TIN &amp; TP'!$B$3:$B$10005&amp;'DMR 001C TIN &amp; TP'!$A$3:$A$10005),0),MATCH('Reg 85'!$AV$11,'DMR 001C TIN &amp; TP'!$A$2:$M$2,0))),"")</f>
        <v>0.03</v>
      </c>
      <c r="AW372" s="6">
        <f t="array" ref="AW372">_xlfn.IFNA((INDEX('DMR 001C TIN &amp; TP'!$A$3:$M$10005,MATCH(('Reg 85'!$AQ$6&amp;'Reg 85'!$AU$10&amp;'Reg 85'!$B372),('DMR 001C TIN &amp; TP'!$E$3:$E$10005&amp;'DMR 001C TIN &amp; TP'!$B$3:$B$10005&amp;'DMR 001C TIN &amp; TP'!$A$3:$A$10005),0),MATCH('Reg 85'!$AW$11,'DMR 001C TIN &amp; TP'!$A$2:$M$2,0))),"")</f>
        <v>1.84</v>
      </c>
      <c r="AX372" s="53">
        <f t="shared" si="140"/>
        <v>1.84</v>
      </c>
      <c r="AY372" s="55">
        <f t="shared" si="141"/>
        <v>1.393679618725687</v>
      </c>
      <c r="AZ372" s="77" t="str">
        <f t="shared" si="145"/>
        <v/>
      </c>
      <c r="BA372" s="6" t="str">
        <f t="array" ref="BA372">_xlfn.IFNA((INDEX('DMR 001C TIN &amp; TP'!$A$3:$M$10005,MATCH(('Reg 85'!$AQ$6&amp;'Reg 85'!BA$10&amp;'Reg 85'!$B372),('DMR 001C TIN &amp; TP'!$E$3:$E$10005&amp;'DMR 001C TIN &amp; TP'!$B$3:$B$10005&amp;'DMR 001C TIN &amp; TP'!$A$3:$A$10005),0),MATCH('Reg 85'!$AG$11,'DMR 001C TIN &amp; TP'!$A$2:$M$2,0))),"")</f>
        <v/>
      </c>
      <c r="BB372" s="6" t="str">
        <f t="array" ref="BB372">_xlfn.IFNA((INDEX('DMR 001C TIN &amp; TP'!$A$3:$M$10005,MATCH(('Reg 85'!$AQ$6&amp;'Reg 85'!BB$10&amp;'Reg 85'!$B372),('DMR 001C TIN &amp; TP'!$E$3:$E$10005&amp;'DMR 001C TIN &amp; TP'!$B$3:$B$10005&amp;'DMR 001C TIN &amp; TP'!$A$3:$A$10005),0),MATCH('Reg 85'!$AG$11,'DMR 001C TIN &amp; TP'!$A$2:$M$2,0))),"")</f>
        <v/>
      </c>
      <c r="BC372" s="6" t="str">
        <f t="array" ref="BC372">_xlfn.IFNA((INDEX('DMR 001C TIN &amp; TP'!$A$3:$M$10005,MATCH(('Reg 85'!$AQ$6&amp;'Reg 85'!BC$10&amp;'Reg 85'!$B372),('DMR 001C TIN &amp; TP'!$E$3:$E$10005&amp;'DMR 001C TIN &amp; TP'!$B$3:$B$10005&amp;'DMR 001C TIN &amp; TP'!$A$3:$A$10005),0),MATCH('Reg 85'!$AG$11,'DMR 001C TIN &amp; TP'!$A$2:$M$2,0))),"")</f>
        <v/>
      </c>
      <c r="BD372" s="6" t="str">
        <f t="array" ref="BD372">_xlfn.IFNA((INDEX('DMR 001C TIN &amp; TP'!$A$3:$M$10005,MATCH(('Reg 85'!$AQ$6&amp;'Reg 85'!BD$10&amp;'Reg 85'!$B372),('DMR 001C TIN &amp; TP'!$E$3:$E$10005&amp;'DMR 001C TIN &amp; TP'!$B$3:$B$10005&amp;'DMR 001C TIN &amp; TP'!$A$3:$A$10005),0),MATCH('Reg 85'!$AG$11,'DMR 001C TIN &amp; TP'!$A$2:$M$2,0))),"")</f>
        <v/>
      </c>
      <c r="BE372" s="6" t="str">
        <f t="array" ref="BE372">_xlfn.IFNA((INDEX('DMR 001C TIN &amp; TP'!$A$3:$M$10005,MATCH(('Reg 85'!$AQ$6&amp;'Reg 85'!BE$10&amp;'Reg 85'!$B372),('DMR 001C TIN &amp; TP'!$E$3:$E$10005&amp;'DMR 001C TIN &amp; TP'!$B$3:$B$10005&amp;'DMR 001C TIN &amp; TP'!$A$3:$A$10005),0),MATCH('Reg 85'!$AG$11,'DMR 001C TIN &amp; TP'!$A$2:$M$2,0))),"")</f>
        <v/>
      </c>
      <c r="BF372" s="6" t="str">
        <f t="array" ref="BF372">_xlfn.IFNA((INDEX('DMR 001C TIN &amp; TP'!$A$3:$M$10005,MATCH(('Reg 85'!$AQ$6&amp;'Reg 85'!BF$10&amp;'Reg 85'!$B372),('DMR 001C TIN &amp; TP'!$E$3:$E$10005&amp;'DMR 001C TIN &amp; TP'!$B$3:$B$10005&amp;'DMR 001C TIN &amp; TP'!$A$3:$A$10005),0),MATCH('Reg 85'!$AG$11,'DMR 001C TIN &amp; TP'!$A$2:$M$2,0))),"")</f>
        <v/>
      </c>
    </row>
    <row r="373" spans="1:58">
      <c r="A373" s="3" t="str">
        <f t="shared" si="126"/>
        <v>Wed</v>
      </c>
      <c r="B373" s="96">
        <f t="shared" si="142"/>
        <v>43705</v>
      </c>
      <c r="C373" s="96">
        <f t="shared" si="127"/>
        <v>43708</v>
      </c>
      <c r="D373" s="96">
        <f t="shared" si="128"/>
        <v>43678</v>
      </c>
      <c r="E373" s="95">
        <f t="shared" si="129"/>
        <v>31</v>
      </c>
      <c r="F373" s="7">
        <f t="array" ref="F373">_xlfn.IFNA(INDEX('DMR Flows-Effluent'!$A$3:$F$9999,MATCH(($F$10&amp;$B373),('DMR Flows-Effluent'!$B$3:$B$9999&amp;'DMR Flows-Effluent'!$A$3:$A$9999),0),MATCH($F$8,'DMR Flows-Effluent'!$A$2:$F$2,0)),"")</f>
        <v>37.927</v>
      </c>
      <c r="G373" s="7">
        <f t="array" ref="G373">_xlfn.IFNA(INDEX('DMR Flows-Effluent'!$A$3:$F$9999,MATCH(($G$10&amp;$B373),('DMR Flows-Effluent'!$B$3:$B$9999&amp;'DMR Flows-Effluent'!$A$3:$A$9999),0),MATCH($F$8,'DMR Flows-Effluent'!$A$2:$F$2,0)),"")</f>
        <v>78.948700000000002</v>
      </c>
      <c r="H373" s="7">
        <f t="shared" si="130"/>
        <v>116.87569999999999</v>
      </c>
      <c r="I373" s="45" t="str">
        <f t="shared" si="131"/>
        <v/>
      </c>
      <c r="J373" s="6" t="str">
        <f t="array" ref="J373">_xlfn.IFNA((INDEX('DMR 001C TIN &amp; TP'!$A$3:$M$10005,MATCH(('Reg 85'!$I$6:$Q$6&amp;'Reg 85'!$I$10:$K$10&amp;'Reg 85'!$B373),('DMR 001C TIN &amp; TP'!$E$3:$E$10005&amp;'DMR 001C TIN &amp; TP'!$B$3:$B$10005&amp;'DMR 001C TIN &amp; TP'!$A$3:$A$10005),0),MATCH('Reg 85'!$J$11,'DMR 001C TIN &amp; TP'!$A$2:$M$2,0))),"")</f>
        <v/>
      </c>
      <c r="K373" s="6" t="str">
        <f t="array" ref="K373">_xlfn.IFNA((INDEX('DMR 001C TIN &amp; TP'!$A$3:$M$10005,MATCH(('Reg 85'!$I$6:$Q$6&amp;'Reg 85'!$I$10:$K$10&amp;'Reg 85'!$B373),('DMR 001C TIN &amp; TP'!$E$3:$E$10005&amp;'DMR 001C TIN &amp; TP'!$B$3:$B$10005&amp;'DMR 001C TIN &amp; TP'!$A$3:$A$10005),0),MATCH('Reg 85'!$K$11,'DMR 001C TIN &amp; TP'!$A$2:$M$2,0))),"")</f>
        <v/>
      </c>
      <c r="L373" s="53" t="str">
        <f t="shared" si="143"/>
        <v/>
      </c>
      <c r="M373" s="5" t="str">
        <f t="shared" si="132"/>
        <v/>
      </c>
      <c r="N373" s="6" t="str">
        <f t="array" ref="N373">_xlfn.IFNA((INDEX('DMR 001C TIN &amp; TP'!$A$3:$M$10005,MATCH(('Reg 85'!$I$6:$Q$6&amp;'Reg 85'!$M$10&amp;'Reg 85'!$B373),('DMR 001C TIN &amp; TP'!$E$3:$E$10005&amp;'DMR 001C TIN &amp; TP'!$B$3:$B$10005&amp;'DMR 001C TIN &amp; TP'!$A$3:$A$10005),0),MATCH('Reg 85'!$N$11,'DMR 001C TIN &amp; TP'!$A$2:$M$2,0))),"")</f>
        <v/>
      </c>
      <c r="O373" s="6" t="str">
        <f t="array" ref="O373">_xlfn.IFNA((INDEX('DMR 001C TIN &amp; TP'!$A$3:$M$10005,MATCH(('Reg 85'!$I$6:$Q$6&amp;'Reg 85'!$M$10&amp;'Reg 85'!$B373),('DMR 001C TIN &amp; TP'!$E$3:$E$10005&amp;'DMR 001C TIN &amp; TP'!$B$3:$B$10005&amp;'DMR 001C TIN &amp; TP'!$A$3:$A$10005),0),MATCH('Reg 85'!$O$11,'DMR 001C TIN &amp; TP'!$A$2:$M$2,0))),"")</f>
        <v/>
      </c>
      <c r="P373" s="53" t="str">
        <f t="shared" si="133"/>
        <v/>
      </c>
      <c r="Q373" s="73" t="str">
        <f t="array" ref="Q373">IFERROR(((L373*$F373)+(P373*$G373))/($H373),"")</f>
        <v/>
      </c>
      <c r="R373" s="6" t="str">
        <f t="array" ref="R373">_xlfn.IFNA((INDEX('DMR 001C TIN &amp; TP'!$A$3:$M$10005,MATCH(('Reg 85'!$I$6:$Q$6&amp;'Reg 85'!R$10&amp;'Reg 85'!$B373),('DMR 001C TIN &amp; TP'!$E$3:$E$10005&amp;'DMR 001C TIN &amp; TP'!$B$3:$B$10005&amp;'DMR 001C TIN &amp; TP'!$A$3:$A$10005),0),MATCH('Reg 85'!$O$11,'DMR 001C TIN &amp; TP'!$A$2:$M$2,0))),"")</f>
        <v/>
      </c>
      <c r="S373" s="6" t="str">
        <f t="array" ref="S373">_xlfn.IFNA((INDEX('DMR 001C TIN &amp; TP'!$A$3:$M$10005,MATCH(('Reg 85'!$I$6:$Q$6&amp;'Reg 85'!S$10&amp;'Reg 85'!$B373),('DMR 001C TIN &amp; TP'!$E$3:$E$10005&amp;'DMR 001C TIN &amp; TP'!$B$3:$B$10005&amp;'DMR 001C TIN &amp; TP'!$A$3:$A$10005),0),MATCH('Reg 85'!$O$11,'DMR 001C TIN &amp; TP'!$A$2:$M$2,0))),"")</f>
        <v/>
      </c>
      <c r="T373" s="6" t="str">
        <f t="array" ref="T373">_xlfn.IFNA((INDEX('DMR 001C TIN &amp; TP'!$A$3:$M$10005,MATCH(('Reg 85'!$I$6:$Q$6&amp;'Reg 85'!T$10&amp;'Reg 85'!$B373),('DMR 001C TIN &amp; TP'!$E$3:$E$10005&amp;'DMR 001C TIN &amp; TP'!$B$3:$B$10005&amp;'DMR 001C TIN &amp; TP'!$A$3:$A$10005),0),MATCH('Reg 85'!$O$11,'DMR 001C TIN &amp; TP'!$A$2:$M$2,0))),"")</f>
        <v/>
      </c>
      <c r="U373" s="6" t="str">
        <f t="array" ref="U373">_xlfn.IFNA((INDEX('DMR 001C TIN &amp; TP'!$A$3:$M$10005,MATCH(('Reg 85'!$I$6:$Q$6&amp;'Reg 85'!U$10&amp;'Reg 85'!$B373),('DMR 001C TIN &amp; TP'!$E$3:$E$10005&amp;'DMR 001C TIN &amp; TP'!$B$3:$B$10005&amp;'DMR 001C TIN &amp; TP'!$A$3:$A$10005),0),MATCH('Reg 85'!$O$11,'DMR 001C TIN &amp; TP'!$A$2:$M$2,0))),"")</f>
        <v/>
      </c>
      <c r="V373" s="6" t="str">
        <f t="array" ref="V373">_xlfn.IFNA((INDEX('DMR 001C TIN &amp; TP'!$A$3:$M$10005,MATCH(('Reg 85'!$I$6:$Q$6&amp;'Reg 85'!V$10&amp;'Reg 85'!$B373),('DMR 001C TIN &amp; TP'!$E$3:$E$10005&amp;'DMR 001C TIN &amp; TP'!$B$3:$B$10005&amp;'DMR 001C TIN &amp; TP'!$A$3:$A$10005),0),MATCH('Reg 85'!$O$11,'DMR 001C TIN &amp; TP'!$A$2:$M$2,0))),"")</f>
        <v/>
      </c>
      <c r="W373" s="6" t="str">
        <f t="array" ref="W373">_xlfn.IFNA((INDEX('DMR 001C TIN &amp; TP'!$A$3:$M$10005,MATCH(('Reg 85'!$I$6:$Q$6&amp;'Reg 85'!W$10&amp;'Reg 85'!$B373),('DMR 001C TIN &amp; TP'!$E$3:$E$10005&amp;'DMR 001C TIN &amp; TP'!$B$3:$B$10005&amp;'DMR 001C TIN &amp; TP'!$A$3:$A$10005),0),MATCH('Reg 85'!$O$11,'DMR 001C TIN &amp; TP'!$A$2:$M$2,0))),"")</f>
        <v/>
      </c>
      <c r="X373" s="5" t="str">
        <f t="shared" si="134"/>
        <v/>
      </c>
      <c r="Y373" s="6" t="str">
        <f t="array" ref="Y373">_xlfn.IFNA((INDEX('DMR 001C TIN &amp; TP'!$A$3:$M$10005,MATCH(('Reg 85'!$X$6&amp;'Reg 85'!$X$10&amp;'Reg 85'!$B373),('DMR 001C TIN &amp; TP'!$E$3:$E$10005&amp;'DMR 001C TIN &amp; TP'!$B$3:$B$10005&amp;'DMR 001C TIN &amp; TP'!$A$3:$A$10005),0),MATCH('Reg 85'!$Y$11,'DMR 001C TIN &amp; TP'!$A$2:$M$2,0))),"")</f>
        <v/>
      </c>
      <c r="Z373" s="6" t="str">
        <f t="array" ref="Z373">_xlfn.IFNA((INDEX('DMR 001C TIN &amp; TP'!$A$3:$M$10005,MATCH(('Reg 85'!$X$6&amp;'Reg 85'!$X$10&amp;'Reg 85'!$B373),('DMR 001C TIN &amp; TP'!$E$3:$E$10005&amp;'DMR 001C TIN &amp; TP'!$B$3:$B$10005&amp;'DMR 001C TIN &amp; TP'!$A$3:$A$10005),0),MATCH('Reg 85'!$Z$11,'DMR 001C TIN &amp; TP'!$A$2:$M$2,0))),"")</f>
        <v/>
      </c>
      <c r="AA373" s="53" t="str">
        <f t="shared" si="135"/>
        <v/>
      </c>
      <c r="AB373" s="5" t="str">
        <f t="shared" si="136"/>
        <v/>
      </c>
      <c r="AC373" s="6" t="str">
        <f t="array" ref="AC373">_xlfn.IFNA((INDEX('DMR 001C TIN &amp; TP'!$A$3:$M$10005,MATCH(('Reg 85'!$X$6&amp;'Reg 85'!$AB$10&amp;'Reg 85'!$B373),('DMR 001C TIN &amp; TP'!$E$3:$E$10005&amp;'DMR 001C TIN &amp; TP'!$B$3:$B$10005&amp;'DMR 001C TIN &amp; TP'!$A$3:$A$10005),0),MATCH('Reg 85'!$AC$11,'DMR 001C TIN &amp; TP'!$A$2:$M$2,0))),"")</f>
        <v/>
      </c>
      <c r="AD373" s="6" t="str">
        <f t="array" ref="AD373">_xlfn.IFNA((INDEX('DMR 001C TIN &amp; TP'!$A$3:$M$10005,MATCH(('Reg 85'!$X$6&amp;'Reg 85'!$AB$10&amp;'Reg 85'!$B373),('DMR 001C TIN &amp; TP'!$E$3:$E$10005&amp;'DMR 001C TIN &amp; TP'!$B$3:$B$10005&amp;'DMR 001C TIN &amp; TP'!$A$3:$A$10005),0),MATCH('Reg 85'!$AD$11,'DMR 001C TIN &amp; TP'!$A$2:$M$2,0))),"")</f>
        <v/>
      </c>
      <c r="AE373" s="53" t="str">
        <f t="shared" si="137"/>
        <v/>
      </c>
      <c r="AF373" s="7" t="str">
        <f t="shared" si="138"/>
        <v/>
      </c>
      <c r="AG373" s="6" t="str">
        <f t="array" ref="AG373">_xlfn.IFNA((INDEX('DMR 001C TIN &amp; TP'!$A$3:$M$10005,MATCH(('Reg 85'!$X$6&amp;'Reg 85'!AG$10&amp;'Reg 85'!$B373),('DMR 001C TIN &amp; TP'!$E$3:$E$10005&amp;'DMR 001C TIN &amp; TP'!$B$3:$B$10005&amp;'DMR 001C TIN &amp; TP'!$A$3:$A$10005),0),MATCH('Reg 85'!$AG$11,'DMR 001C TIN &amp; TP'!$A$2:$M$2,0))),"")</f>
        <v/>
      </c>
      <c r="AH373" s="6" t="str">
        <f t="array" ref="AH373">_xlfn.IFNA((INDEX('DMR 001C TIN &amp; TP'!$A$3:$M$10005,MATCH(('Reg 85'!$X$6&amp;'Reg 85'!AH$10&amp;'Reg 85'!$B373),('DMR 001C TIN &amp; TP'!$E$3:$E$10005&amp;'DMR 001C TIN &amp; TP'!$B$3:$B$10005&amp;'DMR 001C TIN &amp; TP'!$A$3:$A$10005),0),MATCH('Reg 85'!$AG$11,'DMR 001C TIN &amp; TP'!$A$2:$M$2,0))),"")</f>
        <v/>
      </c>
      <c r="AI373" s="6" t="str">
        <f t="array" ref="AI373">_xlfn.IFNA((INDEX('DMR 001C TIN &amp; TP'!$A$3:$M$10005,MATCH(('Reg 85'!$X$6&amp;'Reg 85'!AI$10&amp;'Reg 85'!$B373),('DMR 001C TIN &amp; TP'!$E$3:$E$10005&amp;'DMR 001C TIN &amp; TP'!$B$3:$B$10005&amp;'DMR 001C TIN &amp; TP'!$A$3:$A$10005),0),MATCH('Reg 85'!$AG$11,'DMR 001C TIN &amp; TP'!$A$2:$M$2,0))),"")</f>
        <v/>
      </c>
      <c r="AJ373" s="6" t="str">
        <f t="array" ref="AJ373">_xlfn.IFNA((INDEX('DMR 001C TIN &amp; TP'!$A$3:$M$10005,MATCH(('Reg 85'!$X$6&amp;'Reg 85'!AJ$10&amp;'Reg 85'!$B373),('DMR 001C TIN &amp; TP'!$E$3:$E$10005&amp;'DMR 001C TIN &amp; TP'!$B$3:$B$10005&amp;'DMR 001C TIN &amp; TP'!$A$3:$A$10005),0),MATCH('Reg 85'!$AG$11,'DMR 001C TIN &amp; TP'!$A$2:$M$2,0))),"")</f>
        <v/>
      </c>
      <c r="AK373" s="6" t="str">
        <f t="array" ref="AK373">_xlfn.IFNA((INDEX('DMR 001C TIN &amp; TP'!$A$3:$M$10005,MATCH(('Reg 85'!$X$6&amp;'Reg 85'!AK$10&amp;'Reg 85'!$B373),('DMR 001C TIN &amp; TP'!$E$3:$E$10005&amp;'DMR 001C TIN &amp; TP'!$B$3:$B$10005&amp;'DMR 001C TIN &amp; TP'!$A$3:$A$10005),0),MATCH('Reg 85'!$AG$11,'DMR 001C TIN &amp; TP'!$A$2:$M$2,0))),"")</f>
        <v/>
      </c>
      <c r="AL373" s="6" t="str">
        <f t="array" ref="AL373">_xlfn.IFNA((INDEX('DMR 001C TIN &amp; TP'!$A$3:$M$10005,MATCH(('Reg 85'!$X$6&amp;'Reg 85'!AL$10&amp;'Reg 85'!$B373),('DMR 001C TIN &amp; TP'!$E$3:$E$10005&amp;'DMR 001C TIN &amp; TP'!$B$3:$B$10005&amp;'DMR 001C TIN &amp; TP'!$A$3:$A$10005),0),MATCH('Reg 85'!$AG$11,'DMR 001C TIN &amp; TP'!$A$2:$M$2,0))),"")</f>
        <v/>
      </c>
      <c r="AM373" s="76"/>
      <c r="AN373" s="6"/>
      <c r="AO373" s="54" t="str">
        <f t="shared" si="125"/>
        <v/>
      </c>
      <c r="AP373" s="77" t="str">
        <f t="shared" si="144"/>
        <v/>
      </c>
      <c r="AQ373" s="47"/>
      <c r="AR373" s="6" t="str">
        <f t="array" ref="AR373">_xlfn.IFNA((INDEX('DMR 001C TIN &amp; TP'!$A$3:$M$10005,MATCH(('Reg 85'!$AQ$6&amp;'Reg 85'!$AQ$10&amp;'Reg 85'!$B373),('DMR 001C TIN &amp; TP'!$E$3:$E$10005&amp;'DMR 001C TIN &amp; TP'!$B$3:$B$10005&amp;'DMR 001C TIN &amp; TP'!$A$3:$A$10005),0),MATCH('Reg 85'!$AR$11,'DMR 001C TIN &amp; TP'!$A$2:$M$2,0))),"")</f>
        <v/>
      </c>
      <c r="AS373" s="6" t="str">
        <f t="array" ref="AS373">_xlfn.IFNA((INDEX('DMR 001C TIN &amp; TP'!$A$3:$M$10005,MATCH(('Reg 85'!$AQ$6&amp;'Reg 85'!$AQ$10&amp;'Reg 85'!$B373),('DMR 001C TIN &amp; TP'!$E$3:$E$10005&amp;'DMR 001C TIN &amp; TP'!$B$3:$B$10005&amp;'DMR 001C TIN &amp; TP'!$A$3:$A$10005),0),MATCH('Reg 85'!$AS$11,'DMR 001C TIN &amp; TP'!$A$2:$M$2,0))),"")</f>
        <v/>
      </c>
      <c r="AT373" s="53" t="str">
        <f t="shared" si="139"/>
        <v/>
      </c>
      <c r="AV373" s="6" t="str">
        <f t="array" ref="AV373">_xlfn.IFNA((INDEX('DMR 001C TIN &amp; TP'!$A$3:$M$10005,MATCH(('Reg 85'!$AQ$6&amp;'Reg 85'!$AU$10&amp;'Reg 85'!$B373),('DMR 001C TIN &amp; TP'!$E$3:$E$10005&amp;'DMR 001C TIN &amp; TP'!$B$3:$B$10005&amp;'DMR 001C TIN &amp; TP'!$A$3:$A$10005),0),MATCH('Reg 85'!$AV$11,'DMR 001C TIN &amp; TP'!$A$2:$M$2,0))),"")</f>
        <v/>
      </c>
      <c r="AW373" s="6" t="str">
        <f t="array" ref="AW373">_xlfn.IFNA((INDEX('DMR 001C TIN &amp; TP'!$A$3:$M$10005,MATCH(('Reg 85'!$AQ$6&amp;'Reg 85'!$AU$10&amp;'Reg 85'!$B373),('DMR 001C TIN &amp; TP'!$E$3:$E$10005&amp;'DMR 001C TIN &amp; TP'!$B$3:$B$10005&amp;'DMR 001C TIN &amp; TP'!$A$3:$A$10005),0),MATCH('Reg 85'!$AW$11,'DMR 001C TIN &amp; TP'!$A$2:$M$2,0))),"")</f>
        <v/>
      </c>
      <c r="AX373" s="53" t="str">
        <f t="shared" si="140"/>
        <v/>
      </c>
      <c r="AY373" s="55" t="str">
        <f t="shared" si="141"/>
        <v/>
      </c>
      <c r="AZ373" s="77" t="str">
        <f t="shared" si="145"/>
        <v/>
      </c>
      <c r="BA373" s="6" t="str">
        <f t="array" ref="BA373">_xlfn.IFNA((INDEX('DMR 001C TIN &amp; TP'!$A$3:$M$10005,MATCH(('Reg 85'!$AQ$6&amp;'Reg 85'!BA$10&amp;'Reg 85'!$B373),('DMR 001C TIN &amp; TP'!$E$3:$E$10005&amp;'DMR 001C TIN &amp; TP'!$B$3:$B$10005&amp;'DMR 001C TIN &amp; TP'!$A$3:$A$10005),0),MATCH('Reg 85'!$AG$11,'DMR 001C TIN &amp; TP'!$A$2:$M$2,0))),"")</f>
        <v/>
      </c>
      <c r="BB373" s="6" t="str">
        <f t="array" ref="BB373">_xlfn.IFNA((INDEX('DMR 001C TIN &amp; TP'!$A$3:$M$10005,MATCH(('Reg 85'!$AQ$6&amp;'Reg 85'!BB$10&amp;'Reg 85'!$B373),('DMR 001C TIN &amp; TP'!$E$3:$E$10005&amp;'DMR 001C TIN &amp; TP'!$B$3:$B$10005&amp;'DMR 001C TIN &amp; TP'!$A$3:$A$10005),0),MATCH('Reg 85'!$AG$11,'DMR 001C TIN &amp; TP'!$A$2:$M$2,0))),"")</f>
        <v/>
      </c>
      <c r="BC373" s="6" t="str">
        <f t="array" ref="BC373">_xlfn.IFNA((INDEX('DMR 001C TIN &amp; TP'!$A$3:$M$10005,MATCH(('Reg 85'!$AQ$6&amp;'Reg 85'!BC$10&amp;'Reg 85'!$B373),('DMR 001C TIN &amp; TP'!$E$3:$E$10005&amp;'DMR 001C TIN &amp; TP'!$B$3:$B$10005&amp;'DMR 001C TIN &amp; TP'!$A$3:$A$10005),0),MATCH('Reg 85'!$AG$11,'DMR 001C TIN &amp; TP'!$A$2:$M$2,0))),"")</f>
        <v/>
      </c>
      <c r="BD373" s="6" t="str">
        <f t="array" ref="BD373">_xlfn.IFNA((INDEX('DMR 001C TIN &amp; TP'!$A$3:$M$10005,MATCH(('Reg 85'!$AQ$6&amp;'Reg 85'!BD$10&amp;'Reg 85'!$B373),('DMR 001C TIN &amp; TP'!$E$3:$E$10005&amp;'DMR 001C TIN &amp; TP'!$B$3:$B$10005&amp;'DMR 001C TIN &amp; TP'!$A$3:$A$10005),0),MATCH('Reg 85'!$AG$11,'DMR 001C TIN &amp; TP'!$A$2:$M$2,0))),"")</f>
        <v/>
      </c>
      <c r="BE373" s="6" t="str">
        <f t="array" ref="BE373">_xlfn.IFNA((INDEX('DMR 001C TIN &amp; TP'!$A$3:$M$10005,MATCH(('Reg 85'!$AQ$6&amp;'Reg 85'!BE$10&amp;'Reg 85'!$B373),('DMR 001C TIN &amp; TP'!$E$3:$E$10005&amp;'DMR 001C TIN &amp; TP'!$B$3:$B$10005&amp;'DMR 001C TIN &amp; TP'!$A$3:$A$10005),0),MATCH('Reg 85'!$AG$11,'DMR 001C TIN &amp; TP'!$A$2:$M$2,0))),"")</f>
        <v/>
      </c>
      <c r="BF373" s="6" t="str">
        <f t="array" ref="BF373">_xlfn.IFNA((INDEX('DMR 001C TIN &amp; TP'!$A$3:$M$10005,MATCH(('Reg 85'!$AQ$6&amp;'Reg 85'!BF$10&amp;'Reg 85'!$B373),('DMR 001C TIN &amp; TP'!$E$3:$E$10005&amp;'DMR 001C TIN &amp; TP'!$B$3:$B$10005&amp;'DMR 001C TIN &amp; TP'!$A$3:$A$10005),0),MATCH('Reg 85'!$AG$11,'DMR 001C TIN &amp; TP'!$A$2:$M$2,0))),"")</f>
        <v/>
      </c>
    </row>
    <row r="374" spans="1:58">
      <c r="A374" s="3" t="str">
        <f t="shared" si="126"/>
        <v>Thu</v>
      </c>
      <c r="B374" s="96">
        <f t="shared" si="142"/>
        <v>43706</v>
      </c>
      <c r="C374" s="96">
        <f t="shared" si="127"/>
        <v>43708</v>
      </c>
      <c r="D374" s="96">
        <f t="shared" si="128"/>
        <v>43678</v>
      </c>
      <c r="E374" s="95">
        <f t="shared" si="129"/>
        <v>31</v>
      </c>
      <c r="F374" s="7">
        <f t="array" ref="F374">_xlfn.IFNA(INDEX('DMR Flows-Effluent'!$A$3:$F$9999,MATCH(($F$10&amp;$B374),('DMR Flows-Effluent'!$B$3:$B$9999&amp;'DMR Flows-Effluent'!$A$3:$A$9999),0),MATCH($F$8,'DMR Flows-Effluent'!$A$2:$F$2,0)),"")</f>
        <v>36.269799999999996</v>
      </c>
      <c r="G374" s="7">
        <f t="array" ref="G374">_xlfn.IFNA(INDEX('DMR Flows-Effluent'!$A$3:$F$9999,MATCH(($G$10&amp;$B374),('DMR Flows-Effluent'!$B$3:$B$9999&amp;'DMR Flows-Effluent'!$A$3:$A$9999),0),MATCH($F$8,'DMR Flows-Effluent'!$A$2:$F$2,0)),"")</f>
        <v>81.897499999999994</v>
      </c>
      <c r="H374" s="7">
        <f t="shared" si="130"/>
        <v>118.16729999999998</v>
      </c>
      <c r="I374" s="45" t="str">
        <f t="shared" si="131"/>
        <v/>
      </c>
      <c r="J374" s="6" t="str">
        <f t="array" ref="J374">_xlfn.IFNA((INDEX('DMR 001C TIN &amp; TP'!$A$3:$M$10005,MATCH(('Reg 85'!$I$6:$Q$6&amp;'Reg 85'!$I$10:$K$10&amp;'Reg 85'!$B374),('DMR 001C TIN &amp; TP'!$E$3:$E$10005&amp;'DMR 001C TIN &amp; TP'!$B$3:$B$10005&amp;'DMR 001C TIN &amp; TP'!$A$3:$A$10005),0),MATCH('Reg 85'!$J$11,'DMR 001C TIN &amp; TP'!$A$2:$M$2,0))),"")</f>
        <v>0.15</v>
      </c>
      <c r="K374" s="6">
        <f t="array" ref="K374">_xlfn.IFNA((INDEX('DMR 001C TIN &amp; TP'!$A$3:$M$10005,MATCH(('Reg 85'!$I$6:$Q$6&amp;'Reg 85'!$I$10:$K$10&amp;'Reg 85'!$B374),('DMR 001C TIN &amp; TP'!$E$3:$E$10005&amp;'DMR 001C TIN &amp; TP'!$B$3:$B$10005&amp;'DMR 001C TIN &amp; TP'!$A$3:$A$10005),0),MATCH('Reg 85'!$K$11,'DMR 001C TIN &amp; TP'!$A$2:$M$2,0))),"")</f>
        <v>0.37</v>
      </c>
      <c r="L374" s="53">
        <f t="shared" si="143"/>
        <v>0.37</v>
      </c>
      <c r="M374" s="5" t="str">
        <f t="shared" si="132"/>
        <v/>
      </c>
      <c r="N374" s="6" t="str">
        <f t="array" ref="N374">_xlfn.IFNA((INDEX('DMR 001C TIN &amp; TP'!$A$3:$M$10005,MATCH(('Reg 85'!$I$6:$Q$6&amp;'Reg 85'!$M$10&amp;'Reg 85'!$B374),('DMR 001C TIN &amp; TP'!$E$3:$E$10005&amp;'DMR 001C TIN &amp; TP'!$B$3:$B$10005&amp;'DMR 001C TIN &amp; TP'!$A$3:$A$10005),0),MATCH('Reg 85'!$N$11,'DMR 001C TIN &amp; TP'!$A$2:$M$2,0))),"")</f>
        <v>0.15</v>
      </c>
      <c r="O374" s="6">
        <f t="array" ref="O374">_xlfn.IFNA((INDEX('DMR 001C TIN &amp; TP'!$A$3:$M$10005,MATCH(('Reg 85'!$I$6:$Q$6&amp;'Reg 85'!$M$10&amp;'Reg 85'!$B374),('DMR 001C TIN &amp; TP'!$E$3:$E$10005&amp;'DMR 001C TIN &amp; TP'!$B$3:$B$10005&amp;'DMR 001C TIN &amp; TP'!$A$3:$A$10005),0),MATCH('Reg 85'!$O$11,'DMR 001C TIN &amp; TP'!$A$2:$M$2,0))),"")</f>
        <v>0.86</v>
      </c>
      <c r="P374" s="53">
        <f t="shared" si="133"/>
        <v>0.86</v>
      </c>
      <c r="Q374" s="73">
        <f t="array" ref="Q374">IFERROR(((L374*$F374)+(P374*$G374))/($H374),"")</f>
        <v>0.70960135333548291</v>
      </c>
      <c r="R374" s="6" t="str">
        <f t="array" ref="R374">_xlfn.IFNA((INDEX('DMR 001C TIN &amp; TP'!$A$3:$M$10005,MATCH(('Reg 85'!$I$6:$Q$6&amp;'Reg 85'!R$10&amp;'Reg 85'!$B374),('DMR 001C TIN &amp; TP'!$E$3:$E$10005&amp;'DMR 001C TIN &amp; TP'!$B$3:$B$10005&amp;'DMR 001C TIN &amp; TP'!$A$3:$A$10005),0),MATCH('Reg 85'!$O$11,'DMR 001C TIN &amp; TP'!$A$2:$M$2,0))),"")</f>
        <v/>
      </c>
      <c r="S374" s="6" t="str">
        <f t="array" ref="S374">_xlfn.IFNA((INDEX('DMR 001C TIN &amp; TP'!$A$3:$M$10005,MATCH(('Reg 85'!$I$6:$Q$6&amp;'Reg 85'!S$10&amp;'Reg 85'!$B374),('DMR 001C TIN &amp; TP'!$E$3:$E$10005&amp;'DMR 001C TIN &amp; TP'!$B$3:$B$10005&amp;'DMR 001C TIN &amp; TP'!$A$3:$A$10005),0),MATCH('Reg 85'!$O$11,'DMR 001C TIN &amp; TP'!$A$2:$M$2,0))),"")</f>
        <v/>
      </c>
      <c r="T374" s="6" t="str">
        <f t="array" ref="T374">_xlfn.IFNA((INDEX('DMR 001C TIN &amp; TP'!$A$3:$M$10005,MATCH(('Reg 85'!$I$6:$Q$6&amp;'Reg 85'!T$10&amp;'Reg 85'!$B374),('DMR 001C TIN &amp; TP'!$E$3:$E$10005&amp;'DMR 001C TIN &amp; TP'!$B$3:$B$10005&amp;'DMR 001C TIN &amp; TP'!$A$3:$A$10005),0),MATCH('Reg 85'!$O$11,'DMR 001C TIN &amp; TP'!$A$2:$M$2,0))),"")</f>
        <v/>
      </c>
      <c r="U374" s="6" t="str">
        <f t="array" ref="U374">_xlfn.IFNA((INDEX('DMR 001C TIN &amp; TP'!$A$3:$M$10005,MATCH(('Reg 85'!$I$6:$Q$6&amp;'Reg 85'!U$10&amp;'Reg 85'!$B374),('DMR 001C TIN &amp; TP'!$E$3:$E$10005&amp;'DMR 001C TIN &amp; TP'!$B$3:$B$10005&amp;'DMR 001C TIN &amp; TP'!$A$3:$A$10005),0),MATCH('Reg 85'!$O$11,'DMR 001C TIN &amp; TP'!$A$2:$M$2,0))),"")</f>
        <v/>
      </c>
      <c r="V374" s="6" t="str">
        <f t="array" ref="V374">_xlfn.IFNA((INDEX('DMR 001C TIN &amp; TP'!$A$3:$M$10005,MATCH(('Reg 85'!$I$6:$Q$6&amp;'Reg 85'!V$10&amp;'Reg 85'!$B374),('DMR 001C TIN &amp; TP'!$E$3:$E$10005&amp;'DMR 001C TIN &amp; TP'!$B$3:$B$10005&amp;'DMR 001C TIN &amp; TP'!$A$3:$A$10005),0),MATCH('Reg 85'!$O$11,'DMR 001C TIN &amp; TP'!$A$2:$M$2,0))),"")</f>
        <v/>
      </c>
      <c r="W374" s="6" t="str">
        <f t="array" ref="W374">_xlfn.IFNA((INDEX('DMR 001C TIN &amp; TP'!$A$3:$M$10005,MATCH(('Reg 85'!$I$6:$Q$6&amp;'Reg 85'!W$10&amp;'Reg 85'!$B374),('DMR 001C TIN &amp; TP'!$E$3:$E$10005&amp;'DMR 001C TIN &amp; TP'!$B$3:$B$10005&amp;'DMR 001C TIN &amp; TP'!$A$3:$A$10005),0),MATCH('Reg 85'!$O$11,'DMR 001C TIN &amp; TP'!$A$2:$M$2,0))),"")</f>
        <v/>
      </c>
      <c r="X374" s="5" t="str">
        <f t="shared" si="134"/>
        <v/>
      </c>
      <c r="Y374" s="6" t="str">
        <f t="array" ref="Y374">_xlfn.IFNA((INDEX('DMR 001C TIN &amp; TP'!$A$3:$M$10005,MATCH(('Reg 85'!$X$6&amp;'Reg 85'!$X$10&amp;'Reg 85'!$B374),('DMR 001C TIN &amp; TP'!$E$3:$E$10005&amp;'DMR 001C TIN &amp; TP'!$B$3:$B$10005&amp;'DMR 001C TIN &amp; TP'!$A$3:$A$10005),0),MATCH('Reg 85'!$Y$11,'DMR 001C TIN &amp; TP'!$A$2:$M$2,0))),"")</f>
        <v>0.06</v>
      </c>
      <c r="Z374" s="6">
        <f t="array" ref="Z374">_xlfn.IFNA((INDEX('DMR 001C TIN &amp; TP'!$A$3:$M$10005,MATCH(('Reg 85'!$X$6&amp;'Reg 85'!$X$10&amp;'Reg 85'!$B374),('DMR 001C TIN &amp; TP'!$E$3:$E$10005&amp;'DMR 001C TIN &amp; TP'!$B$3:$B$10005&amp;'DMR 001C TIN &amp; TP'!$A$3:$A$10005),0),MATCH('Reg 85'!$Z$11,'DMR 001C TIN &amp; TP'!$A$2:$M$2,0))),"")</f>
        <v>5.96</v>
      </c>
      <c r="AA374" s="53">
        <f t="shared" si="135"/>
        <v>5.96</v>
      </c>
      <c r="AB374" s="5" t="str">
        <f t="shared" si="136"/>
        <v/>
      </c>
      <c r="AC374" s="6" t="str">
        <f t="array" ref="AC374">_xlfn.IFNA((INDEX('DMR 001C TIN &amp; TP'!$A$3:$M$10005,MATCH(('Reg 85'!$X$6&amp;'Reg 85'!$AB$10&amp;'Reg 85'!$B374),('DMR 001C TIN &amp; TP'!$E$3:$E$10005&amp;'DMR 001C TIN &amp; TP'!$B$3:$B$10005&amp;'DMR 001C TIN &amp; TP'!$A$3:$A$10005),0),MATCH('Reg 85'!$AC$11,'DMR 001C TIN &amp; TP'!$A$2:$M$2,0))),"")</f>
        <v>0.06</v>
      </c>
      <c r="AD374" s="6">
        <f t="array" ref="AD374">_xlfn.IFNA((INDEX('DMR 001C TIN &amp; TP'!$A$3:$M$10005,MATCH(('Reg 85'!$X$6&amp;'Reg 85'!$AB$10&amp;'Reg 85'!$B374),('DMR 001C TIN &amp; TP'!$E$3:$E$10005&amp;'DMR 001C TIN &amp; TP'!$B$3:$B$10005&amp;'DMR 001C TIN &amp; TP'!$A$3:$A$10005),0),MATCH('Reg 85'!$AD$11,'DMR 001C TIN &amp; TP'!$A$2:$M$2,0))),"")</f>
        <v>6.36</v>
      </c>
      <c r="AE374" s="53">
        <f t="shared" si="137"/>
        <v>6.36</v>
      </c>
      <c r="AF374" s="7">
        <f t="shared" si="138"/>
        <v>6.2372255945595789</v>
      </c>
      <c r="AG374" s="6" t="str">
        <f t="array" ref="AG374">_xlfn.IFNA((INDEX('DMR 001C TIN &amp; TP'!$A$3:$M$10005,MATCH(('Reg 85'!$X$6&amp;'Reg 85'!AG$10&amp;'Reg 85'!$B374),('DMR 001C TIN &amp; TP'!$E$3:$E$10005&amp;'DMR 001C TIN &amp; TP'!$B$3:$B$10005&amp;'DMR 001C TIN &amp; TP'!$A$3:$A$10005),0),MATCH('Reg 85'!$AG$11,'DMR 001C TIN &amp; TP'!$A$2:$M$2,0))),"")</f>
        <v/>
      </c>
      <c r="AH374" s="6" t="str">
        <f t="array" ref="AH374">_xlfn.IFNA((INDEX('DMR 001C TIN &amp; TP'!$A$3:$M$10005,MATCH(('Reg 85'!$X$6&amp;'Reg 85'!AH$10&amp;'Reg 85'!$B374),('DMR 001C TIN &amp; TP'!$E$3:$E$10005&amp;'DMR 001C TIN &amp; TP'!$B$3:$B$10005&amp;'DMR 001C TIN &amp; TP'!$A$3:$A$10005),0),MATCH('Reg 85'!$AG$11,'DMR 001C TIN &amp; TP'!$A$2:$M$2,0))),"")</f>
        <v/>
      </c>
      <c r="AI374" s="6" t="str">
        <f t="array" ref="AI374">_xlfn.IFNA((INDEX('DMR 001C TIN &amp; TP'!$A$3:$M$10005,MATCH(('Reg 85'!$X$6&amp;'Reg 85'!AI$10&amp;'Reg 85'!$B374),('DMR 001C TIN &amp; TP'!$E$3:$E$10005&amp;'DMR 001C TIN &amp; TP'!$B$3:$B$10005&amp;'DMR 001C TIN &amp; TP'!$A$3:$A$10005),0),MATCH('Reg 85'!$AG$11,'DMR 001C TIN &amp; TP'!$A$2:$M$2,0))),"")</f>
        <v/>
      </c>
      <c r="AJ374" s="6" t="str">
        <f t="array" ref="AJ374">_xlfn.IFNA((INDEX('DMR 001C TIN &amp; TP'!$A$3:$M$10005,MATCH(('Reg 85'!$X$6&amp;'Reg 85'!AJ$10&amp;'Reg 85'!$B374),('DMR 001C TIN &amp; TP'!$E$3:$E$10005&amp;'DMR 001C TIN &amp; TP'!$B$3:$B$10005&amp;'DMR 001C TIN &amp; TP'!$A$3:$A$10005),0),MATCH('Reg 85'!$AG$11,'DMR 001C TIN &amp; TP'!$A$2:$M$2,0))),"")</f>
        <v/>
      </c>
      <c r="AK374" s="6" t="str">
        <f t="array" ref="AK374">_xlfn.IFNA((INDEX('DMR 001C TIN &amp; TP'!$A$3:$M$10005,MATCH(('Reg 85'!$X$6&amp;'Reg 85'!AK$10&amp;'Reg 85'!$B374),('DMR 001C TIN &amp; TP'!$E$3:$E$10005&amp;'DMR 001C TIN &amp; TP'!$B$3:$B$10005&amp;'DMR 001C TIN &amp; TP'!$A$3:$A$10005),0),MATCH('Reg 85'!$AG$11,'DMR 001C TIN &amp; TP'!$A$2:$M$2,0))),"")</f>
        <v/>
      </c>
      <c r="AL374" s="6" t="str">
        <f t="array" ref="AL374">_xlfn.IFNA((INDEX('DMR 001C TIN &amp; TP'!$A$3:$M$10005,MATCH(('Reg 85'!$X$6&amp;'Reg 85'!AL$10&amp;'Reg 85'!$B374),('DMR 001C TIN &amp; TP'!$E$3:$E$10005&amp;'DMR 001C TIN &amp; TP'!$B$3:$B$10005&amp;'DMR 001C TIN &amp; TP'!$A$3:$A$10005),0),MATCH('Reg 85'!$AG$11,'DMR 001C TIN &amp; TP'!$A$2:$M$2,0))),"")</f>
        <v/>
      </c>
      <c r="AM374" s="76"/>
      <c r="AN374" s="6"/>
      <c r="AO374" s="54">
        <f t="shared" si="125"/>
        <v>6.9468269478950617</v>
      </c>
      <c r="AP374" s="77" t="str">
        <f t="shared" si="144"/>
        <v/>
      </c>
      <c r="AQ374" s="47"/>
      <c r="AR374" s="6" t="str">
        <f t="array" ref="AR374">_xlfn.IFNA((INDEX('DMR 001C TIN &amp; TP'!$A$3:$M$10005,MATCH(('Reg 85'!$AQ$6&amp;'Reg 85'!$AQ$10&amp;'Reg 85'!$B374),('DMR 001C TIN &amp; TP'!$E$3:$E$10005&amp;'DMR 001C TIN &amp; TP'!$B$3:$B$10005&amp;'DMR 001C TIN &amp; TP'!$A$3:$A$10005),0),MATCH('Reg 85'!$AR$11,'DMR 001C TIN &amp; TP'!$A$2:$M$2,0))),"")</f>
        <v/>
      </c>
      <c r="AS374" s="6" t="str">
        <f t="array" ref="AS374">_xlfn.IFNA((INDEX('DMR 001C TIN &amp; TP'!$A$3:$M$10005,MATCH(('Reg 85'!$AQ$6&amp;'Reg 85'!$AQ$10&amp;'Reg 85'!$B374),('DMR 001C TIN &amp; TP'!$E$3:$E$10005&amp;'DMR 001C TIN &amp; TP'!$B$3:$B$10005&amp;'DMR 001C TIN &amp; TP'!$A$3:$A$10005),0),MATCH('Reg 85'!$AS$11,'DMR 001C TIN &amp; TP'!$A$2:$M$2,0))),"")</f>
        <v/>
      </c>
      <c r="AT374" s="53" t="str">
        <f t="shared" si="139"/>
        <v/>
      </c>
      <c r="AV374" s="6" t="str">
        <f t="array" ref="AV374">_xlfn.IFNA((INDEX('DMR 001C TIN &amp; TP'!$A$3:$M$10005,MATCH(('Reg 85'!$AQ$6&amp;'Reg 85'!$AU$10&amp;'Reg 85'!$B374),('DMR 001C TIN &amp; TP'!$E$3:$E$10005&amp;'DMR 001C TIN &amp; TP'!$B$3:$B$10005&amp;'DMR 001C TIN &amp; TP'!$A$3:$A$10005),0),MATCH('Reg 85'!$AV$11,'DMR 001C TIN &amp; TP'!$A$2:$M$2,0))),"")</f>
        <v/>
      </c>
      <c r="AW374" s="6" t="str">
        <f t="array" ref="AW374">_xlfn.IFNA((INDEX('DMR 001C TIN &amp; TP'!$A$3:$M$10005,MATCH(('Reg 85'!$AQ$6&amp;'Reg 85'!$AU$10&amp;'Reg 85'!$B374),('DMR 001C TIN &amp; TP'!$E$3:$E$10005&amp;'DMR 001C TIN &amp; TP'!$B$3:$B$10005&amp;'DMR 001C TIN &amp; TP'!$A$3:$A$10005),0),MATCH('Reg 85'!$AW$11,'DMR 001C TIN &amp; TP'!$A$2:$M$2,0))),"")</f>
        <v/>
      </c>
      <c r="AX374" s="53" t="str">
        <f t="shared" si="140"/>
        <v/>
      </c>
      <c r="AY374" s="55" t="str">
        <f t="shared" si="141"/>
        <v/>
      </c>
      <c r="AZ374" s="77" t="str">
        <f t="shared" si="145"/>
        <v/>
      </c>
      <c r="BA374" s="6" t="str">
        <f t="array" ref="BA374">_xlfn.IFNA((INDEX('DMR 001C TIN &amp; TP'!$A$3:$M$10005,MATCH(('Reg 85'!$AQ$6&amp;'Reg 85'!BA$10&amp;'Reg 85'!$B374),('DMR 001C TIN &amp; TP'!$E$3:$E$10005&amp;'DMR 001C TIN &amp; TP'!$B$3:$B$10005&amp;'DMR 001C TIN &amp; TP'!$A$3:$A$10005),0),MATCH('Reg 85'!$AG$11,'DMR 001C TIN &amp; TP'!$A$2:$M$2,0))),"")</f>
        <v/>
      </c>
      <c r="BB374" s="6" t="str">
        <f t="array" ref="BB374">_xlfn.IFNA((INDEX('DMR 001C TIN &amp; TP'!$A$3:$M$10005,MATCH(('Reg 85'!$AQ$6&amp;'Reg 85'!BB$10&amp;'Reg 85'!$B374),('DMR 001C TIN &amp; TP'!$E$3:$E$10005&amp;'DMR 001C TIN &amp; TP'!$B$3:$B$10005&amp;'DMR 001C TIN &amp; TP'!$A$3:$A$10005),0),MATCH('Reg 85'!$AG$11,'DMR 001C TIN &amp; TP'!$A$2:$M$2,0))),"")</f>
        <v/>
      </c>
      <c r="BC374" s="6" t="str">
        <f t="array" ref="BC374">_xlfn.IFNA((INDEX('DMR 001C TIN &amp; TP'!$A$3:$M$10005,MATCH(('Reg 85'!$AQ$6&amp;'Reg 85'!BC$10&amp;'Reg 85'!$B374),('DMR 001C TIN &amp; TP'!$E$3:$E$10005&amp;'DMR 001C TIN &amp; TP'!$B$3:$B$10005&amp;'DMR 001C TIN &amp; TP'!$A$3:$A$10005),0),MATCH('Reg 85'!$AG$11,'DMR 001C TIN &amp; TP'!$A$2:$M$2,0))),"")</f>
        <v/>
      </c>
      <c r="BD374" s="6" t="str">
        <f t="array" ref="BD374">_xlfn.IFNA((INDEX('DMR 001C TIN &amp; TP'!$A$3:$M$10005,MATCH(('Reg 85'!$AQ$6&amp;'Reg 85'!BD$10&amp;'Reg 85'!$B374),('DMR 001C TIN &amp; TP'!$E$3:$E$10005&amp;'DMR 001C TIN &amp; TP'!$B$3:$B$10005&amp;'DMR 001C TIN &amp; TP'!$A$3:$A$10005),0),MATCH('Reg 85'!$AG$11,'DMR 001C TIN &amp; TP'!$A$2:$M$2,0))),"")</f>
        <v/>
      </c>
      <c r="BE374" s="6" t="str">
        <f t="array" ref="BE374">_xlfn.IFNA((INDEX('DMR 001C TIN &amp; TP'!$A$3:$M$10005,MATCH(('Reg 85'!$AQ$6&amp;'Reg 85'!BE$10&amp;'Reg 85'!$B374),('DMR 001C TIN &amp; TP'!$E$3:$E$10005&amp;'DMR 001C TIN &amp; TP'!$B$3:$B$10005&amp;'DMR 001C TIN &amp; TP'!$A$3:$A$10005),0),MATCH('Reg 85'!$AG$11,'DMR 001C TIN &amp; TP'!$A$2:$M$2,0))),"")</f>
        <v/>
      </c>
      <c r="BF374" s="6" t="str">
        <f t="array" ref="BF374">_xlfn.IFNA((INDEX('DMR 001C TIN &amp; TP'!$A$3:$M$10005,MATCH(('Reg 85'!$AQ$6&amp;'Reg 85'!BF$10&amp;'Reg 85'!$B374),('DMR 001C TIN &amp; TP'!$E$3:$E$10005&amp;'DMR 001C TIN &amp; TP'!$B$3:$B$10005&amp;'DMR 001C TIN &amp; TP'!$A$3:$A$10005),0),MATCH('Reg 85'!$AG$11,'DMR 001C TIN &amp; TP'!$A$2:$M$2,0))),"")</f>
        <v/>
      </c>
    </row>
    <row r="375" spans="1:58">
      <c r="A375" s="3" t="str">
        <f t="shared" si="126"/>
        <v>Fri</v>
      </c>
      <c r="B375" s="96">
        <f t="shared" si="142"/>
        <v>43707</v>
      </c>
      <c r="C375" s="96">
        <f t="shared" si="127"/>
        <v>43708</v>
      </c>
      <c r="D375" s="96">
        <f t="shared" si="128"/>
        <v>43678</v>
      </c>
      <c r="E375" s="95">
        <f t="shared" si="129"/>
        <v>31</v>
      </c>
      <c r="F375" s="7">
        <f t="array" ref="F375">_xlfn.IFNA(INDEX('DMR Flows-Effluent'!$A$3:$F$9999,MATCH(($F$10&amp;$B375),('DMR Flows-Effluent'!$B$3:$B$9999&amp;'DMR Flows-Effluent'!$A$3:$A$9999),0),MATCH($F$8,'DMR Flows-Effluent'!$A$2:$F$2,0)),"")</f>
        <v>34.502099999999999</v>
      </c>
      <c r="G375" s="7">
        <f t="array" ref="G375">_xlfn.IFNA(INDEX('DMR Flows-Effluent'!$A$3:$F$9999,MATCH(($G$10&amp;$B375),('DMR Flows-Effluent'!$B$3:$B$9999&amp;'DMR Flows-Effluent'!$A$3:$A$9999),0),MATCH($F$8,'DMR Flows-Effluent'!$A$2:$F$2,0)),"")</f>
        <v>80.421800000000005</v>
      </c>
      <c r="H375" s="7">
        <f t="shared" si="130"/>
        <v>114.9239</v>
      </c>
      <c r="I375" s="45" t="str">
        <f t="shared" si="131"/>
        <v/>
      </c>
      <c r="J375" s="6" t="str">
        <f t="array" ref="J375">_xlfn.IFNA((INDEX('DMR 001C TIN &amp; TP'!$A$3:$M$10005,MATCH(('Reg 85'!$I$6:$Q$6&amp;'Reg 85'!$I$10:$K$10&amp;'Reg 85'!$B375),('DMR 001C TIN &amp; TP'!$E$3:$E$10005&amp;'DMR 001C TIN &amp; TP'!$B$3:$B$10005&amp;'DMR 001C TIN &amp; TP'!$A$3:$A$10005),0),MATCH('Reg 85'!$J$11,'DMR 001C TIN &amp; TP'!$A$2:$M$2,0))),"")</f>
        <v>0.15</v>
      </c>
      <c r="K375" s="6">
        <f t="array" ref="K375">_xlfn.IFNA((INDEX('DMR 001C TIN &amp; TP'!$A$3:$M$10005,MATCH(('Reg 85'!$I$6:$Q$6&amp;'Reg 85'!$I$10:$K$10&amp;'Reg 85'!$B375),('DMR 001C TIN &amp; TP'!$E$3:$E$10005&amp;'DMR 001C TIN &amp; TP'!$B$3:$B$10005&amp;'DMR 001C TIN &amp; TP'!$A$3:$A$10005),0),MATCH('Reg 85'!$K$11,'DMR 001C TIN &amp; TP'!$A$2:$M$2,0))),"")</f>
        <v>0.54</v>
      </c>
      <c r="L375" s="53">
        <f t="shared" si="143"/>
        <v>0.54</v>
      </c>
      <c r="M375" s="5" t="str">
        <f t="shared" si="132"/>
        <v/>
      </c>
      <c r="N375" s="6" t="str">
        <f t="array" ref="N375">_xlfn.IFNA((INDEX('DMR 001C TIN &amp; TP'!$A$3:$M$10005,MATCH(('Reg 85'!$I$6:$Q$6&amp;'Reg 85'!$M$10&amp;'Reg 85'!$B375),('DMR 001C TIN &amp; TP'!$E$3:$E$10005&amp;'DMR 001C TIN &amp; TP'!$B$3:$B$10005&amp;'DMR 001C TIN &amp; TP'!$A$3:$A$10005),0),MATCH('Reg 85'!$N$11,'DMR 001C TIN &amp; TP'!$A$2:$M$2,0))),"")</f>
        <v>0.15</v>
      </c>
      <c r="O375" s="6">
        <f t="array" ref="O375">_xlfn.IFNA((INDEX('DMR 001C TIN &amp; TP'!$A$3:$M$10005,MATCH(('Reg 85'!$I$6:$Q$6&amp;'Reg 85'!$M$10&amp;'Reg 85'!$B375),('DMR 001C TIN &amp; TP'!$E$3:$E$10005&amp;'DMR 001C TIN &amp; TP'!$B$3:$B$10005&amp;'DMR 001C TIN &amp; TP'!$A$3:$A$10005),0),MATCH('Reg 85'!$O$11,'DMR 001C TIN &amp; TP'!$A$2:$M$2,0))),"")</f>
        <v>1.88</v>
      </c>
      <c r="P375" s="53">
        <f t="shared" si="133"/>
        <v>1.88</v>
      </c>
      <c r="Q375" s="73">
        <f t="array" ref="Q375">IFERROR(((L375*$F375)+(P375*$G375))/($H375),"")</f>
        <v>1.477709318949322</v>
      </c>
      <c r="R375" s="6" t="str">
        <f t="array" ref="R375">_xlfn.IFNA((INDEX('DMR 001C TIN &amp; TP'!$A$3:$M$10005,MATCH(('Reg 85'!$I$6:$Q$6&amp;'Reg 85'!R$10&amp;'Reg 85'!$B375),('DMR 001C TIN &amp; TP'!$E$3:$E$10005&amp;'DMR 001C TIN &amp; TP'!$B$3:$B$10005&amp;'DMR 001C TIN &amp; TP'!$A$3:$A$10005),0),MATCH('Reg 85'!$O$11,'DMR 001C TIN &amp; TP'!$A$2:$M$2,0))),"")</f>
        <v/>
      </c>
      <c r="S375" s="6" t="str">
        <f t="array" ref="S375">_xlfn.IFNA((INDEX('DMR 001C TIN &amp; TP'!$A$3:$M$10005,MATCH(('Reg 85'!$I$6:$Q$6&amp;'Reg 85'!S$10&amp;'Reg 85'!$B375),('DMR 001C TIN &amp; TP'!$E$3:$E$10005&amp;'DMR 001C TIN &amp; TP'!$B$3:$B$10005&amp;'DMR 001C TIN &amp; TP'!$A$3:$A$10005),0),MATCH('Reg 85'!$O$11,'DMR 001C TIN &amp; TP'!$A$2:$M$2,0))),"")</f>
        <v/>
      </c>
      <c r="T375" s="6" t="str">
        <f t="array" ref="T375">_xlfn.IFNA((INDEX('DMR 001C TIN &amp; TP'!$A$3:$M$10005,MATCH(('Reg 85'!$I$6:$Q$6&amp;'Reg 85'!T$10&amp;'Reg 85'!$B375),('DMR 001C TIN &amp; TP'!$E$3:$E$10005&amp;'DMR 001C TIN &amp; TP'!$B$3:$B$10005&amp;'DMR 001C TIN &amp; TP'!$A$3:$A$10005),0),MATCH('Reg 85'!$O$11,'DMR 001C TIN &amp; TP'!$A$2:$M$2,0))),"")</f>
        <v/>
      </c>
      <c r="U375" s="6" t="str">
        <f t="array" ref="U375">_xlfn.IFNA((INDEX('DMR 001C TIN &amp; TP'!$A$3:$M$10005,MATCH(('Reg 85'!$I$6:$Q$6&amp;'Reg 85'!U$10&amp;'Reg 85'!$B375),('DMR 001C TIN &amp; TP'!$E$3:$E$10005&amp;'DMR 001C TIN &amp; TP'!$B$3:$B$10005&amp;'DMR 001C TIN &amp; TP'!$A$3:$A$10005),0),MATCH('Reg 85'!$O$11,'DMR 001C TIN &amp; TP'!$A$2:$M$2,0))),"")</f>
        <v/>
      </c>
      <c r="V375" s="6" t="str">
        <f t="array" ref="V375">_xlfn.IFNA((INDEX('DMR 001C TIN &amp; TP'!$A$3:$M$10005,MATCH(('Reg 85'!$I$6:$Q$6&amp;'Reg 85'!V$10&amp;'Reg 85'!$B375),('DMR 001C TIN &amp; TP'!$E$3:$E$10005&amp;'DMR 001C TIN &amp; TP'!$B$3:$B$10005&amp;'DMR 001C TIN &amp; TP'!$A$3:$A$10005),0),MATCH('Reg 85'!$O$11,'DMR 001C TIN &amp; TP'!$A$2:$M$2,0))),"")</f>
        <v/>
      </c>
      <c r="W375" s="6" t="str">
        <f t="array" ref="W375">_xlfn.IFNA((INDEX('DMR 001C TIN &amp; TP'!$A$3:$M$10005,MATCH(('Reg 85'!$I$6:$Q$6&amp;'Reg 85'!W$10&amp;'Reg 85'!$B375),('DMR 001C TIN &amp; TP'!$E$3:$E$10005&amp;'DMR 001C TIN &amp; TP'!$B$3:$B$10005&amp;'DMR 001C TIN &amp; TP'!$A$3:$A$10005),0),MATCH('Reg 85'!$O$11,'DMR 001C TIN &amp; TP'!$A$2:$M$2,0))),"")</f>
        <v/>
      </c>
      <c r="X375" s="5" t="str">
        <f t="shared" si="134"/>
        <v/>
      </c>
      <c r="Y375" s="6" t="str">
        <f t="array" ref="Y375">_xlfn.IFNA((INDEX('DMR 001C TIN &amp; TP'!$A$3:$M$10005,MATCH(('Reg 85'!$X$6&amp;'Reg 85'!$X$10&amp;'Reg 85'!$B375),('DMR 001C TIN &amp; TP'!$E$3:$E$10005&amp;'DMR 001C TIN &amp; TP'!$B$3:$B$10005&amp;'DMR 001C TIN &amp; TP'!$A$3:$A$10005),0),MATCH('Reg 85'!$Y$11,'DMR 001C TIN &amp; TP'!$A$2:$M$2,0))),"")</f>
        <v>0.12</v>
      </c>
      <c r="Z375" s="6">
        <f t="array" ref="Z375">_xlfn.IFNA((INDEX('DMR 001C TIN &amp; TP'!$A$3:$M$10005,MATCH(('Reg 85'!$X$6&amp;'Reg 85'!$X$10&amp;'Reg 85'!$B375),('DMR 001C TIN &amp; TP'!$E$3:$E$10005&amp;'DMR 001C TIN &amp; TP'!$B$3:$B$10005&amp;'DMR 001C TIN &amp; TP'!$A$3:$A$10005),0),MATCH('Reg 85'!$Z$11,'DMR 001C TIN &amp; TP'!$A$2:$M$2,0))),"")</f>
        <v>5.72</v>
      </c>
      <c r="AA375" s="53">
        <f t="shared" si="135"/>
        <v>5.72</v>
      </c>
      <c r="AB375" s="5" t="str">
        <f t="shared" si="136"/>
        <v/>
      </c>
      <c r="AC375" s="6" t="str">
        <f t="array" ref="AC375">_xlfn.IFNA((INDEX('DMR 001C TIN &amp; TP'!$A$3:$M$10005,MATCH(('Reg 85'!$X$6&amp;'Reg 85'!$AB$10&amp;'Reg 85'!$B375),('DMR 001C TIN &amp; TP'!$E$3:$E$10005&amp;'DMR 001C TIN &amp; TP'!$B$3:$B$10005&amp;'DMR 001C TIN &amp; TP'!$A$3:$A$10005),0),MATCH('Reg 85'!$AC$11,'DMR 001C TIN &amp; TP'!$A$2:$M$2,0))),"")</f>
        <v>0.06</v>
      </c>
      <c r="AD375" s="6">
        <f t="array" ref="AD375">_xlfn.IFNA((INDEX('DMR 001C TIN &amp; TP'!$A$3:$M$10005,MATCH(('Reg 85'!$X$6&amp;'Reg 85'!$AB$10&amp;'Reg 85'!$B375),('DMR 001C TIN &amp; TP'!$E$3:$E$10005&amp;'DMR 001C TIN &amp; TP'!$B$3:$B$10005&amp;'DMR 001C TIN &amp; TP'!$A$3:$A$10005),0),MATCH('Reg 85'!$AD$11,'DMR 001C TIN &amp; TP'!$A$2:$M$2,0))),"")</f>
        <v>6.36</v>
      </c>
      <c r="AE375" s="53">
        <f t="shared" si="137"/>
        <v>6.36</v>
      </c>
      <c r="AF375" s="7">
        <f t="shared" si="138"/>
        <v>6.1678611672593773</v>
      </c>
      <c r="AG375" s="6" t="str">
        <f t="array" ref="AG375">_xlfn.IFNA((INDEX('DMR 001C TIN &amp; TP'!$A$3:$M$10005,MATCH(('Reg 85'!$X$6&amp;'Reg 85'!AG$10&amp;'Reg 85'!$B375),('DMR 001C TIN &amp; TP'!$E$3:$E$10005&amp;'DMR 001C TIN &amp; TP'!$B$3:$B$10005&amp;'DMR 001C TIN &amp; TP'!$A$3:$A$10005),0),MATCH('Reg 85'!$AG$11,'DMR 001C TIN &amp; TP'!$A$2:$M$2,0))),"")</f>
        <v/>
      </c>
      <c r="AH375" s="6" t="str">
        <f t="array" ref="AH375">_xlfn.IFNA((INDEX('DMR 001C TIN &amp; TP'!$A$3:$M$10005,MATCH(('Reg 85'!$X$6&amp;'Reg 85'!AH$10&amp;'Reg 85'!$B375),('DMR 001C TIN &amp; TP'!$E$3:$E$10005&amp;'DMR 001C TIN &amp; TP'!$B$3:$B$10005&amp;'DMR 001C TIN &amp; TP'!$A$3:$A$10005),0),MATCH('Reg 85'!$AG$11,'DMR 001C TIN &amp; TP'!$A$2:$M$2,0))),"")</f>
        <v/>
      </c>
      <c r="AI375" s="6" t="str">
        <f t="array" ref="AI375">_xlfn.IFNA((INDEX('DMR 001C TIN &amp; TP'!$A$3:$M$10005,MATCH(('Reg 85'!$X$6&amp;'Reg 85'!AI$10&amp;'Reg 85'!$B375),('DMR 001C TIN &amp; TP'!$E$3:$E$10005&amp;'DMR 001C TIN &amp; TP'!$B$3:$B$10005&amp;'DMR 001C TIN &amp; TP'!$A$3:$A$10005),0),MATCH('Reg 85'!$AG$11,'DMR 001C TIN &amp; TP'!$A$2:$M$2,0))),"")</f>
        <v/>
      </c>
      <c r="AJ375" s="6" t="str">
        <f t="array" ref="AJ375">_xlfn.IFNA((INDEX('DMR 001C TIN &amp; TP'!$A$3:$M$10005,MATCH(('Reg 85'!$X$6&amp;'Reg 85'!AJ$10&amp;'Reg 85'!$B375),('DMR 001C TIN &amp; TP'!$E$3:$E$10005&amp;'DMR 001C TIN &amp; TP'!$B$3:$B$10005&amp;'DMR 001C TIN &amp; TP'!$A$3:$A$10005),0),MATCH('Reg 85'!$AG$11,'DMR 001C TIN &amp; TP'!$A$2:$M$2,0))),"")</f>
        <v/>
      </c>
      <c r="AK375" s="6" t="str">
        <f t="array" ref="AK375">_xlfn.IFNA((INDEX('DMR 001C TIN &amp; TP'!$A$3:$M$10005,MATCH(('Reg 85'!$X$6&amp;'Reg 85'!AK$10&amp;'Reg 85'!$B375),('DMR 001C TIN &amp; TP'!$E$3:$E$10005&amp;'DMR 001C TIN &amp; TP'!$B$3:$B$10005&amp;'DMR 001C TIN &amp; TP'!$A$3:$A$10005),0),MATCH('Reg 85'!$AG$11,'DMR 001C TIN &amp; TP'!$A$2:$M$2,0))),"")</f>
        <v/>
      </c>
      <c r="AL375" s="6" t="str">
        <f t="array" ref="AL375">_xlfn.IFNA((INDEX('DMR 001C TIN &amp; TP'!$A$3:$M$10005,MATCH(('Reg 85'!$X$6&amp;'Reg 85'!AL$10&amp;'Reg 85'!$B375),('DMR 001C TIN &amp; TP'!$E$3:$E$10005&amp;'DMR 001C TIN &amp; TP'!$B$3:$B$10005&amp;'DMR 001C TIN &amp; TP'!$A$3:$A$10005),0),MATCH('Reg 85'!$AG$11,'DMR 001C TIN &amp; TP'!$A$2:$M$2,0))),"")</f>
        <v/>
      </c>
      <c r="AM375" s="76"/>
      <c r="AN375" s="6"/>
      <c r="AO375" s="54">
        <f t="shared" si="125"/>
        <v>7.6455704862086993</v>
      </c>
      <c r="AP375" s="77" t="str">
        <f t="shared" si="144"/>
        <v/>
      </c>
      <c r="AQ375" s="47"/>
      <c r="AR375" s="6" t="str">
        <f t="array" ref="AR375">_xlfn.IFNA((INDEX('DMR 001C TIN &amp; TP'!$A$3:$M$10005,MATCH(('Reg 85'!$AQ$6&amp;'Reg 85'!$AQ$10&amp;'Reg 85'!$B375),('DMR 001C TIN &amp; TP'!$E$3:$E$10005&amp;'DMR 001C TIN &amp; TP'!$B$3:$B$10005&amp;'DMR 001C TIN &amp; TP'!$A$3:$A$10005),0),MATCH('Reg 85'!$AR$11,'DMR 001C TIN &amp; TP'!$A$2:$M$2,0))),"")</f>
        <v/>
      </c>
      <c r="AS375" s="6" t="str">
        <f t="array" ref="AS375">_xlfn.IFNA((INDEX('DMR 001C TIN &amp; TP'!$A$3:$M$10005,MATCH(('Reg 85'!$AQ$6&amp;'Reg 85'!$AQ$10&amp;'Reg 85'!$B375),('DMR 001C TIN &amp; TP'!$E$3:$E$10005&amp;'DMR 001C TIN &amp; TP'!$B$3:$B$10005&amp;'DMR 001C TIN &amp; TP'!$A$3:$A$10005),0),MATCH('Reg 85'!$AS$11,'DMR 001C TIN &amp; TP'!$A$2:$M$2,0))),"")</f>
        <v/>
      </c>
      <c r="AT375" s="53" t="str">
        <f t="shared" si="139"/>
        <v/>
      </c>
      <c r="AV375" s="6" t="str">
        <f t="array" ref="AV375">_xlfn.IFNA((INDEX('DMR 001C TIN &amp; TP'!$A$3:$M$10005,MATCH(('Reg 85'!$AQ$6&amp;'Reg 85'!$AU$10&amp;'Reg 85'!$B375),('DMR 001C TIN &amp; TP'!$E$3:$E$10005&amp;'DMR 001C TIN &amp; TP'!$B$3:$B$10005&amp;'DMR 001C TIN &amp; TP'!$A$3:$A$10005),0),MATCH('Reg 85'!$AV$11,'DMR 001C TIN &amp; TP'!$A$2:$M$2,0))),"")</f>
        <v/>
      </c>
      <c r="AW375" s="6" t="str">
        <f t="array" ref="AW375">_xlfn.IFNA((INDEX('DMR 001C TIN &amp; TP'!$A$3:$M$10005,MATCH(('Reg 85'!$AQ$6&amp;'Reg 85'!$AU$10&amp;'Reg 85'!$B375),('DMR 001C TIN &amp; TP'!$E$3:$E$10005&amp;'DMR 001C TIN &amp; TP'!$B$3:$B$10005&amp;'DMR 001C TIN &amp; TP'!$A$3:$A$10005),0),MATCH('Reg 85'!$AW$11,'DMR 001C TIN &amp; TP'!$A$2:$M$2,0))),"")</f>
        <v/>
      </c>
      <c r="AX375" s="53" t="str">
        <f t="shared" si="140"/>
        <v/>
      </c>
      <c r="AY375" s="55" t="str">
        <f t="shared" si="141"/>
        <v/>
      </c>
      <c r="AZ375" s="77" t="str">
        <f t="shared" si="145"/>
        <v/>
      </c>
      <c r="BA375" s="6" t="str">
        <f t="array" ref="BA375">_xlfn.IFNA((INDEX('DMR 001C TIN &amp; TP'!$A$3:$M$10005,MATCH(('Reg 85'!$AQ$6&amp;'Reg 85'!BA$10&amp;'Reg 85'!$B375),('DMR 001C TIN &amp; TP'!$E$3:$E$10005&amp;'DMR 001C TIN &amp; TP'!$B$3:$B$10005&amp;'DMR 001C TIN &amp; TP'!$A$3:$A$10005),0),MATCH('Reg 85'!$AG$11,'DMR 001C TIN &amp; TP'!$A$2:$M$2,0))),"")</f>
        <v/>
      </c>
      <c r="BB375" s="6" t="str">
        <f t="array" ref="BB375">_xlfn.IFNA((INDEX('DMR 001C TIN &amp; TP'!$A$3:$M$10005,MATCH(('Reg 85'!$AQ$6&amp;'Reg 85'!BB$10&amp;'Reg 85'!$B375),('DMR 001C TIN &amp; TP'!$E$3:$E$10005&amp;'DMR 001C TIN &amp; TP'!$B$3:$B$10005&amp;'DMR 001C TIN &amp; TP'!$A$3:$A$10005),0),MATCH('Reg 85'!$AG$11,'DMR 001C TIN &amp; TP'!$A$2:$M$2,0))),"")</f>
        <v/>
      </c>
      <c r="BC375" s="6" t="str">
        <f t="array" ref="BC375">_xlfn.IFNA((INDEX('DMR 001C TIN &amp; TP'!$A$3:$M$10005,MATCH(('Reg 85'!$AQ$6&amp;'Reg 85'!BC$10&amp;'Reg 85'!$B375),('DMR 001C TIN &amp; TP'!$E$3:$E$10005&amp;'DMR 001C TIN &amp; TP'!$B$3:$B$10005&amp;'DMR 001C TIN &amp; TP'!$A$3:$A$10005),0),MATCH('Reg 85'!$AG$11,'DMR 001C TIN &amp; TP'!$A$2:$M$2,0))),"")</f>
        <v/>
      </c>
      <c r="BD375" s="6" t="str">
        <f t="array" ref="BD375">_xlfn.IFNA((INDEX('DMR 001C TIN &amp; TP'!$A$3:$M$10005,MATCH(('Reg 85'!$AQ$6&amp;'Reg 85'!BD$10&amp;'Reg 85'!$B375),('DMR 001C TIN &amp; TP'!$E$3:$E$10005&amp;'DMR 001C TIN &amp; TP'!$B$3:$B$10005&amp;'DMR 001C TIN &amp; TP'!$A$3:$A$10005),0),MATCH('Reg 85'!$AG$11,'DMR 001C TIN &amp; TP'!$A$2:$M$2,0))),"")</f>
        <v/>
      </c>
      <c r="BE375" s="6" t="str">
        <f t="array" ref="BE375">_xlfn.IFNA((INDEX('DMR 001C TIN &amp; TP'!$A$3:$M$10005,MATCH(('Reg 85'!$AQ$6&amp;'Reg 85'!BE$10&amp;'Reg 85'!$B375),('DMR 001C TIN &amp; TP'!$E$3:$E$10005&amp;'DMR 001C TIN &amp; TP'!$B$3:$B$10005&amp;'DMR 001C TIN &amp; TP'!$A$3:$A$10005),0),MATCH('Reg 85'!$AG$11,'DMR 001C TIN &amp; TP'!$A$2:$M$2,0))),"")</f>
        <v/>
      </c>
      <c r="BF375" s="6" t="str">
        <f t="array" ref="BF375">_xlfn.IFNA((INDEX('DMR 001C TIN &amp; TP'!$A$3:$M$10005,MATCH(('Reg 85'!$AQ$6&amp;'Reg 85'!BF$10&amp;'Reg 85'!$B375),('DMR 001C TIN &amp; TP'!$E$3:$E$10005&amp;'DMR 001C TIN &amp; TP'!$B$3:$B$10005&amp;'DMR 001C TIN &amp; TP'!$A$3:$A$10005),0),MATCH('Reg 85'!$AG$11,'DMR 001C TIN &amp; TP'!$A$2:$M$2,0))),"")</f>
        <v/>
      </c>
    </row>
    <row r="376" spans="1:58">
      <c r="A376" s="3" t="str">
        <f t="shared" si="126"/>
        <v>Sat</v>
      </c>
      <c r="B376" s="96">
        <f t="shared" si="142"/>
        <v>43708</v>
      </c>
      <c r="C376" s="96">
        <f t="shared" si="127"/>
        <v>43708</v>
      </c>
      <c r="D376" s="96">
        <f t="shared" si="128"/>
        <v>43678</v>
      </c>
      <c r="E376" s="95">
        <f t="shared" si="129"/>
        <v>31</v>
      </c>
      <c r="F376" s="7">
        <f t="array" ref="F376">_xlfn.IFNA(INDEX('DMR Flows-Effluent'!$A$3:$F$9999,MATCH(($F$10&amp;$B376),('DMR Flows-Effluent'!$B$3:$B$9999&amp;'DMR Flows-Effluent'!$A$3:$A$9999),0),MATCH($F$8,'DMR Flows-Effluent'!$A$2:$F$2,0)),"")</f>
        <v>36.171900000000001</v>
      </c>
      <c r="G376" s="7">
        <f t="array" ref="G376">_xlfn.IFNA(INDEX('DMR Flows-Effluent'!$A$3:$F$9999,MATCH(($G$10&amp;$B376),('DMR Flows-Effluent'!$B$3:$B$9999&amp;'DMR Flows-Effluent'!$A$3:$A$9999),0),MATCH($F$8,'DMR Flows-Effluent'!$A$2:$F$2,0)),"")</f>
        <v>74.007400000000004</v>
      </c>
      <c r="H376" s="7">
        <f t="shared" si="130"/>
        <v>110.17930000000001</v>
      </c>
      <c r="I376" s="45" t="str">
        <f t="shared" si="131"/>
        <v/>
      </c>
      <c r="J376" s="6" t="str">
        <f t="array" ref="J376">_xlfn.IFNA((INDEX('DMR 001C TIN &amp; TP'!$A$3:$M$10005,MATCH(('Reg 85'!$I$6:$Q$6&amp;'Reg 85'!$I$10:$K$10&amp;'Reg 85'!$B376),('DMR 001C TIN &amp; TP'!$E$3:$E$10005&amp;'DMR 001C TIN &amp; TP'!$B$3:$B$10005&amp;'DMR 001C TIN &amp; TP'!$A$3:$A$10005),0),MATCH('Reg 85'!$J$11,'DMR 001C TIN &amp; TP'!$A$2:$M$2,0))),"")</f>
        <v/>
      </c>
      <c r="K376" s="6" t="str">
        <f t="array" ref="K376">_xlfn.IFNA((INDEX('DMR 001C TIN &amp; TP'!$A$3:$M$10005,MATCH(('Reg 85'!$I$6:$Q$6&amp;'Reg 85'!$I$10:$K$10&amp;'Reg 85'!$B376),('DMR 001C TIN &amp; TP'!$E$3:$E$10005&amp;'DMR 001C TIN &amp; TP'!$B$3:$B$10005&amp;'DMR 001C TIN &amp; TP'!$A$3:$A$10005),0),MATCH('Reg 85'!$K$11,'DMR 001C TIN &amp; TP'!$A$2:$M$2,0))),"")</f>
        <v/>
      </c>
      <c r="L376" s="53" t="str">
        <f t="shared" si="143"/>
        <v/>
      </c>
      <c r="M376" s="5" t="str">
        <f t="shared" si="132"/>
        <v/>
      </c>
      <c r="N376" s="6" t="str">
        <f t="array" ref="N376">_xlfn.IFNA((INDEX('DMR 001C TIN &amp; TP'!$A$3:$M$10005,MATCH(('Reg 85'!$I$6:$Q$6&amp;'Reg 85'!$M$10&amp;'Reg 85'!$B376),('DMR 001C TIN &amp; TP'!$E$3:$E$10005&amp;'DMR 001C TIN &amp; TP'!$B$3:$B$10005&amp;'DMR 001C TIN &amp; TP'!$A$3:$A$10005),0),MATCH('Reg 85'!$N$11,'DMR 001C TIN &amp; TP'!$A$2:$M$2,0))),"")</f>
        <v/>
      </c>
      <c r="O376" s="6" t="str">
        <f t="array" ref="O376">_xlfn.IFNA((INDEX('DMR 001C TIN &amp; TP'!$A$3:$M$10005,MATCH(('Reg 85'!$I$6:$Q$6&amp;'Reg 85'!$M$10&amp;'Reg 85'!$B376),('DMR 001C TIN &amp; TP'!$E$3:$E$10005&amp;'DMR 001C TIN &amp; TP'!$B$3:$B$10005&amp;'DMR 001C TIN &amp; TP'!$A$3:$A$10005),0),MATCH('Reg 85'!$O$11,'DMR 001C TIN &amp; TP'!$A$2:$M$2,0))),"")</f>
        <v/>
      </c>
      <c r="P376" s="53" t="str">
        <f t="shared" si="133"/>
        <v/>
      </c>
      <c r="Q376" s="73" t="str">
        <f t="array" ref="Q376">IFERROR(((L376*$F376)+(P376*$G376))/($H376),"")</f>
        <v/>
      </c>
      <c r="R376" s="6" t="str">
        <f t="array" ref="R376">_xlfn.IFNA((INDEX('DMR 001C TIN &amp; TP'!$A$3:$M$10005,MATCH(('Reg 85'!$I$6:$Q$6&amp;'Reg 85'!R$10&amp;'Reg 85'!$B376),('DMR 001C TIN &amp; TP'!$E$3:$E$10005&amp;'DMR 001C TIN &amp; TP'!$B$3:$B$10005&amp;'DMR 001C TIN &amp; TP'!$A$3:$A$10005),0),MATCH('Reg 85'!$O$11,'DMR 001C TIN &amp; TP'!$A$2:$M$2,0))),"")</f>
        <v/>
      </c>
      <c r="S376" s="6" t="str">
        <f t="array" ref="S376">_xlfn.IFNA((INDEX('DMR 001C TIN &amp; TP'!$A$3:$M$10005,MATCH(('Reg 85'!$I$6:$Q$6&amp;'Reg 85'!S$10&amp;'Reg 85'!$B376),('DMR 001C TIN &amp; TP'!$E$3:$E$10005&amp;'DMR 001C TIN &amp; TP'!$B$3:$B$10005&amp;'DMR 001C TIN &amp; TP'!$A$3:$A$10005),0),MATCH('Reg 85'!$O$11,'DMR 001C TIN &amp; TP'!$A$2:$M$2,0))),"")</f>
        <v/>
      </c>
      <c r="T376" s="6" t="str">
        <f t="array" ref="T376">_xlfn.IFNA((INDEX('DMR 001C TIN &amp; TP'!$A$3:$M$10005,MATCH(('Reg 85'!$I$6:$Q$6&amp;'Reg 85'!T$10&amp;'Reg 85'!$B376),('DMR 001C TIN &amp; TP'!$E$3:$E$10005&amp;'DMR 001C TIN &amp; TP'!$B$3:$B$10005&amp;'DMR 001C TIN &amp; TP'!$A$3:$A$10005),0),MATCH('Reg 85'!$O$11,'DMR 001C TIN &amp; TP'!$A$2:$M$2,0))),"")</f>
        <v/>
      </c>
      <c r="U376" s="6" t="str">
        <f t="array" ref="U376">_xlfn.IFNA((INDEX('DMR 001C TIN &amp; TP'!$A$3:$M$10005,MATCH(('Reg 85'!$I$6:$Q$6&amp;'Reg 85'!U$10&amp;'Reg 85'!$B376),('DMR 001C TIN &amp; TP'!$E$3:$E$10005&amp;'DMR 001C TIN &amp; TP'!$B$3:$B$10005&amp;'DMR 001C TIN &amp; TP'!$A$3:$A$10005),0),MATCH('Reg 85'!$O$11,'DMR 001C TIN &amp; TP'!$A$2:$M$2,0))),"")</f>
        <v/>
      </c>
      <c r="V376" s="6" t="str">
        <f t="array" ref="V376">_xlfn.IFNA((INDEX('DMR 001C TIN &amp; TP'!$A$3:$M$10005,MATCH(('Reg 85'!$I$6:$Q$6&amp;'Reg 85'!V$10&amp;'Reg 85'!$B376),('DMR 001C TIN &amp; TP'!$E$3:$E$10005&amp;'DMR 001C TIN &amp; TP'!$B$3:$B$10005&amp;'DMR 001C TIN &amp; TP'!$A$3:$A$10005),0),MATCH('Reg 85'!$O$11,'DMR 001C TIN &amp; TP'!$A$2:$M$2,0))),"")</f>
        <v/>
      </c>
      <c r="W376" s="6" t="str">
        <f t="array" ref="W376">_xlfn.IFNA((INDEX('DMR 001C TIN &amp; TP'!$A$3:$M$10005,MATCH(('Reg 85'!$I$6:$Q$6&amp;'Reg 85'!W$10&amp;'Reg 85'!$B376),('DMR 001C TIN &amp; TP'!$E$3:$E$10005&amp;'DMR 001C TIN &amp; TP'!$B$3:$B$10005&amp;'DMR 001C TIN &amp; TP'!$A$3:$A$10005),0),MATCH('Reg 85'!$O$11,'DMR 001C TIN &amp; TP'!$A$2:$M$2,0))),"")</f>
        <v/>
      </c>
      <c r="X376" s="5" t="str">
        <f t="shared" si="134"/>
        <v/>
      </c>
      <c r="Y376" s="6" t="str">
        <f t="array" ref="Y376">_xlfn.IFNA((INDEX('DMR 001C TIN &amp; TP'!$A$3:$M$10005,MATCH(('Reg 85'!$X$6&amp;'Reg 85'!$X$10&amp;'Reg 85'!$B376),('DMR 001C TIN &amp; TP'!$E$3:$E$10005&amp;'DMR 001C TIN &amp; TP'!$B$3:$B$10005&amp;'DMR 001C TIN &amp; TP'!$A$3:$A$10005),0),MATCH('Reg 85'!$Y$11,'DMR 001C TIN &amp; TP'!$A$2:$M$2,0))),"")</f>
        <v/>
      </c>
      <c r="Z376" s="6" t="str">
        <f t="array" ref="Z376">_xlfn.IFNA((INDEX('DMR 001C TIN &amp; TP'!$A$3:$M$10005,MATCH(('Reg 85'!$X$6&amp;'Reg 85'!$X$10&amp;'Reg 85'!$B376),('DMR 001C TIN &amp; TP'!$E$3:$E$10005&amp;'DMR 001C TIN &amp; TP'!$B$3:$B$10005&amp;'DMR 001C TIN &amp; TP'!$A$3:$A$10005),0),MATCH('Reg 85'!$Z$11,'DMR 001C TIN &amp; TP'!$A$2:$M$2,0))),"")</f>
        <v/>
      </c>
      <c r="AA376" s="53" t="str">
        <f t="shared" si="135"/>
        <v/>
      </c>
      <c r="AB376" s="5" t="str">
        <f t="shared" si="136"/>
        <v/>
      </c>
      <c r="AC376" s="6" t="str">
        <f t="array" ref="AC376">_xlfn.IFNA((INDEX('DMR 001C TIN &amp; TP'!$A$3:$M$10005,MATCH(('Reg 85'!$X$6&amp;'Reg 85'!$AB$10&amp;'Reg 85'!$B376),('DMR 001C TIN &amp; TP'!$E$3:$E$10005&amp;'DMR 001C TIN &amp; TP'!$B$3:$B$10005&amp;'DMR 001C TIN &amp; TP'!$A$3:$A$10005),0),MATCH('Reg 85'!$AC$11,'DMR 001C TIN &amp; TP'!$A$2:$M$2,0))),"")</f>
        <v/>
      </c>
      <c r="AD376" s="6" t="str">
        <f t="array" ref="AD376">_xlfn.IFNA((INDEX('DMR 001C TIN &amp; TP'!$A$3:$M$10005,MATCH(('Reg 85'!$X$6&amp;'Reg 85'!$AB$10&amp;'Reg 85'!$B376),('DMR 001C TIN &amp; TP'!$E$3:$E$10005&amp;'DMR 001C TIN &amp; TP'!$B$3:$B$10005&amp;'DMR 001C TIN &amp; TP'!$A$3:$A$10005),0),MATCH('Reg 85'!$AD$11,'DMR 001C TIN &amp; TP'!$A$2:$M$2,0))),"")</f>
        <v/>
      </c>
      <c r="AE376" s="53" t="str">
        <f t="shared" si="137"/>
        <v/>
      </c>
      <c r="AF376" s="7" t="str">
        <f t="shared" si="138"/>
        <v/>
      </c>
      <c r="AG376" s="6" t="str">
        <f t="array" ref="AG376">_xlfn.IFNA((INDEX('DMR 001C TIN &amp; TP'!$A$3:$M$10005,MATCH(('Reg 85'!$X$6&amp;'Reg 85'!AG$10&amp;'Reg 85'!$B376),('DMR 001C TIN &amp; TP'!$E$3:$E$10005&amp;'DMR 001C TIN &amp; TP'!$B$3:$B$10005&amp;'DMR 001C TIN &amp; TP'!$A$3:$A$10005),0),MATCH('Reg 85'!$AG$11,'DMR 001C TIN &amp; TP'!$A$2:$M$2,0))),"")</f>
        <v/>
      </c>
      <c r="AH376" s="6" t="str">
        <f t="array" ref="AH376">_xlfn.IFNA((INDEX('DMR 001C TIN &amp; TP'!$A$3:$M$10005,MATCH(('Reg 85'!$X$6&amp;'Reg 85'!AH$10&amp;'Reg 85'!$B376),('DMR 001C TIN &amp; TP'!$E$3:$E$10005&amp;'DMR 001C TIN &amp; TP'!$B$3:$B$10005&amp;'DMR 001C TIN &amp; TP'!$A$3:$A$10005),0),MATCH('Reg 85'!$AG$11,'DMR 001C TIN &amp; TP'!$A$2:$M$2,0))),"")</f>
        <v/>
      </c>
      <c r="AI376" s="6" t="str">
        <f t="array" ref="AI376">_xlfn.IFNA((INDEX('DMR 001C TIN &amp; TP'!$A$3:$M$10005,MATCH(('Reg 85'!$X$6&amp;'Reg 85'!AI$10&amp;'Reg 85'!$B376),('DMR 001C TIN &amp; TP'!$E$3:$E$10005&amp;'DMR 001C TIN &amp; TP'!$B$3:$B$10005&amp;'DMR 001C TIN &amp; TP'!$A$3:$A$10005),0),MATCH('Reg 85'!$AG$11,'DMR 001C TIN &amp; TP'!$A$2:$M$2,0))),"")</f>
        <v/>
      </c>
      <c r="AJ376" s="6" t="str">
        <f t="array" ref="AJ376">_xlfn.IFNA((INDEX('DMR 001C TIN &amp; TP'!$A$3:$M$10005,MATCH(('Reg 85'!$X$6&amp;'Reg 85'!AJ$10&amp;'Reg 85'!$B376),('DMR 001C TIN &amp; TP'!$E$3:$E$10005&amp;'DMR 001C TIN &amp; TP'!$B$3:$B$10005&amp;'DMR 001C TIN &amp; TP'!$A$3:$A$10005),0),MATCH('Reg 85'!$AG$11,'DMR 001C TIN &amp; TP'!$A$2:$M$2,0))),"")</f>
        <v/>
      </c>
      <c r="AK376" s="6" t="str">
        <f t="array" ref="AK376">_xlfn.IFNA((INDEX('DMR 001C TIN &amp; TP'!$A$3:$M$10005,MATCH(('Reg 85'!$X$6&amp;'Reg 85'!AK$10&amp;'Reg 85'!$B376),('DMR 001C TIN &amp; TP'!$E$3:$E$10005&amp;'DMR 001C TIN &amp; TP'!$B$3:$B$10005&amp;'DMR 001C TIN &amp; TP'!$A$3:$A$10005),0),MATCH('Reg 85'!$AG$11,'DMR 001C TIN &amp; TP'!$A$2:$M$2,0))),"")</f>
        <v/>
      </c>
      <c r="AL376" s="6" t="str">
        <f t="array" ref="AL376">_xlfn.IFNA((INDEX('DMR 001C TIN &amp; TP'!$A$3:$M$10005,MATCH(('Reg 85'!$X$6&amp;'Reg 85'!AL$10&amp;'Reg 85'!$B376),('DMR 001C TIN &amp; TP'!$E$3:$E$10005&amp;'DMR 001C TIN &amp; TP'!$B$3:$B$10005&amp;'DMR 001C TIN &amp; TP'!$A$3:$A$10005),0),MATCH('Reg 85'!$AG$11,'DMR 001C TIN &amp; TP'!$A$2:$M$2,0))),"")</f>
        <v/>
      </c>
      <c r="AM376" s="76"/>
      <c r="AN376" s="6"/>
      <c r="AO376" s="54" t="str">
        <f t="shared" si="125"/>
        <v/>
      </c>
      <c r="AP376" s="77">
        <f>COUNT(AO346:AO376)</f>
        <v>12</v>
      </c>
      <c r="AQ376" s="47"/>
      <c r="AR376" s="6" t="str">
        <f t="array" ref="AR376">_xlfn.IFNA((INDEX('DMR 001C TIN &amp; TP'!$A$3:$M$10005,MATCH(('Reg 85'!$AQ$6&amp;'Reg 85'!$AQ$10&amp;'Reg 85'!$B376),('DMR 001C TIN &amp; TP'!$E$3:$E$10005&amp;'DMR 001C TIN &amp; TP'!$B$3:$B$10005&amp;'DMR 001C TIN &amp; TP'!$A$3:$A$10005),0),MATCH('Reg 85'!$AR$11,'DMR 001C TIN &amp; TP'!$A$2:$M$2,0))),"")</f>
        <v>0.03</v>
      </c>
      <c r="AS376" s="6">
        <f t="array" ref="AS376">_xlfn.IFNA((INDEX('DMR 001C TIN &amp; TP'!$A$3:$M$10005,MATCH(('Reg 85'!$AQ$6&amp;'Reg 85'!$AQ$10&amp;'Reg 85'!$B376),('DMR 001C TIN &amp; TP'!$E$3:$E$10005&amp;'DMR 001C TIN &amp; TP'!$B$3:$B$10005&amp;'DMR 001C TIN &amp; TP'!$A$3:$A$10005),0),MATCH('Reg 85'!$AS$11,'DMR 001C TIN &amp; TP'!$A$2:$M$2,0))),"")</f>
        <v>0.82</v>
      </c>
      <c r="AT376" s="53">
        <f t="shared" si="139"/>
        <v>0.82</v>
      </c>
      <c r="AV376" s="6" t="str">
        <f t="array" ref="AV376">_xlfn.IFNA((INDEX('DMR 001C TIN &amp; TP'!$A$3:$M$10005,MATCH(('Reg 85'!$AQ$6&amp;'Reg 85'!$AU$10&amp;'Reg 85'!$B376),('DMR 001C TIN &amp; TP'!$E$3:$E$10005&amp;'DMR 001C TIN &amp; TP'!$B$3:$B$10005&amp;'DMR 001C TIN &amp; TP'!$A$3:$A$10005),0),MATCH('Reg 85'!$AV$11,'DMR 001C TIN &amp; TP'!$A$2:$M$2,0))),"")</f>
        <v>0.03</v>
      </c>
      <c r="AW376" s="6">
        <f t="array" ref="AW376">_xlfn.IFNA((INDEX('DMR 001C TIN &amp; TP'!$A$3:$M$10005,MATCH(('Reg 85'!$AQ$6&amp;'Reg 85'!$AU$10&amp;'Reg 85'!$B376),('DMR 001C TIN &amp; TP'!$E$3:$E$10005&amp;'DMR 001C TIN &amp; TP'!$B$3:$B$10005&amp;'DMR 001C TIN &amp; TP'!$A$3:$A$10005),0),MATCH('Reg 85'!$AW$11,'DMR 001C TIN &amp; TP'!$A$2:$M$2,0))),"")</f>
        <v>2.37</v>
      </c>
      <c r="AX376" s="53">
        <f t="shared" si="140"/>
        <v>2.37</v>
      </c>
      <c r="AY376" s="55">
        <f t="shared" si="141"/>
        <v>1.8611344962256975</v>
      </c>
      <c r="AZ376" s="77">
        <f>COUNT(AY346:AY376)</f>
        <v>9</v>
      </c>
      <c r="BA376" s="6" t="str">
        <f t="array" ref="BA376">_xlfn.IFNA((INDEX('DMR 001C TIN &amp; TP'!$A$3:$M$10005,MATCH(('Reg 85'!$AQ$6&amp;'Reg 85'!BA$10&amp;'Reg 85'!$B376),('DMR 001C TIN &amp; TP'!$E$3:$E$10005&amp;'DMR 001C TIN &amp; TP'!$B$3:$B$10005&amp;'DMR 001C TIN &amp; TP'!$A$3:$A$10005),0),MATCH('Reg 85'!$AG$11,'DMR 001C TIN &amp; TP'!$A$2:$M$2,0))),"")</f>
        <v/>
      </c>
      <c r="BB376" s="6" t="str">
        <f t="array" ref="BB376">_xlfn.IFNA((INDEX('DMR 001C TIN &amp; TP'!$A$3:$M$10005,MATCH(('Reg 85'!$AQ$6&amp;'Reg 85'!BB$10&amp;'Reg 85'!$B376),('DMR 001C TIN &amp; TP'!$E$3:$E$10005&amp;'DMR 001C TIN &amp; TP'!$B$3:$B$10005&amp;'DMR 001C TIN &amp; TP'!$A$3:$A$10005),0),MATCH('Reg 85'!$AG$11,'DMR 001C TIN &amp; TP'!$A$2:$M$2,0))),"")</f>
        <v/>
      </c>
      <c r="BC376" s="6" t="str">
        <f t="array" ref="BC376">_xlfn.IFNA((INDEX('DMR 001C TIN &amp; TP'!$A$3:$M$10005,MATCH(('Reg 85'!$AQ$6&amp;'Reg 85'!BC$10&amp;'Reg 85'!$B376),('DMR 001C TIN &amp; TP'!$E$3:$E$10005&amp;'DMR 001C TIN &amp; TP'!$B$3:$B$10005&amp;'DMR 001C TIN &amp; TP'!$A$3:$A$10005),0),MATCH('Reg 85'!$AG$11,'DMR 001C TIN &amp; TP'!$A$2:$M$2,0))),"")</f>
        <v/>
      </c>
      <c r="BD376" s="6" t="str">
        <f t="array" ref="BD376">_xlfn.IFNA((INDEX('DMR 001C TIN &amp; TP'!$A$3:$M$10005,MATCH(('Reg 85'!$AQ$6&amp;'Reg 85'!BD$10&amp;'Reg 85'!$B376),('DMR 001C TIN &amp; TP'!$E$3:$E$10005&amp;'DMR 001C TIN &amp; TP'!$B$3:$B$10005&amp;'DMR 001C TIN &amp; TP'!$A$3:$A$10005),0),MATCH('Reg 85'!$AG$11,'DMR 001C TIN &amp; TP'!$A$2:$M$2,0))),"")</f>
        <v/>
      </c>
      <c r="BE376" s="6" t="str">
        <f t="array" ref="BE376">_xlfn.IFNA((INDEX('DMR 001C TIN &amp; TP'!$A$3:$M$10005,MATCH(('Reg 85'!$AQ$6&amp;'Reg 85'!BE$10&amp;'Reg 85'!$B376),('DMR 001C TIN &amp; TP'!$E$3:$E$10005&amp;'DMR 001C TIN &amp; TP'!$B$3:$B$10005&amp;'DMR 001C TIN &amp; TP'!$A$3:$A$10005),0),MATCH('Reg 85'!$AG$11,'DMR 001C TIN &amp; TP'!$A$2:$M$2,0))),"")</f>
        <v/>
      </c>
      <c r="BF376" s="6" t="str">
        <f t="array" ref="BF376">_xlfn.IFNA((INDEX('DMR 001C TIN &amp; TP'!$A$3:$M$10005,MATCH(('Reg 85'!$AQ$6&amp;'Reg 85'!BF$10&amp;'Reg 85'!$B376),('DMR 001C TIN &amp; TP'!$E$3:$E$10005&amp;'DMR 001C TIN &amp; TP'!$B$3:$B$10005&amp;'DMR 001C TIN &amp; TP'!$A$3:$A$10005),0),MATCH('Reg 85'!$AG$11,'DMR 001C TIN &amp; TP'!$A$2:$M$2,0))),"")</f>
        <v/>
      </c>
    </row>
    <row r="377" spans="1:58">
      <c r="B377" s="4"/>
      <c r="C377" s="4"/>
      <c r="D377" s="4"/>
      <c r="E377" s="4"/>
      <c r="F377" s="4"/>
      <c r="G377" s="4"/>
      <c r="H377" s="4"/>
      <c r="I377" s="47"/>
      <c r="Q377" s="74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9"/>
      <c r="AP377" s="46"/>
      <c r="AQ377" s="47"/>
      <c r="AZ377" s="46"/>
    </row>
    <row r="378" spans="1:58" ht="15.75" thickBot="1">
      <c r="B378" s="4"/>
      <c r="C378" s="4"/>
      <c r="D378" s="4"/>
      <c r="E378" s="4"/>
      <c r="F378" s="4"/>
      <c r="G378" s="4"/>
      <c r="H378" s="4"/>
      <c r="I378" s="47"/>
      <c r="Q378" s="74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9"/>
      <c r="AO378" s="56"/>
      <c r="AP378" s="46"/>
      <c r="AQ378" s="47"/>
      <c r="AZ378" s="46"/>
    </row>
    <row r="379" spans="1:58" ht="15.75" thickBot="1">
      <c r="A379" s="131" t="s">
        <v>610</v>
      </c>
      <c r="B379" s="132"/>
      <c r="C379" s="91"/>
      <c r="D379" s="91"/>
      <c r="E379" s="91"/>
      <c r="F379" s="68"/>
      <c r="G379" s="68"/>
      <c r="H379" s="68"/>
      <c r="I379" s="79"/>
      <c r="J379" s="69"/>
      <c r="K379" s="69"/>
      <c r="L379" s="69"/>
      <c r="M379" s="69"/>
      <c r="N379" s="69"/>
      <c r="O379" s="69"/>
      <c r="P379" s="69"/>
      <c r="Q379" s="8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8"/>
      <c r="AN379" s="83" t="s">
        <v>609</v>
      </c>
      <c r="AO379" s="81">
        <f>MEDIAN(AO12:AO377)</f>
        <v>6.1133397408216013</v>
      </c>
      <c r="AP379" s="82" t="s">
        <v>79</v>
      </c>
      <c r="AQ379" s="69"/>
      <c r="AR379" s="69"/>
      <c r="AS379" s="69"/>
      <c r="AT379" s="69"/>
      <c r="AU379" s="69"/>
      <c r="AV379" s="69"/>
      <c r="AW379" s="69"/>
      <c r="AX379" s="83" t="s">
        <v>609</v>
      </c>
      <c r="AY379" s="81">
        <f>MEDIAN(AY12:AY377)</f>
        <v>1.8588578754656295</v>
      </c>
      <c r="AZ379" s="82" t="s">
        <v>79</v>
      </c>
    </row>
    <row r="380" spans="1:58" ht="15.75" thickBot="1">
      <c r="A380" s="134" t="s">
        <v>612</v>
      </c>
      <c r="B380" s="135"/>
      <c r="C380" s="92"/>
      <c r="D380" s="92"/>
      <c r="E380" s="92"/>
      <c r="F380" s="4"/>
      <c r="G380" s="4"/>
      <c r="H380" s="4"/>
      <c r="I380" s="47"/>
      <c r="Q380" s="74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9"/>
      <c r="AN380" s="84" t="s">
        <v>609</v>
      </c>
      <c r="AO380" s="99">
        <f>_xlfn.PERCENTILE.INC(AO12:AO377,0.95)</f>
        <v>7.4881512439188587</v>
      </c>
      <c r="AP380" s="85" t="s">
        <v>79</v>
      </c>
      <c r="AX380" s="84" t="s">
        <v>609</v>
      </c>
      <c r="AY380" s="99">
        <f>_xlfn.PERCENTILE.INC(AY12:AY377,0.95)</f>
        <v>3.1842970885831883</v>
      </c>
      <c r="AZ380" s="85" t="s">
        <v>79</v>
      </c>
    </row>
    <row r="381" spans="1:58" ht="15.75" thickBot="1">
      <c r="A381" s="134" t="s">
        <v>613</v>
      </c>
      <c r="B381" s="135"/>
      <c r="C381" s="92"/>
      <c r="D381" s="92"/>
      <c r="E381" s="92"/>
      <c r="F381" s="4"/>
      <c r="G381" s="4"/>
      <c r="H381" s="4"/>
      <c r="I381" s="47"/>
      <c r="Q381" s="74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9"/>
      <c r="AO381" s="57"/>
      <c r="AP381" s="86">
        <f>MIN(AP12:AP378)</f>
        <v>12</v>
      </c>
      <c r="AQ381" s="58"/>
      <c r="AR381" s="58"/>
      <c r="AS381" s="58"/>
      <c r="AT381" s="58"/>
      <c r="AU381" s="58"/>
      <c r="AV381" s="58"/>
      <c r="AW381" s="58"/>
      <c r="AX381" s="58"/>
      <c r="AY381" s="57"/>
      <c r="AZ381" s="86">
        <f>MIN(AZ12:AZ378)</f>
        <v>8</v>
      </c>
    </row>
    <row r="382" spans="1:58" ht="15.75" thickBot="1">
      <c r="A382" s="136" t="s">
        <v>614</v>
      </c>
      <c r="B382" s="137"/>
      <c r="C382" s="93"/>
      <c r="D382" s="93"/>
      <c r="E382" s="93"/>
      <c r="F382" s="71"/>
      <c r="G382" s="71"/>
      <c r="H382" s="71"/>
      <c r="I382" s="48"/>
      <c r="J382" s="49"/>
      <c r="K382" s="49"/>
      <c r="L382" s="49"/>
      <c r="M382" s="49"/>
      <c r="N382" s="49"/>
      <c r="O382" s="49"/>
      <c r="P382" s="49"/>
      <c r="Q382" s="75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0"/>
      <c r="AN382" s="49" t="s">
        <v>611</v>
      </c>
      <c r="AO382" s="49"/>
      <c r="AP382" s="50"/>
      <c r="AQ382" s="49"/>
      <c r="AR382" s="49"/>
      <c r="AS382" s="49"/>
      <c r="AT382" s="49"/>
      <c r="AU382" s="49"/>
      <c r="AV382" s="49"/>
      <c r="AW382" s="49"/>
      <c r="AX382" s="49"/>
      <c r="AY382" s="49"/>
      <c r="AZ382" s="50"/>
    </row>
    <row r="383" spans="1:58">
      <c r="B383" s="4"/>
      <c r="C383" s="4"/>
      <c r="D383" s="4"/>
      <c r="E383" s="4"/>
      <c r="F383" s="4"/>
      <c r="G383" s="4"/>
      <c r="H383" s="4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</row>
    <row r="384" spans="1:58">
      <c r="B384" s="4"/>
      <c r="C384" s="4"/>
      <c r="D384" s="4"/>
      <c r="E384" s="4"/>
      <c r="F384" s="4"/>
      <c r="G384" s="4"/>
      <c r="H384" s="4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</row>
    <row r="385" spans="2:39">
      <c r="B385" s="4"/>
      <c r="C385" s="4"/>
      <c r="D385" s="4"/>
      <c r="E385" s="4"/>
      <c r="F385" s="4"/>
      <c r="G385" s="4"/>
      <c r="H385" s="4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</row>
    <row r="386" spans="2:39">
      <c r="B386" s="4"/>
      <c r="C386" s="4"/>
      <c r="D386" s="4"/>
      <c r="E386" s="4"/>
      <c r="F386" s="4"/>
      <c r="G386" s="4"/>
      <c r="H386" s="4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</row>
    <row r="387" spans="2:39">
      <c r="B387" s="4"/>
      <c r="C387" s="4"/>
      <c r="D387" s="4"/>
      <c r="E387" s="4"/>
      <c r="F387" s="4"/>
      <c r="G387" s="4"/>
      <c r="H387" s="4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</row>
    <row r="388" spans="2:39">
      <c r="B388" s="4"/>
      <c r="C388" s="4"/>
      <c r="D388" s="4"/>
      <c r="E388" s="4"/>
      <c r="F388" s="4"/>
      <c r="G388" s="4"/>
      <c r="H388" s="4"/>
    </row>
    <row r="389" spans="2:39">
      <c r="B389" s="4"/>
      <c r="C389" s="4"/>
      <c r="D389" s="4"/>
      <c r="E389" s="4"/>
      <c r="F389" s="4"/>
      <c r="G389" s="4"/>
      <c r="H389" s="4"/>
    </row>
    <row r="390" spans="2:39">
      <c r="B390" s="4"/>
      <c r="C390" s="4"/>
      <c r="D390" s="4"/>
      <c r="E390" s="4"/>
      <c r="F390" s="4"/>
      <c r="G390" s="4"/>
      <c r="H390" s="4"/>
    </row>
    <row r="391" spans="2:39">
      <c r="B391" s="4"/>
      <c r="C391" s="4"/>
      <c r="D391" s="4"/>
      <c r="E391" s="4"/>
      <c r="F391" s="4"/>
      <c r="G391" s="4"/>
      <c r="H391" s="4"/>
    </row>
    <row r="392" spans="2:39">
      <c r="B392" s="4"/>
      <c r="C392" s="4"/>
      <c r="D392" s="4"/>
      <c r="E392" s="4"/>
      <c r="F392" s="4"/>
      <c r="G392" s="4"/>
      <c r="H392" s="4"/>
    </row>
    <row r="393" spans="2:39">
      <c r="B393" s="4"/>
      <c r="C393" s="4"/>
      <c r="D393" s="4"/>
      <c r="E393" s="4"/>
      <c r="F393" s="4"/>
      <c r="G393" s="4"/>
      <c r="H393" s="4"/>
    </row>
    <row r="394" spans="2:39">
      <c r="B394" s="4"/>
      <c r="C394" s="4"/>
      <c r="D394" s="4"/>
      <c r="E394" s="4"/>
      <c r="F394" s="4"/>
      <c r="G394" s="4"/>
      <c r="H394" s="4"/>
    </row>
    <row r="395" spans="2:39">
      <c r="B395" s="4"/>
      <c r="C395" s="4"/>
      <c r="D395" s="4"/>
      <c r="E395" s="4"/>
      <c r="F395" s="4"/>
      <c r="G395" s="4"/>
      <c r="H395" s="4"/>
    </row>
    <row r="396" spans="2:39">
      <c r="B396" s="4"/>
      <c r="C396" s="4"/>
      <c r="D396" s="4"/>
      <c r="E396" s="4"/>
      <c r="F396" s="4"/>
      <c r="G396" s="4"/>
      <c r="H396" s="4"/>
    </row>
    <row r="397" spans="2:39">
      <c r="B397" s="4"/>
      <c r="C397" s="4"/>
      <c r="D397" s="4"/>
      <c r="E397" s="4"/>
      <c r="F397" s="4"/>
      <c r="G397" s="4"/>
      <c r="H397" s="4"/>
    </row>
    <row r="398" spans="2:39">
      <c r="B398" s="4"/>
      <c r="C398" s="4"/>
      <c r="D398" s="4"/>
      <c r="E398" s="4"/>
      <c r="F398" s="4"/>
      <c r="G398" s="4"/>
      <c r="H398" s="4"/>
    </row>
    <row r="399" spans="2:39">
      <c r="B399" s="4"/>
      <c r="C399" s="4"/>
      <c r="D399" s="4"/>
      <c r="E399" s="4"/>
      <c r="F399" s="4"/>
      <c r="G399" s="4"/>
      <c r="H399" s="4"/>
    </row>
    <row r="400" spans="2:39">
      <c r="B400" s="4"/>
      <c r="C400" s="4"/>
      <c r="D400" s="4"/>
      <c r="E400" s="4"/>
      <c r="F400" s="4"/>
      <c r="G400" s="4"/>
      <c r="H400" s="4"/>
    </row>
    <row r="401" spans="2:8">
      <c r="B401" s="4"/>
      <c r="C401" s="4"/>
      <c r="D401" s="4"/>
      <c r="E401" s="4"/>
      <c r="F401" s="4"/>
      <c r="G401" s="4"/>
      <c r="H401" s="4"/>
    </row>
    <row r="402" spans="2:8">
      <c r="B402" s="4"/>
      <c r="C402" s="4"/>
      <c r="D402" s="4"/>
      <c r="E402" s="4"/>
      <c r="F402" s="4"/>
      <c r="G402" s="4"/>
      <c r="H402" s="4"/>
    </row>
    <row r="403" spans="2:8">
      <c r="B403" s="4"/>
      <c r="C403" s="4"/>
      <c r="D403" s="4"/>
      <c r="E403" s="4"/>
      <c r="F403" s="4"/>
      <c r="G403" s="4"/>
      <c r="H403" s="4"/>
    </row>
    <row r="404" spans="2:8">
      <c r="B404" s="4"/>
      <c r="C404" s="4"/>
      <c r="D404" s="4"/>
      <c r="E404" s="4"/>
      <c r="F404" s="4"/>
      <c r="G404" s="4"/>
      <c r="H404" s="4"/>
    </row>
    <row r="405" spans="2:8">
      <c r="B405" s="4"/>
      <c r="C405" s="4"/>
      <c r="D405" s="4"/>
      <c r="E405" s="4"/>
      <c r="F405" s="4"/>
      <c r="G405" s="4"/>
      <c r="H405" s="4"/>
    </row>
    <row r="406" spans="2:8">
      <c r="B406" s="4"/>
      <c r="C406" s="4"/>
      <c r="D406" s="4"/>
      <c r="E406" s="4"/>
      <c r="F406" s="4"/>
      <c r="G406" s="4"/>
      <c r="H406" s="4"/>
    </row>
    <row r="407" spans="2:8">
      <c r="B407" s="4"/>
      <c r="C407" s="4"/>
      <c r="D407" s="4"/>
      <c r="E407" s="4"/>
      <c r="F407" s="4"/>
      <c r="G407" s="4"/>
      <c r="H407" s="4"/>
    </row>
    <row r="408" spans="2:8">
      <c r="B408" s="4"/>
      <c r="C408" s="4"/>
      <c r="D408" s="4"/>
      <c r="E408" s="4"/>
      <c r="F408" s="4"/>
      <c r="G408" s="4"/>
      <c r="H408" s="4"/>
    </row>
    <row r="409" spans="2:8">
      <c r="B409" s="4"/>
      <c r="C409" s="4"/>
      <c r="D409" s="4"/>
      <c r="E409" s="4"/>
      <c r="F409" s="4"/>
      <c r="G409" s="4"/>
      <c r="H409" s="4"/>
    </row>
    <row r="410" spans="2:8">
      <c r="B410" s="4"/>
      <c r="C410" s="4"/>
      <c r="D410" s="4"/>
      <c r="E410" s="4"/>
      <c r="F410" s="4"/>
      <c r="G410" s="4"/>
      <c r="H410" s="4"/>
    </row>
    <row r="411" spans="2:8">
      <c r="B411" s="4"/>
      <c r="C411" s="4"/>
      <c r="D411" s="4"/>
      <c r="E411" s="4"/>
      <c r="F411" s="4"/>
      <c r="G411" s="4"/>
      <c r="H411" s="4"/>
    </row>
    <row r="412" spans="2:8">
      <c r="B412" s="4"/>
      <c r="C412" s="4"/>
      <c r="D412" s="4"/>
      <c r="E412" s="4"/>
      <c r="F412" s="4"/>
      <c r="G412" s="4"/>
      <c r="H412" s="4"/>
    </row>
    <row r="413" spans="2:8">
      <c r="B413" s="4"/>
      <c r="C413" s="4"/>
      <c r="D413" s="4"/>
      <c r="E413" s="4"/>
      <c r="F413" s="4"/>
      <c r="G413" s="4"/>
      <c r="H413" s="4"/>
    </row>
    <row r="414" spans="2:8">
      <c r="B414" s="4"/>
      <c r="C414" s="4"/>
      <c r="D414" s="4"/>
      <c r="E414" s="4"/>
      <c r="F414" s="4"/>
      <c r="G414" s="4"/>
      <c r="H414" s="4"/>
    </row>
    <row r="415" spans="2:8">
      <c r="B415" s="4"/>
      <c r="C415" s="4"/>
      <c r="D415" s="4"/>
      <c r="E415" s="4"/>
      <c r="F415" s="4"/>
      <c r="G415" s="4"/>
      <c r="H415" s="4"/>
    </row>
    <row r="416" spans="2:8">
      <c r="B416" s="4"/>
      <c r="C416" s="4"/>
      <c r="D416" s="4"/>
      <c r="E416" s="4"/>
      <c r="F416" s="4"/>
      <c r="G416" s="4"/>
      <c r="H416" s="4"/>
    </row>
    <row r="417" spans="2:8">
      <c r="B417" s="4"/>
      <c r="C417" s="4"/>
      <c r="D417" s="4"/>
      <c r="E417" s="4"/>
      <c r="F417" s="4"/>
      <c r="G417" s="4"/>
      <c r="H417" s="4"/>
    </row>
    <row r="418" spans="2:8">
      <c r="B418" s="4"/>
      <c r="C418" s="4"/>
      <c r="D418" s="4"/>
      <c r="E418" s="4"/>
      <c r="F418" s="4"/>
      <c r="G418" s="4"/>
      <c r="H418" s="4"/>
    </row>
    <row r="419" spans="2:8">
      <c r="B419" s="4"/>
      <c r="C419" s="4"/>
      <c r="D419" s="4"/>
      <c r="E419" s="4"/>
      <c r="F419" s="4"/>
      <c r="G419" s="4"/>
      <c r="H419" s="4"/>
    </row>
    <row r="420" spans="2:8">
      <c r="B420" s="4"/>
      <c r="C420" s="4"/>
      <c r="D420" s="4"/>
      <c r="E420" s="4"/>
      <c r="F420" s="4"/>
      <c r="G420" s="4"/>
      <c r="H420" s="4"/>
    </row>
    <row r="421" spans="2:8">
      <c r="B421" s="4"/>
      <c r="C421" s="4"/>
      <c r="D421" s="4"/>
      <c r="E421" s="4"/>
      <c r="F421" s="4"/>
      <c r="G421" s="4"/>
      <c r="H421" s="4"/>
    </row>
    <row r="422" spans="2:8">
      <c r="B422" s="4"/>
      <c r="C422" s="4"/>
      <c r="D422" s="4"/>
      <c r="E422" s="4"/>
      <c r="F422" s="4"/>
      <c r="G422" s="4"/>
      <c r="H422" s="4"/>
    </row>
    <row r="423" spans="2:8">
      <c r="B423" s="4"/>
      <c r="C423" s="4"/>
      <c r="D423" s="4"/>
      <c r="E423" s="4"/>
      <c r="F423" s="4"/>
      <c r="G423" s="4"/>
      <c r="H423" s="4"/>
    </row>
    <row r="424" spans="2:8">
      <c r="B424" s="4"/>
      <c r="C424" s="4"/>
      <c r="D424" s="4"/>
      <c r="E424" s="4"/>
      <c r="F424" s="4"/>
      <c r="G424" s="4"/>
      <c r="H424" s="4"/>
    </row>
    <row r="425" spans="2:8">
      <c r="B425" s="4"/>
      <c r="C425" s="4"/>
      <c r="D425" s="4"/>
      <c r="E425" s="4"/>
      <c r="F425" s="4"/>
      <c r="G425" s="4"/>
      <c r="H425" s="4"/>
    </row>
    <row r="426" spans="2:8">
      <c r="B426" s="4"/>
      <c r="C426" s="4"/>
      <c r="D426" s="4"/>
      <c r="E426" s="4"/>
      <c r="F426" s="4"/>
      <c r="G426" s="4"/>
      <c r="H426" s="4"/>
    </row>
    <row r="427" spans="2:8">
      <c r="B427" s="4"/>
      <c r="C427" s="4"/>
      <c r="D427" s="4"/>
      <c r="E427" s="4"/>
      <c r="F427" s="4"/>
      <c r="G427" s="4"/>
      <c r="H427" s="4"/>
    </row>
    <row r="428" spans="2:8">
      <c r="B428" s="4"/>
      <c r="C428" s="4"/>
      <c r="D428" s="4"/>
      <c r="E428" s="4"/>
      <c r="F428" s="4"/>
      <c r="G428" s="4"/>
      <c r="H428" s="4"/>
    </row>
    <row r="429" spans="2:8">
      <c r="B429" s="4"/>
      <c r="C429" s="4"/>
      <c r="D429" s="4"/>
      <c r="E429" s="4"/>
      <c r="F429" s="4"/>
      <c r="G429" s="4"/>
      <c r="H429" s="4"/>
    </row>
    <row r="430" spans="2:8">
      <c r="B430" s="4"/>
      <c r="C430" s="4"/>
      <c r="D430" s="4"/>
      <c r="E430" s="4"/>
      <c r="F430" s="4"/>
      <c r="G430" s="4"/>
      <c r="H430" s="4"/>
    </row>
    <row r="431" spans="2:8">
      <c r="B431" s="4"/>
      <c r="C431" s="4"/>
      <c r="D431" s="4"/>
      <c r="E431" s="4"/>
      <c r="F431" s="4"/>
      <c r="G431" s="4"/>
      <c r="H431" s="4"/>
    </row>
    <row r="432" spans="2:8">
      <c r="B432" s="4"/>
      <c r="C432" s="4"/>
      <c r="D432" s="4"/>
      <c r="E432" s="4"/>
      <c r="F432" s="4"/>
      <c r="G432" s="4"/>
      <c r="H432" s="4"/>
    </row>
    <row r="433" spans="2:8">
      <c r="B433" s="4"/>
      <c r="C433" s="4"/>
      <c r="D433" s="4"/>
      <c r="E433" s="4"/>
      <c r="F433" s="4"/>
      <c r="G433" s="4"/>
      <c r="H433" s="4"/>
    </row>
    <row r="434" spans="2:8">
      <c r="B434" s="4"/>
      <c r="C434" s="4"/>
      <c r="D434" s="4"/>
      <c r="E434" s="4"/>
      <c r="F434" s="4"/>
      <c r="G434" s="4"/>
      <c r="H434" s="4"/>
    </row>
    <row r="435" spans="2:8">
      <c r="B435" s="4"/>
      <c r="C435" s="4"/>
      <c r="D435" s="4"/>
      <c r="E435" s="4"/>
      <c r="F435" s="4"/>
      <c r="G435" s="4"/>
      <c r="H435" s="4"/>
    </row>
    <row r="436" spans="2:8">
      <c r="B436" s="4"/>
      <c r="C436" s="4"/>
      <c r="D436" s="4"/>
      <c r="E436" s="4"/>
      <c r="F436" s="4"/>
      <c r="G436" s="4"/>
      <c r="H436" s="4"/>
    </row>
    <row r="437" spans="2:8">
      <c r="B437" s="4"/>
      <c r="C437" s="4"/>
      <c r="D437" s="4"/>
      <c r="E437" s="4"/>
      <c r="F437" s="4"/>
      <c r="G437" s="4"/>
      <c r="H437" s="4"/>
    </row>
    <row r="438" spans="2:8">
      <c r="B438" s="4"/>
      <c r="C438" s="4"/>
      <c r="D438" s="4"/>
      <c r="E438" s="4"/>
      <c r="F438" s="4"/>
      <c r="G438" s="4"/>
      <c r="H438" s="4"/>
    </row>
    <row r="439" spans="2:8">
      <c r="B439" s="4"/>
      <c r="C439" s="4"/>
      <c r="D439" s="4"/>
      <c r="E439" s="4"/>
      <c r="F439" s="4"/>
      <c r="G439" s="4"/>
      <c r="H439" s="4"/>
    </row>
    <row r="440" spans="2:8">
      <c r="B440" s="4"/>
      <c r="C440" s="4"/>
      <c r="D440" s="4"/>
      <c r="E440" s="4"/>
      <c r="F440" s="4"/>
      <c r="G440" s="4"/>
      <c r="H440" s="4"/>
    </row>
    <row r="441" spans="2:8">
      <c r="B441" s="4"/>
      <c r="C441" s="4"/>
      <c r="D441" s="4"/>
      <c r="E441" s="4"/>
      <c r="F441" s="4"/>
      <c r="G441" s="4"/>
      <c r="H441" s="4"/>
    </row>
    <row r="442" spans="2:8">
      <c r="B442" s="4"/>
      <c r="C442" s="4"/>
      <c r="D442" s="4"/>
      <c r="E442" s="4"/>
      <c r="F442" s="4"/>
      <c r="G442" s="4"/>
      <c r="H442" s="4"/>
    </row>
    <row r="443" spans="2:8">
      <c r="B443" s="4"/>
      <c r="C443" s="4"/>
      <c r="D443" s="4"/>
      <c r="E443" s="4"/>
      <c r="F443" s="4"/>
      <c r="G443" s="4"/>
      <c r="H443" s="4"/>
    </row>
    <row r="444" spans="2:8">
      <c r="B444" s="4"/>
      <c r="C444" s="4"/>
      <c r="D444" s="4"/>
      <c r="E444" s="4"/>
      <c r="F444" s="4"/>
      <c r="G444" s="4"/>
      <c r="H444" s="4"/>
    </row>
    <row r="445" spans="2:8">
      <c r="B445" s="4"/>
      <c r="C445" s="4"/>
      <c r="D445" s="4"/>
      <c r="E445" s="4"/>
      <c r="F445" s="4"/>
      <c r="G445" s="4"/>
      <c r="H445" s="4"/>
    </row>
    <row r="446" spans="2:8">
      <c r="B446" s="4"/>
      <c r="C446" s="4"/>
      <c r="D446" s="4"/>
      <c r="E446" s="4"/>
      <c r="F446" s="4"/>
      <c r="G446" s="4"/>
      <c r="H446" s="4"/>
    </row>
    <row r="447" spans="2:8">
      <c r="B447" s="4"/>
      <c r="C447" s="4"/>
      <c r="D447" s="4"/>
      <c r="E447" s="4"/>
      <c r="F447" s="4"/>
      <c r="G447" s="4"/>
      <c r="H447" s="4"/>
    </row>
    <row r="448" spans="2:8">
      <c r="B448" s="4"/>
      <c r="C448" s="4"/>
      <c r="D448" s="4"/>
      <c r="E448" s="4"/>
      <c r="F448" s="4"/>
      <c r="G448" s="4"/>
      <c r="H448" s="4"/>
    </row>
    <row r="449" spans="2:8">
      <c r="B449" s="4"/>
      <c r="C449" s="4"/>
      <c r="D449" s="4"/>
      <c r="E449" s="4"/>
      <c r="F449" s="4"/>
      <c r="G449" s="4"/>
      <c r="H449" s="4"/>
    </row>
    <row r="450" spans="2:8">
      <c r="B450" s="4"/>
      <c r="C450" s="4"/>
      <c r="D450" s="4"/>
      <c r="E450" s="4"/>
      <c r="F450" s="4"/>
      <c r="G450" s="4"/>
      <c r="H450" s="4"/>
    </row>
    <row r="451" spans="2:8">
      <c r="B451" s="4"/>
      <c r="C451" s="4"/>
      <c r="D451" s="4"/>
      <c r="E451" s="4"/>
      <c r="F451" s="4"/>
      <c r="G451" s="4"/>
      <c r="H451" s="4"/>
    </row>
    <row r="452" spans="2:8">
      <c r="B452" s="4"/>
      <c r="C452" s="4"/>
      <c r="D452" s="4"/>
      <c r="E452" s="4"/>
      <c r="F452" s="4"/>
      <c r="G452" s="4"/>
      <c r="H452" s="4"/>
    </row>
    <row r="453" spans="2:8">
      <c r="B453" s="4"/>
      <c r="C453" s="4"/>
      <c r="D453" s="4"/>
      <c r="E453" s="4"/>
      <c r="F453" s="4"/>
      <c r="G453" s="4"/>
      <c r="H453" s="4"/>
    </row>
    <row r="454" spans="2:8">
      <c r="B454" s="4"/>
      <c r="C454" s="4"/>
      <c r="D454" s="4"/>
      <c r="E454" s="4"/>
      <c r="F454" s="4"/>
      <c r="G454" s="4"/>
      <c r="H454" s="4"/>
    </row>
    <row r="455" spans="2:8">
      <c r="B455" s="4"/>
      <c r="C455" s="4"/>
      <c r="D455" s="4"/>
      <c r="E455" s="4"/>
      <c r="F455" s="4"/>
      <c r="G455" s="4"/>
      <c r="H455" s="4"/>
    </row>
    <row r="456" spans="2:8">
      <c r="B456" s="4"/>
      <c r="C456" s="4"/>
      <c r="D456" s="4"/>
      <c r="E456" s="4"/>
      <c r="F456" s="4"/>
      <c r="G456" s="4"/>
      <c r="H456" s="4"/>
    </row>
    <row r="457" spans="2:8">
      <c r="B457" s="4"/>
      <c r="C457" s="4"/>
      <c r="D457" s="4"/>
      <c r="E457" s="4"/>
      <c r="F457" s="4"/>
      <c r="G457" s="4"/>
      <c r="H457" s="4"/>
    </row>
    <row r="458" spans="2:8">
      <c r="B458" s="4"/>
      <c r="C458" s="4"/>
      <c r="D458" s="4"/>
      <c r="E458" s="4"/>
      <c r="F458" s="4"/>
      <c r="G458" s="4"/>
      <c r="H458" s="4"/>
    </row>
    <row r="459" spans="2:8">
      <c r="B459" s="4"/>
      <c r="C459" s="4"/>
      <c r="D459" s="4"/>
      <c r="E459" s="4"/>
      <c r="F459" s="4"/>
      <c r="G459" s="4"/>
      <c r="H459" s="4"/>
    </row>
    <row r="460" spans="2:8">
      <c r="B460" s="4"/>
      <c r="C460" s="4"/>
      <c r="D460" s="4"/>
      <c r="E460" s="4"/>
      <c r="F460" s="4"/>
      <c r="G460" s="4"/>
      <c r="H460" s="4"/>
    </row>
    <row r="461" spans="2:8">
      <c r="B461" s="4"/>
      <c r="C461" s="4"/>
      <c r="D461" s="4"/>
      <c r="E461" s="4"/>
      <c r="F461" s="4"/>
      <c r="G461" s="4"/>
      <c r="H461" s="4"/>
    </row>
    <row r="462" spans="2:8">
      <c r="B462" s="4"/>
      <c r="C462" s="4"/>
      <c r="D462" s="4"/>
      <c r="E462" s="4"/>
      <c r="F462" s="4"/>
      <c r="G462" s="4"/>
      <c r="H462" s="4"/>
    </row>
    <row r="463" spans="2:8">
      <c r="B463" s="4"/>
      <c r="C463" s="4"/>
      <c r="D463" s="4"/>
      <c r="E463" s="4"/>
      <c r="F463" s="4"/>
      <c r="G463" s="4"/>
      <c r="H463" s="4"/>
    </row>
    <row r="464" spans="2:8">
      <c r="B464" s="4"/>
      <c r="C464" s="4"/>
      <c r="D464" s="4"/>
      <c r="E464" s="4"/>
      <c r="F464" s="4"/>
      <c r="G464" s="4"/>
      <c r="H464" s="4"/>
    </row>
    <row r="465" spans="2:8">
      <c r="B465" s="4"/>
      <c r="C465" s="4"/>
      <c r="D465" s="4"/>
      <c r="E465" s="4"/>
      <c r="F465" s="4"/>
      <c r="G465" s="4"/>
      <c r="H465" s="4"/>
    </row>
    <row r="466" spans="2:8">
      <c r="B466" s="4"/>
      <c r="C466" s="4"/>
      <c r="D466" s="4"/>
      <c r="E466" s="4"/>
      <c r="F466" s="4"/>
      <c r="G466" s="4"/>
      <c r="H466" s="4"/>
    </row>
    <row r="467" spans="2:8">
      <c r="B467" s="4"/>
      <c r="C467" s="4"/>
      <c r="D467" s="4"/>
      <c r="E467" s="4"/>
      <c r="F467" s="4"/>
      <c r="G467" s="4"/>
      <c r="H467" s="4"/>
    </row>
    <row r="468" spans="2:8">
      <c r="B468" s="4"/>
      <c r="C468" s="4"/>
      <c r="D468" s="4"/>
      <c r="E468" s="4"/>
      <c r="F468" s="4"/>
      <c r="G468" s="4"/>
      <c r="H468" s="4"/>
    </row>
    <row r="469" spans="2:8">
      <c r="B469" s="4"/>
      <c r="C469" s="4"/>
      <c r="D469" s="4"/>
      <c r="E469" s="4"/>
      <c r="F469" s="4"/>
      <c r="G469" s="4"/>
      <c r="H469" s="4"/>
    </row>
    <row r="470" spans="2:8">
      <c r="B470" s="4"/>
      <c r="C470" s="4"/>
      <c r="D470" s="4"/>
      <c r="E470" s="4"/>
      <c r="F470" s="4"/>
      <c r="G470" s="4"/>
      <c r="H470" s="4"/>
    </row>
    <row r="471" spans="2:8">
      <c r="B471" s="4"/>
      <c r="C471" s="4"/>
      <c r="D471" s="4"/>
      <c r="E471" s="4"/>
      <c r="F471" s="4"/>
      <c r="G471" s="4"/>
      <c r="H471" s="4"/>
    </row>
    <row r="472" spans="2:8">
      <c r="B472" s="4"/>
      <c r="C472" s="4"/>
      <c r="D472" s="4"/>
      <c r="E472" s="4"/>
      <c r="F472" s="4"/>
      <c r="G472" s="4"/>
      <c r="H472" s="4"/>
    </row>
    <row r="473" spans="2:8">
      <c r="B473" s="4"/>
      <c r="C473" s="4"/>
      <c r="D473" s="4"/>
      <c r="E473" s="4"/>
      <c r="F473" s="4"/>
      <c r="G473" s="4"/>
      <c r="H473" s="4"/>
    </row>
    <row r="474" spans="2:8">
      <c r="B474" s="4"/>
      <c r="C474" s="4"/>
      <c r="D474" s="4"/>
      <c r="E474" s="4"/>
      <c r="F474" s="4"/>
      <c r="G474" s="4"/>
      <c r="H474" s="4"/>
    </row>
    <row r="475" spans="2:8">
      <c r="B475" s="4"/>
      <c r="C475" s="4"/>
      <c r="D475" s="4"/>
      <c r="E475" s="4"/>
      <c r="F475" s="4"/>
      <c r="G475" s="4"/>
      <c r="H475" s="4"/>
    </row>
    <row r="476" spans="2:8">
      <c r="B476" s="4"/>
      <c r="C476" s="4"/>
      <c r="D476" s="4"/>
      <c r="E476" s="4"/>
      <c r="F476" s="4"/>
      <c r="G476" s="4"/>
      <c r="H476" s="4"/>
    </row>
    <row r="477" spans="2:8">
      <c r="B477" s="4"/>
      <c r="C477" s="4"/>
      <c r="D477" s="4"/>
      <c r="E477" s="4"/>
      <c r="F477" s="4"/>
      <c r="G477" s="4"/>
      <c r="H477" s="4"/>
    </row>
    <row r="478" spans="2:8">
      <c r="B478" s="4"/>
      <c r="C478" s="4"/>
      <c r="D478" s="4"/>
      <c r="E478" s="4"/>
      <c r="F478" s="4"/>
      <c r="G478" s="4"/>
      <c r="H478" s="4"/>
    </row>
    <row r="479" spans="2:8">
      <c r="B479" s="4"/>
      <c r="C479" s="4"/>
      <c r="D479" s="4"/>
      <c r="E479" s="4"/>
      <c r="F479" s="4"/>
      <c r="G479" s="4"/>
      <c r="H479" s="4"/>
    </row>
    <row r="480" spans="2:8">
      <c r="B480" s="4"/>
      <c r="C480" s="4"/>
      <c r="D480" s="4"/>
      <c r="E480" s="4"/>
      <c r="F480" s="4"/>
      <c r="G480" s="4"/>
      <c r="H480" s="4"/>
    </row>
    <row r="481" spans="2:8">
      <c r="B481" s="4"/>
      <c r="C481" s="4"/>
      <c r="D481" s="4"/>
      <c r="E481" s="4"/>
      <c r="F481" s="4"/>
      <c r="G481" s="4"/>
      <c r="H481" s="4"/>
    </row>
    <row r="482" spans="2:8">
      <c r="B482" s="4"/>
      <c r="C482" s="4"/>
      <c r="D482" s="4"/>
      <c r="E482" s="4"/>
      <c r="F482" s="4"/>
      <c r="G482" s="4"/>
      <c r="H482" s="4"/>
    </row>
    <row r="483" spans="2:8">
      <c r="B483" s="4"/>
      <c r="C483" s="4"/>
      <c r="D483" s="4"/>
      <c r="E483" s="4"/>
      <c r="F483" s="4"/>
      <c r="G483" s="4"/>
      <c r="H483" s="4"/>
    </row>
    <row r="484" spans="2:8">
      <c r="B484" s="4"/>
      <c r="C484" s="4"/>
      <c r="D484" s="4"/>
      <c r="E484" s="4"/>
      <c r="F484" s="4"/>
      <c r="G484" s="4"/>
      <c r="H484" s="4"/>
    </row>
    <row r="485" spans="2:8">
      <c r="B485" s="4"/>
      <c r="C485" s="4"/>
      <c r="D485" s="4"/>
      <c r="E485" s="4"/>
      <c r="F485" s="4"/>
      <c r="G485" s="4"/>
      <c r="H485" s="4"/>
    </row>
    <row r="486" spans="2:8">
      <c r="B486" s="4"/>
      <c r="C486" s="4"/>
      <c r="D486" s="4"/>
      <c r="E486" s="4"/>
      <c r="F486" s="4"/>
      <c r="G486" s="4"/>
      <c r="H486" s="4"/>
    </row>
    <row r="487" spans="2:8">
      <c r="B487" s="4"/>
      <c r="C487" s="4"/>
      <c r="D487" s="4"/>
      <c r="E487" s="4"/>
      <c r="F487" s="4"/>
      <c r="G487" s="4"/>
      <c r="H487" s="4"/>
    </row>
    <row r="488" spans="2:8">
      <c r="B488" s="4"/>
      <c r="C488" s="4"/>
      <c r="D488" s="4"/>
      <c r="E488" s="4"/>
      <c r="F488" s="4"/>
      <c r="G488" s="4"/>
      <c r="H488" s="4"/>
    </row>
    <row r="489" spans="2:8">
      <c r="B489" s="4"/>
      <c r="C489" s="4"/>
      <c r="D489" s="4"/>
      <c r="E489" s="4"/>
      <c r="F489" s="4"/>
      <c r="G489" s="4"/>
      <c r="H489" s="4"/>
    </row>
    <row r="490" spans="2:8">
      <c r="B490" s="4"/>
      <c r="C490" s="4"/>
      <c r="D490" s="4"/>
      <c r="E490" s="4"/>
      <c r="F490" s="4"/>
      <c r="G490" s="4"/>
      <c r="H490" s="4"/>
    </row>
    <row r="491" spans="2:8">
      <c r="B491" s="4"/>
      <c r="C491" s="4"/>
      <c r="D491" s="4"/>
      <c r="E491" s="4"/>
      <c r="F491" s="4"/>
      <c r="G491" s="4"/>
      <c r="H491" s="4"/>
    </row>
    <row r="492" spans="2:8">
      <c r="B492" s="4"/>
      <c r="C492" s="4"/>
      <c r="D492" s="4"/>
      <c r="E492" s="4"/>
      <c r="F492" s="4"/>
      <c r="G492" s="4"/>
      <c r="H492" s="4"/>
    </row>
    <row r="493" spans="2:8">
      <c r="B493" s="4"/>
      <c r="C493" s="4"/>
      <c r="D493" s="4"/>
      <c r="E493" s="4"/>
      <c r="F493" s="4"/>
      <c r="G493" s="4"/>
      <c r="H493" s="4"/>
    </row>
    <row r="494" spans="2:8">
      <c r="B494" s="4"/>
      <c r="C494" s="4"/>
      <c r="D494" s="4"/>
      <c r="E494" s="4"/>
      <c r="F494" s="4"/>
      <c r="G494" s="4"/>
      <c r="H494" s="4"/>
    </row>
    <row r="495" spans="2:8">
      <c r="B495" s="4"/>
      <c r="C495" s="4"/>
      <c r="D495" s="4"/>
      <c r="E495" s="4"/>
      <c r="F495" s="4"/>
      <c r="G495" s="4"/>
      <c r="H495" s="4"/>
    </row>
    <row r="496" spans="2:8">
      <c r="B496" s="4"/>
      <c r="C496" s="4"/>
      <c r="D496" s="4"/>
      <c r="E496" s="4"/>
      <c r="F496" s="4"/>
      <c r="G496" s="4"/>
      <c r="H496" s="4"/>
    </row>
    <row r="497" spans="2:8">
      <c r="B497" s="4"/>
      <c r="C497" s="4"/>
      <c r="D497" s="4"/>
      <c r="E497" s="4"/>
      <c r="F497" s="4"/>
      <c r="G497" s="4"/>
      <c r="H497" s="4"/>
    </row>
    <row r="498" spans="2:8">
      <c r="B498" s="4"/>
      <c r="C498" s="4"/>
      <c r="D498" s="4"/>
      <c r="E498" s="4"/>
      <c r="F498" s="4"/>
      <c r="G498" s="4"/>
      <c r="H498" s="4"/>
    </row>
    <row r="499" spans="2:8">
      <c r="B499" s="4"/>
      <c r="C499" s="4"/>
      <c r="D499" s="4"/>
      <c r="E499" s="4"/>
      <c r="F499" s="4"/>
      <c r="G499" s="4"/>
      <c r="H499" s="4"/>
    </row>
    <row r="500" spans="2:8">
      <c r="B500" s="4"/>
      <c r="C500" s="4"/>
      <c r="D500" s="4"/>
      <c r="E500" s="4"/>
      <c r="F500" s="4"/>
      <c r="G500" s="4"/>
      <c r="H500" s="4"/>
    </row>
    <row r="501" spans="2:8">
      <c r="B501" s="4"/>
      <c r="C501" s="4"/>
      <c r="D501" s="4"/>
      <c r="E501" s="4"/>
      <c r="F501" s="4"/>
      <c r="G501" s="4"/>
      <c r="H501" s="4"/>
    </row>
    <row r="502" spans="2:8">
      <c r="B502" s="4"/>
      <c r="C502" s="4"/>
      <c r="D502" s="4"/>
      <c r="E502" s="4"/>
      <c r="F502" s="4"/>
      <c r="G502" s="4"/>
      <c r="H502" s="4"/>
    </row>
    <row r="503" spans="2:8">
      <c r="B503" s="4"/>
      <c r="C503" s="4"/>
      <c r="D503" s="4"/>
      <c r="E503" s="4"/>
      <c r="F503" s="4"/>
      <c r="G503" s="4"/>
      <c r="H503" s="4"/>
    </row>
    <row r="504" spans="2:8">
      <c r="B504" s="4"/>
      <c r="C504" s="4"/>
      <c r="D504" s="4"/>
      <c r="E504" s="4"/>
      <c r="F504" s="4"/>
      <c r="G504" s="4"/>
      <c r="H504" s="4"/>
    </row>
    <row r="505" spans="2:8">
      <c r="B505" s="4"/>
      <c r="C505" s="4"/>
      <c r="D505" s="4"/>
      <c r="E505" s="4"/>
      <c r="F505" s="4"/>
      <c r="G505" s="4"/>
      <c r="H505" s="4"/>
    </row>
    <row r="506" spans="2:8">
      <c r="B506" s="4"/>
      <c r="C506" s="4"/>
      <c r="D506" s="4"/>
      <c r="E506" s="4"/>
      <c r="F506" s="4"/>
      <c r="G506" s="4"/>
      <c r="H506" s="4"/>
    </row>
    <row r="507" spans="2:8">
      <c r="B507" s="4"/>
      <c r="C507" s="4"/>
      <c r="D507" s="4"/>
      <c r="E507" s="4"/>
      <c r="F507" s="4"/>
      <c r="G507" s="4"/>
      <c r="H507" s="4"/>
    </row>
    <row r="508" spans="2:8">
      <c r="B508" s="4"/>
      <c r="C508" s="4"/>
      <c r="D508" s="4"/>
      <c r="E508" s="4"/>
      <c r="F508" s="4"/>
      <c r="G508" s="4"/>
      <c r="H508" s="4"/>
    </row>
    <row r="509" spans="2:8">
      <c r="B509" s="4"/>
      <c r="C509" s="4"/>
      <c r="D509" s="4"/>
      <c r="E509" s="4"/>
      <c r="F509" s="4"/>
      <c r="G509" s="4"/>
      <c r="H509" s="4"/>
    </row>
    <row r="510" spans="2:8">
      <c r="B510" s="4"/>
      <c r="C510" s="4"/>
      <c r="D510" s="4"/>
      <c r="E510" s="4"/>
      <c r="F510" s="4"/>
      <c r="G510" s="4"/>
      <c r="H510" s="4"/>
    </row>
    <row r="511" spans="2:8">
      <c r="B511" s="4"/>
      <c r="C511" s="4"/>
      <c r="D511" s="4"/>
      <c r="E511" s="4"/>
      <c r="F511" s="4"/>
      <c r="G511" s="4"/>
      <c r="H511" s="4"/>
    </row>
    <row r="512" spans="2:8">
      <c r="B512" s="4"/>
      <c r="C512" s="4"/>
      <c r="D512" s="4"/>
      <c r="E512" s="4"/>
      <c r="F512" s="4"/>
      <c r="G512" s="4"/>
      <c r="H512" s="4"/>
    </row>
    <row r="513" spans="2:8">
      <c r="B513" s="4"/>
      <c r="C513" s="4"/>
      <c r="D513" s="4"/>
      <c r="E513" s="4"/>
      <c r="F513" s="4"/>
      <c r="G513" s="4"/>
      <c r="H513" s="4"/>
    </row>
    <row r="514" spans="2:8">
      <c r="B514" s="4"/>
      <c r="C514" s="4"/>
      <c r="D514" s="4"/>
      <c r="E514" s="4"/>
      <c r="F514" s="4"/>
      <c r="G514" s="4"/>
      <c r="H514" s="4"/>
    </row>
    <row r="515" spans="2:8">
      <c r="B515" s="4"/>
      <c r="C515" s="4"/>
      <c r="D515" s="4"/>
      <c r="E515" s="4"/>
      <c r="F515" s="4"/>
      <c r="G515" s="4"/>
      <c r="H515" s="4"/>
    </row>
    <row r="516" spans="2:8">
      <c r="B516" s="4"/>
      <c r="C516" s="4"/>
      <c r="D516" s="4"/>
      <c r="E516" s="4"/>
      <c r="F516" s="4"/>
      <c r="G516" s="4"/>
      <c r="H516" s="4"/>
    </row>
    <row r="517" spans="2:8">
      <c r="B517" s="4"/>
      <c r="C517" s="4"/>
      <c r="D517" s="4"/>
      <c r="E517" s="4"/>
      <c r="F517" s="4"/>
      <c r="G517" s="4"/>
      <c r="H517" s="4"/>
    </row>
    <row r="518" spans="2:8">
      <c r="B518" s="4"/>
      <c r="C518" s="4"/>
      <c r="D518" s="4"/>
      <c r="E518" s="4"/>
      <c r="F518" s="4"/>
      <c r="G518" s="4"/>
      <c r="H518" s="4"/>
    </row>
    <row r="519" spans="2:8">
      <c r="B519" s="4"/>
      <c r="C519" s="4"/>
      <c r="D519" s="4"/>
      <c r="E519" s="4"/>
      <c r="F519" s="4"/>
      <c r="G519" s="4"/>
      <c r="H519" s="4"/>
    </row>
    <row r="520" spans="2:8">
      <c r="B520" s="4"/>
      <c r="C520" s="4"/>
      <c r="D520" s="4"/>
      <c r="E520" s="4"/>
      <c r="F520" s="4"/>
      <c r="G520" s="4"/>
      <c r="H520" s="4"/>
    </row>
    <row r="521" spans="2:8">
      <c r="B521" s="4"/>
      <c r="C521" s="4"/>
      <c r="D521" s="4"/>
      <c r="E521" s="4"/>
      <c r="F521" s="4"/>
      <c r="G521" s="4"/>
      <c r="H521" s="4"/>
    </row>
    <row r="522" spans="2:8">
      <c r="B522" s="4"/>
      <c r="C522" s="4"/>
      <c r="D522" s="4"/>
      <c r="E522" s="4"/>
      <c r="F522" s="4"/>
      <c r="G522" s="4"/>
      <c r="H522" s="4"/>
    </row>
    <row r="523" spans="2:8">
      <c r="B523" s="4"/>
      <c r="C523" s="4"/>
      <c r="D523" s="4"/>
      <c r="E523" s="4"/>
      <c r="F523" s="4"/>
      <c r="G523" s="4"/>
      <c r="H523" s="4"/>
    </row>
    <row r="524" spans="2:8">
      <c r="B524" s="4"/>
      <c r="C524" s="4"/>
      <c r="D524" s="4"/>
      <c r="E524" s="4"/>
      <c r="F524" s="4"/>
      <c r="G524" s="4"/>
      <c r="H524" s="4"/>
    </row>
    <row r="525" spans="2:8">
      <c r="B525" s="4"/>
      <c r="C525" s="4"/>
      <c r="D525" s="4"/>
      <c r="E525" s="4"/>
      <c r="F525" s="4"/>
      <c r="G525" s="4"/>
      <c r="H525" s="4"/>
    </row>
    <row r="526" spans="2:8">
      <c r="B526" s="4"/>
      <c r="C526" s="4"/>
      <c r="D526" s="4"/>
      <c r="E526" s="4"/>
      <c r="F526" s="4"/>
      <c r="G526" s="4"/>
      <c r="H526" s="4"/>
    </row>
    <row r="527" spans="2:8">
      <c r="B527" s="4"/>
      <c r="C527" s="4"/>
      <c r="D527" s="4"/>
      <c r="E527" s="4"/>
      <c r="F527" s="4"/>
      <c r="G527" s="4"/>
      <c r="H527" s="4"/>
    </row>
    <row r="528" spans="2:8">
      <c r="B528" s="4"/>
      <c r="C528" s="4"/>
      <c r="D528" s="4"/>
      <c r="E528" s="4"/>
      <c r="F528" s="4"/>
      <c r="G528" s="4"/>
      <c r="H528" s="4"/>
    </row>
    <row r="529" spans="2:8">
      <c r="B529" s="4"/>
      <c r="C529" s="4"/>
      <c r="D529" s="4"/>
      <c r="E529" s="4"/>
      <c r="F529" s="4"/>
      <c r="G529" s="4"/>
      <c r="H529" s="4"/>
    </row>
    <row r="530" spans="2:8">
      <c r="B530" s="4"/>
      <c r="C530" s="4"/>
      <c r="D530" s="4"/>
      <c r="E530" s="4"/>
      <c r="F530" s="4"/>
      <c r="G530" s="4"/>
      <c r="H530" s="4"/>
    </row>
    <row r="531" spans="2:8">
      <c r="B531" s="4"/>
      <c r="C531" s="4"/>
      <c r="D531" s="4"/>
      <c r="E531" s="4"/>
      <c r="F531" s="4"/>
      <c r="G531" s="4"/>
      <c r="H531" s="4"/>
    </row>
    <row r="532" spans="2:8">
      <c r="B532" s="4"/>
      <c r="C532" s="4"/>
      <c r="D532" s="4"/>
      <c r="E532" s="4"/>
      <c r="F532" s="4"/>
      <c r="G532" s="4"/>
      <c r="H532" s="4"/>
    </row>
    <row r="533" spans="2:8">
      <c r="B533" s="4"/>
      <c r="C533" s="4"/>
      <c r="D533" s="4"/>
      <c r="E533" s="4"/>
      <c r="F533" s="4"/>
      <c r="G533" s="4"/>
      <c r="H533" s="4"/>
    </row>
    <row r="534" spans="2:8">
      <c r="B534" s="4"/>
      <c r="C534" s="4"/>
      <c r="D534" s="4"/>
      <c r="E534" s="4"/>
      <c r="F534" s="4"/>
      <c r="G534" s="4"/>
      <c r="H534" s="4"/>
    </row>
    <row r="535" spans="2:8">
      <c r="B535" s="4"/>
      <c r="C535" s="4"/>
      <c r="D535" s="4"/>
      <c r="E535" s="4"/>
      <c r="F535" s="4"/>
      <c r="G535" s="4"/>
      <c r="H535" s="4"/>
    </row>
    <row r="536" spans="2:8">
      <c r="B536" s="4"/>
      <c r="C536" s="4"/>
      <c r="D536" s="4"/>
      <c r="E536" s="4"/>
      <c r="F536" s="4"/>
      <c r="G536" s="4"/>
      <c r="H536" s="4"/>
    </row>
    <row r="537" spans="2:8">
      <c r="B537" s="4"/>
      <c r="C537" s="4"/>
      <c r="D537" s="4"/>
      <c r="E537" s="4"/>
      <c r="F537" s="4"/>
      <c r="G537" s="4"/>
      <c r="H537" s="4"/>
    </row>
    <row r="538" spans="2:8">
      <c r="B538" s="4"/>
      <c r="C538" s="4"/>
      <c r="D538" s="4"/>
      <c r="E538" s="4"/>
      <c r="F538" s="4"/>
      <c r="G538" s="4"/>
      <c r="H538" s="4"/>
    </row>
    <row r="539" spans="2:8">
      <c r="B539" s="4"/>
      <c r="C539" s="4"/>
      <c r="D539" s="4"/>
      <c r="E539" s="4"/>
      <c r="F539" s="4"/>
      <c r="G539" s="4"/>
      <c r="H539" s="4"/>
    </row>
    <row r="540" spans="2:8">
      <c r="B540" s="4"/>
      <c r="C540" s="4"/>
      <c r="D540" s="4"/>
      <c r="E540" s="4"/>
      <c r="F540" s="4"/>
      <c r="G540" s="4"/>
      <c r="H540" s="4"/>
    </row>
    <row r="541" spans="2:8">
      <c r="B541" s="4"/>
      <c r="C541" s="4"/>
      <c r="D541" s="4"/>
      <c r="E541" s="4"/>
      <c r="F541" s="4"/>
      <c r="G541" s="4"/>
      <c r="H541" s="4"/>
    </row>
    <row r="542" spans="2:8">
      <c r="B542" s="4"/>
      <c r="C542" s="4"/>
      <c r="D542" s="4"/>
      <c r="E542" s="4"/>
      <c r="F542" s="4"/>
      <c r="G542" s="4"/>
      <c r="H542" s="4"/>
    </row>
    <row r="543" spans="2:8">
      <c r="B543" s="4"/>
      <c r="C543" s="4"/>
      <c r="D543" s="4"/>
      <c r="E543" s="4"/>
      <c r="F543" s="4"/>
      <c r="G543" s="4"/>
      <c r="H543" s="4"/>
    </row>
    <row r="544" spans="2:8">
      <c r="B544" s="4"/>
      <c r="C544" s="4"/>
      <c r="D544" s="4"/>
      <c r="E544" s="4"/>
      <c r="F544" s="4"/>
      <c r="G544" s="4"/>
      <c r="H544" s="4"/>
    </row>
    <row r="545" spans="2:8">
      <c r="B545" s="4"/>
      <c r="C545" s="4"/>
      <c r="D545" s="4"/>
      <c r="E545" s="4"/>
      <c r="F545" s="4"/>
      <c r="G545" s="4"/>
      <c r="H545" s="4"/>
    </row>
    <row r="546" spans="2:8">
      <c r="B546" s="4"/>
      <c r="C546" s="4"/>
      <c r="D546" s="4"/>
      <c r="E546" s="4"/>
      <c r="F546" s="4"/>
      <c r="G546" s="4"/>
      <c r="H546" s="4"/>
    </row>
    <row r="547" spans="2:8">
      <c r="B547" s="4"/>
      <c r="C547" s="4"/>
      <c r="D547" s="4"/>
      <c r="E547" s="4"/>
      <c r="F547" s="4"/>
      <c r="G547" s="4"/>
      <c r="H547" s="4"/>
    </row>
    <row r="548" spans="2:8">
      <c r="B548" s="4"/>
      <c r="C548" s="4"/>
      <c r="D548" s="4"/>
      <c r="E548" s="4"/>
      <c r="F548" s="4"/>
      <c r="G548" s="4"/>
      <c r="H548" s="4"/>
    </row>
    <row r="549" spans="2:8">
      <c r="B549" s="4"/>
      <c r="C549" s="4"/>
      <c r="D549" s="4"/>
      <c r="E549" s="4"/>
      <c r="F549" s="4"/>
      <c r="G549" s="4"/>
      <c r="H549" s="4"/>
    </row>
    <row r="550" spans="2:8">
      <c r="B550" s="4"/>
      <c r="C550" s="4"/>
      <c r="D550" s="4"/>
      <c r="E550" s="4"/>
      <c r="F550" s="4"/>
      <c r="G550" s="4"/>
      <c r="H550" s="4"/>
    </row>
    <row r="551" spans="2:8">
      <c r="B551" s="4"/>
      <c r="C551" s="4"/>
      <c r="D551" s="4"/>
      <c r="E551" s="4"/>
      <c r="F551" s="4"/>
      <c r="G551" s="4"/>
      <c r="H551" s="4"/>
    </row>
    <row r="552" spans="2:8">
      <c r="B552" s="4"/>
      <c r="C552" s="4"/>
      <c r="D552" s="4"/>
      <c r="E552" s="4"/>
      <c r="F552" s="4"/>
      <c r="G552" s="4"/>
      <c r="H552" s="4"/>
    </row>
    <row r="553" spans="2:8">
      <c r="B553" s="4"/>
      <c r="C553" s="4"/>
      <c r="D553" s="4"/>
      <c r="E553" s="4"/>
      <c r="F553" s="4"/>
      <c r="G553" s="4"/>
      <c r="H553" s="4"/>
    </row>
    <row r="554" spans="2:8">
      <c r="B554" s="4"/>
      <c r="C554" s="4"/>
      <c r="D554" s="4"/>
      <c r="E554" s="4"/>
      <c r="F554" s="4"/>
      <c r="G554" s="4"/>
      <c r="H554" s="4"/>
    </row>
    <row r="555" spans="2:8">
      <c r="B555" s="4"/>
      <c r="C555" s="4"/>
      <c r="D555" s="4"/>
      <c r="E555" s="4"/>
      <c r="F555" s="4"/>
      <c r="G555" s="4"/>
      <c r="H555" s="4"/>
    </row>
    <row r="556" spans="2:8">
      <c r="B556" s="4"/>
      <c r="C556" s="4"/>
      <c r="D556" s="4"/>
      <c r="E556" s="4"/>
      <c r="F556" s="4"/>
      <c r="G556" s="4"/>
      <c r="H556" s="4"/>
    </row>
    <row r="557" spans="2:8">
      <c r="B557" s="4"/>
      <c r="C557" s="4"/>
      <c r="D557" s="4"/>
      <c r="E557" s="4"/>
      <c r="F557" s="4"/>
      <c r="G557" s="4"/>
      <c r="H557" s="4"/>
    </row>
    <row r="558" spans="2:8">
      <c r="B558" s="4"/>
      <c r="C558" s="4"/>
      <c r="D558" s="4"/>
      <c r="E558" s="4"/>
      <c r="F558" s="4"/>
      <c r="G558" s="4"/>
      <c r="H558" s="4"/>
    </row>
    <row r="559" spans="2:8">
      <c r="B559" s="4"/>
      <c r="C559" s="4"/>
      <c r="D559" s="4"/>
      <c r="E559" s="4"/>
      <c r="F559" s="4"/>
      <c r="G559" s="4"/>
      <c r="H559" s="4"/>
    </row>
    <row r="560" spans="2:8">
      <c r="B560" s="4"/>
      <c r="C560" s="4"/>
      <c r="D560" s="4"/>
      <c r="E560" s="4"/>
      <c r="F560" s="4"/>
      <c r="G560" s="4"/>
      <c r="H560" s="4"/>
    </row>
    <row r="561" spans="2:8">
      <c r="B561" s="4"/>
      <c r="C561" s="4"/>
      <c r="D561" s="4"/>
      <c r="E561" s="4"/>
      <c r="F561" s="4"/>
      <c r="G561" s="4"/>
      <c r="H561" s="4"/>
    </row>
    <row r="562" spans="2:8">
      <c r="B562" s="4"/>
      <c r="C562" s="4"/>
      <c r="D562" s="4"/>
      <c r="E562" s="4"/>
      <c r="F562" s="4"/>
      <c r="G562" s="4"/>
      <c r="H562" s="4"/>
    </row>
    <row r="563" spans="2:8">
      <c r="B563" s="4"/>
      <c r="C563" s="4"/>
      <c r="D563" s="4"/>
      <c r="E563" s="4"/>
      <c r="F563" s="4"/>
      <c r="G563" s="4"/>
      <c r="H563" s="4"/>
    </row>
    <row r="564" spans="2:8">
      <c r="B564" s="4"/>
      <c r="C564" s="4"/>
      <c r="D564" s="4"/>
      <c r="E564" s="4"/>
      <c r="F564" s="4"/>
      <c r="G564" s="4"/>
      <c r="H564" s="4"/>
    </row>
    <row r="565" spans="2:8">
      <c r="B565" s="4"/>
      <c r="C565" s="4"/>
      <c r="D565" s="4"/>
      <c r="E565" s="4"/>
      <c r="F565" s="4"/>
      <c r="G565" s="4"/>
      <c r="H565" s="4"/>
    </row>
    <row r="566" spans="2:8">
      <c r="B566" s="4"/>
      <c r="C566" s="4"/>
      <c r="D566" s="4"/>
      <c r="E566" s="4"/>
      <c r="F566" s="4"/>
      <c r="G566" s="4"/>
      <c r="H566" s="4"/>
    </row>
    <row r="567" spans="2:8">
      <c r="B567" s="4"/>
      <c r="C567" s="4"/>
      <c r="D567" s="4"/>
      <c r="E567" s="4"/>
      <c r="F567" s="4"/>
      <c r="G567" s="4"/>
      <c r="H567" s="4"/>
    </row>
    <row r="568" spans="2:8">
      <c r="B568" s="4"/>
      <c r="C568" s="4"/>
      <c r="D568" s="4"/>
      <c r="E568" s="4"/>
      <c r="F568" s="4"/>
      <c r="G568" s="4"/>
      <c r="H568" s="4"/>
    </row>
    <row r="569" spans="2:8">
      <c r="B569" s="4"/>
      <c r="C569" s="4"/>
      <c r="D569" s="4"/>
      <c r="E569" s="4"/>
      <c r="F569" s="4"/>
      <c r="G569" s="4"/>
      <c r="H569" s="4"/>
    </row>
    <row r="570" spans="2:8">
      <c r="B570" s="4"/>
      <c r="C570" s="4"/>
      <c r="D570" s="4"/>
      <c r="E570" s="4"/>
      <c r="F570" s="4"/>
      <c r="G570" s="4"/>
      <c r="H570" s="4"/>
    </row>
    <row r="571" spans="2:8">
      <c r="B571" s="4"/>
      <c r="C571" s="4"/>
      <c r="D571" s="4"/>
      <c r="E571" s="4"/>
      <c r="F571" s="4"/>
      <c r="G571" s="4"/>
      <c r="H571" s="4"/>
    </row>
    <row r="572" spans="2:8">
      <c r="B572" s="4"/>
      <c r="C572" s="4"/>
      <c r="D572" s="4"/>
      <c r="E572" s="4"/>
      <c r="F572" s="4"/>
      <c r="G572" s="4"/>
      <c r="H572" s="4"/>
    </row>
    <row r="573" spans="2:8">
      <c r="B573" s="4"/>
      <c r="C573" s="4"/>
      <c r="D573" s="4"/>
      <c r="E573" s="4"/>
      <c r="F573" s="4"/>
      <c r="G573" s="4"/>
      <c r="H573" s="4"/>
    </row>
    <row r="574" spans="2:8">
      <c r="B574" s="4"/>
      <c r="C574" s="4"/>
      <c r="D574" s="4"/>
      <c r="E574" s="4"/>
      <c r="F574" s="4"/>
      <c r="G574" s="4"/>
      <c r="H574" s="4"/>
    </row>
    <row r="575" spans="2:8">
      <c r="B575" s="4"/>
      <c r="C575" s="4"/>
      <c r="D575" s="4"/>
      <c r="E575" s="4"/>
      <c r="F575" s="4"/>
      <c r="G575" s="4"/>
      <c r="H575" s="4"/>
    </row>
    <row r="576" spans="2:8">
      <c r="B576" s="4"/>
      <c r="C576" s="4"/>
      <c r="D576" s="4"/>
      <c r="E576" s="4"/>
      <c r="F576" s="4"/>
      <c r="G576" s="4"/>
      <c r="H576" s="4"/>
    </row>
    <row r="577" spans="2:8">
      <c r="B577" s="4"/>
      <c r="C577" s="4"/>
      <c r="D577" s="4"/>
      <c r="E577" s="4"/>
      <c r="F577" s="4"/>
      <c r="G577" s="4"/>
      <c r="H577" s="4"/>
    </row>
    <row r="578" spans="2:8">
      <c r="B578" s="4"/>
      <c r="C578" s="4"/>
      <c r="D578" s="4"/>
      <c r="E578" s="4"/>
      <c r="F578" s="4"/>
      <c r="G578" s="4"/>
      <c r="H578" s="4"/>
    </row>
    <row r="579" spans="2:8">
      <c r="B579" s="4"/>
      <c r="C579" s="4"/>
      <c r="D579" s="4"/>
      <c r="E579" s="4"/>
      <c r="F579" s="4"/>
      <c r="G579" s="4"/>
      <c r="H579" s="4"/>
    </row>
    <row r="580" spans="2:8">
      <c r="B580" s="4"/>
      <c r="C580" s="4"/>
      <c r="D580" s="4"/>
      <c r="E580" s="4"/>
      <c r="F580" s="4"/>
      <c r="G580" s="4"/>
      <c r="H580" s="4"/>
    </row>
    <row r="581" spans="2:8">
      <c r="B581" s="4"/>
      <c r="C581" s="4"/>
      <c r="D581" s="4"/>
      <c r="E581" s="4"/>
      <c r="F581" s="4"/>
      <c r="G581" s="4"/>
      <c r="H581" s="4"/>
    </row>
    <row r="582" spans="2:8">
      <c r="B582" s="4"/>
      <c r="C582" s="4"/>
      <c r="D582" s="4"/>
      <c r="E582" s="4"/>
      <c r="F582" s="4"/>
      <c r="G582" s="4"/>
      <c r="H582" s="4"/>
    </row>
    <row r="583" spans="2:8">
      <c r="B583" s="4"/>
      <c r="C583" s="4"/>
      <c r="D583" s="4"/>
      <c r="E583" s="4"/>
      <c r="F583" s="4"/>
      <c r="G583" s="4"/>
      <c r="H583" s="4"/>
    </row>
    <row r="584" spans="2:8">
      <c r="B584" s="4"/>
      <c r="C584" s="4"/>
      <c r="D584" s="4"/>
      <c r="E584" s="4"/>
      <c r="F584" s="4"/>
      <c r="G584" s="4"/>
      <c r="H584" s="4"/>
    </row>
    <row r="585" spans="2:8">
      <c r="B585" s="4"/>
      <c r="C585" s="4"/>
      <c r="D585" s="4"/>
      <c r="E585" s="4"/>
      <c r="F585" s="4"/>
      <c r="G585" s="4"/>
      <c r="H585" s="4"/>
    </row>
    <row r="586" spans="2:8">
      <c r="B586" s="4"/>
      <c r="C586" s="4"/>
      <c r="D586" s="4"/>
      <c r="E586" s="4"/>
      <c r="F586" s="4"/>
      <c r="G586" s="4"/>
      <c r="H586" s="4"/>
    </row>
    <row r="587" spans="2:8">
      <c r="B587" s="4"/>
      <c r="C587" s="4"/>
      <c r="D587" s="4"/>
      <c r="E587" s="4"/>
      <c r="F587" s="4"/>
      <c r="G587" s="4"/>
      <c r="H587" s="4"/>
    </row>
    <row r="588" spans="2:8">
      <c r="B588" s="4"/>
      <c r="C588" s="4"/>
      <c r="D588" s="4"/>
      <c r="E588" s="4"/>
      <c r="F588" s="4"/>
      <c r="G588" s="4"/>
      <c r="H588" s="4"/>
    </row>
    <row r="589" spans="2:8">
      <c r="B589" s="4"/>
      <c r="C589" s="4"/>
      <c r="D589" s="4"/>
      <c r="E589" s="4"/>
      <c r="F589" s="4"/>
      <c r="G589" s="4"/>
      <c r="H589" s="4"/>
    </row>
    <row r="590" spans="2:8">
      <c r="B590" s="4"/>
      <c r="C590" s="4"/>
      <c r="D590" s="4"/>
      <c r="E590" s="4"/>
      <c r="F590" s="4"/>
      <c r="G590" s="4"/>
      <c r="H590" s="4"/>
    </row>
    <row r="591" spans="2:8">
      <c r="B591" s="4"/>
      <c r="C591" s="4"/>
      <c r="D591" s="4"/>
      <c r="E591" s="4"/>
      <c r="F591" s="4"/>
      <c r="G591" s="4"/>
      <c r="H591" s="4"/>
    </row>
    <row r="592" spans="2:8">
      <c r="B592" s="4"/>
      <c r="C592" s="4"/>
      <c r="D592" s="4"/>
      <c r="E592" s="4"/>
      <c r="F592" s="4"/>
      <c r="G592" s="4"/>
      <c r="H592" s="4"/>
    </row>
    <row r="593" spans="2:8">
      <c r="B593" s="4"/>
      <c r="C593" s="4"/>
      <c r="D593" s="4"/>
      <c r="E593" s="4"/>
      <c r="F593" s="4"/>
      <c r="G593" s="4"/>
      <c r="H593" s="4"/>
    </row>
    <row r="594" spans="2:8">
      <c r="B594" s="4"/>
      <c r="C594" s="4"/>
      <c r="D594" s="4"/>
      <c r="E594" s="4"/>
      <c r="F594" s="4"/>
      <c r="G594" s="4"/>
      <c r="H594" s="4"/>
    </row>
    <row r="595" spans="2:8">
      <c r="B595" s="4"/>
      <c r="C595" s="4"/>
      <c r="D595" s="4"/>
      <c r="E595" s="4"/>
      <c r="F595" s="4"/>
      <c r="G595" s="4"/>
      <c r="H595" s="4"/>
    </row>
    <row r="596" spans="2:8">
      <c r="B596" s="4"/>
      <c r="C596" s="4"/>
      <c r="D596" s="4"/>
      <c r="E596" s="4"/>
      <c r="F596" s="4"/>
      <c r="G596" s="4"/>
      <c r="H596" s="4"/>
    </row>
    <row r="597" spans="2:8">
      <c r="B597" s="4"/>
      <c r="C597" s="4"/>
      <c r="D597" s="4"/>
      <c r="E597" s="4"/>
      <c r="F597" s="4"/>
      <c r="G597" s="4"/>
      <c r="H597" s="4"/>
    </row>
    <row r="598" spans="2:8">
      <c r="B598" s="4"/>
      <c r="C598" s="4"/>
      <c r="D598" s="4"/>
      <c r="E598" s="4"/>
      <c r="F598" s="4"/>
      <c r="G598" s="4"/>
      <c r="H598" s="4"/>
    </row>
    <row r="599" spans="2:8">
      <c r="B599" s="4"/>
      <c r="C599" s="4"/>
      <c r="D599" s="4"/>
      <c r="E599" s="4"/>
      <c r="F599" s="4"/>
      <c r="G599" s="4"/>
      <c r="H599" s="4"/>
    </row>
    <row r="600" spans="2:8">
      <c r="B600" s="4"/>
      <c r="C600" s="4"/>
      <c r="D600" s="4"/>
      <c r="E600" s="4"/>
      <c r="F600" s="4"/>
      <c r="G600" s="4"/>
      <c r="H600" s="4"/>
    </row>
    <row r="601" spans="2:8">
      <c r="B601" s="4"/>
      <c r="C601" s="4"/>
      <c r="D601" s="4"/>
      <c r="E601" s="4"/>
      <c r="F601" s="4"/>
      <c r="G601" s="4"/>
      <c r="H601" s="4"/>
    </row>
    <row r="602" spans="2:8">
      <c r="B602" s="4"/>
      <c r="C602" s="4"/>
      <c r="D602" s="4"/>
      <c r="E602" s="4"/>
      <c r="F602" s="4"/>
      <c r="G602" s="4"/>
      <c r="H602" s="4"/>
    </row>
    <row r="603" spans="2:8">
      <c r="B603" s="4"/>
      <c r="C603" s="4"/>
      <c r="D603" s="4"/>
      <c r="E603" s="4"/>
      <c r="F603" s="4"/>
      <c r="G603" s="4"/>
      <c r="H603" s="4"/>
    </row>
    <row r="604" spans="2:8">
      <c r="B604" s="4"/>
      <c r="C604" s="4"/>
      <c r="D604" s="4"/>
      <c r="E604" s="4"/>
      <c r="F604" s="4"/>
      <c r="G604" s="4"/>
      <c r="H604" s="4"/>
    </row>
    <row r="605" spans="2:8">
      <c r="B605" s="4"/>
      <c r="C605" s="4"/>
      <c r="D605" s="4"/>
      <c r="E605" s="4"/>
      <c r="F605" s="4"/>
      <c r="G605" s="4"/>
      <c r="H605" s="4"/>
    </row>
    <row r="606" spans="2:8">
      <c r="B606" s="4"/>
      <c r="C606" s="4"/>
      <c r="D606" s="4"/>
      <c r="E606" s="4"/>
      <c r="F606" s="4"/>
      <c r="G606" s="4"/>
      <c r="H606" s="4"/>
    </row>
    <row r="607" spans="2:8">
      <c r="B607" s="4"/>
      <c r="C607" s="4"/>
      <c r="D607" s="4"/>
      <c r="E607" s="4"/>
      <c r="F607" s="4"/>
      <c r="G607" s="4"/>
      <c r="H607" s="4"/>
    </row>
    <row r="608" spans="2:8">
      <c r="B608" s="4"/>
      <c r="C608" s="4"/>
      <c r="D608" s="4"/>
      <c r="E608" s="4"/>
      <c r="F608" s="4"/>
      <c r="G608" s="4"/>
      <c r="H608" s="4"/>
    </row>
    <row r="609" spans="2:8">
      <c r="B609" s="4"/>
      <c r="C609" s="4"/>
      <c r="D609" s="4"/>
      <c r="E609" s="4"/>
      <c r="F609" s="4"/>
      <c r="G609" s="4"/>
      <c r="H609" s="4"/>
    </row>
    <row r="610" spans="2:8">
      <c r="B610" s="4"/>
      <c r="C610" s="4"/>
      <c r="D610" s="4"/>
      <c r="E610" s="4"/>
      <c r="F610" s="4"/>
      <c r="G610" s="4"/>
      <c r="H610" s="4"/>
    </row>
    <row r="611" spans="2:8">
      <c r="B611" s="4"/>
      <c r="C611" s="4"/>
      <c r="D611" s="4"/>
      <c r="E611" s="4"/>
      <c r="F611" s="4"/>
      <c r="G611" s="4"/>
      <c r="H611" s="4"/>
    </row>
    <row r="612" spans="2:8">
      <c r="B612" s="4"/>
      <c r="C612" s="4"/>
      <c r="D612" s="4"/>
      <c r="E612" s="4"/>
      <c r="F612" s="4"/>
      <c r="G612" s="4"/>
      <c r="H612" s="4"/>
    </row>
    <row r="613" spans="2:8">
      <c r="B613" s="4"/>
      <c r="C613" s="4"/>
      <c r="D613" s="4"/>
      <c r="E613" s="4"/>
      <c r="F613" s="4"/>
      <c r="G613" s="4"/>
      <c r="H613" s="4"/>
    </row>
    <row r="614" spans="2:8">
      <c r="B614" s="4"/>
      <c r="C614" s="4"/>
      <c r="D614" s="4"/>
      <c r="E614" s="4"/>
      <c r="F614" s="4"/>
      <c r="G614" s="4"/>
      <c r="H614" s="4"/>
    </row>
    <row r="615" spans="2:8">
      <c r="B615" s="4"/>
      <c r="C615" s="4"/>
      <c r="D615" s="4"/>
      <c r="E615" s="4"/>
      <c r="F615" s="4"/>
      <c r="G615" s="4"/>
      <c r="H615" s="4"/>
    </row>
    <row r="616" spans="2:8">
      <c r="B616" s="4"/>
      <c r="C616" s="4"/>
      <c r="D616" s="4"/>
      <c r="E616" s="4"/>
      <c r="F616" s="4"/>
      <c r="G616" s="4"/>
      <c r="H616" s="4"/>
    </row>
    <row r="617" spans="2:8">
      <c r="B617" s="4"/>
      <c r="C617" s="4"/>
      <c r="D617" s="4"/>
      <c r="E617" s="4"/>
      <c r="F617" s="4"/>
      <c r="G617" s="4"/>
      <c r="H617" s="4"/>
    </row>
    <row r="618" spans="2:8">
      <c r="B618" s="4"/>
      <c r="C618" s="4"/>
      <c r="D618" s="4"/>
      <c r="E618" s="4"/>
      <c r="F618" s="4"/>
      <c r="G618" s="4"/>
      <c r="H618" s="4"/>
    </row>
    <row r="619" spans="2:8">
      <c r="B619" s="4"/>
      <c r="C619" s="4"/>
      <c r="D619" s="4"/>
      <c r="E619" s="4"/>
      <c r="F619" s="4"/>
      <c r="G619" s="4"/>
      <c r="H619" s="4"/>
    </row>
    <row r="620" spans="2:8">
      <c r="B620" s="4"/>
      <c r="C620" s="4"/>
      <c r="D620" s="4"/>
      <c r="E620" s="4"/>
      <c r="F620" s="4"/>
      <c r="G620" s="4"/>
      <c r="H620" s="4"/>
    </row>
    <row r="621" spans="2:8">
      <c r="B621" s="4"/>
      <c r="C621" s="4"/>
      <c r="D621" s="4"/>
      <c r="E621" s="4"/>
      <c r="F621" s="4"/>
      <c r="G621" s="4"/>
      <c r="H621" s="4"/>
    </row>
    <row r="622" spans="2:8">
      <c r="B622" s="4"/>
      <c r="C622" s="4"/>
      <c r="D622" s="4"/>
      <c r="E622" s="4"/>
      <c r="F622" s="4"/>
      <c r="G622" s="4"/>
      <c r="H622" s="4"/>
    </row>
    <row r="623" spans="2:8">
      <c r="B623" s="4"/>
      <c r="C623" s="4"/>
      <c r="D623" s="4"/>
      <c r="E623" s="4"/>
      <c r="F623" s="4"/>
      <c r="G623" s="4"/>
      <c r="H623" s="4"/>
    </row>
    <row r="624" spans="2:8">
      <c r="B624" s="4"/>
      <c r="C624" s="4"/>
      <c r="D624" s="4"/>
      <c r="E624" s="4"/>
      <c r="F624" s="4"/>
      <c r="G624" s="4"/>
      <c r="H624" s="4"/>
    </row>
    <row r="625" spans="2:8">
      <c r="B625" s="4"/>
      <c r="C625" s="4"/>
      <c r="D625" s="4"/>
      <c r="E625" s="4"/>
      <c r="F625" s="4"/>
      <c r="G625" s="4"/>
      <c r="H625" s="4"/>
    </row>
    <row r="626" spans="2:8">
      <c r="B626" s="4"/>
      <c r="C626" s="4"/>
      <c r="D626" s="4"/>
      <c r="E626" s="4"/>
      <c r="F626" s="4"/>
      <c r="G626" s="4"/>
      <c r="H626" s="4"/>
    </row>
    <row r="627" spans="2:8">
      <c r="B627" s="4"/>
      <c r="C627" s="4"/>
      <c r="D627" s="4"/>
      <c r="E627" s="4"/>
      <c r="F627" s="4"/>
      <c r="G627" s="4"/>
      <c r="H627" s="4"/>
    </row>
    <row r="628" spans="2:8">
      <c r="B628" s="4"/>
      <c r="C628" s="4"/>
      <c r="D628" s="4"/>
      <c r="E628" s="4"/>
      <c r="F628" s="4"/>
      <c r="G628" s="4"/>
      <c r="H628" s="4"/>
    </row>
    <row r="629" spans="2:8">
      <c r="B629" s="4"/>
      <c r="C629" s="4"/>
      <c r="D629" s="4"/>
      <c r="E629" s="4"/>
      <c r="F629" s="4"/>
      <c r="G629" s="4"/>
      <c r="H629" s="4"/>
    </row>
    <row r="630" spans="2:8">
      <c r="B630" s="4"/>
      <c r="C630" s="4"/>
      <c r="D630" s="4"/>
      <c r="E630" s="4"/>
      <c r="F630" s="4"/>
      <c r="G630" s="4"/>
      <c r="H630" s="4"/>
    </row>
    <row r="631" spans="2:8">
      <c r="B631" s="4"/>
      <c r="C631" s="4"/>
      <c r="D631" s="4"/>
      <c r="E631" s="4"/>
      <c r="F631" s="4"/>
      <c r="G631" s="4"/>
      <c r="H631" s="4"/>
    </row>
    <row r="632" spans="2:8">
      <c r="B632" s="4"/>
      <c r="C632" s="4"/>
      <c r="D632" s="4"/>
      <c r="E632" s="4"/>
      <c r="F632" s="4"/>
      <c r="G632" s="4"/>
      <c r="H632" s="4"/>
    </row>
    <row r="633" spans="2:8">
      <c r="B633" s="4"/>
      <c r="C633" s="4"/>
      <c r="D633" s="4"/>
      <c r="E633" s="4"/>
      <c r="F633" s="4"/>
      <c r="G633" s="4"/>
      <c r="H633" s="4"/>
    </row>
    <row r="634" spans="2:8">
      <c r="B634" s="4"/>
      <c r="C634" s="4"/>
      <c r="D634" s="4"/>
      <c r="E634" s="4"/>
      <c r="F634" s="4"/>
      <c r="G634" s="4"/>
      <c r="H634" s="4"/>
    </row>
    <row r="635" spans="2:8">
      <c r="B635" s="4"/>
      <c r="C635" s="4"/>
      <c r="D635" s="4"/>
      <c r="E635" s="4"/>
      <c r="F635" s="4"/>
      <c r="G635" s="4"/>
      <c r="H635" s="4"/>
    </row>
    <row r="636" spans="2:8">
      <c r="B636" s="4"/>
      <c r="C636" s="4"/>
      <c r="D636" s="4"/>
      <c r="E636" s="4"/>
      <c r="F636" s="4"/>
      <c r="G636" s="4"/>
      <c r="H636" s="4"/>
    </row>
    <row r="637" spans="2:8">
      <c r="B637" s="4"/>
      <c r="C637" s="4"/>
      <c r="D637" s="4"/>
      <c r="E637" s="4"/>
      <c r="F637" s="4"/>
      <c r="G637" s="4"/>
      <c r="H637" s="4"/>
    </row>
    <row r="638" spans="2:8">
      <c r="B638" s="4"/>
      <c r="C638" s="4"/>
      <c r="D638" s="4"/>
      <c r="E638" s="4"/>
      <c r="F638" s="4"/>
      <c r="G638" s="4"/>
      <c r="H638" s="4"/>
    </row>
    <row r="639" spans="2:8">
      <c r="B639" s="4"/>
      <c r="C639" s="4"/>
      <c r="D639" s="4"/>
      <c r="E639" s="4"/>
      <c r="F639" s="4"/>
      <c r="G639" s="4"/>
      <c r="H639" s="4"/>
    </row>
    <row r="640" spans="2:8">
      <c r="B640" s="4"/>
      <c r="C640" s="4"/>
      <c r="D640" s="4"/>
      <c r="E640" s="4"/>
      <c r="F640" s="4"/>
      <c r="G640" s="4"/>
      <c r="H640" s="4"/>
    </row>
    <row r="641" spans="2:8">
      <c r="B641" s="4"/>
      <c r="C641" s="4"/>
      <c r="D641" s="4"/>
      <c r="E641" s="4"/>
      <c r="F641" s="4"/>
      <c r="G641" s="4"/>
      <c r="H641" s="4"/>
    </row>
    <row r="642" spans="2:8">
      <c r="B642" s="4"/>
      <c r="C642" s="4"/>
      <c r="D642" s="4"/>
      <c r="E642" s="4"/>
      <c r="F642" s="4"/>
      <c r="G642" s="4"/>
      <c r="H642" s="4"/>
    </row>
    <row r="643" spans="2:8">
      <c r="B643" s="4"/>
      <c r="C643" s="4"/>
      <c r="D643" s="4"/>
      <c r="E643" s="4"/>
      <c r="F643" s="4"/>
      <c r="G643" s="4"/>
      <c r="H643" s="4"/>
    </row>
    <row r="644" spans="2:8">
      <c r="B644" s="4"/>
      <c r="C644" s="4"/>
      <c r="D644" s="4"/>
      <c r="E644" s="4"/>
      <c r="F644" s="4"/>
      <c r="G644" s="4"/>
      <c r="H644" s="4"/>
    </row>
    <row r="645" spans="2:8">
      <c r="B645" s="4"/>
      <c r="C645" s="4"/>
      <c r="D645" s="4"/>
      <c r="E645" s="4"/>
      <c r="F645" s="4"/>
      <c r="G645" s="4"/>
      <c r="H645" s="4"/>
    </row>
    <row r="646" spans="2:8">
      <c r="B646" s="4"/>
      <c r="C646" s="4"/>
      <c r="D646" s="4"/>
      <c r="E646" s="4"/>
      <c r="F646" s="4"/>
      <c r="G646" s="4"/>
      <c r="H646" s="4"/>
    </row>
    <row r="647" spans="2:8">
      <c r="B647" s="4"/>
      <c r="C647" s="4"/>
      <c r="D647" s="4"/>
      <c r="E647" s="4"/>
      <c r="F647" s="4"/>
      <c r="G647" s="4"/>
      <c r="H647" s="4"/>
    </row>
    <row r="648" spans="2:8">
      <c r="B648" s="4"/>
      <c r="C648" s="4"/>
      <c r="D648" s="4"/>
      <c r="E648" s="4"/>
      <c r="F648" s="4"/>
      <c r="G648" s="4"/>
      <c r="H648" s="4"/>
    </row>
    <row r="649" spans="2:8">
      <c r="B649" s="4"/>
      <c r="C649" s="4"/>
      <c r="D649" s="4"/>
      <c r="E649" s="4"/>
      <c r="F649" s="4"/>
      <c r="G649" s="4"/>
      <c r="H649" s="4"/>
    </row>
    <row r="650" spans="2:8">
      <c r="B650" s="4"/>
      <c r="C650" s="4"/>
      <c r="D650" s="4"/>
      <c r="E650" s="4"/>
      <c r="F650" s="4"/>
      <c r="G650" s="4"/>
      <c r="H650" s="4"/>
    </row>
    <row r="651" spans="2:8">
      <c r="B651" s="4"/>
      <c r="C651" s="4"/>
      <c r="D651" s="4"/>
      <c r="E651" s="4"/>
      <c r="F651" s="4"/>
      <c r="G651" s="4"/>
      <c r="H651" s="4"/>
    </row>
    <row r="652" spans="2:8">
      <c r="B652" s="4"/>
      <c r="C652" s="4"/>
      <c r="D652" s="4"/>
      <c r="E652" s="4"/>
      <c r="F652" s="4"/>
      <c r="G652" s="4"/>
      <c r="H652" s="4"/>
    </row>
    <row r="653" spans="2:8">
      <c r="B653" s="4"/>
      <c r="C653" s="4"/>
      <c r="D653" s="4"/>
      <c r="E653" s="4"/>
      <c r="F653" s="4"/>
      <c r="G653" s="4"/>
      <c r="H653" s="4"/>
    </row>
    <row r="654" spans="2:8">
      <c r="B654" s="4"/>
      <c r="C654" s="4"/>
      <c r="D654" s="4"/>
      <c r="E654" s="4"/>
      <c r="F654" s="4"/>
      <c r="G654" s="4"/>
      <c r="H654" s="4"/>
    </row>
    <row r="655" spans="2:8">
      <c r="B655" s="4"/>
      <c r="C655" s="4"/>
      <c r="D655" s="4"/>
      <c r="E655" s="4"/>
      <c r="F655" s="4"/>
      <c r="G655" s="4"/>
      <c r="H655" s="4"/>
    </row>
    <row r="656" spans="2:8">
      <c r="B656" s="4"/>
      <c r="C656" s="4"/>
      <c r="D656" s="4"/>
      <c r="E656" s="4"/>
      <c r="F656" s="4"/>
      <c r="G656" s="4"/>
      <c r="H656" s="4"/>
    </row>
  </sheetData>
  <mergeCells count="30">
    <mergeCell ref="A381:B381"/>
    <mergeCell ref="A382:B382"/>
    <mergeCell ref="I6:Q6"/>
    <mergeCell ref="A8:B8"/>
    <mergeCell ref="A9:B9"/>
    <mergeCell ref="A10:B10"/>
    <mergeCell ref="I10:K10"/>
    <mergeCell ref="M10:O10"/>
    <mergeCell ref="I7:Q7"/>
    <mergeCell ref="AG7:AL7"/>
    <mergeCell ref="A379:B379"/>
    <mergeCell ref="R11:W11"/>
    <mergeCell ref="AG11:AL11"/>
    <mergeCell ref="A380:B380"/>
    <mergeCell ref="BA11:BF11"/>
    <mergeCell ref="AM6:AP6"/>
    <mergeCell ref="AB10:AD10"/>
    <mergeCell ref="R6:W6"/>
    <mergeCell ref="X6:AF6"/>
    <mergeCell ref="AG6:AL6"/>
    <mergeCell ref="BA6:BF6"/>
    <mergeCell ref="BA7:BF7"/>
    <mergeCell ref="AQ6:AZ6"/>
    <mergeCell ref="AQ7:AZ7"/>
    <mergeCell ref="AQ10:AS10"/>
    <mergeCell ref="AU10:AW10"/>
    <mergeCell ref="X10:Z10"/>
    <mergeCell ref="AM10:AO10"/>
    <mergeCell ref="R7:W7"/>
    <mergeCell ref="X7:AF7"/>
  </mergeCells>
  <conditionalFormatting sqref="A4:H5 A11:E11 A8:A10 A1:A3 A12:A376 A6:E7 AP10 AM10 I6:R6 Q11:R11 I8:AF10">
    <cfRule type="cellIs" dxfId="67" priority="103" operator="equal">
      <formula>"SCRATCHED"</formula>
    </cfRule>
  </conditionalFormatting>
  <conditionalFormatting sqref="B377:H378 B383:H656 F379:H382">
    <cfRule type="cellIs" dxfId="66" priority="102" operator="equal">
      <formula>"SCRATCHED"</formula>
    </cfRule>
  </conditionalFormatting>
  <conditionalFormatting sqref="X6:AF6 I7 R7 X7:Y7 I11:J11 N12:O376 M11:N11 J12:K376 Q12:Q376 AF11:AF376">
    <cfRule type="cellIs" dxfId="65" priority="100" operator="equal">
      <formula>"SCRATCHED"</formula>
    </cfRule>
  </conditionalFormatting>
  <conditionalFormatting sqref="K11:L11">
    <cfRule type="cellIs" dxfId="64" priority="99" operator="equal">
      <formula>"SCRATCHED"</formula>
    </cfRule>
  </conditionalFormatting>
  <conditionalFormatting sqref="O11">
    <cfRule type="cellIs" dxfId="63" priority="98" operator="equal">
      <formula>"SCRATCHED"</formula>
    </cfRule>
  </conditionalFormatting>
  <conditionalFormatting sqref="Z11:AA11">
    <cfRule type="cellIs" dxfId="62" priority="95" operator="equal">
      <formula>"SCRATCHED"</formula>
    </cfRule>
  </conditionalFormatting>
  <conditionalFormatting sqref="AD11">
    <cfRule type="cellIs" dxfId="61" priority="93" operator="equal">
      <formula>"SCRATCHED"</formula>
    </cfRule>
  </conditionalFormatting>
  <conditionalFormatting sqref="P11">
    <cfRule type="cellIs" dxfId="60" priority="90" operator="equal">
      <formula>"SCRATCHED"</formula>
    </cfRule>
  </conditionalFormatting>
  <conditionalFormatting sqref="AE11">
    <cfRule type="cellIs" dxfId="59" priority="89" operator="equal">
      <formula>"SCRATCHED"</formula>
    </cfRule>
  </conditionalFormatting>
  <conditionalFormatting sqref="Y11">
    <cfRule type="cellIs" dxfId="58" priority="88" operator="equal">
      <formula>"SCRATCHED"</formula>
    </cfRule>
  </conditionalFormatting>
  <conditionalFormatting sqref="AC11">
    <cfRule type="cellIs" dxfId="57" priority="87" operator="equal">
      <formula>"SCRATCHED"</formula>
    </cfRule>
  </conditionalFormatting>
  <conditionalFormatting sqref="AG6:AG7 AG11 AG8:AP9 AG10:AL10">
    <cfRule type="cellIs" dxfId="56" priority="86" operator="equal">
      <formula>"SCRATCHED"</formula>
    </cfRule>
  </conditionalFormatting>
  <conditionalFormatting sqref="AS12:AS376">
    <cfRule type="cellIs" dxfId="55" priority="67" operator="equal">
      <formula>"SCRATCHED"</formula>
    </cfRule>
  </conditionalFormatting>
  <conditionalFormatting sqref="R12:W376">
    <cfRule type="cellIs" dxfId="54" priority="82" operator="equal">
      <formula>"SCRATCHED"</formula>
    </cfRule>
  </conditionalFormatting>
  <conditionalFormatting sqref="AW11">
    <cfRule type="cellIs" dxfId="53" priority="72" operator="equal">
      <formula>"SCRATCHED"</formula>
    </cfRule>
  </conditionalFormatting>
  <conditionalFormatting sqref="Y12:Y376">
    <cfRule type="cellIs" dxfId="52" priority="81" operator="equal">
      <formula>"SCRATCHED"</formula>
    </cfRule>
  </conditionalFormatting>
  <conditionalFormatting sqref="Z12:Z376">
    <cfRule type="cellIs" dxfId="51" priority="80" operator="equal">
      <formula>"SCRATCHED"</formula>
    </cfRule>
  </conditionalFormatting>
  <conditionalFormatting sqref="AC12:AC376">
    <cfRule type="cellIs" dxfId="50" priority="79" operator="equal">
      <formula>"SCRATCHED"</formula>
    </cfRule>
  </conditionalFormatting>
  <conditionalFormatting sqref="AD12:AD376">
    <cfRule type="cellIs" dxfId="49" priority="78" operator="equal">
      <formula>"SCRATCHED"</formula>
    </cfRule>
  </conditionalFormatting>
  <conditionalFormatting sqref="AG12:AP376">
    <cfRule type="cellIs" dxfId="48" priority="77" operator="equal">
      <formula>"SCRATCHED"</formula>
    </cfRule>
  </conditionalFormatting>
  <conditionalFormatting sqref="AQ6:AZ6 AQ7:AR7 AY11:AZ11 AQ8:AZ10">
    <cfRule type="cellIs" dxfId="47" priority="76" operator="equal">
      <formula>"SCRATCHED"</formula>
    </cfRule>
  </conditionalFormatting>
  <conditionalFormatting sqref="AS11:AT11">
    <cfRule type="cellIs" dxfId="46" priority="74" operator="equal">
      <formula>"SCRATCHED"</formula>
    </cfRule>
  </conditionalFormatting>
  <conditionalFormatting sqref="AX11">
    <cfRule type="cellIs" dxfId="45" priority="71" operator="equal">
      <formula>"SCRATCHED"</formula>
    </cfRule>
  </conditionalFormatting>
  <conditionalFormatting sqref="AR11">
    <cfRule type="cellIs" dxfId="44" priority="70" operator="equal">
      <formula>"SCRATCHED"</formula>
    </cfRule>
  </conditionalFormatting>
  <conditionalFormatting sqref="AV11">
    <cfRule type="cellIs" dxfId="43" priority="69" operator="equal">
      <formula>"SCRATCHED"</formula>
    </cfRule>
  </conditionalFormatting>
  <conditionalFormatting sqref="AR12:AR376">
    <cfRule type="cellIs" dxfId="42" priority="68" operator="equal">
      <formula>"SCRATCHED"</formula>
    </cfRule>
  </conditionalFormatting>
  <conditionalFormatting sqref="BA6:BA7 BA11 BA8:BF10">
    <cfRule type="cellIs" dxfId="41" priority="64" operator="equal">
      <formula>"SCRATCHED"</formula>
    </cfRule>
  </conditionalFormatting>
  <conditionalFormatting sqref="AV12:AV376">
    <cfRule type="cellIs" dxfId="40" priority="66" operator="equal">
      <formula>"SCRATCHED"</formula>
    </cfRule>
  </conditionalFormatting>
  <conditionalFormatting sqref="AW12:AW376">
    <cfRule type="cellIs" dxfId="39" priority="65" operator="equal">
      <formula>"SCRATCHED"</formula>
    </cfRule>
  </conditionalFormatting>
  <conditionalFormatting sqref="BA12:BF376 BG42">
    <cfRule type="cellIs" dxfId="38" priority="63" operator="equal">
      <formula>"SCRATCHED"</formula>
    </cfRule>
  </conditionalFormatting>
  <conditionalFormatting sqref="H8:H9 F6:H7 G10:H10">
    <cfRule type="cellIs" dxfId="37" priority="62" operator="equal">
      <formula>"SCRATCHED"</formula>
    </cfRule>
  </conditionalFormatting>
  <conditionalFormatting sqref="F11:H11">
    <cfRule type="cellIs" dxfId="36" priority="61" operator="equal">
      <formula>"SCRATCHED"</formula>
    </cfRule>
  </conditionalFormatting>
  <conditionalFormatting sqref="F12:H376">
    <cfRule type="cellIs" dxfId="35" priority="60" operator="equal">
      <formula>"SCRATCHED"</formula>
    </cfRule>
  </conditionalFormatting>
  <conditionalFormatting sqref="X11">
    <cfRule type="cellIs" dxfId="34" priority="59" operator="equal">
      <formula>"SCRATCHED"</formula>
    </cfRule>
  </conditionalFormatting>
  <conditionalFormatting sqref="AB11">
    <cfRule type="cellIs" dxfId="33" priority="58" operator="equal">
      <formula>"SCRATCHED"</formula>
    </cfRule>
  </conditionalFormatting>
  <conditionalFormatting sqref="AQ11">
    <cfRule type="cellIs" dxfId="32" priority="57" operator="equal">
      <formula>"SCRATCHED"</formula>
    </cfRule>
  </conditionalFormatting>
  <conditionalFormatting sqref="AU11">
    <cfRule type="cellIs" dxfId="31" priority="56" operator="equal">
      <formula>"SCRATCHED"</formula>
    </cfRule>
  </conditionalFormatting>
  <conditionalFormatting sqref="I12:I376">
    <cfRule type="cellIs" dxfId="30" priority="55" operator="equal">
      <formula>"SCRATCHED"</formula>
    </cfRule>
  </conditionalFormatting>
  <conditionalFormatting sqref="P12:P376">
    <cfRule type="cellIs" dxfId="29" priority="54" operator="equal">
      <formula>"SCRATCHED"</formula>
    </cfRule>
  </conditionalFormatting>
  <conditionalFormatting sqref="L12:L376">
    <cfRule type="cellIs" dxfId="28" priority="53" operator="equal">
      <formula>"SCRATCHED"</formula>
    </cfRule>
  </conditionalFormatting>
  <conditionalFormatting sqref="AM11">
    <cfRule type="cellIs" dxfId="27" priority="42" operator="equal">
      <formula>"SCRATCHED"</formula>
    </cfRule>
  </conditionalFormatting>
  <conditionalFormatting sqref="M12:M376">
    <cfRule type="cellIs" dxfId="26" priority="50" operator="equal">
      <formula>"SCRATCHED"</formula>
    </cfRule>
  </conditionalFormatting>
  <conditionalFormatting sqref="AN11">
    <cfRule type="cellIs" dxfId="25" priority="43" operator="equal">
      <formula>"SCRATCHED"</formula>
    </cfRule>
  </conditionalFormatting>
  <conditionalFormatting sqref="X12:X376">
    <cfRule type="cellIs" dxfId="24" priority="48" operator="equal">
      <formula>"SCRATCHED"</formula>
    </cfRule>
  </conditionalFormatting>
  <conditionalFormatting sqref="AA12:AA376">
    <cfRule type="cellIs" dxfId="23" priority="47" operator="equal">
      <formula>"SCRATCHED"</formula>
    </cfRule>
  </conditionalFormatting>
  <conditionalFormatting sqref="AB12:AB376">
    <cfRule type="cellIs" dxfId="22" priority="46" operator="equal">
      <formula>"SCRATCHED"</formula>
    </cfRule>
  </conditionalFormatting>
  <conditionalFormatting sqref="AE12:AE376">
    <cfRule type="cellIs" dxfId="21" priority="45" operator="equal">
      <formula>"SCRATCHED"</formula>
    </cfRule>
  </conditionalFormatting>
  <conditionalFormatting sqref="AO11">
    <cfRule type="cellIs" dxfId="20" priority="44" operator="equal">
      <formula>"SCRATCHED"</formula>
    </cfRule>
  </conditionalFormatting>
  <conditionalFormatting sqref="AQ12">
    <cfRule type="cellIs" dxfId="19" priority="41" operator="equal">
      <formula>"SCRATCHED"</formula>
    </cfRule>
  </conditionalFormatting>
  <conditionalFormatting sqref="AT12:AT376">
    <cfRule type="cellIs" dxfId="18" priority="40" operator="equal">
      <formula>"SCRATCHED"</formula>
    </cfRule>
  </conditionalFormatting>
  <conditionalFormatting sqref="AY12:AY376">
    <cfRule type="cellIs" dxfId="17" priority="39" operator="equal">
      <formula>"SCRATCHED"</formula>
    </cfRule>
  </conditionalFormatting>
  <conditionalFormatting sqref="AX12:AX376">
    <cfRule type="cellIs" dxfId="16" priority="38" operator="equal">
      <formula>"SCRATCHED"</formula>
    </cfRule>
  </conditionalFormatting>
  <conditionalFormatting sqref="A379:E380">
    <cfRule type="cellIs" dxfId="15" priority="37" operator="equal">
      <formula>"SCRATCHED"</formula>
    </cfRule>
  </conditionalFormatting>
  <conditionalFormatting sqref="A381:E381">
    <cfRule type="cellIs" dxfId="14" priority="36" operator="equal">
      <formula>"SCRATCHED"</formula>
    </cfRule>
  </conditionalFormatting>
  <conditionalFormatting sqref="A382:E382">
    <cfRule type="cellIs" dxfId="13" priority="35" operator="equal">
      <formula>"SCRATCHED"</formula>
    </cfRule>
  </conditionalFormatting>
  <conditionalFormatting sqref="E12:E376">
    <cfRule type="cellIs" dxfId="12" priority="33" operator="equal">
      <formula>"SCRATCHED"</formula>
    </cfRule>
  </conditionalFormatting>
  <conditionalFormatting sqref="AZ12:AZ40 AZ42:AZ101 AZ103:AZ132 AZ134:AZ163 AZ165:AZ191 AZ193:AZ222 AZ224:AZ252 AZ254:AZ283 AZ285:AZ313 AZ315:AZ344 AZ346:AZ375">
    <cfRule type="cellIs" dxfId="11" priority="13" operator="equal">
      <formula>"SCRATCHED"</formula>
    </cfRule>
  </conditionalFormatting>
  <conditionalFormatting sqref="AZ41">
    <cfRule type="cellIs" dxfId="10" priority="11" operator="equal">
      <formula>"SCRATCHED"</formula>
    </cfRule>
  </conditionalFormatting>
  <conditionalFormatting sqref="AZ102">
    <cfRule type="cellIs" dxfId="9" priority="10" operator="equal">
      <formula>"SCRATCHED"</formula>
    </cfRule>
  </conditionalFormatting>
  <conditionalFormatting sqref="AZ133">
    <cfRule type="cellIs" dxfId="8" priority="9" operator="equal">
      <formula>"SCRATCHED"</formula>
    </cfRule>
  </conditionalFormatting>
  <conditionalFormatting sqref="AZ164">
    <cfRule type="cellIs" dxfId="7" priority="8" operator="equal">
      <formula>"SCRATCHED"</formula>
    </cfRule>
  </conditionalFormatting>
  <conditionalFormatting sqref="AZ192">
    <cfRule type="cellIs" dxfId="6" priority="7" operator="equal">
      <formula>"SCRATCHED"</formula>
    </cfRule>
  </conditionalFormatting>
  <conditionalFormatting sqref="AZ223">
    <cfRule type="cellIs" dxfId="5" priority="6" operator="equal">
      <formula>"SCRATCHED"</formula>
    </cfRule>
  </conditionalFormatting>
  <conditionalFormatting sqref="AZ253">
    <cfRule type="cellIs" dxfId="4" priority="5" operator="equal">
      <formula>"SCRATCHED"</formula>
    </cfRule>
  </conditionalFormatting>
  <conditionalFormatting sqref="AZ284">
    <cfRule type="cellIs" dxfId="3" priority="4" operator="equal">
      <formula>"SCRATCHED"</formula>
    </cfRule>
  </conditionalFormatting>
  <conditionalFormatting sqref="AZ314">
    <cfRule type="cellIs" dxfId="2" priority="3" operator="equal">
      <formula>"SCRATCHED"</formula>
    </cfRule>
  </conditionalFormatting>
  <conditionalFormatting sqref="AZ345">
    <cfRule type="cellIs" dxfId="1" priority="2" operator="equal">
      <formula>"SCRATCHED"</formula>
    </cfRule>
  </conditionalFormatting>
  <conditionalFormatting sqref="AZ376">
    <cfRule type="cellIs" dxfId="0" priority="1" operator="equal">
      <formula>"SCRATCHED"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3"/>
  <sheetViews>
    <sheetView workbookViewId="0"/>
  </sheetViews>
  <sheetFormatPr defaultRowHeight="15"/>
  <sheetData>
    <row r="1" spans="1:98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46</v>
      </c>
      <c r="O1" t="s">
        <v>45</v>
      </c>
      <c r="Q1" t="s">
        <v>48</v>
      </c>
      <c r="R1" t="s">
        <v>47</v>
      </c>
      <c r="S1" t="s">
        <v>36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Z1" t="s">
        <v>54</v>
      </c>
      <c r="AA1" t="s">
        <v>39</v>
      </c>
      <c r="AB1" t="s">
        <v>37</v>
      </c>
      <c r="AC1" t="s">
        <v>38</v>
      </c>
      <c r="AD1" t="s">
        <v>56</v>
      </c>
      <c r="AE1" t="s">
        <v>55</v>
      </c>
      <c r="AG1" t="s">
        <v>57</v>
      </c>
    </row>
    <row r="2" spans="1:98">
      <c r="A2" t="s">
        <v>61</v>
      </c>
      <c r="B2" t="s">
        <v>58</v>
      </c>
      <c r="D2" t="s">
        <v>59</v>
      </c>
      <c r="E2" t="s">
        <v>60</v>
      </c>
      <c r="F2" t="s">
        <v>61</v>
      </c>
      <c r="G2" t="s">
        <v>719</v>
      </c>
      <c r="H2">
        <v>899</v>
      </c>
      <c r="I2">
        <v>21</v>
      </c>
      <c r="J2">
        <v>5</v>
      </c>
      <c r="K2">
        <v>22</v>
      </c>
      <c r="L2">
        <v>702</v>
      </c>
      <c r="M2" t="s">
        <v>576</v>
      </c>
      <c r="O2">
        <f>'DMR 001C TIN &amp; TP'!VSR1</f>
        <v>0</v>
      </c>
      <c r="Q2">
        <v>4174</v>
      </c>
      <c r="R2">
        <v>0</v>
      </c>
      <c r="S2">
        <v>11</v>
      </c>
      <c r="T2" t="s">
        <v>62</v>
      </c>
      <c r="U2" t="s">
        <v>720</v>
      </c>
      <c r="V2">
        <v>15</v>
      </c>
      <c r="W2" s="23">
        <v>43724.533414351848</v>
      </c>
      <c r="X2" t="s">
        <v>600</v>
      </c>
      <c r="AA2" t="s">
        <v>718</v>
      </c>
      <c r="AB2" s="23">
        <v>43724.533229166664</v>
      </c>
      <c r="AC2" s="23">
        <v>43724.53324074074</v>
      </c>
      <c r="AE2">
        <v>0</v>
      </c>
      <c r="AF2" s="9" t="s">
        <v>577</v>
      </c>
      <c r="AG2" s="9" t="s">
        <v>63</v>
      </c>
      <c r="AH2" t="s">
        <v>603</v>
      </c>
      <c r="AJ2" t="s">
        <v>603</v>
      </c>
      <c r="AL2" t="s">
        <v>603</v>
      </c>
      <c r="AN2" t="s">
        <v>603</v>
      </c>
      <c r="AP2" t="s">
        <v>603</v>
      </c>
      <c r="AR2" t="s">
        <v>603</v>
      </c>
      <c r="AT2" t="s">
        <v>603</v>
      </c>
      <c r="AV2" t="s">
        <v>603</v>
      </c>
      <c r="AX2" t="s">
        <v>603</v>
      </c>
      <c r="AZ2" t="s">
        <v>603</v>
      </c>
      <c r="BB2" t="s">
        <v>603</v>
      </c>
      <c r="BD2" t="s">
        <v>603</v>
      </c>
      <c r="BF2" t="s">
        <v>603</v>
      </c>
      <c r="BH2" t="s">
        <v>603</v>
      </c>
      <c r="BJ2" t="s">
        <v>603</v>
      </c>
      <c r="BL2" t="s">
        <v>603</v>
      </c>
      <c r="BN2" t="s">
        <v>603</v>
      </c>
      <c r="BP2" t="s">
        <v>603</v>
      </c>
      <c r="BR2" t="s">
        <v>603</v>
      </c>
      <c r="BT2" t="s">
        <v>603</v>
      </c>
      <c r="BV2" t="s">
        <v>603</v>
      </c>
      <c r="BX2" t="s">
        <v>603</v>
      </c>
      <c r="BZ2" t="s">
        <v>603</v>
      </c>
      <c r="CB2" t="s">
        <v>603</v>
      </c>
      <c r="CD2" t="s">
        <v>603</v>
      </c>
      <c r="CF2" t="s">
        <v>603</v>
      </c>
      <c r="CH2" t="s">
        <v>603</v>
      </c>
      <c r="CJ2" t="s">
        <v>603</v>
      </c>
      <c r="CL2" t="s">
        <v>603</v>
      </c>
      <c r="CN2" t="s">
        <v>603</v>
      </c>
      <c r="CP2" t="s">
        <v>603</v>
      </c>
      <c r="CR2" t="s">
        <v>603</v>
      </c>
      <c r="CT2" t="s">
        <v>64</v>
      </c>
    </row>
    <row r="3" spans="1:98">
      <c r="A3" t="s">
        <v>590</v>
      </c>
      <c r="B3" t="s">
        <v>58</v>
      </c>
      <c r="D3" t="s">
        <v>59</v>
      </c>
      <c r="E3" t="s">
        <v>60</v>
      </c>
      <c r="F3" t="s">
        <v>590</v>
      </c>
      <c r="G3" t="s">
        <v>673</v>
      </c>
      <c r="H3">
        <v>730</v>
      </c>
      <c r="I3">
        <v>21</v>
      </c>
      <c r="J3">
        <v>5</v>
      </c>
      <c r="K3">
        <v>22</v>
      </c>
      <c r="L3">
        <v>622</v>
      </c>
      <c r="M3" t="s">
        <v>576</v>
      </c>
      <c r="O3">
        <f>'DMR Flows-Effluent'!VSR1</f>
        <v>0</v>
      </c>
      <c r="Q3">
        <v>4173</v>
      </c>
      <c r="R3">
        <v>0</v>
      </c>
      <c r="S3">
        <v>11</v>
      </c>
      <c r="T3" t="s">
        <v>591</v>
      </c>
      <c r="U3" t="s">
        <v>674</v>
      </c>
      <c r="V3">
        <v>7</v>
      </c>
      <c r="W3" s="23">
        <v>43724.532905092594</v>
      </c>
      <c r="X3" t="s">
        <v>600</v>
      </c>
      <c r="AA3" t="s">
        <v>672</v>
      </c>
      <c r="AB3" s="23">
        <v>43724.532731481479</v>
      </c>
      <c r="AC3" s="23">
        <v>43724.532743055555</v>
      </c>
      <c r="AE3">
        <v>0</v>
      </c>
      <c r="AF3" s="9" t="s">
        <v>577</v>
      </c>
      <c r="AG3" s="9" t="s">
        <v>63</v>
      </c>
      <c r="AH3" t="s">
        <v>603</v>
      </c>
      <c r="AJ3" t="s">
        <v>603</v>
      </c>
      <c r="AL3" t="s">
        <v>603</v>
      </c>
      <c r="AN3" t="s">
        <v>603</v>
      </c>
      <c r="AP3" t="s">
        <v>603</v>
      </c>
      <c r="AR3" t="s">
        <v>603</v>
      </c>
      <c r="AT3" t="s">
        <v>603</v>
      </c>
      <c r="AV3" t="s">
        <v>603</v>
      </c>
      <c r="AX3" t="s">
        <v>603</v>
      </c>
      <c r="AZ3" t="s">
        <v>603</v>
      </c>
      <c r="BB3" t="s">
        <v>603</v>
      </c>
      <c r="BD3" t="s">
        <v>603</v>
      </c>
      <c r="BF3" t="s">
        <v>603</v>
      </c>
      <c r="BH3" t="s">
        <v>603</v>
      </c>
      <c r="BJ3" t="s">
        <v>603</v>
      </c>
      <c r="BL3" t="s">
        <v>603</v>
      </c>
      <c r="BN3" t="s">
        <v>603</v>
      </c>
      <c r="BP3" t="s">
        <v>603</v>
      </c>
      <c r="BR3" t="s">
        <v>603</v>
      </c>
      <c r="BT3" t="s">
        <v>603</v>
      </c>
      <c r="BV3" t="s">
        <v>603</v>
      </c>
      <c r="BX3" t="s">
        <v>603</v>
      </c>
      <c r="BZ3" t="s">
        <v>603</v>
      </c>
      <c r="CB3" t="s">
        <v>603</v>
      </c>
      <c r="CD3" t="s">
        <v>603</v>
      </c>
      <c r="CF3" t="s">
        <v>603</v>
      </c>
      <c r="CH3" t="s">
        <v>603</v>
      </c>
      <c r="CJ3" t="s">
        <v>603</v>
      </c>
      <c r="CL3" t="s">
        <v>603</v>
      </c>
      <c r="CN3" t="s">
        <v>603</v>
      </c>
      <c r="CP3" t="s">
        <v>603</v>
      </c>
      <c r="CR3" t="s">
        <v>603</v>
      </c>
      <c r="CT3" t="s">
        <v>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BA901"/>
  <sheetViews>
    <sheetView workbookViewId="0">
      <pane ySplit="2" topLeftCell="A3" activePane="bottomLeft" state="frozen"/>
      <selection pane="bottomLeft" activeCell="P23" sqref="P23"/>
    </sheetView>
  </sheetViews>
  <sheetFormatPr defaultRowHeight="15"/>
  <cols>
    <col min="1" max="1" width="13" bestFit="1" customWidth="1"/>
    <col min="2" max="2" width="10" bestFit="1" customWidth="1"/>
    <col min="3" max="3" width="20.5703125" bestFit="1" customWidth="1"/>
    <col min="4" max="4" width="8.28515625" bestFit="1" customWidth="1"/>
    <col min="5" max="5" width="18.5703125" bestFit="1" customWidth="1"/>
    <col min="6" max="6" width="14.7109375" bestFit="1" customWidth="1"/>
    <col min="7" max="7" width="6.85546875" bestFit="1" customWidth="1"/>
    <col min="8" max="8" width="19" customWidth="1"/>
    <col min="9" max="9" width="8.5703125" bestFit="1" customWidth="1"/>
    <col min="10" max="10" width="6.140625" bestFit="1" customWidth="1"/>
    <col min="11" max="11" width="8.140625" bestFit="1" customWidth="1"/>
    <col min="12" max="12" width="5.7109375" bestFit="1" customWidth="1"/>
    <col min="13" max="13" width="9.7109375" bestFit="1" customWidth="1"/>
    <col min="16277" max="16277" width="0" hidden="1" customWidth="1"/>
  </cols>
  <sheetData>
    <row r="1" spans="1:13 16277:16277" ht="24.95" customHeight="1">
      <c r="A1" s="140" t="s">
        <v>61</v>
      </c>
      <c r="B1" s="140"/>
      <c r="C1" s="140"/>
      <c r="D1" s="140"/>
      <c r="E1" s="140"/>
      <c r="F1" s="140"/>
      <c r="G1" s="140"/>
      <c r="H1" s="16"/>
      <c r="I1" s="141"/>
      <c r="J1" s="141"/>
      <c r="K1" s="141"/>
      <c r="L1" s="141"/>
      <c r="M1" s="141"/>
      <c r="XBA1">
        <v>4174</v>
      </c>
    </row>
    <row r="2" spans="1:13 16277:16277" s="10" customFormat="1">
      <c r="A2" s="17" t="s">
        <v>65</v>
      </c>
      <c r="B2" s="18" t="s">
        <v>66</v>
      </c>
      <c r="C2" s="18" t="s">
        <v>67</v>
      </c>
      <c r="D2" s="18" t="s">
        <v>68</v>
      </c>
      <c r="E2" s="18" t="s">
        <v>69</v>
      </c>
      <c r="F2" s="18" t="s">
        <v>70</v>
      </c>
      <c r="G2" s="18" t="s">
        <v>71</v>
      </c>
      <c r="H2" s="19" t="s">
        <v>24</v>
      </c>
      <c r="I2" s="18" t="s">
        <v>72</v>
      </c>
      <c r="J2" s="21" t="s">
        <v>73</v>
      </c>
      <c r="K2" s="21" t="s">
        <v>74</v>
      </c>
      <c r="L2" s="22" t="s">
        <v>23</v>
      </c>
      <c r="M2" s="20" t="s">
        <v>75</v>
      </c>
    </row>
    <row r="3" spans="1:13 16277:16277">
      <c r="A3" s="98">
        <v>43346</v>
      </c>
      <c r="B3" s="11" t="s">
        <v>14</v>
      </c>
      <c r="C3" s="11" t="s">
        <v>76</v>
      </c>
      <c r="D3" s="11" t="s">
        <v>77</v>
      </c>
      <c r="E3" s="11" t="s">
        <v>5</v>
      </c>
      <c r="F3" s="11" t="s">
        <v>78</v>
      </c>
      <c r="G3" s="11" t="s">
        <v>79</v>
      </c>
      <c r="H3" s="12">
        <v>1.18</v>
      </c>
      <c r="I3" s="13"/>
      <c r="J3" s="12">
        <v>0.05</v>
      </c>
      <c r="K3" s="14">
        <v>3</v>
      </c>
      <c r="L3" s="11" t="s">
        <v>604</v>
      </c>
      <c r="M3" s="15" t="s">
        <v>81</v>
      </c>
    </row>
    <row r="4" spans="1:13 16277:16277">
      <c r="A4" s="98">
        <v>43347</v>
      </c>
      <c r="B4" s="11" t="s">
        <v>14</v>
      </c>
      <c r="C4" s="11" t="s">
        <v>76</v>
      </c>
      <c r="D4" s="11" t="s">
        <v>77</v>
      </c>
      <c r="E4" s="11" t="s">
        <v>5</v>
      </c>
      <c r="F4" s="11" t="s">
        <v>78</v>
      </c>
      <c r="G4" s="11" t="s">
        <v>79</v>
      </c>
      <c r="H4" s="12">
        <v>0.25</v>
      </c>
      <c r="I4" s="13"/>
      <c r="J4" s="12">
        <v>0.05</v>
      </c>
      <c r="K4" s="14">
        <v>3</v>
      </c>
      <c r="L4" s="11" t="s">
        <v>604</v>
      </c>
      <c r="M4" s="15" t="s">
        <v>82</v>
      </c>
    </row>
    <row r="5" spans="1:13 16277:16277">
      <c r="A5" s="98">
        <v>43348</v>
      </c>
      <c r="B5" s="11" t="s">
        <v>14</v>
      </c>
      <c r="C5" s="11" t="s">
        <v>76</v>
      </c>
      <c r="D5" s="11" t="s">
        <v>77</v>
      </c>
      <c r="E5" s="11" t="s">
        <v>5</v>
      </c>
      <c r="F5" s="11" t="s">
        <v>78</v>
      </c>
      <c r="G5" s="11" t="s">
        <v>79</v>
      </c>
      <c r="H5" s="12">
        <v>0.62</v>
      </c>
      <c r="I5" s="13"/>
      <c r="J5" s="12">
        <v>0.05</v>
      </c>
      <c r="K5" s="14">
        <v>3</v>
      </c>
      <c r="L5" s="11" t="s">
        <v>604</v>
      </c>
      <c r="M5" s="15" t="s">
        <v>83</v>
      </c>
    </row>
    <row r="6" spans="1:13 16277:16277">
      <c r="A6" s="98">
        <v>43353</v>
      </c>
      <c r="B6" s="11" t="s">
        <v>14</v>
      </c>
      <c r="C6" s="11" t="s">
        <v>76</v>
      </c>
      <c r="D6" s="11" t="s">
        <v>77</v>
      </c>
      <c r="E6" s="11" t="s">
        <v>5</v>
      </c>
      <c r="F6" s="11" t="s">
        <v>78</v>
      </c>
      <c r="G6" s="11" t="s">
        <v>79</v>
      </c>
      <c r="H6" s="12">
        <v>0.27</v>
      </c>
      <c r="I6" s="13"/>
      <c r="J6" s="12">
        <v>0.05</v>
      </c>
      <c r="K6" s="14">
        <v>3</v>
      </c>
      <c r="L6" s="11" t="s">
        <v>604</v>
      </c>
      <c r="M6" s="15" t="s">
        <v>84</v>
      </c>
    </row>
    <row r="7" spans="1:13 16277:16277">
      <c r="A7" s="98">
        <v>43354</v>
      </c>
      <c r="B7" s="11" t="s">
        <v>14</v>
      </c>
      <c r="C7" s="11" t="s">
        <v>76</v>
      </c>
      <c r="D7" s="11" t="s">
        <v>77</v>
      </c>
      <c r="E7" s="11" t="s">
        <v>5</v>
      </c>
      <c r="F7" s="11" t="s">
        <v>78</v>
      </c>
      <c r="G7" s="11" t="s">
        <v>79</v>
      </c>
      <c r="H7" s="12">
        <v>0.34</v>
      </c>
      <c r="I7" s="13"/>
      <c r="J7" s="12">
        <v>0.05</v>
      </c>
      <c r="K7" s="14">
        <v>3</v>
      </c>
      <c r="L7" s="11" t="s">
        <v>604</v>
      </c>
      <c r="M7" s="15" t="s">
        <v>85</v>
      </c>
    </row>
    <row r="8" spans="1:13 16277:16277">
      <c r="A8" s="98">
        <v>43355</v>
      </c>
      <c r="B8" s="11" t="s">
        <v>14</v>
      </c>
      <c r="C8" s="11" t="s">
        <v>76</v>
      </c>
      <c r="D8" s="11" t="s">
        <v>77</v>
      </c>
      <c r="E8" s="11" t="s">
        <v>5</v>
      </c>
      <c r="F8" s="11" t="s">
        <v>78</v>
      </c>
      <c r="G8" s="11" t="s">
        <v>79</v>
      </c>
      <c r="H8" s="12">
        <v>0.33</v>
      </c>
      <c r="I8" s="13"/>
      <c r="J8" s="12">
        <v>0.05</v>
      </c>
      <c r="K8" s="14">
        <v>3</v>
      </c>
      <c r="L8" s="11" t="s">
        <v>604</v>
      </c>
      <c r="M8" s="15" t="s">
        <v>86</v>
      </c>
    </row>
    <row r="9" spans="1:13 16277:16277">
      <c r="A9" s="98">
        <v>43360</v>
      </c>
      <c r="B9" s="11" t="s">
        <v>14</v>
      </c>
      <c r="C9" s="11" t="s">
        <v>76</v>
      </c>
      <c r="D9" s="11" t="s">
        <v>77</v>
      </c>
      <c r="E9" s="11" t="s">
        <v>5</v>
      </c>
      <c r="F9" s="11" t="s">
        <v>78</v>
      </c>
      <c r="G9" s="11" t="s">
        <v>79</v>
      </c>
      <c r="H9" s="12">
        <v>0.33</v>
      </c>
      <c r="I9" s="13"/>
      <c r="J9" s="12">
        <v>0.05</v>
      </c>
      <c r="K9" s="14">
        <v>3</v>
      </c>
      <c r="L9" s="11" t="s">
        <v>604</v>
      </c>
      <c r="M9" s="15" t="s">
        <v>87</v>
      </c>
    </row>
    <row r="10" spans="1:13 16277:16277">
      <c r="A10" s="98">
        <v>43361</v>
      </c>
      <c r="B10" s="11" t="s">
        <v>14</v>
      </c>
      <c r="C10" s="11" t="s">
        <v>76</v>
      </c>
      <c r="D10" s="11" t="s">
        <v>77</v>
      </c>
      <c r="E10" s="11" t="s">
        <v>5</v>
      </c>
      <c r="F10" s="11" t="s">
        <v>78</v>
      </c>
      <c r="G10" s="11" t="s">
        <v>79</v>
      </c>
      <c r="H10" s="12">
        <v>0.36</v>
      </c>
      <c r="I10" s="13"/>
      <c r="J10" s="12">
        <v>0.05</v>
      </c>
      <c r="K10" s="14">
        <v>3</v>
      </c>
      <c r="L10" s="11" t="s">
        <v>604</v>
      </c>
      <c r="M10" s="15" t="s">
        <v>88</v>
      </c>
    </row>
    <row r="11" spans="1:13 16277:16277">
      <c r="A11" s="98">
        <v>43362</v>
      </c>
      <c r="B11" s="11" t="s">
        <v>14</v>
      </c>
      <c r="C11" s="11" t="s">
        <v>76</v>
      </c>
      <c r="D11" s="11" t="s">
        <v>77</v>
      </c>
      <c r="E11" s="11" t="s">
        <v>5</v>
      </c>
      <c r="F11" s="11" t="s">
        <v>78</v>
      </c>
      <c r="G11" s="11" t="s">
        <v>79</v>
      </c>
      <c r="H11" s="12">
        <v>0.52</v>
      </c>
      <c r="I11" s="13"/>
      <c r="J11" s="12">
        <v>0.05</v>
      </c>
      <c r="K11" s="14">
        <v>3</v>
      </c>
      <c r="L11" s="11" t="s">
        <v>604</v>
      </c>
      <c r="M11" s="15" t="s">
        <v>89</v>
      </c>
    </row>
    <row r="12" spans="1:13 16277:16277">
      <c r="A12" s="98">
        <v>43367</v>
      </c>
      <c r="B12" s="11" t="s">
        <v>14</v>
      </c>
      <c r="C12" s="11" t="s">
        <v>76</v>
      </c>
      <c r="D12" s="11" t="s">
        <v>77</v>
      </c>
      <c r="E12" s="11" t="s">
        <v>5</v>
      </c>
      <c r="F12" s="11" t="s">
        <v>78</v>
      </c>
      <c r="G12" s="11" t="s">
        <v>79</v>
      </c>
      <c r="H12" s="12">
        <v>0.28000000000000003</v>
      </c>
      <c r="I12" s="13"/>
      <c r="J12" s="12">
        <v>0.05</v>
      </c>
      <c r="K12" s="14">
        <v>3</v>
      </c>
      <c r="L12" s="11" t="s">
        <v>604</v>
      </c>
      <c r="M12" s="15" t="s">
        <v>90</v>
      </c>
    </row>
    <row r="13" spans="1:13 16277:16277">
      <c r="A13" s="98">
        <v>43368</v>
      </c>
      <c r="B13" s="11" t="s">
        <v>14</v>
      </c>
      <c r="C13" s="11" t="s">
        <v>76</v>
      </c>
      <c r="D13" s="11" t="s">
        <v>77</v>
      </c>
      <c r="E13" s="11" t="s">
        <v>5</v>
      </c>
      <c r="F13" s="11" t="s">
        <v>78</v>
      </c>
      <c r="G13" s="11" t="s">
        <v>79</v>
      </c>
      <c r="H13" s="12">
        <v>0.22</v>
      </c>
      <c r="I13" s="13"/>
      <c r="J13" s="12">
        <v>0.05</v>
      </c>
      <c r="K13" s="14">
        <v>3</v>
      </c>
      <c r="L13" s="11" t="s">
        <v>604</v>
      </c>
      <c r="M13" s="15" t="s">
        <v>91</v>
      </c>
    </row>
    <row r="14" spans="1:13 16277:16277">
      <c r="A14" s="98">
        <v>43369</v>
      </c>
      <c r="B14" s="11" t="s">
        <v>14</v>
      </c>
      <c r="C14" s="11" t="s">
        <v>76</v>
      </c>
      <c r="D14" s="11" t="s">
        <v>77</v>
      </c>
      <c r="E14" s="11" t="s">
        <v>5</v>
      </c>
      <c r="F14" s="11" t="s">
        <v>78</v>
      </c>
      <c r="G14" s="11" t="s">
        <v>79</v>
      </c>
      <c r="H14" s="12">
        <v>0.3</v>
      </c>
      <c r="I14" s="13"/>
      <c r="J14" s="12">
        <v>0.05</v>
      </c>
      <c r="K14" s="14">
        <v>3</v>
      </c>
      <c r="L14" s="11" t="s">
        <v>604</v>
      </c>
      <c r="M14" s="15" t="s">
        <v>92</v>
      </c>
    </row>
    <row r="15" spans="1:13 16277:16277">
      <c r="A15" s="98">
        <v>43374</v>
      </c>
      <c r="B15" s="11" t="s">
        <v>14</v>
      </c>
      <c r="C15" s="11" t="s">
        <v>76</v>
      </c>
      <c r="D15" s="11" t="s">
        <v>77</v>
      </c>
      <c r="E15" s="11" t="s">
        <v>5</v>
      </c>
      <c r="F15" s="11" t="s">
        <v>78</v>
      </c>
      <c r="G15" s="11" t="s">
        <v>79</v>
      </c>
      <c r="H15" s="12">
        <v>0.26</v>
      </c>
      <c r="I15" s="13"/>
      <c r="J15" s="12">
        <v>0.05</v>
      </c>
      <c r="K15" s="14">
        <v>3</v>
      </c>
      <c r="L15" s="11" t="s">
        <v>604</v>
      </c>
      <c r="M15" s="15" t="s">
        <v>93</v>
      </c>
    </row>
    <row r="16" spans="1:13 16277:16277">
      <c r="A16" s="98">
        <v>43375</v>
      </c>
      <c r="B16" s="11" t="s">
        <v>14</v>
      </c>
      <c r="C16" s="11" t="s">
        <v>76</v>
      </c>
      <c r="D16" s="11" t="s">
        <v>77</v>
      </c>
      <c r="E16" s="11" t="s">
        <v>5</v>
      </c>
      <c r="F16" s="11" t="s">
        <v>78</v>
      </c>
      <c r="G16" s="11" t="s">
        <v>79</v>
      </c>
      <c r="H16" s="12">
        <v>0.3</v>
      </c>
      <c r="I16" s="13"/>
      <c r="J16" s="12">
        <v>0.05</v>
      </c>
      <c r="K16" s="14">
        <v>3</v>
      </c>
      <c r="L16" s="11" t="s">
        <v>604</v>
      </c>
      <c r="M16" s="15" t="s">
        <v>94</v>
      </c>
    </row>
    <row r="17" spans="1:13">
      <c r="A17" s="98">
        <v>43376</v>
      </c>
      <c r="B17" s="11" t="s">
        <v>14</v>
      </c>
      <c r="C17" s="11" t="s">
        <v>76</v>
      </c>
      <c r="D17" s="11" t="s">
        <v>77</v>
      </c>
      <c r="E17" s="11" t="s">
        <v>5</v>
      </c>
      <c r="F17" s="11" t="s">
        <v>78</v>
      </c>
      <c r="G17" s="11" t="s">
        <v>79</v>
      </c>
      <c r="H17" s="12">
        <v>0.18</v>
      </c>
      <c r="I17" s="13"/>
      <c r="J17" s="12">
        <v>0.05</v>
      </c>
      <c r="K17" s="14">
        <v>3</v>
      </c>
      <c r="L17" s="11" t="s">
        <v>604</v>
      </c>
      <c r="M17" s="15" t="s">
        <v>95</v>
      </c>
    </row>
    <row r="18" spans="1:13">
      <c r="A18" s="98">
        <v>43381</v>
      </c>
      <c r="B18" s="11" t="s">
        <v>14</v>
      </c>
      <c r="C18" s="11" t="s">
        <v>76</v>
      </c>
      <c r="D18" s="11" t="s">
        <v>77</v>
      </c>
      <c r="E18" s="11" t="s">
        <v>5</v>
      </c>
      <c r="F18" s="11" t="s">
        <v>78</v>
      </c>
      <c r="G18" s="11" t="s">
        <v>79</v>
      </c>
      <c r="H18" s="12">
        <v>0.2</v>
      </c>
      <c r="I18" s="13"/>
      <c r="J18" s="12">
        <v>0.05</v>
      </c>
      <c r="K18" s="14">
        <v>3</v>
      </c>
      <c r="L18" s="11" t="s">
        <v>604</v>
      </c>
      <c r="M18" s="15" t="s">
        <v>96</v>
      </c>
    </row>
    <row r="19" spans="1:13">
      <c r="A19" s="98">
        <v>43382</v>
      </c>
      <c r="B19" s="11" t="s">
        <v>14</v>
      </c>
      <c r="C19" s="11" t="s">
        <v>76</v>
      </c>
      <c r="D19" s="11" t="s">
        <v>77</v>
      </c>
      <c r="E19" s="11" t="s">
        <v>5</v>
      </c>
      <c r="F19" s="11" t="s">
        <v>78</v>
      </c>
      <c r="G19" s="11" t="s">
        <v>79</v>
      </c>
      <c r="H19" s="12">
        <v>0.38</v>
      </c>
      <c r="I19" s="13"/>
      <c r="J19" s="12">
        <v>0.05</v>
      </c>
      <c r="K19" s="14">
        <v>3</v>
      </c>
      <c r="L19" s="11" t="s">
        <v>604</v>
      </c>
      <c r="M19" s="15" t="s">
        <v>97</v>
      </c>
    </row>
    <row r="20" spans="1:13">
      <c r="A20" s="98">
        <v>43383</v>
      </c>
      <c r="B20" s="11" t="s">
        <v>14</v>
      </c>
      <c r="C20" s="11" t="s">
        <v>76</v>
      </c>
      <c r="D20" s="11" t="s">
        <v>77</v>
      </c>
      <c r="E20" s="11" t="s">
        <v>5</v>
      </c>
      <c r="F20" s="11" t="s">
        <v>78</v>
      </c>
      <c r="G20" s="11" t="s">
        <v>79</v>
      </c>
      <c r="H20" s="12">
        <v>0.3</v>
      </c>
      <c r="I20" s="13"/>
      <c r="J20" s="12">
        <v>0.05</v>
      </c>
      <c r="K20" s="14">
        <v>3</v>
      </c>
      <c r="L20" s="11" t="s">
        <v>604</v>
      </c>
      <c r="M20" s="15" t="s">
        <v>98</v>
      </c>
    </row>
    <row r="21" spans="1:13">
      <c r="A21" s="98">
        <v>43388</v>
      </c>
      <c r="B21" s="11" t="s">
        <v>14</v>
      </c>
      <c r="C21" s="11" t="s">
        <v>76</v>
      </c>
      <c r="D21" s="11" t="s">
        <v>77</v>
      </c>
      <c r="E21" s="11" t="s">
        <v>5</v>
      </c>
      <c r="F21" s="11" t="s">
        <v>78</v>
      </c>
      <c r="G21" s="11" t="s">
        <v>79</v>
      </c>
      <c r="H21" s="12">
        <v>0.21</v>
      </c>
      <c r="I21" s="13"/>
      <c r="J21" s="12">
        <v>0.05</v>
      </c>
      <c r="K21" s="14">
        <v>3</v>
      </c>
      <c r="L21" s="11" t="s">
        <v>604</v>
      </c>
      <c r="M21" s="15" t="s">
        <v>99</v>
      </c>
    </row>
    <row r="22" spans="1:13">
      <c r="A22" s="98">
        <v>43389</v>
      </c>
      <c r="B22" s="11" t="s">
        <v>14</v>
      </c>
      <c r="C22" s="11" t="s">
        <v>76</v>
      </c>
      <c r="D22" s="11" t="s">
        <v>77</v>
      </c>
      <c r="E22" s="11" t="s">
        <v>5</v>
      </c>
      <c r="F22" s="11" t="s">
        <v>78</v>
      </c>
      <c r="G22" s="11" t="s">
        <v>79</v>
      </c>
      <c r="H22" s="12">
        <v>0.2</v>
      </c>
      <c r="I22" s="13"/>
      <c r="J22" s="12">
        <v>0.05</v>
      </c>
      <c r="K22" s="14">
        <v>3</v>
      </c>
      <c r="L22" s="11" t="s">
        <v>604</v>
      </c>
      <c r="M22" s="15" t="s">
        <v>100</v>
      </c>
    </row>
    <row r="23" spans="1:13">
      <c r="A23" s="98">
        <v>43390</v>
      </c>
      <c r="B23" s="11" t="s">
        <v>14</v>
      </c>
      <c r="C23" s="11" t="s">
        <v>76</v>
      </c>
      <c r="D23" s="11" t="s">
        <v>77</v>
      </c>
      <c r="E23" s="11" t="s">
        <v>5</v>
      </c>
      <c r="F23" s="11" t="s">
        <v>78</v>
      </c>
      <c r="G23" s="11" t="s">
        <v>79</v>
      </c>
      <c r="H23" s="12">
        <v>0.23</v>
      </c>
      <c r="I23" s="13"/>
      <c r="J23" s="12">
        <v>0.05</v>
      </c>
      <c r="K23" s="14">
        <v>3</v>
      </c>
      <c r="L23" s="11" t="s">
        <v>604</v>
      </c>
      <c r="M23" s="15" t="s">
        <v>101</v>
      </c>
    </row>
    <row r="24" spans="1:13">
      <c r="A24" s="98">
        <v>43395</v>
      </c>
      <c r="B24" s="11" t="s">
        <v>14</v>
      </c>
      <c r="C24" s="11" t="s">
        <v>76</v>
      </c>
      <c r="D24" s="11" t="s">
        <v>77</v>
      </c>
      <c r="E24" s="11" t="s">
        <v>5</v>
      </c>
      <c r="F24" s="11" t="s">
        <v>78</v>
      </c>
      <c r="G24" s="11" t="s">
        <v>79</v>
      </c>
      <c r="H24" s="12">
        <v>0.24</v>
      </c>
      <c r="I24" s="13"/>
      <c r="J24" s="12">
        <v>0.05</v>
      </c>
      <c r="K24" s="14">
        <v>3</v>
      </c>
      <c r="L24" s="11" t="s">
        <v>604</v>
      </c>
      <c r="M24" s="15" t="s">
        <v>102</v>
      </c>
    </row>
    <row r="25" spans="1:13">
      <c r="A25" s="98">
        <v>43396</v>
      </c>
      <c r="B25" s="11" t="s">
        <v>14</v>
      </c>
      <c r="C25" s="11" t="s">
        <v>76</v>
      </c>
      <c r="D25" s="11" t="s">
        <v>77</v>
      </c>
      <c r="E25" s="11" t="s">
        <v>5</v>
      </c>
      <c r="F25" s="11" t="s">
        <v>78</v>
      </c>
      <c r="G25" s="11" t="s">
        <v>79</v>
      </c>
      <c r="H25" s="12">
        <v>0.28000000000000003</v>
      </c>
      <c r="I25" s="13"/>
      <c r="J25" s="12">
        <v>0.05</v>
      </c>
      <c r="K25" s="14">
        <v>3</v>
      </c>
      <c r="L25" s="11" t="s">
        <v>604</v>
      </c>
      <c r="M25" s="15" t="s">
        <v>103</v>
      </c>
    </row>
    <row r="26" spans="1:13">
      <c r="A26" s="98">
        <v>43397</v>
      </c>
      <c r="B26" s="11" t="s">
        <v>14</v>
      </c>
      <c r="C26" s="11" t="s">
        <v>76</v>
      </c>
      <c r="D26" s="11" t="s">
        <v>77</v>
      </c>
      <c r="E26" s="11" t="s">
        <v>5</v>
      </c>
      <c r="F26" s="11" t="s">
        <v>78</v>
      </c>
      <c r="G26" s="11" t="s">
        <v>79</v>
      </c>
      <c r="H26" s="12">
        <v>0.28000000000000003</v>
      </c>
      <c r="I26" s="13"/>
      <c r="J26" s="12">
        <v>0.05</v>
      </c>
      <c r="K26" s="14">
        <v>3</v>
      </c>
      <c r="L26" s="11" t="s">
        <v>604</v>
      </c>
      <c r="M26" s="15" t="s">
        <v>104</v>
      </c>
    </row>
    <row r="27" spans="1:13">
      <c r="A27" s="98">
        <v>43402</v>
      </c>
      <c r="B27" s="11" t="s">
        <v>14</v>
      </c>
      <c r="C27" s="11" t="s">
        <v>76</v>
      </c>
      <c r="D27" s="11" t="s">
        <v>77</v>
      </c>
      <c r="E27" s="11" t="s">
        <v>5</v>
      </c>
      <c r="F27" s="11" t="s">
        <v>78</v>
      </c>
      <c r="G27" s="11" t="s">
        <v>79</v>
      </c>
      <c r="H27" s="12">
        <v>0.24</v>
      </c>
      <c r="I27" s="13"/>
      <c r="J27" s="12">
        <v>0.05</v>
      </c>
      <c r="K27" s="14">
        <v>3</v>
      </c>
      <c r="L27" s="11" t="s">
        <v>604</v>
      </c>
      <c r="M27" s="15" t="s">
        <v>105</v>
      </c>
    </row>
    <row r="28" spans="1:13">
      <c r="A28" s="98">
        <v>43403</v>
      </c>
      <c r="B28" s="11" t="s">
        <v>14</v>
      </c>
      <c r="C28" s="11" t="s">
        <v>76</v>
      </c>
      <c r="D28" s="11" t="s">
        <v>77</v>
      </c>
      <c r="E28" s="11" t="s">
        <v>5</v>
      </c>
      <c r="F28" s="11" t="s">
        <v>78</v>
      </c>
      <c r="G28" s="11" t="s">
        <v>79</v>
      </c>
      <c r="H28" s="12">
        <v>0.5</v>
      </c>
      <c r="I28" s="13"/>
      <c r="J28" s="12">
        <v>0.05</v>
      </c>
      <c r="K28" s="14">
        <v>3</v>
      </c>
      <c r="L28" s="11" t="s">
        <v>604</v>
      </c>
      <c r="M28" s="15" t="s">
        <v>106</v>
      </c>
    </row>
    <row r="29" spans="1:13">
      <c r="A29" s="98">
        <v>43404</v>
      </c>
      <c r="B29" s="11" t="s">
        <v>14</v>
      </c>
      <c r="C29" s="11" t="s">
        <v>76</v>
      </c>
      <c r="D29" s="11" t="s">
        <v>77</v>
      </c>
      <c r="E29" s="11" t="s">
        <v>5</v>
      </c>
      <c r="F29" s="11" t="s">
        <v>78</v>
      </c>
      <c r="G29" s="11" t="s">
        <v>79</v>
      </c>
      <c r="H29" s="12">
        <v>0.21</v>
      </c>
      <c r="I29" s="13"/>
      <c r="J29" s="12">
        <v>0.05</v>
      </c>
      <c r="K29" s="14">
        <v>3</v>
      </c>
      <c r="L29" s="11" t="s">
        <v>604</v>
      </c>
      <c r="M29" s="15" t="s">
        <v>107</v>
      </c>
    </row>
    <row r="30" spans="1:13">
      <c r="A30" s="98">
        <v>43409</v>
      </c>
      <c r="B30" s="11" t="s">
        <v>14</v>
      </c>
      <c r="C30" s="11" t="s">
        <v>76</v>
      </c>
      <c r="D30" s="11" t="s">
        <v>77</v>
      </c>
      <c r="E30" s="11" t="s">
        <v>5</v>
      </c>
      <c r="F30" s="11" t="s">
        <v>78</v>
      </c>
      <c r="G30" s="11" t="s">
        <v>79</v>
      </c>
      <c r="H30" s="12">
        <v>0.91</v>
      </c>
      <c r="I30" s="13"/>
      <c r="J30" s="12">
        <v>0.05</v>
      </c>
      <c r="K30" s="14">
        <v>3</v>
      </c>
      <c r="L30" s="11" t="s">
        <v>604</v>
      </c>
      <c r="M30" s="15" t="s">
        <v>108</v>
      </c>
    </row>
    <row r="31" spans="1:13">
      <c r="A31" s="98">
        <v>43410</v>
      </c>
      <c r="B31" s="11" t="s">
        <v>14</v>
      </c>
      <c r="C31" s="11" t="s">
        <v>76</v>
      </c>
      <c r="D31" s="11" t="s">
        <v>77</v>
      </c>
      <c r="E31" s="11" t="s">
        <v>5</v>
      </c>
      <c r="F31" s="11" t="s">
        <v>78</v>
      </c>
      <c r="G31" s="11" t="s">
        <v>79</v>
      </c>
      <c r="H31" s="12">
        <v>0.76</v>
      </c>
      <c r="I31" s="13"/>
      <c r="J31" s="12">
        <v>0.05</v>
      </c>
      <c r="K31" s="14">
        <v>3</v>
      </c>
      <c r="L31" s="11" t="s">
        <v>604</v>
      </c>
      <c r="M31" s="15" t="s">
        <v>109</v>
      </c>
    </row>
    <row r="32" spans="1:13">
      <c r="A32" s="98">
        <v>43411</v>
      </c>
      <c r="B32" s="11" t="s">
        <v>14</v>
      </c>
      <c r="C32" s="11" t="s">
        <v>76</v>
      </c>
      <c r="D32" s="11" t="s">
        <v>77</v>
      </c>
      <c r="E32" s="11" t="s">
        <v>5</v>
      </c>
      <c r="F32" s="11" t="s">
        <v>78</v>
      </c>
      <c r="G32" s="11" t="s">
        <v>79</v>
      </c>
      <c r="H32" s="12">
        <v>0.44</v>
      </c>
      <c r="I32" s="13"/>
      <c r="J32" s="12">
        <v>0.05</v>
      </c>
      <c r="K32" s="14">
        <v>3</v>
      </c>
      <c r="L32" s="11" t="s">
        <v>604</v>
      </c>
      <c r="M32" s="15" t="s">
        <v>110</v>
      </c>
    </row>
    <row r="33" spans="1:13">
      <c r="A33" s="98">
        <v>43416</v>
      </c>
      <c r="B33" s="11" t="s">
        <v>14</v>
      </c>
      <c r="C33" s="11" t="s">
        <v>76</v>
      </c>
      <c r="D33" s="11" t="s">
        <v>77</v>
      </c>
      <c r="E33" s="11" t="s">
        <v>5</v>
      </c>
      <c r="F33" s="11" t="s">
        <v>78</v>
      </c>
      <c r="G33" s="11" t="s">
        <v>79</v>
      </c>
      <c r="H33" s="12">
        <v>1.35</v>
      </c>
      <c r="I33" s="13"/>
      <c r="J33" s="12">
        <v>0.05</v>
      </c>
      <c r="K33" s="14">
        <v>3</v>
      </c>
      <c r="L33" s="11" t="s">
        <v>604</v>
      </c>
      <c r="M33" s="15" t="s">
        <v>111</v>
      </c>
    </row>
    <row r="34" spans="1:13">
      <c r="A34" s="98">
        <v>43417</v>
      </c>
      <c r="B34" s="11" t="s">
        <v>14</v>
      </c>
      <c r="C34" s="11" t="s">
        <v>76</v>
      </c>
      <c r="D34" s="11" t="s">
        <v>77</v>
      </c>
      <c r="E34" s="11" t="s">
        <v>5</v>
      </c>
      <c r="F34" s="11" t="s">
        <v>78</v>
      </c>
      <c r="G34" s="11" t="s">
        <v>79</v>
      </c>
      <c r="H34" s="12">
        <v>0.47</v>
      </c>
      <c r="I34" s="13"/>
      <c r="J34" s="12">
        <v>0.05</v>
      </c>
      <c r="K34" s="14">
        <v>3</v>
      </c>
      <c r="L34" s="11" t="s">
        <v>604</v>
      </c>
      <c r="M34" s="15" t="s">
        <v>112</v>
      </c>
    </row>
    <row r="35" spans="1:13">
      <c r="A35" s="98">
        <v>43418</v>
      </c>
      <c r="B35" s="11" t="s">
        <v>14</v>
      </c>
      <c r="C35" s="11" t="s">
        <v>76</v>
      </c>
      <c r="D35" s="11" t="s">
        <v>77</v>
      </c>
      <c r="E35" s="11" t="s">
        <v>5</v>
      </c>
      <c r="F35" s="11" t="s">
        <v>78</v>
      </c>
      <c r="G35" s="11" t="s">
        <v>79</v>
      </c>
      <c r="H35" s="12">
        <v>0.93</v>
      </c>
      <c r="I35" s="13"/>
      <c r="J35" s="12">
        <v>0.05</v>
      </c>
      <c r="K35" s="14">
        <v>3</v>
      </c>
      <c r="L35" s="11" t="s">
        <v>604</v>
      </c>
      <c r="M35" s="15" t="s">
        <v>113</v>
      </c>
    </row>
    <row r="36" spans="1:13">
      <c r="A36" s="98">
        <v>43423</v>
      </c>
      <c r="B36" s="11" t="s">
        <v>14</v>
      </c>
      <c r="C36" s="11" t="s">
        <v>76</v>
      </c>
      <c r="D36" s="11" t="s">
        <v>77</v>
      </c>
      <c r="E36" s="11" t="s">
        <v>5</v>
      </c>
      <c r="F36" s="11" t="s">
        <v>78</v>
      </c>
      <c r="G36" s="11" t="s">
        <v>79</v>
      </c>
      <c r="H36" s="12">
        <v>0.86</v>
      </c>
      <c r="I36" s="13"/>
      <c r="J36" s="12">
        <v>0.05</v>
      </c>
      <c r="K36" s="14">
        <v>3</v>
      </c>
      <c r="L36" s="11" t="s">
        <v>604</v>
      </c>
      <c r="M36" s="15" t="s">
        <v>114</v>
      </c>
    </row>
    <row r="37" spans="1:13">
      <c r="A37" s="98">
        <v>43424</v>
      </c>
      <c r="B37" s="11" t="s">
        <v>14</v>
      </c>
      <c r="C37" s="11" t="s">
        <v>76</v>
      </c>
      <c r="D37" s="11" t="s">
        <v>77</v>
      </c>
      <c r="E37" s="11" t="s">
        <v>5</v>
      </c>
      <c r="F37" s="11" t="s">
        <v>78</v>
      </c>
      <c r="G37" s="11" t="s">
        <v>79</v>
      </c>
      <c r="H37" s="12">
        <v>0.35</v>
      </c>
      <c r="I37" s="13"/>
      <c r="J37" s="12">
        <v>0.05</v>
      </c>
      <c r="K37" s="14">
        <v>3</v>
      </c>
      <c r="L37" s="11" t="s">
        <v>604</v>
      </c>
      <c r="M37" s="15" t="s">
        <v>115</v>
      </c>
    </row>
    <row r="38" spans="1:13">
      <c r="A38" s="98">
        <v>43425</v>
      </c>
      <c r="B38" s="11" t="s">
        <v>14</v>
      </c>
      <c r="C38" s="11" t="s">
        <v>76</v>
      </c>
      <c r="D38" s="11" t="s">
        <v>77</v>
      </c>
      <c r="E38" s="11" t="s">
        <v>5</v>
      </c>
      <c r="F38" s="11" t="s">
        <v>78</v>
      </c>
      <c r="G38" s="11" t="s">
        <v>79</v>
      </c>
      <c r="H38" s="12">
        <v>0.28000000000000003</v>
      </c>
      <c r="I38" s="13"/>
      <c r="J38" s="12">
        <v>0.05</v>
      </c>
      <c r="K38" s="14">
        <v>3</v>
      </c>
      <c r="L38" s="11" t="s">
        <v>604</v>
      </c>
      <c r="M38" s="15" t="s">
        <v>116</v>
      </c>
    </row>
    <row r="39" spans="1:13">
      <c r="A39" s="98">
        <v>43430</v>
      </c>
      <c r="B39" s="11" t="s">
        <v>14</v>
      </c>
      <c r="C39" s="11" t="s">
        <v>76</v>
      </c>
      <c r="D39" s="11" t="s">
        <v>77</v>
      </c>
      <c r="E39" s="11" t="s">
        <v>5</v>
      </c>
      <c r="F39" s="11" t="s">
        <v>78</v>
      </c>
      <c r="G39" s="11" t="s">
        <v>79</v>
      </c>
      <c r="H39" s="12">
        <v>0.13</v>
      </c>
      <c r="I39" s="13"/>
      <c r="J39" s="12">
        <v>0.05</v>
      </c>
      <c r="K39" s="14">
        <v>3</v>
      </c>
      <c r="L39" s="11" t="s">
        <v>604</v>
      </c>
      <c r="M39" s="15" t="s">
        <v>117</v>
      </c>
    </row>
    <row r="40" spans="1:13">
      <c r="A40" s="98">
        <v>43431</v>
      </c>
      <c r="B40" s="11" t="s">
        <v>14</v>
      </c>
      <c r="C40" s="11" t="s">
        <v>76</v>
      </c>
      <c r="D40" s="11" t="s">
        <v>77</v>
      </c>
      <c r="E40" s="11" t="s">
        <v>5</v>
      </c>
      <c r="F40" s="11" t="s">
        <v>78</v>
      </c>
      <c r="G40" s="11" t="s">
        <v>79</v>
      </c>
      <c r="H40" s="12">
        <v>0.99</v>
      </c>
      <c r="I40" s="13"/>
      <c r="J40" s="12">
        <v>0.05</v>
      </c>
      <c r="K40" s="14">
        <v>3</v>
      </c>
      <c r="L40" s="11" t="s">
        <v>604</v>
      </c>
      <c r="M40" s="15" t="s">
        <v>118</v>
      </c>
    </row>
    <row r="41" spans="1:13">
      <c r="A41" s="98">
        <v>43432</v>
      </c>
      <c r="B41" s="11" t="s">
        <v>14</v>
      </c>
      <c r="C41" s="11" t="s">
        <v>76</v>
      </c>
      <c r="D41" s="11" t="s">
        <v>77</v>
      </c>
      <c r="E41" s="11" t="s">
        <v>5</v>
      </c>
      <c r="F41" s="11" t="s">
        <v>78</v>
      </c>
      <c r="G41" s="11" t="s">
        <v>79</v>
      </c>
      <c r="H41" s="12">
        <v>0.94</v>
      </c>
      <c r="I41" s="13"/>
      <c r="J41" s="12">
        <v>0.05</v>
      </c>
      <c r="K41" s="14">
        <v>3</v>
      </c>
      <c r="L41" s="11" t="s">
        <v>604</v>
      </c>
      <c r="M41" s="15" t="s">
        <v>119</v>
      </c>
    </row>
    <row r="42" spans="1:13">
      <c r="A42" s="98">
        <v>43437</v>
      </c>
      <c r="B42" s="11" t="s">
        <v>14</v>
      </c>
      <c r="C42" s="11" t="s">
        <v>76</v>
      </c>
      <c r="D42" s="11" t="s">
        <v>77</v>
      </c>
      <c r="E42" s="11" t="s">
        <v>5</v>
      </c>
      <c r="F42" s="11" t="s">
        <v>78</v>
      </c>
      <c r="G42" s="11" t="s">
        <v>79</v>
      </c>
      <c r="H42" s="12">
        <v>1.71</v>
      </c>
      <c r="I42" s="13"/>
      <c r="J42" s="12">
        <v>0.05</v>
      </c>
      <c r="K42" s="14">
        <v>3</v>
      </c>
      <c r="L42" s="11" t="s">
        <v>604</v>
      </c>
      <c r="M42" s="15" t="s">
        <v>120</v>
      </c>
    </row>
    <row r="43" spans="1:13">
      <c r="A43" s="98">
        <v>43438</v>
      </c>
      <c r="B43" s="11" t="s">
        <v>14</v>
      </c>
      <c r="C43" s="11" t="s">
        <v>76</v>
      </c>
      <c r="D43" s="11" t="s">
        <v>77</v>
      </c>
      <c r="E43" s="11" t="s">
        <v>5</v>
      </c>
      <c r="F43" s="11" t="s">
        <v>78</v>
      </c>
      <c r="G43" s="11" t="s">
        <v>79</v>
      </c>
      <c r="H43" s="12">
        <v>0.43</v>
      </c>
      <c r="I43" s="13"/>
      <c r="J43" s="12">
        <v>0.05</v>
      </c>
      <c r="K43" s="14">
        <v>3</v>
      </c>
      <c r="L43" s="11" t="s">
        <v>604</v>
      </c>
      <c r="M43" s="15" t="s">
        <v>121</v>
      </c>
    </row>
    <row r="44" spans="1:13">
      <c r="A44" s="98">
        <v>43439</v>
      </c>
      <c r="B44" s="11" t="s">
        <v>14</v>
      </c>
      <c r="C44" s="11" t="s">
        <v>76</v>
      </c>
      <c r="D44" s="11" t="s">
        <v>77</v>
      </c>
      <c r="E44" s="11" t="s">
        <v>5</v>
      </c>
      <c r="F44" s="11" t="s">
        <v>78</v>
      </c>
      <c r="G44" s="11" t="s">
        <v>79</v>
      </c>
      <c r="H44" s="12">
        <v>0.12</v>
      </c>
      <c r="I44" s="13"/>
      <c r="J44" s="12">
        <v>0.05</v>
      </c>
      <c r="K44" s="14">
        <v>3</v>
      </c>
      <c r="L44" s="11" t="s">
        <v>604</v>
      </c>
      <c r="M44" s="15" t="s">
        <v>122</v>
      </c>
    </row>
    <row r="45" spans="1:13">
      <c r="A45" s="98">
        <v>43444</v>
      </c>
      <c r="B45" s="11" t="s">
        <v>14</v>
      </c>
      <c r="C45" s="11" t="s">
        <v>76</v>
      </c>
      <c r="D45" s="11" t="s">
        <v>77</v>
      </c>
      <c r="E45" s="11" t="s">
        <v>5</v>
      </c>
      <c r="F45" s="11" t="s">
        <v>78</v>
      </c>
      <c r="G45" s="11" t="s">
        <v>79</v>
      </c>
      <c r="H45" s="12">
        <v>0.56000000000000005</v>
      </c>
      <c r="I45" s="13"/>
      <c r="J45" s="12">
        <v>0.05</v>
      </c>
      <c r="K45" s="14">
        <v>3</v>
      </c>
      <c r="L45" s="11" t="s">
        <v>604</v>
      </c>
      <c r="M45" s="15" t="s">
        <v>123</v>
      </c>
    </row>
    <row r="46" spans="1:13">
      <c r="A46" s="98">
        <v>43445</v>
      </c>
      <c r="B46" s="11" t="s">
        <v>14</v>
      </c>
      <c r="C46" s="11" t="s">
        <v>76</v>
      </c>
      <c r="D46" s="11" t="s">
        <v>77</v>
      </c>
      <c r="E46" s="11" t="s">
        <v>5</v>
      </c>
      <c r="F46" s="11" t="s">
        <v>78</v>
      </c>
      <c r="G46" s="11" t="s">
        <v>79</v>
      </c>
      <c r="H46" s="12">
        <v>0.18</v>
      </c>
      <c r="I46" s="13"/>
      <c r="J46" s="12">
        <v>0.05</v>
      </c>
      <c r="K46" s="14">
        <v>3</v>
      </c>
      <c r="L46" s="11" t="s">
        <v>604</v>
      </c>
      <c r="M46" s="15" t="s">
        <v>124</v>
      </c>
    </row>
    <row r="47" spans="1:13">
      <c r="A47" s="98">
        <v>43446</v>
      </c>
      <c r="B47" s="11" t="s">
        <v>14</v>
      </c>
      <c r="C47" s="11" t="s">
        <v>76</v>
      </c>
      <c r="D47" s="11" t="s">
        <v>77</v>
      </c>
      <c r="E47" s="11" t="s">
        <v>5</v>
      </c>
      <c r="F47" s="11" t="s">
        <v>78</v>
      </c>
      <c r="G47" s="11" t="s">
        <v>79</v>
      </c>
      <c r="H47" s="12">
        <v>0.2</v>
      </c>
      <c r="I47" s="13"/>
      <c r="J47" s="12">
        <v>0.05</v>
      </c>
      <c r="K47" s="14">
        <v>3</v>
      </c>
      <c r="L47" s="11" t="s">
        <v>604</v>
      </c>
      <c r="M47" s="15" t="s">
        <v>125</v>
      </c>
    </row>
    <row r="48" spans="1:13">
      <c r="A48" s="98">
        <v>43451</v>
      </c>
      <c r="B48" s="11" t="s">
        <v>14</v>
      </c>
      <c r="C48" s="11" t="s">
        <v>76</v>
      </c>
      <c r="D48" s="11" t="s">
        <v>77</v>
      </c>
      <c r="E48" s="11" t="s">
        <v>5</v>
      </c>
      <c r="F48" s="11" t="s">
        <v>78</v>
      </c>
      <c r="G48" s="11" t="s">
        <v>79</v>
      </c>
      <c r="H48" s="12">
        <v>0.53</v>
      </c>
      <c r="I48" s="13"/>
      <c r="J48" s="12">
        <v>0.05</v>
      </c>
      <c r="K48" s="14">
        <v>3</v>
      </c>
      <c r="L48" s="11" t="s">
        <v>604</v>
      </c>
      <c r="M48" s="15" t="s">
        <v>126</v>
      </c>
    </row>
    <row r="49" spans="1:13">
      <c r="A49" s="98">
        <v>43452</v>
      </c>
      <c r="B49" s="11" t="s">
        <v>14</v>
      </c>
      <c r="C49" s="11" t="s">
        <v>76</v>
      </c>
      <c r="D49" s="11" t="s">
        <v>77</v>
      </c>
      <c r="E49" s="11" t="s">
        <v>5</v>
      </c>
      <c r="F49" s="11" t="s">
        <v>78</v>
      </c>
      <c r="G49" s="11" t="s">
        <v>79</v>
      </c>
      <c r="H49" s="12">
        <v>0.33</v>
      </c>
      <c r="I49" s="13"/>
      <c r="J49" s="12">
        <v>0.05</v>
      </c>
      <c r="K49" s="14">
        <v>3</v>
      </c>
      <c r="L49" s="11" t="s">
        <v>604</v>
      </c>
      <c r="M49" s="15" t="s">
        <v>127</v>
      </c>
    </row>
    <row r="50" spans="1:13">
      <c r="A50" s="98">
        <v>43453</v>
      </c>
      <c r="B50" s="11" t="s">
        <v>14</v>
      </c>
      <c r="C50" s="11" t="s">
        <v>76</v>
      </c>
      <c r="D50" s="11" t="s">
        <v>77</v>
      </c>
      <c r="E50" s="11" t="s">
        <v>5</v>
      </c>
      <c r="F50" s="11" t="s">
        <v>78</v>
      </c>
      <c r="G50" s="11" t="s">
        <v>79</v>
      </c>
      <c r="H50" s="12">
        <v>0.68</v>
      </c>
      <c r="I50" s="13"/>
      <c r="J50" s="12">
        <v>0.05</v>
      </c>
      <c r="K50" s="14">
        <v>3</v>
      </c>
      <c r="L50" s="11" t="s">
        <v>604</v>
      </c>
      <c r="M50" s="15" t="s">
        <v>128</v>
      </c>
    </row>
    <row r="51" spans="1:13">
      <c r="A51" s="98">
        <v>43458</v>
      </c>
      <c r="B51" s="11" t="s">
        <v>14</v>
      </c>
      <c r="C51" s="11" t="s">
        <v>76</v>
      </c>
      <c r="D51" s="11" t="s">
        <v>77</v>
      </c>
      <c r="E51" s="11" t="s">
        <v>5</v>
      </c>
      <c r="F51" s="11" t="s">
        <v>78</v>
      </c>
      <c r="G51" s="11" t="s">
        <v>79</v>
      </c>
      <c r="H51" s="12">
        <v>0.69</v>
      </c>
      <c r="I51" s="13"/>
      <c r="J51" s="12">
        <v>0.05</v>
      </c>
      <c r="K51" s="14">
        <v>3</v>
      </c>
      <c r="L51" s="11" t="s">
        <v>604</v>
      </c>
      <c r="M51" s="15" t="s">
        <v>129</v>
      </c>
    </row>
    <row r="52" spans="1:13">
      <c r="A52" s="98">
        <v>43459</v>
      </c>
      <c r="B52" s="11" t="s">
        <v>14</v>
      </c>
      <c r="C52" s="11" t="s">
        <v>76</v>
      </c>
      <c r="D52" s="11" t="s">
        <v>77</v>
      </c>
      <c r="E52" s="11" t="s">
        <v>5</v>
      </c>
      <c r="F52" s="11" t="s">
        <v>78</v>
      </c>
      <c r="G52" s="11" t="s">
        <v>79</v>
      </c>
      <c r="H52" s="12">
        <v>0.28999999999999998</v>
      </c>
      <c r="I52" s="13"/>
      <c r="J52" s="12">
        <v>0.05</v>
      </c>
      <c r="K52" s="14">
        <v>3</v>
      </c>
      <c r="L52" s="11" t="s">
        <v>604</v>
      </c>
      <c r="M52" s="15" t="s">
        <v>130</v>
      </c>
    </row>
    <row r="53" spans="1:13">
      <c r="A53" s="98">
        <v>43460</v>
      </c>
      <c r="B53" s="11" t="s">
        <v>14</v>
      </c>
      <c r="C53" s="11" t="s">
        <v>76</v>
      </c>
      <c r="D53" s="11" t="s">
        <v>77</v>
      </c>
      <c r="E53" s="11" t="s">
        <v>5</v>
      </c>
      <c r="F53" s="11" t="s">
        <v>78</v>
      </c>
      <c r="G53" s="11" t="s">
        <v>79</v>
      </c>
      <c r="H53" s="12">
        <v>0.61</v>
      </c>
      <c r="I53" s="13"/>
      <c r="J53" s="12">
        <v>0.05</v>
      </c>
      <c r="K53" s="14">
        <v>3</v>
      </c>
      <c r="L53" s="11" t="s">
        <v>604</v>
      </c>
      <c r="M53" s="15" t="s">
        <v>131</v>
      </c>
    </row>
    <row r="54" spans="1:13">
      <c r="A54" s="98">
        <v>43465</v>
      </c>
      <c r="B54" s="11" t="s">
        <v>14</v>
      </c>
      <c r="C54" s="11" t="s">
        <v>76</v>
      </c>
      <c r="D54" s="11" t="s">
        <v>77</v>
      </c>
      <c r="E54" s="11" t="s">
        <v>5</v>
      </c>
      <c r="F54" s="11" t="s">
        <v>78</v>
      </c>
      <c r="G54" s="11" t="s">
        <v>79</v>
      </c>
      <c r="H54" s="12">
        <v>0.62</v>
      </c>
      <c r="I54" s="13"/>
      <c r="J54" s="12">
        <v>0.05</v>
      </c>
      <c r="K54" s="14">
        <v>3</v>
      </c>
      <c r="L54" s="11" t="s">
        <v>604</v>
      </c>
      <c r="M54" s="15" t="s">
        <v>132</v>
      </c>
    </row>
    <row r="55" spans="1:13">
      <c r="A55" s="98">
        <v>43466</v>
      </c>
      <c r="B55" s="11" t="s">
        <v>14</v>
      </c>
      <c r="C55" s="11" t="s">
        <v>76</v>
      </c>
      <c r="D55" s="11" t="s">
        <v>77</v>
      </c>
      <c r="E55" s="11" t="s">
        <v>5</v>
      </c>
      <c r="F55" s="11" t="s">
        <v>78</v>
      </c>
      <c r="G55" s="11" t="s">
        <v>79</v>
      </c>
      <c r="H55" s="12">
        <v>0.59</v>
      </c>
      <c r="I55" s="13"/>
      <c r="J55" s="12">
        <v>0.05</v>
      </c>
      <c r="K55" s="14">
        <v>3</v>
      </c>
      <c r="L55" s="11" t="s">
        <v>604</v>
      </c>
      <c r="M55" s="15" t="s">
        <v>133</v>
      </c>
    </row>
    <row r="56" spans="1:13">
      <c r="A56" s="98">
        <v>43467</v>
      </c>
      <c r="B56" s="11" t="s">
        <v>14</v>
      </c>
      <c r="C56" s="11" t="s">
        <v>76</v>
      </c>
      <c r="D56" s="11" t="s">
        <v>77</v>
      </c>
      <c r="E56" s="11" t="s">
        <v>5</v>
      </c>
      <c r="F56" s="11" t="s">
        <v>78</v>
      </c>
      <c r="G56" s="11" t="s">
        <v>79</v>
      </c>
      <c r="H56" s="12" t="s">
        <v>80</v>
      </c>
      <c r="I56" s="13">
        <v>-6</v>
      </c>
      <c r="J56" s="12">
        <v>0.05</v>
      </c>
      <c r="K56" s="14">
        <v>3</v>
      </c>
      <c r="L56" s="11" t="s">
        <v>604</v>
      </c>
      <c r="M56" s="15" t="s">
        <v>134</v>
      </c>
    </row>
    <row r="57" spans="1:13">
      <c r="A57" s="98">
        <v>43469</v>
      </c>
      <c r="B57" s="11" t="s">
        <v>14</v>
      </c>
      <c r="C57" s="11" t="s">
        <v>76</v>
      </c>
      <c r="D57" s="11" t="s">
        <v>77</v>
      </c>
      <c r="E57" s="11" t="s">
        <v>5</v>
      </c>
      <c r="F57" s="11" t="s">
        <v>78</v>
      </c>
      <c r="G57" s="11" t="s">
        <v>79</v>
      </c>
      <c r="H57" s="12">
        <v>1.1000000000000001</v>
      </c>
      <c r="I57" s="13"/>
      <c r="J57" s="12">
        <v>0.05</v>
      </c>
      <c r="K57" s="14">
        <v>3</v>
      </c>
      <c r="L57" s="11" t="s">
        <v>604</v>
      </c>
      <c r="M57" s="15" t="s">
        <v>135</v>
      </c>
    </row>
    <row r="58" spans="1:13">
      <c r="A58" s="98">
        <v>43472</v>
      </c>
      <c r="B58" s="11" t="s">
        <v>14</v>
      </c>
      <c r="C58" s="11" t="s">
        <v>76</v>
      </c>
      <c r="D58" s="11" t="s">
        <v>77</v>
      </c>
      <c r="E58" s="11" t="s">
        <v>5</v>
      </c>
      <c r="F58" s="11" t="s">
        <v>78</v>
      </c>
      <c r="G58" s="11" t="s">
        <v>79</v>
      </c>
      <c r="H58" s="12">
        <v>0.5</v>
      </c>
      <c r="I58" s="13"/>
      <c r="J58" s="12">
        <v>0.05</v>
      </c>
      <c r="K58" s="14">
        <v>3</v>
      </c>
      <c r="L58" s="11" t="s">
        <v>604</v>
      </c>
      <c r="M58" s="15" t="s">
        <v>136</v>
      </c>
    </row>
    <row r="59" spans="1:13">
      <c r="A59" s="98">
        <v>43473</v>
      </c>
      <c r="B59" s="11" t="s">
        <v>14</v>
      </c>
      <c r="C59" s="11" t="s">
        <v>76</v>
      </c>
      <c r="D59" s="11" t="s">
        <v>77</v>
      </c>
      <c r="E59" s="11" t="s">
        <v>5</v>
      </c>
      <c r="F59" s="11" t="s">
        <v>78</v>
      </c>
      <c r="G59" s="11" t="s">
        <v>79</v>
      </c>
      <c r="H59" s="12">
        <v>0.56000000000000005</v>
      </c>
      <c r="I59" s="13"/>
      <c r="J59" s="12">
        <v>0.05</v>
      </c>
      <c r="K59" s="14">
        <v>3</v>
      </c>
      <c r="L59" s="11" t="s">
        <v>604</v>
      </c>
      <c r="M59" s="15" t="s">
        <v>137</v>
      </c>
    </row>
    <row r="60" spans="1:13">
      <c r="A60" s="98">
        <v>43474</v>
      </c>
      <c r="B60" s="11" t="s">
        <v>14</v>
      </c>
      <c r="C60" s="11" t="s">
        <v>76</v>
      </c>
      <c r="D60" s="11" t="s">
        <v>77</v>
      </c>
      <c r="E60" s="11" t="s">
        <v>5</v>
      </c>
      <c r="F60" s="11" t="s">
        <v>78</v>
      </c>
      <c r="G60" s="11" t="s">
        <v>79</v>
      </c>
      <c r="H60" s="12">
        <v>1.17</v>
      </c>
      <c r="I60" s="13"/>
      <c r="J60" s="12">
        <v>0.05</v>
      </c>
      <c r="K60" s="14">
        <v>3</v>
      </c>
      <c r="L60" s="11" t="s">
        <v>604</v>
      </c>
      <c r="M60" s="15" t="s">
        <v>138</v>
      </c>
    </row>
    <row r="61" spans="1:13">
      <c r="A61" s="98">
        <v>43479</v>
      </c>
      <c r="B61" s="11" t="s">
        <v>14</v>
      </c>
      <c r="C61" s="11" t="s">
        <v>76</v>
      </c>
      <c r="D61" s="11" t="s">
        <v>77</v>
      </c>
      <c r="E61" s="11" t="s">
        <v>5</v>
      </c>
      <c r="F61" s="11" t="s">
        <v>78</v>
      </c>
      <c r="G61" s="11" t="s">
        <v>79</v>
      </c>
      <c r="H61" s="12">
        <v>0.43</v>
      </c>
      <c r="I61" s="13"/>
      <c r="J61" s="12">
        <v>0.05</v>
      </c>
      <c r="K61" s="14">
        <v>3</v>
      </c>
      <c r="L61" s="11" t="s">
        <v>604</v>
      </c>
      <c r="M61" s="15" t="s">
        <v>139</v>
      </c>
    </row>
    <row r="62" spans="1:13">
      <c r="A62" s="98">
        <v>43480</v>
      </c>
      <c r="B62" s="11" t="s">
        <v>14</v>
      </c>
      <c r="C62" s="11" t="s">
        <v>76</v>
      </c>
      <c r="D62" s="11" t="s">
        <v>77</v>
      </c>
      <c r="E62" s="11" t="s">
        <v>5</v>
      </c>
      <c r="F62" s="11" t="s">
        <v>78</v>
      </c>
      <c r="G62" s="11" t="s">
        <v>79</v>
      </c>
      <c r="H62" s="12">
        <v>0.36</v>
      </c>
      <c r="I62" s="13"/>
      <c r="J62" s="12">
        <v>0.05</v>
      </c>
      <c r="K62" s="14">
        <v>3</v>
      </c>
      <c r="L62" s="11" t="s">
        <v>604</v>
      </c>
      <c r="M62" s="15" t="s">
        <v>140</v>
      </c>
    </row>
    <row r="63" spans="1:13">
      <c r="A63" s="98">
        <v>43481</v>
      </c>
      <c r="B63" s="11" t="s">
        <v>14</v>
      </c>
      <c r="C63" s="11" t="s">
        <v>76</v>
      </c>
      <c r="D63" s="11" t="s">
        <v>77</v>
      </c>
      <c r="E63" s="11" t="s">
        <v>5</v>
      </c>
      <c r="F63" s="11" t="s">
        <v>78</v>
      </c>
      <c r="G63" s="11" t="s">
        <v>79</v>
      </c>
      <c r="H63" s="12">
        <v>0.53</v>
      </c>
      <c r="I63" s="13"/>
      <c r="J63" s="12">
        <v>0.05</v>
      </c>
      <c r="K63" s="14">
        <v>3</v>
      </c>
      <c r="L63" s="11" t="s">
        <v>604</v>
      </c>
      <c r="M63" s="15" t="s">
        <v>141</v>
      </c>
    </row>
    <row r="64" spans="1:13">
      <c r="A64" s="98">
        <v>43486</v>
      </c>
      <c r="B64" s="11" t="s">
        <v>14</v>
      </c>
      <c r="C64" s="11" t="s">
        <v>76</v>
      </c>
      <c r="D64" s="11" t="s">
        <v>77</v>
      </c>
      <c r="E64" s="11" t="s">
        <v>5</v>
      </c>
      <c r="F64" s="11" t="s">
        <v>78</v>
      </c>
      <c r="G64" s="11" t="s">
        <v>79</v>
      </c>
      <c r="H64" s="12">
        <v>1.21</v>
      </c>
      <c r="I64" s="13"/>
      <c r="J64" s="12">
        <v>0.05</v>
      </c>
      <c r="K64" s="14">
        <v>3</v>
      </c>
      <c r="L64" s="11" t="s">
        <v>604</v>
      </c>
      <c r="M64" s="15" t="s">
        <v>142</v>
      </c>
    </row>
    <row r="65" spans="1:13">
      <c r="A65" s="98">
        <v>43487</v>
      </c>
      <c r="B65" s="11" t="s">
        <v>14</v>
      </c>
      <c r="C65" s="11" t="s">
        <v>76</v>
      </c>
      <c r="D65" s="11" t="s">
        <v>77</v>
      </c>
      <c r="E65" s="11" t="s">
        <v>5</v>
      </c>
      <c r="F65" s="11" t="s">
        <v>78</v>
      </c>
      <c r="G65" s="11" t="s">
        <v>79</v>
      </c>
      <c r="H65" s="12">
        <v>0.37</v>
      </c>
      <c r="I65" s="13"/>
      <c r="J65" s="12">
        <v>0.05</v>
      </c>
      <c r="K65" s="14">
        <v>3</v>
      </c>
      <c r="L65" s="11" t="s">
        <v>604</v>
      </c>
      <c r="M65" s="15" t="s">
        <v>143</v>
      </c>
    </row>
    <row r="66" spans="1:13">
      <c r="A66" s="98">
        <v>43488</v>
      </c>
      <c r="B66" s="11" t="s">
        <v>14</v>
      </c>
      <c r="C66" s="11" t="s">
        <v>76</v>
      </c>
      <c r="D66" s="11" t="s">
        <v>77</v>
      </c>
      <c r="E66" s="11" t="s">
        <v>5</v>
      </c>
      <c r="F66" s="11" t="s">
        <v>78</v>
      </c>
      <c r="G66" s="11" t="s">
        <v>79</v>
      </c>
      <c r="H66" s="12">
        <v>0.15</v>
      </c>
      <c r="I66" s="13"/>
      <c r="J66" s="12">
        <v>0.05</v>
      </c>
      <c r="K66" s="14">
        <v>3</v>
      </c>
      <c r="L66" s="11" t="s">
        <v>604</v>
      </c>
      <c r="M66" s="15" t="s">
        <v>144</v>
      </c>
    </row>
    <row r="67" spans="1:13">
      <c r="A67" s="98">
        <v>43494</v>
      </c>
      <c r="B67" s="11" t="s">
        <v>14</v>
      </c>
      <c r="C67" s="11" t="s">
        <v>76</v>
      </c>
      <c r="D67" s="11" t="s">
        <v>77</v>
      </c>
      <c r="E67" s="11" t="s">
        <v>5</v>
      </c>
      <c r="F67" s="11" t="s">
        <v>78</v>
      </c>
      <c r="G67" s="11" t="s">
        <v>79</v>
      </c>
      <c r="H67" s="12">
        <v>0.48</v>
      </c>
      <c r="I67" s="13"/>
      <c r="J67" s="12">
        <v>0.05</v>
      </c>
      <c r="K67" s="14">
        <v>3</v>
      </c>
      <c r="L67" s="11" t="s">
        <v>604</v>
      </c>
      <c r="M67" s="15" t="s">
        <v>145</v>
      </c>
    </row>
    <row r="68" spans="1:13">
      <c r="A68" s="98">
        <v>43495</v>
      </c>
      <c r="B68" s="11" t="s">
        <v>14</v>
      </c>
      <c r="C68" s="11" t="s">
        <v>76</v>
      </c>
      <c r="D68" s="11" t="s">
        <v>77</v>
      </c>
      <c r="E68" s="11" t="s">
        <v>5</v>
      </c>
      <c r="F68" s="11" t="s">
        <v>78</v>
      </c>
      <c r="G68" s="11" t="s">
        <v>79</v>
      </c>
      <c r="H68" s="12">
        <v>0.46</v>
      </c>
      <c r="I68" s="13"/>
      <c r="J68" s="12">
        <v>0.05</v>
      </c>
      <c r="K68" s="14">
        <v>3</v>
      </c>
      <c r="L68" s="11" t="s">
        <v>604</v>
      </c>
      <c r="M68" s="15" t="s">
        <v>146</v>
      </c>
    </row>
    <row r="69" spans="1:13">
      <c r="A69" s="98">
        <v>43496</v>
      </c>
      <c r="B69" s="11" t="s">
        <v>14</v>
      </c>
      <c r="C69" s="11" t="s">
        <v>76</v>
      </c>
      <c r="D69" s="11" t="s">
        <v>77</v>
      </c>
      <c r="E69" s="11" t="s">
        <v>5</v>
      </c>
      <c r="F69" s="11" t="s">
        <v>78</v>
      </c>
      <c r="G69" s="11" t="s">
        <v>79</v>
      </c>
      <c r="H69" s="12">
        <v>0.34</v>
      </c>
      <c r="I69" s="13"/>
      <c r="J69" s="12">
        <v>0.05</v>
      </c>
      <c r="K69" s="14">
        <v>3</v>
      </c>
      <c r="L69" s="11" t="s">
        <v>604</v>
      </c>
      <c r="M69" s="15" t="s">
        <v>147</v>
      </c>
    </row>
    <row r="70" spans="1:13">
      <c r="A70" s="98">
        <v>43501</v>
      </c>
      <c r="B70" s="11" t="s">
        <v>14</v>
      </c>
      <c r="C70" s="11" t="s">
        <v>76</v>
      </c>
      <c r="D70" s="11" t="s">
        <v>77</v>
      </c>
      <c r="E70" s="11" t="s">
        <v>5</v>
      </c>
      <c r="F70" s="11" t="s">
        <v>78</v>
      </c>
      <c r="G70" s="11" t="s">
        <v>79</v>
      </c>
      <c r="H70" s="12">
        <v>0.55000000000000004</v>
      </c>
      <c r="I70" s="13"/>
      <c r="J70" s="12">
        <v>0.05</v>
      </c>
      <c r="K70" s="14">
        <v>3</v>
      </c>
      <c r="L70" s="11" t="s">
        <v>604</v>
      </c>
      <c r="M70" s="15" t="s">
        <v>148</v>
      </c>
    </row>
    <row r="71" spans="1:13">
      <c r="A71" s="98">
        <v>43502</v>
      </c>
      <c r="B71" s="11" t="s">
        <v>14</v>
      </c>
      <c r="C71" s="11" t="s">
        <v>76</v>
      </c>
      <c r="D71" s="11" t="s">
        <v>77</v>
      </c>
      <c r="E71" s="11" t="s">
        <v>5</v>
      </c>
      <c r="F71" s="11" t="s">
        <v>78</v>
      </c>
      <c r="G71" s="11" t="s">
        <v>79</v>
      </c>
      <c r="H71" s="12">
        <v>2.2999999999999998</v>
      </c>
      <c r="I71" s="13"/>
      <c r="J71" s="12">
        <v>0.05</v>
      </c>
      <c r="K71" s="14">
        <v>3</v>
      </c>
      <c r="L71" s="11" t="s">
        <v>604</v>
      </c>
      <c r="M71" s="15" t="s">
        <v>149</v>
      </c>
    </row>
    <row r="72" spans="1:13">
      <c r="A72" s="98">
        <v>43503</v>
      </c>
      <c r="B72" s="11" t="s">
        <v>14</v>
      </c>
      <c r="C72" s="11" t="s">
        <v>76</v>
      </c>
      <c r="D72" s="11" t="s">
        <v>77</v>
      </c>
      <c r="E72" s="11" t="s">
        <v>5</v>
      </c>
      <c r="F72" s="11" t="s">
        <v>78</v>
      </c>
      <c r="G72" s="11" t="s">
        <v>79</v>
      </c>
      <c r="H72" s="12">
        <v>1.1299999999999999</v>
      </c>
      <c r="I72" s="13"/>
      <c r="J72" s="12">
        <v>0.05</v>
      </c>
      <c r="K72" s="14">
        <v>3</v>
      </c>
      <c r="L72" s="11" t="s">
        <v>604</v>
      </c>
      <c r="M72" s="15" t="s">
        <v>150</v>
      </c>
    </row>
    <row r="73" spans="1:13">
      <c r="A73" s="98">
        <v>43508</v>
      </c>
      <c r="B73" s="11" t="s">
        <v>14</v>
      </c>
      <c r="C73" s="11" t="s">
        <v>76</v>
      </c>
      <c r="D73" s="11" t="s">
        <v>77</v>
      </c>
      <c r="E73" s="11" t="s">
        <v>5</v>
      </c>
      <c r="F73" s="11" t="s">
        <v>78</v>
      </c>
      <c r="G73" s="11" t="s">
        <v>79</v>
      </c>
      <c r="H73" s="12">
        <v>0.28000000000000003</v>
      </c>
      <c r="I73" s="13"/>
      <c r="J73" s="12">
        <v>0.05</v>
      </c>
      <c r="K73" s="14">
        <v>3</v>
      </c>
      <c r="L73" s="11" t="s">
        <v>604</v>
      </c>
      <c r="M73" s="15" t="s">
        <v>151</v>
      </c>
    </row>
    <row r="74" spans="1:13">
      <c r="A74" s="98">
        <v>43509</v>
      </c>
      <c r="B74" s="11" t="s">
        <v>14</v>
      </c>
      <c r="C74" s="11" t="s">
        <v>76</v>
      </c>
      <c r="D74" s="11" t="s">
        <v>77</v>
      </c>
      <c r="E74" s="11" t="s">
        <v>5</v>
      </c>
      <c r="F74" s="11" t="s">
        <v>78</v>
      </c>
      <c r="G74" s="11" t="s">
        <v>79</v>
      </c>
      <c r="H74" s="12">
        <v>0.41</v>
      </c>
      <c r="I74" s="13"/>
      <c r="J74" s="12">
        <v>0.05</v>
      </c>
      <c r="K74" s="14">
        <v>3</v>
      </c>
      <c r="L74" s="11" t="s">
        <v>604</v>
      </c>
      <c r="M74" s="15" t="s">
        <v>152</v>
      </c>
    </row>
    <row r="75" spans="1:13">
      <c r="A75" s="98">
        <v>43510</v>
      </c>
      <c r="B75" s="11" t="s">
        <v>14</v>
      </c>
      <c r="C75" s="11" t="s">
        <v>76</v>
      </c>
      <c r="D75" s="11" t="s">
        <v>77</v>
      </c>
      <c r="E75" s="11" t="s">
        <v>5</v>
      </c>
      <c r="F75" s="11" t="s">
        <v>78</v>
      </c>
      <c r="G75" s="11" t="s">
        <v>79</v>
      </c>
      <c r="H75" s="12">
        <v>0.93</v>
      </c>
      <c r="I75" s="13"/>
      <c r="J75" s="12">
        <v>0.05</v>
      </c>
      <c r="K75" s="14">
        <v>3</v>
      </c>
      <c r="L75" s="11" t="s">
        <v>604</v>
      </c>
      <c r="M75" s="15" t="s">
        <v>153</v>
      </c>
    </row>
    <row r="76" spans="1:13">
      <c r="A76" s="98">
        <v>43515</v>
      </c>
      <c r="B76" s="11" t="s">
        <v>14</v>
      </c>
      <c r="C76" s="11" t="s">
        <v>76</v>
      </c>
      <c r="D76" s="11" t="s">
        <v>77</v>
      </c>
      <c r="E76" s="11" t="s">
        <v>5</v>
      </c>
      <c r="F76" s="11" t="s">
        <v>78</v>
      </c>
      <c r="G76" s="11" t="s">
        <v>79</v>
      </c>
      <c r="H76" s="12">
        <v>0.54</v>
      </c>
      <c r="I76" s="13"/>
      <c r="J76" s="12">
        <v>0.05</v>
      </c>
      <c r="K76" s="14">
        <v>3</v>
      </c>
      <c r="L76" s="11" t="s">
        <v>604</v>
      </c>
      <c r="M76" s="15" t="s">
        <v>154</v>
      </c>
    </row>
    <row r="77" spans="1:13">
      <c r="A77" s="98">
        <v>43516</v>
      </c>
      <c r="B77" s="11" t="s">
        <v>14</v>
      </c>
      <c r="C77" s="11" t="s">
        <v>76</v>
      </c>
      <c r="D77" s="11" t="s">
        <v>77</v>
      </c>
      <c r="E77" s="11" t="s">
        <v>5</v>
      </c>
      <c r="F77" s="11" t="s">
        <v>78</v>
      </c>
      <c r="G77" s="11" t="s">
        <v>79</v>
      </c>
      <c r="H77" s="12">
        <v>0.28999999999999998</v>
      </c>
      <c r="I77" s="13"/>
      <c r="J77" s="12">
        <v>0.05</v>
      </c>
      <c r="K77" s="14">
        <v>3</v>
      </c>
      <c r="L77" s="11" t="s">
        <v>604</v>
      </c>
      <c r="M77" s="15" t="s">
        <v>155</v>
      </c>
    </row>
    <row r="78" spans="1:13">
      <c r="A78" s="98">
        <v>43517</v>
      </c>
      <c r="B78" s="11" t="s">
        <v>14</v>
      </c>
      <c r="C78" s="11" t="s">
        <v>76</v>
      </c>
      <c r="D78" s="11" t="s">
        <v>77</v>
      </c>
      <c r="E78" s="11" t="s">
        <v>5</v>
      </c>
      <c r="F78" s="11" t="s">
        <v>78</v>
      </c>
      <c r="G78" s="11" t="s">
        <v>79</v>
      </c>
      <c r="H78" s="12">
        <v>0.25</v>
      </c>
      <c r="I78" s="13"/>
      <c r="J78" s="12">
        <v>0.05</v>
      </c>
      <c r="K78" s="14">
        <v>3</v>
      </c>
      <c r="L78" s="11" t="s">
        <v>604</v>
      </c>
      <c r="M78" s="15" t="s">
        <v>156</v>
      </c>
    </row>
    <row r="79" spans="1:13">
      <c r="A79" s="98">
        <v>43522</v>
      </c>
      <c r="B79" s="11" t="s">
        <v>14</v>
      </c>
      <c r="C79" s="11" t="s">
        <v>76</v>
      </c>
      <c r="D79" s="11" t="s">
        <v>77</v>
      </c>
      <c r="E79" s="11" t="s">
        <v>5</v>
      </c>
      <c r="F79" s="11" t="s">
        <v>78</v>
      </c>
      <c r="G79" s="11" t="s">
        <v>79</v>
      </c>
      <c r="H79" s="12">
        <v>0.89</v>
      </c>
      <c r="I79" s="13"/>
      <c r="J79" s="12">
        <v>0.05</v>
      </c>
      <c r="K79" s="14">
        <v>3</v>
      </c>
      <c r="L79" s="11" t="s">
        <v>604</v>
      </c>
      <c r="M79" s="15" t="s">
        <v>157</v>
      </c>
    </row>
    <row r="80" spans="1:13">
      <c r="A80" s="98">
        <v>43523</v>
      </c>
      <c r="B80" s="11" t="s">
        <v>14</v>
      </c>
      <c r="C80" s="11" t="s">
        <v>76</v>
      </c>
      <c r="D80" s="11" t="s">
        <v>77</v>
      </c>
      <c r="E80" s="11" t="s">
        <v>5</v>
      </c>
      <c r="F80" s="11" t="s">
        <v>78</v>
      </c>
      <c r="G80" s="11" t="s">
        <v>79</v>
      </c>
      <c r="H80" s="12">
        <v>0.78</v>
      </c>
      <c r="I80" s="13"/>
      <c r="J80" s="12">
        <v>0.05</v>
      </c>
      <c r="K80" s="14">
        <v>3</v>
      </c>
      <c r="L80" s="11" t="s">
        <v>604</v>
      </c>
      <c r="M80" s="15" t="s">
        <v>158</v>
      </c>
    </row>
    <row r="81" spans="1:13">
      <c r="A81" s="98">
        <v>43524</v>
      </c>
      <c r="B81" s="11" t="s">
        <v>14</v>
      </c>
      <c r="C81" s="11" t="s">
        <v>76</v>
      </c>
      <c r="D81" s="11" t="s">
        <v>77</v>
      </c>
      <c r="E81" s="11" t="s">
        <v>5</v>
      </c>
      <c r="F81" s="11" t="s">
        <v>78</v>
      </c>
      <c r="G81" s="11" t="s">
        <v>79</v>
      </c>
      <c r="H81" s="12">
        <v>0.53</v>
      </c>
      <c r="I81" s="13"/>
      <c r="J81" s="12">
        <v>0.05</v>
      </c>
      <c r="K81" s="14">
        <v>3</v>
      </c>
      <c r="L81" s="11" t="s">
        <v>604</v>
      </c>
      <c r="M81" s="15" t="s">
        <v>159</v>
      </c>
    </row>
    <row r="82" spans="1:13">
      <c r="A82" s="98">
        <v>43527</v>
      </c>
      <c r="B82" s="11" t="s">
        <v>14</v>
      </c>
      <c r="C82" s="11" t="s">
        <v>76</v>
      </c>
      <c r="D82" s="11" t="s">
        <v>77</v>
      </c>
      <c r="E82" s="11" t="s">
        <v>5</v>
      </c>
      <c r="F82" s="11" t="s">
        <v>78</v>
      </c>
      <c r="G82" s="11" t="s">
        <v>79</v>
      </c>
      <c r="H82" s="12">
        <v>3.61</v>
      </c>
      <c r="I82" s="13"/>
      <c r="J82" s="12">
        <v>0.05</v>
      </c>
      <c r="K82" s="14">
        <v>3</v>
      </c>
      <c r="L82" s="11" t="s">
        <v>604</v>
      </c>
      <c r="M82" s="15" t="s">
        <v>160</v>
      </c>
    </row>
    <row r="83" spans="1:13">
      <c r="A83" s="98">
        <v>43528</v>
      </c>
      <c r="B83" s="11" t="s">
        <v>14</v>
      </c>
      <c r="C83" s="11" t="s">
        <v>76</v>
      </c>
      <c r="D83" s="11" t="s">
        <v>77</v>
      </c>
      <c r="E83" s="11" t="s">
        <v>5</v>
      </c>
      <c r="F83" s="11" t="s">
        <v>78</v>
      </c>
      <c r="G83" s="11" t="s">
        <v>79</v>
      </c>
      <c r="H83" s="12">
        <v>0.99</v>
      </c>
      <c r="I83" s="13"/>
      <c r="J83" s="12">
        <v>0.05</v>
      </c>
      <c r="K83" s="14">
        <v>3</v>
      </c>
      <c r="L83" s="11" t="s">
        <v>604</v>
      </c>
      <c r="M83" s="15" t="s">
        <v>161</v>
      </c>
    </row>
    <row r="84" spans="1:13">
      <c r="A84" s="98">
        <v>43529</v>
      </c>
      <c r="B84" s="11" t="s">
        <v>14</v>
      </c>
      <c r="C84" s="11" t="s">
        <v>76</v>
      </c>
      <c r="D84" s="11" t="s">
        <v>77</v>
      </c>
      <c r="E84" s="11" t="s">
        <v>5</v>
      </c>
      <c r="F84" s="11" t="s">
        <v>78</v>
      </c>
      <c r="G84" s="11" t="s">
        <v>79</v>
      </c>
      <c r="H84" s="12">
        <v>0.56999999999999995</v>
      </c>
      <c r="I84" s="13"/>
      <c r="J84" s="12">
        <v>0.05</v>
      </c>
      <c r="K84" s="14">
        <v>3</v>
      </c>
      <c r="L84" s="11" t="s">
        <v>604</v>
      </c>
      <c r="M84" s="15" t="s">
        <v>162</v>
      </c>
    </row>
    <row r="85" spans="1:13">
      <c r="A85" s="98">
        <v>43534</v>
      </c>
      <c r="B85" s="11" t="s">
        <v>14</v>
      </c>
      <c r="C85" s="11" t="s">
        <v>76</v>
      </c>
      <c r="D85" s="11" t="s">
        <v>77</v>
      </c>
      <c r="E85" s="11" t="s">
        <v>5</v>
      </c>
      <c r="F85" s="11" t="s">
        <v>78</v>
      </c>
      <c r="G85" s="11" t="s">
        <v>79</v>
      </c>
      <c r="H85" s="12">
        <v>2.29</v>
      </c>
      <c r="I85" s="13"/>
      <c r="J85" s="12">
        <v>0.05</v>
      </c>
      <c r="K85" s="14">
        <v>3</v>
      </c>
      <c r="L85" s="11" t="s">
        <v>604</v>
      </c>
      <c r="M85" s="15" t="s">
        <v>163</v>
      </c>
    </row>
    <row r="86" spans="1:13">
      <c r="A86" s="98">
        <v>43535</v>
      </c>
      <c r="B86" s="11" t="s">
        <v>14</v>
      </c>
      <c r="C86" s="11" t="s">
        <v>76</v>
      </c>
      <c r="D86" s="11" t="s">
        <v>77</v>
      </c>
      <c r="E86" s="11" t="s">
        <v>5</v>
      </c>
      <c r="F86" s="11" t="s">
        <v>78</v>
      </c>
      <c r="G86" s="11" t="s">
        <v>79</v>
      </c>
      <c r="H86" s="12">
        <v>1.51</v>
      </c>
      <c r="I86" s="13"/>
      <c r="J86" s="12">
        <v>0.05</v>
      </c>
      <c r="K86" s="14">
        <v>3</v>
      </c>
      <c r="L86" s="11" t="s">
        <v>604</v>
      </c>
      <c r="M86" s="15" t="s">
        <v>164</v>
      </c>
    </row>
    <row r="87" spans="1:13">
      <c r="A87" s="98">
        <v>43536</v>
      </c>
      <c r="B87" s="11" t="s">
        <v>14</v>
      </c>
      <c r="C87" s="11" t="s">
        <v>76</v>
      </c>
      <c r="D87" s="11" t="s">
        <v>77</v>
      </c>
      <c r="E87" s="11" t="s">
        <v>5</v>
      </c>
      <c r="F87" s="11" t="s">
        <v>78</v>
      </c>
      <c r="G87" s="11" t="s">
        <v>79</v>
      </c>
      <c r="H87" s="12">
        <v>0.64</v>
      </c>
      <c r="I87" s="13"/>
      <c r="J87" s="12">
        <v>0.05</v>
      </c>
      <c r="K87" s="14">
        <v>3</v>
      </c>
      <c r="L87" s="11" t="s">
        <v>604</v>
      </c>
      <c r="M87" s="15" t="s">
        <v>165</v>
      </c>
    </row>
    <row r="88" spans="1:13">
      <c r="A88" s="98">
        <v>43541</v>
      </c>
      <c r="B88" s="11" t="s">
        <v>14</v>
      </c>
      <c r="C88" s="11" t="s">
        <v>76</v>
      </c>
      <c r="D88" s="11" t="s">
        <v>77</v>
      </c>
      <c r="E88" s="11" t="s">
        <v>5</v>
      </c>
      <c r="F88" s="11" t="s">
        <v>78</v>
      </c>
      <c r="G88" s="11" t="s">
        <v>79</v>
      </c>
      <c r="H88" s="12">
        <v>1</v>
      </c>
      <c r="I88" s="13"/>
      <c r="J88" s="12">
        <v>0.05</v>
      </c>
      <c r="K88" s="14">
        <v>3</v>
      </c>
      <c r="L88" s="11" t="s">
        <v>604</v>
      </c>
      <c r="M88" s="15" t="s">
        <v>166</v>
      </c>
    </row>
    <row r="89" spans="1:13">
      <c r="A89" s="98">
        <v>43542</v>
      </c>
      <c r="B89" s="11" t="s">
        <v>14</v>
      </c>
      <c r="C89" s="11" t="s">
        <v>76</v>
      </c>
      <c r="D89" s="11" t="s">
        <v>77</v>
      </c>
      <c r="E89" s="11" t="s">
        <v>5</v>
      </c>
      <c r="F89" s="11" t="s">
        <v>78</v>
      </c>
      <c r="G89" s="11" t="s">
        <v>79</v>
      </c>
      <c r="H89" s="12">
        <v>0.67</v>
      </c>
      <c r="I89" s="13"/>
      <c r="J89" s="12">
        <v>0.05</v>
      </c>
      <c r="K89" s="14">
        <v>3</v>
      </c>
      <c r="L89" s="11" t="s">
        <v>604</v>
      </c>
      <c r="M89" s="15" t="s">
        <v>167</v>
      </c>
    </row>
    <row r="90" spans="1:13">
      <c r="A90" s="98">
        <v>43543</v>
      </c>
      <c r="B90" s="11" t="s">
        <v>14</v>
      </c>
      <c r="C90" s="11" t="s">
        <v>76</v>
      </c>
      <c r="D90" s="11" t="s">
        <v>77</v>
      </c>
      <c r="E90" s="11" t="s">
        <v>5</v>
      </c>
      <c r="F90" s="11" t="s">
        <v>78</v>
      </c>
      <c r="G90" s="11" t="s">
        <v>79</v>
      </c>
      <c r="H90" s="12">
        <v>0.56999999999999995</v>
      </c>
      <c r="I90" s="13"/>
      <c r="J90" s="12">
        <v>0.05</v>
      </c>
      <c r="K90" s="14">
        <v>3</v>
      </c>
      <c r="L90" s="11" t="s">
        <v>604</v>
      </c>
      <c r="M90" s="15" t="s">
        <v>168</v>
      </c>
    </row>
    <row r="91" spans="1:13">
      <c r="A91" s="98">
        <v>43548</v>
      </c>
      <c r="B91" s="11" t="s">
        <v>14</v>
      </c>
      <c r="C91" s="11" t="s">
        <v>76</v>
      </c>
      <c r="D91" s="11" t="s">
        <v>77</v>
      </c>
      <c r="E91" s="11" t="s">
        <v>5</v>
      </c>
      <c r="F91" s="11" t="s">
        <v>78</v>
      </c>
      <c r="G91" s="11" t="s">
        <v>79</v>
      </c>
      <c r="H91" s="12">
        <v>0.51</v>
      </c>
      <c r="I91" s="13"/>
      <c r="J91" s="12">
        <v>0.05</v>
      </c>
      <c r="K91" s="14">
        <v>3</v>
      </c>
      <c r="L91" s="11" t="s">
        <v>604</v>
      </c>
      <c r="M91" s="15" t="s">
        <v>169</v>
      </c>
    </row>
    <row r="92" spans="1:13">
      <c r="A92" s="98">
        <v>43549</v>
      </c>
      <c r="B92" s="11" t="s">
        <v>14</v>
      </c>
      <c r="C92" s="11" t="s">
        <v>76</v>
      </c>
      <c r="D92" s="11" t="s">
        <v>77</v>
      </c>
      <c r="E92" s="11" t="s">
        <v>5</v>
      </c>
      <c r="F92" s="11" t="s">
        <v>78</v>
      </c>
      <c r="G92" s="11" t="s">
        <v>79</v>
      </c>
      <c r="H92" s="12">
        <v>0.55000000000000004</v>
      </c>
      <c r="I92" s="13"/>
      <c r="J92" s="12">
        <v>0.05</v>
      </c>
      <c r="K92" s="14">
        <v>3</v>
      </c>
      <c r="L92" s="11" t="s">
        <v>604</v>
      </c>
      <c r="M92" s="15" t="s">
        <v>170</v>
      </c>
    </row>
    <row r="93" spans="1:13">
      <c r="A93" s="98">
        <v>43550</v>
      </c>
      <c r="B93" s="11" t="s">
        <v>14</v>
      </c>
      <c r="C93" s="11" t="s">
        <v>76</v>
      </c>
      <c r="D93" s="11" t="s">
        <v>77</v>
      </c>
      <c r="E93" s="11" t="s">
        <v>5</v>
      </c>
      <c r="F93" s="11" t="s">
        <v>78</v>
      </c>
      <c r="G93" s="11" t="s">
        <v>79</v>
      </c>
      <c r="H93" s="12">
        <v>0.37</v>
      </c>
      <c r="I93" s="13"/>
      <c r="J93" s="12">
        <v>0.05</v>
      </c>
      <c r="K93" s="14">
        <v>3</v>
      </c>
      <c r="L93" s="11" t="s">
        <v>604</v>
      </c>
      <c r="M93" s="15" t="s">
        <v>171</v>
      </c>
    </row>
    <row r="94" spans="1:13">
      <c r="A94" s="98">
        <v>43555</v>
      </c>
      <c r="B94" s="11" t="s">
        <v>14</v>
      </c>
      <c r="C94" s="11" t="s">
        <v>76</v>
      </c>
      <c r="D94" s="11" t="s">
        <v>77</v>
      </c>
      <c r="E94" s="11" t="s">
        <v>5</v>
      </c>
      <c r="F94" s="11" t="s">
        <v>78</v>
      </c>
      <c r="G94" s="11" t="s">
        <v>79</v>
      </c>
      <c r="H94" s="12">
        <v>0.83</v>
      </c>
      <c r="I94" s="13"/>
      <c r="J94" s="12">
        <v>0.05</v>
      </c>
      <c r="K94" s="14">
        <v>3</v>
      </c>
      <c r="L94" s="11" t="s">
        <v>604</v>
      </c>
      <c r="M94" s="15" t="s">
        <v>172</v>
      </c>
    </row>
    <row r="95" spans="1:13">
      <c r="A95" s="98">
        <v>43556</v>
      </c>
      <c r="B95" s="11" t="s">
        <v>14</v>
      </c>
      <c r="C95" s="11" t="s">
        <v>76</v>
      </c>
      <c r="D95" s="11" t="s">
        <v>77</v>
      </c>
      <c r="E95" s="11" t="s">
        <v>5</v>
      </c>
      <c r="F95" s="11" t="s">
        <v>78</v>
      </c>
      <c r="G95" s="11" t="s">
        <v>79</v>
      </c>
      <c r="H95" s="12">
        <v>0.55000000000000004</v>
      </c>
      <c r="I95" s="13"/>
      <c r="J95" s="12">
        <v>0.05</v>
      </c>
      <c r="K95" s="14">
        <v>3</v>
      </c>
      <c r="L95" s="11" t="s">
        <v>604</v>
      </c>
      <c r="M95" s="15" t="s">
        <v>173</v>
      </c>
    </row>
    <row r="96" spans="1:13">
      <c r="A96" s="98">
        <v>43557</v>
      </c>
      <c r="B96" s="11" t="s">
        <v>14</v>
      </c>
      <c r="C96" s="11" t="s">
        <v>76</v>
      </c>
      <c r="D96" s="11" t="s">
        <v>77</v>
      </c>
      <c r="E96" s="11" t="s">
        <v>5</v>
      </c>
      <c r="F96" s="11" t="s">
        <v>78</v>
      </c>
      <c r="G96" s="11" t="s">
        <v>79</v>
      </c>
      <c r="H96" s="12">
        <v>1.23</v>
      </c>
      <c r="I96" s="13"/>
      <c r="J96" s="12">
        <v>0.05</v>
      </c>
      <c r="K96" s="14">
        <v>3</v>
      </c>
      <c r="L96" s="11" t="s">
        <v>604</v>
      </c>
      <c r="M96" s="15" t="s">
        <v>174</v>
      </c>
    </row>
    <row r="97" spans="1:13">
      <c r="A97" s="98">
        <v>43565</v>
      </c>
      <c r="B97" s="11" t="s">
        <v>14</v>
      </c>
      <c r="C97" s="11" t="s">
        <v>76</v>
      </c>
      <c r="D97" s="11" t="s">
        <v>77</v>
      </c>
      <c r="E97" s="11" t="s">
        <v>5</v>
      </c>
      <c r="F97" s="11" t="s">
        <v>78</v>
      </c>
      <c r="G97" s="11" t="s">
        <v>79</v>
      </c>
      <c r="H97" s="12">
        <v>2.0099999999999998</v>
      </c>
      <c r="I97" s="13"/>
      <c r="J97" s="12">
        <v>0.05</v>
      </c>
      <c r="K97" s="14">
        <v>3</v>
      </c>
      <c r="L97" s="11" t="s">
        <v>604</v>
      </c>
      <c r="M97" s="15" t="s">
        <v>175</v>
      </c>
    </row>
    <row r="98" spans="1:13">
      <c r="A98" s="98">
        <v>43566</v>
      </c>
      <c r="B98" s="11" t="s">
        <v>14</v>
      </c>
      <c r="C98" s="11" t="s">
        <v>76</v>
      </c>
      <c r="D98" s="11" t="s">
        <v>77</v>
      </c>
      <c r="E98" s="11" t="s">
        <v>5</v>
      </c>
      <c r="F98" s="11" t="s">
        <v>78</v>
      </c>
      <c r="G98" s="11" t="s">
        <v>79</v>
      </c>
      <c r="H98" s="12">
        <v>2.0699999999999998</v>
      </c>
      <c r="I98" s="13"/>
      <c r="J98" s="12">
        <v>0.05</v>
      </c>
      <c r="K98" s="14">
        <v>3</v>
      </c>
      <c r="L98" s="11" t="s">
        <v>604</v>
      </c>
      <c r="M98" s="15" t="s">
        <v>176</v>
      </c>
    </row>
    <row r="99" spans="1:13">
      <c r="A99" s="98">
        <v>43567</v>
      </c>
      <c r="B99" s="11" t="s">
        <v>14</v>
      </c>
      <c r="C99" s="11" t="s">
        <v>76</v>
      </c>
      <c r="D99" s="11" t="s">
        <v>77</v>
      </c>
      <c r="E99" s="11" t="s">
        <v>5</v>
      </c>
      <c r="F99" s="11" t="s">
        <v>78</v>
      </c>
      <c r="G99" s="11" t="s">
        <v>79</v>
      </c>
      <c r="H99" s="12">
        <v>0.88</v>
      </c>
      <c r="I99" s="13"/>
      <c r="J99" s="12">
        <v>0.05</v>
      </c>
      <c r="K99" s="14">
        <v>3</v>
      </c>
      <c r="L99" s="11" t="s">
        <v>604</v>
      </c>
      <c r="M99" s="15" t="s">
        <v>177</v>
      </c>
    </row>
    <row r="100" spans="1:13">
      <c r="A100" s="98">
        <v>43572</v>
      </c>
      <c r="B100" s="11" t="s">
        <v>14</v>
      </c>
      <c r="C100" s="11" t="s">
        <v>76</v>
      </c>
      <c r="D100" s="11" t="s">
        <v>77</v>
      </c>
      <c r="E100" s="11" t="s">
        <v>5</v>
      </c>
      <c r="F100" s="11" t="s">
        <v>78</v>
      </c>
      <c r="G100" s="11" t="s">
        <v>79</v>
      </c>
      <c r="H100" s="12">
        <v>2.85</v>
      </c>
      <c r="I100" s="13"/>
      <c r="J100" s="12">
        <v>0.05</v>
      </c>
      <c r="K100" s="14">
        <v>3</v>
      </c>
      <c r="L100" s="11" t="s">
        <v>604</v>
      </c>
      <c r="M100" s="15" t="s">
        <v>178</v>
      </c>
    </row>
    <row r="101" spans="1:13">
      <c r="A101" s="98">
        <v>43573</v>
      </c>
      <c r="B101" s="11" t="s">
        <v>14</v>
      </c>
      <c r="C101" s="11" t="s">
        <v>76</v>
      </c>
      <c r="D101" s="11" t="s">
        <v>77</v>
      </c>
      <c r="E101" s="11" t="s">
        <v>5</v>
      </c>
      <c r="F101" s="11" t="s">
        <v>78</v>
      </c>
      <c r="G101" s="11" t="s">
        <v>79</v>
      </c>
      <c r="H101" s="12">
        <v>1.1000000000000001</v>
      </c>
      <c r="I101" s="13"/>
      <c r="J101" s="12">
        <v>0.05</v>
      </c>
      <c r="K101" s="14">
        <v>3</v>
      </c>
      <c r="L101" s="11" t="s">
        <v>604</v>
      </c>
      <c r="M101" s="15" t="s">
        <v>179</v>
      </c>
    </row>
    <row r="102" spans="1:13">
      <c r="A102" s="98">
        <v>43574</v>
      </c>
      <c r="B102" s="11" t="s">
        <v>14</v>
      </c>
      <c r="C102" s="11" t="s">
        <v>76</v>
      </c>
      <c r="D102" s="11" t="s">
        <v>77</v>
      </c>
      <c r="E102" s="11" t="s">
        <v>5</v>
      </c>
      <c r="F102" s="11" t="s">
        <v>78</v>
      </c>
      <c r="G102" s="11" t="s">
        <v>79</v>
      </c>
      <c r="H102" s="12">
        <v>1.37</v>
      </c>
      <c r="I102" s="13"/>
      <c r="J102" s="12">
        <v>0.05</v>
      </c>
      <c r="K102" s="14">
        <v>3</v>
      </c>
      <c r="L102" s="11" t="s">
        <v>604</v>
      </c>
      <c r="M102" s="15" t="s">
        <v>180</v>
      </c>
    </row>
    <row r="103" spans="1:13">
      <c r="A103" s="98">
        <v>43579</v>
      </c>
      <c r="B103" s="11" t="s">
        <v>14</v>
      </c>
      <c r="C103" s="11" t="s">
        <v>76</v>
      </c>
      <c r="D103" s="11" t="s">
        <v>77</v>
      </c>
      <c r="E103" s="11" t="s">
        <v>5</v>
      </c>
      <c r="F103" s="11" t="s">
        <v>78</v>
      </c>
      <c r="G103" s="11" t="s">
        <v>79</v>
      </c>
      <c r="H103" s="12">
        <v>0.55000000000000004</v>
      </c>
      <c r="I103" s="13"/>
      <c r="J103" s="12">
        <v>0.05</v>
      </c>
      <c r="K103" s="14">
        <v>3</v>
      </c>
      <c r="L103" s="11" t="s">
        <v>604</v>
      </c>
      <c r="M103" s="15" t="s">
        <v>181</v>
      </c>
    </row>
    <row r="104" spans="1:13">
      <c r="A104" s="98">
        <v>43580</v>
      </c>
      <c r="B104" s="11" t="s">
        <v>14</v>
      </c>
      <c r="C104" s="11" t="s">
        <v>76</v>
      </c>
      <c r="D104" s="11" t="s">
        <v>77</v>
      </c>
      <c r="E104" s="11" t="s">
        <v>5</v>
      </c>
      <c r="F104" s="11" t="s">
        <v>78</v>
      </c>
      <c r="G104" s="11" t="s">
        <v>79</v>
      </c>
      <c r="H104" s="12">
        <v>0.43</v>
      </c>
      <c r="I104" s="13"/>
      <c r="J104" s="12">
        <v>0.05</v>
      </c>
      <c r="K104" s="14">
        <v>3</v>
      </c>
      <c r="L104" s="11" t="s">
        <v>604</v>
      </c>
      <c r="M104" s="15" t="s">
        <v>182</v>
      </c>
    </row>
    <row r="105" spans="1:13">
      <c r="A105" s="98">
        <v>43581</v>
      </c>
      <c r="B105" s="11" t="s">
        <v>14</v>
      </c>
      <c r="C105" s="11" t="s">
        <v>76</v>
      </c>
      <c r="D105" s="11" t="s">
        <v>77</v>
      </c>
      <c r="E105" s="11" t="s">
        <v>5</v>
      </c>
      <c r="F105" s="11" t="s">
        <v>78</v>
      </c>
      <c r="G105" s="11" t="s">
        <v>79</v>
      </c>
      <c r="H105" s="12">
        <v>1.25</v>
      </c>
      <c r="I105" s="13"/>
      <c r="J105" s="12">
        <v>0.05</v>
      </c>
      <c r="K105" s="14">
        <v>3</v>
      </c>
      <c r="L105" s="11" t="s">
        <v>604</v>
      </c>
      <c r="M105" s="15" t="s">
        <v>183</v>
      </c>
    </row>
    <row r="106" spans="1:13">
      <c r="A106" s="98">
        <v>43583</v>
      </c>
      <c r="B106" s="11" t="s">
        <v>14</v>
      </c>
      <c r="C106" s="11" t="s">
        <v>76</v>
      </c>
      <c r="D106" s="11" t="s">
        <v>77</v>
      </c>
      <c r="E106" s="11" t="s">
        <v>5</v>
      </c>
      <c r="F106" s="11" t="s">
        <v>78</v>
      </c>
      <c r="G106" s="11" t="s">
        <v>79</v>
      </c>
      <c r="H106" s="12">
        <v>1.08</v>
      </c>
      <c r="I106" s="13"/>
      <c r="J106" s="12">
        <v>0.05</v>
      </c>
      <c r="K106" s="14">
        <v>3</v>
      </c>
      <c r="L106" s="11" t="s">
        <v>604</v>
      </c>
      <c r="M106" s="15" t="s">
        <v>184</v>
      </c>
    </row>
    <row r="107" spans="1:13">
      <c r="A107" s="98">
        <v>43588</v>
      </c>
      <c r="B107" s="11" t="s">
        <v>14</v>
      </c>
      <c r="C107" s="11" t="s">
        <v>76</v>
      </c>
      <c r="D107" s="11" t="s">
        <v>77</v>
      </c>
      <c r="E107" s="11" t="s">
        <v>5</v>
      </c>
      <c r="F107" s="11" t="s">
        <v>78</v>
      </c>
      <c r="G107" s="11" t="s">
        <v>79</v>
      </c>
      <c r="H107" s="12">
        <v>0.25</v>
      </c>
      <c r="I107" s="13"/>
      <c r="J107" s="12">
        <v>0.05</v>
      </c>
      <c r="K107" s="14">
        <v>3</v>
      </c>
      <c r="L107" s="11" t="s">
        <v>604</v>
      </c>
      <c r="M107" s="15" t="s">
        <v>185</v>
      </c>
    </row>
    <row r="108" spans="1:13">
      <c r="A108" s="98">
        <v>43589</v>
      </c>
      <c r="B108" s="11" t="s">
        <v>14</v>
      </c>
      <c r="C108" s="11" t="s">
        <v>76</v>
      </c>
      <c r="D108" s="11" t="s">
        <v>77</v>
      </c>
      <c r="E108" s="11" t="s">
        <v>5</v>
      </c>
      <c r="F108" s="11" t="s">
        <v>78</v>
      </c>
      <c r="G108" s="11" t="s">
        <v>79</v>
      </c>
      <c r="H108" s="12">
        <v>0.55000000000000004</v>
      </c>
      <c r="I108" s="13"/>
      <c r="J108" s="12">
        <v>0.05</v>
      </c>
      <c r="K108" s="14">
        <v>3</v>
      </c>
      <c r="L108" s="11" t="s">
        <v>604</v>
      </c>
      <c r="M108" s="15" t="s">
        <v>186</v>
      </c>
    </row>
    <row r="109" spans="1:13">
      <c r="A109" s="98">
        <v>43590</v>
      </c>
      <c r="B109" s="11" t="s">
        <v>14</v>
      </c>
      <c r="C109" s="11" t="s">
        <v>76</v>
      </c>
      <c r="D109" s="11" t="s">
        <v>77</v>
      </c>
      <c r="E109" s="11" t="s">
        <v>5</v>
      </c>
      <c r="F109" s="11" t="s">
        <v>78</v>
      </c>
      <c r="G109" s="11" t="s">
        <v>79</v>
      </c>
      <c r="H109" s="12">
        <v>0.75</v>
      </c>
      <c r="I109" s="13"/>
      <c r="J109" s="12">
        <v>0.05</v>
      </c>
      <c r="K109" s="14">
        <v>3</v>
      </c>
      <c r="L109" s="11" t="s">
        <v>604</v>
      </c>
      <c r="M109" s="15" t="s">
        <v>187</v>
      </c>
    </row>
    <row r="110" spans="1:13">
      <c r="A110" s="98">
        <v>43595</v>
      </c>
      <c r="B110" s="11" t="s">
        <v>14</v>
      </c>
      <c r="C110" s="11" t="s">
        <v>76</v>
      </c>
      <c r="D110" s="11" t="s">
        <v>77</v>
      </c>
      <c r="E110" s="11" t="s">
        <v>5</v>
      </c>
      <c r="F110" s="11" t="s">
        <v>78</v>
      </c>
      <c r="G110" s="11" t="s">
        <v>79</v>
      </c>
      <c r="H110" s="12">
        <v>0.68</v>
      </c>
      <c r="I110" s="13"/>
      <c r="J110" s="12">
        <v>0.05</v>
      </c>
      <c r="K110" s="14">
        <v>3</v>
      </c>
      <c r="L110" s="11" t="s">
        <v>604</v>
      </c>
      <c r="M110" s="15" t="s">
        <v>188</v>
      </c>
    </row>
    <row r="111" spans="1:13">
      <c r="A111" s="98">
        <v>43596</v>
      </c>
      <c r="B111" s="11" t="s">
        <v>14</v>
      </c>
      <c r="C111" s="11" t="s">
        <v>76</v>
      </c>
      <c r="D111" s="11" t="s">
        <v>77</v>
      </c>
      <c r="E111" s="11" t="s">
        <v>5</v>
      </c>
      <c r="F111" s="11" t="s">
        <v>78</v>
      </c>
      <c r="G111" s="11" t="s">
        <v>79</v>
      </c>
      <c r="H111" s="12">
        <v>1.1200000000000001</v>
      </c>
      <c r="I111" s="13"/>
      <c r="J111" s="12">
        <v>0.05</v>
      </c>
      <c r="K111" s="14">
        <v>3</v>
      </c>
      <c r="L111" s="11" t="s">
        <v>604</v>
      </c>
      <c r="M111" s="15" t="s">
        <v>189</v>
      </c>
    </row>
    <row r="112" spans="1:13">
      <c r="A112" s="98">
        <v>43597</v>
      </c>
      <c r="B112" s="11" t="s">
        <v>14</v>
      </c>
      <c r="C112" s="11" t="s">
        <v>76</v>
      </c>
      <c r="D112" s="11" t="s">
        <v>77</v>
      </c>
      <c r="E112" s="11" t="s">
        <v>5</v>
      </c>
      <c r="F112" s="11" t="s">
        <v>78</v>
      </c>
      <c r="G112" s="11" t="s">
        <v>79</v>
      </c>
      <c r="H112" s="12">
        <v>0.98</v>
      </c>
      <c r="I112" s="13"/>
      <c r="J112" s="12">
        <v>0.05</v>
      </c>
      <c r="K112" s="14">
        <v>3</v>
      </c>
      <c r="L112" s="11" t="s">
        <v>604</v>
      </c>
      <c r="M112" s="15" t="s">
        <v>190</v>
      </c>
    </row>
    <row r="113" spans="1:13">
      <c r="A113" s="98">
        <v>43602</v>
      </c>
      <c r="B113" s="11" t="s">
        <v>14</v>
      </c>
      <c r="C113" s="11" t="s">
        <v>76</v>
      </c>
      <c r="D113" s="11" t="s">
        <v>77</v>
      </c>
      <c r="E113" s="11" t="s">
        <v>5</v>
      </c>
      <c r="F113" s="11" t="s">
        <v>78</v>
      </c>
      <c r="G113" s="11" t="s">
        <v>79</v>
      </c>
      <c r="H113" s="12">
        <v>1.39</v>
      </c>
      <c r="I113" s="13"/>
      <c r="J113" s="12">
        <v>0.05</v>
      </c>
      <c r="K113" s="14">
        <v>3</v>
      </c>
      <c r="L113" s="11" t="s">
        <v>604</v>
      </c>
      <c r="M113" s="15" t="s">
        <v>191</v>
      </c>
    </row>
    <row r="114" spans="1:13">
      <c r="A114" s="98">
        <v>43603</v>
      </c>
      <c r="B114" s="11" t="s">
        <v>14</v>
      </c>
      <c r="C114" s="11" t="s">
        <v>76</v>
      </c>
      <c r="D114" s="11" t="s">
        <v>77</v>
      </c>
      <c r="E114" s="11" t="s">
        <v>5</v>
      </c>
      <c r="F114" s="11" t="s">
        <v>78</v>
      </c>
      <c r="G114" s="11" t="s">
        <v>79</v>
      </c>
      <c r="H114" s="12">
        <v>0.69</v>
      </c>
      <c r="I114" s="13"/>
      <c r="J114" s="12">
        <v>0.05</v>
      </c>
      <c r="K114" s="14">
        <v>3</v>
      </c>
      <c r="L114" s="11" t="s">
        <v>604</v>
      </c>
      <c r="M114" s="15" t="s">
        <v>192</v>
      </c>
    </row>
    <row r="115" spans="1:13">
      <c r="A115" s="98">
        <v>43604</v>
      </c>
      <c r="B115" s="11" t="s">
        <v>14</v>
      </c>
      <c r="C115" s="11" t="s">
        <v>76</v>
      </c>
      <c r="D115" s="11" t="s">
        <v>77</v>
      </c>
      <c r="E115" s="11" t="s">
        <v>5</v>
      </c>
      <c r="F115" s="11" t="s">
        <v>78</v>
      </c>
      <c r="G115" s="11" t="s">
        <v>79</v>
      </c>
      <c r="H115" s="12">
        <v>1.07</v>
      </c>
      <c r="I115" s="13"/>
      <c r="J115" s="12">
        <v>0.05</v>
      </c>
      <c r="K115" s="14">
        <v>3</v>
      </c>
      <c r="L115" s="11" t="s">
        <v>604</v>
      </c>
      <c r="M115" s="15" t="s">
        <v>193</v>
      </c>
    </row>
    <row r="116" spans="1:13">
      <c r="A116" s="98">
        <v>43609</v>
      </c>
      <c r="B116" s="11" t="s">
        <v>14</v>
      </c>
      <c r="C116" s="11" t="s">
        <v>76</v>
      </c>
      <c r="D116" s="11" t="s">
        <v>77</v>
      </c>
      <c r="E116" s="11" t="s">
        <v>5</v>
      </c>
      <c r="F116" s="11" t="s">
        <v>78</v>
      </c>
      <c r="G116" s="11" t="s">
        <v>79</v>
      </c>
      <c r="H116" s="12">
        <v>0.34</v>
      </c>
      <c r="I116" s="13"/>
      <c r="J116" s="12">
        <v>0.05</v>
      </c>
      <c r="K116" s="14">
        <v>3</v>
      </c>
      <c r="L116" s="11" t="s">
        <v>604</v>
      </c>
      <c r="M116" s="15" t="s">
        <v>194</v>
      </c>
    </row>
    <row r="117" spans="1:13">
      <c r="A117" s="98">
        <v>43610</v>
      </c>
      <c r="B117" s="11" t="s">
        <v>14</v>
      </c>
      <c r="C117" s="11" t="s">
        <v>76</v>
      </c>
      <c r="D117" s="11" t="s">
        <v>77</v>
      </c>
      <c r="E117" s="11" t="s">
        <v>5</v>
      </c>
      <c r="F117" s="11" t="s">
        <v>78</v>
      </c>
      <c r="G117" s="11" t="s">
        <v>79</v>
      </c>
      <c r="H117" s="12">
        <v>0.47</v>
      </c>
      <c r="I117" s="13"/>
      <c r="J117" s="12">
        <v>0.05</v>
      </c>
      <c r="K117" s="14">
        <v>3</v>
      </c>
      <c r="L117" s="11" t="s">
        <v>604</v>
      </c>
      <c r="M117" s="15" t="s">
        <v>195</v>
      </c>
    </row>
    <row r="118" spans="1:13">
      <c r="A118" s="98">
        <v>43611</v>
      </c>
      <c r="B118" s="11" t="s">
        <v>14</v>
      </c>
      <c r="C118" s="11" t="s">
        <v>76</v>
      </c>
      <c r="D118" s="11" t="s">
        <v>77</v>
      </c>
      <c r="E118" s="11" t="s">
        <v>5</v>
      </c>
      <c r="F118" s="11" t="s">
        <v>78</v>
      </c>
      <c r="G118" s="11" t="s">
        <v>79</v>
      </c>
      <c r="H118" s="12">
        <v>0.49</v>
      </c>
      <c r="I118" s="13"/>
      <c r="J118" s="12">
        <v>0.05</v>
      </c>
      <c r="K118" s="14">
        <v>3</v>
      </c>
      <c r="L118" s="11" t="s">
        <v>604</v>
      </c>
      <c r="M118" s="15" t="s">
        <v>196</v>
      </c>
    </row>
    <row r="119" spans="1:13">
      <c r="A119" s="98">
        <v>43616</v>
      </c>
      <c r="B119" s="11" t="s">
        <v>14</v>
      </c>
      <c r="C119" s="11" t="s">
        <v>76</v>
      </c>
      <c r="D119" s="11" t="s">
        <v>77</v>
      </c>
      <c r="E119" s="11" t="s">
        <v>5</v>
      </c>
      <c r="F119" s="11" t="s">
        <v>78</v>
      </c>
      <c r="G119" s="11" t="s">
        <v>79</v>
      </c>
      <c r="H119" s="12">
        <v>0.7</v>
      </c>
      <c r="I119" s="13"/>
      <c r="J119" s="12">
        <v>0.05</v>
      </c>
      <c r="K119" s="14">
        <v>3</v>
      </c>
      <c r="L119" s="11" t="s">
        <v>604</v>
      </c>
      <c r="M119" s="15" t="s">
        <v>197</v>
      </c>
    </row>
    <row r="120" spans="1:13">
      <c r="A120" s="98">
        <v>43617</v>
      </c>
      <c r="B120" s="11" t="s">
        <v>14</v>
      </c>
      <c r="C120" s="11" t="s">
        <v>76</v>
      </c>
      <c r="D120" s="11" t="s">
        <v>77</v>
      </c>
      <c r="E120" s="11" t="s">
        <v>5</v>
      </c>
      <c r="F120" s="11" t="s">
        <v>78</v>
      </c>
      <c r="G120" s="11" t="s">
        <v>79</v>
      </c>
      <c r="H120" s="12">
        <v>0.62</v>
      </c>
      <c r="I120" s="13"/>
      <c r="J120" s="12">
        <v>0.05</v>
      </c>
      <c r="K120" s="14">
        <v>3</v>
      </c>
      <c r="L120" s="11" t="s">
        <v>604</v>
      </c>
      <c r="M120" s="15" t="s">
        <v>198</v>
      </c>
    </row>
    <row r="121" spans="1:13">
      <c r="A121" s="98">
        <v>43619</v>
      </c>
      <c r="B121" s="11" t="s">
        <v>14</v>
      </c>
      <c r="C121" s="11" t="s">
        <v>76</v>
      </c>
      <c r="D121" s="11" t="s">
        <v>77</v>
      </c>
      <c r="E121" s="11" t="s">
        <v>5</v>
      </c>
      <c r="F121" s="11" t="s">
        <v>78</v>
      </c>
      <c r="G121" s="11" t="s">
        <v>79</v>
      </c>
      <c r="H121" s="12">
        <v>0.68</v>
      </c>
      <c r="I121" s="13"/>
      <c r="J121" s="12">
        <v>0.05</v>
      </c>
      <c r="K121" s="14">
        <v>3</v>
      </c>
      <c r="L121" s="11" t="s">
        <v>604</v>
      </c>
      <c r="M121" s="15" t="s">
        <v>199</v>
      </c>
    </row>
    <row r="122" spans="1:13">
      <c r="A122" s="98">
        <v>43623</v>
      </c>
      <c r="B122" s="11" t="s">
        <v>14</v>
      </c>
      <c r="C122" s="11" t="s">
        <v>76</v>
      </c>
      <c r="D122" s="11" t="s">
        <v>77</v>
      </c>
      <c r="E122" s="11" t="s">
        <v>5</v>
      </c>
      <c r="F122" s="11" t="s">
        <v>78</v>
      </c>
      <c r="G122" s="11" t="s">
        <v>79</v>
      </c>
      <c r="H122" s="12">
        <v>0.9</v>
      </c>
      <c r="I122" s="13"/>
      <c r="J122" s="12">
        <v>0.05</v>
      </c>
      <c r="K122" s="14">
        <v>3</v>
      </c>
      <c r="L122" s="11" t="s">
        <v>604</v>
      </c>
      <c r="M122" s="15" t="s">
        <v>200</v>
      </c>
    </row>
    <row r="123" spans="1:13">
      <c r="A123" s="98">
        <v>43624</v>
      </c>
      <c r="B123" s="11" t="s">
        <v>14</v>
      </c>
      <c r="C123" s="11" t="s">
        <v>76</v>
      </c>
      <c r="D123" s="11" t="s">
        <v>77</v>
      </c>
      <c r="E123" s="11" t="s">
        <v>5</v>
      </c>
      <c r="F123" s="11" t="s">
        <v>78</v>
      </c>
      <c r="G123" s="11" t="s">
        <v>79</v>
      </c>
      <c r="H123" s="12">
        <v>0.38</v>
      </c>
      <c r="I123" s="13"/>
      <c r="J123" s="12">
        <v>0.05</v>
      </c>
      <c r="K123" s="14">
        <v>3</v>
      </c>
      <c r="L123" s="11" t="s">
        <v>604</v>
      </c>
      <c r="M123" s="15" t="s">
        <v>201</v>
      </c>
    </row>
    <row r="124" spans="1:13">
      <c r="A124" s="98">
        <v>43626</v>
      </c>
      <c r="B124" s="11" t="s">
        <v>14</v>
      </c>
      <c r="C124" s="11" t="s">
        <v>76</v>
      </c>
      <c r="D124" s="11" t="s">
        <v>77</v>
      </c>
      <c r="E124" s="11" t="s">
        <v>5</v>
      </c>
      <c r="F124" s="11" t="s">
        <v>78</v>
      </c>
      <c r="G124" s="11" t="s">
        <v>79</v>
      </c>
      <c r="H124" s="12">
        <v>0.88</v>
      </c>
      <c r="I124" s="13"/>
      <c r="J124" s="12">
        <v>0.05</v>
      </c>
      <c r="K124" s="14">
        <v>3</v>
      </c>
      <c r="L124" s="11" t="s">
        <v>604</v>
      </c>
      <c r="M124" s="15" t="s">
        <v>202</v>
      </c>
    </row>
    <row r="125" spans="1:13">
      <c r="A125" s="98">
        <v>43630</v>
      </c>
      <c r="B125" s="11" t="s">
        <v>14</v>
      </c>
      <c r="C125" s="11" t="s">
        <v>76</v>
      </c>
      <c r="D125" s="11" t="s">
        <v>77</v>
      </c>
      <c r="E125" s="11" t="s">
        <v>5</v>
      </c>
      <c r="F125" s="11" t="s">
        <v>78</v>
      </c>
      <c r="G125" s="11" t="s">
        <v>79</v>
      </c>
      <c r="H125" s="12">
        <v>1.07</v>
      </c>
      <c r="I125" s="13"/>
      <c r="J125" s="12">
        <v>0.05</v>
      </c>
      <c r="K125" s="14">
        <v>3</v>
      </c>
      <c r="L125" s="11" t="s">
        <v>604</v>
      </c>
      <c r="M125" s="15" t="s">
        <v>203</v>
      </c>
    </row>
    <row r="126" spans="1:13">
      <c r="A126" s="98">
        <v>43631</v>
      </c>
      <c r="B126" s="11" t="s">
        <v>14</v>
      </c>
      <c r="C126" s="11" t="s">
        <v>76</v>
      </c>
      <c r="D126" s="11" t="s">
        <v>77</v>
      </c>
      <c r="E126" s="11" t="s">
        <v>5</v>
      </c>
      <c r="F126" s="11" t="s">
        <v>78</v>
      </c>
      <c r="G126" s="11" t="s">
        <v>79</v>
      </c>
      <c r="H126" s="12">
        <v>1.23</v>
      </c>
      <c r="I126" s="13"/>
      <c r="J126" s="12">
        <v>0.05</v>
      </c>
      <c r="K126" s="14">
        <v>3</v>
      </c>
      <c r="L126" s="11" t="s">
        <v>604</v>
      </c>
      <c r="M126" s="15" t="s">
        <v>204</v>
      </c>
    </row>
    <row r="127" spans="1:13">
      <c r="A127" s="98">
        <v>43633</v>
      </c>
      <c r="B127" s="11" t="s">
        <v>14</v>
      </c>
      <c r="C127" s="11" t="s">
        <v>76</v>
      </c>
      <c r="D127" s="11" t="s">
        <v>77</v>
      </c>
      <c r="E127" s="11" t="s">
        <v>5</v>
      </c>
      <c r="F127" s="11" t="s">
        <v>78</v>
      </c>
      <c r="G127" s="11" t="s">
        <v>79</v>
      </c>
      <c r="H127" s="12">
        <v>1.88</v>
      </c>
      <c r="I127" s="13"/>
      <c r="J127" s="12">
        <v>0.05</v>
      </c>
      <c r="K127" s="14">
        <v>3</v>
      </c>
      <c r="L127" s="11" t="s">
        <v>604</v>
      </c>
      <c r="M127" s="15" t="s">
        <v>205</v>
      </c>
    </row>
    <row r="128" spans="1:13">
      <c r="A128" s="98">
        <v>43637</v>
      </c>
      <c r="B128" s="11" t="s">
        <v>14</v>
      </c>
      <c r="C128" s="11" t="s">
        <v>76</v>
      </c>
      <c r="D128" s="11" t="s">
        <v>77</v>
      </c>
      <c r="E128" s="11" t="s">
        <v>5</v>
      </c>
      <c r="F128" s="11" t="s">
        <v>78</v>
      </c>
      <c r="G128" s="11" t="s">
        <v>79</v>
      </c>
      <c r="H128" s="12">
        <v>1.46</v>
      </c>
      <c r="I128" s="13"/>
      <c r="J128" s="12">
        <v>0.05</v>
      </c>
      <c r="K128" s="14">
        <v>3</v>
      </c>
      <c r="L128" s="11" t="s">
        <v>604</v>
      </c>
      <c r="M128" s="15" t="s">
        <v>206</v>
      </c>
    </row>
    <row r="129" spans="1:13">
      <c r="A129" s="98">
        <v>43638</v>
      </c>
      <c r="B129" s="11" t="s">
        <v>14</v>
      </c>
      <c r="C129" s="11" t="s">
        <v>76</v>
      </c>
      <c r="D129" s="11" t="s">
        <v>77</v>
      </c>
      <c r="E129" s="11" t="s">
        <v>5</v>
      </c>
      <c r="F129" s="11" t="s">
        <v>78</v>
      </c>
      <c r="G129" s="11" t="s">
        <v>79</v>
      </c>
      <c r="H129" s="12">
        <v>0.76</v>
      </c>
      <c r="I129" s="13"/>
      <c r="J129" s="12">
        <v>0.05</v>
      </c>
      <c r="K129" s="14">
        <v>3</v>
      </c>
      <c r="L129" s="11" t="s">
        <v>604</v>
      </c>
      <c r="M129" s="15" t="s">
        <v>207</v>
      </c>
    </row>
    <row r="130" spans="1:13">
      <c r="A130" s="98">
        <v>43640</v>
      </c>
      <c r="B130" s="11" t="s">
        <v>14</v>
      </c>
      <c r="C130" s="11" t="s">
        <v>76</v>
      </c>
      <c r="D130" s="11" t="s">
        <v>77</v>
      </c>
      <c r="E130" s="11" t="s">
        <v>5</v>
      </c>
      <c r="F130" s="11" t="s">
        <v>78</v>
      </c>
      <c r="G130" s="11" t="s">
        <v>79</v>
      </c>
      <c r="H130" s="12">
        <v>0.81</v>
      </c>
      <c r="I130" s="13"/>
      <c r="J130" s="12">
        <v>0.05</v>
      </c>
      <c r="K130" s="14">
        <v>3</v>
      </c>
      <c r="L130" s="11" t="s">
        <v>604</v>
      </c>
      <c r="M130" s="15" t="s">
        <v>208</v>
      </c>
    </row>
    <row r="131" spans="1:13">
      <c r="A131" s="98">
        <v>43644</v>
      </c>
      <c r="B131" s="11" t="s">
        <v>14</v>
      </c>
      <c r="C131" s="11" t="s">
        <v>76</v>
      </c>
      <c r="D131" s="11" t="s">
        <v>77</v>
      </c>
      <c r="E131" s="11" t="s">
        <v>5</v>
      </c>
      <c r="F131" s="11" t="s">
        <v>78</v>
      </c>
      <c r="G131" s="11" t="s">
        <v>79</v>
      </c>
      <c r="H131" s="12">
        <v>1.86</v>
      </c>
      <c r="I131" s="13"/>
      <c r="J131" s="12">
        <v>0.05</v>
      </c>
      <c r="K131" s="14">
        <v>3</v>
      </c>
      <c r="L131" s="11" t="s">
        <v>604</v>
      </c>
      <c r="M131" s="15" t="s">
        <v>210</v>
      </c>
    </row>
    <row r="132" spans="1:13">
      <c r="A132" s="98">
        <v>43645</v>
      </c>
      <c r="B132" s="11" t="s">
        <v>14</v>
      </c>
      <c r="C132" s="11" t="s">
        <v>76</v>
      </c>
      <c r="D132" s="11" t="s">
        <v>77</v>
      </c>
      <c r="E132" s="11" t="s">
        <v>5</v>
      </c>
      <c r="F132" s="11" t="s">
        <v>78</v>
      </c>
      <c r="G132" s="11" t="s">
        <v>79</v>
      </c>
      <c r="H132" s="12">
        <v>1.48</v>
      </c>
      <c r="I132" s="13"/>
      <c r="J132" s="12">
        <v>0.05</v>
      </c>
      <c r="K132" s="14">
        <v>3</v>
      </c>
      <c r="L132" s="11" t="s">
        <v>604</v>
      </c>
      <c r="M132" s="15" t="s">
        <v>211</v>
      </c>
    </row>
    <row r="133" spans="1:13">
      <c r="A133" s="98">
        <v>43647</v>
      </c>
      <c r="B133" s="11" t="s">
        <v>14</v>
      </c>
      <c r="C133" s="11" t="s">
        <v>76</v>
      </c>
      <c r="D133" s="11" t="s">
        <v>77</v>
      </c>
      <c r="E133" s="11" t="s">
        <v>5</v>
      </c>
      <c r="F133" s="11" t="s">
        <v>78</v>
      </c>
      <c r="G133" s="11" t="s">
        <v>79</v>
      </c>
      <c r="H133" s="12">
        <v>1.36</v>
      </c>
      <c r="I133" s="13"/>
      <c r="J133" s="12">
        <v>0.05</v>
      </c>
      <c r="K133" s="14">
        <v>3</v>
      </c>
      <c r="L133" s="11" t="s">
        <v>604</v>
      </c>
      <c r="M133" s="15" t="s">
        <v>615</v>
      </c>
    </row>
    <row r="134" spans="1:13">
      <c r="A134" s="98">
        <v>43651</v>
      </c>
      <c r="B134" s="11" t="s">
        <v>14</v>
      </c>
      <c r="C134" s="11" t="s">
        <v>76</v>
      </c>
      <c r="D134" s="11" t="s">
        <v>77</v>
      </c>
      <c r="E134" s="11" t="s">
        <v>5</v>
      </c>
      <c r="F134" s="11" t="s">
        <v>78</v>
      </c>
      <c r="G134" s="11" t="s">
        <v>79</v>
      </c>
      <c r="H134" s="12">
        <v>1.1399999999999999</v>
      </c>
      <c r="I134" s="13"/>
      <c r="J134" s="12">
        <v>0.05</v>
      </c>
      <c r="K134" s="14">
        <v>3</v>
      </c>
      <c r="L134" s="11" t="s">
        <v>604</v>
      </c>
      <c r="M134" s="15" t="s">
        <v>616</v>
      </c>
    </row>
    <row r="135" spans="1:13">
      <c r="A135" s="98">
        <v>43652</v>
      </c>
      <c r="B135" s="11" t="s">
        <v>14</v>
      </c>
      <c r="C135" s="11" t="s">
        <v>76</v>
      </c>
      <c r="D135" s="11" t="s">
        <v>77</v>
      </c>
      <c r="E135" s="11" t="s">
        <v>5</v>
      </c>
      <c r="F135" s="11" t="s">
        <v>78</v>
      </c>
      <c r="G135" s="11" t="s">
        <v>79</v>
      </c>
      <c r="H135" s="12">
        <v>1.3</v>
      </c>
      <c r="I135" s="13"/>
      <c r="J135" s="12">
        <v>0.05</v>
      </c>
      <c r="K135" s="14">
        <v>3</v>
      </c>
      <c r="L135" s="11" t="s">
        <v>604</v>
      </c>
      <c r="M135" s="15" t="s">
        <v>617</v>
      </c>
    </row>
    <row r="136" spans="1:13">
      <c r="A136" s="98">
        <v>43653</v>
      </c>
      <c r="B136" s="11" t="s">
        <v>14</v>
      </c>
      <c r="C136" s="11" t="s">
        <v>76</v>
      </c>
      <c r="D136" s="11" t="s">
        <v>77</v>
      </c>
      <c r="E136" s="11" t="s">
        <v>5</v>
      </c>
      <c r="F136" s="11" t="s">
        <v>78</v>
      </c>
      <c r="G136" s="11" t="s">
        <v>79</v>
      </c>
      <c r="H136" s="12">
        <v>1.04</v>
      </c>
      <c r="I136" s="13"/>
      <c r="J136" s="12">
        <v>0.05</v>
      </c>
      <c r="K136" s="14">
        <v>3</v>
      </c>
      <c r="L136" s="11" t="s">
        <v>604</v>
      </c>
      <c r="M136" s="15" t="s">
        <v>618</v>
      </c>
    </row>
    <row r="137" spans="1:13">
      <c r="A137" s="98">
        <v>43654</v>
      </c>
      <c r="B137" s="11" t="s">
        <v>14</v>
      </c>
      <c r="C137" s="11" t="s">
        <v>76</v>
      </c>
      <c r="D137" s="11" t="s">
        <v>77</v>
      </c>
      <c r="E137" s="11" t="s">
        <v>5</v>
      </c>
      <c r="F137" s="11" t="s">
        <v>78</v>
      </c>
      <c r="G137" s="11" t="s">
        <v>79</v>
      </c>
      <c r="H137" s="12">
        <v>1.57</v>
      </c>
      <c r="I137" s="13"/>
      <c r="J137" s="12">
        <v>0.05</v>
      </c>
      <c r="K137" s="14">
        <v>3</v>
      </c>
      <c r="L137" s="11" t="s">
        <v>604</v>
      </c>
      <c r="M137" s="15" t="s">
        <v>619</v>
      </c>
    </row>
    <row r="138" spans="1:13">
      <c r="A138" s="98">
        <v>43656</v>
      </c>
      <c r="B138" s="11" t="s">
        <v>14</v>
      </c>
      <c r="C138" s="11" t="s">
        <v>76</v>
      </c>
      <c r="D138" s="11" t="s">
        <v>77</v>
      </c>
      <c r="E138" s="11" t="s">
        <v>5</v>
      </c>
      <c r="F138" s="11" t="s">
        <v>78</v>
      </c>
      <c r="G138" s="11" t="s">
        <v>79</v>
      </c>
      <c r="H138" s="12">
        <v>1.68</v>
      </c>
      <c r="I138" s="13"/>
      <c r="J138" s="12">
        <v>0.05</v>
      </c>
      <c r="K138" s="14">
        <v>3</v>
      </c>
      <c r="L138" s="11" t="s">
        <v>604</v>
      </c>
      <c r="M138" s="15" t="s">
        <v>620</v>
      </c>
    </row>
    <row r="139" spans="1:13">
      <c r="A139" s="98">
        <v>43660</v>
      </c>
      <c r="B139" s="11" t="s">
        <v>14</v>
      </c>
      <c r="C139" s="11" t="s">
        <v>76</v>
      </c>
      <c r="D139" s="11" t="s">
        <v>77</v>
      </c>
      <c r="E139" s="11" t="s">
        <v>5</v>
      </c>
      <c r="F139" s="11" t="s">
        <v>78</v>
      </c>
      <c r="G139" s="11" t="s">
        <v>79</v>
      </c>
      <c r="H139" s="12">
        <v>2.2400000000000002</v>
      </c>
      <c r="I139" s="13"/>
      <c r="J139" s="12">
        <v>0.05</v>
      </c>
      <c r="K139" s="14">
        <v>3</v>
      </c>
      <c r="L139" s="11" t="s">
        <v>604</v>
      </c>
      <c r="M139" s="15" t="s">
        <v>621</v>
      </c>
    </row>
    <row r="140" spans="1:13">
      <c r="A140" s="98">
        <v>43661</v>
      </c>
      <c r="B140" s="11" t="s">
        <v>14</v>
      </c>
      <c r="C140" s="11" t="s">
        <v>76</v>
      </c>
      <c r="D140" s="11" t="s">
        <v>77</v>
      </c>
      <c r="E140" s="11" t="s">
        <v>5</v>
      </c>
      <c r="F140" s="11" t="s">
        <v>78</v>
      </c>
      <c r="G140" s="11" t="s">
        <v>79</v>
      </c>
      <c r="H140" s="12">
        <v>1.73</v>
      </c>
      <c r="I140" s="13"/>
      <c r="J140" s="12">
        <v>0.05</v>
      </c>
      <c r="K140" s="14">
        <v>3</v>
      </c>
      <c r="L140" s="11" t="s">
        <v>604</v>
      </c>
      <c r="M140" s="15" t="s">
        <v>622</v>
      </c>
    </row>
    <row r="141" spans="1:13">
      <c r="A141" s="98">
        <v>43663</v>
      </c>
      <c r="B141" s="11" t="s">
        <v>14</v>
      </c>
      <c r="C141" s="11" t="s">
        <v>76</v>
      </c>
      <c r="D141" s="11" t="s">
        <v>77</v>
      </c>
      <c r="E141" s="11" t="s">
        <v>5</v>
      </c>
      <c r="F141" s="11" t="s">
        <v>78</v>
      </c>
      <c r="G141" s="11" t="s">
        <v>79</v>
      </c>
      <c r="H141" s="12">
        <v>1.26</v>
      </c>
      <c r="I141" s="13"/>
      <c r="J141" s="12">
        <v>0.05</v>
      </c>
      <c r="K141" s="14">
        <v>3</v>
      </c>
      <c r="L141" s="11" t="s">
        <v>604</v>
      </c>
      <c r="M141" s="15" t="s">
        <v>623</v>
      </c>
    </row>
    <row r="142" spans="1:13">
      <c r="A142" s="98">
        <v>43667</v>
      </c>
      <c r="B142" s="11" t="s">
        <v>14</v>
      </c>
      <c r="C142" s="11" t="s">
        <v>76</v>
      </c>
      <c r="D142" s="11" t="s">
        <v>77</v>
      </c>
      <c r="E142" s="11" t="s">
        <v>5</v>
      </c>
      <c r="F142" s="11" t="s">
        <v>78</v>
      </c>
      <c r="G142" s="11" t="s">
        <v>79</v>
      </c>
      <c r="H142" s="12">
        <v>0.67</v>
      </c>
      <c r="I142" s="13"/>
      <c r="J142" s="12">
        <v>0.05</v>
      </c>
      <c r="K142" s="14">
        <v>3</v>
      </c>
      <c r="L142" s="11" t="s">
        <v>604</v>
      </c>
      <c r="M142" s="15" t="s">
        <v>624</v>
      </c>
    </row>
    <row r="143" spans="1:13">
      <c r="A143" s="98">
        <v>43668</v>
      </c>
      <c r="B143" s="11" t="s">
        <v>14</v>
      </c>
      <c r="C143" s="11" t="s">
        <v>76</v>
      </c>
      <c r="D143" s="11" t="s">
        <v>77</v>
      </c>
      <c r="E143" s="11" t="s">
        <v>5</v>
      </c>
      <c r="F143" s="11" t="s">
        <v>78</v>
      </c>
      <c r="G143" s="11" t="s">
        <v>79</v>
      </c>
      <c r="H143" s="12">
        <v>1.29</v>
      </c>
      <c r="I143" s="13"/>
      <c r="J143" s="12">
        <v>0.05</v>
      </c>
      <c r="K143" s="14">
        <v>3</v>
      </c>
      <c r="L143" s="11" t="s">
        <v>604</v>
      </c>
      <c r="M143" s="15" t="s">
        <v>625</v>
      </c>
    </row>
    <row r="144" spans="1:13">
      <c r="A144" s="98">
        <v>43670</v>
      </c>
      <c r="B144" s="11" t="s">
        <v>14</v>
      </c>
      <c r="C144" s="11" t="s">
        <v>76</v>
      </c>
      <c r="D144" s="11" t="s">
        <v>77</v>
      </c>
      <c r="E144" s="11" t="s">
        <v>5</v>
      </c>
      <c r="F144" s="11" t="s">
        <v>78</v>
      </c>
      <c r="G144" s="11" t="s">
        <v>79</v>
      </c>
      <c r="H144" s="12">
        <v>0.36</v>
      </c>
      <c r="I144" s="13"/>
      <c r="J144" s="12">
        <v>0.05</v>
      </c>
      <c r="K144" s="14">
        <v>3</v>
      </c>
      <c r="L144" s="11" t="s">
        <v>604</v>
      </c>
      <c r="M144" s="15" t="s">
        <v>626</v>
      </c>
    </row>
    <row r="145" spans="1:13">
      <c r="A145" s="98">
        <v>43674</v>
      </c>
      <c r="B145" s="11" t="s">
        <v>14</v>
      </c>
      <c r="C145" s="11" t="s">
        <v>76</v>
      </c>
      <c r="D145" s="11" t="s">
        <v>77</v>
      </c>
      <c r="E145" s="11" t="s">
        <v>5</v>
      </c>
      <c r="F145" s="11" t="s">
        <v>78</v>
      </c>
      <c r="G145" s="11" t="s">
        <v>79</v>
      </c>
      <c r="H145" s="12">
        <v>0.94</v>
      </c>
      <c r="I145" s="13"/>
      <c r="J145" s="12">
        <v>0.05</v>
      </c>
      <c r="K145" s="14">
        <v>3</v>
      </c>
      <c r="L145" s="11" t="s">
        <v>604</v>
      </c>
      <c r="M145" s="15" t="s">
        <v>627</v>
      </c>
    </row>
    <row r="146" spans="1:13">
      <c r="A146" s="98">
        <v>43675</v>
      </c>
      <c r="B146" s="11" t="s">
        <v>14</v>
      </c>
      <c r="C146" s="11" t="s">
        <v>76</v>
      </c>
      <c r="D146" s="11" t="s">
        <v>77</v>
      </c>
      <c r="E146" s="11" t="s">
        <v>5</v>
      </c>
      <c r="F146" s="11" t="s">
        <v>78</v>
      </c>
      <c r="G146" s="11" t="s">
        <v>79</v>
      </c>
      <c r="H146" s="12">
        <v>0.22</v>
      </c>
      <c r="I146" s="13"/>
      <c r="J146" s="12">
        <v>0.05</v>
      </c>
      <c r="K146" s="14">
        <v>3</v>
      </c>
      <c r="L146" s="11" t="s">
        <v>604</v>
      </c>
      <c r="M146" s="15" t="s">
        <v>628</v>
      </c>
    </row>
    <row r="147" spans="1:13">
      <c r="A147" s="98">
        <v>43677</v>
      </c>
      <c r="B147" s="11" t="s">
        <v>14</v>
      </c>
      <c r="C147" s="11" t="s">
        <v>76</v>
      </c>
      <c r="D147" s="11" t="s">
        <v>77</v>
      </c>
      <c r="E147" s="11" t="s">
        <v>5</v>
      </c>
      <c r="F147" s="11" t="s">
        <v>78</v>
      </c>
      <c r="G147" s="11" t="s">
        <v>79</v>
      </c>
      <c r="H147" s="12">
        <v>0.41</v>
      </c>
      <c r="I147" s="13"/>
      <c r="J147" s="12">
        <v>0.05</v>
      </c>
      <c r="K147" s="14">
        <v>3</v>
      </c>
      <c r="L147" s="11" t="s">
        <v>604</v>
      </c>
      <c r="M147" s="15" t="s">
        <v>629</v>
      </c>
    </row>
    <row r="148" spans="1:13">
      <c r="A148" s="98">
        <v>43681</v>
      </c>
      <c r="B148" s="11" t="s">
        <v>14</v>
      </c>
      <c r="C148" s="11" t="s">
        <v>76</v>
      </c>
      <c r="D148" s="11" t="s">
        <v>77</v>
      </c>
      <c r="E148" s="11" t="s">
        <v>5</v>
      </c>
      <c r="F148" s="11" t="s">
        <v>78</v>
      </c>
      <c r="G148" s="11" t="s">
        <v>79</v>
      </c>
      <c r="H148" s="12">
        <v>0.38</v>
      </c>
      <c r="I148" s="13"/>
      <c r="J148" s="12">
        <v>0.05</v>
      </c>
      <c r="K148" s="14">
        <v>3</v>
      </c>
      <c r="L148" s="11" t="s">
        <v>604</v>
      </c>
      <c r="M148" s="15" t="s">
        <v>676</v>
      </c>
    </row>
    <row r="149" spans="1:13">
      <c r="A149" s="98">
        <v>43682</v>
      </c>
      <c r="B149" s="11" t="s">
        <v>14</v>
      </c>
      <c r="C149" s="11" t="s">
        <v>76</v>
      </c>
      <c r="D149" s="11" t="s">
        <v>77</v>
      </c>
      <c r="E149" s="11" t="s">
        <v>5</v>
      </c>
      <c r="F149" s="11" t="s">
        <v>78</v>
      </c>
      <c r="G149" s="11" t="s">
        <v>79</v>
      </c>
      <c r="H149" s="12">
        <v>0.19</v>
      </c>
      <c r="I149" s="13"/>
      <c r="J149" s="12">
        <v>0.05</v>
      </c>
      <c r="K149" s="14">
        <v>3</v>
      </c>
      <c r="L149" s="11" t="s">
        <v>604</v>
      </c>
      <c r="M149" s="15" t="s">
        <v>677</v>
      </c>
    </row>
    <row r="150" spans="1:13">
      <c r="A150" s="98">
        <v>43684</v>
      </c>
      <c r="B150" s="11" t="s">
        <v>14</v>
      </c>
      <c r="C150" s="11" t="s">
        <v>76</v>
      </c>
      <c r="D150" s="11" t="s">
        <v>77</v>
      </c>
      <c r="E150" s="11" t="s">
        <v>5</v>
      </c>
      <c r="F150" s="11" t="s">
        <v>78</v>
      </c>
      <c r="G150" s="11" t="s">
        <v>79</v>
      </c>
      <c r="H150" s="12">
        <v>0.51</v>
      </c>
      <c r="I150" s="13"/>
      <c r="J150" s="12">
        <v>0.05</v>
      </c>
      <c r="K150" s="14">
        <v>3</v>
      </c>
      <c r="L150" s="11" t="s">
        <v>604</v>
      </c>
      <c r="M150" s="15" t="s">
        <v>678</v>
      </c>
    </row>
    <row r="151" spans="1:13">
      <c r="A151" s="98">
        <v>43688</v>
      </c>
      <c r="B151" s="11" t="s">
        <v>14</v>
      </c>
      <c r="C151" s="11" t="s">
        <v>76</v>
      </c>
      <c r="D151" s="11" t="s">
        <v>77</v>
      </c>
      <c r="E151" s="11" t="s">
        <v>5</v>
      </c>
      <c r="F151" s="11" t="s">
        <v>78</v>
      </c>
      <c r="G151" s="11" t="s">
        <v>79</v>
      </c>
      <c r="H151" s="12">
        <v>0.72</v>
      </c>
      <c r="I151" s="13"/>
      <c r="J151" s="12">
        <v>0.05</v>
      </c>
      <c r="K151" s="14">
        <v>3</v>
      </c>
      <c r="L151" s="11" t="s">
        <v>604</v>
      </c>
      <c r="M151" s="15" t="s">
        <v>679</v>
      </c>
    </row>
    <row r="152" spans="1:13">
      <c r="A152" s="98">
        <v>43692</v>
      </c>
      <c r="B152" s="11" t="s">
        <v>14</v>
      </c>
      <c r="C152" s="11" t="s">
        <v>76</v>
      </c>
      <c r="D152" s="11" t="s">
        <v>77</v>
      </c>
      <c r="E152" s="11" t="s">
        <v>5</v>
      </c>
      <c r="F152" s="11" t="s">
        <v>78</v>
      </c>
      <c r="G152" s="11" t="s">
        <v>79</v>
      </c>
      <c r="H152" s="12">
        <v>0.34</v>
      </c>
      <c r="I152" s="13"/>
      <c r="J152" s="12">
        <v>0.05</v>
      </c>
      <c r="K152" s="14">
        <v>3</v>
      </c>
      <c r="L152" s="11" t="s">
        <v>604</v>
      </c>
      <c r="M152" s="15" t="s">
        <v>680</v>
      </c>
    </row>
    <row r="153" spans="1:13">
      <c r="A153" s="98">
        <v>43693</v>
      </c>
      <c r="B153" s="11" t="s">
        <v>14</v>
      </c>
      <c r="C153" s="11" t="s">
        <v>76</v>
      </c>
      <c r="D153" s="11" t="s">
        <v>77</v>
      </c>
      <c r="E153" s="11" t="s">
        <v>5</v>
      </c>
      <c r="F153" s="11" t="s">
        <v>78</v>
      </c>
      <c r="G153" s="11" t="s">
        <v>79</v>
      </c>
      <c r="H153" s="12">
        <v>0.51</v>
      </c>
      <c r="I153" s="13"/>
      <c r="J153" s="12">
        <v>0.05</v>
      </c>
      <c r="K153" s="14">
        <v>3</v>
      </c>
      <c r="L153" s="11" t="s">
        <v>604</v>
      </c>
      <c r="M153" s="15" t="s">
        <v>681</v>
      </c>
    </row>
    <row r="154" spans="1:13">
      <c r="A154" s="98">
        <v>43695</v>
      </c>
      <c r="B154" s="11" t="s">
        <v>14</v>
      </c>
      <c r="C154" s="11" t="s">
        <v>76</v>
      </c>
      <c r="D154" s="11" t="s">
        <v>77</v>
      </c>
      <c r="E154" s="11" t="s">
        <v>5</v>
      </c>
      <c r="F154" s="11" t="s">
        <v>78</v>
      </c>
      <c r="G154" s="11" t="s">
        <v>79</v>
      </c>
      <c r="H154" s="12">
        <v>2.68</v>
      </c>
      <c r="I154" s="13"/>
      <c r="J154" s="12">
        <v>0.05</v>
      </c>
      <c r="K154" s="14">
        <v>3</v>
      </c>
      <c r="L154" s="11" t="s">
        <v>604</v>
      </c>
      <c r="M154" s="15" t="s">
        <v>682</v>
      </c>
    </row>
    <row r="155" spans="1:13">
      <c r="A155" s="98">
        <v>43699</v>
      </c>
      <c r="B155" s="11" t="s">
        <v>14</v>
      </c>
      <c r="C155" s="11" t="s">
        <v>76</v>
      </c>
      <c r="D155" s="11" t="s">
        <v>77</v>
      </c>
      <c r="E155" s="11" t="s">
        <v>5</v>
      </c>
      <c r="F155" s="11" t="s">
        <v>78</v>
      </c>
      <c r="G155" s="11" t="s">
        <v>79</v>
      </c>
      <c r="H155" s="12">
        <v>1.88</v>
      </c>
      <c r="I155" s="13"/>
      <c r="J155" s="12">
        <v>0.05</v>
      </c>
      <c r="K155" s="14">
        <v>3</v>
      </c>
      <c r="L155" s="11" t="s">
        <v>604</v>
      </c>
      <c r="M155" s="15" t="s">
        <v>683</v>
      </c>
    </row>
    <row r="156" spans="1:13">
      <c r="A156" s="98">
        <v>43700</v>
      </c>
      <c r="B156" s="11" t="s">
        <v>14</v>
      </c>
      <c r="C156" s="11" t="s">
        <v>76</v>
      </c>
      <c r="D156" s="11" t="s">
        <v>77</v>
      </c>
      <c r="E156" s="11" t="s">
        <v>5</v>
      </c>
      <c r="F156" s="11" t="s">
        <v>78</v>
      </c>
      <c r="G156" s="11" t="s">
        <v>79</v>
      </c>
      <c r="H156" s="12">
        <v>1.2</v>
      </c>
      <c r="I156" s="13"/>
      <c r="J156" s="12">
        <v>0.05</v>
      </c>
      <c r="K156" s="14">
        <v>3</v>
      </c>
      <c r="L156" s="11" t="s">
        <v>604</v>
      </c>
      <c r="M156" s="15" t="s">
        <v>684</v>
      </c>
    </row>
    <row r="157" spans="1:13">
      <c r="A157" s="98">
        <v>43702</v>
      </c>
      <c r="B157" s="11" t="s">
        <v>14</v>
      </c>
      <c r="C157" s="11" t="s">
        <v>76</v>
      </c>
      <c r="D157" s="11" t="s">
        <v>77</v>
      </c>
      <c r="E157" s="11" t="s">
        <v>5</v>
      </c>
      <c r="F157" s="11" t="s">
        <v>78</v>
      </c>
      <c r="G157" s="11" t="s">
        <v>79</v>
      </c>
      <c r="H157" s="12">
        <v>0.96</v>
      </c>
      <c r="I157" s="13"/>
      <c r="J157" s="12">
        <v>0.05</v>
      </c>
      <c r="K157" s="14">
        <v>3</v>
      </c>
      <c r="L157" s="11" t="s">
        <v>604</v>
      </c>
      <c r="M157" s="15" t="s">
        <v>685</v>
      </c>
    </row>
    <row r="158" spans="1:13">
      <c r="A158" s="98">
        <v>43706</v>
      </c>
      <c r="B158" s="11" t="s">
        <v>14</v>
      </c>
      <c r="C158" s="11" t="s">
        <v>76</v>
      </c>
      <c r="D158" s="11" t="s">
        <v>77</v>
      </c>
      <c r="E158" s="11" t="s">
        <v>5</v>
      </c>
      <c r="F158" s="11" t="s">
        <v>78</v>
      </c>
      <c r="G158" s="11" t="s">
        <v>79</v>
      </c>
      <c r="H158" s="12">
        <v>0.37</v>
      </c>
      <c r="I158" s="13"/>
      <c r="J158" s="12">
        <v>0.05</v>
      </c>
      <c r="K158" s="14">
        <v>3</v>
      </c>
      <c r="L158" s="11" t="s">
        <v>604</v>
      </c>
      <c r="M158" s="15" t="s">
        <v>686</v>
      </c>
    </row>
    <row r="159" spans="1:13">
      <c r="A159" s="98">
        <v>43707</v>
      </c>
      <c r="B159" s="11" t="s">
        <v>14</v>
      </c>
      <c r="C159" s="11" t="s">
        <v>76</v>
      </c>
      <c r="D159" s="11" t="s">
        <v>77</v>
      </c>
      <c r="E159" s="11" t="s">
        <v>5</v>
      </c>
      <c r="F159" s="11" t="s">
        <v>78</v>
      </c>
      <c r="G159" s="11" t="s">
        <v>79</v>
      </c>
      <c r="H159" s="12">
        <v>0.54</v>
      </c>
      <c r="I159" s="13"/>
      <c r="J159" s="12">
        <v>0.05</v>
      </c>
      <c r="K159" s="14">
        <v>3</v>
      </c>
      <c r="L159" s="11" t="s">
        <v>604</v>
      </c>
      <c r="M159" s="15" t="s">
        <v>687</v>
      </c>
    </row>
    <row r="160" spans="1:13">
      <c r="A160" s="98">
        <v>43346</v>
      </c>
      <c r="B160" s="11" t="s">
        <v>14</v>
      </c>
      <c r="C160" s="11" t="s">
        <v>76</v>
      </c>
      <c r="D160" s="11" t="s">
        <v>209</v>
      </c>
      <c r="E160" s="11" t="s">
        <v>7</v>
      </c>
      <c r="F160" s="11" t="s">
        <v>78</v>
      </c>
      <c r="G160" s="11" t="s">
        <v>79</v>
      </c>
      <c r="H160" s="12">
        <v>5.57</v>
      </c>
      <c r="I160" s="13"/>
      <c r="J160" s="12">
        <v>0.02</v>
      </c>
      <c r="K160" s="14">
        <v>3</v>
      </c>
      <c r="L160" s="11" t="s">
        <v>605</v>
      </c>
      <c r="M160" s="15" t="s">
        <v>81</v>
      </c>
    </row>
    <row r="161" spans="1:13">
      <c r="A161" s="98">
        <v>43347</v>
      </c>
      <c r="B161" s="11" t="s">
        <v>14</v>
      </c>
      <c r="C161" s="11" t="s">
        <v>76</v>
      </c>
      <c r="D161" s="11" t="s">
        <v>209</v>
      </c>
      <c r="E161" s="11" t="s">
        <v>7</v>
      </c>
      <c r="F161" s="11" t="s">
        <v>78</v>
      </c>
      <c r="G161" s="11" t="s">
        <v>79</v>
      </c>
      <c r="H161" s="12">
        <v>4.59</v>
      </c>
      <c r="I161" s="13"/>
      <c r="J161" s="12">
        <v>0.06</v>
      </c>
      <c r="K161" s="14">
        <v>3</v>
      </c>
      <c r="L161" s="11" t="s">
        <v>607</v>
      </c>
      <c r="M161" s="15" t="s">
        <v>82</v>
      </c>
    </row>
    <row r="162" spans="1:13">
      <c r="A162" s="98">
        <v>43348</v>
      </c>
      <c r="B162" s="11" t="s">
        <v>14</v>
      </c>
      <c r="C162" s="11" t="s">
        <v>76</v>
      </c>
      <c r="D162" s="11" t="s">
        <v>209</v>
      </c>
      <c r="E162" s="11" t="s">
        <v>7</v>
      </c>
      <c r="F162" s="11" t="s">
        <v>78</v>
      </c>
      <c r="G162" s="11" t="s">
        <v>79</v>
      </c>
      <c r="H162" s="12">
        <v>4.4400000000000004</v>
      </c>
      <c r="I162" s="13"/>
      <c r="J162" s="12">
        <v>0.06</v>
      </c>
      <c r="K162" s="14">
        <v>3</v>
      </c>
      <c r="L162" s="11" t="s">
        <v>607</v>
      </c>
      <c r="M162" s="15" t="s">
        <v>83</v>
      </c>
    </row>
    <row r="163" spans="1:13">
      <c r="A163" s="98">
        <v>43353</v>
      </c>
      <c r="B163" s="11" t="s">
        <v>14</v>
      </c>
      <c r="C163" s="11" t="s">
        <v>76</v>
      </c>
      <c r="D163" s="11" t="s">
        <v>209</v>
      </c>
      <c r="E163" s="11" t="s">
        <v>7</v>
      </c>
      <c r="F163" s="11" t="s">
        <v>78</v>
      </c>
      <c r="G163" s="11" t="s">
        <v>79</v>
      </c>
      <c r="H163" s="12">
        <v>5.13</v>
      </c>
      <c r="I163" s="13"/>
      <c r="J163" s="12">
        <v>0.02</v>
      </c>
      <c r="K163" s="14">
        <v>3</v>
      </c>
      <c r="L163" s="11" t="s">
        <v>605</v>
      </c>
      <c r="M163" s="15" t="s">
        <v>84</v>
      </c>
    </row>
    <row r="164" spans="1:13">
      <c r="A164" s="98">
        <v>43354</v>
      </c>
      <c r="B164" s="11" t="s">
        <v>14</v>
      </c>
      <c r="C164" s="11" t="s">
        <v>76</v>
      </c>
      <c r="D164" s="11" t="s">
        <v>209</v>
      </c>
      <c r="E164" s="11" t="s">
        <v>7</v>
      </c>
      <c r="F164" s="11" t="s">
        <v>78</v>
      </c>
      <c r="G164" s="11" t="s">
        <v>79</v>
      </c>
      <c r="H164" s="12">
        <v>5.1100000000000003</v>
      </c>
      <c r="I164" s="13"/>
      <c r="J164" s="12">
        <v>0.02</v>
      </c>
      <c r="K164" s="14">
        <v>3</v>
      </c>
      <c r="L164" s="11" t="s">
        <v>605</v>
      </c>
      <c r="M164" s="15" t="s">
        <v>85</v>
      </c>
    </row>
    <row r="165" spans="1:13">
      <c r="A165" s="98">
        <v>43355</v>
      </c>
      <c r="B165" s="11" t="s">
        <v>14</v>
      </c>
      <c r="C165" s="11" t="s">
        <v>76</v>
      </c>
      <c r="D165" s="11" t="s">
        <v>209</v>
      </c>
      <c r="E165" s="11" t="s">
        <v>7</v>
      </c>
      <c r="F165" s="11" t="s">
        <v>78</v>
      </c>
      <c r="G165" s="11" t="s">
        <v>79</v>
      </c>
      <c r="H165" s="12">
        <v>5.05</v>
      </c>
      <c r="I165" s="13"/>
      <c r="J165" s="12">
        <v>0.02</v>
      </c>
      <c r="K165" s="14">
        <v>3</v>
      </c>
      <c r="L165" s="11" t="s">
        <v>605</v>
      </c>
      <c r="M165" s="15" t="s">
        <v>86</v>
      </c>
    </row>
    <row r="166" spans="1:13">
      <c r="A166" s="98">
        <v>43360</v>
      </c>
      <c r="B166" s="11" t="s">
        <v>14</v>
      </c>
      <c r="C166" s="11" t="s">
        <v>76</v>
      </c>
      <c r="D166" s="11" t="s">
        <v>209</v>
      </c>
      <c r="E166" s="11" t="s">
        <v>7</v>
      </c>
      <c r="F166" s="11" t="s">
        <v>78</v>
      </c>
      <c r="G166" s="11" t="s">
        <v>79</v>
      </c>
      <c r="H166" s="12">
        <v>5</v>
      </c>
      <c r="I166" s="13"/>
      <c r="J166" s="12">
        <v>0.02</v>
      </c>
      <c r="K166" s="14">
        <v>3</v>
      </c>
      <c r="L166" s="11" t="s">
        <v>605</v>
      </c>
      <c r="M166" s="15" t="s">
        <v>87</v>
      </c>
    </row>
    <row r="167" spans="1:13">
      <c r="A167" s="98">
        <v>43361</v>
      </c>
      <c r="B167" s="11" t="s">
        <v>14</v>
      </c>
      <c r="C167" s="11" t="s">
        <v>76</v>
      </c>
      <c r="D167" s="11" t="s">
        <v>209</v>
      </c>
      <c r="E167" s="11" t="s">
        <v>7</v>
      </c>
      <c r="F167" s="11" t="s">
        <v>78</v>
      </c>
      <c r="G167" s="11" t="s">
        <v>79</v>
      </c>
      <c r="H167" s="12">
        <v>4.9800000000000004</v>
      </c>
      <c r="I167" s="13"/>
      <c r="J167" s="12">
        <v>0.02</v>
      </c>
      <c r="K167" s="14">
        <v>3</v>
      </c>
      <c r="L167" s="11" t="s">
        <v>605</v>
      </c>
      <c r="M167" s="15" t="s">
        <v>88</v>
      </c>
    </row>
    <row r="168" spans="1:13">
      <c r="A168" s="98">
        <v>43362</v>
      </c>
      <c r="B168" s="11" t="s">
        <v>14</v>
      </c>
      <c r="C168" s="11" t="s">
        <v>76</v>
      </c>
      <c r="D168" s="11" t="s">
        <v>209</v>
      </c>
      <c r="E168" s="11" t="s">
        <v>7</v>
      </c>
      <c r="F168" s="11" t="s">
        <v>78</v>
      </c>
      <c r="G168" s="11" t="s">
        <v>79</v>
      </c>
      <c r="H168" s="12">
        <v>4.6500000000000004</v>
      </c>
      <c r="I168" s="13"/>
      <c r="J168" s="12">
        <v>0.04</v>
      </c>
      <c r="K168" s="14">
        <v>3</v>
      </c>
      <c r="L168" s="11" t="s">
        <v>606</v>
      </c>
      <c r="M168" s="15" t="s">
        <v>89</v>
      </c>
    </row>
    <row r="169" spans="1:13">
      <c r="A169" s="98">
        <v>43367</v>
      </c>
      <c r="B169" s="11" t="s">
        <v>14</v>
      </c>
      <c r="C169" s="11" t="s">
        <v>76</v>
      </c>
      <c r="D169" s="11" t="s">
        <v>209</v>
      </c>
      <c r="E169" s="11" t="s">
        <v>7</v>
      </c>
      <c r="F169" s="11" t="s">
        <v>78</v>
      </c>
      <c r="G169" s="11" t="s">
        <v>79</v>
      </c>
      <c r="H169" s="12">
        <v>4.6900000000000004</v>
      </c>
      <c r="I169" s="13"/>
      <c r="J169" s="12">
        <v>0.02</v>
      </c>
      <c r="K169" s="14">
        <v>3</v>
      </c>
      <c r="L169" s="11" t="s">
        <v>605</v>
      </c>
      <c r="M169" s="15" t="s">
        <v>90</v>
      </c>
    </row>
    <row r="170" spans="1:13">
      <c r="A170" s="98">
        <v>43368</v>
      </c>
      <c r="B170" s="11" t="s">
        <v>14</v>
      </c>
      <c r="C170" s="11" t="s">
        <v>76</v>
      </c>
      <c r="D170" s="11" t="s">
        <v>209</v>
      </c>
      <c r="E170" s="11" t="s">
        <v>7</v>
      </c>
      <c r="F170" s="11" t="s">
        <v>78</v>
      </c>
      <c r="G170" s="11" t="s">
        <v>79</v>
      </c>
      <c r="H170" s="12">
        <v>4.46</v>
      </c>
      <c r="I170" s="13"/>
      <c r="J170" s="12">
        <v>0.02</v>
      </c>
      <c r="K170" s="14">
        <v>3</v>
      </c>
      <c r="L170" s="11" t="s">
        <v>605</v>
      </c>
      <c r="M170" s="15" t="s">
        <v>91</v>
      </c>
    </row>
    <row r="171" spans="1:13">
      <c r="A171" s="98">
        <v>43369</v>
      </c>
      <c r="B171" s="11" t="s">
        <v>14</v>
      </c>
      <c r="C171" s="11" t="s">
        <v>76</v>
      </c>
      <c r="D171" s="11" t="s">
        <v>209</v>
      </c>
      <c r="E171" s="11" t="s">
        <v>7</v>
      </c>
      <c r="F171" s="11" t="s">
        <v>78</v>
      </c>
      <c r="G171" s="11" t="s">
        <v>79</v>
      </c>
      <c r="H171" s="12">
        <v>4.54</v>
      </c>
      <c r="I171" s="13"/>
      <c r="J171" s="12">
        <v>0.02</v>
      </c>
      <c r="K171" s="14">
        <v>3</v>
      </c>
      <c r="L171" s="11" t="s">
        <v>605</v>
      </c>
      <c r="M171" s="15" t="s">
        <v>92</v>
      </c>
    </row>
    <row r="172" spans="1:13">
      <c r="A172" s="98">
        <v>43374</v>
      </c>
      <c r="B172" s="11" t="s">
        <v>14</v>
      </c>
      <c r="C172" s="11" t="s">
        <v>76</v>
      </c>
      <c r="D172" s="11" t="s">
        <v>209</v>
      </c>
      <c r="E172" s="11" t="s">
        <v>7</v>
      </c>
      <c r="F172" s="11" t="s">
        <v>78</v>
      </c>
      <c r="G172" s="11" t="s">
        <v>79</v>
      </c>
      <c r="H172" s="12">
        <v>4.82</v>
      </c>
      <c r="I172" s="13"/>
      <c r="J172" s="12">
        <v>0.02</v>
      </c>
      <c r="K172" s="14">
        <v>3</v>
      </c>
      <c r="L172" s="11" t="s">
        <v>605</v>
      </c>
      <c r="M172" s="15" t="s">
        <v>93</v>
      </c>
    </row>
    <row r="173" spans="1:13">
      <c r="A173" s="98">
        <v>43375</v>
      </c>
      <c r="B173" s="11" t="s">
        <v>14</v>
      </c>
      <c r="C173" s="11" t="s">
        <v>76</v>
      </c>
      <c r="D173" s="11" t="s">
        <v>209</v>
      </c>
      <c r="E173" s="11" t="s">
        <v>7</v>
      </c>
      <c r="F173" s="11" t="s">
        <v>78</v>
      </c>
      <c r="G173" s="11" t="s">
        <v>79</v>
      </c>
      <c r="H173" s="12">
        <v>4.9400000000000004</v>
      </c>
      <c r="I173" s="13"/>
      <c r="J173" s="12">
        <v>0.02</v>
      </c>
      <c r="K173" s="14">
        <v>3</v>
      </c>
      <c r="L173" s="11" t="s">
        <v>605</v>
      </c>
      <c r="M173" s="15" t="s">
        <v>94</v>
      </c>
    </row>
    <row r="174" spans="1:13">
      <c r="A174" s="98">
        <v>43376</v>
      </c>
      <c r="B174" s="11" t="s">
        <v>14</v>
      </c>
      <c r="C174" s="11" t="s">
        <v>76</v>
      </c>
      <c r="D174" s="11" t="s">
        <v>209</v>
      </c>
      <c r="E174" s="11" t="s">
        <v>7</v>
      </c>
      <c r="F174" s="11" t="s">
        <v>78</v>
      </c>
      <c r="G174" s="11" t="s">
        <v>79</v>
      </c>
      <c r="H174" s="12">
        <v>4.8099999999999996</v>
      </c>
      <c r="I174" s="13"/>
      <c r="J174" s="12">
        <v>0.02</v>
      </c>
      <c r="K174" s="14">
        <v>3</v>
      </c>
      <c r="L174" s="11" t="s">
        <v>605</v>
      </c>
      <c r="M174" s="15" t="s">
        <v>95</v>
      </c>
    </row>
    <row r="175" spans="1:13">
      <c r="A175" s="98">
        <v>43381</v>
      </c>
      <c r="B175" s="11" t="s">
        <v>14</v>
      </c>
      <c r="C175" s="11" t="s">
        <v>76</v>
      </c>
      <c r="D175" s="11" t="s">
        <v>209</v>
      </c>
      <c r="E175" s="11" t="s">
        <v>7</v>
      </c>
      <c r="F175" s="11" t="s">
        <v>78</v>
      </c>
      <c r="G175" s="11" t="s">
        <v>79</v>
      </c>
      <c r="H175" s="12">
        <v>4.8600000000000003</v>
      </c>
      <c r="I175" s="13"/>
      <c r="J175" s="12">
        <v>0.06</v>
      </c>
      <c r="K175" s="14">
        <v>3</v>
      </c>
      <c r="L175" s="11" t="s">
        <v>607</v>
      </c>
      <c r="M175" s="15" t="s">
        <v>96</v>
      </c>
    </row>
    <row r="176" spans="1:13">
      <c r="A176" s="98">
        <v>43382</v>
      </c>
      <c r="B176" s="11" t="s">
        <v>14</v>
      </c>
      <c r="C176" s="11" t="s">
        <v>76</v>
      </c>
      <c r="D176" s="11" t="s">
        <v>209</v>
      </c>
      <c r="E176" s="11" t="s">
        <v>7</v>
      </c>
      <c r="F176" s="11" t="s">
        <v>78</v>
      </c>
      <c r="G176" s="11" t="s">
        <v>79</v>
      </c>
      <c r="H176" s="12">
        <v>4.5599999999999996</v>
      </c>
      <c r="I176" s="13"/>
      <c r="J176" s="12">
        <v>0.06</v>
      </c>
      <c r="K176" s="14">
        <v>3</v>
      </c>
      <c r="L176" s="11" t="s">
        <v>607</v>
      </c>
      <c r="M176" s="15" t="s">
        <v>97</v>
      </c>
    </row>
    <row r="177" spans="1:13">
      <c r="A177" s="98">
        <v>43383</v>
      </c>
      <c r="B177" s="11" t="s">
        <v>14</v>
      </c>
      <c r="C177" s="11" t="s">
        <v>76</v>
      </c>
      <c r="D177" s="11" t="s">
        <v>209</v>
      </c>
      <c r="E177" s="11" t="s">
        <v>7</v>
      </c>
      <c r="F177" s="11" t="s">
        <v>78</v>
      </c>
      <c r="G177" s="11" t="s">
        <v>79</v>
      </c>
      <c r="H177" s="12">
        <v>4.6900000000000004</v>
      </c>
      <c r="I177" s="13"/>
      <c r="J177" s="12">
        <v>0.02</v>
      </c>
      <c r="K177" s="14">
        <v>3</v>
      </c>
      <c r="L177" s="11" t="s">
        <v>605</v>
      </c>
      <c r="M177" s="15" t="s">
        <v>98</v>
      </c>
    </row>
    <row r="178" spans="1:13">
      <c r="A178" s="98">
        <v>43388</v>
      </c>
      <c r="B178" s="11" t="s">
        <v>14</v>
      </c>
      <c r="C178" s="11" t="s">
        <v>76</v>
      </c>
      <c r="D178" s="11" t="s">
        <v>209</v>
      </c>
      <c r="E178" s="11" t="s">
        <v>7</v>
      </c>
      <c r="F178" s="11" t="s">
        <v>78</v>
      </c>
      <c r="G178" s="11" t="s">
        <v>79</v>
      </c>
      <c r="H178" s="12">
        <v>3.75</v>
      </c>
      <c r="I178" s="13"/>
      <c r="J178" s="12">
        <v>0.02</v>
      </c>
      <c r="K178" s="14">
        <v>3</v>
      </c>
      <c r="L178" s="11" t="s">
        <v>605</v>
      </c>
      <c r="M178" s="15" t="s">
        <v>99</v>
      </c>
    </row>
    <row r="179" spans="1:13">
      <c r="A179" s="98">
        <v>43389</v>
      </c>
      <c r="B179" s="11" t="s">
        <v>14</v>
      </c>
      <c r="C179" s="11" t="s">
        <v>76</v>
      </c>
      <c r="D179" s="11" t="s">
        <v>209</v>
      </c>
      <c r="E179" s="11" t="s">
        <v>7</v>
      </c>
      <c r="F179" s="11" t="s">
        <v>78</v>
      </c>
      <c r="G179" s="11" t="s">
        <v>79</v>
      </c>
      <c r="H179" s="12">
        <v>4.59</v>
      </c>
      <c r="I179" s="13"/>
      <c r="J179" s="12">
        <v>0.02</v>
      </c>
      <c r="K179" s="14">
        <v>3</v>
      </c>
      <c r="L179" s="11" t="s">
        <v>605</v>
      </c>
      <c r="M179" s="15" t="s">
        <v>100</v>
      </c>
    </row>
    <row r="180" spans="1:13">
      <c r="A180" s="98">
        <v>43390</v>
      </c>
      <c r="B180" s="11" t="s">
        <v>14</v>
      </c>
      <c r="C180" s="11" t="s">
        <v>76</v>
      </c>
      <c r="D180" s="11" t="s">
        <v>209</v>
      </c>
      <c r="E180" s="11" t="s">
        <v>7</v>
      </c>
      <c r="F180" s="11" t="s">
        <v>78</v>
      </c>
      <c r="G180" s="11" t="s">
        <v>79</v>
      </c>
      <c r="H180" s="12">
        <v>4.8099999999999996</v>
      </c>
      <c r="I180" s="13"/>
      <c r="J180" s="12">
        <v>0.02</v>
      </c>
      <c r="K180" s="14">
        <v>3</v>
      </c>
      <c r="L180" s="11" t="s">
        <v>605</v>
      </c>
      <c r="M180" s="15" t="s">
        <v>101</v>
      </c>
    </row>
    <row r="181" spans="1:13">
      <c r="A181" s="98">
        <v>43395</v>
      </c>
      <c r="B181" s="11" t="s">
        <v>14</v>
      </c>
      <c r="C181" s="11" t="s">
        <v>76</v>
      </c>
      <c r="D181" s="11" t="s">
        <v>209</v>
      </c>
      <c r="E181" s="11" t="s">
        <v>7</v>
      </c>
      <c r="F181" s="11" t="s">
        <v>78</v>
      </c>
      <c r="G181" s="11" t="s">
        <v>79</v>
      </c>
      <c r="H181" s="12">
        <v>4.53</v>
      </c>
      <c r="I181" s="13"/>
      <c r="J181" s="12">
        <v>0.02</v>
      </c>
      <c r="K181" s="14">
        <v>3</v>
      </c>
      <c r="L181" s="11" t="s">
        <v>605</v>
      </c>
      <c r="M181" s="15" t="s">
        <v>102</v>
      </c>
    </row>
    <row r="182" spans="1:13">
      <c r="A182" s="98">
        <v>43396</v>
      </c>
      <c r="B182" s="11" t="s">
        <v>14</v>
      </c>
      <c r="C182" s="11" t="s">
        <v>76</v>
      </c>
      <c r="D182" s="11" t="s">
        <v>209</v>
      </c>
      <c r="E182" s="11" t="s">
        <v>7</v>
      </c>
      <c r="F182" s="11" t="s">
        <v>78</v>
      </c>
      <c r="G182" s="11" t="s">
        <v>79</v>
      </c>
      <c r="H182" s="12">
        <v>4.2699999999999996</v>
      </c>
      <c r="I182" s="13"/>
      <c r="J182" s="12">
        <v>0.06</v>
      </c>
      <c r="K182" s="14">
        <v>3</v>
      </c>
      <c r="L182" s="11" t="s">
        <v>607</v>
      </c>
      <c r="M182" s="15" t="s">
        <v>103</v>
      </c>
    </row>
    <row r="183" spans="1:13">
      <c r="A183" s="98">
        <v>43397</v>
      </c>
      <c r="B183" s="11" t="s">
        <v>14</v>
      </c>
      <c r="C183" s="11" t="s">
        <v>76</v>
      </c>
      <c r="D183" s="11" t="s">
        <v>209</v>
      </c>
      <c r="E183" s="11" t="s">
        <v>7</v>
      </c>
      <c r="F183" s="11" t="s">
        <v>78</v>
      </c>
      <c r="G183" s="11" t="s">
        <v>79</v>
      </c>
      <c r="H183" s="12">
        <v>4.76</v>
      </c>
      <c r="I183" s="13"/>
      <c r="J183" s="12">
        <v>0.02</v>
      </c>
      <c r="K183" s="14">
        <v>3</v>
      </c>
      <c r="L183" s="11" t="s">
        <v>605</v>
      </c>
      <c r="M183" s="15" t="s">
        <v>104</v>
      </c>
    </row>
    <row r="184" spans="1:13">
      <c r="A184" s="98">
        <v>43402</v>
      </c>
      <c r="B184" s="11" t="s">
        <v>14</v>
      </c>
      <c r="C184" s="11" t="s">
        <v>76</v>
      </c>
      <c r="D184" s="11" t="s">
        <v>209</v>
      </c>
      <c r="E184" s="11" t="s">
        <v>7</v>
      </c>
      <c r="F184" s="11" t="s">
        <v>78</v>
      </c>
      <c r="G184" s="11" t="s">
        <v>79</v>
      </c>
      <c r="H184" s="12">
        <v>5.05</v>
      </c>
      <c r="I184" s="13"/>
      <c r="J184" s="12">
        <v>0.02</v>
      </c>
      <c r="K184" s="14">
        <v>3</v>
      </c>
      <c r="L184" s="11" t="s">
        <v>605</v>
      </c>
      <c r="M184" s="15" t="s">
        <v>105</v>
      </c>
    </row>
    <row r="185" spans="1:13">
      <c r="A185" s="98">
        <v>43403</v>
      </c>
      <c r="B185" s="11" t="s">
        <v>14</v>
      </c>
      <c r="C185" s="11" t="s">
        <v>76</v>
      </c>
      <c r="D185" s="11" t="s">
        <v>209</v>
      </c>
      <c r="E185" s="11" t="s">
        <v>7</v>
      </c>
      <c r="F185" s="11" t="s">
        <v>78</v>
      </c>
      <c r="G185" s="11" t="s">
        <v>79</v>
      </c>
      <c r="H185" s="12">
        <v>4.87</v>
      </c>
      <c r="I185" s="13"/>
      <c r="J185" s="12">
        <v>0.02</v>
      </c>
      <c r="K185" s="14">
        <v>3</v>
      </c>
      <c r="L185" s="11" t="s">
        <v>605</v>
      </c>
      <c r="M185" s="15" t="s">
        <v>106</v>
      </c>
    </row>
    <row r="186" spans="1:13">
      <c r="A186" s="98">
        <v>43404</v>
      </c>
      <c r="B186" s="11" t="s">
        <v>14</v>
      </c>
      <c r="C186" s="11" t="s">
        <v>76</v>
      </c>
      <c r="D186" s="11" t="s">
        <v>209</v>
      </c>
      <c r="E186" s="11" t="s">
        <v>7</v>
      </c>
      <c r="F186" s="11" t="s">
        <v>78</v>
      </c>
      <c r="G186" s="11" t="s">
        <v>79</v>
      </c>
      <c r="H186" s="12">
        <v>4.32</v>
      </c>
      <c r="I186" s="13"/>
      <c r="J186" s="12">
        <v>0.02</v>
      </c>
      <c r="K186" s="14">
        <v>3</v>
      </c>
      <c r="L186" s="11" t="s">
        <v>605</v>
      </c>
      <c r="M186" s="15" t="s">
        <v>107</v>
      </c>
    </row>
    <row r="187" spans="1:13">
      <c r="A187" s="98">
        <v>43409</v>
      </c>
      <c r="B187" s="11" t="s">
        <v>14</v>
      </c>
      <c r="C187" s="11" t="s">
        <v>76</v>
      </c>
      <c r="D187" s="11" t="s">
        <v>209</v>
      </c>
      <c r="E187" s="11" t="s">
        <v>7</v>
      </c>
      <c r="F187" s="11" t="s">
        <v>78</v>
      </c>
      <c r="G187" s="11" t="s">
        <v>79</v>
      </c>
      <c r="H187" s="12">
        <v>4.08</v>
      </c>
      <c r="I187" s="13"/>
      <c r="J187" s="12">
        <v>0.02</v>
      </c>
      <c r="K187" s="14">
        <v>3</v>
      </c>
      <c r="L187" s="11" t="s">
        <v>605</v>
      </c>
      <c r="M187" s="15" t="s">
        <v>108</v>
      </c>
    </row>
    <row r="188" spans="1:13">
      <c r="A188" s="98">
        <v>43410</v>
      </c>
      <c r="B188" s="11" t="s">
        <v>14</v>
      </c>
      <c r="C188" s="11" t="s">
        <v>76</v>
      </c>
      <c r="D188" s="11" t="s">
        <v>209</v>
      </c>
      <c r="E188" s="11" t="s">
        <v>7</v>
      </c>
      <c r="F188" s="11" t="s">
        <v>78</v>
      </c>
      <c r="G188" s="11" t="s">
        <v>79</v>
      </c>
      <c r="H188" s="12">
        <v>5.14</v>
      </c>
      <c r="I188" s="13"/>
      <c r="J188" s="12">
        <v>0.02</v>
      </c>
      <c r="K188" s="14">
        <v>3</v>
      </c>
      <c r="L188" s="11" t="s">
        <v>605</v>
      </c>
      <c r="M188" s="15" t="s">
        <v>109</v>
      </c>
    </row>
    <row r="189" spans="1:13">
      <c r="A189" s="98">
        <v>43411</v>
      </c>
      <c r="B189" s="11" t="s">
        <v>14</v>
      </c>
      <c r="C189" s="11" t="s">
        <v>76</v>
      </c>
      <c r="D189" s="11" t="s">
        <v>209</v>
      </c>
      <c r="E189" s="11" t="s">
        <v>7</v>
      </c>
      <c r="F189" s="11" t="s">
        <v>78</v>
      </c>
      <c r="G189" s="11" t="s">
        <v>79</v>
      </c>
      <c r="H189" s="12">
        <v>5.28</v>
      </c>
      <c r="I189" s="13"/>
      <c r="J189" s="12">
        <v>0.02</v>
      </c>
      <c r="K189" s="14">
        <v>3</v>
      </c>
      <c r="L189" s="11" t="s">
        <v>605</v>
      </c>
      <c r="M189" s="15" t="s">
        <v>110</v>
      </c>
    </row>
    <row r="190" spans="1:13">
      <c r="A190" s="98">
        <v>43416</v>
      </c>
      <c r="B190" s="11" t="s">
        <v>14</v>
      </c>
      <c r="C190" s="11" t="s">
        <v>76</v>
      </c>
      <c r="D190" s="11" t="s">
        <v>209</v>
      </c>
      <c r="E190" s="11" t="s">
        <v>7</v>
      </c>
      <c r="F190" s="11" t="s">
        <v>78</v>
      </c>
      <c r="G190" s="11" t="s">
        <v>79</v>
      </c>
      <c r="H190" s="12">
        <v>4.43</v>
      </c>
      <c r="I190" s="13"/>
      <c r="J190" s="12">
        <v>0.02</v>
      </c>
      <c r="K190" s="14">
        <v>3</v>
      </c>
      <c r="L190" s="11" t="s">
        <v>605</v>
      </c>
      <c r="M190" s="15" t="s">
        <v>111</v>
      </c>
    </row>
    <row r="191" spans="1:13">
      <c r="A191" s="98">
        <v>43417</v>
      </c>
      <c r="B191" s="11" t="s">
        <v>14</v>
      </c>
      <c r="C191" s="11" t="s">
        <v>76</v>
      </c>
      <c r="D191" s="11" t="s">
        <v>209</v>
      </c>
      <c r="E191" s="11" t="s">
        <v>7</v>
      </c>
      <c r="F191" s="11" t="s">
        <v>78</v>
      </c>
      <c r="G191" s="11" t="s">
        <v>79</v>
      </c>
      <c r="H191" s="12">
        <v>5.04</v>
      </c>
      <c r="I191" s="13"/>
      <c r="J191" s="12">
        <v>0.02</v>
      </c>
      <c r="K191" s="14">
        <v>3</v>
      </c>
      <c r="L191" s="11" t="s">
        <v>605</v>
      </c>
      <c r="M191" s="15" t="s">
        <v>112</v>
      </c>
    </row>
    <row r="192" spans="1:13">
      <c r="A192" s="98">
        <v>43418</v>
      </c>
      <c r="B192" s="11" t="s">
        <v>14</v>
      </c>
      <c r="C192" s="11" t="s">
        <v>76</v>
      </c>
      <c r="D192" s="11" t="s">
        <v>209</v>
      </c>
      <c r="E192" s="11" t="s">
        <v>7</v>
      </c>
      <c r="F192" s="11" t="s">
        <v>78</v>
      </c>
      <c r="G192" s="11" t="s">
        <v>79</v>
      </c>
      <c r="H192" s="12">
        <v>5.27</v>
      </c>
      <c r="I192" s="13"/>
      <c r="J192" s="12">
        <v>0.02</v>
      </c>
      <c r="K192" s="14">
        <v>3</v>
      </c>
      <c r="L192" s="11" t="s">
        <v>605</v>
      </c>
      <c r="M192" s="15" t="s">
        <v>113</v>
      </c>
    </row>
    <row r="193" spans="1:13">
      <c r="A193" s="98">
        <v>43423</v>
      </c>
      <c r="B193" s="11" t="s">
        <v>14</v>
      </c>
      <c r="C193" s="11" t="s">
        <v>76</v>
      </c>
      <c r="D193" s="11" t="s">
        <v>209</v>
      </c>
      <c r="E193" s="11" t="s">
        <v>7</v>
      </c>
      <c r="F193" s="11" t="s">
        <v>78</v>
      </c>
      <c r="G193" s="11" t="s">
        <v>79</v>
      </c>
      <c r="H193" s="12">
        <v>3.7</v>
      </c>
      <c r="I193" s="13"/>
      <c r="J193" s="12">
        <v>0.02</v>
      </c>
      <c r="K193" s="14">
        <v>3</v>
      </c>
      <c r="L193" s="11" t="s">
        <v>605</v>
      </c>
      <c r="M193" s="15" t="s">
        <v>114</v>
      </c>
    </row>
    <row r="194" spans="1:13">
      <c r="A194" s="98">
        <v>43424</v>
      </c>
      <c r="B194" s="11" t="s">
        <v>14</v>
      </c>
      <c r="C194" s="11" t="s">
        <v>76</v>
      </c>
      <c r="D194" s="11" t="s">
        <v>209</v>
      </c>
      <c r="E194" s="11" t="s">
        <v>7</v>
      </c>
      <c r="F194" s="11" t="s">
        <v>78</v>
      </c>
      <c r="G194" s="11" t="s">
        <v>79</v>
      </c>
      <c r="H194" s="12">
        <v>4.6900000000000004</v>
      </c>
      <c r="I194" s="13"/>
      <c r="J194" s="12">
        <v>0.02</v>
      </c>
      <c r="K194" s="14">
        <v>3</v>
      </c>
      <c r="L194" s="11" t="s">
        <v>605</v>
      </c>
      <c r="M194" s="15" t="s">
        <v>115</v>
      </c>
    </row>
    <row r="195" spans="1:13">
      <c r="A195" s="98">
        <v>43425</v>
      </c>
      <c r="B195" s="11" t="s">
        <v>14</v>
      </c>
      <c r="C195" s="11" t="s">
        <v>76</v>
      </c>
      <c r="D195" s="11" t="s">
        <v>209</v>
      </c>
      <c r="E195" s="11" t="s">
        <v>7</v>
      </c>
      <c r="F195" s="11" t="s">
        <v>78</v>
      </c>
      <c r="G195" s="11" t="s">
        <v>79</v>
      </c>
      <c r="H195" s="12">
        <v>4.5199999999999996</v>
      </c>
      <c r="I195" s="13"/>
      <c r="J195" s="12">
        <v>0.02</v>
      </c>
      <c r="K195" s="14">
        <v>3</v>
      </c>
      <c r="L195" s="11" t="s">
        <v>605</v>
      </c>
      <c r="M195" s="15" t="s">
        <v>116</v>
      </c>
    </row>
    <row r="196" spans="1:13">
      <c r="A196" s="98">
        <v>43430</v>
      </c>
      <c r="B196" s="11" t="s">
        <v>14</v>
      </c>
      <c r="C196" s="11" t="s">
        <v>76</v>
      </c>
      <c r="D196" s="11" t="s">
        <v>209</v>
      </c>
      <c r="E196" s="11" t="s">
        <v>7</v>
      </c>
      <c r="F196" s="11" t="s">
        <v>78</v>
      </c>
      <c r="G196" s="11" t="s">
        <v>79</v>
      </c>
      <c r="H196" s="12">
        <v>4.67</v>
      </c>
      <c r="I196" s="13"/>
      <c r="J196" s="12">
        <v>0.02</v>
      </c>
      <c r="K196" s="14">
        <v>3</v>
      </c>
      <c r="L196" s="11" t="s">
        <v>605</v>
      </c>
      <c r="M196" s="15" t="s">
        <v>117</v>
      </c>
    </row>
    <row r="197" spans="1:13">
      <c r="A197" s="98">
        <v>43431</v>
      </c>
      <c r="B197" s="11" t="s">
        <v>14</v>
      </c>
      <c r="C197" s="11" t="s">
        <v>76</v>
      </c>
      <c r="D197" s="11" t="s">
        <v>209</v>
      </c>
      <c r="E197" s="11" t="s">
        <v>7</v>
      </c>
      <c r="F197" s="11" t="s">
        <v>78</v>
      </c>
      <c r="G197" s="11" t="s">
        <v>79</v>
      </c>
      <c r="H197" s="12">
        <v>4.7300000000000004</v>
      </c>
      <c r="I197" s="13"/>
      <c r="J197" s="12">
        <v>0.06</v>
      </c>
      <c r="K197" s="14">
        <v>3</v>
      </c>
      <c r="L197" s="11" t="s">
        <v>607</v>
      </c>
      <c r="M197" s="15" t="s">
        <v>118</v>
      </c>
    </row>
    <row r="198" spans="1:13">
      <c r="A198" s="98">
        <v>43432</v>
      </c>
      <c r="B198" s="11" t="s">
        <v>14</v>
      </c>
      <c r="C198" s="11" t="s">
        <v>76</v>
      </c>
      <c r="D198" s="11" t="s">
        <v>209</v>
      </c>
      <c r="E198" s="11" t="s">
        <v>7</v>
      </c>
      <c r="F198" s="11" t="s">
        <v>78</v>
      </c>
      <c r="G198" s="11" t="s">
        <v>79</v>
      </c>
      <c r="H198" s="12">
        <v>5.36</v>
      </c>
      <c r="I198" s="13"/>
      <c r="J198" s="12">
        <v>0.02</v>
      </c>
      <c r="K198" s="14">
        <v>3</v>
      </c>
      <c r="L198" s="11" t="s">
        <v>605</v>
      </c>
      <c r="M198" s="15" t="s">
        <v>119</v>
      </c>
    </row>
    <row r="199" spans="1:13">
      <c r="A199" s="98">
        <v>43437</v>
      </c>
      <c r="B199" s="11" t="s">
        <v>14</v>
      </c>
      <c r="C199" s="11" t="s">
        <v>76</v>
      </c>
      <c r="D199" s="11" t="s">
        <v>209</v>
      </c>
      <c r="E199" s="11" t="s">
        <v>7</v>
      </c>
      <c r="F199" s="11" t="s">
        <v>78</v>
      </c>
      <c r="G199" s="11" t="s">
        <v>79</v>
      </c>
      <c r="H199" s="12">
        <v>4.62</v>
      </c>
      <c r="I199" s="13"/>
      <c r="J199" s="12">
        <v>0.02</v>
      </c>
      <c r="K199" s="14">
        <v>3</v>
      </c>
      <c r="L199" s="11" t="s">
        <v>605</v>
      </c>
      <c r="M199" s="15" t="s">
        <v>120</v>
      </c>
    </row>
    <row r="200" spans="1:13">
      <c r="A200" s="98">
        <v>43438</v>
      </c>
      <c r="B200" s="11" t="s">
        <v>14</v>
      </c>
      <c r="C200" s="11" t="s">
        <v>76</v>
      </c>
      <c r="D200" s="11" t="s">
        <v>209</v>
      </c>
      <c r="E200" s="11" t="s">
        <v>7</v>
      </c>
      <c r="F200" s="11" t="s">
        <v>78</v>
      </c>
      <c r="G200" s="11" t="s">
        <v>79</v>
      </c>
      <c r="H200" s="12">
        <v>4.9000000000000004</v>
      </c>
      <c r="I200" s="13"/>
      <c r="J200" s="12">
        <v>0.04</v>
      </c>
      <c r="K200" s="14">
        <v>3</v>
      </c>
      <c r="L200" s="11" t="s">
        <v>606</v>
      </c>
      <c r="M200" s="15" t="s">
        <v>121</v>
      </c>
    </row>
    <row r="201" spans="1:13">
      <c r="A201" s="98">
        <v>43439</v>
      </c>
      <c r="B201" s="11" t="s">
        <v>14</v>
      </c>
      <c r="C201" s="11" t="s">
        <v>76</v>
      </c>
      <c r="D201" s="11" t="s">
        <v>209</v>
      </c>
      <c r="E201" s="11" t="s">
        <v>7</v>
      </c>
      <c r="F201" s="11" t="s">
        <v>78</v>
      </c>
      <c r="G201" s="11" t="s">
        <v>79</v>
      </c>
      <c r="H201" s="12">
        <v>5.33</v>
      </c>
      <c r="I201" s="13"/>
      <c r="J201" s="12">
        <v>0.02</v>
      </c>
      <c r="K201" s="14">
        <v>3</v>
      </c>
      <c r="L201" s="11" t="s">
        <v>605</v>
      </c>
      <c r="M201" s="15" t="s">
        <v>122</v>
      </c>
    </row>
    <row r="202" spans="1:13">
      <c r="A202" s="98">
        <v>43444</v>
      </c>
      <c r="B202" s="11" t="s">
        <v>14</v>
      </c>
      <c r="C202" s="11" t="s">
        <v>76</v>
      </c>
      <c r="D202" s="11" t="s">
        <v>209</v>
      </c>
      <c r="E202" s="11" t="s">
        <v>7</v>
      </c>
      <c r="F202" s="11" t="s">
        <v>78</v>
      </c>
      <c r="G202" s="11" t="s">
        <v>79</v>
      </c>
      <c r="H202" s="12">
        <v>3.94</v>
      </c>
      <c r="I202" s="13"/>
      <c r="J202" s="12">
        <v>0.04</v>
      </c>
      <c r="K202" s="14">
        <v>3</v>
      </c>
      <c r="L202" s="11" t="s">
        <v>606</v>
      </c>
      <c r="M202" s="15" t="s">
        <v>123</v>
      </c>
    </row>
    <row r="203" spans="1:13">
      <c r="A203" s="98">
        <v>43445</v>
      </c>
      <c r="B203" s="11" t="s">
        <v>14</v>
      </c>
      <c r="C203" s="11" t="s">
        <v>76</v>
      </c>
      <c r="D203" s="11" t="s">
        <v>209</v>
      </c>
      <c r="E203" s="11" t="s">
        <v>7</v>
      </c>
      <c r="F203" s="11" t="s">
        <v>78</v>
      </c>
      <c r="G203" s="11" t="s">
        <v>79</v>
      </c>
      <c r="H203" s="12">
        <v>4.01</v>
      </c>
      <c r="I203" s="13"/>
      <c r="J203" s="12">
        <v>0.02</v>
      </c>
      <c r="K203" s="14">
        <v>3</v>
      </c>
      <c r="L203" s="11" t="s">
        <v>605</v>
      </c>
      <c r="M203" s="15" t="s">
        <v>124</v>
      </c>
    </row>
    <row r="204" spans="1:13">
      <c r="A204" s="98">
        <v>43446</v>
      </c>
      <c r="B204" s="11" t="s">
        <v>14</v>
      </c>
      <c r="C204" s="11" t="s">
        <v>76</v>
      </c>
      <c r="D204" s="11" t="s">
        <v>209</v>
      </c>
      <c r="E204" s="11" t="s">
        <v>7</v>
      </c>
      <c r="F204" s="11" t="s">
        <v>78</v>
      </c>
      <c r="G204" s="11" t="s">
        <v>79</v>
      </c>
      <c r="H204" s="12">
        <v>4.4800000000000004</v>
      </c>
      <c r="I204" s="13"/>
      <c r="J204" s="12">
        <v>0.02</v>
      </c>
      <c r="K204" s="14">
        <v>3</v>
      </c>
      <c r="L204" s="11" t="s">
        <v>605</v>
      </c>
      <c r="M204" s="15" t="s">
        <v>125</v>
      </c>
    </row>
    <row r="205" spans="1:13">
      <c r="A205" s="98">
        <v>43451</v>
      </c>
      <c r="B205" s="11" t="s">
        <v>14</v>
      </c>
      <c r="C205" s="11" t="s">
        <v>76</v>
      </c>
      <c r="D205" s="11" t="s">
        <v>209</v>
      </c>
      <c r="E205" s="11" t="s">
        <v>7</v>
      </c>
      <c r="F205" s="11" t="s">
        <v>78</v>
      </c>
      <c r="G205" s="11" t="s">
        <v>79</v>
      </c>
      <c r="H205" s="12">
        <v>5.23</v>
      </c>
      <c r="I205" s="13"/>
      <c r="J205" s="12">
        <v>0.02</v>
      </c>
      <c r="K205" s="14">
        <v>3</v>
      </c>
      <c r="L205" s="11" t="s">
        <v>605</v>
      </c>
      <c r="M205" s="15" t="s">
        <v>126</v>
      </c>
    </row>
    <row r="206" spans="1:13">
      <c r="A206" s="98">
        <v>43452</v>
      </c>
      <c r="B206" s="11" t="s">
        <v>14</v>
      </c>
      <c r="C206" s="11" t="s">
        <v>76</v>
      </c>
      <c r="D206" s="11" t="s">
        <v>209</v>
      </c>
      <c r="E206" s="11" t="s">
        <v>7</v>
      </c>
      <c r="F206" s="11" t="s">
        <v>78</v>
      </c>
      <c r="G206" s="11" t="s">
        <v>79</v>
      </c>
      <c r="H206" s="12">
        <v>5.01</v>
      </c>
      <c r="I206" s="13"/>
      <c r="J206" s="12">
        <v>0.02</v>
      </c>
      <c r="K206" s="14">
        <v>3</v>
      </c>
      <c r="L206" s="11" t="s">
        <v>605</v>
      </c>
      <c r="M206" s="15" t="s">
        <v>127</v>
      </c>
    </row>
    <row r="207" spans="1:13">
      <c r="A207" s="98">
        <v>43453</v>
      </c>
      <c r="B207" s="11" t="s">
        <v>14</v>
      </c>
      <c r="C207" s="11" t="s">
        <v>76</v>
      </c>
      <c r="D207" s="11" t="s">
        <v>209</v>
      </c>
      <c r="E207" s="11" t="s">
        <v>7</v>
      </c>
      <c r="F207" s="11" t="s">
        <v>78</v>
      </c>
      <c r="G207" s="11" t="s">
        <v>79</v>
      </c>
      <c r="H207" s="12">
        <v>5.16</v>
      </c>
      <c r="I207" s="13"/>
      <c r="J207" s="12">
        <v>0.02</v>
      </c>
      <c r="K207" s="14">
        <v>3</v>
      </c>
      <c r="L207" s="11" t="s">
        <v>605</v>
      </c>
      <c r="M207" s="15" t="s">
        <v>128</v>
      </c>
    </row>
    <row r="208" spans="1:13">
      <c r="A208" s="98">
        <v>43458</v>
      </c>
      <c r="B208" s="11" t="s">
        <v>14</v>
      </c>
      <c r="C208" s="11" t="s">
        <v>76</v>
      </c>
      <c r="D208" s="11" t="s">
        <v>209</v>
      </c>
      <c r="E208" s="11" t="s">
        <v>7</v>
      </c>
      <c r="F208" s="11" t="s">
        <v>78</v>
      </c>
      <c r="G208" s="11" t="s">
        <v>79</v>
      </c>
      <c r="H208" s="12">
        <v>4.99</v>
      </c>
      <c r="I208" s="13"/>
      <c r="J208" s="12">
        <v>0.02</v>
      </c>
      <c r="K208" s="14">
        <v>3</v>
      </c>
      <c r="L208" s="11" t="s">
        <v>605</v>
      </c>
      <c r="M208" s="15" t="s">
        <v>129</v>
      </c>
    </row>
    <row r="209" spans="1:13">
      <c r="A209" s="98">
        <v>43459</v>
      </c>
      <c r="B209" s="11" t="s">
        <v>14</v>
      </c>
      <c r="C209" s="11" t="s">
        <v>76</v>
      </c>
      <c r="D209" s="11" t="s">
        <v>209</v>
      </c>
      <c r="E209" s="11" t="s">
        <v>7</v>
      </c>
      <c r="F209" s="11" t="s">
        <v>78</v>
      </c>
      <c r="G209" s="11" t="s">
        <v>79</v>
      </c>
      <c r="H209" s="12">
        <v>5.35</v>
      </c>
      <c r="I209" s="13"/>
      <c r="J209" s="12">
        <v>0.06</v>
      </c>
      <c r="K209" s="14">
        <v>3</v>
      </c>
      <c r="L209" s="11" t="s">
        <v>607</v>
      </c>
      <c r="M209" s="15" t="s">
        <v>130</v>
      </c>
    </row>
    <row r="210" spans="1:13">
      <c r="A210" s="98">
        <v>43460</v>
      </c>
      <c r="B210" s="11" t="s">
        <v>14</v>
      </c>
      <c r="C210" s="11" t="s">
        <v>76</v>
      </c>
      <c r="D210" s="11" t="s">
        <v>209</v>
      </c>
      <c r="E210" s="11" t="s">
        <v>7</v>
      </c>
      <c r="F210" s="11" t="s">
        <v>78</v>
      </c>
      <c r="G210" s="11" t="s">
        <v>79</v>
      </c>
      <c r="H210" s="12">
        <v>5.41</v>
      </c>
      <c r="I210" s="13"/>
      <c r="J210" s="12">
        <v>0.02</v>
      </c>
      <c r="K210" s="14">
        <v>3</v>
      </c>
      <c r="L210" s="11" t="s">
        <v>605</v>
      </c>
      <c r="M210" s="15" t="s">
        <v>131</v>
      </c>
    </row>
    <row r="211" spans="1:13">
      <c r="A211" s="98">
        <v>43465</v>
      </c>
      <c r="B211" s="11" t="s">
        <v>14</v>
      </c>
      <c r="C211" s="11" t="s">
        <v>76</v>
      </c>
      <c r="D211" s="11" t="s">
        <v>209</v>
      </c>
      <c r="E211" s="11" t="s">
        <v>7</v>
      </c>
      <c r="F211" s="11" t="s">
        <v>78</v>
      </c>
      <c r="G211" s="11" t="s">
        <v>79</v>
      </c>
      <c r="H211" s="12">
        <v>5.45</v>
      </c>
      <c r="I211" s="13"/>
      <c r="J211" s="12">
        <v>0.02</v>
      </c>
      <c r="K211" s="14">
        <v>3</v>
      </c>
      <c r="L211" s="11" t="s">
        <v>605</v>
      </c>
      <c r="M211" s="15" t="s">
        <v>132</v>
      </c>
    </row>
    <row r="212" spans="1:13">
      <c r="A212" s="98">
        <v>43466</v>
      </c>
      <c r="B212" s="11" t="s">
        <v>14</v>
      </c>
      <c r="C212" s="11" t="s">
        <v>76</v>
      </c>
      <c r="D212" s="11" t="s">
        <v>209</v>
      </c>
      <c r="E212" s="11" t="s">
        <v>7</v>
      </c>
      <c r="F212" s="11" t="s">
        <v>78</v>
      </c>
      <c r="G212" s="11" t="s">
        <v>79</v>
      </c>
      <c r="H212" s="12">
        <v>5.57</v>
      </c>
      <c r="I212" s="13"/>
      <c r="J212" s="12">
        <v>0.06</v>
      </c>
      <c r="K212" s="14">
        <v>3</v>
      </c>
      <c r="L212" s="11" t="s">
        <v>607</v>
      </c>
      <c r="M212" s="15" t="s">
        <v>133</v>
      </c>
    </row>
    <row r="213" spans="1:13">
      <c r="A213" s="98">
        <v>43467</v>
      </c>
      <c r="B213" s="11" t="s">
        <v>14</v>
      </c>
      <c r="C213" s="11" t="s">
        <v>76</v>
      </c>
      <c r="D213" s="11" t="s">
        <v>209</v>
      </c>
      <c r="E213" s="11" t="s">
        <v>7</v>
      </c>
      <c r="F213" s="11" t="s">
        <v>78</v>
      </c>
      <c r="G213" s="11" t="s">
        <v>79</v>
      </c>
      <c r="H213" s="12" t="s">
        <v>80</v>
      </c>
      <c r="I213" s="13">
        <v>-6</v>
      </c>
      <c r="J213" s="12">
        <v>0.02</v>
      </c>
      <c r="K213" s="14">
        <v>3</v>
      </c>
      <c r="L213" s="11" t="s">
        <v>605</v>
      </c>
      <c r="M213" s="15" t="s">
        <v>134</v>
      </c>
    </row>
    <row r="214" spans="1:13">
      <c r="A214" s="98">
        <v>43469</v>
      </c>
      <c r="B214" s="11" t="s">
        <v>14</v>
      </c>
      <c r="C214" s="11" t="s">
        <v>76</v>
      </c>
      <c r="D214" s="11" t="s">
        <v>209</v>
      </c>
      <c r="E214" s="11" t="s">
        <v>7</v>
      </c>
      <c r="F214" s="11" t="s">
        <v>78</v>
      </c>
      <c r="G214" s="11" t="s">
        <v>79</v>
      </c>
      <c r="H214" s="12">
        <v>4.05</v>
      </c>
      <c r="I214" s="13"/>
      <c r="J214" s="12">
        <v>0.02</v>
      </c>
      <c r="K214" s="14">
        <v>3</v>
      </c>
      <c r="L214" s="11" t="s">
        <v>605</v>
      </c>
      <c r="M214" s="15" t="s">
        <v>135</v>
      </c>
    </row>
    <row r="215" spans="1:13">
      <c r="A215" s="98">
        <v>43472</v>
      </c>
      <c r="B215" s="11" t="s">
        <v>14</v>
      </c>
      <c r="C215" s="11" t="s">
        <v>76</v>
      </c>
      <c r="D215" s="11" t="s">
        <v>209</v>
      </c>
      <c r="E215" s="11" t="s">
        <v>7</v>
      </c>
      <c r="F215" s="11" t="s">
        <v>78</v>
      </c>
      <c r="G215" s="11" t="s">
        <v>79</v>
      </c>
      <c r="H215" s="12">
        <v>3.95</v>
      </c>
      <c r="I215" s="13"/>
      <c r="J215" s="12">
        <v>0.02</v>
      </c>
      <c r="K215" s="14">
        <v>3</v>
      </c>
      <c r="L215" s="11" t="s">
        <v>605</v>
      </c>
      <c r="M215" s="15" t="s">
        <v>136</v>
      </c>
    </row>
    <row r="216" spans="1:13">
      <c r="A216" s="98">
        <v>43473</v>
      </c>
      <c r="B216" s="11" t="s">
        <v>14</v>
      </c>
      <c r="C216" s="11" t="s">
        <v>76</v>
      </c>
      <c r="D216" s="11" t="s">
        <v>209</v>
      </c>
      <c r="E216" s="11" t="s">
        <v>7</v>
      </c>
      <c r="F216" s="11" t="s">
        <v>78</v>
      </c>
      <c r="G216" s="11" t="s">
        <v>79</v>
      </c>
      <c r="H216" s="12">
        <v>5.17</v>
      </c>
      <c r="I216" s="13"/>
      <c r="J216" s="12">
        <v>0.02</v>
      </c>
      <c r="K216" s="14">
        <v>3</v>
      </c>
      <c r="L216" s="11" t="s">
        <v>605</v>
      </c>
      <c r="M216" s="15" t="s">
        <v>137</v>
      </c>
    </row>
    <row r="217" spans="1:13">
      <c r="A217" s="98">
        <v>43474</v>
      </c>
      <c r="B217" s="11" t="s">
        <v>14</v>
      </c>
      <c r="C217" s="11" t="s">
        <v>76</v>
      </c>
      <c r="D217" s="11" t="s">
        <v>209</v>
      </c>
      <c r="E217" s="11" t="s">
        <v>7</v>
      </c>
      <c r="F217" s="11" t="s">
        <v>78</v>
      </c>
      <c r="G217" s="11" t="s">
        <v>79</v>
      </c>
      <c r="H217" s="12">
        <v>4.58</v>
      </c>
      <c r="I217" s="13"/>
      <c r="J217" s="12">
        <v>0.02</v>
      </c>
      <c r="K217" s="14">
        <v>3</v>
      </c>
      <c r="L217" s="11" t="s">
        <v>605</v>
      </c>
      <c r="M217" s="15" t="s">
        <v>138</v>
      </c>
    </row>
    <row r="218" spans="1:13">
      <c r="A218" s="98">
        <v>43479</v>
      </c>
      <c r="B218" s="11" t="s">
        <v>14</v>
      </c>
      <c r="C218" s="11" t="s">
        <v>76</v>
      </c>
      <c r="D218" s="11" t="s">
        <v>209</v>
      </c>
      <c r="E218" s="11" t="s">
        <v>7</v>
      </c>
      <c r="F218" s="11" t="s">
        <v>78</v>
      </c>
      <c r="G218" s="11" t="s">
        <v>79</v>
      </c>
      <c r="H218" s="12">
        <v>4.33</v>
      </c>
      <c r="I218" s="13"/>
      <c r="J218" s="12">
        <v>0.02</v>
      </c>
      <c r="K218" s="14">
        <v>3</v>
      </c>
      <c r="L218" s="11" t="s">
        <v>605</v>
      </c>
      <c r="M218" s="15" t="s">
        <v>139</v>
      </c>
    </row>
    <row r="219" spans="1:13">
      <c r="A219" s="98">
        <v>43480</v>
      </c>
      <c r="B219" s="11" t="s">
        <v>14</v>
      </c>
      <c r="C219" s="11" t="s">
        <v>76</v>
      </c>
      <c r="D219" s="11" t="s">
        <v>209</v>
      </c>
      <c r="E219" s="11" t="s">
        <v>7</v>
      </c>
      <c r="F219" s="11" t="s">
        <v>78</v>
      </c>
      <c r="G219" s="11" t="s">
        <v>79</v>
      </c>
      <c r="H219" s="12">
        <v>4.5199999999999996</v>
      </c>
      <c r="I219" s="13"/>
      <c r="J219" s="12">
        <v>0.02</v>
      </c>
      <c r="K219" s="14">
        <v>3</v>
      </c>
      <c r="L219" s="11" t="s">
        <v>605</v>
      </c>
      <c r="M219" s="15" t="s">
        <v>140</v>
      </c>
    </row>
    <row r="220" spans="1:13">
      <c r="A220" s="98">
        <v>43481</v>
      </c>
      <c r="B220" s="11" t="s">
        <v>14</v>
      </c>
      <c r="C220" s="11" t="s">
        <v>76</v>
      </c>
      <c r="D220" s="11" t="s">
        <v>209</v>
      </c>
      <c r="E220" s="11" t="s">
        <v>7</v>
      </c>
      <c r="F220" s="11" t="s">
        <v>78</v>
      </c>
      <c r="G220" s="11" t="s">
        <v>79</v>
      </c>
      <c r="H220" s="12">
        <v>4.41</v>
      </c>
      <c r="I220" s="13"/>
      <c r="J220" s="12">
        <v>0.02</v>
      </c>
      <c r="K220" s="14">
        <v>3</v>
      </c>
      <c r="L220" s="11" t="s">
        <v>605</v>
      </c>
      <c r="M220" s="15" t="s">
        <v>141</v>
      </c>
    </row>
    <row r="221" spans="1:13">
      <c r="A221" s="98">
        <v>43486</v>
      </c>
      <c r="B221" s="11" t="s">
        <v>14</v>
      </c>
      <c r="C221" s="11" t="s">
        <v>76</v>
      </c>
      <c r="D221" s="11" t="s">
        <v>209</v>
      </c>
      <c r="E221" s="11" t="s">
        <v>7</v>
      </c>
      <c r="F221" s="11" t="s">
        <v>78</v>
      </c>
      <c r="G221" s="11" t="s">
        <v>79</v>
      </c>
      <c r="H221" s="12">
        <v>4.72</v>
      </c>
      <c r="I221" s="13"/>
      <c r="J221" s="12">
        <v>0.02</v>
      </c>
      <c r="K221" s="14">
        <v>3</v>
      </c>
      <c r="L221" s="11" t="s">
        <v>605</v>
      </c>
      <c r="M221" s="15" t="s">
        <v>142</v>
      </c>
    </row>
    <row r="222" spans="1:13">
      <c r="A222" s="98">
        <v>43487</v>
      </c>
      <c r="B222" s="11" t="s">
        <v>14</v>
      </c>
      <c r="C222" s="11" t="s">
        <v>76</v>
      </c>
      <c r="D222" s="11" t="s">
        <v>209</v>
      </c>
      <c r="E222" s="11" t="s">
        <v>7</v>
      </c>
      <c r="F222" s="11" t="s">
        <v>78</v>
      </c>
      <c r="G222" s="11" t="s">
        <v>79</v>
      </c>
      <c r="H222" s="12">
        <v>4.75</v>
      </c>
      <c r="I222" s="13"/>
      <c r="J222" s="12">
        <v>0.02</v>
      </c>
      <c r="K222" s="14">
        <v>3</v>
      </c>
      <c r="L222" s="11" t="s">
        <v>605</v>
      </c>
      <c r="M222" s="15" t="s">
        <v>143</v>
      </c>
    </row>
    <row r="223" spans="1:13">
      <c r="A223" s="98">
        <v>43488</v>
      </c>
      <c r="B223" s="11" t="s">
        <v>14</v>
      </c>
      <c r="C223" s="11" t="s">
        <v>76</v>
      </c>
      <c r="D223" s="11" t="s">
        <v>209</v>
      </c>
      <c r="E223" s="11" t="s">
        <v>7</v>
      </c>
      <c r="F223" s="11" t="s">
        <v>78</v>
      </c>
      <c r="G223" s="11" t="s">
        <v>79</v>
      </c>
      <c r="H223" s="12">
        <v>4.6100000000000003</v>
      </c>
      <c r="I223" s="13"/>
      <c r="J223" s="12">
        <v>0.02</v>
      </c>
      <c r="K223" s="14">
        <v>3</v>
      </c>
      <c r="L223" s="11" t="s">
        <v>605</v>
      </c>
      <c r="M223" s="15" t="s">
        <v>144</v>
      </c>
    </row>
    <row r="224" spans="1:13">
      <c r="A224" s="98">
        <v>43494</v>
      </c>
      <c r="B224" s="11" t="s">
        <v>14</v>
      </c>
      <c r="C224" s="11" t="s">
        <v>76</v>
      </c>
      <c r="D224" s="11" t="s">
        <v>209</v>
      </c>
      <c r="E224" s="11" t="s">
        <v>7</v>
      </c>
      <c r="F224" s="11" t="s">
        <v>78</v>
      </c>
      <c r="G224" s="11" t="s">
        <v>79</v>
      </c>
      <c r="H224" s="12">
        <v>4.6500000000000004</v>
      </c>
      <c r="I224" s="13"/>
      <c r="J224" s="12">
        <v>0.02</v>
      </c>
      <c r="K224" s="14">
        <v>3</v>
      </c>
      <c r="L224" s="11" t="s">
        <v>605</v>
      </c>
      <c r="M224" s="15" t="s">
        <v>145</v>
      </c>
    </row>
    <row r="225" spans="1:13">
      <c r="A225" s="98">
        <v>43495</v>
      </c>
      <c r="B225" s="11" t="s">
        <v>14</v>
      </c>
      <c r="C225" s="11" t="s">
        <v>76</v>
      </c>
      <c r="D225" s="11" t="s">
        <v>209</v>
      </c>
      <c r="E225" s="11" t="s">
        <v>7</v>
      </c>
      <c r="F225" s="11" t="s">
        <v>78</v>
      </c>
      <c r="G225" s="11" t="s">
        <v>79</v>
      </c>
      <c r="H225" s="12">
        <v>5.37</v>
      </c>
      <c r="I225" s="13"/>
      <c r="J225" s="12">
        <v>0.02</v>
      </c>
      <c r="K225" s="14">
        <v>3</v>
      </c>
      <c r="L225" s="11" t="s">
        <v>605</v>
      </c>
      <c r="M225" s="15" t="s">
        <v>146</v>
      </c>
    </row>
    <row r="226" spans="1:13">
      <c r="A226" s="98">
        <v>43496</v>
      </c>
      <c r="B226" s="11" t="s">
        <v>14</v>
      </c>
      <c r="C226" s="11" t="s">
        <v>76</v>
      </c>
      <c r="D226" s="11" t="s">
        <v>209</v>
      </c>
      <c r="E226" s="11" t="s">
        <v>7</v>
      </c>
      <c r="F226" s="11" t="s">
        <v>78</v>
      </c>
      <c r="G226" s="11" t="s">
        <v>79</v>
      </c>
      <c r="H226" s="12">
        <v>5.0999999999999996</v>
      </c>
      <c r="I226" s="13"/>
      <c r="J226" s="12">
        <v>0.02</v>
      </c>
      <c r="K226" s="14">
        <v>3</v>
      </c>
      <c r="L226" s="11" t="s">
        <v>605</v>
      </c>
      <c r="M226" s="15" t="s">
        <v>147</v>
      </c>
    </row>
    <row r="227" spans="1:13">
      <c r="A227" s="98">
        <v>43501</v>
      </c>
      <c r="B227" s="11" t="s">
        <v>14</v>
      </c>
      <c r="C227" s="11" t="s">
        <v>76</v>
      </c>
      <c r="D227" s="11" t="s">
        <v>209</v>
      </c>
      <c r="E227" s="11" t="s">
        <v>7</v>
      </c>
      <c r="F227" s="11" t="s">
        <v>78</v>
      </c>
      <c r="G227" s="11" t="s">
        <v>79</v>
      </c>
      <c r="H227" s="12">
        <v>5</v>
      </c>
      <c r="I227" s="13"/>
      <c r="J227" s="12">
        <v>0.02</v>
      </c>
      <c r="K227" s="14">
        <v>3</v>
      </c>
      <c r="L227" s="11" t="s">
        <v>605</v>
      </c>
      <c r="M227" s="15" t="s">
        <v>148</v>
      </c>
    </row>
    <row r="228" spans="1:13">
      <c r="A228" s="98">
        <v>43502</v>
      </c>
      <c r="B228" s="11" t="s">
        <v>14</v>
      </c>
      <c r="C228" s="11" t="s">
        <v>76</v>
      </c>
      <c r="D228" s="11" t="s">
        <v>209</v>
      </c>
      <c r="E228" s="11" t="s">
        <v>7</v>
      </c>
      <c r="F228" s="11" t="s">
        <v>78</v>
      </c>
      <c r="G228" s="11" t="s">
        <v>79</v>
      </c>
      <c r="H228" s="12">
        <v>4.2300000000000004</v>
      </c>
      <c r="I228" s="13"/>
      <c r="J228" s="12">
        <v>0.02</v>
      </c>
      <c r="K228" s="14">
        <v>3</v>
      </c>
      <c r="L228" s="11" t="s">
        <v>605</v>
      </c>
      <c r="M228" s="15" t="s">
        <v>149</v>
      </c>
    </row>
    <row r="229" spans="1:13">
      <c r="A229" s="98">
        <v>43503</v>
      </c>
      <c r="B229" s="11" t="s">
        <v>14</v>
      </c>
      <c r="C229" s="11" t="s">
        <v>76</v>
      </c>
      <c r="D229" s="11" t="s">
        <v>209</v>
      </c>
      <c r="E229" s="11" t="s">
        <v>7</v>
      </c>
      <c r="F229" s="11" t="s">
        <v>78</v>
      </c>
      <c r="G229" s="11" t="s">
        <v>79</v>
      </c>
      <c r="H229" s="12">
        <v>4.29</v>
      </c>
      <c r="I229" s="13"/>
      <c r="J229" s="12">
        <v>0.04</v>
      </c>
      <c r="K229" s="14">
        <v>3</v>
      </c>
      <c r="L229" s="11" t="s">
        <v>606</v>
      </c>
      <c r="M229" s="15" t="s">
        <v>150</v>
      </c>
    </row>
    <row r="230" spans="1:13">
      <c r="A230" s="98">
        <v>43508</v>
      </c>
      <c r="B230" s="11" t="s">
        <v>14</v>
      </c>
      <c r="C230" s="11" t="s">
        <v>76</v>
      </c>
      <c r="D230" s="11" t="s">
        <v>209</v>
      </c>
      <c r="E230" s="11" t="s">
        <v>7</v>
      </c>
      <c r="F230" s="11" t="s">
        <v>78</v>
      </c>
      <c r="G230" s="11" t="s">
        <v>79</v>
      </c>
      <c r="H230" s="12">
        <v>5.2</v>
      </c>
      <c r="I230" s="13"/>
      <c r="J230" s="12">
        <v>0.02</v>
      </c>
      <c r="K230" s="14">
        <v>3</v>
      </c>
      <c r="L230" s="11" t="s">
        <v>605</v>
      </c>
      <c r="M230" s="15" t="s">
        <v>151</v>
      </c>
    </row>
    <row r="231" spans="1:13">
      <c r="A231" s="98">
        <v>43509</v>
      </c>
      <c r="B231" s="11" t="s">
        <v>14</v>
      </c>
      <c r="C231" s="11" t="s">
        <v>76</v>
      </c>
      <c r="D231" s="11" t="s">
        <v>209</v>
      </c>
      <c r="E231" s="11" t="s">
        <v>7</v>
      </c>
      <c r="F231" s="11" t="s">
        <v>78</v>
      </c>
      <c r="G231" s="11" t="s">
        <v>79</v>
      </c>
      <c r="H231" s="12">
        <v>4.59</v>
      </c>
      <c r="I231" s="13"/>
      <c r="J231" s="12">
        <v>0.06</v>
      </c>
      <c r="K231" s="14">
        <v>3</v>
      </c>
      <c r="L231" s="11" t="s">
        <v>607</v>
      </c>
      <c r="M231" s="15" t="s">
        <v>152</v>
      </c>
    </row>
    <row r="232" spans="1:13">
      <c r="A232" s="98">
        <v>43510</v>
      </c>
      <c r="B232" s="11" t="s">
        <v>14</v>
      </c>
      <c r="C232" s="11" t="s">
        <v>76</v>
      </c>
      <c r="D232" s="11" t="s">
        <v>209</v>
      </c>
      <c r="E232" s="11" t="s">
        <v>7</v>
      </c>
      <c r="F232" s="11" t="s">
        <v>78</v>
      </c>
      <c r="G232" s="11" t="s">
        <v>79</v>
      </c>
      <c r="H232" s="12">
        <v>4.7300000000000004</v>
      </c>
      <c r="I232" s="13"/>
      <c r="J232" s="12">
        <v>0.02</v>
      </c>
      <c r="K232" s="14">
        <v>3</v>
      </c>
      <c r="L232" s="11" t="s">
        <v>605</v>
      </c>
      <c r="M232" s="15" t="s">
        <v>153</v>
      </c>
    </row>
    <row r="233" spans="1:13">
      <c r="A233" s="98">
        <v>43515</v>
      </c>
      <c r="B233" s="11" t="s">
        <v>14</v>
      </c>
      <c r="C233" s="11" t="s">
        <v>76</v>
      </c>
      <c r="D233" s="11" t="s">
        <v>209</v>
      </c>
      <c r="E233" s="11" t="s">
        <v>7</v>
      </c>
      <c r="F233" s="11" t="s">
        <v>78</v>
      </c>
      <c r="G233" s="11" t="s">
        <v>79</v>
      </c>
      <c r="H233" s="12">
        <v>5.08</v>
      </c>
      <c r="I233" s="13"/>
      <c r="J233" s="12">
        <v>0.02</v>
      </c>
      <c r="K233" s="14">
        <v>3</v>
      </c>
      <c r="L233" s="11" t="s">
        <v>605</v>
      </c>
      <c r="M233" s="15" t="s">
        <v>154</v>
      </c>
    </row>
    <row r="234" spans="1:13">
      <c r="A234" s="98">
        <v>43516</v>
      </c>
      <c r="B234" s="11" t="s">
        <v>14</v>
      </c>
      <c r="C234" s="11" t="s">
        <v>76</v>
      </c>
      <c r="D234" s="11" t="s">
        <v>209</v>
      </c>
      <c r="E234" s="11" t="s">
        <v>7</v>
      </c>
      <c r="F234" s="11" t="s">
        <v>78</v>
      </c>
      <c r="G234" s="11" t="s">
        <v>79</v>
      </c>
      <c r="H234" s="12">
        <v>5.62</v>
      </c>
      <c r="I234" s="13"/>
      <c r="J234" s="12">
        <v>0.02</v>
      </c>
      <c r="K234" s="14">
        <v>3</v>
      </c>
      <c r="L234" s="11" t="s">
        <v>605</v>
      </c>
      <c r="M234" s="15" t="s">
        <v>155</v>
      </c>
    </row>
    <row r="235" spans="1:13">
      <c r="A235" s="98">
        <v>43517</v>
      </c>
      <c r="B235" s="11" t="s">
        <v>14</v>
      </c>
      <c r="C235" s="11" t="s">
        <v>76</v>
      </c>
      <c r="D235" s="11" t="s">
        <v>209</v>
      </c>
      <c r="E235" s="11" t="s">
        <v>7</v>
      </c>
      <c r="F235" s="11" t="s">
        <v>78</v>
      </c>
      <c r="G235" s="11" t="s">
        <v>79</v>
      </c>
      <c r="H235" s="12">
        <v>5.68</v>
      </c>
      <c r="I235" s="13"/>
      <c r="J235" s="12">
        <v>0.02</v>
      </c>
      <c r="K235" s="14">
        <v>3</v>
      </c>
      <c r="L235" s="11" t="s">
        <v>605</v>
      </c>
      <c r="M235" s="15" t="s">
        <v>156</v>
      </c>
    </row>
    <row r="236" spans="1:13">
      <c r="A236" s="98">
        <v>43522</v>
      </c>
      <c r="B236" s="11" t="s">
        <v>14</v>
      </c>
      <c r="C236" s="11" t="s">
        <v>76</v>
      </c>
      <c r="D236" s="11" t="s">
        <v>209</v>
      </c>
      <c r="E236" s="11" t="s">
        <v>7</v>
      </c>
      <c r="F236" s="11" t="s">
        <v>78</v>
      </c>
      <c r="G236" s="11" t="s">
        <v>79</v>
      </c>
      <c r="H236" s="12">
        <v>4.8600000000000003</v>
      </c>
      <c r="I236" s="13"/>
      <c r="J236" s="12">
        <v>0.02</v>
      </c>
      <c r="K236" s="14">
        <v>3</v>
      </c>
      <c r="L236" s="11" t="s">
        <v>605</v>
      </c>
      <c r="M236" s="15" t="s">
        <v>157</v>
      </c>
    </row>
    <row r="237" spans="1:13">
      <c r="A237" s="98">
        <v>43523</v>
      </c>
      <c r="B237" s="11" t="s">
        <v>14</v>
      </c>
      <c r="C237" s="11" t="s">
        <v>76</v>
      </c>
      <c r="D237" s="11" t="s">
        <v>209</v>
      </c>
      <c r="E237" s="11" t="s">
        <v>7</v>
      </c>
      <c r="F237" s="11" t="s">
        <v>78</v>
      </c>
      <c r="G237" s="11" t="s">
        <v>79</v>
      </c>
      <c r="H237" s="12">
        <v>4.5599999999999996</v>
      </c>
      <c r="I237" s="13"/>
      <c r="J237" s="12">
        <v>0.02</v>
      </c>
      <c r="K237" s="14">
        <v>3</v>
      </c>
      <c r="L237" s="11" t="s">
        <v>605</v>
      </c>
      <c r="M237" s="15" t="s">
        <v>158</v>
      </c>
    </row>
    <row r="238" spans="1:13">
      <c r="A238" s="98">
        <v>43524</v>
      </c>
      <c r="B238" s="11" t="s">
        <v>14</v>
      </c>
      <c r="C238" s="11" t="s">
        <v>76</v>
      </c>
      <c r="D238" s="11" t="s">
        <v>209</v>
      </c>
      <c r="E238" s="11" t="s">
        <v>7</v>
      </c>
      <c r="F238" s="11" t="s">
        <v>78</v>
      </c>
      <c r="G238" s="11" t="s">
        <v>79</v>
      </c>
      <c r="H238" s="12">
        <v>4.6399999999999997</v>
      </c>
      <c r="I238" s="13"/>
      <c r="J238" s="12">
        <v>0.02</v>
      </c>
      <c r="K238" s="14">
        <v>3</v>
      </c>
      <c r="L238" s="11" t="s">
        <v>605</v>
      </c>
      <c r="M238" s="15" t="s">
        <v>159</v>
      </c>
    </row>
    <row r="239" spans="1:13">
      <c r="A239" s="98">
        <v>43527</v>
      </c>
      <c r="B239" s="11" t="s">
        <v>14</v>
      </c>
      <c r="C239" s="11" t="s">
        <v>76</v>
      </c>
      <c r="D239" s="11" t="s">
        <v>209</v>
      </c>
      <c r="E239" s="11" t="s">
        <v>7</v>
      </c>
      <c r="F239" s="11" t="s">
        <v>78</v>
      </c>
      <c r="G239" s="11" t="s">
        <v>79</v>
      </c>
      <c r="H239" s="12">
        <v>3.81</v>
      </c>
      <c r="I239" s="13"/>
      <c r="J239" s="12">
        <v>0.02</v>
      </c>
      <c r="K239" s="14">
        <v>3</v>
      </c>
      <c r="L239" s="11" t="s">
        <v>605</v>
      </c>
      <c r="M239" s="15" t="s">
        <v>160</v>
      </c>
    </row>
    <row r="240" spans="1:13">
      <c r="A240" s="98">
        <v>43528</v>
      </c>
      <c r="B240" s="11" t="s">
        <v>14</v>
      </c>
      <c r="C240" s="11" t="s">
        <v>76</v>
      </c>
      <c r="D240" s="11" t="s">
        <v>209</v>
      </c>
      <c r="E240" s="11" t="s">
        <v>7</v>
      </c>
      <c r="F240" s="11" t="s">
        <v>78</v>
      </c>
      <c r="G240" s="11" t="s">
        <v>79</v>
      </c>
      <c r="H240" s="12">
        <v>4.95</v>
      </c>
      <c r="I240" s="13"/>
      <c r="J240" s="12">
        <v>0.04</v>
      </c>
      <c r="K240" s="14">
        <v>3</v>
      </c>
      <c r="L240" s="11" t="s">
        <v>606</v>
      </c>
      <c r="M240" s="15" t="s">
        <v>161</v>
      </c>
    </row>
    <row r="241" spans="1:13">
      <c r="A241" s="98">
        <v>43529</v>
      </c>
      <c r="B241" s="11" t="s">
        <v>14</v>
      </c>
      <c r="C241" s="11" t="s">
        <v>76</v>
      </c>
      <c r="D241" s="11" t="s">
        <v>209</v>
      </c>
      <c r="E241" s="11" t="s">
        <v>7</v>
      </c>
      <c r="F241" s="11" t="s">
        <v>78</v>
      </c>
      <c r="G241" s="11" t="s">
        <v>79</v>
      </c>
      <c r="H241" s="12">
        <v>4.8899999999999997</v>
      </c>
      <c r="I241" s="13"/>
      <c r="J241" s="12">
        <v>0.02</v>
      </c>
      <c r="K241" s="14">
        <v>3</v>
      </c>
      <c r="L241" s="11" t="s">
        <v>605</v>
      </c>
      <c r="M241" s="15" t="s">
        <v>162</v>
      </c>
    </row>
    <row r="242" spans="1:13">
      <c r="A242" s="98">
        <v>43534</v>
      </c>
      <c r="B242" s="11" t="s">
        <v>14</v>
      </c>
      <c r="C242" s="11" t="s">
        <v>76</v>
      </c>
      <c r="D242" s="11" t="s">
        <v>209</v>
      </c>
      <c r="E242" s="11" t="s">
        <v>7</v>
      </c>
      <c r="F242" s="11" t="s">
        <v>78</v>
      </c>
      <c r="G242" s="11" t="s">
        <v>79</v>
      </c>
      <c r="H242" s="12">
        <v>4.0599999999999996</v>
      </c>
      <c r="I242" s="13"/>
      <c r="J242" s="12">
        <v>0.06</v>
      </c>
      <c r="K242" s="14">
        <v>3</v>
      </c>
      <c r="L242" s="11" t="s">
        <v>607</v>
      </c>
      <c r="M242" s="15" t="s">
        <v>163</v>
      </c>
    </row>
    <row r="243" spans="1:13">
      <c r="A243" s="98">
        <v>43535</v>
      </c>
      <c r="B243" s="11" t="s">
        <v>14</v>
      </c>
      <c r="C243" s="11" t="s">
        <v>76</v>
      </c>
      <c r="D243" s="11" t="s">
        <v>209</v>
      </c>
      <c r="E243" s="11" t="s">
        <v>7</v>
      </c>
      <c r="F243" s="11" t="s">
        <v>78</v>
      </c>
      <c r="G243" s="11" t="s">
        <v>79</v>
      </c>
      <c r="H243" s="12">
        <v>4.6500000000000004</v>
      </c>
      <c r="I243" s="13"/>
      <c r="J243" s="12">
        <v>0.02</v>
      </c>
      <c r="K243" s="14">
        <v>3</v>
      </c>
      <c r="L243" s="11" t="s">
        <v>605</v>
      </c>
      <c r="M243" s="15" t="s">
        <v>164</v>
      </c>
    </row>
    <row r="244" spans="1:13">
      <c r="A244" s="98">
        <v>43536</v>
      </c>
      <c r="B244" s="11" t="s">
        <v>14</v>
      </c>
      <c r="C244" s="11" t="s">
        <v>76</v>
      </c>
      <c r="D244" s="11" t="s">
        <v>209</v>
      </c>
      <c r="E244" s="11" t="s">
        <v>7</v>
      </c>
      <c r="F244" s="11" t="s">
        <v>78</v>
      </c>
      <c r="G244" s="11" t="s">
        <v>79</v>
      </c>
      <c r="H244" s="12">
        <v>4.8099999999999996</v>
      </c>
      <c r="I244" s="13"/>
      <c r="J244" s="12">
        <v>0.02</v>
      </c>
      <c r="K244" s="14">
        <v>3</v>
      </c>
      <c r="L244" s="11" t="s">
        <v>605</v>
      </c>
      <c r="M244" s="15" t="s">
        <v>165</v>
      </c>
    </row>
    <row r="245" spans="1:13">
      <c r="A245" s="98">
        <v>43541</v>
      </c>
      <c r="B245" s="11" t="s">
        <v>14</v>
      </c>
      <c r="C245" s="11" t="s">
        <v>76</v>
      </c>
      <c r="D245" s="11" t="s">
        <v>209</v>
      </c>
      <c r="E245" s="11" t="s">
        <v>7</v>
      </c>
      <c r="F245" s="11" t="s">
        <v>78</v>
      </c>
      <c r="G245" s="11" t="s">
        <v>79</v>
      </c>
      <c r="H245" s="12">
        <v>4.84</v>
      </c>
      <c r="I245" s="13"/>
      <c r="J245" s="12">
        <v>0.02</v>
      </c>
      <c r="K245" s="14">
        <v>3</v>
      </c>
      <c r="L245" s="11" t="s">
        <v>605</v>
      </c>
      <c r="M245" s="15" t="s">
        <v>166</v>
      </c>
    </row>
    <row r="246" spans="1:13">
      <c r="A246" s="98">
        <v>43542</v>
      </c>
      <c r="B246" s="11" t="s">
        <v>14</v>
      </c>
      <c r="C246" s="11" t="s">
        <v>76</v>
      </c>
      <c r="D246" s="11" t="s">
        <v>209</v>
      </c>
      <c r="E246" s="11" t="s">
        <v>7</v>
      </c>
      <c r="F246" s="11" t="s">
        <v>78</v>
      </c>
      <c r="G246" s="11" t="s">
        <v>79</v>
      </c>
      <c r="H246" s="12">
        <v>5.0199999999999996</v>
      </c>
      <c r="I246" s="13"/>
      <c r="J246" s="12">
        <v>0.02</v>
      </c>
      <c r="K246" s="14">
        <v>3</v>
      </c>
      <c r="L246" s="11" t="s">
        <v>605</v>
      </c>
      <c r="M246" s="15" t="s">
        <v>167</v>
      </c>
    </row>
    <row r="247" spans="1:13">
      <c r="A247" s="98">
        <v>43543</v>
      </c>
      <c r="B247" s="11" t="s">
        <v>14</v>
      </c>
      <c r="C247" s="11" t="s">
        <v>76</v>
      </c>
      <c r="D247" s="11" t="s">
        <v>209</v>
      </c>
      <c r="E247" s="11" t="s">
        <v>7</v>
      </c>
      <c r="F247" s="11" t="s">
        <v>78</v>
      </c>
      <c r="G247" s="11" t="s">
        <v>79</v>
      </c>
      <c r="H247" s="12">
        <v>5.27</v>
      </c>
      <c r="I247" s="13"/>
      <c r="J247" s="12">
        <v>0.02</v>
      </c>
      <c r="K247" s="14">
        <v>3</v>
      </c>
      <c r="L247" s="11" t="s">
        <v>605</v>
      </c>
      <c r="M247" s="15" t="s">
        <v>168</v>
      </c>
    </row>
    <row r="248" spans="1:13">
      <c r="A248" s="98">
        <v>43548</v>
      </c>
      <c r="B248" s="11" t="s">
        <v>14</v>
      </c>
      <c r="C248" s="11" t="s">
        <v>76</v>
      </c>
      <c r="D248" s="11" t="s">
        <v>209</v>
      </c>
      <c r="E248" s="11" t="s">
        <v>7</v>
      </c>
      <c r="F248" s="11" t="s">
        <v>78</v>
      </c>
      <c r="G248" s="11" t="s">
        <v>79</v>
      </c>
      <c r="H248" s="12">
        <v>5.14</v>
      </c>
      <c r="I248" s="13"/>
      <c r="J248" s="12">
        <v>0.02</v>
      </c>
      <c r="K248" s="14">
        <v>3</v>
      </c>
      <c r="L248" s="11" t="s">
        <v>605</v>
      </c>
      <c r="M248" s="15" t="s">
        <v>169</v>
      </c>
    </row>
    <row r="249" spans="1:13">
      <c r="A249" s="98">
        <v>43549</v>
      </c>
      <c r="B249" s="11" t="s">
        <v>14</v>
      </c>
      <c r="C249" s="11" t="s">
        <v>76</v>
      </c>
      <c r="D249" s="11" t="s">
        <v>209</v>
      </c>
      <c r="E249" s="11" t="s">
        <v>7</v>
      </c>
      <c r="F249" s="11" t="s">
        <v>78</v>
      </c>
      <c r="G249" s="11" t="s">
        <v>79</v>
      </c>
      <c r="H249" s="12">
        <v>4.6500000000000004</v>
      </c>
      <c r="I249" s="13"/>
      <c r="J249" s="12">
        <v>0.02</v>
      </c>
      <c r="K249" s="14">
        <v>3</v>
      </c>
      <c r="L249" s="11" t="s">
        <v>605</v>
      </c>
      <c r="M249" s="15" t="s">
        <v>170</v>
      </c>
    </row>
    <row r="250" spans="1:13">
      <c r="A250" s="98">
        <v>43550</v>
      </c>
      <c r="B250" s="11" t="s">
        <v>14</v>
      </c>
      <c r="C250" s="11" t="s">
        <v>76</v>
      </c>
      <c r="D250" s="11" t="s">
        <v>209</v>
      </c>
      <c r="E250" s="11" t="s">
        <v>7</v>
      </c>
      <c r="F250" s="11" t="s">
        <v>78</v>
      </c>
      <c r="G250" s="11" t="s">
        <v>79</v>
      </c>
      <c r="H250" s="12">
        <v>4.37</v>
      </c>
      <c r="I250" s="13"/>
      <c r="J250" s="12">
        <v>0.02</v>
      </c>
      <c r="K250" s="14">
        <v>3</v>
      </c>
      <c r="L250" s="11" t="s">
        <v>605</v>
      </c>
      <c r="M250" s="15" t="s">
        <v>171</v>
      </c>
    </row>
    <row r="251" spans="1:13">
      <c r="A251" s="98">
        <v>43555</v>
      </c>
      <c r="B251" s="11" t="s">
        <v>14</v>
      </c>
      <c r="C251" s="11" t="s">
        <v>76</v>
      </c>
      <c r="D251" s="11" t="s">
        <v>209</v>
      </c>
      <c r="E251" s="11" t="s">
        <v>7</v>
      </c>
      <c r="F251" s="11" t="s">
        <v>78</v>
      </c>
      <c r="G251" s="11" t="s">
        <v>79</v>
      </c>
      <c r="H251" s="12">
        <v>4.91</v>
      </c>
      <c r="I251" s="13"/>
      <c r="J251" s="12">
        <v>0.04</v>
      </c>
      <c r="K251" s="14">
        <v>3</v>
      </c>
      <c r="L251" s="11" t="s">
        <v>606</v>
      </c>
      <c r="M251" s="15" t="s">
        <v>172</v>
      </c>
    </row>
    <row r="252" spans="1:13">
      <c r="A252" s="98">
        <v>43556</v>
      </c>
      <c r="B252" s="11" t="s">
        <v>14</v>
      </c>
      <c r="C252" s="11" t="s">
        <v>76</v>
      </c>
      <c r="D252" s="11" t="s">
        <v>209</v>
      </c>
      <c r="E252" s="11" t="s">
        <v>7</v>
      </c>
      <c r="F252" s="11" t="s">
        <v>78</v>
      </c>
      <c r="G252" s="11" t="s">
        <v>79</v>
      </c>
      <c r="H252" s="12">
        <v>5.18</v>
      </c>
      <c r="I252" s="13"/>
      <c r="J252" s="12">
        <v>0.02</v>
      </c>
      <c r="K252" s="14">
        <v>3</v>
      </c>
      <c r="L252" s="11" t="s">
        <v>605</v>
      </c>
      <c r="M252" s="15" t="s">
        <v>173</v>
      </c>
    </row>
    <row r="253" spans="1:13">
      <c r="A253" s="98">
        <v>43557</v>
      </c>
      <c r="B253" s="11" t="s">
        <v>14</v>
      </c>
      <c r="C253" s="11" t="s">
        <v>76</v>
      </c>
      <c r="D253" s="11" t="s">
        <v>209</v>
      </c>
      <c r="E253" s="11" t="s">
        <v>7</v>
      </c>
      <c r="F253" s="11" t="s">
        <v>78</v>
      </c>
      <c r="G253" s="11" t="s">
        <v>79</v>
      </c>
      <c r="H253" s="12">
        <v>4.93</v>
      </c>
      <c r="I253" s="13"/>
      <c r="J253" s="12">
        <v>0.02</v>
      </c>
      <c r="K253" s="14">
        <v>3</v>
      </c>
      <c r="L253" s="11" t="s">
        <v>605</v>
      </c>
      <c r="M253" s="15" t="s">
        <v>174</v>
      </c>
    </row>
    <row r="254" spans="1:13">
      <c r="A254" s="98">
        <v>43565</v>
      </c>
      <c r="B254" s="11" t="s">
        <v>14</v>
      </c>
      <c r="C254" s="11" t="s">
        <v>76</v>
      </c>
      <c r="D254" s="11" t="s">
        <v>209</v>
      </c>
      <c r="E254" s="11" t="s">
        <v>7</v>
      </c>
      <c r="F254" s="11" t="s">
        <v>78</v>
      </c>
      <c r="G254" s="11" t="s">
        <v>79</v>
      </c>
      <c r="H254" s="12">
        <v>4.7300000000000004</v>
      </c>
      <c r="I254" s="13"/>
      <c r="J254" s="12">
        <v>0.02</v>
      </c>
      <c r="K254" s="14">
        <v>3</v>
      </c>
      <c r="L254" s="11" t="s">
        <v>605</v>
      </c>
      <c r="M254" s="15" t="s">
        <v>175</v>
      </c>
    </row>
    <row r="255" spans="1:13">
      <c r="A255" s="98">
        <v>43566</v>
      </c>
      <c r="B255" s="11" t="s">
        <v>14</v>
      </c>
      <c r="C255" s="11" t="s">
        <v>76</v>
      </c>
      <c r="D255" s="11" t="s">
        <v>209</v>
      </c>
      <c r="E255" s="11" t="s">
        <v>7</v>
      </c>
      <c r="F255" s="11" t="s">
        <v>78</v>
      </c>
      <c r="G255" s="11" t="s">
        <v>79</v>
      </c>
      <c r="H255" s="12">
        <v>4.55</v>
      </c>
      <c r="I255" s="13"/>
      <c r="J255" s="12">
        <v>0.02</v>
      </c>
      <c r="K255" s="14">
        <v>3</v>
      </c>
      <c r="L255" s="11" t="s">
        <v>605</v>
      </c>
      <c r="M255" s="15" t="s">
        <v>176</v>
      </c>
    </row>
    <row r="256" spans="1:13">
      <c r="A256" s="98">
        <v>43567</v>
      </c>
      <c r="B256" s="11" t="s">
        <v>14</v>
      </c>
      <c r="C256" s="11" t="s">
        <v>76</v>
      </c>
      <c r="D256" s="11" t="s">
        <v>209</v>
      </c>
      <c r="E256" s="11" t="s">
        <v>7</v>
      </c>
      <c r="F256" s="11" t="s">
        <v>78</v>
      </c>
      <c r="G256" s="11" t="s">
        <v>79</v>
      </c>
      <c r="H256" s="12">
        <v>4.93</v>
      </c>
      <c r="I256" s="13"/>
      <c r="J256" s="12">
        <v>0.02</v>
      </c>
      <c r="K256" s="14">
        <v>3</v>
      </c>
      <c r="L256" s="11" t="s">
        <v>605</v>
      </c>
      <c r="M256" s="15" t="s">
        <v>177</v>
      </c>
    </row>
    <row r="257" spans="1:13">
      <c r="A257" s="98">
        <v>43572</v>
      </c>
      <c r="B257" s="11" t="s">
        <v>14</v>
      </c>
      <c r="C257" s="11" t="s">
        <v>76</v>
      </c>
      <c r="D257" s="11" t="s">
        <v>209</v>
      </c>
      <c r="E257" s="11" t="s">
        <v>7</v>
      </c>
      <c r="F257" s="11" t="s">
        <v>78</v>
      </c>
      <c r="G257" s="11" t="s">
        <v>79</v>
      </c>
      <c r="H257" s="12">
        <v>4.33</v>
      </c>
      <c r="I257" s="13"/>
      <c r="J257" s="12">
        <v>0.02</v>
      </c>
      <c r="K257" s="14">
        <v>3</v>
      </c>
      <c r="L257" s="11" t="s">
        <v>605</v>
      </c>
      <c r="M257" s="15" t="s">
        <v>178</v>
      </c>
    </row>
    <row r="258" spans="1:13">
      <c r="A258" s="98">
        <v>43573</v>
      </c>
      <c r="B258" s="11" t="s">
        <v>14</v>
      </c>
      <c r="C258" s="11" t="s">
        <v>76</v>
      </c>
      <c r="D258" s="11" t="s">
        <v>209</v>
      </c>
      <c r="E258" s="11" t="s">
        <v>7</v>
      </c>
      <c r="F258" s="11" t="s">
        <v>78</v>
      </c>
      <c r="G258" s="11" t="s">
        <v>79</v>
      </c>
      <c r="H258" s="12">
        <v>4.92</v>
      </c>
      <c r="I258" s="13"/>
      <c r="J258" s="12">
        <v>0.02</v>
      </c>
      <c r="K258" s="14">
        <v>3</v>
      </c>
      <c r="L258" s="11" t="s">
        <v>605</v>
      </c>
      <c r="M258" s="15" t="s">
        <v>179</v>
      </c>
    </row>
    <row r="259" spans="1:13">
      <c r="A259" s="98">
        <v>43574</v>
      </c>
      <c r="B259" s="11" t="s">
        <v>14</v>
      </c>
      <c r="C259" s="11" t="s">
        <v>76</v>
      </c>
      <c r="D259" s="11" t="s">
        <v>209</v>
      </c>
      <c r="E259" s="11" t="s">
        <v>7</v>
      </c>
      <c r="F259" s="11" t="s">
        <v>78</v>
      </c>
      <c r="G259" s="11" t="s">
        <v>79</v>
      </c>
      <c r="H259" s="12">
        <v>4.62</v>
      </c>
      <c r="I259" s="13"/>
      <c r="J259" s="12">
        <v>0.02</v>
      </c>
      <c r="K259" s="14">
        <v>3</v>
      </c>
      <c r="L259" s="11" t="s">
        <v>605</v>
      </c>
      <c r="M259" s="15" t="s">
        <v>180</v>
      </c>
    </row>
    <row r="260" spans="1:13">
      <c r="A260" s="98">
        <v>43579</v>
      </c>
      <c r="B260" s="11" t="s">
        <v>14</v>
      </c>
      <c r="C260" s="11" t="s">
        <v>76</v>
      </c>
      <c r="D260" s="11" t="s">
        <v>209</v>
      </c>
      <c r="E260" s="11" t="s">
        <v>7</v>
      </c>
      <c r="F260" s="11" t="s">
        <v>78</v>
      </c>
      <c r="G260" s="11" t="s">
        <v>79</v>
      </c>
      <c r="H260" s="12">
        <v>5.24</v>
      </c>
      <c r="I260" s="13"/>
      <c r="J260" s="12">
        <v>0.02</v>
      </c>
      <c r="K260" s="14">
        <v>3</v>
      </c>
      <c r="L260" s="11" t="s">
        <v>605</v>
      </c>
      <c r="M260" s="15" t="s">
        <v>181</v>
      </c>
    </row>
    <row r="261" spans="1:13">
      <c r="A261" s="98">
        <v>43580</v>
      </c>
      <c r="B261" s="11" t="s">
        <v>14</v>
      </c>
      <c r="C261" s="11" t="s">
        <v>76</v>
      </c>
      <c r="D261" s="11" t="s">
        <v>209</v>
      </c>
      <c r="E261" s="11" t="s">
        <v>7</v>
      </c>
      <c r="F261" s="11" t="s">
        <v>78</v>
      </c>
      <c r="G261" s="11" t="s">
        <v>79</v>
      </c>
      <c r="H261" s="12">
        <v>5.54</v>
      </c>
      <c r="I261" s="13"/>
      <c r="J261" s="12">
        <v>0.02</v>
      </c>
      <c r="K261" s="14">
        <v>3</v>
      </c>
      <c r="L261" s="11" t="s">
        <v>605</v>
      </c>
      <c r="M261" s="15" t="s">
        <v>182</v>
      </c>
    </row>
    <row r="262" spans="1:13">
      <c r="A262" s="98">
        <v>43581</v>
      </c>
      <c r="B262" s="11" t="s">
        <v>14</v>
      </c>
      <c r="C262" s="11" t="s">
        <v>76</v>
      </c>
      <c r="D262" s="11" t="s">
        <v>209</v>
      </c>
      <c r="E262" s="11" t="s">
        <v>7</v>
      </c>
      <c r="F262" s="11" t="s">
        <v>78</v>
      </c>
      <c r="G262" s="11" t="s">
        <v>79</v>
      </c>
      <c r="H262" s="12">
        <v>5.19</v>
      </c>
      <c r="I262" s="13"/>
      <c r="J262" s="12">
        <v>0.02</v>
      </c>
      <c r="K262" s="14">
        <v>3</v>
      </c>
      <c r="L262" s="11" t="s">
        <v>605</v>
      </c>
      <c r="M262" s="15" t="s">
        <v>183</v>
      </c>
    </row>
    <row r="263" spans="1:13">
      <c r="A263" s="98">
        <v>43583</v>
      </c>
      <c r="B263" s="11" t="s">
        <v>14</v>
      </c>
      <c r="C263" s="11" t="s">
        <v>76</v>
      </c>
      <c r="D263" s="11" t="s">
        <v>209</v>
      </c>
      <c r="E263" s="11" t="s">
        <v>7</v>
      </c>
      <c r="F263" s="11" t="s">
        <v>78</v>
      </c>
      <c r="G263" s="11" t="s">
        <v>79</v>
      </c>
      <c r="H263" s="12">
        <v>5.07</v>
      </c>
      <c r="I263" s="13"/>
      <c r="J263" s="12">
        <v>0.02</v>
      </c>
      <c r="K263" s="14">
        <v>3</v>
      </c>
      <c r="L263" s="11" t="s">
        <v>605</v>
      </c>
      <c r="M263" s="15" t="s">
        <v>184</v>
      </c>
    </row>
    <row r="264" spans="1:13">
      <c r="A264" s="98">
        <v>43588</v>
      </c>
      <c r="B264" s="11" t="s">
        <v>14</v>
      </c>
      <c r="C264" s="11" t="s">
        <v>76</v>
      </c>
      <c r="D264" s="11" t="s">
        <v>209</v>
      </c>
      <c r="E264" s="11" t="s">
        <v>7</v>
      </c>
      <c r="F264" s="11" t="s">
        <v>78</v>
      </c>
      <c r="G264" s="11" t="s">
        <v>79</v>
      </c>
      <c r="H264" s="12">
        <v>4.8899999999999997</v>
      </c>
      <c r="I264" s="13"/>
      <c r="J264" s="12">
        <v>0.02</v>
      </c>
      <c r="K264" s="14">
        <v>3</v>
      </c>
      <c r="L264" s="11" t="s">
        <v>605</v>
      </c>
      <c r="M264" s="15" t="s">
        <v>185</v>
      </c>
    </row>
    <row r="265" spans="1:13">
      <c r="A265" s="98">
        <v>43589</v>
      </c>
      <c r="B265" s="11" t="s">
        <v>14</v>
      </c>
      <c r="C265" s="11" t="s">
        <v>76</v>
      </c>
      <c r="D265" s="11" t="s">
        <v>209</v>
      </c>
      <c r="E265" s="11" t="s">
        <v>7</v>
      </c>
      <c r="F265" s="11" t="s">
        <v>78</v>
      </c>
      <c r="G265" s="11" t="s">
        <v>79</v>
      </c>
      <c r="H265" s="12">
        <v>5.31</v>
      </c>
      <c r="I265" s="13"/>
      <c r="J265" s="12">
        <v>0.02</v>
      </c>
      <c r="K265" s="14">
        <v>3</v>
      </c>
      <c r="L265" s="11" t="s">
        <v>605</v>
      </c>
      <c r="M265" s="15" t="s">
        <v>186</v>
      </c>
    </row>
    <row r="266" spans="1:13">
      <c r="A266" s="98">
        <v>43590</v>
      </c>
      <c r="B266" s="11" t="s">
        <v>14</v>
      </c>
      <c r="C266" s="11" t="s">
        <v>76</v>
      </c>
      <c r="D266" s="11" t="s">
        <v>209</v>
      </c>
      <c r="E266" s="11" t="s">
        <v>7</v>
      </c>
      <c r="F266" s="11" t="s">
        <v>78</v>
      </c>
      <c r="G266" s="11" t="s">
        <v>79</v>
      </c>
      <c r="H266" s="12">
        <v>5.42</v>
      </c>
      <c r="I266" s="13"/>
      <c r="J266" s="12">
        <v>0.02</v>
      </c>
      <c r="K266" s="14">
        <v>3</v>
      </c>
      <c r="L266" s="11" t="s">
        <v>605</v>
      </c>
      <c r="M266" s="15" t="s">
        <v>187</v>
      </c>
    </row>
    <row r="267" spans="1:13">
      <c r="A267" s="98">
        <v>43595</v>
      </c>
      <c r="B267" s="11" t="s">
        <v>14</v>
      </c>
      <c r="C267" s="11" t="s">
        <v>76</v>
      </c>
      <c r="D267" s="11" t="s">
        <v>209</v>
      </c>
      <c r="E267" s="11" t="s">
        <v>7</v>
      </c>
      <c r="F267" s="11" t="s">
        <v>78</v>
      </c>
      <c r="G267" s="11" t="s">
        <v>79</v>
      </c>
      <c r="H267" s="12">
        <v>5.16</v>
      </c>
      <c r="I267" s="13"/>
      <c r="J267" s="12">
        <v>0.02</v>
      </c>
      <c r="K267" s="14">
        <v>3</v>
      </c>
      <c r="L267" s="11" t="s">
        <v>605</v>
      </c>
      <c r="M267" s="15" t="s">
        <v>188</v>
      </c>
    </row>
    <row r="268" spans="1:13">
      <c r="A268" s="98">
        <v>43596</v>
      </c>
      <c r="B268" s="11" t="s">
        <v>14</v>
      </c>
      <c r="C268" s="11" t="s">
        <v>76</v>
      </c>
      <c r="D268" s="11" t="s">
        <v>209</v>
      </c>
      <c r="E268" s="11" t="s">
        <v>7</v>
      </c>
      <c r="F268" s="11" t="s">
        <v>78</v>
      </c>
      <c r="G268" s="11" t="s">
        <v>79</v>
      </c>
      <c r="H268" s="12">
        <v>5.17</v>
      </c>
      <c r="I268" s="13"/>
      <c r="J268" s="12">
        <v>0.02</v>
      </c>
      <c r="K268" s="14">
        <v>3</v>
      </c>
      <c r="L268" s="11" t="s">
        <v>605</v>
      </c>
      <c r="M268" s="15" t="s">
        <v>189</v>
      </c>
    </row>
    <row r="269" spans="1:13">
      <c r="A269" s="98">
        <v>43597</v>
      </c>
      <c r="B269" s="11" t="s">
        <v>14</v>
      </c>
      <c r="C269" s="11" t="s">
        <v>76</v>
      </c>
      <c r="D269" s="11" t="s">
        <v>209</v>
      </c>
      <c r="E269" s="11" t="s">
        <v>7</v>
      </c>
      <c r="F269" s="11" t="s">
        <v>78</v>
      </c>
      <c r="G269" s="11" t="s">
        <v>79</v>
      </c>
      <c r="H269" s="12">
        <v>5.3</v>
      </c>
      <c r="I269" s="13"/>
      <c r="J269" s="12">
        <v>0.02</v>
      </c>
      <c r="K269" s="14">
        <v>3</v>
      </c>
      <c r="L269" s="11" t="s">
        <v>605</v>
      </c>
      <c r="M269" s="15" t="s">
        <v>190</v>
      </c>
    </row>
    <row r="270" spans="1:13">
      <c r="A270" s="98">
        <v>43602</v>
      </c>
      <c r="B270" s="11" t="s">
        <v>14</v>
      </c>
      <c r="C270" s="11" t="s">
        <v>76</v>
      </c>
      <c r="D270" s="11" t="s">
        <v>209</v>
      </c>
      <c r="E270" s="11" t="s">
        <v>7</v>
      </c>
      <c r="F270" s="11" t="s">
        <v>78</v>
      </c>
      <c r="G270" s="11" t="s">
        <v>79</v>
      </c>
      <c r="H270" s="12">
        <v>4.99</v>
      </c>
      <c r="I270" s="13"/>
      <c r="J270" s="12">
        <v>0.02</v>
      </c>
      <c r="K270" s="14">
        <v>3</v>
      </c>
      <c r="L270" s="11" t="s">
        <v>605</v>
      </c>
      <c r="M270" s="15" t="s">
        <v>191</v>
      </c>
    </row>
    <row r="271" spans="1:13">
      <c r="A271" s="98">
        <v>43603</v>
      </c>
      <c r="B271" s="11" t="s">
        <v>14</v>
      </c>
      <c r="C271" s="11" t="s">
        <v>76</v>
      </c>
      <c r="D271" s="11" t="s">
        <v>209</v>
      </c>
      <c r="E271" s="11" t="s">
        <v>7</v>
      </c>
      <c r="F271" s="11" t="s">
        <v>78</v>
      </c>
      <c r="G271" s="11" t="s">
        <v>79</v>
      </c>
      <c r="H271" s="12">
        <v>5.33</v>
      </c>
      <c r="I271" s="13"/>
      <c r="J271" s="12">
        <v>0.02</v>
      </c>
      <c r="K271" s="14">
        <v>3</v>
      </c>
      <c r="L271" s="11" t="s">
        <v>605</v>
      </c>
      <c r="M271" s="15" t="s">
        <v>192</v>
      </c>
    </row>
    <row r="272" spans="1:13">
      <c r="A272" s="98">
        <v>43604</v>
      </c>
      <c r="B272" s="11" t="s">
        <v>14</v>
      </c>
      <c r="C272" s="11" t="s">
        <v>76</v>
      </c>
      <c r="D272" s="11" t="s">
        <v>209</v>
      </c>
      <c r="E272" s="11" t="s">
        <v>7</v>
      </c>
      <c r="F272" s="11" t="s">
        <v>78</v>
      </c>
      <c r="G272" s="11" t="s">
        <v>79</v>
      </c>
      <c r="H272" s="12">
        <v>5.37</v>
      </c>
      <c r="I272" s="13"/>
      <c r="J272" s="12">
        <v>0.02</v>
      </c>
      <c r="K272" s="14">
        <v>3</v>
      </c>
      <c r="L272" s="11" t="s">
        <v>605</v>
      </c>
      <c r="M272" s="15" t="s">
        <v>193</v>
      </c>
    </row>
    <row r="273" spans="1:13">
      <c r="A273" s="98">
        <v>43609</v>
      </c>
      <c r="B273" s="11" t="s">
        <v>14</v>
      </c>
      <c r="C273" s="11" t="s">
        <v>76</v>
      </c>
      <c r="D273" s="11" t="s">
        <v>209</v>
      </c>
      <c r="E273" s="11" t="s">
        <v>7</v>
      </c>
      <c r="F273" s="11" t="s">
        <v>78</v>
      </c>
      <c r="G273" s="11" t="s">
        <v>79</v>
      </c>
      <c r="H273" s="12">
        <v>4.3499999999999996</v>
      </c>
      <c r="I273" s="13"/>
      <c r="J273" s="12">
        <v>0.02</v>
      </c>
      <c r="K273" s="14">
        <v>3</v>
      </c>
      <c r="L273" s="11" t="s">
        <v>605</v>
      </c>
      <c r="M273" s="15" t="s">
        <v>194</v>
      </c>
    </row>
    <row r="274" spans="1:13">
      <c r="A274" s="98">
        <v>43610</v>
      </c>
      <c r="B274" s="11" t="s">
        <v>14</v>
      </c>
      <c r="C274" s="11" t="s">
        <v>76</v>
      </c>
      <c r="D274" s="11" t="s">
        <v>209</v>
      </c>
      <c r="E274" s="11" t="s">
        <v>7</v>
      </c>
      <c r="F274" s="11" t="s">
        <v>78</v>
      </c>
      <c r="G274" s="11" t="s">
        <v>79</v>
      </c>
      <c r="H274" s="12">
        <v>4.63</v>
      </c>
      <c r="I274" s="13"/>
      <c r="J274" s="12">
        <v>0.02</v>
      </c>
      <c r="K274" s="14">
        <v>3</v>
      </c>
      <c r="L274" s="11" t="s">
        <v>605</v>
      </c>
      <c r="M274" s="15" t="s">
        <v>195</v>
      </c>
    </row>
    <row r="275" spans="1:13">
      <c r="A275" s="98">
        <v>43611</v>
      </c>
      <c r="B275" s="11" t="s">
        <v>14</v>
      </c>
      <c r="C275" s="11" t="s">
        <v>76</v>
      </c>
      <c r="D275" s="11" t="s">
        <v>209</v>
      </c>
      <c r="E275" s="11" t="s">
        <v>7</v>
      </c>
      <c r="F275" s="11" t="s">
        <v>78</v>
      </c>
      <c r="G275" s="11" t="s">
        <v>79</v>
      </c>
      <c r="H275" s="12">
        <v>5.4</v>
      </c>
      <c r="I275" s="13"/>
      <c r="J275" s="12">
        <v>0.02</v>
      </c>
      <c r="K275" s="14">
        <v>3</v>
      </c>
      <c r="L275" s="11" t="s">
        <v>605</v>
      </c>
      <c r="M275" s="15" t="s">
        <v>196</v>
      </c>
    </row>
    <row r="276" spans="1:13">
      <c r="A276" s="98">
        <v>43616</v>
      </c>
      <c r="B276" s="11" t="s">
        <v>14</v>
      </c>
      <c r="C276" s="11" t="s">
        <v>76</v>
      </c>
      <c r="D276" s="11" t="s">
        <v>209</v>
      </c>
      <c r="E276" s="11" t="s">
        <v>7</v>
      </c>
      <c r="F276" s="11" t="s">
        <v>78</v>
      </c>
      <c r="G276" s="11" t="s">
        <v>79</v>
      </c>
      <c r="H276" s="12">
        <v>4.7</v>
      </c>
      <c r="I276" s="13"/>
      <c r="J276" s="12">
        <v>0.02</v>
      </c>
      <c r="K276" s="14">
        <v>3</v>
      </c>
      <c r="L276" s="11" t="s">
        <v>605</v>
      </c>
      <c r="M276" s="15" t="s">
        <v>197</v>
      </c>
    </row>
    <row r="277" spans="1:13">
      <c r="A277" s="98">
        <v>43617</v>
      </c>
      <c r="B277" s="11" t="s">
        <v>14</v>
      </c>
      <c r="C277" s="11" t="s">
        <v>76</v>
      </c>
      <c r="D277" s="11" t="s">
        <v>209</v>
      </c>
      <c r="E277" s="11" t="s">
        <v>7</v>
      </c>
      <c r="F277" s="11" t="s">
        <v>78</v>
      </c>
      <c r="G277" s="11" t="s">
        <v>79</v>
      </c>
      <c r="H277" s="12">
        <v>4.9400000000000004</v>
      </c>
      <c r="I277" s="13"/>
      <c r="J277" s="12">
        <v>0.02</v>
      </c>
      <c r="K277" s="14">
        <v>3</v>
      </c>
      <c r="L277" s="11" t="s">
        <v>605</v>
      </c>
      <c r="M277" s="15" t="s">
        <v>198</v>
      </c>
    </row>
    <row r="278" spans="1:13">
      <c r="A278" s="98">
        <v>43619</v>
      </c>
      <c r="B278" s="11" t="s">
        <v>14</v>
      </c>
      <c r="C278" s="11" t="s">
        <v>76</v>
      </c>
      <c r="D278" s="11" t="s">
        <v>209</v>
      </c>
      <c r="E278" s="11" t="s">
        <v>7</v>
      </c>
      <c r="F278" s="11" t="s">
        <v>78</v>
      </c>
      <c r="G278" s="11" t="s">
        <v>79</v>
      </c>
      <c r="H278" s="12">
        <v>4.93</v>
      </c>
      <c r="I278" s="13"/>
      <c r="J278" s="12">
        <v>0.02</v>
      </c>
      <c r="K278" s="14">
        <v>3</v>
      </c>
      <c r="L278" s="11" t="s">
        <v>605</v>
      </c>
      <c r="M278" s="15" t="s">
        <v>199</v>
      </c>
    </row>
    <row r="279" spans="1:13">
      <c r="A279" s="98">
        <v>43623</v>
      </c>
      <c r="B279" s="11" t="s">
        <v>14</v>
      </c>
      <c r="C279" s="11" t="s">
        <v>76</v>
      </c>
      <c r="D279" s="11" t="s">
        <v>209</v>
      </c>
      <c r="E279" s="11" t="s">
        <v>7</v>
      </c>
      <c r="F279" s="11" t="s">
        <v>78</v>
      </c>
      <c r="G279" s="11" t="s">
        <v>79</v>
      </c>
      <c r="H279" s="12">
        <v>4.37</v>
      </c>
      <c r="I279" s="13"/>
      <c r="J279" s="12">
        <v>0.02</v>
      </c>
      <c r="K279" s="14">
        <v>3</v>
      </c>
      <c r="L279" s="11" t="s">
        <v>605</v>
      </c>
      <c r="M279" s="15" t="s">
        <v>200</v>
      </c>
    </row>
    <row r="280" spans="1:13">
      <c r="A280" s="98">
        <v>43624</v>
      </c>
      <c r="B280" s="11" t="s">
        <v>14</v>
      </c>
      <c r="C280" s="11" t="s">
        <v>76</v>
      </c>
      <c r="D280" s="11" t="s">
        <v>209</v>
      </c>
      <c r="E280" s="11" t="s">
        <v>7</v>
      </c>
      <c r="F280" s="11" t="s">
        <v>78</v>
      </c>
      <c r="G280" s="11" t="s">
        <v>79</v>
      </c>
      <c r="H280" s="12">
        <v>4.6500000000000004</v>
      </c>
      <c r="I280" s="13"/>
      <c r="J280" s="12">
        <v>0.02</v>
      </c>
      <c r="K280" s="14">
        <v>3</v>
      </c>
      <c r="L280" s="11" t="s">
        <v>605</v>
      </c>
      <c r="M280" s="15" t="s">
        <v>201</v>
      </c>
    </row>
    <row r="281" spans="1:13">
      <c r="A281" s="98">
        <v>43626</v>
      </c>
      <c r="B281" s="11" t="s">
        <v>14</v>
      </c>
      <c r="C281" s="11" t="s">
        <v>76</v>
      </c>
      <c r="D281" s="11" t="s">
        <v>209</v>
      </c>
      <c r="E281" s="11" t="s">
        <v>7</v>
      </c>
      <c r="F281" s="11" t="s">
        <v>78</v>
      </c>
      <c r="G281" s="11" t="s">
        <v>79</v>
      </c>
      <c r="H281" s="12">
        <v>4.8499999999999996</v>
      </c>
      <c r="I281" s="13"/>
      <c r="J281" s="12">
        <v>0.02</v>
      </c>
      <c r="K281" s="14">
        <v>3</v>
      </c>
      <c r="L281" s="11" t="s">
        <v>605</v>
      </c>
      <c r="M281" s="15" t="s">
        <v>202</v>
      </c>
    </row>
    <row r="282" spans="1:13">
      <c r="A282" s="98">
        <v>43630</v>
      </c>
      <c r="B282" s="11" t="s">
        <v>14</v>
      </c>
      <c r="C282" s="11" t="s">
        <v>76</v>
      </c>
      <c r="D282" s="11" t="s">
        <v>209</v>
      </c>
      <c r="E282" s="11" t="s">
        <v>7</v>
      </c>
      <c r="F282" s="11" t="s">
        <v>78</v>
      </c>
      <c r="G282" s="11" t="s">
        <v>79</v>
      </c>
      <c r="H282" s="12">
        <v>4.34</v>
      </c>
      <c r="I282" s="13"/>
      <c r="J282" s="12">
        <v>0.02</v>
      </c>
      <c r="K282" s="14">
        <v>3</v>
      </c>
      <c r="L282" s="11" t="s">
        <v>605</v>
      </c>
      <c r="M282" s="15" t="s">
        <v>203</v>
      </c>
    </row>
    <row r="283" spans="1:13">
      <c r="A283" s="98">
        <v>43631</v>
      </c>
      <c r="B283" s="11" t="s">
        <v>14</v>
      </c>
      <c r="C283" s="11" t="s">
        <v>76</v>
      </c>
      <c r="D283" s="11" t="s">
        <v>209</v>
      </c>
      <c r="E283" s="11" t="s">
        <v>7</v>
      </c>
      <c r="F283" s="11" t="s">
        <v>78</v>
      </c>
      <c r="G283" s="11" t="s">
        <v>79</v>
      </c>
      <c r="H283" s="12">
        <v>4.62</v>
      </c>
      <c r="I283" s="13"/>
      <c r="J283" s="12">
        <v>0.02</v>
      </c>
      <c r="K283" s="14">
        <v>3</v>
      </c>
      <c r="L283" s="11" t="s">
        <v>605</v>
      </c>
      <c r="M283" s="15" t="s">
        <v>204</v>
      </c>
    </row>
    <row r="284" spans="1:13">
      <c r="A284" s="98">
        <v>43633</v>
      </c>
      <c r="B284" s="11" t="s">
        <v>14</v>
      </c>
      <c r="C284" s="11" t="s">
        <v>76</v>
      </c>
      <c r="D284" s="11" t="s">
        <v>209</v>
      </c>
      <c r="E284" s="11" t="s">
        <v>7</v>
      </c>
      <c r="F284" s="11" t="s">
        <v>78</v>
      </c>
      <c r="G284" s="11" t="s">
        <v>79</v>
      </c>
      <c r="H284" s="12">
        <v>5.44</v>
      </c>
      <c r="I284" s="13"/>
      <c r="J284" s="12">
        <v>0.02</v>
      </c>
      <c r="K284" s="14">
        <v>3</v>
      </c>
      <c r="L284" s="11" t="s">
        <v>605</v>
      </c>
      <c r="M284" s="15" t="s">
        <v>205</v>
      </c>
    </row>
    <row r="285" spans="1:13">
      <c r="A285" s="98">
        <v>43637</v>
      </c>
      <c r="B285" s="11" t="s">
        <v>14</v>
      </c>
      <c r="C285" s="11" t="s">
        <v>76</v>
      </c>
      <c r="D285" s="11" t="s">
        <v>209</v>
      </c>
      <c r="E285" s="11" t="s">
        <v>7</v>
      </c>
      <c r="F285" s="11" t="s">
        <v>78</v>
      </c>
      <c r="G285" s="11" t="s">
        <v>79</v>
      </c>
      <c r="H285" s="12">
        <v>4.96</v>
      </c>
      <c r="I285" s="13"/>
      <c r="J285" s="12">
        <v>0.02</v>
      </c>
      <c r="K285" s="14">
        <v>3</v>
      </c>
      <c r="L285" s="11" t="s">
        <v>605</v>
      </c>
      <c r="M285" s="15" t="s">
        <v>206</v>
      </c>
    </row>
    <row r="286" spans="1:13">
      <c r="A286" s="98">
        <v>43638</v>
      </c>
      <c r="B286" s="11" t="s">
        <v>14</v>
      </c>
      <c r="C286" s="11" t="s">
        <v>76</v>
      </c>
      <c r="D286" s="11" t="s">
        <v>209</v>
      </c>
      <c r="E286" s="11" t="s">
        <v>7</v>
      </c>
      <c r="F286" s="11" t="s">
        <v>78</v>
      </c>
      <c r="G286" s="11" t="s">
        <v>79</v>
      </c>
      <c r="H286" s="12">
        <v>5.23</v>
      </c>
      <c r="I286" s="13"/>
      <c r="J286" s="12">
        <v>0.02</v>
      </c>
      <c r="K286" s="14">
        <v>3</v>
      </c>
      <c r="L286" s="11" t="s">
        <v>605</v>
      </c>
      <c r="M286" s="15" t="s">
        <v>207</v>
      </c>
    </row>
    <row r="287" spans="1:13">
      <c r="A287" s="98">
        <v>43640</v>
      </c>
      <c r="B287" s="11" t="s">
        <v>14</v>
      </c>
      <c r="C287" s="11" t="s">
        <v>76</v>
      </c>
      <c r="D287" s="11" t="s">
        <v>209</v>
      </c>
      <c r="E287" s="11" t="s">
        <v>7</v>
      </c>
      <c r="F287" s="11" t="s">
        <v>78</v>
      </c>
      <c r="G287" s="11" t="s">
        <v>79</v>
      </c>
      <c r="H287" s="12">
        <v>5.24</v>
      </c>
      <c r="I287" s="13"/>
      <c r="J287" s="12">
        <v>0.02</v>
      </c>
      <c r="K287" s="14">
        <v>3</v>
      </c>
      <c r="L287" s="11" t="s">
        <v>605</v>
      </c>
      <c r="M287" s="15" t="s">
        <v>208</v>
      </c>
    </row>
    <row r="288" spans="1:13">
      <c r="A288" s="98">
        <v>43644</v>
      </c>
      <c r="B288" s="11" t="s">
        <v>14</v>
      </c>
      <c r="C288" s="11" t="s">
        <v>76</v>
      </c>
      <c r="D288" s="11" t="s">
        <v>209</v>
      </c>
      <c r="E288" s="11" t="s">
        <v>7</v>
      </c>
      <c r="F288" s="11" t="s">
        <v>78</v>
      </c>
      <c r="G288" s="11" t="s">
        <v>79</v>
      </c>
      <c r="H288" s="12">
        <v>4.07</v>
      </c>
      <c r="I288" s="13"/>
      <c r="J288" s="12">
        <v>0.02</v>
      </c>
      <c r="K288" s="14">
        <v>3</v>
      </c>
      <c r="L288" s="11" t="s">
        <v>605</v>
      </c>
      <c r="M288" s="15" t="s">
        <v>210</v>
      </c>
    </row>
    <row r="289" spans="1:13">
      <c r="A289" s="98">
        <v>43645</v>
      </c>
      <c r="B289" s="11" t="s">
        <v>14</v>
      </c>
      <c r="C289" s="11" t="s">
        <v>76</v>
      </c>
      <c r="D289" s="11" t="s">
        <v>209</v>
      </c>
      <c r="E289" s="11" t="s">
        <v>7</v>
      </c>
      <c r="F289" s="11" t="s">
        <v>78</v>
      </c>
      <c r="G289" s="11" t="s">
        <v>79</v>
      </c>
      <c r="H289" s="12">
        <v>4.38</v>
      </c>
      <c r="I289" s="13"/>
      <c r="J289" s="12">
        <v>0.02</v>
      </c>
      <c r="K289" s="14">
        <v>3</v>
      </c>
      <c r="L289" s="11" t="s">
        <v>605</v>
      </c>
      <c r="M289" s="15" t="s">
        <v>211</v>
      </c>
    </row>
    <row r="290" spans="1:13">
      <c r="A290" s="98">
        <v>43647</v>
      </c>
      <c r="B290" s="11" t="s">
        <v>14</v>
      </c>
      <c r="C290" s="11" t="s">
        <v>76</v>
      </c>
      <c r="D290" s="11" t="s">
        <v>209</v>
      </c>
      <c r="E290" s="11" t="s">
        <v>7</v>
      </c>
      <c r="F290" s="11" t="s">
        <v>78</v>
      </c>
      <c r="G290" s="11" t="s">
        <v>79</v>
      </c>
      <c r="H290" s="12">
        <v>4.6900000000000004</v>
      </c>
      <c r="I290" s="13"/>
      <c r="J290" s="12">
        <v>0.02</v>
      </c>
      <c r="K290" s="14">
        <v>3</v>
      </c>
      <c r="L290" s="11" t="s">
        <v>605</v>
      </c>
      <c r="M290" s="15" t="s">
        <v>615</v>
      </c>
    </row>
    <row r="291" spans="1:13">
      <c r="A291" s="98">
        <v>43651</v>
      </c>
      <c r="B291" s="11" t="s">
        <v>14</v>
      </c>
      <c r="C291" s="11" t="s">
        <v>76</v>
      </c>
      <c r="D291" s="11" t="s">
        <v>209</v>
      </c>
      <c r="E291" s="11" t="s">
        <v>7</v>
      </c>
      <c r="F291" s="11" t="s">
        <v>78</v>
      </c>
      <c r="G291" s="11" t="s">
        <v>79</v>
      </c>
      <c r="H291" s="12">
        <v>4.7699999999999996</v>
      </c>
      <c r="I291" s="13"/>
      <c r="J291" s="12">
        <v>0.02</v>
      </c>
      <c r="K291" s="14">
        <v>3</v>
      </c>
      <c r="L291" s="11" t="s">
        <v>605</v>
      </c>
      <c r="M291" s="15" t="s">
        <v>616</v>
      </c>
    </row>
    <row r="292" spans="1:13">
      <c r="A292" s="98">
        <v>43652</v>
      </c>
      <c r="B292" s="11" t="s">
        <v>14</v>
      </c>
      <c r="C292" s="11" t="s">
        <v>76</v>
      </c>
      <c r="D292" s="11" t="s">
        <v>209</v>
      </c>
      <c r="E292" s="11" t="s">
        <v>7</v>
      </c>
      <c r="F292" s="11" t="s">
        <v>78</v>
      </c>
      <c r="G292" s="11" t="s">
        <v>79</v>
      </c>
      <c r="H292" s="12">
        <v>4.66</v>
      </c>
      <c r="I292" s="13"/>
      <c r="J292" s="12">
        <v>0.02</v>
      </c>
      <c r="K292" s="14">
        <v>3</v>
      </c>
      <c r="L292" s="11" t="s">
        <v>605</v>
      </c>
      <c r="M292" s="15" t="s">
        <v>617</v>
      </c>
    </row>
    <row r="293" spans="1:13">
      <c r="A293" s="98">
        <v>43653</v>
      </c>
      <c r="B293" s="11" t="s">
        <v>14</v>
      </c>
      <c r="C293" s="11" t="s">
        <v>76</v>
      </c>
      <c r="D293" s="11" t="s">
        <v>209</v>
      </c>
      <c r="E293" s="11" t="s">
        <v>7</v>
      </c>
      <c r="F293" s="11" t="s">
        <v>78</v>
      </c>
      <c r="G293" s="11" t="s">
        <v>79</v>
      </c>
      <c r="H293" s="12">
        <v>4.58</v>
      </c>
      <c r="I293" s="13"/>
      <c r="J293" s="12">
        <v>0.02</v>
      </c>
      <c r="K293" s="14">
        <v>3</v>
      </c>
      <c r="L293" s="11" t="s">
        <v>605</v>
      </c>
      <c r="M293" s="15" t="s">
        <v>618</v>
      </c>
    </row>
    <row r="294" spans="1:13">
      <c r="A294" s="98">
        <v>43654</v>
      </c>
      <c r="B294" s="11" t="s">
        <v>14</v>
      </c>
      <c r="C294" s="11" t="s">
        <v>76</v>
      </c>
      <c r="D294" s="11" t="s">
        <v>209</v>
      </c>
      <c r="E294" s="11" t="s">
        <v>7</v>
      </c>
      <c r="F294" s="11" t="s">
        <v>78</v>
      </c>
      <c r="G294" s="11" t="s">
        <v>79</v>
      </c>
      <c r="H294" s="12">
        <v>4.33</v>
      </c>
      <c r="I294" s="13"/>
      <c r="J294" s="12">
        <v>0.02</v>
      </c>
      <c r="K294" s="14">
        <v>3</v>
      </c>
      <c r="L294" s="11" t="s">
        <v>605</v>
      </c>
      <c r="M294" s="15" t="s">
        <v>619</v>
      </c>
    </row>
    <row r="295" spans="1:13">
      <c r="A295" s="98">
        <v>43656</v>
      </c>
      <c r="B295" s="11" t="s">
        <v>14</v>
      </c>
      <c r="C295" s="11" t="s">
        <v>76</v>
      </c>
      <c r="D295" s="11" t="s">
        <v>209</v>
      </c>
      <c r="E295" s="11" t="s">
        <v>7</v>
      </c>
      <c r="F295" s="11" t="s">
        <v>78</v>
      </c>
      <c r="G295" s="11" t="s">
        <v>79</v>
      </c>
      <c r="H295" s="12">
        <v>3.52</v>
      </c>
      <c r="I295" s="13"/>
      <c r="J295" s="12">
        <v>0.02</v>
      </c>
      <c r="K295" s="14">
        <v>3</v>
      </c>
      <c r="L295" s="11" t="s">
        <v>605</v>
      </c>
      <c r="M295" s="15" t="s">
        <v>620</v>
      </c>
    </row>
    <row r="296" spans="1:13">
      <c r="A296" s="98">
        <v>43660</v>
      </c>
      <c r="B296" s="11" t="s">
        <v>14</v>
      </c>
      <c r="C296" s="11" t="s">
        <v>76</v>
      </c>
      <c r="D296" s="11" t="s">
        <v>209</v>
      </c>
      <c r="E296" s="11" t="s">
        <v>7</v>
      </c>
      <c r="F296" s="11" t="s">
        <v>78</v>
      </c>
      <c r="G296" s="11" t="s">
        <v>79</v>
      </c>
      <c r="H296" s="12">
        <v>4.54</v>
      </c>
      <c r="I296" s="13"/>
      <c r="J296" s="12">
        <v>0.02</v>
      </c>
      <c r="K296" s="14">
        <v>3</v>
      </c>
      <c r="L296" s="11" t="s">
        <v>605</v>
      </c>
      <c r="M296" s="15" t="s">
        <v>621</v>
      </c>
    </row>
    <row r="297" spans="1:13">
      <c r="A297" s="98">
        <v>43661</v>
      </c>
      <c r="B297" s="11" t="s">
        <v>14</v>
      </c>
      <c r="C297" s="11" t="s">
        <v>76</v>
      </c>
      <c r="D297" s="11" t="s">
        <v>209</v>
      </c>
      <c r="E297" s="11" t="s">
        <v>7</v>
      </c>
      <c r="F297" s="11" t="s">
        <v>78</v>
      </c>
      <c r="G297" s="11" t="s">
        <v>79</v>
      </c>
      <c r="H297" s="12">
        <v>4.47</v>
      </c>
      <c r="I297" s="13"/>
      <c r="J297" s="12">
        <v>0.02</v>
      </c>
      <c r="K297" s="14">
        <v>3</v>
      </c>
      <c r="L297" s="11" t="s">
        <v>605</v>
      </c>
      <c r="M297" s="15" t="s">
        <v>622</v>
      </c>
    </row>
    <row r="298" spans="1:13">
      <c r="A298" s="98">
        <v>43663</v>
      </c>
      <c r="B298" s="11" t="s">
        <v>14</v>
      </c>
      <c r="C298" s="11" t="s">
        <v>76</v>
      </c>
      <c r="D298" s="11" t="s">
        <v>209</v>
      </c>
      <c r="E298" s="11" t="s">
        <v>7</v>
      </c>
      <c r="F298" s="11" t="s">
        <v>78</v>
      </c>
      <c r="G298" s="11" t="s">
        <v>79</v>
      </c>
      <c r="H298" s="12">
        <v>3.86</v>
      </c>
      <c r="I298" s="13"/>
      <c r="J298" s="12">
        <v>0.02</v>
      </c>
      <c r="K298" s="14">
        <v>3</v>
      </c>
      <c r="L298" s="11" t="s">
        <v>605</v>
      </c>
      <c r="M298" s="15" t="s">
        <v>623</v>
      </c>
    </row>
    <row r="299" spans="1:13">
      <c r="A299" s="98">
        <v>43667</v>
      </c>
      <c r="B299" s="11" t="s">
        <v>14</v>
      </c>
      <c r="C299" s="11" t="s">
        <v>76</v>
      </c>
      <c r="D299" s="11" t="s">
        <v>209</v>
      </c>
      <c r="E299" s="11" t="s">
        <v>7</v>
      </c>
      <c r="F299" s="11" t="s">
        <v>78</v>
      </c>
      <c r="G299" s="11" t="s">
        <v>79</v>
      </c>
      <c r="H299" s="12">
        <v>4.2</v>
      </c>
      <c r="I299" s="13"/>
      <c r="J299" s="12">
        <v>0.02</v>
      </c>
      <c r="K299" s="14">
        <v>3</v>
      </c>
      <c r="L299" s="11" t="s">
        <v>605</v>
      </c>
      <c r="M299" s="15" t="s">
        <v>624</v>
      </c>
    </row>
    <row r="300" spans="1:13">
      <c r="A300" s="98">
        <v>43668</v>
      </c>
      <c r="B300" s="11" t="s">
        <v>14</v>
      </c>
      <c r="C300" s="11" t="s">
        <v>76</v>
      </c>
      <c r="D300" s="11" t="s">
        <v>209</v>
      </c>
      <c r="E300" s="11" t="s">
        <v>7</v>
      </c>
      <c r="F300" s="11" t="s">
        <v>78</v>
      </c>
      <c r="G300" s="11" t="s">
        <v>79</v>
      </c>
      <c r="H300" s="12">
        <v>4.3600000000000003</v>
      </c>
      <c r="I300" s="13"/>
      <c r="J300" s="12">
        <v>0.02</v>
      </c>
      <c r="K300" s="14">
        <v>3</v>
      </c>
      <c r="L300" s="11" t="s">
        <v>605</v>
      </c>
      <c r="M300" s="15" t="s">
        <v>625</v>
      </c>
    </row>
    <row r="301" spans="1:13">
      <c r="A301" s="98">
        <v>43670</v>
      </c>
      <c r="B301" s="11" t="s">
        <v>14</v>
      </c>
      <c r="C301" s="11" t="s">
        <v>76</v>
      </c>
      <c r="D301" s="11" t="s">
        <v>209</v>
      </c>
      <c r="E301" s="11" t="s">
        <v>7</v>
      </c>
      <c r="F301" s="11" t="s">
        <v>78</v>
      </c>
      <c r="G301" s="11" t="s">
        <v>79</v>
      </c>
      <c r="H301" s="12">
        <v>4.7</v>
      </c>
      <c r="I301" s="13"/>
      <c r="J301" s="12">
        <v>0.02</v>
      </c>
      <c r="K301" s="14">
        <v>3</v>
      </c>
      <c r="L301" s="11" t="s">
        <v>605</v>
      </c>
      <c r="M301" s="15" t="s">
        <v>626</v>
      </c>
    </row>
    <row r="302" spans="1:13">
      <c r="A302" s="98">
        <v>43674</v>
      </c>
      <c r="B302" s="11" t="s">
        <v>14</v>
      </c>
      <c r="C302" s="11" t="s">
        <v>76</v>
      </c>
      <c r="D302" s="11" t="s">
        <v>209</v>
      </c>
      <c r="E302" s="11" t="s">
        <v>7</v>
      </c>
      <c r="F302" s="11" t="s">
        <v>78</v>
      </c>
      <c r="G302" s="11" t="s">
        <v>79</v>
      </c>
      <c r="H302" s="12">
        <v>4.28</v>
      </c>
      <c r="I302" s="13"/>
      <c r="J302" s="12">
        <v>0.02</v>
      </c>
      <c r="K302" s="14">
        <v>3</v>
      </c>
      <c r="L302" s="11" t="s">
        <v>605</v>
      </c>
      <c r="M302" s="15" t="s">
        <v>627</v>
      </c>
    </row>
    <row r="303" spans="1:13">
      <c r="A303" s="98">
        <v>43675</v>
      </c>
      <c r="B303" s="11" t="s">
        <v>14</v>
      </c>
      <c r="C303" s="11" t="s">
        <v>76</v>
      </c>
      <c r="D303" s="11" t="s">
        <v>209</v>
      </c>
      <c r="E303" s="11" t="s">
        <v>7</v>
      </c>
      <c r="F303" s="11" t="s">
        <v>78</v>
      </c>
      <c r="G303" s="11" t="s">
        <v>79</v>
      </c>
      <c r="H303" s="12">
        <v>5.18</v>
      </c>
      <c r="I303" s="13"/>
      <c r="J303" s="12">
        <v>0.02</v>
      </c>
      <c r="K303" s="14">
        <v>3</v>
      </c>
      <c r="L303" s="11" t="s">
        <v>605</v>
      </c>
      <c r="M303" s="15" t="s">
        <v>628</v>
      </c>
    </row>
    <row r="304" spans="1:13">
      <c r="A304" s="98">
        <v>43677</v>
      </c>
      <c r="B304" s="11" t="s">
        <v>14</v>
      </c>
      <c r="C304" s="11" t="s">
        <v>76</v>
      </c>
      <c r="D304" s="11" t="s">
        <v>209</v>
      </c>
      <c r="E304" s="11" t="s">
        <v>7</v>
      </c>
      <c r="F304" s="11" t="s">
        <v>78</v>
      </c>
      <c r="G304" s="11" t="s">
        <v>79</v>
      </c>
      <c r="H304" s="12">
        <v>4.49</v>
      </c>
      <c r="I304" s="13"/>
      <c r="J304" s="12">
        <v>0.02</v>
      </c>
      <c r="K304" s="14">
        <v>3</v>
      </c>
      <c r="L304" s="11" t="s">
        <v>605</v>
      </c>
      <c r="M304" s="15" t="s">
        <v>629</v>
      </c>
    </row>
    <row r="305" spans="1:13">
      <c r="A305" s="98">
        <v>43681</v>
      </c>
      <c r="B305" s="11" t="s">
        <v>14</v>
      </c>
      <c r="C305" s="11" t="s">
        <v>76</v>
      </c>
      <c r="D305" s="11" t="s">
        <v>209</v>
      </c>
      <c r="E305" s="11" t="s">
        <v>7</v>
      </c>
      <c r="F305" s="11" t="s">
        <v>78</v>
      </c>
      <c r="G305" s="11" t="s">
        <v>79</v>
      </c>
      <c r="H305" s="12">
        <v>5.37</v>
      </c>
      <c r="I305" s="13"/>
      <c r="J305" s="12">
        <v>0.02</v>
      </c>
      <c r="K305" s="14">
        <v>3</v>
      </c>
      <c r="L305" s="11" t="s">
        <v>605</v>
      </c>
      <c r="M305" s="15" t="s">
        <v>676</v>
      </c>
    </row>
    <row r="306" spans="1:13">
      <c r="A306" s="98">
        <v>43682</v>
      </c>
      <c r="B306" s="11" t="s">
        <v>14</v>
      </c>
      <c r="C306" s="11" t="s">
        <v>76</v>
      </c>
      <c r="D306" s="11" t="s">
        <v>209</v>
      </c>
      <c r="E306" s="11" t="s">
        <v>7</v>
      </c>
      <c r="F306" s="11" t="s">
        <v>78</v>
      </c>
      <c r="G306" s="11" t="s">
        <v>79</v>
      </c>
      <c r="H306" s="12">
        <v>5.3</v>
      </c>
      <c r="I306" s="13"/>
      <c r="J306" s="12">
        <v>0.02</v>
      </c>
      <c r="K306" s="14">
        <v>3</v>
      </c>
      <c r="L306" s="11" t="s">
        <v>605</v>
      </c>
      <c r="M306" s="15" t="s">
        <v>677</v>
      </c>
    </row>
    <row r="307" spans="1:13">
      <c r="A307" s="98">
        <v>43684</v>
      </c>
      <c r="B307" s="11" t="s">
        <v>14</v>
      </c>
      <c r="C307" s="11" t="s">
        <v>76</v>
      </c>
      <c r="D307" s="11" t="s">
        <v>209</v>
      </c>
      <c r="E307" s="11" t="s">
        <v>7</v>
      </c>
      <c r="F307" s="11" t="s">
        <v>78</v>
      </c>
      <c r="G307" s="11" t="s">
        <v>79</v>
      </c>
      <c r="H307" s="12">
        <v>2.76</v>
      </c>
      <c r="I307" s="13"/>
      <c r="J307" s="12">
        <v>0.06</v>
      </c>
      <c r="K307" s="14">
        <v>3</v>
      </c>
      <c r="L307" s="11" t="s">
        <v>607</v>
      </c>
      <c r="M307" s="15" t="s">
        <v>678</v>
      </c>
    </row>
    <row r="308" spans="1:13">
      <c r="A308" s="98">
        <v>43688</v>
      </c>
      <c r="B308" s="11" t="s">
        <v>14</v>
      </c>
      <c r="C308" s="11" t="s">
        <v>76</v>
      </c>
      <c r="D308" s="11" t="s">
        <v>209</v>
      </c>
      <c r="E308" s="11" t="s">
        <v>7</v>
      </c>
      <c r="F308" s="11" t="s">
        <v>78</v>
      </c>
      <c r="G308" s="11" t="s">
        <v>79</v>
      </c>
      <c r="H308" s="12">
        <v>4.3499999999999996</v>
      </c>
      <c r="I308" s="13"/>
      <c r="J308" s="12">
        <v>0.02</v>
      </c>
      <c r="K308" s="14">
        <v>3</v>
      </c>
      <c r="L308" s="11" t="s">
        <v>605</v>
      </c>
      <c r="M308" s="15" t="s">
        <v>679</v>
      </c>
    </row>
    <row r="309" spans="1:13">
      <c r="A309" s="98">
        <v>43692</v>
      </c>
      <c r="B309" s="11" t="s">
        <v>14</v>
      </c>
      <c r="C309" s="11" t="s">
        <v>76</v>
      </c>
      <c r="D309" s="11" t="s">
        <v>209</v>
      </c>
      <c r="E309" s="11" t="s">
        <v>7</v>
      </c>
      <c r="F309" s="11" t="s">
        <v>78</v>
      </c>
      <c r="G309" s="11" t="s">
        <v>79</v>
      </c>
      <c r="H309" s="12">
        <v>3.89</v>
      </c>
      <c r="I309" s="13"/>
      <c r="J309" s="12">
        <v>0.02</v>
      </c>
      <c r="K309" s="14">
        <v>3</v>
      </c>
      <c r="L309" s="11" t="s">
        <v>605</v>
      </c>
      <c r="M309" s="15" t="s">
        <v>680</v>
      </c>
    </row>
    <row r="310" spans="1:13">
      <c r="A310" s="98">
        <v>43693</v>
      </c>
      <c r="B310" s="11" t="s">
        <v>14</v>
      </c>
      <c r="C310" s="11" t="s">
        <v>76</v>
      </c>
      <c r="D310" s="11" t="s">
        <v>209</v>
      </c>
      <c r="E310" s="11" t="s">
        <v>7</v>
      </c>
      <c r="F310" s="11" t="s">
        <v>78</v>
      </c>
      <c r="G310" s="11" t="s">
        <v>79</v>
      </c>
      <c r="H310" s="12">
        <v>4.59</v>
      </c>
      <c r="I310" s="13"/>
      <c r="J310" s="12">
        <v>0.02</v>
      </c>
      <c r="K310" s="14">
        <v>3</v>
      </c>
      <c r="L310" s="11" t="s">
        <v>605</v>
      </c>
      <c r="M310" s="15" t="s">
        <v>681</v>
      </c>
    </row>
    <row r="311" spans="1:13">
      <c r="A311" s="98">
        <v>43695</v>
      </c>
      <c r="B311" s="11" t="s">
        <v>14</v>
      </c>
      <c r="C311" s="11" t="s">
        <v>76</v>
      </c>
      <c r="D311" s="11" t="s">
        <v>209</v>
      </c>
      <c r="E311" s="11" t="s">
        <v>7</v>
      </c>
      <c r="F311" s="11" t="s">
        <v>78</v>
      </c>
      <c r="G311" s="11" t="s">
        <v>79</v>
      </c>
      <c r="H311" s="12">
        <v>4.57</v>
      </c>
      <c r="I311" s="13"/>
      <c r="J311" s="12">
        <v>0.02</v>
      </c>
      <c r="K311" s="14">
        <v>3</v>
      </c>
      <c r="L311" s="11" t="s">
        <v>605</v>
      </c>
      <c r="M311" s="15" t="s">
        <v>682</v>
      </c>
    </row>
    <row r="312" spans="1:13">
      <c r="A312" s="98">
        <v>43699</v>
      </c>
      <c r="B312" s="11" t="s">
        <v>14</v>
      </c>
      <c r="C312" s="11" t="s">
        <v>76</v>
      </c>
      <c r="D312" s="11" t="s">
        <v>209</v>
      </c>
      <c r="E312" s="11" t="s">
        <v>7</v>
      </c>
      <c r="F312" s="11" t="s">
        <v>78</v>
      </c>
      <c r="G312" s="11" t="s">
        <v>79</v>
      </c>
      <c r="H312" s="12">
        <v>4.95</v>
      </c>
      <c r="I312" s="13"/>
      <c r="J312" s="12">
        <v>0.02</v>
      </c>
      <c r="K312" s="14">
        <v>3</v>
      </c>
      <c r="L312" s="11" t="s">
        <v>605</v>
      </c>
      <c r="M312" s="15" t="s">
        <v>683</v>
      </c>
    </row>
    <row r="313" spans="1:13">
      <c r="A313" s="98">
        <v>43700</v>
      </c>
      <c r="B313" s="11" t="s">
        <v>14</v>
      </c>
      <c r="C313" s="11" t="s">
        <v>76</v>
      </c>
      <c r="D313" s="11" t="s">
        <v>209</v>
      </c>
      <c r="E313" s="11" t="s">
        <v>7</v>
      </c>
      <c r="F313" s="11" t="s">
        <v>78</v>
      </c>
      <c r="G313" s="11" t="s">
        <v>79</v>
      </c>
      <c r="H313" s="12">
        <v>5.36</v>
      </c>
      <c r="I313" s="13"/>
      <c r="J313" s="12">
        <v>0.02</v>
      </c>
      <c r="K313" s="14">
        <v>3</v>
      </c>
      <c r="L313" s="11" t="s">
        <v>605</v>
      </c>
      <c r="M313" s="15" t="s">
        <v>684</v>
      </c>
    </row>
    <row r="314" spans="1:13">
      <c r="A314" s="98">
        <v>43702</v>
      </c>
      <c r="B314" s="11" t="s">
        <v>14</v>
      </c>
      <c r="C314" s="11" t="s">
        <v>76</v>
      </c>
      <c r="D314" s="11" t="s">
        <v>209</v>
      </c>
      <c r="E314" s="11" t="s">
        <v>7</v>
      </c>
      <c r="F314" s="11" t="s">
        <v>78</v>
      </c>
      <c r="G314" s="11" t="s">
        <v>79</v>
      </c>
      <c r="H314" s="12">
        <v>5.46</v>
      </c>
      <c r="I314" s="13"/>
      <c r="J314" s="12">
        <v>0.02</v>
      </c>
      <c r="K314" s="14">
        <v>3</v>
      </c>
      <c r="L314" s="11" t="s">
        <v>605</v>
      </c>
      <c r="M314" s="15" t="s">
        <v>685</v>
      </c>
    </row>
    <row r="315" spans="1:13">
      <c r="A315" s="98">
        <v>43706</v>
      </c>
      <c r="B315" s="11" t="s">
        <v>14</v>
      </c>
      <c r="C315" s="11" t="s">
        <v>76</v>
      </c>
      <c r="D315" s="11" t="s">
        <v>209</v>
      </c>
      <c r="E315" s="11" t="s">
        <v>7</v>
      </c>
      <c r="F315" s="11" t="s">
        <v>78</v>
      </c>
      <c r="G315" s="11" t="s">
        <v>79</v>
      </c>
      <c r="H315" s="12">
        <v>5.96</v>
      </c>
      <c r="I315" s="13"/>
      <c r="J315" s="12">
        <v>0.02</v>
      </c>
      <c r="K315" s="14">
        <v>3</v>
      </c>
      <c r="L315" s="11" t="s">
        <v>605</v>
      </c>
      <c r="M315" s="15" t="s">
        <v>686</v>
      </c>
    </row>
    <row r="316" spans="1:13">
      <c r="A316" s="98">
        <v>43707</v>
      </c>
      <c r="B316" s="11" t="s">
        <v>14</v>
      </c>
      <c r="C316" s="11" t="s">
        <v>76</v>
      </c>
      <c r="D316" s="11" t="s">
        <v>209</v>
      </c>
      <c r="E316" s="11" t="s">
        <v>7</v>
      </c>
      <c r="F316" s="11" t="s">
        <v>78</v>
      </c>
      <c r="G316" s="11" t="s">
        <v>79</v>
      </c>
      <c r="H316" s="12">
        <v>5.72</v>
      </c>
      <c r="I316" s="13"/>
      <c r="J316" s="12">
        <v>0.04</v>
      </c>
      <c r="K316" s="14">
        <v>3</v>
      </c>
      <c r="L316" s="11" t="s">
        <v>606</v>
      </c>
      <c r="M316" s="15" t="s">
        <v>687</v>
      </c>
    </row>
    <row r="317" spans="1:13">
      <c r="A317" s="98">
        <v>43346</v>
      </c>
      <c r="B317" s="11" t="s">
        <v>15</v>
      </c>
      <c r="C317" s="11" t="s">
        <v>212</v>
      </c>
      <c r="D317" s="11" t="s">
        <v>77</v>
      </c>
      <c r="E317" s="11" t="s">
        <v>5</v>
      </c>
      <c r="F317" s="11" t="s">
        <v>78</v>
      </c>
      <c r="G317" s="11" t="s">
        <v>79</v>
      </c>
      <c r="H317" s="12">
        <v>0.2</v>
      </c>
      <c r="I317" s="13"/>
      <c r="J317" s="12">
        <v>0.05</v>
      </c>
      <c r="K317" s="14">
        <v>3</v>
      </c>
      <c r="L317" s="11" t="s">
        <v>604</v>
      </c>
      <c r="M317" s="15" t="s">
        <v>213</v>
      </c>
    </row>
    <row r="318" spans="1:13">
      <c r="A318" s="98">
        <v>43347</v>
      </c>
      <c r="B318" s="11" t="s">
        <v>15</v>
      </c>
      <c r="C318" s="11" t="s">
        <v>212</v>
      </c>
      <c r="D318" s="11" t="s">
        <v>77</v>
      </c>
      <c r="E318" s="11" t="s">
        <v>5</v>
      </c>
      <c r="F318" s="11" t="s">
        <v>78</v>
      </c>
      <c r="G318" s="11" t="s">
        <v>79</v>
      </c>
      <c r="H318" s="12">
        <v>0.34</v>
      </c>
      <c r="I318" s="13"/>
      <c r="J318" s="12">
        <v>0.05</v>
      </c>
      <c r="K318" s="14">
        <v>3</v>
      </c>
      <c r="L318" s="11" t="s">
        <v>604</v>
      </c>
      <c r="M318" s="15" t="s">
        <v>214</v>
      </c>
    </row>
    <row r="319" spans="1:13">
      <c r="A319" s="98">
        <v>43348</v>
      </c>
      <c r="B319" s="11" t="s">
        <v>15</v>
      </c>
      <c r="C319" s="11" t="s">
        <v>212</v>
      </c>
      <c r="D319" s="11" t="s">
        <v>77</v>
      </c>
      <c r="E319" s="11" t="s">
        <v>5</v>
      </c>
      <c r="F319" s="11" t="s">
        <v>78</v>
      </c>
      <c r="G319" s="11" t="s">
        <v>79</v>
      </c>
      <c r="H319" s="12">
        <v>0.38</v>
      </c>
      <c r="I319" s="13"/>
      <c r="J319" s="12">
        <v>0.05</v>
      </c>
      <c r="K319" s="14">
        <v>3</v>
      </c>
      <c r="L319" s="11" t="s">
        <v>604</v>
      </c>
      <c r="M319" s="15" t="s">
        <v>215</v>
      </c>
    </row>
    <row r="320" spans="1:13">
      <c r="A320" s="98">
        <v>43353</v>
      </c>
      <c r="B320" s="11" t="s">
        <v>15</v>
      </c>
      <c r="C320" s="11" t="s">
        <v>212</v>
      </c>
      <c r="D320" s="11" t="s">
        <v>77</v>
      </c>
      <c r="E320" s="11" t="s">
        <v>5</v>
      </c>
      <c r="F320" s="11" t="s">
        <v>78</v>
      </c>
      <c r="G320" s="11" t="s">
        <v>79</v>
      </c>
      <c r="H320" s="12">
        <v>0.13</v>
      </c>
      <c r="I320" s="13"/>
      <c r="J320" s="12">
        <v>0.05</v>
      </c>
      <c r="K320" s="14">
        <v>3</v>
      </c>
      <c r="L320" s="11" t="s">
        <v>604</v>
      </c>
      <c r="M320" s="15" t="s">
        <v>216</v>
      </c>
    </row>
    <row r="321" spans="1:13">
      <c r="A321" s="98">
        <v>43354</v>
      </c>
      <c r="B321" s="11" t="s">
        <v>15</v>
      </c>
      <c r="C321" s="11" t="s">
        <v>212</v>
      </c>
      <c r="D321" s="11" t="s">
        <v>77</v>
      </c>
      <c r="E321" s="11" t="s">
        <v>5</v>
      </c>
      <c r="F321" s="11" t="s">
        <v>78</v>
      </c>
      <c r="G321" s="11" t="s">
        <v>79</v>
      </c>
      <c r="H321" s="12">
        <v>0.12</v>
      </c>
      <c r="I321" s="13"/>
      <c r="J321" s="12">
        <v>0.05</v>
      </c>
      <c r="K321" s="14">
        <v>3</v>
      </c>
      <c r="L321" s="11" t="s">
        <v>604</v>
      </c>
      <c r="M321" s="15" t="s">
        <v>217</v>
      </c>
    </row>
    <row r="322" spans="1:13">
      <c r="A322" s="98">
        <v>43355</v>
      </c>
      <c r="B322" s="11" t="s">
        <v>15</v>
      </c>
      <c r="C322" s="11" t="s">
        <v>212</v>
      </c>
      <c r="D322" s="11" t="s">
        <v>77</v>
      </c>
      <c r="E322" s="11" t="s">
        <v>5</v>
      </c>
      <c r="F322" s="11" t="s">
        <v>78</v>
      </c>
      <c r="G322" s="11" t="s">
        <v>79</v>
      </c>
      <c r="H322" s="12">
        <v>0.11</v>
      </c>
      <c r="I322" s="13"/>
      <c r="J322" s="12">
        <v>0.05</v>
      </c>
      <c r="K322" s="14">
        <v>3</v>
      </c>
      <c r="L322" s="11" t="s">
        <v>604</v>
      </c>
      <c r="M322" s="15" t="s">
        <v>218</v>
      </c>
    </row>
    <row r="323" spans="1:13">
      <c r="A323" s="98">
        <v>43360</v>
      </c>
      <c r="B323" s="11" t="s">
        <v>15</v>
      </c>
      <c r="C323" s="11" t="s">
        <v>212</v>
      </c>
      <c r="D323" s="11" t="s">
        <v>77</v>
      </c>
      <c r="E323" s="11" t="s">
        <v>5</v>
      </c>
      <c r="F323" s="11" t="s">
        <v>78</v>
      </c>
      <c r="G323" s="11" t="s">
        <v>79</v>
      </c>
      <c r="H323" s="12">
        <v>0.26</v>
      </c>
      <c r="I323" s="13"/>
      <c r="J323" s="12">
        <v>0.05</v>
      </c>
      <c r="K323" s="14">
        <v>3</v>
      </c>
      <c r="L323" s="11" t="s">
        <v>604</v>
      </c>
      <c r="M323" s="15" t="s">
        <v>219</v>
      </c>
    </row>
    <row r="324" spans="1:13">
      <c r="A324" s="98">
        <v>43361</v>
      </c>
      <c r="B324" s="11" t="s">
        <v>15</v>
      </c>
      <c r="C324" s="11" t="s">
        <v>212</v>
      </c>
      <c r="D324" s="11" t="s">
        <v>77</v>
      </c>
      <c r="E324" s="11" t="s">
        <v>5</v>
      </c>
      <c r="F324" s="11" t="s">
        <v>78</v>
      </c>
      <c r="G324" s="11" t="s">
        <v>79</v>
      </c>
      <c r="H324" s="12">
        <v>0.15</v>
      </c>
      <c r="I324" s="13"/>
      <c r="J324" s="12">
        <v>0.05</v>
      </c>
      <c r="K324" s="14">
        <v>3</v>
      </c>
      <c r="L324" s="11" t="s">
        <v>604</v>
      </c>
      <c r="M324" s="15" t="s">
        <v>220</v>
      </c>
    </row>
    <row r="325" spans="1:13">
      <c r="A325" s="98">
        <v>43362</v>
      </c>
      <c r="B325" s="11" t="s">
        <v>15</v>
      </c>
      <c r="C325" s="11" t="s">
        <v>212</v>
      </c>
      <c r="D325" s="11" t="s">
        <v>77</v>
      </c>
      <c r="E325" s="11" t="s">
        <v>5</v>
      </c>
      <c r="F325" s="11" t="s">
        <v>78</v>
      </c>
      <c r="G325" s="11" t="s">
        <v>79</v>
      </c>
      <c r="H325" s="12">
        <v>0.76</v>
      </c>
      <c r="I325" s="13"/>
      <c r="J325" s="12">
        <v>0.05</v>
      </c>
      <c r="K325" s="14">
        <v>3</v>
      </c>
      <c r="L325" s="11" t="s">
        <v>604</v>
      </c>
      <c r="M325" s="15" t="s">
        <v>221</v>
      </c>
    </row>
    <row r="326" spans="1:13">
      <c r="A326" s="98">
        <v>43367</v>
      </c>
      <c r="B326" s="11" t="s">
        <v>15</v>
      </c>
      <c r="C326" s="11" t="s">
        <v>212</v>
      </c>
      <c r="D326" s="11" t="s">
        <v>77</v>
      </c>
      <c r="E326" s="11" t="s">
        <v>5</v>
      </c>
      <c r="F326" s="11" t="s">
        <v>78</v>
      </c>
      <c r="G326" s="11" t="s">
        <v>79</v>
      </c>
      <c r="H326" s="12">
        <v>0.64</v>
      </c>
      <c r="I326" s="13"/>
      <c r="J326" s="12">
        <v>0.05</v>
      </c>
      <c r="K326" s="14">
        <v>3</v>
      </c>
      <c r="L326" s="11" t="s">
        <v>604</v>
      </c>
      <c r="M326" s="15" t="s">
        <v>222</v>
      </c>
    </row>
    <row r="327" spans="1:13">
      <c r="A327" s="98">
        <v>43368</v>
      </c>
      <c r="B327" s="11" t="s">
        <v>15</v>
      </c>
      <c r="C327" s="11" t="s">
        <v>212</v>
      </c>
      <c r="D327" s="11" t="s">
        <v>77</v>
      </c>
      <c r="E327" s="11" t="s">
        <v>5</v>
      </c>
      <c r="F327" s="11" t="s">
        <v>78</v>
      </c>
      <c r="G327" s="11" t="s">
        <v>79</v>
      </c>
      <c r="H327" s="12">
        <v>0.52</v>
      </c>
      <c r="I327" s="13"/>
      <c r="J327" s="12">
        <v>0.05</v>
      </c>
      <c r="K327" s="14">
        <v>3</v>
      </c>
      <c r="L327" s="11" t="s">
        <v>604</v>
      </c>
      <c r="M327" s="15" t="s">
        <v>223</v>
      </c>
    </row>
    <row r="328" spans="1:13">
      <c r="A328" s="98">
        <v>43369</v>
      </c>
      <c r="B328" s="11" t="s">
        <v>15</v>
      </c>
      <c r="C328" s="11" t="s">
        <v>212</v>
      </c>
      <c r="D328" s="11" t="s">
        <v>77</v>
      </c>
      <c r="E328" s="11" t="s">
        <v>5</v>
      </c>
      <c r="F328" s="11" t="s">
        <v>78</v>
      </c>
      <c r="G328" s="11" t="s">
        <v>79</v>
      </c>
      <c r="H328" s="12">
        <v>1.58</v>
      </c>
      <c r="I328" s="13"/>
      <c r="J328" s="12">
        <v>0.05</v>
      </c>
      <c r="K328" s="14">
        <v>3</v>
      </c>
      <c r="L328" s="11" t="s">
        <v>604</v>
      </c>
      <c r="M328" s="15" t="s">
        <v>224</v>
      </c>
    </row>
    <row r="329" spans="1:13">
      <c r="A329" s="98">
        <v>43374</v>
      </c>
      <c r="B329" s="11" t="s">
        <v>15</v>
      </c>
      <c r="C329" s="11" t="s">
        <v>212</v>
      </c>
      <c r="D329" s="11" t="s">
        <v>77</v>
      </c>
      <c r="E329" s="11" t="s">
        <v>5</v>
      </c>
      <c r="F329" s="11" t="s">
        <v>78</v>
      </c>
      <c r="G329" s="11" t="s">
        <v>79</v>
      </c>
      <c r="H329" s="12">
        <v>0.55000000000000004</v>
      </c>
      <c r="I329" s="13"/>
      <c r="J329" s="12">
        <v>0.05</v>
      </c>
      <c r="K329" s="14">
        <v>3</v>
      </c>
      <c r="L329" s="11" t="s">
        <v>604</v>
      </c>
      <c r="M329" s="15" t="s">
        <v>225</v>
      </c>
    </row>
    <row r="330" spans="1:13">
      <c r="A330" s="98">
        <v>43375</v>
      </c>
      <c r="B330" s="11" t="s">
        <v>15</v>
      </c>
      <c r="C330" s="11" t="s">
        <v>212</v>
      </c>
      <c r="D330" s="11" t="s">
        <v>77</v>
      </c>
      <c r="E330" s="11" t="s">
        <v>5</v>
      </c>
      <c r="F330" s="11" t="s">
        <v>78</v>
      </c>
      <c r="G330" s="11" t="s">
        <v>79</v>
      </c>
      <c r="H330" s="12">
        <v>0.95</v>
      </c>
      <c r="I330" s="13"/>
      <c r="J330" s="12">
        <v>0.05</v>
      </c>
      <c r="K330" s="14">
        <v>3</v>
      </c>
      <c r="L330" s="11" t="s">
        <v>604</v>
      </c>
      <c r="M330" s="15" t="s">
        <v>226</v>
      </c>
    </row>
    <row r="331" spans="1:13">
      <c r="A331" s="98">
        <v>43376</v>
      </c>
      <c r="B331" s="11" t="s">
        <v>15</v>
      </c>
      <c r="C331" s="11" t="s">
        <v>212</v>
      </c>
      <c r="D331" s="11" t="s">
        <v>77</v>
      </c>
      <c r="E331" s="11" t="s">
        <v>5</v>
      </c>
      <c r="F331" s="11" t="s">
        <v>78</v>
      </c>
      <c r="G331" s="11" t="s">
        <v>79</v>
      </c>
      <c r="H331" s="12">
        <v>0.81</v>
      </c>
      <c r="I331" s="13"/>
      <c r="J331" s="12">
        <v>0.05</v>
      </c>
      <c r="K331" s="14">
        <v>3</v>
      </c>
      <c r="L331" s="11" t="s">
        <v>604</v>
      </c>
      <c r="M331" s="15" t="s">
        <v>227</v>
      </c>
    </row>
    <row r="332" spans="1:13">
      <c r="A332" s="98">
        <v>43381</v>
      </c>
      <c r="B332" s="11" t="s">
        <v>15</v>
      </c>
      <c r="C332" s="11" t="s">
        <v>212</v>
      </c>
      <c r="D332" s="11" t="s">
        <v>77</v>
      </c>
      <c r="E332" s="11" t="s">
        <v>5</v>
      </c>
      <c r="F332" s="11" t="s">
        <v>78</v>
      </c>
      <c r="G332" s="11" t="s">
        <v>79</v>
      </c>
      <c r="H332" s="12">
        <v>0.16</v>
      </c>
      <c r="I332" s="13"/>
      <c r="J332" s="12">
        <v>0.05</v>
      </c>
      <c r="K332" s="14">
        <v>3</v>
      </c>
      <c r="L332" s="11" t="s">
        <v>604</v>
      </c>
      <c r="M332" s="15" t="s">
        <v>228</v>
      </c>
    </row>
    <row r="333" spans="1:13">
      <c r="A333" s="98">
        <v>43382</v>
      </c>
      <c r="B333" s="11" t="s">
        <v>15</v>
      </c>
      <c r="C333" s="11" t="s">
        <v>212</v>
      </c>
      <c r="D333" s="11" t="s">
        <v>77</v>
      </c>
      <c r="E333" s="11" t="s">
        <v>5</v>
      </c>
      <c r="F333" s="11" t="s">
        <v>78</v>
      </c>
      <c r="G333" s="11" t="s">
        <v>79</v>
      </c>
      <c r="H333" s="12">
        <v>0.23</v>
      </c>
      <c r="I333" s="13"/>
      <c r="J333" s="12">
        <v>0.05</v>
      </c>
      <c r="K333" s="14">
        <v>3</v>
      </c>
      <c r="L333" s="11" t="s">
        <v>604</v>
      </c>
      <c r="M333" s="15" t="s">
        <v>229</v>
      </c>
    </row>
    <row r="334" spans="1:13">
      <c r="A334" s="98">
        <v>43383</v>
      </c>
      <c r="B334" s="11" t="s">
        <v>15</v>
      </c>
      <c r="C334" s="11" t="s">
        <v>212</v>
      </c>
      <c r="D334" s="11" t="s">
        <v>77</v>
      </c>
      <c r="E334" s="11" t="s">
        <v>5</v>
      </c>
      <c r="F334" s="11" t="s">
        <v>78</v>
      </c>
      <c r="G334" s="11" t="s">
        <v>79</v>
      </c>
      <c r="H334" s="12">
        <v>0.21</v>
      </c>
      <c r="I334" s="13"/>
      <c r="J334" s="12">
        <v>0.05</v>
      </c>
      <c r="K334" s="14">
        <v>3</v>
      </c>
      <c r="L334" s="11" t="s">
        <v>604</v>
      </c>
      <c r="M334" s="15" t="s">
        <v>230</v>
      </c>
    </row>
    <row r="335" spans="1:13">
      <c r="A335" s="98">
        <v>43388</v>
      </c>
      <c r="B335" s="11" t="s">
        <v>15</v>
      </c>
      <c r="C335" s="11" t="s">
        <v>212</v>
      </c>
      <c r="D335" s="11" t="s">
        <v>77</v>
      </c>
      <c r="E335" s="11" t="s">
        <v>5</v>
      </c>
      <c r="F335" s="11" t="s">
        <v>78</v>
      </c>
      <c r="G335" s="11" t="s">
        <v>79</v>
      </c>
      <c r="H335" s="12">
        <v>0.24</v>
      </c>
      <c r="I335" s="13"/>
      <c r="J335" s="12">
        <v>0.05</v>
      </c>
      <c r="K335" s="14">
        <v>3</v>
      </c>
      <c r="L335" s="11" t="s">
        <v>604</v>
      </c>
      <c r="M335" s="15" t="s">
        <v>231</v>
      </c>
    </row>
    <row r="336" spans="1:13">
      <c r="A336" s="98">
        <v>43389</v>
      </c>
      <c r="B336" s="11" t="s">
        <v>15</v>
      </c>
      <c r="C336" s="11" t="s">
        <v>212</v>
      </c>
      <c r="D336" s="11" t="s">
        <v>77</v>
      </c>
      <c r="E336" s="11" t="s">
        <v>5</v>
      </c>
      <c r="F336" s="11" t="s">
        <v>78</v>
      </c>
      <c r="G336" s="11" t="s">
        <v>79</v>
      </c>
      <c r="H336" s="12">
        <v>0.08</v>
      </c>
      <c r="I336" s="13"/>
      <c r="J336" s="12">
        <v>0.05</v>
      </c>
      <c r="K336" s="14">
        <v>3</v>
      </c>
      <c r="L336" s="11" t="s">
        <v>604</v>
      </c>
      <c r="M336" s="15" t="s">
        <v>232</v>
      </c>
    </row>
    <row r="337" spans="1:13">
      <c r="A337" s="98">
        <v>43390</v>
      </c>
      <c r="B337" s="11" t="s">
        <v>15</v>
      </c>
      <c r="C337" s="11" t="s">
        <v>212</v>
      </c>
      <c r="D337" s="11" t="s">
        <v>77</v>
      </c>
      <c r="E337" s="11" t="s">
        <v>5</v>
      </c>
      <c r="F337" s="11" t="s">
        <v>78</v>
      </c>
      <c r="G337" s="11" t="s">
        <v>79</v>
      </c>
      <c r="H337" s="12">
        <v>0.2</v>
      </c>
      <c r="I337" s="13"/>
      <c r="J337" s="12">
        <v>0.05</v>
      </c>
      <c r="K337" s="14">
        <v>3</v>
      </c>
      <c r="L337" s="11" t="s">
        <v>604</v>
      </c>
      <c r="M337" s="15" t="s">
        <v>233</v>
      </c>
    </row>
    <row r="338" spans="1:13">
      <c r="A338" s="98">
        <v>43395</v>
      </c>
      <c r="B338" s="11" t="s">
        <v>15</v>
      </c>
      <c r="C338" s="11" t="s">
        <v>212</v>
      </c>
      <c r="D338" s="11" t="s">
        <v>77</v>
      </c>
      <c r="E338" s="11" t="s">
        <v>5</v>
      </c>
      <c r="F338" s="11" t="s">
        <v>78</v>
      </c>
      <c r="G338" s="11" t="s">
        <v>79</v>
      </c>
      <c r="H338" s="12">
        <v>1.0900000000000001</v>
      </c>
      <c r="I338" s="13"/>
      <c r="J338" s="12">
        <v>0.05</v>
      </c>
      <c r="K338" s="14">
        <v>3</v>
      </c>
      <c r="L338" s="11" t="s">
        <v>604</v>
      </c>
      <c r="M338" s="15" t="s">
        <v>234</v>
      </c>
    </row>
    <row r="339" spans="1:13">
      <c r="A339" s="98">
        <v>43396</v>
      </c>
      <c r="B339" s="11" t="s">
        <v>15</v>
      </c>
      <c r="C339" s="11" t="s">
        <v>212</v>
      </c>
      <c r="D339" s="11" t="s">
        <v>77</v>
      </c>
      <c r="E339" s="11" t="s">
        <v>5</v>
      </c>
      <c r="F339" s="11" t="s">
        <v>78</v>
      </c>
      <c r="G339" s="11" t="s">
        <v>79</v>
      </c>
      <c r="H339" s="12">
        <v>1.27</v>
      </c>
      <c r="I339" s="13"/>
      <c r="J339" s="12">
        <v>0.05</v>
      </c>
      <c r="K339" s="14">
        <v>3</v>
      </c>
      <c r="L339" s="11" t="s">
        <v>604</v>
      </c>
      <c r="M339" s="15" t="s">
        <v>235</v>
      </c>
    </row>
    <row r="340" spans="1:13">
      <c r="A340" s="98">
        <v>43397</v>
      </c>
      <c r="B340" s="11" t="s">
        <v>15</v>
      </c>
      <c r="C340" s="11" t="s">
        <v>212</v>
      </c>
      <c r="D340" s="11" t="s">
        <v>77</v>
      </c>
      <c r="E340" s="11" t="s">
        <v>5</v>
      </c>
      <c r="F340" s="11" t="s">
        <v>78</v>
      </c>
      <c r="G340" s="11" t="s">
        <v>79</v>
      </c>
      <c r="H340" s="12">
        <v>1.45</v>
      </c>
      <c r="I340" s="13"/>
      <c r="J340" s="12">
        <v>0.05</v>
      </c>
      <c r="K340" s="14">
        <v>3</v>
      </c>
      <c r="L340" s="11" t="s">
        <v>604</v>
      </c>
      <c r="M340" s="15" t="s">
        <v>236</v>
      </c>
    </row>
    <row r="341" spans="1:13">
      <c r="A341" s="98">
        <v>43402</v>
      </c>
      <c r="B341" s="11" t="s">
        <v>15</v>
      </c>
      <c r="C341" s="11" t="s">
        <v>212</v>
      </c>
      <c r="D341" s="11" t="s">
        <v>77</v>
      </c>
      <c r="E341" s="11" t="s">
        <v>5</v>
      </c>
      <c r="F341" s="11" t="s">
        <v>78</v>
      </c>
      <c r="G341" s="11" t="s">
        <v>79</v>
      </c>
      <c r="H341" s="12">
        <v>1.75</v>
      </c>
      <c r="I341" s="13"/>
      <c r="J341" s="12">
        <v>0.05</v>
      </c>
      <c r="K341" s="14">
        <v>3</v>
      </c>
      <c r="L341" s="11" t="s">
        <v>604</v>
      </c>
      <c r="M341" s="15" t="s">
        <v>237</v>
      </c>
    </row>
    <row r="342" spans="1:13">
      <c r="A342" s="98">
        <v>43403</v>
      </c>
      <c r="B342" s="11" t="s">
        <v>15</v>
      </c>
      <c r="C342" s="11" t="s">
        <v>212</v>
      </c>
      <c r="D342" s="11" t="s">
        <v>77</v>
      </c>
      <c r="E342" s="11" t="s">
        <v>5</v>
      </c>
      <c r="F342" s="11" t="s">
        <v>78</v>
      </c>
      <c r="G342" s="11" t="s">
        <v>79</v>
      </c>
      <c r="H342" s="12">
        <v>1.51</v>
      </c>
      <c r="I342" s="13"/>
      <c r="J342" s="12">
        <v>0.05</v>
      </c>
      <c r="K342" s="14">
        <v>3</v>
      </c>
      <c r="L342" s="11" t="s">
        <v>604</v>
      </c>
      <c r="M342" s="15" t="s">
        <v>238</v>
      </c>
    </row>
    <row r="343" spans="1:13">
      <c r="A343" s="98">
        <v>43404</v>
      </c>
      <c r="B343" s="11" t="s">
        <v>15</v>
      </c>
      <c r="C343" s="11" t="s">
        <v>212</v>
      </c>
      <c r="D343" s="11" t="s">
        <v>77</v>
      </c>
      <c r="E343" s="11" t="s">
        <v>5</v>
      </c>
      <c r="F343" s="11" t="s">
        <v>78</v>
      </c>
      <c r="G343" s="11" t="s">
        <v>79</v>
      </c>
      <c r="H343" s="12">
        <v>1.82</v>
      </c>
      <c r="I343" s="13"/>
      <c r="J343" s="12">
        <v>0.05</v>
      </c>
      <c r="K343" s="14">
        <v>3</v>
      </c>
      <c r="L343" s="11" t="s">
        <v>604</v>
      </c>
      <c r="M343" s="15" t="s">
        <v>239</v>
      </c>
    </row>
    <row r="344" spans="1:13">
      <c r="A344" s="98">
        <v>43409</v>
      </c>
      <c r="B344" s="11" t="s">
        <v>15</v>
      </c>
      <c r="C344" s="11" t="s">
        <v>212</v>
      </c>
      <c r="D344" s="11" t="s">
        <v>77</v>
      </c>
      <c r="E344" s="11" t="s">
        <v>5</v>
      </c>
      <c r="F344" s="11" t="s">
        <v>78</v>
      </c>
      <c r="G344" s="11" t="s">
        <v>79</v>
      </c>
      <c r="H344" s="12">
        <v>2.77</v>
      </c>
      <c r="I344" s="13"/>
      <c r="J344" s="12">
        <v>0.05</v>
      </c>
      <c r="K344" s="14">
        <v>3</v>
      </c>
      <c r="L344" s="11" t="s">
        <v>604</v>
      </c>
      <c r="M344" s="15" t="s">
        <v>240</v>
      </c>
    </row>
    <row r="345" spans="1:13">
      <c r="A345" s="98">
        <v>43410</v>
      </c>
      <c r="B345" s="11" t="s">
        <v>15</v>
      </c>
      <c r="C345" s="11" t="s">
        <v>212</v>
      </c>
      <c r="D345" s="11" t="s">
        <v>77</v>
      </c>
      <c r="E345" s="11" t="s">
        <v>5</v>
      </c>
      <c r="F345" s="11" t="s">
        <v>78</v>
      </c>
      <c r="G345" s="11" t="s">
        <v>79</v>
      </c>
      <c r="H345" s="12">
        <v>2.97</v>
      </c>
      <c r="I345" s="13"/>
      <c r="J345" s="12">
        <v>0.05</v>
      </c>
      <c r="K345" s="14">
        <v>3</v>
      </c>
      <c r="L345" s="11" t="s">
        <v>604</v>
      </c>
      <c r="M345" s="15" t="s">
        <v>241</v>
      </c>
    </row>
    <row r="346" spans="1:13">
      <c r="A346" s="98">
        <v>43411</v>
      </c>
      <c r="B346" s="11" t="s">
        <v>15</v>
      </c>
      <c r="C346" s="11" t="s">
        <v>212</v>
      </c>
      <c r="D346" s="11" t="s">
        <v>77</v>
      </c>
      <c r="E346" s="11" t="s">
        <v>5</v>
      </c>
      <c r="F346" s="11" t="s">
        <v>78</v>
      </c>
      <c r="G346" s="11" t="s">
        <v>79</v>
      </c>
      <c r="H346" s="12">
        <v>2.5299999999999998</v>
      </c>
      <c r="I346" s="13"/>
      <c r="J346" s="12">
        <v>0.05</v>
      </c>
      <c r="K346" s="14">
        <v>3</v>
      </c>
      <c r="L346" s="11" t="s">
        <v>604</v>
      </c>
      <c r="M346" s="15" t="s">
        <v>242</v>
      </c>
    </row>
    <row r="347" spans="1:13">
      <c r="A347" s="98">
        <v>43416</v>
      </c>
      <c r="B347" s="11" t="s">
        <v>15</v>
      </c>
      <c r="C347" s="11" t="s">
        <v>212</v>
      </c>
      <c r="D347" s="11" t="s">
        <v>77</v>
      </c>
      <c r="E347" s="11" t="s">
        <v>5</v>
      </c>
      <c r="F347" s="11" t="s">
        <v>78</v>
      </c>
      <c r="G347" s="11" t="s">
        <v>79</v>
      </c>
      <c r="H347" s="12">
        <v>2.2000000000000002</v>
      </c>
      <c r="I347" s="13"/>
      <c r="J347" s="12">
        <v>0.05</v>
      </c>
      <c r="K347" s="14">
        <v>3</v>
      </c>
      <c r="L347" s="11" t="s">
        <v>604</v>
      </c>
      <c r="M347" s="15" t="s">
        <v>243</v>
      </c>
    </row>
    <row r="348" spans="1:13">
      <c r="A348" s="98">
        <v>43417</v>
      </c>
      <c r="B348" s="11" t="s">
        <v>15</v>
      </c>
      <c r="C348" s="11" t="s">
        <v>212</v>
      </c>
      <c r="D348" s="11" t="s">
        <v>77</v>
      </c>
      <c r="E348" s="11" t="s">
        <v>5</v>
      </c>
      <c r="F348" s="11" t="s">
        <v>78</v>
      </c>
      <c r="G348" s="11" t="s">
        <v>79</v>
      </c>
      <c r="H348" s="12">
        <v>1.02</v>
      </c>
      <c r="I348" s="13"/>
      <c r="J348" s="12">
        <v>0.05</v>
      </c>
      <c r="K348" s="14">
        <v>3</v>
      </c>
      <c r="L348" s="11" t="s">
        <v>604</v>
      </c>
      <c r="M348" s="15" t="s">
        <v>244</v>
      </c>
    </row>
    <row r="349" spans="1:13">
      <c r="A349" s="98">
        <v>43418</v>
      </c>
      <c r="B349" s="11" t="s">
        <v>15</v>
      </c>
      <c r="C349" s="11" t="s">
        <v>212</v>
      </c>
      <c r="D349" s="11" t="s">
        <v>77</v>
      </c>
      <c r="E349" s="11" t="s">
        <v>5</v>
      </c>
      <c r="F349" s="11" t="s">
        <v>78</v>
      </c>
      <c r="G349" s="11" t="s">
        <v>79</v>
      </c>
      <c r="H349" s="12">
        <v>0.92</v>
      </c>
      <c r="I349" s="13"/>
      <c r="J349" s="12">
        <v>0.05</v>
      </c>
      <c r="K349" s="14">
        <v>3</v>
      </c>
      <c r="L349" s="11" t="s">
        <v>604</v>
      </c>
      <c r="M349" s="15" t="s">
        <v>245</v>
      </c>
    </row>
    <row r="350" spans="1:13">
      <c r="A350" s="98">
        <v>43423</v>
      </c>
      <c r="B350" s="11" t="s">
        <v>15</v>
      </c>
      <c r="C350" s="11" t="s">
        <v>212</v>
      </c>
      <c r="D350" s="11" t="s">
        <v>77</v>
      </c>
      <c r="E350" s="11" t="s">
        <v>5</v>
      </c>
      <c r="F350" s="11" t="s">
        <v>78</v>
      </c>
      <c r="G350" s="11" t="s">
        <v>79</v>
      </c>
      <c r="H350" s="12">
        <v>3.01</v>
      </c>
      <c r="I350" s="13"/>
      <c r="J350" s="12">
        <v>0.05</v>
      </c>
      <c r="K350" s="14">
        <v>3</v>
      </c>
      <c r="L350" s="11" t="s">
        <v>604</v>
      </c>
      <c r="M350" s="15" t="s">
        <v>246</v>
      </c>
    </row>
    <row r="351" spans="1:13">
      <c r="A351" s="98">
        <v>43424</v>
      </c>
      <c r="B351" s="11" t="s">
        <v>15</v>
      </c>
      <c r="C351" s="11" t="s">
        <v>212</v>
      </c>
      <c r="D351" s="11" t="s">
        <v>77</v>
      </c>
      <c r="E351" s="11" t="s">
        <v>5</v>
      </c>
      <c r="F351" s="11" t="s">
        <v>78</v>
      </c>
      <c r="G351" s="11" t="s">
        <v>79</v>
      </c>
      <c r="H351" s="12">
        <v>1.36</v>
      </c>
      <c r="I351" s="13"/>
      <c r="J351" s="12">
        <v>0.05</v>
      </c>
      <c r="K351" s="14">
        <v>3</v>
      </c>
      <c r="L351" s="11" t="s">
        <v>604</v>
      </c>
      <c r="M351" s="15" t="s">
        <v>247</v>
      </c>
    </row>
    <row r="352" spans="1:13">
      <c r="A352" s="98">
        <v>43425</v>
      </c>
      <c r="B352" s="11" t="s">
        <v>15</v>
      </c>
      <c r="C352" s="11" t="s">
        <v>212</v>
      </c>
      <c r="D352" s="11" t="s">
        <v>77</v>
      </c>
      <c r="E352" s="11" t="s">
        <v>5</v>
      </c>
      <c r="F352" s="11" t="s">
        <v>78</v>
      </c>
      <c r="G352" s="11" t="s">
        <v>79</v>
      </c>
      <c r="H352" s="12">
        <v>0.14000000000000001</v>
      </c>
      <c r="I352" s="13"/>
      <c r="J352" s="12">
        <v>0.05</v>
      </c>
      <c r="K352" s="14">
        <v>3</v>
      </c>
      <c r="L352" s="11" t="s">
        <v>604</v>
      </c>
      <c r="M352" s="15" t="s">
        <v>248</v>
      </c>
    </row>
    <row r="353" spans="1:13">
      <c r="A353" s="98">
        <v>43430</v>
      </c>
      <c r="B353" s="11" t="s">
        <v>15</v>
      </c>
      <c r="C353" s="11" t="s">
        <v>212</v>
      </c>
      <c r="D353" s="11" t="s">
        <v>77</v>
      </c>
      <c r="E353" s="11" t="s">
        <v>5</v>
      </c>
      <c r="F353" s="11" t="s">
        <v>78</v>
      </c>
      <c r="G353" s="11" t="s">
        <v>79</v>
      </c>
      <c r="H353" s="12">
        <v>0.17</v>
      </c>
      <c r="I353" s="13"/>
      <c r="J353" s="12">
        <v>0.05</v>
      </c>
      <c r="K353" s="14">
        <v>3</v>
      </c>
      <c r="L353" s="11" t="s">
        <v>604</v>
      </c>
      <c r="M353" s="15" t="s">
        <v>249</v>
      </c>
    </row>
    <row r="354" spans="1:13">
      <c r="A354" s="98">
        <v>43431</v>
      </c>
      <c r="B354" s="11" t="s">
        <v>15</v>
      </c>
      <c r="C354" s="11" t="s">
        <v>212</v>
      </c>
      <c r="D354" s="11" t="s">
        <v>77</v>
      </c>
      <c r="E354" s="11" t="s">
        <v>5</v>
      </c>
      <c r="F354" s="11" t="s">
        <v>78</v>
      </c>
      <c r="G354" s="11" t="s">
        <v>79</v>
      </c>
      <c r="H354" s="12">
        <v>0.17</v>
      </c>
      <c r="I354" s="13"/>
      <c r="J354" s="12">
        <v>0.05</v>
      </c>
      <c r="K354" s="14">
        <v>3</v>
      </c>
      <c r="L354" s="11" t="s">
        <v>604</v>
      </c>
      <c r="M354" s="15" t="s">
        <v>250</v>
      </c>
    </row>
    <row r="355" spans="1:13">
      <c r="A355" s="98">
        <v>43432</v>
      </c>
      <c r="B355" s="11" t="s">
        <v>15</v>
      </c>
      <c r="C355" s="11" t="s">
        <v>212</v>
      </c>
      <c r="D355" s="11" t="s">
        <v>77</v>
      </c>
      <c r="E355" s="11" t="s">
        <v>5</v>
      </c>
      <c r="F355" s="11" t="s">
        <v>78</v>
      </c>
      <c r="G355" s="11" t="s">
        <v>79</v>
      </c>
      <c r="H355" s="12">
        <v>0.13</v>
      </c>
      <c r="I355" s="13"/>
      <c r="J355" s="12">
        <v>0.05</v>
      </c>
      <c r="K355" s="14">
        <v>3</v>
      </c>
      <c r="L355" s="11" t="s">
        <v>604</v>
      </c>
      <c r="M355" s="15" t="s">
        <v>251</v>
      </c>
    </row>
    <row r="356" spans="1:13">
      <c r="A356" s="98">
        <v>43437</v>
      </c>
      <c r="B356" s="11" t="s">
        <v>15</v>
      </c>
      <c r="C356" s="11" t="s">
        <v>212</v>
      </c>
      <c r="D356" s="11" t="s">
        <v>77</v>
      </c>
      <c r="E356" s="11" t="s">
        <v>5</v>
      </c>
      <c r="F356" s="11" t="s">
        <v>78</v>
      </c>
      <c r="G356" s="11" t="s">
        <v>79</v>
      </c>
      <c r="H356" s="12">
        <v>0.72</v>
      </c>
      <c r="I356" s="13"/>
      <c r="J356" s="12">
        <v>0.05</v>
      </c>
      <c r="K356" s="14">
        <v>3</v>
      </c>
      <c r="L356" s="11" t="s">
        <v>604</v>
      </c>
      <c r="M356" s="15" t="s">
        <v>252</v>
      </c>
    </row>
    <row r="357" spans="1:13">
      <c r="A357" s="98">
        <v>43438</v>
      </c>
      <c r="B357" s="11" t="s">
        <v>15</v>
      </c>
      <c r="C357" s="11" t="s">
        <v>212</v>
      </c>
      <c r="D357" s="11" t="s">
        <v>77</v>
      </c>
      <c r="E357" s="11" t="s">
        <v>5</v>
      </c>
      <c r="F357" s="11" t="s">
        <v>78</v>
      </c>
      <c r="G357" s="11" t="s">
        <v>79</v>
      </c>
      <c r="H357" s="12">
        <v>1.23</v>
      </c>
      <c r="I357" s="13"/>
      <c r="J357" s="12">
        <v>0.05</v>
      </c>
      <c r="K357" s="14">
        <v>3</v>
      </c>
      <c r="L357" s="11" t="s">
        <v>604</v>
      </c>
      <c r="M357" s="15" t="s">
        <v>253</v>
      </c>
    </row>
    <row r="358" spans="1:13">
      <c r="A358" s="98">
        <v>43439</v>
      </c>
      <c r="B358" s="11" t="s">
        <v>15</v>
      </c>
      <c r="C358" s="11" t="s">
        <v>212</v>
      </c>
      <c r="D358" s="11" t="s">
        <v>77</v>
      </c>
      <c r="E358" s="11" t="s">
        <v>5</v>
      </c>
      <c r="F358" s="11" t="s">
        <v>78</v>
      </c>
      <c r="G358" s="11" t="s">
        <v>79</v>
      </c>
      <c r="H358" s="12">
        <v>1.0900000000000001</v>
      </c>
      <c r="I358" s="13"/>
      <c r="J358" s="12">
        <v>0.05</v>
      </c>
      <c r="K358" s="14">
        <v>3</v>
      </c>
      <c r="L358" s="11" t="s">
        <v>604</v>
      </c>
      <c r="M358" s="15" t="s">
        <v>254</v>
      </c>
    </row>
    <row r="359" spans="1:13">
      <c r="A359" s="98">
        <v>43444</v>
      </c>
      <c r="B359" s="11" t="s">
        <v>15</v>
      </c>
      <c r="C359" s="11" t="s">
        <v>212</v>
      </c>
      <c r="D359" s="11" t="s">
        <v>77</v>
      </c>
      <c r="E359" s="11" t="s">
        <v>5</v>
      </c>
      <c r="F359" s="11" t="s">
        <v>78</v>
      </c>
      <c r="G359" s="11" t="s">
        <v>79</v>
      </c>
      <c r="H359" s="12">
        <v>1.01</v>
      </c>
      <c r="I359" s="13"/>
      <c r="J359" s="12">
        <v>0.05</v>
      </c>
      <c r="K359" s="14">
        <v>3</v>
      </c>
      <c r="L359" s="11" t="s">
        <v>604</v>
      </c>
      <c r="M359" s="15" t="s">
        <v>255</v>
      </c>
    </row>
    <row r="360" spans="1:13">
      <c r="A360" s="98">
        <v>43445</v>
      </c>
      <c r="B360" s="11" t="s">
        <v>15</v>
      </c>
      <c r="C360" s="11" t="s">
        <v>212</v>
      </c>
      <c r="D360" s="11" t="s">
        <v>77</v>
      </c>
      <c r="E360" s="11" t="s">
        <v>5</v>
      </c>
      <c r="F360" s="11" t="s">
        <v>78</v>
      </c>
      <c r="G360" s="11" t="s">
        <v>79</v>
      </c>
      <c r="H360" s="12">
        <v>2.4900000000000002</v>
      </c>
      <c r="I360" s="13"/>
      <c r="J360" s="12">
        <v>0.05</v>
      </c>
      <c r="K360" s="14">
        <v>3</v>
      </c>
      <c r="L360" s="11" t="s">
        <v>604</v>
      </c>
      <c r="M360" s="15" t="s">
        <v>256</v>
      </c>
    </row>
    <row r="361" spans="1:13">
      <c r="A361" s="98">
        <v>43446</v>
      </c>
      <c r="B361" s="11" t="s">
        <v>15</v>
      </c>
      <c r="C361" s="11" t="s">
        <v>212</v>
      </c>
      <c r="D361" s="11" t="s">
        <v>77</v>
      </c>
      <c r="E361" s="11" t="s">
        <v>5</v>
      </c>
      <c r="F361" s="11" t="s">
        <v>78</v>
      </c>
      <c r="G361" s="11" t="s">
        <v>79</v>
      </c>
      <c r="H361" s="12">
        <v>0.64</v>
      </c>
      <c r="I361" s="13"/>
      <c r="J361" s="12">
        <v>0.05</v>
      </c>
      <c r="K361" s="14">
        <v>3</v>
      </c>
      <c r="L361" s="11" t="s">
        <v>604</v>
      </c>
      <c r="M361" s="15" t="s">
        <v>257</v>
      </c>
    </row>
    <row r="362" spans="1:13">
      <c r="A362" s="98">
        <v>43451</v>
      </c>
      <c r="B362" s="11" t="s">
        <v>15</v>
      </c>
      <c r="C362" s="11" t="s">
        <v>212</v>
      </c>
      <c r="D362" s="11" t="s">
        <v>77</v>
      </c>
      <c r="E362" s="11" t="s">
        <v>5</v>
      </c>
      <c r="F362" s="11" t="s">
        <v>78</v>
      </c>
      <c r="G362" s="11" t="s">
        <v>79</v>
      </c>
      <c r="H362" s="12">
        <v>0.55000000000000004</v>
      </c>
      <c r="I362" s="13"/>
      <c r="J362" s="12">
        <v>0.05</v>
      </c>
      <c r="K362" s="14">
        <v>3</v>
      </c>
      <c r="L362" s="11" t="s">
        <v>604</v>
      </c>
      <c r="M362" s="15" t="s">
        <v>258</v>
      </c>
    </row>
    <row r="363" spans="1:13">
      <c r="A363" s="98">
        <v>43452</v>
      </c>
      <c r="B363" s="11" t="s">
        <v>15</v>
      </c>
      <c r="C363" s="11" t="s">
        <v>212</v>
      </c>
      <c r="D363" s="11" t="s">
        <v>77</v>
      </c>
      <c r="E363" s="11" t="s">
        <v>5</v>
      </c>
      <c r="F363" s="11" t="s">
        <v>78</v>
      </c>
      <c r="G363" s="11" t="s">
        <v>79</v>
      </c>
      <c r="H363" s="12">
        <v>0.06</v>
      </c>
      <c r="I363" s="13"/>
      <c r="J363" s="12">
        <v>0.05</v>
      </c>
      <c r="K363" s="14">
        <v>3</v>
      </c>
      <c r="L363" s="11" t="s">
        <v>604</v>
      </c>
      <c r="M363" s="15" t="s">
        <v>259</v>
      </c>
    </row>
    <row r="364" spans="1:13">
      <c r="A364" s="98">
        <v>43453</v>
      </c>
      <c r="B364" s="11" t="s">
        <v>15</v>
      </c>
      <c r="C364" s="11" t="s">
        <v>212</v>
      </c>
      <c r="D364" s="11" t="s">
        <v>77</v>
      </c>
      <c r="E364" s="11" t="s">
        <v>5</v>
      </c>
      <c r="F364" s="11" t="s">
        <v>78</v>
      </c>
      <c r="G364" s="11" t="s">
        <v>79</v>
      </c>
      <c r="H364" s="12">
        <v>0.08</v>
      </c>
      <c r="I364" s="13"/>
      <c r="J364" s="12">
        <v>0.05</v>
      </c>
      <c r="K364" s="14">
        <v>3</v>
      </c>
      <c r="L364" s="11" t="s">
        <v>604</v>
      </c>
      <c r="M364" s="15" t="s">
        <v>260</v>
      </c>
    </row>
    <row r="365" spans="1:13">
      <c r="A365" s="98">
        <v>43458</v>
      </c>
      <c r="B365" s="11" t="s">
        <v>15</v>
      </c>
      <c r="C365" s="11" t="s">
        <v>212</v>
      </c>
      <c r="D365" s="11" t="s">
        <v>77</v>
      </c>
      <c r="E365" s="11" t="s">
        <v>5</v>
      </c>
      <c r="F365" s="11" t="s">
        <v>78</v>
      </c>
      <c r="G365" s="11" t="s">
        <v>79</v>
      </c>
      <c r="H365" s="12">
        <v>0.13</v>
      </c>
      <c r="I365" s="13"/>
      <c r="J365" s="12">
        <v>0.05</v>
      </c>
      <c r="K365" s="14">
        <v>3</v>
      </c>
      <c r="L365" s="11" t="s">
        <v>604</v>
      </c>
      <c r="M365" s="15" t="s">
        <v>261</v>
      </c>
    </row>
    <row r="366" spans="1:13">
      <c r="A366" s="98">
        <v>43459</v>
      </c>
      <c r="B366" s="11" t="s">
        <v>15</v>
      </c>
      <c r="C366" s="11" t="s">
        <v>212</v>
      </c>
      <c r="D366" s="11" t="s">
        <v>77</v>
      </c>
      <c r="E366" s="11" t="s">
        <v>5</v>
      </c>
      <c r="F366" s="11" t="s">
        <v>78</v>
      </c>
      <c r="G366" s="11" t="s">
        <v>79</v>
      </c>
      <c r="H366" s="12">
        <v>0.18</v>
      </c>
      <c r="I366" s="13"/>
      <c r="J366" s="12">
        <v>0.05</v>
      </c>
      <c r="K366" s="14">
        <v>3</v>
      </c>
      <c r="L366" s="11" t="s">
        <v>604</v>
      </c>
      <c r="M366" s="15" t="s">
        <v>262</v>
      </c>
    </row>
    <row r="367" spans="1:13">
      <c r="A367" s="98">
        <v>43460</v>
      </c>
      <c r="B367" s="11" t="s">
        <v>15</v>
      </c>
      <c r="C367" s="11" t="s">
        <v>212</v>
      </c>
      <c r="D367" s="11" t="s">
        <v>77</v>
      </c>
      <c r="E367" s="11" t="s">
        <v>5</v>
      </c>
      <c r="F367" s="11" t="s">
        <v>78</v>
      </c>
      <c r="G367" s="11" t="s">
        <v>79</v>
      </c>
      <c r="H367" s="12">
        <v>0.11</v>
      </c>
      <c r="I367" s="13"/>
      <c r="J367" s="12">
        <v>0.05</v>
      </c>
      <c r="K367" s="14">
        <v>3</v>
      </c>
      <c r="L367" s="11" t="s">
        <v>604</v>
      </c>
      <c r="M367" s="15" t="s">
        <v>263</v>
      </c>
    </row>
    <row r="368" spans="1:13">
      <c r="A368" s="98">
        <v>43465</v>
      </c>
      <c r="B368" s="11" t="s">
        <v>15</v>
      </c>
      <c r="C368" s="11" t="s">
        <v>212</v>
      </c>
      <c r="D368" s="11" t="s">
        <v>77</v>
      </c>
      <c r="E368" s="11" t="s">
        <v>5</v>
      </c>
      <c r="F368" s="11" t="s">
        <v>78</v>
      </c>
      <c r="G368" s="11" t="s">
        <v>79</v>
      </c>
      <c r="H368" s="12">
        <v>0.93</v>
      </c>
      <c r="I368" s="13"/>
      <c r="J368" s="12">
        <v>0.05</v>
      </c>
      <c r="K368" s="14">
        <v>3</v>
      </c>
      <c r="L368" s="11" t="s">
        <v>604</v>
      </c>
      <c r="M368" s="15" t="s">
        <v>264</v>
      </c>
    </row>
    <row r="369" spans="1:13">
      <c r="A369" s="98">
        <v>43466</v>
      </c>
      <c r="B369" s="11" t="s">
        <v>15</v>
      </c>
      <c r="C369" s="11" t="s">
        <v>212</v>
      </c>
      <c r="D369" s="11" t="s">
        <v>77</v>
      </c>
      <c r="E369" s="11" t="s">
        <v>5</v>
      </c>
      <c r="F369" s="11" t="s">
        <v>78</v>
      </c>
      <c r="G369" s="11" t="s">
        <v>79</v>
      </c>
      <c r="H369" s="12">
        <v>0.95</v>
      </c>
      <c r="I369" s="13"/>
      <c r="J369" s="12">
        <v>0.05</v>
      </c>
      <c r="K369" s="14">
        <v>3</v>
      </c>
      <c r="L369" s="11" t="s">
        <v>604</v>
      </c>
      <c r="M369" s="15" t="s">
        <v>265</v>
      </c>
    </row>
    <row r="370" spans="1:13">
      <c r="A370" s="98">
        <v>43467</v>
      </c>
      <c r="B370" s="11" t="s">
        <v>15</v>
      </c>
      <c r="C370" s="11" t="s">
        <v>212</v>
      </c>
      <c r="D370" s="11" t="s">
        <v>77</v>
      </c>
      <c r="E370" s="11" t="s">
        <v>5</v>
      </c>
      <c r="F370" s="11" t="s">
        <v>78</v>
      </c>
      <c r="G370" s="11" t="s">
        <v>79</v>
      </c>
      <c r="H370" s="12" t="s">
        <v>80</v>
      </c>
      <c r="I370" s="13">
        <v>-6</v>
      </c>
      <c r="J370" s="12">
        <v>0.05</v>
      </c>
      <c r="K370" s="14">
        <v>3</v>
      </c>
      <c r="L370" s="11" t="s">
        <v>604</v>
      </c>
      <c r="M370" s="15" t="s">
        <v>266</v>
      </c>
    </row>
    <row r="371" spans="1:13">
      <c r="A371" s="98">
        <v>43469</v>
      </c>
      <c r="B371" s="11" t="s">
        <v>15</v>
      </c>
      <c r="C371" s="11" t="s">
        <v>212</v>
      </c>
      <c r="D371" s="11" t="s">
        <v>77</v>
      </c>
      <c r="E371" s="11" t="s">
        <v>5</v>
      </c>
      <c r="F371" s="11" t="s">
        <v>78</v>
      </c>
      <c r="G371" s="11" t="s">
        <v>79</v>
      </c>
      <c r="H371" s="12">
        <v>0.11</v>
      </c>
      <c r="I371" s="13"/>
      <c r="J371" s="12">
        <v>0.05</v>
      </c>
      <c r="K371" s="14">
        <v>3</v>
      </c>
      <c r="L371" s="11" t="s">
        <v>604</v>
      </c>
      <c r="M371" s="15" t="s">
        <v>267</v>
      </c>
    </row>
    <row r="372" spans="1:13">
      <c r="A372" s="98">
        <v>43472</v>
      </c>
      <c r="B372" s="11" t="s">
        <v>15</v>
      </c>
      <c r="C372" s="11" t="s">
        <v>212</v>
      </c>
      <c r="D372" s="11" t="s">
        <v>77</v>
      </c>
      <c r="E372" s="11" t="s">
        <v>5</v>
      </c>
      <c r="F372" s="11" t="s">
        <v>78</v>
      </c>
      <c r="G372" s="11" t="s">
        <v>79</v>
      </c>
      <c r="H372" s="12">
        <v>7.0000000000000007E-2</v>
      </c>
      <c r="I372" s="13"/>
      <c r="J372" s="12">
        <v>0.05</v>
      </c>
      <c r="K372" s="14">
        <v>3</v>
      </c>
      <c r="L372" s="11" t="s">
        <v>604</v>
      </c>
      <c r="M372" s="15" t="s">
        <v>268</v>
      </c>
    </row>
    <row r="373" spans="1:13">
      <c r="A373" s="98">
        <v>43473</v>
      </c>
      <c r="B373" s="11" t="s">
        <v>15</v>
      </c>
      <c r="C373" s="11" t="s">
        <v>212</v>
      </c>
      <c r="D373" s="11" t="s">
        <v>77</v>
      </c>
      <c r="E373" s="11" t="s">
        <v>5</v>
      </c>
      <c r="F373" s="11" t="s">
        <v>78</v>
      </c>
      <c r="G373" s="11" t="s">
        <v>79</v>
      </c>
      <c r="H373" s="12">
        <v>0.08</v>
      </c>
      <c r="I373" s="13"/>
      <c r="J373" s="12">
        <v>0.05</v>
      </c>
      <c r="K373" s="14">
        <v>3</v>
      </c>
      <c r="L373" s="11" t="s">
        <v>604</v>
      </c>
      <c r="M373" s="15" t="s">
        <v>269</v>
      </c>
    </row>
    <row r="374" spans="1:13">
      <c r="A374" s="98">
        <v>43474</v>
      </c>
      <c r="B374" s="11" t="s">
        <v>15</v>
      </c>
      <c r="C374" s="11" t="s">
        <v>212</v>
      </c>
      <c r="D374" s="11" t="s">
        <v>77</v>
      </c>
      <c r="E374" s="11" t="s">
        <v>5</v>
      </c>
      <c r="F374" s="11" t="s">
        <v>78</v>
      </c>
      <c r="G374" s="11" t="s">
        <v>79</v>
      </c>
      <c r="H374" s="12">
        <v>0.09</v>
      </c>
      <c r="I374" s="13"/>
      <c r="J374" s="12">
        <v>0.05</v>
      </c>
      <c r="K374" s="14">
        <v>3</v>
      </c>
      <c r="L374" s="11" t="s">
        <v>604</v>
      </c>
      <c r="M374" s="15" t="s">
        <v>270</v>
      </c>
    </row>
    <row r="375" spans="1:13">
      <c r="A375" s="98">
        <v>43479</v>
      </c>
      <c r="B375" s="11" t="s">
        <v>15</v>
      </c>
      <c r="C375" s="11" t="s">
        <v>212</v>
      </c>
      <c r="D375" s="11" t="s">
        <v>77</v>
      </c>
      <c r="E375" s="11" t="s">
        <v>5</v>
      </c>
      <c r="F375" s="11" t="s">
        <v>78</v>
      </c>
      <c r="G375" s="11" t="s">
        <v>79</v>
      </c>
      <c r="H375" s="12">
        <v>0.28000000000000003</v>
      </c>
      <c r="I375" s="13"/>
      <c r="J375" s="12">
        <v>0.05</v>
      </c>
      <c r="K375" s="14">
        <v>3</v>
      </c>
      <c r="L375" s="11" t="s">
        <v>604</v>
      </c>
      <c r="M375" s="15" t="s">
        <v>271</v>
      </c>
    </row>
    <row r="376" spans="1:13">
      <c r="A376" s="98">
        <v>43480</v>
      </c>
      <c r="B376" s="11" t="s">
        <v>15</v>
      </c>
      <c r="C376" s="11" t="s">
        <v>212</v>
      </c>
      <c r="D376" s="11" t="s">
        <v>77</v>
      </c>
      <c r="E376" s="11" t="s">
        <v>5</v>
      </c>
      <c r="F376" s="11" t="s">
        <v>78</v>
      </c>
      <c r="G376" s="11" t="s">
        <v>79</v>
      </c>
      <c r="H376" s="12">
        <v>0.18</v>
      </c>
      <c r="I376" s="13"/>
      <c r="J376" s="12">
        <v>0.05</v>
      </c>
      <c r="K376" s="14">
        <v>3</v>
      </c>
      <c r="L376" s="11" t="s">
        <v>604</v>
      </c>
      <c r="M376" s="15" t="s">
        <v>272</v>
      </c>
    </row>
    <row r="377" spans="1:13">
      <c r="A377" s="98">
        <v>43481</v>
      </c>
      <c r="B377" s="11" t="s">
        <v>15</v>
      </c>
      <c r="C377" s="11" t="s">
        <v>212</v>
      </c>
      <c r="D377" s="11" t="s">
        <v>77</v>
      </c>
      <c r="E377" s="11" t="s">
        <v>5</v>
      </c>
      <c r="F377" s="11" t="s">
        <v>78</v>
      </c>
      <c r="G377" s="11" t="s">
        <v>79</v>
      </c>
      <c r="H377" s="12">
        <v>0.26</v>
      </c>
      <c r="I377" s="13"/>
      <c r="J377" s="12">
        <v>0.05</v>
      </c>
      <c r="K377" s="14">
        <v>3</v>
      </c>
      <c r="L377" s="11" t="s">
        <v>604</v>
      </c>
      <c r="M377" s="15" t="s">
        <v>273</v>
      </c>
    </row>
    <row r="378" spans="1:13">
      <c r="A378" s="98">
        <v>43486</v>
      </c>
      <c r="B378" s="11" t="s">
        <v>15</v>
      </c>
      <c r="C378" s="11" t="s">
        <v>212</v>
      </c>
      <c r="D378" s="11" t="s">
        <v>77</v>
      </c>
      <c r="E378" s="11" t="s">
        <v>5</v>
      </c>
      <c r="F378" s="11" t="s">
        <v>78</v>
      </c>
      <c r="G378" s="11" t="s">
        <v>79</v>
      </c>
      <c r="H378" s="12">
        <v>0.86</v>
      </c>
      <c r="I378" s="13"/>
      <c r="J378" s="12">
        <v>0.05</v>
      </c>
      <c r="K378" s="14">
        <v>3</v>
      </c>
      <c r="L378" s="11" t="s">
        <v>604</v>
      </c>
      <c r="M378" s="15" t="s">
        <v>274</v>
      </c>
    </row>
    <row r="379" spans="1:13">
      <c r="A379" s="98">
        <v>43487</v>
      </c>
      <c r="B379" s="11" t="s">
        <v>15</v>
      </c>
      <c r="C379" s="11" t="s">
        <v>212</v>
      </c>
      <c r="D379" s="11" t="s">
        <v>77</v>
      </c>
      <c r="E379" s="11" t="s">
        <v>5</v>
      </c>
      <c r="F379" s="11" t="s">
        <v>78</v>
      </c>
      <c r="G379" s="11" t="s">
        <v>79</v>
      </c>
      <c r="H379" s="12">
        <v>1.29</v>
      </c>
      <c r="I379" s="13"/>
      <c r="J379" s="12">
        <v>0.05</v>
      </c>
      <c r="K379" s="14">
        <v>3</v>
      </c>
      <c r="L379" s="11" t="s">
        <v>604</v>
      </c>
      <c r="M379" s="15" t="s">
        <v>275</v>
      </c>
    </row>
    <row r="380" spans="1:13">
      <c r="A380" s="98">
        <v>43488</v>
      </c>
      <c r="B380" s="11" t="s">
        <v>15</v>
      </c>
      <c r="C380" s="11" t="s">
        <v>212</v>
      </c>
      <c r="D380" s="11" t="s">
        <v>77</v>
      </c>
      <c r="E380" s="11" t="s">
        <v>5</v>
      </c>
      <c r="F380" s="11" t="s">
        <v>78</v>
      </c>
      <c r="G380" s="11" t="s">
        <v>79</v>
      </c>
      <c r="H380" s="12">
        <v>0.73</v>
      </c>
      <c r="I380" s="13"/>
      <c r="J380" s="12">
        <v>0.05</v>
      </c>
      <c r="K380" s="14">
        <v>3</v>
      </c>
      <c r="L380" s="11" t="s">
        <v>604</v>
      </c>
      <c r="M380" s="15" t="s">
        <v>276</v>
      </c>
    </row>
    <row r="381" spans="1:13">
      <c r="A381" s="98">
        <v>43494</v>
      </c>
      <c r="B381" s="11" t="s">
        <v>15</v>
      </c>
      <c r="C381" s="11" t="s">
        <v>212</v>
      </c>
      <c r="D381" s="11" t="s">
        <v>77</v>
      </c>
      <c r="E381" s="11" t="s">
        <v>5</v>
      </c>
      <c r="F381" s="11" t="s">
        <v>78</v>
      </c>
      <c r="G381" s="11" t="s">
        <v>79</v>
      </c>
      <c r="H381" s="12">
        <v>1.67</v>
      </c>
      <c r="I381" s="13"/>
      <c r="J381" s="12">
        <v>0.05</v>
      </c>
      <c r="K381" s="14">
        <v>3</v>
      </c>
      <c r="L381" s="11" t="s">
        <v>604</v>
      </c>
      <c r="M381" s="15" t="s">
        <v>277</v>
      </c>
    </row>
    <row r="382" spans="1:13">
      <c r="A382" s="98">
        <v>43495</v>
      </c>
      <c r="B382" s="11" t="s">
        <v>15</v>
      </c>
      <c r="C382" s="11" t="s">
        <v>212</v>
      </c>
      <c r="D382" s="11" t="s">
        <v>77</v>
      </c>
      <c r="E382" s="11" t="s">
        <v>5</v>
      </c>
      <c r="F382" s="11" t="s">
        <v>78</v>
      </c>
      <c r="G382" s="11" t="s">
        <v>79</v>
      </c>
      <c r="H382" s="12">
        <v>0.24</v>
      </c>
      <c r="I382" s="13"/>
      <c r="J382" s="12">
        <v>0.05</v>
      </c>
      <c r="K382" s="14">
        <v>3</v>
      </c>
      <c r="L382" s="11" t="s">
        <v>604</v>
      </c>
      <c r="M382" s="15" t="s">
        <v>278</v>
      </c>
    </row>
    <row r="383" spans="1:13">
      <c r="A383" s="98">
        <v>43496</v>
      </c>
      <c r="B383" s="11" t="s">
        <v>15</v>
      </c>
      <c r="C383" s="11" t="s">
        <v>212</v>
      </c>
      <c r="D383" s="11" t="s">
        <v>77</v>
      </c>
      <c r="E383" s="11" t="s">
        <v>5</v>
      </c>
      <c r="F383" s="11" t="s">
        <v>78</v>
      </c>
      <c r="G383" s="11" t="s">
        <v>79</v>
      </c>
      <c r="H383" s="12">
        <v>0.08</v>
      </c>
      <c r="I383" s="13"/>
      <c r="J383" s="12">
        <v>0.05</v>
      </c>
      <c r="K383" s="14">
        <v>3</v>
      </c>
      <c r="L383" s="11" t="s">
        <v>604</v>
      </c>
      <c r="M383" s="15" t="s">
        <v>279</v>
      </c>
    </row>
    <row r="384" spans="1:13">
      <c r="A384" s="98">
        <v>43501</v>
      </c>
      <c r="B384" s="11" t="s">
        <v>15</v>
      </c>
      <c r="C384" s="11" t="s">
        <v>212</v>
      </c>
      <c r="D384" s="11" t="s">
        <v>77</v>
      </c>
      <c r="E384" s="11" t="s">
        <v>5</v>
      </c>
      <c r="F384" s="11" t="s">
        <v>78</v>
      </c>
      <c r="G384" s="11" t="s">
        <v>79</v>
      </c>
      <c r="H384" s="12">
        <v>0.1</v>
      </c>
      <c r="I384" s="13"/>
      <c r="J384" s="12">
        <v>0.05</v>
      </c>
      <c r="K384" s="14">
        <v>3</v>
      </c>
      <c r="L384" s="11" t="s">
        <v>604</v>
      </c>
      <c r="M384" s="15" t="s">
        <v>280</v>
      </c>
    </row>
    <row r="385" spans="1:13">
      <c r="A385" s="98">
        <v>43502</v>
      </c>
      <c r="B385" s="11" t="s">
        <v>15</v>
      </c>
      <c r="C385" s="11" t="s">
        <v>212</v>
      </c>
      <c r="D385" s="11" t="s">
        <v>77</v>
      </c>
      <c r="E385" s="11" t="s">
        <v>5</v>
      </c>
      <c r="F385" s="11" t="s">
        <v>78</v>
      </c>
      <c r="G385" s="11" t="s">
        <v>79</v>
      </c>
      <c r="H385" s="12">
        <v>0.23</v>
      </c>
      <c r="I385" s="13"/>
      <c r="J385" s="12">
        <v>0.05</v>
      </c>
      <c r="K385" s="14">
        <v>3</v>
      </c>
      <c r="L385" s="11" t="s">
        <v>604</v>
      </c>
      <c r="M385" s="15" t="s">
        <v>281</v>
      </c>
    </row>
    <row r="386" spans="1:13">
      <c r="A386" s="98">
        <v>43503</v>
      </c>
      <c r="B386" s="11" t="s">
        <v>15</v>
      </c>
      <c r="C386" s="11" t="s">
        <v>212</v>
      </c>
      <c r="D386" s="11" t="s">
        <v>77</v>
      </c>
      <c r="E386" s="11" t="s">
        <v>5</v>
      </c>
      <c r="F386" s="11" t="s">
        <v>78</v>
      </c>
      <c r="G386" s="11" t="s">
        <v>79</v>
      </c>
      <c r="H386" s="12">
        <v>1.02</v>
      </c>
      <c r="I386" s="13"/>
      <c r="J386" s="12">
        <v>0.05</v>
      </c>
      <c r="K386" s="14">
        <v>3</v>
      </c>
      <c r="L386" s="11" t="s">
        <v>604</v>
      </c>
      <c r="M386" s="15" t="s">
        <v>282</v>
      </c>
    </row>
    <row r="387" spans="1:13">
      <c r="A387" s="98">
        <v>43508</v>
      </c>
      <c r="B387" s="11" t="s">
        <v>15</v>
      </c>
      <c r="C387" s="11" t="s">
        <v>212</v>
      </c>
      <c r="D387" s="11" t="s">
        <v>77</v>
      </c>
      <c r="E387" s="11" t="s">
        <v>5</v>
      </c>
      <c r="F387" s="11" t="s">
        <v>78</v>
      </c>
      <c r="G387" s="11" t="s">
        <v>79</v>
      </c>
      <c r="H387" s="12">
        <v>0.24</v>
      </c>
      <c r="I387" s="13"/>
      <c r="J387" s="12">
        <v>0.05</v>
      </c>
      <c r="K387" s="14">
        <v>3</v>
      </c>
      <c r="L387" s="11" t="s">
        <v>604</v>
      </c>
      <c r="M387" s="15" t="s">
        <v>283</v>
      </c>
    </row>
    <row r="388" spans="1:13">
      <c r="A388" s="98">
        <v>43509</v>
      </c>
      <c r="B388" s="11" t="s">
        <v>15</v>
      </c>
      <c r="C388" s="11" t="s">
        <v>212</v>
      </c>
      <c r="D388" s="11" t="s">
        <v>77</v>
      </c>
      <c r="E388" s="11" t="s">
        <v>5</v>
      </c>
      <c r="F388" s="11" t="s">
        <v>78</v>
      </c>
      <c r="G388" s="11" t="s">
        <v>79</v>
      </c>
      <c r="H388" s="12">
        <v>0.42</v>
      </c>
      <c r="I388" s="13"/>
      <c r="J388" s="12">
        <v>0.05</v>
      </c>
      <c r="K388" s="14">
        <v>3</v>
      </c>
      <c r="L388" s="11" t="s">
        <v>604</v>
      </c>
      <c r="M388" s="15" t="s">
        <v>284</v>
      </c>
    </row>
    <row r="389" spans="1:13">
      <c r="A389" s="98">
        <v>43510</v>
      </c>
      <c r="B389" s="11" t="s">
        <v>15</v>
      </c>
      <c r="C389" s="11" t="s">
        <v>212</v>
      </c>
      <c r="D389" s="11" t="s">
        <v>77</v>
      </c>
      <c r="E389" s="11" t="s">
        <v>5</v>
      </c>
      <c r="F389" s="11" t="s">
        <v>78</v>
      </c>
      <c r="G389" s="11" t="s">
        <v>79</v>
      </c>
      <c r="H389" s="12">
        <v>0.11</v>
      </c>
      <c r="I389" s="13"/>
      <c r="J389" s="12">
        <v>0.05</v>
      </c>
      <c r="K389" s="14">
        <v>3</v>
      </c>
      <c r="L389" s="11" t="s">
        <v>604</v>
      </c>
      <c r="M389" s="15" t="s">
        <v>285</v>
      </c>
    </row>
    <row r="390" spans="1:13">
      <c r="A390" s="98">
        <v>43515</v>
      </c>
      <c r="B390" s="11" t="s">
        <v>15</v>
      </c>
      <c r="C390" s="11" t="s">
        <v>212</v>
      </c>
      <c r="D390" s="11" t="s">
        <v>77</v>
      </c>
      <c r="E390" s="11" t="s">
        <v>5</v>
      </c>
      <c r="F390" s="11" t="s">
        <v>78</v>
      </c>
      <c r="G390" s="11" t="s">
        <v>79</v>
      </c>
      <c r="H390" s="12">
        <v>0.39</v>
      </c>
      <c r="I390" s="13"/>
      <c r="J390" s="12">
        <v>0.05</v>
      </c>
      <c r="K390" s="14">
        <v>3</v>
      </c>
      <c r="L390" s="11" t="s">
        <v>604</v>
      </c>
      <c r="M390" s="15" t="s">
        <v>286</v>
      </c>
    </row>
    <row r="391" spans="1:13">
      <c r="A391" s="98">
        <v>43516</v>
      </c>
      <c r="B391" s="11" t="s">
        <v>15</v>
      </c>
      <c r="C391" s="11" t="s">
        <v>212</v>
      </c>
      <c r="D391" s="11" t="s">
        <v>77</v>
      </c>
      <c r="E391" s="11" t="s">
        <v>5</v>
      </c>
      <c r="F391" s="11" t="s">
        <v>78</v>
      </c>
      <c r="G391" s="11" t="s">
        <v>79</v>
      </c>
      <c r="H391" s="12">
        <v>0.21</v>
      </c>
      <c r="I391" s="13"/>
      <c r="J391" s="12">
        <v>0.05</v>
      </c>
      <c r="K391" s="14">
        <v>3</v>
      </c>
      <c r="L391" s="11" t="s">
        <v>604</v>
      </c>
      <c r="M391" s="15" t="s">
        <v>287</v>
      </c>
    </row>
    <row r="392" spans="1:13">
      <c r="A392" s="98">
        <v>43517</v>
      </c>
      <c r="B392" s="11" t="s">
        <v>15</v>
      </c>
      <c r="C392" s="11" t="s">
        <v>212</v>
      </c>
      <c r="D392" s="11" t="s">
        <v>77</v>
      </c>
      <c r="E392" s="11" t="s">
        <v>5</v>
      </c>
      <c r="F392" s="11" t="s">
        <v>78</v>
      </c>
      <c r="G392" s="11" t="s">
        <v>79</v>
      </c>
      <c r="H392" s="12">
        <v>0.56999999999999995</v>
      </c>
      <c r="I392" s="13"/>
      <c r="J392" s="12">
        <v>0.05</v>
      </c>
      <c r="K392" s="14">
        <v>3</v>
      </c>
      <c r="L392" s="11" t="s">
        <v>604</v>
      </c>
      <c r="M392" s="15" t="s">
        <v>288</v>
      </c>
    </row>
    <row r="393" spans="1:13">
      <c r="A393" s="98">
        <v>43522</v>
      </c>
      <c r="B393" s="11" t="s">
        <v>15</v>
      </c>
      <c r="C393" s="11" t="s">
        <v>212</v>
      </c>
      <c r="D393" s="11" t="s">
        <v>77</v>
      </c>
      <c r="E393" s="11" t="s">
        <v>5</v>
      </c>
      <c r="F393" s="11" t="s">
        <v>78</v>
      </c>
      <c r="G393" s="11" t="s">
        <v>79</v>
      </c>
      <c r="H393" s="12">
        <v>0.54</v>
      </c>
      <c r="I393" s="13"/>
      <c r="J393" s="12">
        <v>0.05</v>
      </c>
      <c r="K393" s="14">
        <v>3</v>
      </c>
      <c r="L393" s="11" t="s">
        <v>604</v>
      </c>
      <c r="M393" s="15" t="s">
        <v>289</v>
      </c>
    </row>
    <row r="394" spans="1:13">
      <c r="A394" s="98">
        <v>43523</v>
      </c>
      <c r="B394" s="11" t="s">
        <v>15</v>
      </c>
      <c r="C394" s="11" t="s">
        <v>212</v>
      </c>
      <c r="D394" s="11" t="s">
        <v>77</v>
      </c>
      <c r="E394" s="11" t="s">
        <v>5</v>
      </c>
      <c r="F394" s="11" t="s">
        <v>78</v>
      </c>
      <c r="G394" s="11" t="s">
        <v>79</v>
      </c>
      <c r="H394" s="12">
        <v>0.91</v>
      </c>
      <c r="I394" s="13"/>
      <c r="J394" s="12">
        <v>0.05</v>
      </c>
      <c r="K394" s="14">
        <v>3</v>
      </c>
      <c r="L394" s="11" t="s">
        <v>604</v>
      </c>
      <c r="M394" s="15" t="s">
        <v>290</v>
      </c>
    </row>
    <row r="395" spans="1:13">
      <c r="A395" s="98">
        <v>43524</v>
      </c>
      <c r="B395" s="11" t="s">
        <v>15</v>
      </c>
      <c r="C395" s="11" t="s">
        <v>212</v>
      </c>
      <c r="D395" s="11" t="s">
        <v>77</v>
      </c>
      <c r="E395" s="11" t="s">
        <v>5</v>
      </c>
      <c r="F395" s="11" t="s">
        <v>78</v>
      </c>
      <c r="G395" s="11" t="s">
        <v>79</v>
      </c>
      <c r="H395" s="12">
        <v>1.1100000000000001</v>
      </c>
      <c r="I395" s="13"/>
      <c r="J395" s="12">
        <v>0.05</v>
      </c>
      <c r="K395" s="14">
        <v>3</v>
      </c>
      <c r="L395" s="11" t="s">
        <v>604</v>
      </c>
      <c r="M395" s="15" t="s">
        <v>291</v>
      </c>
    </row>
    <row r="396" spans="1:13">
      <c r="A396" s="98">
        <v>43527</v>
      </c>
      <c r="B396" s="11" t="s">
        <v>15</v>
      </c>
      <c r="C396" s="11" t="s">
        <v>212</v>
      </c>
      <c r="D396" s="11" t="s">
        <v>77</v>
      </c>
      <c r="E396" s="11" t="s">
        <v>5</v>
      </c>
      <c r="F396" s="11" t="s">
        <v>78</v>
      </c>
      <c r="G396" s="11" t="s">
        <v>79</v>
      </c>
      <c r="H396" s="12">
        <v>1.72</v>
      </c>
      <c r="I396" s="13"/>
      <c r="J396" s="12">
        <v>0.05</v>
      </c>
      <c r="K396" s="14">
        <v>3</v>
      </c>
      <c r="L396" s="11" t="s">
        <v>604</v>
      </c>
      <c r="M396" s="15" t="s">
        <v>292</v>
      </c>
    </row>
    <row r="397" spans="1:13">
      <c r="A397" s="98">
        <v>43528</v>
      </c>
      <c r="B397" s="11" t="s">
        <v>15</v>
      </c>
      <c r="C397" s="11" t="s">
        <v>212</v>
      </c>
      <c r="D397" s="11" t="s">
        <v>77</v>
      </c>
      <c r="E397" s="11" t="s">
        <v>5</v>
      </c>
      <c r="F397" s="11" t="s">
        <v>78</v>
      </c>
      <c r="G397" s="11" t="s">
        <v>79</v>
      </c>
      <c r="H397" s="12">
        <v>1.35</v>
      </c>
      <c r="I397" s="13"/>
      <c r="J397" s="12">
        <v>0.05</v>
      </c>
      <c r="K397" s="14">
        <v>3</v>
      </c>
      <c r="L397" s="11" t="s">
        <v>604</v>
      </c>
      <c r="M397" s="15" t="s">
        <v>293</v>
      </c>
    </row>
    <row r="398" spans="1:13">
      <c r="A398" s="98">
        <v>43529</v>
      </c>
      <c r="B398" s="11" t="s">
        <v>15</v>
      </c>
      <c r="C398" s="11" t="s">
        <v>212</v>
      </c>
      <c r="D398" s="11" t="s">
        <v>77</v>
      </c>
      <c r="E398" s="11" t="s">
        <v>5</v>
      </c>
      <c r="F398" s="11" t="s">
        <v>78</v>
      </c>
      <c r="G398" s="11" t="s">
        <v>79</v>
      </c>
      <c r="H398" s="12">
        <v>0.99</v>
      </c>
      <c r="I398" s="13"/>
      <c r="J398" s="12">
        <v>0.05</v>
      </c>
      <c r="K398" s="14">
        <v>3</v>
      </c>
      <c r="L398" s="11" t="s">
        <v>604</v>
      </c>
      <c r="M398" s="15" t="s">
        <v>294</v>
      </c>
    </row>
    <row r="399" spans="1:13">
      <c r="A399" s="98">
        <v>43534</v>
      </c>
      <c r="B399" s="11" t="s">
        <v>15</v>
      </c>
      <c r="C399" s="11" t="s">
        <v>212</v>
      </c>
      <c r="D399" s="11" t="s">
        <v>77</v>
      </c>
      <c r="E399" s="11" t="s">
        <v>5</v>
      </c>
      <c r="F399" s="11" t="s">
        <v>78</v>
      </c>
      <c r="G399" s="11" t="s">
        <v>79</v>
      </c>
      <c r="H399" s="12">
        <v>2.2599999999999998</v>
      </c>
      <c r="I399" s="13"/>
      <c r="J399" s="12">
        <v>0.05</v>
      </c>
      <c r="K399" s="14">
        <v>3</v>
      </c>
      <c r="L399" s="11" t="s">
        <v>604</v>
      </c>
      <c r="M399" s="15" t="s">
        <v>295</v>
      </c>
    </row>
    <row r="400" spans="1:13">
      <c r="A400" s="98">
        <v>43535</v>
      </c>
      <c r="B400" s="11" t="s">
        <v>15</v>
      </c>
      <c r="C400" s="11" t="s">
        <v>212</v>
      </c>
      <c r="D400" s="11" t="s">
        <v>77</v>
      </c>
      <c r="E400" s="11" t="s">
        <v>5</v>
      </c>
      <c r="F400" s="11" t="s">
        <v>78</v>
      </c>
      <c r="G400" s="11" t="s">
        <v>79</v>
      </c>
      <c r="H400" s="12">
        <v>1.37</v>
      </c>
      <c r="I400" s="13"/>
      <c r="J400" s="12">
        <v>0.05</v>
      </c>
      <c r="K400" s="14">
        <v>3</v>
      </c>
      <c r="L400" s="11" t="s">
        <v>604</v>
      </c>
      <c r="M400" s="15" t="s">
        <v>296</v>
      </c>
    </row>
    <row r="401" spans="1:13">
      <c r="A401" s="98">
        <v>43536</v>
      </c>
      <c r="B401" s="11" t="s">
        <v>15</v>
      </c>
      <c r="C401" s="11" t="s">
        <v>212</v>
      </c>
      <c r="D401" s="11" t="s">
        <v>77</v>
      </c>
      <c r="E401" s="11" t="s">
        <v>5</v>
      </c>
      <c r="F401" s="11" t="s">
        <v>78</v>
      </c>
      <c r="G401" s="11" t="s">
        <v>79</v>
      </c>
      <c r="H401" s="12">
        <v>1.02</v>
      </c>
      <c r="I401" s="13"/>
      <c r="J401" s="12">
        <v>0.05</v>
      </c>
      <c r="K401" s="14">
        <v>3</v>
      </c>
      <c r="L401" s="11" t="s">
        <v>604</v>
      </c>
      <c r="M401" s="15" t="s">
        <v>297</v>
      </c>
    </row>
    <row r="402" spans="1:13">
      <c r="A402" s="98">
        <v>43541</v>
      </c>
      <c r="B402" s="11" t="s">
        <v>15</v>
      </c>
      <c r="C402" s="11" t="s">
        <v>212</v>
      </c>
      <c r="D402" s="11" t="s">
        <v>77</v>
      </c>
      <c r="E402" s="11" t="s">
        <v>5</v>
      </c>
      <c r="F402" s="11" t="s">
        <v>78</v>
      </c>
      <c r="G402" s="11" t="s">
        <v>79</v>
      </c>
      <c r="H402" s="12">
        <v>1.54</v>
      </c>
      <c r="I402" s="13"/>
      <c r="J402" s="12">
        <v>0.05</v>
      </c>
      <c r="K402" s="14">
        <v>3</v>
      </c>
      <c r="L402" s="11" t="s">
        <v>604</v>
      </c>
      <c r="M402" s="15" t="s">
        <v>298</v>
      </c>
    </row>
    <row r="403" spans="1:13">
      <c r="A403" s="98">
        <v>43542</v>
      </c>
      <c r="B403" s="11" t="s">
        <v>15</v>
      </c>
      <c r="C403" s="11" t="s">
        <v>212</v>
      </c>
      <c r="D403" s="11" t="s">
        <v>77</v>
      </c>
      <c r="E403" s="11" t="s">
        <v>5</v>
      </c>
      <c r="F403" s="11" t="s">
        <v>78</v>
      </c>
      <c r="G403" s="11" t="s">
        <v>79</v>
      </c>
      <c r="H403" s="12">
        <v>0.5</v>
      </c>
      <c r="I403" s="13"/>
      <c r="J403" s="12">
        <v>0.05</v>
      </c>
      <c r="K403" s="14">
        <v>3</v>
      </c>
      <c r="L403" s="11" t="s">
        <v>604</v>
      </c>
      <c r="M403" s="15" t="s">
        <v>299</v>
      </c>
    </row>
    <row r="404" spans="1:13">
      <c r="A404" s="98">
        <v>43543</v>
      </c>
      <c r="B404" s="11" t="s">
        <v>15</v>
      </c>
      <c r="C404" s="11" t="s">
        <v>212</v>
      </c>
      <c r="D404" s="11" t="s">
        <v>77</v>
      </c>
      <c r="E404" s="11" t="s">
        <v>5</v>
      </c>
      <c r="F404" s="11" t="s">
        <v>78</v>
      </c>
      <c r="G404" s="11" t="s">
        <v>79</v>
      </c>
      <c r="H404" s="12">
        <v>0.31</v>
      </c>
      <c r="I404" s="13"/>
      <c r="J404" s="12">
        <v>0.05</v>
      </c>
      <c r="K404" s="14">
        <v>3</v>
      </c>
      <c r="L404" s="11" t="s">
        <v>604</v>
      </c>
      <c r="M404" s="15" t="s">
        <v>300</v>
      </c>
    </row>
    <row r="405" spans="1:13">
      <c r="A405" s="98">
        <v>43548</v>
      </c>
      <c r="B405" s="11" t="s">
        <v>15</v>
      </c>
      <c r="C405" s="11" t="s">
        <v>212</v>
      </c>
      <c r="D405" s="11" t="s">
        <v>77</v>
      </c>
      <c r="E405" s="11" t="s">
        <v>5</v>
      </c>
      <c r="F405" s="11" t="s">
        <v>78</v>
      </c>
      <c r="G405" s="11" t="s">
        <v>79</v>
      </c>
      <c r="H405" s="12">
        <v>0.81</v>
      </c>
      <c r="I405" s="13"/>
      <c r="J405" s="12">
        <v>0.05</v>
      </c>
      <c r="K405" s="14">
        <v>3</v>
      </c>
      <c r="L405" s="11" t="s">
        <v>604</v>
      </c>
      <c r="M405" s="15" t="s">
        <v>301</v>
      </c>
    </row>
    <row r="406" spans="1:13">
      <c r="A406" s="98">
        <v>43549</v>
      </c>
      <c r="B406" s="11" t="s">
        <v>15</v>
      </c>
      <c r="C406" s="11" t="s">
        <v>212</v>
      </c>
      <c r="D406" s="11" t="s">
        <v>77</v>
      </c>
      <c r="E406" s="11" t="s">
        <v>5</v>
      </c>
      <c r="F406" s="11" t="s">
        <v>78</v>
      </c>
      <c r="G406" s="11" t="s">
        <v>79</v>
      </c>
      <c r="H406" s="12">
        <v>0</v>
      </c>
      <c r="I406" s="13"/>
      <c r="J406" s="12">
        <v>0.05</v>
      </c>
      <c r="K406" s="14">
        <v>3</v>
      </c>
      <c r="L406" s="11" t="s">
        <v>604</v>
      </c>
      <c r="M406" s="15" t="s">
        <v>302</v>
      </c>
    </row>
    <row r="407" spans="1:13">
      <c r="A407" s="98">
        <v>43550</v>
      </c>
      <c r="B407" s="11" t="s">
        <v>15</v>
      </c>
      <c r="C407" s="11" t="s">
        <v>212</v>
      </c>
      <c r="D407" s="11" t="s">
        <v>77</v>
      </c>
      <c r="E407" s="11" t="s">
        <v>5</v>
      </c>
      <c r="F407" s="11" t="s">
        <v>78</v>
      </c>
      <c r="G407" s="11" t="s">
        <v>79</v>
      </c>
      <c r="H407" s="12">
        <v>0</v>
      </c>
      <c r="I407" s="13"/>
      <c r="J407" s="12">
        <v>0.05</v>
      </c>
      <c r="K407" s="14">
        <v>3</v>
      </c>
      <c r="L407" s="11" t="s">
        <v>604</v>
      </c>
      <c r="M407" s="15" t="s">
        <v>303</v>
      </c>
    </row>
    <row r="408" spans="1:13">
      <c r="A408" s="98">
        <v>43555</v>
      </c>
      <c r="B408" s="11" t="s">
        <v>15</v>
      </c>
      <c r="C408" s="11" t="s">
        <v>212</v>
      </c>
      <c r="D408" s="11" t="s">
        <v>77</v>
      </c>
      <c r="E408" s="11" t="s">
        <v>5</v>
      </c>
      <c r="F408" s="11" t="s">
        <v>78</v>
      </c>
      <c r="G408" s="11" t="s">
        <v>79</v>
      </c>
      <c r="H408" s="12">
        <v>0.33</v>
      </c>
      <c r="I408" s="13"/>
      <c r="J408" s="12">
        <v>0.05</v>
      </c>
      <c r="K408" s="14">
        <v>3</v>
      </c>
      <c r="L408" s="11" t="s">
        <v>604</v>
      </c>
      <c r="M408" s="15" t="s">
        <v>304</v>
      </c>
    </row>
    <row r="409" spans="1:13">
      <c r="A409" s="98">
        <v>43556</v>
      </c>
      <c r="B409" s="11" t="s">
        <v>15</v>
      </c>
      <c r="C409" s="11" t="s">
        <v>212</v>
      </c>
      <c r="D409" s="11" t="s">
        <v>77</v>
      </c>
      <c r="E409" s="11" t="s">
        <v>5</v>
      </c>
      <c r="F409" s="11" t="s">
        <v>78</v>
      </c>
      <c r="G409" s="11" t="s">
        <v>79</v>
      </c>
      <c r="H409" s="12">
        <v>0.19</v>
      </c>
      <c r="I409" s="13"/>
      <c r="J409" s="12">
        <v>0.05</v>
      </c>
      <c r="K409" s="14">
        <v>3</v>
      </c>
      <c r="L409" s="11" t="s">
        <v>604</v>
      </c>
      <c r="M409" s="15" t="s">
        <v>305</v>
      </c>
    </row>
    <row r="410" spans="1:13">
      <c r="A410" s="98">
        <v>43557</v>
      </c>
      <c r="B410" s="11" t="s">
        <v>15</v>
      </c>
      <c r="C410" s="11" t="s">
        <v>212</v>
      </c>
      <c r="D410" s="11" t="s">
        <v>77</v>
      </c>
      <c r="E410" s="11" t="s">
        <v>5</v>
      </c>
      <c r="F410" s="11" t="s">
        <v>78</v>
      </c>
      <c r="G410" s="11" t="s">
        <v>79</v>
      </c>
      <c r="H410" s="12">
        <v>2.15</v>
      </c>
      <c r="I410" s="13"/>
      <c r="J410" s="12">
        <v>0.05</v>
      </c>
      <c r="K410" s="14">
        <v>3</v>
      </c>
      <c r="L410" s="11" t="s">
        <v>604</v>
      </c>
      <c r="M410" s="15" t="s">
        <v>306</v>
      </c>
    </row>
    <row r="411" spans="1:13">
      <c r="A411" s="98">
        <v>43565</v>
      </c>
      <c r="B411" s="11" t="s">
        <v>15</v>
      </c>
      <c r="C411" s="11" t="s">
        <v>212</v>
      </c>
      <c r="D411" s="11" t="s">
        <v>77</v>
      </c>
      <c r="E411" s="11" t="s">
        <v>5</v>
      </c>
      <c r="F411" s="11" t="s">
        <v>78</v>
      </c>
      <c r="G411" s="11" t="s">
        <v>79</v>
      </c>
      <c r="H411" s="12">
        <v>0.09</v>
      </c>
      <c r="I411" s="13"/>
      <c r="J411" s="12">
        <v>0.05</v>
      </c>
      <c r="K411" s="14">
        <v>3</v>
      </c>
      <c r="L411" s="11" t="s">
        <v>604</v>
      </c>
      <c r="M411" s="15" t="s">
        <v>307</v>
      </c>
    </row>
    <row r="412" spans="1:13">
      <c r="A412" s="98">
        <v>43566</v>
      </c>
      <c r="B412" s="11" t="s">
        <v>15</v>
      </c>
      <c r="C412" s="11" t="s">
        <v>212</v>
      </c>
      <c r="D412" s="11" t="s">
        <v>77</v>
      </c>
      <c r="E412" s="11" t="s">
        <v>5</v>
      </c>
      <c r="F412" s="11" t="s">
        <v>78</v>
      </c>
      <c r="G412" s="11" t="s">
        <v>79</v>
      </c>
      <c r="H412" s="12">
        <v>0.08</v>
      </c>
      <c r="I412" s="13"/>
      <c r="J412" s="12">
        <v>0.05</v>
      </c>
      <c r="K412" s="14">
        <v>3</v>
      </c>
      <c r="L412" s="11" t="s">
        <v>604</v>
      </c>
      <c r="M412" s="15" t="s">
        <v>308</v>
      </c>
    </row>
    <row r="413" spans="1:13">
      <c r="A413" s="98">
        <v>43567</v>
      </c>
      <c r="B413" s="11" t="s">
        <v>15</v>
      </c>
      <c r="C413" s="11" t="s">
        <v>212</v>
      </c>
      <c r="D413" s="11" t="s">
        <v>77</v>
      </c>
      <c r="E413" s="11" t="s">
        <v>5</v>
      </c>
      <c r="F413" s="11" t="s">
        <v>78</v>
      </c>
      <c r="G413" s="11" t="s">
        <v>79</v>
      </c>
      <c r="H413" s="12">
        <v>0.06</v>
      </c>
      <c r="I413" s="13"/>
      <c r="J413" s="12">
        <v>0.05</v>
      </c>
      <c r="K413" s="14">
        <v>3</v>
      </c>
      <c r="L413" s="11" t="s">
        <v>604</v>
      </c>
      <c r="M413" s="15" t="s">
        <v>309</v>
      </c>
    </row>
    <row r="414" spans="1:13">
      <c r="A414" s="98">
        <v>43572</v>
      </c>
      <c r="B414" s="11" t="s">
        <v>15</v>
      </c>
      <c r="C414" s="11" t="s">
        <v>212</v>
      </c>
      <c r="D414" s="11" t="s">
        <v>77</v>
      </c>
      <c r="E414" s="11" t="s">
        <v>5</v>
      </c>
      <c r="F414" s="11" t="s">
        <v>78</v>
      </c>
      <c r="G414" s="11" t="s">
        <v>79</v>
      </c>
      <c r="H414" s="12">
        <v>0.13</v>
      </c>
      <c r="I414" s="13"/>
      <c r="J414" s="12">
        <v>0.05</v>
      </c>
      <c r="K414" s="14">
        <v>3</v>
      </c>
      <c r="L414" s="11" t="s">
        <v>604</v>
      </c>
      <c r="M414" s="15" t="s">
        <v>310</v>
      </c>
    </row>
    <row r="415" spans="1:13">
      <c r="A415" s="98">
        <v>43573</v>
      </c>
      <c r="B415" s="11" t="s">
        <v>15</v>
      </c>
      <c r="C415" s="11" t="s">
        <v>212</v>
      </c>
      <c r="D415" s="11" t="s">
        <v>77</v>
      </c>
      <c r="E415" s="11" t="s">
        <v>5</v>
      </c>
      <c r="F415" s="11" t="s">
        <v>78</v>
      </c>
      <c r="G415" s="11" t="s">
        <v>79</v>
      </c>
      <c r="H415" s="12">
        <v>0.05</v>
      </c>
      <c r="I415" s="13"/>
      <c r="J415" s="12">
        <v>0.05</v>
      </c>
      <c r="K415" s="14">
        <v>3</v>
      </c>
      <c r="L415" s="11" t="s">
        <v>604</v>
      </c>
      <c r="M415" s="15" t="s">
        <v>311</v>
      </c>
    </row>
    <row r="416" spans="1:13">
      <c r="A416" s="98">
        <v>43574</v>
      </c>
      <c r="B416" s="11" t="s">
        <v>15</v>
      </c>
      <c r="C416" s="11" t="s">
        <v>212</v>
      </c>
      <c r="D416" s="11" t="s">
        <v>77</v>
      </c>
      <c r="E416" s="11" t="s">
        <v>5</v>
      </c>
      <c r="F416" s="11" t="s">
        <v>78</v>
      </c>
      <c r="G416" s="11" t="s">
        <v>79</v>
      </c>
      <c r="H416" s="12">
        <v>0.11</v>
      </c>
      <c r="I416" s="13"/>
      <c r="J416" s="12">
        <v>0.05</v>
      </c>
      <c r="K416" s="14">
        <v>3</v>
      </c>
      <c r="L416" s="11" t="s">
        <v>604</v>
      </c>
      <c r="M416" s="15" t="s">
        <v>312</v>
      </c>
    </row>
    <row r="417" spans="1:13">
      <c r="A417" s="98">
        <v>43579</v>
      </c>
      <c r="B417" s="11" t="s">
        <v>15</v>
      </c>
      <c r="C417" s="11" t="s">
        <v>212</v>
      </c>
      <c r="D417" s="11" t="s">
        <v>77</v>
      </c>
      <c r="E417" s="11" t="s">
        <v>5</v>
      </c>
      <c r="F417" s="11" t="s">
        <v>78</v>
      </c>
      <c r="G417" s="11" t="s">
        <v>79</v>
      </c>
      <c r="H417" s="12">
        <v>3.46</v>
      </c>
      <c r="I417" s="13"/>
      <c r="J417" s="12">
        <v>0.05</v>
      </c>
      <c r="K417" s="14">
        <v>3</v>
      </c>
      <c r="L417" s="11" t="s">
        <v>604</v>
      </c>
      <c r="M417" s="15" t="s">
        <v>313</v>
      </c>
    </row>
    <row r="418" spans="1:13">
      <c r="A418" s="98">
        <v>43580</v>
      </c>
      <c r="B418" s="11" t="s">
        <v>15</v>
      </c>
      <c r="C418" s="11" t="s">
        <v>212</v>
      </c>
      <c r="D418" s="11" t="s">
        <v>77</v>
      </c>
      <c r="E418" s="11" t="s">
        <v>5</v>
      </c>
      <c r="F418" s="11" t="s">
        <v>78</v>
      </c>
      <c r="G418" s="11" t="s">
        <v>79</v>
      </c>
      <c r="H418" s="12">
        <v>1.54</v>
      </c>
      <c r="I418" s="13"/>
      <c r="J418" s="12">
        <v>0.05</v>
      </c>
      <c r="K418" s="14">
        <v>3</v>
      </c>
      <c r="L418" s="11" t="s">
        <v>604</v>
      </c>
      <c r="M418" s="15" t="s">
        <v>314</v>
      </c>
    </row>
    <row r="419" spans="1:13">
      <c r="A419" s="98">
        <v>43581</v>
      </c>
      <c r="B419" s="11" t="s">
        <v>15</v>
      </c>
      <c r="C419" s="11" t="s">
        <v>212</v>
      </c>
      <c r="D419" s="11" t="s">
        <v>77</v>
      </c>
      <c r="E419" s="11" t="s">
        <v>5</v>
      </c>
      <c r="F419" s="11" t="s">
        <v>78</v>
      </c>
      <c r="G419" s="11" t="s">
        <v>79</v>
      </c>
      <c r="H419" s="12">
        <v>0.97</v>
      </c>
      <c r="I419" s="13"/>
      <c r="J419" s="12">
        <v>0.05</v>
      </c>
      <c r="K419" s="14">
        <v>3</v>
      </c>
      <c r="L419" s="11" t="s">
        <v>604</v>
      </c>
      <c r="M419" s="15" t="s">
        <v>315</v>
      </c>
    </row>
    <row r="420" spans="1:13">
      <c r="A420" s="98">
        <v>43583</v>
      </c>
      <c r="B420" s="11" t="s">
        <v>15</v>
      </c>
      <c r="C420" s="11" t="s">
        <v>212</v>
      </c>
      <c r="D420" s="11" t="s">
        <v>77</v>
      </c>
      <c r="E420" s="11" t="s">
        <v>5</v>
      </c>
      <c r="F420" s="11" t="s">
        <v>78</v>
      </c>
      <c r="G420" s="11" t="s">
        <v>79</v>
      </c>
      <c r="H420" s="12">
        <v>0.62</v>
      </c>
      <c r="I420" s="13"/>
      <c r="J420" s="12">
        <v>0.05</v>
      </c>
      <c r="K420" s="14">
        <v>3</v>
      </c>
      <c r="L420" s="11" t="s">
        <v>604</v>
      </c>
      <c r="M420" s="15" t="s">
        <v>316</v>
      </c>
    </row>
    <row r="421" spans="1:13">
      <c r="A421" s="98">
        <v>43588</v>
      </c>
      <c r="B421" s="11" t="s">
        <v>15</v>
      </c>
      <c r="C421" s="11" t="s">
        <v>212</v>
      </c>
      <c r="D421" s="11" t="s">
        <v>77</v>
      </c>
      <c r="E421" s="11" t="s">
        <v>5</v>
      </c>
      <c r="F421" s="11" t="s">
        <v>78</v>
      </c>
      <c r="G421" s="11" t="s">
        <v>79</v>
      </c>
      <c r="H421" s="12">
        <v>2.08</v>
      </c>
      <c r="I421" s="13"/>
      <c r="J421" s="12">
        <v>0.05</v>
      </c>
      <c r="K421" s="14">
        <v>3</v>
      </c>
      <c r="L421" s="11" t="s">
        <v>604</v>
      </c>
      <c r="M421" s="15" t="s">
        <v>317</v>
      </c>
    </row>
    <row r="422" spans="1:13">
      <c r="A422" s="98">
        <v>43589</v>
      </c>
      <c r="B422" s="11" t="s">
        <v>15</v>
      </c>
      <c r="C422" s="11" t="s">
        <v>212</v>
      </c>
      <c r="D422" s="11" t="s">
        <v>77</v>
      </c>
      <c r="E422" s="11" t="s">
        <v>5</v>
      </c>
      <c r="F422" s="11" t="s">
        <v>78</v>
      </c>
      <c r="G422" s="11" t="s">
        <v>79</v>
      </c>
      <c r="H422" s="12">
        <v>1.34</v>
      </c>
      <c r="I422" s="13"/>
      <c r="J422" s="12">
        <v>0.05</v>
      </c>
      <c r="K422" s="14">
        <v>3</v>
      </c>
      <c r="L422" s="11" t="s">
        <v>604</v>
      </c>
      <c r="M422" s="15" t="s">
        <v>318</v>
      </c>
    </row>
    <row r="423" spans="1:13">
      <c r="A423" s="98">
        <v>43590</v>
      </c>
      <c r="B423" s="11" t="s">
        <v>15</v>
      </c>
      <c r="C423" s="11" t="s">
        <v>212</v>
      </c>
      <c r="D423" s="11" t="s">
        <v>77</v>
      </c>
      <c r="E423" s="11" t="s">
        <v>5</v>
      </c>
      <c r="F423" s="11" t="s">
        <v>78</v>
      </c>
      <c r="G423" s="11" t="s">
        <v>79</v>
      </c>
      <c r="H423" s="12">
        <v>1.72</v>
      </c>
      <c r="I423" s="13"/>
      <c r="J423" s="12">
        <v>0.05</v>
      </c>
      <c r="K423" s="14">
        <v>3</v>
      </c>
      <c r="L423" s="11" t="s">
        <v>604</v>
      </c>
      <c r="M423" s="15" t="s">
        <v>319</v>
      </c>
    </row>
    <row r="424" spans="1:13">
      <c r="A424" s="98">
        <v>43595</v>
      </c>
      <c r="B424" s="11" t="s">
        <v>15</v>
      </c>
      <c r="C424" s="11" t="s">
        <v>212</v>
      </c>
      <c r="D424" s="11" t="s">
        <v>77</v>
      </c>
      <c r="E424" s="11" t="s">
        <v>5</v>
      </c>
      <c r="F424" s="11" t="s">
        <v>78</v>
      </c>
      <c r="G424" s="11" t="s">
        <v>79</v>
      </c>
      <c r="H424" s="12">
        <v>2.5499999999999998</v>
      </c>
      <c r="I424" s="13"/>
      <c r="J424" s="12">
        <v>0.05</v>
      </c>
      <c r="K424" s="14">
        <v>3</v>
      </c>
      <c r="L424" s="11" t="s">
        <v>604</v>
      </c>
      <c r="M424" s="15" t="s">
        <v>320</v>
      </c>
    </row>
    <row r="425" spans="1:13">
      <c r="A425" s="98">
        <v>43596</v>
      </c>
      <c r="B425" s="11" t="s">
        <v>15</v>
      </c>
      <c r="C425" s="11" t="s">
        <v>212</v>
      </c>
      <c r="D425" s="11" t="s">
        <v>77</v>
      </c>
      <c r="E425" s="11" t="s">
        <v>5</v>
      </c>
      <c r="F425" s="11" t="s">
        <v>78</v>
      </c>
      <c r="G425" s="11" t="s">
        <v>79</v>
      </c>
      <c r="H425" s="12">
        <v>1.45</v>
      </c>
      <c r="I425" s="13"/>
      <c r="J425" s="12">
        <v>0.05</v>
      </c>
      <c r="K425" s="14">
        <v>3</v>
      </c>
      <c r="L425" s="11" t="s">
        <v>604</v>
      </c>
      <c r="M425" s="15" t="s">
        <v>321</v>
      </c>
    </row>
    <row r="426" spans="1:13">
      <c r="A426" s="98">
        <v>43597</v>
      </c>
      <c r="B426" s="11" t="s">
        <v>15</v>
      </c>
      <c r="C426" s="11" t="s">
        <v>212</v>
      </c>
      <c r="D426" s="11" t="s">
        <v>77</v>
      </c>
      <c r="E426" s="11" t="s">
        <v>5</v>
      </c>
      <c r="F426" s="11" t="s">
        <v>78</v>
      </c>
      <c r="G426" s="11" t="s">
        <v>79</v>
      </c>
      <c r="H426" s="12">
        <v>1.01</v>
      </c>
      <c r="I426" s="13"/>
      <c r="J426" s="12">
        <v>0.05</v>
      </c>
      <c r="K426" s="14">
        <v>3</v>
      </c>
      <c r="L426" s="11" t="s">
        <v>604</v>
      </c>
      <c r="M426" s="15" t="s">
        <v>322</v>
      </c>
    </row>
    <row r="427" spans="1:13">
      <c r="A427" s="98">
        <v>43602</v>
      </c>
      <c r="B427" s="11" t="s">
        <v>15</v>
      </c>
      <c r="C427" s="11" t="s">
        <v>212</v>
      </c>
      <c r="D427" s="11" t="s">
        <v>77</v>
      </c>
      <c r="E427" s="11" t="s">
        <v>5</v>
      </c>
      <c r="F427" s="11" t="s">
        <v>78</v>
      </c>
      <c r="G427" s="11" t="s">
        <v>79</v>
      </c>
      <c r="H427" s="12">
        <v>1.53</v>
      </c>
      <c r="I427" s="13"/>
      <c r="J427" s="12">
        <v>0.05</v>
      </c>
      <c r="K427" s="14">
        <v>3</v>
      </c>
      <c r="L427" s="11" t="s">
        <v>604</v>
      </c>
      <c r="M427" s="15" t="s">
        <v>323</v>
      </c>
    </row>
    <row r="428" spans="1:13">
      <c r="A428" s="98">
        <v>43603</v>
      </c>
      <c r="B428" s="11" t="s">
        <v>15</v>
      </c>
      <c r="C428" s="11" t="s">
        <v>212</v>
      </c>
      <c r="D428" s="11" t="s">
        <v>77</v>
      </c>
      <c r="E428" s="11" t="s">
        <v>5</v>
      </c>
      <c r="F428" s="11" t="s">
        <v>78</v>
      </c>
      <c r="G428" s="11" t="s">
        <v>79</v>
      </c>
      <c r="H428" s="12">
        <v>0.68</v>
      </c>
      <c r="I428" s="13"/>
      <c r="J428" s="12">
        <v>0.05</v>
      </c>
      <c r="K428" s="14">
        <v>3</v>
      </c>
      <c r="L428" s="11" t="s">
        <v>604</v>
      </c>
      <c r="M428" s="15" t="s">
        <v>324</v>
      </c>
    </row>
    <row r="429" spans="1:13">
      <c r="A429" s="98">
        <v>43604</v>
      </c>
      <c r="B429" s="11" t="s">
        <v>15</v>
      </c>
      <c r="C429" s="11" t="s">
        <v>212</v>
      </c>
      <c r="D429" s="11" t="s">
        <v>77</v>
      </c>
      <c r="E429" s="11" t="s">
        <v>5</v>
      </c>
      <c r="F429" s="11" t="s">
        <v>78</v>
      </c>
      <c r="G429" s="11" t="s">
        <v>79</v>
      </c>
      <c r="H429" s="12">
        <v>1.07</v>
      </c>
      <c r="I429" s="13"/>
      <c r="J429" s="12">
        <v>0.05</v>
      </c>
      <c r="K429" s="14">
        <v>3</v>
      </c>
      <c r="L429" s="11" t="s">
        <v>604</v>
      </c>
      <c r="M429" s="15" t="s">
        <v>325</v>
      </c>
    </row>
    <row r="430" spans="1:13">
      <c r="A430" s="98">
        <v>43609</v>
      </c>
      <c r="B430" s="11" t="s">
        <v>15</v>
      </c>
      <c r="C430" s="11" t="s">
        <v>212</v>
      </c>
      <c r="D430" s="11" t="s">
        <v>77</v>
      </c>
      <c r="E430" s="11" t="s">
        <v>5</v>
      </c>
      <c r="F430" s="11" t="s">
        <v>78</v>
      </c>
      <c r="G430" s="11" t="s">
        <v>79</v>
      </c>
      <c r="H430" s="12">
        <v>0.72</v>
      </c>
      <c r="I430" s="13"/>
      <c r="J430" s="12">
        <v>0.05</v>
      </c>
      <c r="K430" s="14">
        <v>3</v>
      </c>
      <c r="L430" s="11" t="s">
        <v>604</v>
      </c>
      <c r="M430" s="15" t="s">
        <v>326</v>
      </c>
    </row>
    <row r="431" spans="1:13">
      <c r="A431" s="98">
        <v>43610</v>
      </c>
      <c r="B431" s="11" t="s">
        <v>15</v>
      </c>
      <c r="C431" s="11" t="s">
        <v>212</v>
      </c>
      <c r="D431" s="11" t="s">
        <v>77</v>
      </c>
      <c r="E431" s="11" t="s">
        <v>5</v>
      </c>
      <c r="F431" s="11" t="s">
        <v>78</v>
      </c>
      <c r="G431" s="11" t="s">
        <v>79</v>
      </c>
      <c r="H431" s="12">
        <v>0.72</v>
      </c>
      <c r="I431" s="13"/>
      <c r="J431" s="12">
        <v>0.05</v>
      </c>
      <c r="K431" s="14">
        <v>3</v>
      </c>
      <c r="L431" s="11" t="s">
        <v>604</v>
      </c>
      <c r="M431" s="15" t="s">
        <v>327</v>
      </c>
    </row>
    <row r="432" spans="1:13">
      <c r="A432" s="98">
        <v>43611</v>
      </c>
      <c r="B432" s="11" t="s">
        <v>15</v>
      </c>
      <c r="C432" s="11" t="s">
        <v>212</v>
      </c>
      <c r="D432" s="11" t="s">
        <v>77</v>
      </c>
      <c r="E432" s="11" t="s">
        <v>5</v>
      </c>
      <c r="F432" s="11" t="s">
        <v>78</v>
      </c>
      <c r="G432" s="11" t="s">
        <v>79</v>
      </c>
      <c r="H432" s="12">
        <v>0.4</v>
      </c>
      <c r="I432" s="13"/>
      <c r="J432" s="12">
        <v>0.05</v>
      </c>
      <c r="K432" s="14">
        <v>3</v>
      </c>
      <c r="L432" s="11" t="s">
        <v>604</v>
      </c>
      <c r="M432" s="15" t="s">
        <v>328</v>
      </c>
    </row>
    <row r="433" spans="1:13">
      <c r="A433" s="98">
        <v>43616</v>
      </c>
      <c r="B433" s="11" t="s">
        <v>15</v>
      </c>
      <c r="C433" s="11" t="s">
        <v>212</v>
      </c>
      <c r="D433" s="11" t="s">
        <v>77</v>
      </c>
      <c r="E433" s="11" t="s">
        <v>5</v>
      </c>
      <c r="F433" s="11" t="s">
        <v>78</v>
      </c>
      <c r="G433" s="11" t="s">
        <v>79</v>
      </c>
      <c r="H433" s="12">
        <v>1.97</v>
      </c>
      <c r="I433" s="13"/>
      <c r="J433" s="12">
        <v>0.05</v>
      </c>
      <c r="K433" s="14">
        <v>3</v>
      </c>
      <c r="L433" s="11" t="s">
        <v>604</v>
      </c>
      <c r="M433" s="15" t="s">
        <v>329</v>
      </c>
    </row>
    <row r="434" spans="1:13">
      <c r="A434" s="98">
        <v>43617</v>
      </c>
      <c r="B434" s="11" t="s">
        <v>15</v>
      </c>
      <c r="C434" s="11" t="s">
        <v>212</v>
      </c>
      <c r="D434" s="11" t="s">
        <v>77</v>
      </c>
      <c r="E434" s="11" t="s">
        <v>5</v>
      </c>
      <c r="F434" s="11" t="s">
        <v>78</v>
      </c>
      <c r="G434" s="11" t="s">
        <v>79</v>
      </c>
      <c r="H434" s="12">
        <v>0.52</v>
      </c>
      <c r="I434" s="13"/>
      <c r="J434" s="12">
        <v>0.05</v>
      </c>
      <c r="K434" s="14">
        <v>3</v>
      </c>
      <c r="L434" s="11" t="s">
        <v>604</v>
      </c>
      <c r="M434" s="15" t="s">
        <v>330</v>
      </c>
    </row>
    <row r="435" spans="1:13">
      <c r="A435" s="98">
        <v>43619</v>
      </c>
      <c r="B435" s="11" t="s">
        <v>15</v>
      </c>
      <c r="C435" s="11" t="s">
        <v>212</v>
      </c>
      <c r="D435" s="11" t="s">
        <v>77</v>
      </c>
      <c r="E435" s="11" t="s">
        <v>5</v>
      </c>
      <c r="F435" s="11" t="s">
        <v>78</v>
      </c>
      <c r="G435" s="11" t="s">
        <v>79</v>
      </c>
      <c r="H435" s="12">
        <v>1.24</v>
      </c>
      <c r="I435" s="13"/>
      <c r="J435" s="12">
        <v>0.05</v>
      </c>
      <c r="K435" s="14">
        <v>3</v>
      </c>
      <c r="L435" s="11" t="s">
        <v>604</v>
      </c>
      <c r="M435" s="15" t="s">
        <v>331</v>
      </c>
    </row>
    <row r="436" spans="1:13">
      <c r="A436" s="98">
        <v>43623</v>
      </c>
      <c r="B436" s="11" t="s">
        <v>15</v>
      </c>
      <c r="C436" s="11" t="s">
        <v>212</v>
      </c>
      <c r="D436" s="11" t="s">
        <v>77</v>
      </c>
      <c r="E436" s="11" t="s">
        <v>5</v>
      </c>
      <c r="F436" s="11" t="s">
        <v>78</v>
      </c>
      <c r="G436" s="11" t="s">
        <v>79</v>
      </c>
      <c r="H436" s="12">
        <v>1.49</v>
      </c>
      <c r="I436" s="13"/>
      <c r="J436" s="12">
        <v>0.05</v>
      </c>
      <c r="K436" s="14">
        <v>3</v>
      </c>
      <c r="L436" s="11" t="s">
        <v>604</v>
      </c>
      <c r="M436" s="15" t="s">
        <v>332</v>
      </c>
    </row>
    <row r="437" spans="1:13">
      <c r="A437" s="98">
        <v>43624</v>
      </c>
      <c r="B437" s="11" t="s">
        <v>15</v>
      </c>
      <c r="C437" s="11" t="s">
        <v>212</v>
      </c>
      <c r="D437" s="11" t="s">
        <v>77</v>
      </c>
      <c r="E437" s="11" t="s">
        <v>5</v>
      </c>
      <c r="F437" s="11" t="s">
        <v>78</v>
      </c>
      <c r="G437" s="11" t="s">
        <v>79</v>
      </c>
      <c r="H437" s="12">
        <v>1.5</v>
      </c>
      <c r="I437" s="13"/>
      <c r="J437" s="12">
        <v>0.05</v>
      </c>
      <c r="K437" s="14">
        <v>3</v>
      </c>
      <c r="L437" s="11" t="s">
        <v>604</v>
      </c>
      <c r="M437" s="15" t="s">
        <v>333</v>
      </c>
    </row>
    <row r="438" spans="1:13">
      <c r="A438" s="98">
        <v>43626</v>
      </c>
      <c r="B438" s="11" t="s">
        <v>15</v>
      </c>
      <c r="C438" s="11" t="s">
        <v>212</v>
      </c>
      <c r="D438" s="11" t="s">
        <v>77</v>
      </c>
      <c r="E438" s="11" t="s">
        <v>5</v>
      </c>
      <c r="F438" s="11" t="s">
        <v>78</v>
      </c>
      <c r="G438" s="11" t="s">
        <v>79</v>
      </c>
      <c r="H438" s="12">
        <v>1.51</v>
      </c>
      <c r="I438" s="13"/>
      <c r="J438" s="12">
        <v>0.05</v>
      </c>
      <c r="K438" s="14">
        <v>3</v>
      </c>
      <c r="L438" s="11" t="s">
        <v>604</v>
      </c>
      <c r="M438" s="15" t="s">
        <v>334</v>
      </c>
    </row>
    <row r="439" spans="1:13">
      <c r="A439" s="98">
        <v>43630</v>
      </c>
      <c r="B439" s="11" t="s">
        <v>15</v>
      </c>
      <c r="C439" s="11" t="s">
        <v>212</v>
      </c>
      <c r="D439" s="11" t="s">
        <v>77</v>
      </c>
      <c r="E439" s="11" t="s">
        <v>5</v>
      </c>
      <c r="F439" s="11" t="s">
        <v>78</v>
      </c>
      <c r="G439" s="11" t="s">
        <v>79</v>
      </c>
      <c r="H439" s="12">
        <v>1.08</v>
      </c>
      <c r="I439" s="13"/>
      <c r="J439" s="12">
        <v>0.05</v>
      </c>
      <c r="K439" s="14">
        <v>3</v>
      </c>
      <c r="L439" s="11" t="s">
        <v>604</v>
      </c>
      <c r="M439" s="15" t="s">
        <v>335</v>
      </c>
    </row>
    <row r="440" spans="1:13">
      <c r="A440" s="98">
        <v>43631</v>
      </c>
      <c r="B440" s="11" t="s">
        <v>15</v>
      </c>
      <c r="C440" s="11" t="s">
        <v>212</v>
      </c>
      <c r="D440" s="11" t="s">
        <v>77</v>
      </c>
      <c r="E440" s="11" t="s">
        <v>5</v>
      </c>
      <c r="F440" s="11" t="s">
        <v>78</v>
      </c>
      <c r="G440" s="11" t="s">
        <v>79</v>
      </c>
      <c r="H440" s="12">
        <v>1.3</v>
      </c>
      <c r="I440" s="13"/>
      <c r="J440" s="12">
        <v>0.05</v>
      </c>
      <c r="K440" s="14">
        <v>3</v>
      </c>
      <c r="L440" s="11" t="s">
        <v>604</v>
      </c>
      <c r="M440" s="15" t="s">
        <v>336</v>
      </c>
    </row>
    <row r="441" spans="1:13">
      <c r="A441" s="98">
        <v>43633</v>
      </c>
      <c r="B441" s="11" t="s">
        <v>15</v>
      </c>
      <c r="C441" s="11" t="s">
        <v>212</v>
      </c>
      <c r="D441" s="11" t="s">
        <v>77</v>
      </c>
      <c r="E441" s="11" t="s">
        <v>5</v>
      </c>
      <c r="F441" s="11" t="s">
        <v>78</v>
      </c>
      <c r="G441" s="11" t="s">
        <v>79</v>
      </c>
      <c r="H441" s="12">
        <v>1.02</v>
      </c>
      <c r="I441" s="13"/>
      <c r="J441" s="12">
        <v>0.05</v>
      </c>
      <c r="K441" s="14">
        <v>3</v>
      </c>
      <c r="L441" s="11" t="s">
        <v>604</v>
      </c>
      <c r="M441" s="15" t="s">
        <v>337</v>
      </c>
    </row>
    <row r="442" spans="1:13">
      <c r="A442" s="98">
        <v>43637</v>
      </c>
      <c r="B442" s="11" t="s">
        <v>15</v>
      </c>
      <c r="C442" s="11" t="s">
        <v>212</v>
      </c>
      <c r="D442" s="11" t="s">
        <v>77</v>
      </c>
      <c r="E442" s="11" t="s">
        <v>5</v>
      </c>
      <c r="F442" s="11" t="s">
        <v>78</v>
      </c>
      <c r="G442" s="11" t="s">
        <v>79</v>
      </c>
      <c r="H442" s="12">
        <v>2.2799999999999998</v>
      </c>
      <c r="I442" s="13"/>
      <c r="J442" s="12">
        <v>0.05</v>
      </c>
      <c r="K442" s="14">
        <v>3</v>
      </c>
      <c r="L442" s="11" t="s">
        <v>604</v>
      </c>
      <c r="M442" s="15" t="s">
        <v>338</v>
      </c>
    </row>
    <row r="443" spans="1:13">
      <c r="A443" s="98">
        <v>43638</v>
      </c>
      <c r="B443" s="11" t="s">
        <v>15</v>
      </c>
      <c r="C443" s="11" t="s">
        <v>212</v>
      </c>
      <c r="D443" s="11" t="s">
        <v>77</v>
      </c>
      <c r="E443" s="11" t="s">
        <v>5</v>
      </c>
      <c r="F443" s="11" t="s">
        <v>78</v>
      </c>
      <c r="G443" s="11" t="s">
        <v>79</v>
      </c>
      <c r="H443" s="12">
        <v>1.51</v>
      </c>
      <c r="I443" s="13"/>
      <c r="J443" s="12">
        <v>0.05</v>
      </c>
      <c r="K443" s="14">
        <v>3</v>
      </c>
      <c r="L443" s="11" t="s">
        <v>604</v>
      </c>
      <c r="M443" s="15" t="s">
        <v>339</v>
      </c>
    </row>
    <row r="444" spans="1:13">
      <c r="A444" s="98">
        <v>43640</v>
      </c>
      <c r="B444" s="11" t="s">
        <v>15</v>
      </c>
      <c r="C444" s="11" t="s">
        <v>212</v>
      </c>
      <c r="D444" s="11" t="s">
        <v>77</v>
      </c>
      <c r="E444" s="11" t="s">
        <v>5</v>
      </c>
      <c r="F444" s="11" t="s">
        <v>78</v>
      </c>
      <c r="G444" s="11" t="s">
        <v>79</v>
      </c>
      <c r="H444" s="12">
        <v>2.23</v>
      </c>
      <c r="I444" s="13"/>
      <c r="J444" s="12">
        <v>0.05</v>
      </c>
      <c r="K444" s="14">
        <v>3</v>
      </c>
      <c r="L444" s="11" t="s">
        <v>604</v>
      </c>
      <c r="M444" s="15" t="s">
        <v>340</v>
      </c>
    </row>
    <row r="445" spans="1:13">
      <c r="A445" s="98">
        <v>43644</v>
      </c>
      <c r="B445" s="11" t="s">
        <v>15</v>
      </c>
      <c r="C445" s="11" t="s">
        <v>212</v>
      </c>
      <c r="D445" s="11" t="s">
        <v>77</v>
      </c>
      <c r="E445" s="11" t="s">
        <v>5</v>
      </c>
      <c r="F445" s="11" t="s">
        <v>78</v>
      </c>
      <c r="G445" s="11" t="s">
        <v>79</v>
      </c>
      <c r="H445" s="12">
        <v>2.86</v>
      </c>
      <c r="I445" s="13"/>
      <c r="J445" s="12">
        <v>0.05</v>
      </c>
      <c r="K445" s="14">
        <v>3</v>
      </c>
      <c r="L445" s="11" t="s">
        <v>604</v>
      </c>
      <c r="M445" s="15" t="s">
        <v>341</v>
      </c>
    </row>
    <row r="446" spans="1:13">
      <c r="A446" s="98">
        <v>43645</v>
      </c>
      <c r="B446" s="11" t="s">
        <v>15</v>
      </c>
      <c r="C446" s="11" t="s">
        <v>212</v>
      </c>
      <c r="D446" s="11" t="s">
        <v>77</v>
      </c>
      <c r="E446" s="11" t="s">
        <v>5</v>
      </c>
      <c r="F446" s="11" t="s">
        <v>78</v>
      </c>
      <c r="G446" s="11" t="s">
        <v>79</v>
      </c>
      <c r="H446" s="12">
        <v>2.74</v>
      </c>
      <c r="I446" s="13"/>
      <c r="J446" s="12">
        <v>0.05</v>
      </c>
      <c r="K446" s="14">
        <v>3</v>
      </c>
      <c r="L446" s="11" t="s">
        <v>604</v>
      </c>
      <c r="M446" s="15" t="s">
        <v>342</v>
      </c>
    </row>
    <row r="447" spans="1:13">
      <c r="A447" s="98">
        <v>43647</v>
      </c>
      <c r="B447" s="11" t="s">
        <v>15</v>
      </c>
      <c r="C447" s="11" t="s">
        <v>212</v>
      </c>
      <c r="D447" s="11" t="s">
        <v>77</v>
      </c>
      <c r="E447" s="11" t="s">
        <v>5</v>
      </c>
      <c r="F447" s="11" t="s">
        <v>78</v>
      </c>
      <c r="G447" s="11" t="s">
        <v>79</v>
      </c>
      <c r="H447" s="12">
        <v>2.64</v>
      </c>
      <c r="I447" s="13"/>
      <c r="J447" s="12">
        <v>0.05</v>
      </c>
      <c r="K447" s="14">
        <v>3</v>
      </c>
      <c r="L447" s="11" t="s">
        <v>604</v>
      </c>
      <c r="M447" s="15" t="s">
        <v>630</v>
      </c>
    </row>
    <row r="448" spans="1:13">
      <c r="A448" s="98">
        <v>43651</v>
      </c>
      <c r="B448" s="11" t="s">
        <v>15</v>
      </c>
      <c r="C448" s="11" t="s">
        <v>212</v>
      </c>
      <c r="D448" s="11" t="s">
        <v>77</v>
      </c>
      <c r="E448" s="11" t="s">
        <v>5</v>
      </c>
      <c r="F448" s="11" t="s">
        <v>78</v>
      </c>
      <c r="G448" s="11" t="s">
        <v>79</v>
      </c>
      <c r="H448" s="12">
        <v>1.1499999999999999</v>
      </c>
      <c r="I448" s="13"/>
      <c r="J448" s="12">
        <v>0.05</v>
      </c>
      <c r="K448" s="14">
        <v>3</v>
      </c>
      <c r="L448" s="11" t="s">
        <v>604</v>
      </c>
      <c r="M448" s="15" t="s">
        <v>631</v>
      </c>
    </row>
    <row r="449" spans="1:13">
      <c r="A449" s="98">
        <v>43652</v>
      </c>
      <c r="B449" s="11" t="s">
        <v>15</v>
      </c>
      <c r="C449" s="11" t="s">
        <v>212</v>
      </c>
      <c r="D449" s="11" t="s">
        <v>77</v>
      </c>
      <c r="E449" s="11" t="s">
        <v>5</v>
      </c>
      <c r="F449" s="11" t="s">
        <v>78</v>
      </c>
      <c r="G449" s="11" t="s">
        <v>79</v>
      </c>
      <c r="H449" s="12">
        <v>1.92</v>
      </c>
      <c r="I449" s="13"/>
      <c r="J449" s="12">
        <v>0.05</v>
      </c>
      <c r="K449" s="14">
        <v>3</v>
      </c>
      <c r="L449" s="11" t="s">
        <v>604</v>
      </c>
      <c r="M449" s="15" t="s">
        <v>632</v>
      </c>
    </row>
    <row r="450" spans="1:13">
      <c r="A450" s="98">
        <v>43653</v>
      </c>
      <c r="B450" s="11" t="s">
        <v>15</v>
      </c>
      <c r="C450" s="11" t="s">
        <v>212</v>
      </c>
      <c r="D450" s="11" t="s">
        <v>77</v>
      </c>
      <c r="E450" s="11" t="s">
        <v>5</v>
      </c>
      <c r="F450" s="11" t="s">
        <v>78</v>
      </c>
      <c r="G450" s="11" t="s">
        <v>79</v>
      </c>
      <c r="H450" s="12">
        <v>1.89</v>
      </c>
      <c r="I450" s="13"/>
      <c r="J450" s="12">
        <v>0.05</v>
      </c>
      <c r="K450" s="14">
        <v>3</v>
      </c>
      <c r="L450" s="11" t="s">
        <v>604</v>
      </c>
      <c r="M450" s="15" t="s">
        <v>633</v>
      </c>
    </row>
    <row r="451" spans="1:13">
      <c r="A451" s="98">
        <v>43654</v>
      </c>
      <c r="B451" s="11" t="s">
        <v>15</v>
      </c>
      <c r="C451" s="11" t="s">
        <v>212</v>
      </c>
      <c r="D451" s="11" t="s">
        <v>77</v>
      </c>
      <c r="E451" s="11" t="s">
        <v>5</v>
      </c>
      <c r="F451" s="11" t="s">
        <v>78</v>
      </c>
      <c r="G451" s="11" t="s">
        <v>79</v>
      </c>
      <c r="H451" s="12">
        <v>1.88</v>
      </c>
      <c r="I451" s="13"/>
      <c r="J451" s="12">
        <v>0.05</v>
      </c>
      <c r="K451" s="14">
        <v>3</v>
      </c>
      <c r="L451" s="11" t="s">
        <v>604</v>
      </c>
      <c r="M451" s="15" t="s">
        <v>634</v>
      </c>
    </row>
    <row r="452" spans="1:13">
      <c r="A452" s="98">
        <v>43656</v>
      </c>
      <c r="B452" s="11" t="s">
        <v>15</v>
      </c>
      <c r="C452" s="11" t="s">
        <v>212</v>
      </c>
      <c r="D452" s="11" t="s">
        <v>77</v>
      </c>
      <c r="E452" s="11" t="s">
        <v>5</v>
      </c>
      <c r="F452" s="11" t="s">
        <v>78</v>
      </c>
      <c r="G452" s="11" t="s">
        <v>79</v>
      </c>
      <c r="H452" s="12">
        <v>2.56</v>
      </c>
      <c r="I452" s="13"/>
      <c r="J452" s="12">
        <v>0.05</v>
      </c>
      <c r="K452" s="14">
        <v>3</v>
      </c>
      <c r="L452" s="11" t="s">
        <v>604</v>
      </c>
      <c r="M452" s="15" t="s">
        <v>635</v>
      </c>
    </row>
    <row r="453" spans="1:13">
      <c r="A453" s="98">
        <v>43660</v>
      </c>
      <c r="B453" s="11" t="s">
        <v>15</v>
      </c>
      <c r="C453" s="11" t="s">
        <v>212</v>
      </c>
      <c r="D453" s="11" t="s">
        <v>77</v>
      </c>
      <c r="E453" s="11" t="s">
        <v>5</v>
      </c>
      <c r="F453" s="11" t="s">
        <v>78</v>
      </c>
      <c r="G453" s="11" t="s">
        <v>79</v>
      </c>
      <c r="H453" s="12">
        <v>2.08</v>
      </c>
      <c r="I453" s="13"/>
      <c r="J453" s="12">
        <v>0.05</v>
      </c>
      <c r="K453" s="14">
        <v>3</v>
      </c>
      <c r="L453" s="11" t="s">
        <v>604</v>
      </c>
      <c r="M453" s="15" t="s">
        <v>636</v>
      </c>
    </row>
    <row r="454" spans="1:13">
      <c r="A454" s="98">
        <v>43661</v>
      </c>
      <c r="B454" s="11" t="s">
        <v>15</v>
      </c>
      <c r="C454" s="11" t="s">
        <v>212</v>
      </c>
      <c r="D454" s="11" t="s">
        <v>77</v>
      </c>
      <c r="E454" s="11" t="s">
        <v>5</v>
      </c>
      <c r="F454" s="11" t="s">
        <v>78</v>
      </c>
      <c r="G454" s="11" t="s">
        <v>79</v>
      </c>
      <c r="H454" s="12">
        <v>2.2400000000000002</v>
      </c>
      <c r="I454" s="13"/>
      <c r="J454" s="12">
        <v>0.05</v>
      </c>
      <c r="K454" s="14">
        <v>3</v>
      </c>
      <c r="L454" s="11" t="s">
        <v>604</v>
      </c>
      <c r="M454" s="15" t="s">
        <v>637</v>
      </c>
    </row>
    <row r="455" spans="1:13">
      <c r="A455" s="98">
        <v>43663</v>
      </c>
      <c r="B455" s="11" t="s">
        <v>15</v>
      </c>
      <c r="C455" s="11" t="s">
        <v>212</v>
      </c>
      <c r="D455" s="11" t="s">
        <v>77</v>
      </c>
      <c r="E455" s="11" t="s">
        <v>5</v>
      </c>
      <c r="F455" s="11" t="s">
        <v>78</v>
      </c>
      <c r="G455" s="11" t="s">
        <v>79</v>
      </c>
      <c r="H455" s="12">
        <v>0</v>
      </c>
      <c r="I455" s="13"/>
      <c r="J455" s="12">
        <v>0.05</v>
      </c>
      <c r="K455" s="14">
        <v>3</v>
      </c>
      <c r="L455" s="11" t="s">
        <v>604</v>
      </c>
      <c r="M455" s="15" t="s">
        <v>638</v>
      </c>
    </row>
    <row r="456" spans="1:13">
      <c r="A456" s="98">
        <v>43667</v>
      </c>
      <c r="B456" s="11" t="s">
        <v>15</v>
      </c>
      <c r="C456" s="11" t="s">
        <v>212</v>
      </c>
      <c r="D456" s="11" t="s">
        <v>77</v>
      </c>
      <c r="E456" s="11" t="s">
        <v>5</v>
      </c>
      <c r="F456" s="11" t="s">
        <v>78</v>
      </c>
      <c r="G456" s="11" t="s">
        <v>79</v>
      </c>
      <c r="H456" s="12">
        <v>0.09</v>
      </c>
      <c r="I456" s="13"/>
      <c r="J456" s="12">
        <v>0.05</v>
      </c>
      <c r="K456" s="14">
        <v>3</v>
      </c>
      <c r="L456" s="11" t="s">
        <v>604</v>
      </c>
      <c r="M456" s="15" t="s">
        <v>639</v>
      </c>
    </row>
    <row r="457" spans="1:13">
      <c r="A457" s="98">
        <v>43668</v>
      </c>
      <c r="B457" s="11" t="s">
        <v>15</v>
      </c>
      <c r="C457" s="11" t="s">
        <v>212</v>
      </c>
      <c r="D457" s="11" t="s">
        <v>77</v>
      </c>
      <c r="E457" s="11" t="s">
        <v>5</v>
      </c>
      <c r="F457" s="11" t="s">
        <v>78</v>
      </c>
      <c r="G457" s="11" t="s">
        <v>79</v>
      </c>
      <c r="H457" s="12">
        <v>0</v>
      </c>
      <c r="I457" s="13"/>
      <c r="J457" s="12">
        <v>0.05</v>
      </c>
      <c r="K457" s="14">
        <v>3</v>
      </c>
      <c r="L457" s="11" t="s">
        <v>604</v>
      </c>
      <c r="M457" s="15" t="s">
        <v>640</v>
      </c>
    </row>
    <row r="458" spans="1:13">
      <c r="A458" s="98">
        <v>43670</v>
      </c>
      <c r="B458" s="11" t="s">
        <v>15</v>
      </c>
      <c r="C458" s="11" t="s">
        <v>212</v>
      </c>
      <c r="D458" s="11" t="s">
        <v>77</v>
      </c>
      <c r="E458" s="11" t="s">
        <v>5</v>
      </c>
      <c r="F458" s="11" t="s">
        <v>78</v>
      </c>
      <c r="G458" s="11" t="s">
        <v>79</v>
      </c>
      <c r="H458" s="12">
        <v>0</v>
      </c>
      <c r="I458" s="13"/>
      <c r="J458" s="12">
        <v>0.05</v>
      </c>
      <c r="K458" s="14">
        <v>3</v>
      </c>
      <c r="L458" s="11" t="s">
        <v>604</v>
      </c>
      <c r="M458" s="15" t="s">
        <v>641</v>
      </c>
    </row>
    <row r="459" spans="1:13">
      <c r="A459" s="98">
        <v>43674</v>
      </c>
      <c r="B459" s="11" t="s">
        <v>15</v>
      </c>
      <c r="C459" s="11" t="s">
        <v>212</v>
      </c>
      <c r="D459" s="11" t="s">
        <v>77</v>
      </c>
      <c r="E459" s="11" t="s">
        <v>5</v>
      </c>
      <c r="F459" s="11" t="s">
        <v>78</v>
      </c>
      <c r="G459" s="11" t="s">
        <v>79</v>
      </c>
      <c r="H459" s="12">
        <v>0.13</v>
      </c>
      <c r="I459" s="13"/>
      <c r="J459" s="12">
        <v>0.05</v>
      </c>
      <c r="K459" s="14">
        <v>3</v>
      </c>
      <c r="L459" s="11" t="s">
        <v>604</v>
      </c>
      <c r="M459" s="15" t="s">
        <v>642</v>
      </c>
    </row>
    <row r="460" spans="1:13">
      <c r="A460" s="98">
        <v>43675</v>
      </c>
      <c r="B460" s="11" t="s">
        <v>15</v>
      </c>
      <c r="C460" s="11" t="s">
        <v>212</v>
      </c>
      <c r="D460" s="11" t="s">
        <v>77</v>
      </c>
      <c r="E460" s="11" t="s">
        <v>5</v>
      </c>
      <c r="F460" s="11" t="s">
        <v>78</v>
      </c>
      <c r="G460" s="11" t="s">
        <v>79</v>
      </c>
      <c r="H460" s="12">
        <v>0.13</v>
      </c>
      <c r="I460" s="13"/>
      <c r="J460" s="12">
        <v>0.05</v>
      </c>
      <c r="K460" s="14">
        <v>3</v>
      </c>
      <c r="L460" s="11" t="s">
        <v>604</v>
      </c>
      <c r="M460" s="15" t="s">
        <v>643</v>
      </c>
    </row>
    <row r="461" spans="1:13">
      <c r="A461" s="98">
        <v>43677</v>
      </c>
      <c r="B461" s="11" t="s">
        <v>15</v>
      </c>
      <c r="C461" s="11" t="s">
        <v>212</v>
      </c>
      <c r="D461" s="11" t="s">
        <v>77</v>
      </c>
      <c r="E461" s="11" t="s">
        <v>5</v>
      </c>
      <c r="F461" s="11" t="s">
        <v>78</v>
      </c>
      <c r="G461" s="11" t="s">
        <v>79</v>
      </c>
      <c r="H461" s="12">
        <v>0.36</v>
      </c>
      <c r="I461" s="13"/>
      <c r="J461" s="12">
        <v>0.05</v>
      </c>
      <c r="K461" s="14">
        <v>3</v>
      </c>
      <c r="L461" s="11" t="s">
        <v>604</v>
      </c>
      <c r="M461" s="15" t="s">
        <v>644</v>
      </c>
    </row>
    <row r="462" spans="1:13">
      <c r="A462" s="98">
        <v>43681</v>
      </c>
      <c r="B462" s="11" t="s">
        <v>15</v>
      </c>
      <c r="C462" s="11" t="s">
        <v>212</v>
      </c>
      <c r="D462" s="11" t="s">
        <v>77</v>
      </c>
      <c r="E462" s="11" t="s">
        <v>5</v>
      </c>
      <c r="F462" s="11" t="s">
        <v>78</v>
      </c>
      <c r="G462" s="11" t="s">
        <v>79</v>
      </c>
      <c r="H462" s="12">
        <v>0.6</v>
      </c>
      <c r="I462" s="13"/>
      <c r="J462" s="12">
        <v>0.05</v>
      </c>
      <c r="K462" s="14">
        <v>3</v>
      </c>
      <c r="L462" s="11" t="s">
        <v>604</v>
      </c>
      <c r="M462" s="15" t="s">
        <v>688</v>
      </c>
    </row>
    <row r="463" spans="1:13">
      <c r="A463" s="98">
        <v>43682</v>
      </c>
      <c r="B463" s="11" t="s">
        <v>15</v>
      </c>
      <c r="C463" s="11" t="s">
        <v>212</v>
      </c>
      <c r="D463" s="11" t="s">
        <v>77</v>
      </c>
      <c r="E463" s="11" t="s">
        <v>5</v>
      </c>
      <c r="F463" s="11" t="s">
        <v>78</v>
      </c>
      <c r="G463" s="11" t="s">
        <v>79</v>
      </c>
      <c r="H463" s="12">
        <v>0.83</v>
      </c>
      <c r="I463" s="13"/>
      <c r="J463" s="12">
        <v>0.05</v>
      </c>
      <c r="K463" s="14">
        <v>3</v>
      </c>
      <c r="L463" s="11" t="s">
        <v>604</v>
      </c>
      <c r="M463" s="15" t="s">
        <v>689</v>
      </c>
    </row>
    <row r="464" spans="1:13">
      <c r="A464" s="98">
        <v>43684</v>
      </c>
      <c r="B464" s="11" t="s">
        <v>15</v>
      </c>
      <c r="C464" s="11" t="s">
        <v>212</v>
      </c>
      <c r="D464" s="11" t="s">
        <v>77</v>
      </c>
      <c r="E464" s="11" t="s">
        <v>5</v>
      </c>
      <c r="F464" s="11" t="s">
        <v>78</v>
      </c>
      <c r="G464" s="11" t="s">
        <v>79</v>
      </c>
      <c r="H464" s="12">
        <v>0.73</v>
      </c>
      <c r="I464" s="13"/>
      <c r="J464" s="12">
        <v>0.05</v>
      </c>
      <c r="K464" s="14">
        <v>3</v>
      </c>
      <c r="L464" s="11" t="s">
        <v>604</v>
      </c>
      <c r="M464" s="15" t="s">
        <v>690</v>
      </c>
    </row>
    <row r="465" spans="1:13">
      <c r="A465" s="98">
        <v>43688</v>
      </c>
      <c r="B465" s="11" t="s">
        <v>15</v>
      </c>
      <c r="C465" s="11" t="s">
        <v>212</v>
      </c>
      <c r="D465" s="11" t="s">
        <v>77</v>
      </c>
      <c r="E465" s="11" t="s">
        <v>5</v>
      </c>
      <c r="F465" s="11" t="s">
        <v>78</v>
      </c>
      <c r="G465" s="11" t="s">
        <v>79</v>
      </c>
      <c r="H465" s="12">
        <v>0.57999999999999996</v>
      </c>
      <c r="I465" s="13"/>
      <c r="J465" s="12">
        <v>0.05</v>
      </c>
      <c r="K465" s="14">
        <v>3</v>
      </c>
      <c r="L465" s="11" t="s">
        <v>604</v>
      </c>
      <c r="M465" s="15" t="s">
        <v>691</v>
      </c>
    </row>
    <row r="466" spans="1:13">
      <c r="A466" s="98">
        <v>43692</v>
      </c>
      <c r="B466" s="11" t="s">
        <v>15</v>
      </c>
      <c r="C466" s="11" t="s">
        <v>212</v>
      </c>
      <c r="D466" s="11" t="s">
        <v>77</v>
      </c>
      <c r="E466" s="11" t="s">
        <v>5</v>
      </c>
      <c r="F466" s="11" t="s">
        <v>78</v>
      </c>
      <c r="G466" s="11" t="s">
        <v>79</v>
      </c>
      <c r="H466" s="12">
        <v>1.1599999999999999</v>
      </c>
      <c r="I466" s="13"/>
      <c r="J466" s="12">
        <v>0.05</v>
      </c>
      <c r="K466" s="14">
        <v>3</v>
      </c>
      <c r="L466" s="11" t="s">
        <v>604</v>
      </c>
      <c r="M466" s="15" t="s">
        <v>692</v>
      </c>
    </row>
    <row r="467" spans="1:13">
      <c r="A467" s="98">
        <v>43693</v>
      </c>
      <c r="B467" s="11" t="s">
        <v>15</v>
      </c>
      <c r="C467" s="11" t="s">
        <v>212</v>
      </c>
      <c r="D467" s="11" t="s">
        <v>77</v>
      </c>
      <c r="E467" s="11" t="s">
        <v>5</v>
      </c>
      <c r="F467" s="11" t="s">
        <v>78</v>
      </c>
      <c r="G467" s="11" t="s">
        <v>79</v>
      </c>
      <c r="H467" s="12">
        <v>1.48</v>
      </c>
      <c r="I467" s="13"/>
      <c r="J467" s="12">
        <v>0.05</v>
      </c>
      <c r="K467" s="14">
        <v>3</v>
      </c>
      <c r="L467" s="11" t="s">
        <v>604</v>
      </c>
      <c r="M467" s="15" t="s">
        <v>693</v>
      </c>
    </row>
    <row r="468" spans="1:13">
      <c r="A468" s="98">
        <v>43695</v>
      </c>
      <c r="B468" s="11" t="s">
        <v>15</v>
      </c>
      <c r="C468" s="11" t="s">
        <v>212</v>
      </c>
      <c r="D468" s="11" t="s">
        <v>77</v>
      </c>
      <c r="E468" s="11" t="s">
        <v>5</v>
      </c>
      <c r="F468" s="11" t="s">
        <v>78</v>
      </c>
      <c r="G468" s="11" t="s">
        <v>79</v>
      </c>
      <c r="H468" s="12">
        <v>1.4</v>
      </c>
      <c r="I468" s="13"/>
      <c r="J468" s="12">
        <v>0.05</v>
      </c>
      <c r="K468" s="14">
        <v>3</v>
      </c>
      <c r="L468" s="11" t="s">
        <v>604</v>
      </c>
      <c r="M468" s="15" t="s">
        <v>694</v>
      </c>
    </row>
    <row r="469" spans="1:13">
      <c r="A469" s="98">
        <v>43699</v>
      </c>
      <c r="B469" s="11" t="s">
        <v>15</v>
      </c>
      <c r="C469" s="11" t="s">
        <v>212</v>
      </c>
      <c r="D469" s="11" t="s">
        <v>77</v>
      </c>
      <c r="E469" s="11" t="s">
        <v>5</v>
      </c>
      <c r="F469" s="11" t="s">
        <v>78</v>
      </c>
      <c r="G469" s="11" t="s">
        <v>79</v>
      </c>
      <c r="H469" s="12">
        <v>0.19</v>
      </c>
      <c r="I469" s="13"/>
      <c r="J469" s="12">
        <v>0.05</v>
      </c>
      <c r="K469" s="14">
        <v>3</v>
      </c>
      <c r="L469" s="11" t="s">
        <v>604</v>
      </c>
      <c r="M469" s="15" t="s">
        <v>695</v>
      </c>
    </row>
    <row r="470" spans="1:13">
      <c r="A470" s="98">
        <v>43700</v>
      </c>
      <c r="B470" s="11" t="s">
        <v>15</v>
      </c>
      <c r="C470" s="11" t="s">
        <v>212</v>
      </c>
      <c r="D470" s="11" t="s">
        <v>77</v>
      </c>
      <c r="E470" s="11" t="s">
        <v>5</v>
      </c>
      <c r="F470" s="11" t="s">
        <v>78</v>
      </c>
      <c r="G470" s="11" t="s">
        <v>79</v>
      </c>
      <c r="H470" s="12">
        <v>0.71</v>
      </c>
      <c r="I470" s="13"/>
      <c r="J470" s="12">
        <v>0.05</v>
      </c>
      <c r="K470" s="14">
        <v>3</v>
      </c>
      <c r="L470" s="11" t="s">
        <v>604</v>
      </c>
      <c r="M470" s="15" t="s">
        <v>696</v>
      </c>
    </row>
    <row r="471" spans="1:13">
      <c r="A471" s="98">
        <v>43702</v>
      </c>
      <c r="B471" s="11" t="s">
        <v>15</v>
      </c>
      <c r="C471" s="11" t="s">
        <v>212</v>
      </c>
      <c r="D471" s="11" t="s">
        <v>77</v>
      </c>
      <c r="E471" s="11" t="s">
        <v>5</v>
      </c>
      <c r="F471" s="11" t="s">
        <v>78</v>
      </c>
      <c r="G471" s="11" t="s">
        <v>79</v>
      </c>
      <c r="H471" s="12">
        <v>1.65</v>
      </c>
      <c r="I471" s="13"/>
      <c r="J471" s="12">
        <v>0.05</v>
      </c>
      <c r="K471" s="14">
        <v>3</v>
      </c>
      <c r="L471" s="11" t="s">
        <v>604</v>
      </c>
      <c r="M471" s="15" t="s">
        <v>697</v>
      </c>
    </row>
    <row r="472" spans="1:13">
      <c r="A472" s="98">
        <v>43706</v>
      </c>
      <c r="B472" s="11" t="s">
        <v>15</v>
      </c>
      <c r="C472" s="11" t="s">
        <v>212</v>
      </c>
      <c r="D472" s="11" t="s">
        <v>77</v>
      </c>
      <c r="E472" s="11" t="s">
        <v>5</v>
      </c>
      <c r="F472" s="11" t="s">
        <v>78</v>
      </c>
      <c r="G472" s="11" t="s">
        <v>79</v>
      </c>
      <c r="H472" s="12">
        <v>0.86</v>
      </c>
      <c r="I472" s="13"/>
      <c r="J472" s="12">
        <v>0.05</v>
      </c>
      <c r="K472" s="14">
        <v>3</v>
      </c>
      <c r="L472" s="11" t="s">
        <v>604</v>
      </c>
      <c r="M472" s="15" t="s">
        <v>698</v>
      </c>
    </row>
    <row r="473" spans="1:13">
      <c r="A473" s="98">
        <v>43707</v>
      </c>
      <c r="B473" s="11" t="s">
        <v>15</v>
      </c>
      <c r="C473" s="11" t="s">
        <v>212</v>
      </c>
      <c r="D473" s="11" t="s">
        <v>77</v>
      </c>
      <c r="E473" s="11" t="s">
        <v>5</v>
      </c>
      <c r="F473" s="11" t="s">
        <v>78</v>
      </c>
      <c r="G473" s="11" t="s">
        <v>79</v>
      </c>
      <c r="H473" s="12">
        <v>1.88</v>
      </c>
      <c r="I473" s="13"/>
      <c r="J473" s="12">
        <v>0.05</v>
      </c>
      <c r="K473" s="14">
        <v>3</v>
      </c>
      <c r="L473" s="11" t="s">
        <v>604</v>
      </c>
      <c r="M473" s="15" t="s">
        <v>699</v>
      </c>
    </row>
    <row r="474" spans="1:13">
      <c r="A474" s="98">
        <v>43346</v>
      </c>
      <c r="B474" s="11" t="s">
        <v>15</v>
      </c>
      <c r="C474" s="11" t="s">
        <v>212</v>
      </c>
      <c r="D474" s="11" t="s">
        <v>209</v>
      </c>
      <c r="E474" s="11" t="s">
        <v>7</v>
      </c>
      <c r="F474" s="11" t="s">
        <v>78</v>
      </c>
      <c r="G474" s="11" t="s">
        <v>79</v>
      </c>
      <c r="H474" s="12">
        <v>6.12</v>
      </c>
      <c r="I474" s="13"/>
      <c r="J474" s="12">
        <v>0.02</v>
      </c>
      <c r="K474" s="14">
        <v>3</v>
      </c>
      <c r="L474" s="11" t="s">
        <v>605</v>
      </c>
      <c r="M474" s="15" t="s">
        <v>213</v>
      </c>
    </row>
    <row r="475" spans="1:13">
      <c r="A475" s="98">
        <v>43347</v>
      </c>
      <c r="B475" s="11" t="s">
        <v>15</v>
      </c>
      <c r="C475" s="11" t="s">
        <v>212</v>
      </c>
      <c r="D475" s="11" t="s">
        <v>209</v>
      </c>
      <c r="E475" s="11" t="s">
        <v>7</v>
      </c>
      <c r="F475" s="11" t="s">
        <v>78</v>
      </c>
      <c r="G475" s="11" t="s">
        <v>79</v>
      </c>
      <c r="H475" s="12">
        <v>5.18</v>
      </c>
      <c r="I475" s="13"/>
      <c r="J475" s="12">
        <v>0.02</v>
      </c>
      <c r="K475" s="14">
        <v>3</v>
      </c>
      <c r="L475" s="11" t="s">
        <v>605</v>
      </c>
      <c r="M475" s="15" t="s">
        <v>214</v>
      </c>
    </row>
    <row r="476" spans="1:13">
      <c r="A476" s="98">
        <v>43348</v>
      </c>
      <c r="B476" s="11" t="s">
        <v>15</v>
      </c>
      <c r="C476" s="11" t="s">
        <v>212</v>
      </c>
      <c r="D476" s="11" t="s">
        <v>209</v>
      </c>
      <c r="E476" s="11" t="s">
        <v>7</v>
      </c>
      <c r="F476" s="11" t="s">
        <v>78</v>
      </c>
      <c r="G476" s="11" t="s">
        <v>79</v>
      </c>
      <c r="H476" s="12">
        <v>5.01</v>
      </c>
      <c r="I476" s="13"/>
      <c r="J476" s="12">
        <v>0.02</v>
      </c>
      <c r="K476" s="14">
        <v>3</v>
      </c>
      <c r="L476" s="11" t="s">
        <v>605</v>
      </c>
      <c r="M476" s="15" t="s">
        <v>215</v>
      </c>
    </row>
    <row r="477" spans="1:13">
      <c r="A477" s="98">
        <v>43353</v>
      </c>
      <c r="B477" s="11" t="s">
        <v>15</v>
      </c>
      <c r="C477" s="11" t="s">
        <v>212</v>
      </c>
      <c r="D477" s="11" t="s">
        <v>209</v>
      </c>
      <c r="E477" s="11" t="s">
        <v>7</v>
      </c>
      <c r="F477" s="11" t="s">
        <v>78</v>
      </c>
      <c r="G477" s="11" t="s">
        <v>79</v>
      </c>
      <c r="H477" s="12">
        <v>5.22</v>
      </c>
      <c r="I477" s="13"/>
      <c r="J477" s="12">
        <v>0.02</v>
      </c>
      <c r="K477" s="14">
        <v>3</v>
      </c>
      <c r="L477" s="11" t="s">
        <v>605</v>
      </c>
      <c r="M477" s="15" t="s">
        <v>216</v>
      </c>
    </row>
    <row r="478" spans="1:13">
      <c r="A478" s="98">
        <v>43354</v>
      </c>
      <c r="B478" s="11" t="s">
        <v>15</v>
      </c>
      <c r="C478" s="11" t="s">
        <v>212</v>
      </c>
      <c r="D478" s="11" t="s">
        <v>209</v>
      </c>
      <c r="E478" s="11" t="s">
        <v>7</v>
      </c>
      <c r="F478" s="11" t="s">
        <v>78</v>
      </c>
      <c r="G478" s="11" t="s">
        <v>79</v>
      </c>
      <c r="H478" s="12">
        <v>5.16</v>
      </c>
      <c r="I478" s="13"/>
      <c r="J478" s="12">
        <v>0.02</v>
      </c>
      <c r="K478" s="14">
        <v>3</v>
      </c>
      <c r="L478" s="11" t="s">
        <v>605</v>
      </c>
      <c r="M478" s="15" t="s">
        <v>217</v>
      </c>
    </row>
    <row r="479" spans="1:13">
      <c r="A479" s="98">
        <v>43355</v>
      </c>
      <c r="B479" s="11" t="s">
        <v>15</v>
      </c>
      <c r="C479" s="11" t="s">
        <v>212</v>
      </c>
      <c r="D479" s="11" t="s">
        <v>209</v>
      </c>
      <c r="E479" s="11" t="s">
        <v>7</v>
      </c>
      <c r="F479" s="11" t="s">
        <v>78</v>
      </c>
      <c r="G479" s="11" t="s">
        <v>79</v>
      </c>
      <c r="H479" s="12">
        <v>5.63</v>
      </c>
      <c r="I479" s="13"/>
      <c r="J479" s="12">
        <v>0.02</v>
      </c>
      <c r="K479" s="14">
        <v>3</v>
      </c>
      <c r="L479" s="11" t="s">
        <v>605</v>
      </c>
      <c r="M479" s="15" t="s">
        <v>218</v>
      </c>
    </row>
    <row r="480" spans="1:13">
      <c r="A480" s="98">
        <v>43360</v>
      </c>
      <c r="B480" s="11" t="s">
        <v>15</v>
      </c>
      <c r="C480" s="11" t="s">
        <v>212</v>
      </c>
      <c r="D480" s="11" t="s">
        <v>209</v>
      </c>
      <c r="E480" s="11" t="s">
        <v>7</v>
      </c>
      <c r="F480" s="11" t="s">
        <v>78</v>
      </c>
      <c r="G480" s="11" t="s">
        <v>79</v>
      </c>
      <c r="H480" s="12">
        <v>4.95</v>
      </c>
      <c r="I480" s="13"/>
      <c r="J480" s="12">
        <v>0.02</v>
      </c>
      <c r="K480" s="14">
        <v>3</v>
      </c>
      <c r="L480" s="11" t="s">
        <v>605</v>
      </c>
      <c r="M480" s="15" t="s">
        <v>219</v>
      </c>
    </row>
    <row r="481" spans="1:13">
      <c r="A481" s="98">
        <v>43361</v>
      </c>
      <c r="B481" s="11" t="s">
        <v>15</v>
      </c>
      <c r="C481" s="11" t="s">
        <v>212</v>
      </c>
      <c r="D481" s="11" t="s">
        <v>209</v>
      </c>
      <c r="E481" s="11" t="s">
        <v>7</v>
      </c>
      <c r="F481" s="11" t="s">
        <v>78</v>
      </c>
      <c r="G481" s="11" t="s">
        <v>79</v>
      </c>
      <c r="H481" s="12">
        <v>5.71</v>
      </c>
      <c r="I481" s="13"/>
      <c r="J481" s="12">
        <v>0.06</v>
      </c>
      <c r="K481" s="14">
        <v>3</v>
      </c>
      <c r="L481" s="11" t="s">
        <v>607</v>
      </c>
      <c r="M481" s="15" t="s">
        <v>220</v>
      </c>
    </row>
    <row r="482" spans="1:13">
      <c r="A482" s="98">
        <v>43362</v>
      </c>
      <c r="B482" s="11" t="s">
        <v>15</v>
      </c>
      <c r="C482" s="11" t="s">
        <v>212</v>
      </c>
      <c r="D482" s="11" t="s">
        <v>209</v>
      </c>
      <c r="E482" s="11" t="s">
        <v>7</v>
      </c>
      <c r="F482" s="11" t="s">
        <v>78</v>
      </c>
      <c r="G482" s="11" t="s">
        <v>79</v>
      </c>
      <c r="H482" s="12">
        <v>5.1100000000000003</v>
      </c>
      <c r="I482" s="13"/>
      <c r="J482" s="12">
        <v>0.02</v>
      </c>
      <c r="K482" s="14">
        <v>3</v>
      </c>
      <c r="L482" s="11" t="s">
        <v>605</v>
      </c>
      <c r="M482" s="15" t="s">
        <v>221</v>
      </c>
    </row>
    <row r="483" spans="1:13">
      <c r="A483" s="98">
        <v>43367</v>
      </c>
      <c r="B483" s="11" t="s">
        <v>15</v>
      </c>
      <c r="C483" s="11" t="s">
        <v>212</v>
      </c>
      <c r="D483" s="11" t="s">
        <v>209</v>
      </c>
      <c r="E483" s="11" t="s">
        <v>7</v>
      </c>
      <c r="F483" s="11" t="s">
        <v>78</v>
      </c>
      <c r="G483" s="11" t="s">
        <v>79</v>
      </c>
      <c r="H483" s="12">
        <v>5.01</v>
      </c>
      <c r="I483" s="13"/>
      <c r="J483" s="12">
        <v>0.02</v>
      </c>
      <c r="K483" s="14">
        <v>3</v>
      </c>
      <c r="L483" s="11" t="s">
        <v>605</v>
      </c>
      <c r="M483" s="15" t="s">
        <v>222</v>
      </c>
    </row>
    <row r="484" spans="1:13">
      <c r="A484" s="98">
        <v>43368</v>
      </c>
      <c r="B484" s="11" t="s">
        <v>15</v>
      </c>
      <c r="C484" s="11" t="s">
        <v>212</v>
      </c>
      <c r="D484" s="11" t="s">
        <v>209</v>
      </c>
      <c r="E484" s="11" t="s">
        <v>7</v>
      </c>
      <c r="F484" s="11" t="s">
        <v>78</v>
      </c>
      <c r="G484" s="11" t="s">
        <v>79</v>
      </c>
      <c r="H484" s="12">
        <v>5.32</v>
      </c>
      <c r="I484" s="13"/>
      <c r="J484" s="12">
        <v>0.02</v>
      </c>
      <c r="K484" s="14">
        <v>3</v>
      </c>
      <c r="L484" s="11" t="s">
        <v>605</v>
      </c>
      <c r="M484" s="15" t="s">
        <v>223</v>
      </c>
    </row>
    <row r="485" spans="1:13">
      <c r="A485" s="98">
        <v>43369</v>
      </c>
      <c r="B485" s="11" t="s">
        <v>15</v>
      </c>
      <c r="C485" s="11" t="s">
        <v>212</v>
      </c>
      <c r="D485" s="11" t="s">
        <v>209</v>
      </c>
      <c r="E485" s="11" t="s">
        <v>7</v>
      </c>
      <c r="F485" s="11" t="s">
        <v>78</v>
      </c>
      <c r="G485" s="11" t="s">
        <v>79</v>
      </c>
      <c r="H485" s="12">
        <v>4.5999999999999996</v>
      </c>
      <c r="I485" s="13"/>
      <c r="J485" s="12">
        <v>0.02</v>
      </c>
      <c r="K485" s="14">
        <v>3</v>
      </c>
      <c r="L485" s="11" t="s">
        <v>605</v>
      </c>
      <c r="M485" s="15" t="s">
        <v>224</v>
      </c>
    </row>
    <row r="486" spans="1:13">
      <c r="A486" s="98">
        <v>43374</v>
      </c>
      <c r="B486" s="11" t="s">
        <v>15</v>
      </c>
      <c r="C486" s="11" t="s">
        <v>212</v>
      </c>
      <c r="D486" s="11" t="s">
        <v>209</v>
      </c>
      <c r="E486" s="11" t="s">
        <v>7</v>
      </c>
      <c r="F486" s="11" t="s">
        <v>78</v>
      </c>
      <c r="G486" s="11" t="s">
        <v>79</v>
      </c>
      <c r="H486" s="12">
        <v>5.59</v>
      </c>
      <c r="I486" s="13"/>
      <c r="J486" s="12">
        <v>0.02</v>
      </c>
      <c r="K486" s="14">
        <v>3</v>
      </c>
      <c r="L486" s="11" t="s">
        <v>605</v>
      </c>
      <c r="M486" s="15" t="s">
        <v>225</v>
      </c>
    </row>
    <row r="487" spans="1:13">
      <c r="A487" s="98">
        <v>43375</v>
      </c>
      <c r="B487" s="11" t="s">
        <v>15</v>
      </c>
      <c r="C487" s="11" t="s">
        <v>212</v>
      </c>
      <c r="D487" s="11" t="s">
        <v>209</v>
      </c>
      <c r="E487" s="11" t="s">
        <v>7</v>
      </c>
      <c r="F487" s="11" t="s">
        <v>78</v>
      </c>
      <c r="G487" s="11" t="s">
        <v>79</v>
      </c>
      <c r="H487" s="12">
        <v>4.84</v>
      </c>
      <c r="I487" s="13"/>
      <c r="J487" s="12">
        <v>0.02</v>
      </c>
      <c r="K487" s="14">
        <v>3</v>
      </c>
      <c r="L487" s="11" t="s">
        <v>605</v>
      </c>
      <c r="M487" s="15" t="s">
        <v>226</v>
      </c>
    </row>
    <row r="488" spans="1:13">
      <c r="A488" s="98">
        <v>43376</v>
      </c>
      <c r="B488" s="11" t="s">
        <v>15</v>
      </c>
      <c r="C488" s="11" t="s">
        <v>212</v>
      </c>
      <c r="D488" s="11" t="s">
        <v>209</v>
      </c>
      <c r="E488" s="11" t="s">
        <v>7</v>
      </c>
      <c r="F488" s="11" t="s">
        <v>78</v>
      </c>
      <c r="G488" s="11" t="s">
        <v>79</v>
      </c>
      <c r="H488" s="12">
        <v>5.59</v>
      </c>
      <c r="I488" s="13"/>
      <c r="J488" s="12">
        <v>0.02</v>
      </c>
      <c r="K488" s="14">
        <v>3</v>
      </c>
      <c r="L488" s="11" t="s">
        <v>605</v>
      </c>
      <c r="M488" s="15" t="s">
        <v>227</v>
      </c>
    </row>
    <row r="489" spans="1:13">
      <c r="A489" s="98">
        <v>43381</v>
      </c>
      <c r="B489" s="11" t="s">
        <v>15</v>
      </c>
      <c r="C489" s="11" t="s">
        <v>212</v>
      </c>
      <c r="D489" s="11" t="s">
        <v>209</v>
      </c>
      <c r="E489" s="11" t="s">
        <v>7</v>
      </c>
      <c r="F489" s="11" t="s">
        <v>78</v>
      </c>
      <c r="G489" s="11" t="s">
        <v>79</v>
      </c>
      <c r="H489" s="12">
        <v>5.37</v>
      </c>
      <c r="I489" s="13"/>
      <c r="J489" s="12">
        <v>0.02</v>
      </c>
      <c r="K489" s="14">
        <v>3</v>
      </c>
      <c r="L489" s="11" t="s">
        <v>605</v>
      </c>
      <c r="M489" s="15" t="s">
        <v>228</v>
      </c>
    </row>
    <row r="490" spans="1:13">
      <c r="A490" s="98">
        <v>43382</v>
      </c>
      <c r="B490" s="11" t="s">
        <v>15</v>
      </c>
      <c r="C490" s="11" t="s">
        <v>212</v>
      </c>
      <c r="D490" s="11" t="s">
        <v>209</v>
      </c>
      <c r="E490" s="11" t="s">
        <v>7</v>
      </c>
      <c r="F490" s="11" t="s">
        <v>78</v>
      </c>
      <c r="G490" s="11" t="s">
        <v>79</v>
      </c>
      <c r="H490" s="12">
        <v>5.21</v>
      </c>
      <c r="I490" s="13"/>
      <c r="J490" s="12">
        <v>0.02</v>
      </c>
      <c r="K490" s="14">
        <v>3</v>
      </c>
      <c r="L490" s="11" t="s">
        <v>605</v>
      </c>
      <c r="M490" s="15" t="s">
        <v>229</v>
      </c>
    </row>
    <row r="491" spans="1:13">
      <c r="A491" s="98">
        <v>43383</v>
      </c>
      <c r="B491" s="11" t="s">
        <v>15</v>
      </c>
      <c r="C491" s="11" t="s">
        <v>212</v>
      </c>
      <c r="D491" s="11" t="s">
        <v>209</v>
      </c>
      <c r="E491" s="11" t="s">
        <v>7</v>
      </c>
      <c r="F491" s="11" t="s">
        <v>78</v>
      </c>
      <c r="G491" s="11" t="s">
        <v>79</v>
      </c>
      <c r="H491" s="12">
        <v>5.29</v>
      </c>
      <c r="I491" s="13"/>
      <c r="J491" s="12">
        <v>0.02</v>
      </c>
      <c r="K491" s="14">
        <v>3</v>
      </c>
      <c r="L491" s="11" t="s">
        <v>605</v>
      </c>
      <c r="M491" s="15" t="s">
        <v>230</v>
      </c>
    </row>
    <row r="492" spans="1:13">
      <c r="A492" s="98">
        <v>43388</v>
      </c>
      <c r="B492" s="11" t="s">
        <v>15</v>
      </c>
      <c r="C492" s="11" t="s">
        <v>212</v>
      </c>
      <c r="D492" s="11" t="s">
        <v>209</v>
      </c>
      <c r="E492" s="11" t="s">
        <v>7</v>
      </c>
      <c r="F492" s="11" t="s">
        <v>78</v>
      </c>
      <c r="G492" s="11" t="s">
        <v>79</v>
      </c>
      <c r="H492" s="12">
        <v>5.58</v>
      </c>
      <c r="I492" s="13"/>
      <c r="J492" s="12">
        <v>0.02</v>
      </c>
      <c r="K492" s="14">
        <v>3</v>
      </c>
      <c r="L492" s="11" t="s">
        <v>605</v>
      </c>
      <c r="M492" s="15" t="s">
        <v>231</v>
      </c>
    </row>
    <row r="493" spans="1:13">
      <c r="A493" s="98">
        <v>43389</v>
      </c>
      <c r="B493" s="11" t="s">
        <v>15</v>
      </c>
      <c r="C493" s="11" t="s">
        <v>212</v>
      </c>
      <c r="D493" s="11" t="s">
        <v>209</v>
      </c>
      <c r="E493" s="11" t="s">
        <v>7</v>
      </c>
      <c r="F493" s="11" t="s">
        <v>78</v>
      </c>
      <c r="G493" s="11" t="s">
        <v>79</v>
      </c>
      <c r="H493" s="12">
        <v>5.0999999999999996</v>
      </c>
      <c r="I493" s="13"/>
      <c r="J493" s="12">
        <v>0.02</v>
      </c>
      <c r="K493" s="14">
        <v>3</v>
      </c>
      <c r="L493" s="11" t="s">
        <v>605</v>
      </c>
      <c r="M493" s="15" t="s">
        <v>232</v>
      </c>
    </row>
    <row r="494" spans="1:13">
      <c r="A494" s="98">
        <v>43390</v>
      </c>
      <c r="B494" s="11" t="s">
        <v>15</v>
      </c>
      <c r="C494" s="11" t="s">
        <v>212</v>
      </c>
      <c r="D494" s="11" t="s">
        <v>209</v>
      </c>
      <c r="E494" s="11" t="s">
        <v>7</v>
      </c>
      <c r="F494" s="11" t="s">
        <v>78</v>
      </c>
      <c r="G494" s="11" t="s">
        <v>79</v>
      </c>
      <c r="H494" s="12">
        <v>5.77</v>
      </c>
      <c r="I494" s="13"/>
      <c r="J494" s="12">
        <v>0.02</v>
      </c>
      <c r="K494" s="14">
        <v>3</v>
      </c>
      <c r="L494" s="11" t="s">
        <v>605</v>
      </c>
      <c r="M494" s="15" t="s">
        <v>233</v>
      </c>
    </row>
    <row r="495" spans="1:13">
      <c r="A495" s="98">
        <v>43395</v>
      </c>
      <c r="B495" s="11" t="s">
        <v>15</v>
      </c>
      <c r="C495" s="11" t="s">
        <v>212</v>
      </c>
      <c r="D495" s="11" t="s">
        <v>209</v>
      </c>
      <c r="E495" s="11" t="s">
        <v>7</v>
      </c>
      <c r="F495" s="11" t="s">
        <v>78</v>
      </c>
      <c r="G495" s="11" t="s">
        <v>79</v>
      </c>
      <c r="H495" s="12">
        <v>4.45</v>
      </c>
      <c r="I495" s="13"/>
      <c r="J495" s="12">
        <v>0.02</v>
      </c>
      <c r="K495" s="14">
        <v>3</v>
      </c>
      <c r="L495" s="11" t="s">
        <v>605</v>
      </c>
      <c r="M495" s="15" t="s">
        <v>234</v>
      </c>
    </row>
    <row r="496" spans="1:13">
      <c r="A496" s="98">
        <v>43396</v>
      </c>
      <c r="B496" s="11" t="s">
        <v>15</v>
      </c>
      <c r="C496" s="11" t="s">
        <v>212</v>
      </c>
      <c r="D496" s="11" t="s">
        <v>209</v>
      </c>
      <c r="E496" s="11" t="s">
        <v>7</v>
      </c>
      <c r="F496" s="11" t="s">
        <v>78</v>
      </c>
      <c r="G496" s="11" t="s">
        <v>79</v>
      </c>
      <c r="H496" s="12">
        <v>5.04</v>
      </c>
      <c r="I496" s="13"/>
      <c r="J496" s="12">
        <v>0.02</v>
      </c>
      <c r="K496" s="14">
        <v>3</v>
      </c>
      <c r="L496" s="11" t="s">
        <v>605</v>
      </c>
      <c r="M496" s="15" t="s">
        <v>235</v>
      </c>
    </row>
    <row r="497" spans="1:13">
      <c r="A497" s="98">
        <v>43397</v>
      </c>
      <c r="B497" s="11" t="s">
        <v>15</v>
      </c>
      <c r="C497" s="11" t="s">
        <v>212</v>
      </c>
      <c r="D497" s="11" t="s">
        <v>209</v>
      </c>
      <c r="E497" s="11" t="s">
        <v>7</v>
      </c>
      <c r="F497" s="11" t="s">
        <v>78</v>
      </c>
      <c r="G497" s="11" t="s">
        <v>79</v>
      </c>
      <c r="H497" s="12">
        <v>4.79</v>
      </c>
      <c r="I497" s="13"/>
      <c r="J497" s="12">
        <v>0.02</v>
      </c>
      <c r="K497" s="14">
        <v>3</v>
      </c>
      <c r="L497" s="11" t="s">
        <v>605</v>
      </c>
      <c r="M497" s="15" t="s">
        <v>236</v>
      </c>
    </row>
    <row r="498" spans="1:13">
      <c r="A498" s="98">
        <v>43402</v>
      </c>
      <c r="B498" s="11" t="s">
        <v>15</v>
      </c>
      <c r="C498" s="11" t="s">
        <v>212</v>
      </c>
      <c r="D498" s="11" t="s">
        <v>209</v>
      </c>
      <c r="E498" s="11" t="s">
        <v>7</v>
      </c>
      <c r="F498" s="11" t="s">
        <v>78</v>
      </c>
      <c r="G498" s="11" t="s">
        <v>79</v>
      </c>
      <c r="H498" s="12">
        <v>4.88</v>
      </c>
      <c r="I498" s="13"/>
      <c r="J498" s="12">
        <v>0.02</v>
      </c>
      <c r="K498" s="14">
        <v>3</v>
      </c>
      <c r="L498" s="11" t="s">
        <v>605</v>
      </c>
      <c r="M498" s="15" t="s">
        <v>237</v>
      </c>
    </row>
    <row r="499" spans="1:13">
      <c r="A499" s="98">
        <v>43403</v>
      </c>
      <c r="B499" s="11" t="s">
        <v>15</v>
      </c>
      <c r="C499" s="11" t="s">
        <v>212</v>
      </c>
      <c r="D499" s="11" t="s">
        <v>209</v>
      </c>
      <c r="E499" s="11" t="s">
        <v>7</v>
      </c>
      <c r="F499" s="11" t="s">
        <v>78</v>
      </c>
      <c r="G499" s="11" t="s">
        <v>79</v>
      </c>
      <c r="H499" s="12">
        <v>4.99</v>
      </c>
      <c r="I499" s="13"/>
      <c r="J499" s="12">
        <v>0.02</v>
      </c>
      <c r="K499" s="14">
        <v>3</v>
      </c>
      <c r="L499" s="11" t="s">
        <v>605</v>
      </c>
      <c r="M499" s="15" t="s">
        <v>238</v>
      </c>
    </row>
    <row r="500" spans="1:13">
      <c r="A500" s="98">
        <v>43404</v>
      </c>
      <c r="B500" s="11" t="s">
        <v>15</v>
      </c>
      <c r="C500" s="11" t="s">
        <v>212</v>
      </c>
      <c r="D500" s="11" t="s">
        <v>209</v>
      </c>
      <c r="E500" s="11" t="s">
        <v>7</v>
      </c>
      <c r="F500" s="11" t="s">
        <v>78</v>
      </c>
      <c r="G500" s="11" t="s">
        <v>79</v>
      </c>
      <c r="H500" s="12">
        <v>6.52</v>
      </c>
      <c r="I500" s="13"/>
      <c r="J500" s="12">
        <v>0.02</v>
      </c>
      <c r="K500" s="14">
        <v>3</v>
      </c>
      <c r="L500" s="11" t="s">
        <v>605</v>
      </c>
      <c r="M500" s="15" t="s">
        <v>239</v>
      </c>
    </row>
    <row r="501" spans="1:13">
      <c r="A501" s="98">
        <v>43409</v>
      </c>
      <c r="B501" s="11" t="s">
        <v>15</v>
      </c>
      <c r="C501" s="11" t="s">
        <v>212</v>
      </c>
      <c r="D501" s="11" t="s">
        <v>209</v>
      </c>
      <c r="E501" s="11" t="s">
        <v>7</v>
      </c>
      <c r="F501" s="11" t="s">
        <v>78</v>
      </c>
      <c r="G501" s="11" t="s">
        <v>79</v>
      </c>
      <c r="H501" s="12">
        <v>5.55</v>
      </c>
      <c r="I501" s="13"/>
      <c r="J501" s="12">
        <v>0.02</v>
      </c>
      <c r="K501" s="14">
        <v>3</v>
      </c>
      <c r="L501" s="11" t="s">
        <v>605</v>
      </c>
      <c r="M501" s="15" t="s">
        <v>240</v>
      </c>
    </row>
    <row r="502" spans="1:13">
      <c r="A502" s="98">
        <v>43410</v>
      </c>
      <c r="B502" s="11" t="s">
        <v>15</v>
      </c>
      <c r="C502" s="11" t="s">
        <v>212</v>
      </c>
      <c r="D502" s="11" t="s">
        <v>209</v>
      </c>
      <c r="E502" s="11" t="s">
        <v>7</v>
      </c>
      <c r="F502" s="11" t="s">
        <v>78</v>
      </c>
      <c r="G502" s="11" t="s">
        <v>79</v>
      </c>
      <c r="H502" s="12">
        <v>5.97</v>
      </c>
      <c r="I502" s="13"/>
      <c r="J502" s="12">
        <v>0.02</v>
      </c>
      <c r="K502" s="14">
        <v>3</v>
      </c>
      <c r="L502" s="11" t="s">
        <v>605</v>
      </c>
      <c r="M502" s="15" t="s">
        <v>241</v>
      </c>
    </row>
    <row r="503" spans="1:13">
      <c r="A503" s="98">
        <v>43411</v>
      </c>
      <c r="B503" s="11" t="s">
        <v>15</v>
      </c>
      <c r="C503" s="11" t="s">
        <v>212</v>
      </c>
      <c r="D503" s="11" t="s">
        <v>209</v>
      </c>
      <c r="E503" s="11" t="s">
        <v>7</v>
      </c>
      <c r="F503" s="11" t="s">
        <v>78</v>
      </c>
      <c r="G503" s="11" t="s">
        <v>79</v>
      </c>
      <c r="H503" s="12">
        <v>5.64</v>
      </c>
      <c r="I503" s="13"/>
      <c r="J503" s="12">
        <v>0.02</v>
      </c>
      <c r="K503" s="14">
        <v>3</v>
      </c>
      <c r="L503" s="11" t="s">
        <v>605</v>
      </c>
      <c r="M503" s="15" t="s">
        <v>242</v>
      </c>
    </row>
    <row r="504" spans="1:13">
      <c r="A504" s="98">
        <v>43416</v>
      </c>
      <c r="B504" s="11" t="s">
        <v>15</v>
      </c>
      <c r="C504" s="11" t="s">
        <v>212</v>
      </c>
      <c r="D504" s="11" t="s">
        <v>209</v>
      </c>
      <c r="E504" s="11" t="s">
        <v>7</v>
      </c>
      <c r="F504" s="11" t="s">
        <v>78</v>
      </c>
      <c r="G504" s="11" t="s">
        <v>79</v>
      </c>
      <c r="H504" s="12">
        <v>5.0199999999999996</v>
      </c>
      <c r="I504" s="13"/>
      <c r="J504" s="12">
        <v>0.02</v>
      </c>
      <c r="K504" s="14">
        <v>3</v>
      </c>
      <c r="L504" s="11" t="s">
        <v>605</v>
      </c>
      <c r="M504" s="15" t="s">
        <v>243</v>
      </c>
    </row>
    <row r="505" spans="1:13">
      <c r="A505" s="98">
        <v>43417</v>
      </c>
      <c r="B505" s="11" t="s">
        <v>15</v>
      </c>
      <c r="C505" s="11" t="s">
        <v>212</v>
      </c>
      <c r="D505" s="11" t="s">
        <v>209</v>
      </c>
      <c r="E505" s="11" t="s">
        <v>7</v>
      </c>
      <c r="F505" s="11" t="s">
        <v>78</v>
      </c>
      <c r="G505" s="11" t="s">
        <v>79</v>
      </c>
      <c r="H505" s="12">
        <v>5.66</v>
      </c>
      <c r="I505" s="13"/>
      <c r="J505" s="12">
        <v>0.02</v>
      </c>
      <c r="K505" s="14">
        <v>3</v>
      </c>
      <c r="L505" s="11" t="s">
        <v>605</v>
      </c>
      <c r="M505" s="15" t="s">
        <v>244</v>
      </c>
    </row>
    <row r="506" spans="1:13">
      <c r="A506" s="98">
        <v>43418</v>
      </c>
      <c r="B506" s="11" t="s">
        <v>15</v>
      </c>
      <c r="C506" s="11" t="s">
        <v>212</v>
      </c>
      <c r="D506" s="11" t="s">
        <v>209</v>
      </c>
      <c r="E506" s="11" t="s">
        <v>7</v>
      </c>
      <c r="F506" s="11" t="s">
        <v>78</v>
      </c>
      <c r="G506" s="11" t="s">
        <v>79</v>
      </c>
      <c r="H506" s="12">
        <v>6.38</v>
      </c>
      <c r="I506" s="13"/>
      <c r="J506" s="12">
        <v>0.02</v>
      </c>
      <c r="K506" s="14">
        <v>3</v>
      </c>
      <c r="L506" s="11" t="s">
        <v>605</v>
      </c>
      <c r="M506" s="15" t="s">
        <v>245</v>
      </c>
    </row>
    <row r="507" spans="1:13">
      <c r="A507" s="98">
        <v>43423</v>
      </c>
      <c r="B507" s="11" t="s">
        <v>15</v>
      </c>
      <c r="C507" s="11" t="s">
        <v>212</v>
      </c>
      <c r="D507" s="11" t="s">
        <v>209</v>
      </c>
      <c r="E507" s="11" t="s">
        <v>7</v>
      </c>
      <c r="F507" s="11" t="s">
        <v>78</v>
      </c>
      <c r="G507" s="11" t="s">
        <v>79</v>
      </c>
      <c r="H507" s="12">
        <v>4.71</v>
      </c>
      <c r="I507" s="13"/>
      <c r="J507" s="12">
        <v>0.06</v>
      </c>
      <c r="K507" s="14">
        <v>3</v>
      </c>
      <c r="L507" s="11" t="s">
        <v>607</v>
      </c>
      <c r="M507" s="15" t="s">
        <v>246</v>
      </c>
    </row>
    <row r="508" spans="1:13">
      <c r="A508" s="98">
        <v>43424</v>
      </c>
      <c r="B508" s="11" t="s">
        <v>15</v>
      </c>
      <c r="C508" s="11" t="s">
        <v>212</v>
      </c>
      <c r="D508" s="11" t="s">
        <v>209</v>
      </c>
      <c r="E508" s="11" t="s">
        <v>7</v>
      </c>
      <c r="F508" s="11" t="s">
        <v>78</v>
      </c>
      <c r="G508" s="11" t="s">
        <v>79</v>
      </c>
      <c r="H508" s="12">
        <v>5.08</v>
      </c>
      <c r="I508" s="13"/>
      <c r="J508" s="12">
        <v>0.06</v>
      </c>
      <c r="K508" s="14">
        <v>3</v>
      </c>
      <c r="L508" s="11" t="s">
        <v>607</v>
      </c>
      <c r="M508" s="15" t="s">
        <v>247</v>
      </c>
    </row>
    <row r="509" spans="1:13">
      <c r="A509" s="98">
        <v>43425</v>
      </c>
      <c r="B509" s="11" t="s">
        <v>15</v>
      </c>
      <c r="C509" s="11" t="s">
        <v>212</v>
      </c>
      <c r="D509" s="11" t="s">
        <v>209</v>
      </c>
      <c r="E509" s="11" t="s">
        <v>7</v>
      </c>
      <c r="F509" s="11" t="s">
        <v>78</v>
      </c>
      <c r="G509" s="11" t="s">
        <v>79</v>
      </c>
      <c r="H509" s="12">
        <v>5.42</v>
      </c>
      <c r="I509" s="13"/>
      <c r="J509" s="12">
        <v>0.02</v>
      </c>
      <c r="K509" s="14">
        <v>3</v>
      </c>
      <c r="L509" s="11" t="s">
        <v>605</v>
      </c>
      <c r="M509" s="15" t="s">
        <v>248</v>
      </c>
    </row>
    <row r="510" spans="1:13">
      <c r="A510" s="98">
        <v>43430</v>
      </c>
      <c r="B510" s="11" t="s">
        <v>15</v>
      </c>
      <c r="C510" s="11" t="s">
        <v>212</v>
      </c>
      <c r="D510" s="11" t="s">
        <v>209</v>
      </c>
      <c r="E510" s="11" t="s">
        <v>7</v>
      </c>
      <c r="F510" s="11" t="s">
        <v>78</v>
      </c>
      <c r="G510" s="11" t="s">
        <v>79</v>
      </c>
      <c r="H510" s="12">
        <v>6.54</v>
      </c>
      <c r="I510" s="13"/>
      <c r="J510" s="12">
        <v>0.02</v>
      </c>
      <c r="K510" s="14">
        <v>3</v>
      </c>
      <c r="L510" s="11" t="s">
        <v>605</v>
      </c>
      <c r="M510" s="15" t="s">
        <v>249</v>
      </c>
    </row>
    <row r="511" spans="1:13">
      <c r="A511" s="98">
        <v>43431</v>
      </c>
      <c r="B511" s="11" t="s">
        <v>15</v>
      </c>
      <c r="C511" s="11" t="s">
        <v>212</v>
      </c>
      <c r="D511" s="11" t="s">
        <v>209</v>
      </c>
      <c r="E511" s="11" t="s">
        <v>7</v>
      </c>
      <c r="F511" s="11" t="s">
        <v>78</v>
      </c>
      <c r="G511" s="11" t="s">
        <v>79</v>
      </c>
      <c r="H511" s="12">
        <v>6</v>
      </c>
      <c r="I511" s="13"/>
      <c r="J511" s="12">
        <v>0.02</v>
      </c>
      <c r="K511" s="14">
        <v>3</v>
      </c>
      <c r="L511" s="11" t="s">
        <v>605</v>
      </c>
      <c r="M511" s="15" t="s">
        <v>250</v>
      </c>
    </row>
    <row r="512" spans="1:13">
      <c r="A512" s="98">
        <v>43432</v>
      </c>
      <c r="B512" s="11" t="s">
        <v>15</v>
      </c>
      <c r="C512" s="11" t="s">
        <v>212</v>
      </c>
      <c r="D512" s="11" t="s">
        <v>209</v>
      </c>
      <c r="E512" s="11" t="s">
        <v>7</v>
      </c>
      <c r="F512" s="11" t="s">
        <v>78</v>
      </c>
      <c r="G512" s="11" t="s">
        <v>79</v>
      </c>
      <c r="H512" s="12">
        <v>6.18</v>
      </c>
      <c r="I512" s="13"/>
      <c r="J512" s="12">
        <v>0.02</v>
      </c>
      <c r="K512" s="14">
        <v>3</v>
      </c>
      <c r="L512" s="11" t="s">
        <v>605</v>
      </c>
      <c r="M512" s="15" t="s">
        <v>251</v>
      </c>
    </row>
    <row r="513" spans="1:13">
      <c r="A513" s="98">
        <v>43437</v>
      </c>
      <c r="B513" s="11" t="s">
        <v>15</v>
      </c>
      <c r="C513" s="11" t="s">
        <v>212</v>
      </c>
      <c r="D513" s="11" t="s">
        <v>209</v>
      </c>
      <c r="E513" s="11" t="s">
        <v>7</v>
      </c>
      <c r="F513" s="11" t="s">
        <v>78</v>
      </c>
      <c r="G513" s="11" t="s">
        <v>79</v>
      </c>
      <c r="H513" s="12">
        <v>5.5</v>
      </c>
      <c r="I513" s="13"/>
      <c r="J513" s="12">
        <v>0.02</v>
      </c>
      <c r="K513" s="14">
        <v>3</v>
      </c>
      <c r="L513" s="11" t="s">
        <v>605</v>
      </c>
      <c r="M513" s="15" t="s">
        <v>252</v>
      </c>
    </row>
    <row r="514" spans="1:13">
      <c r="A514" s="98">
        <v>43438</v>
      </c>
      <c r="B514" s="11" t="s">
        <v>15</v>
      </c>
      <c r="C514" s="11" t="s">
        <v>212</v>
      </c>
      <c r="D514" s="11" t="s">
        <v>209</v>
      </c>
      <c r="E514" s="11" t="s">
        <v>7</v>
      </c>
      <c r="F514" s="11" t="s">
        <v>78</v>
      </c>
      <c r="G514" s="11" t="s">
        <v>79</v>
      </c>
      <c r="H514" s="12">
        <v>5.94</v>
      </c>
      <c r="I514" s="13"/>
      <c r="J514" s="12">
        <v>0.02</v>
      </c>
      <c r="K514" s="14">
        <v>3</v>
      </c>
      <c r="L514" s="11" t="s">
        <v>605</v>
      </c>
      <c r="M514" s="15" t="s">
        <v>253</v>
      </c>
    </row>
    <row r="515" spans="1:13">
      <c r="A515" s="98">
        <v>43439</v>
      </c>
      <c r="B515" s="11" t="s">
        <v>15</v>
      </c>
      <c r="C515" s="11" t="s">
        <v>212</v>
      </c>
      <c r="D515" s="11" t="s">
        <v>209</v>
      </c>
      <c r="E515" s="11" t="s">
        <v>7</v>
      </c>
      <c r="F515" s="11" t="s">
        <v>78</v>
      </c>
      <c r="G515" s="11" t="s">
        <v>79</v>
      </c>
      <c r="H515" s="12">
        <v>6.97</v>
      </c>
      <c r="I515" s="13"/>
      <c r="J515" s="12">
        <v>0.02</v>
      </c>
      <c r="K515" s="14">
        <v>3</v>
      </c>
      <c r="L515" s="11" t="s">
        <v>605</v>
      </c>
      <c r="M515" s="15" t="s">
        <v>254</v>
      </c>
    </row>
    <row r="516" spans="1:13">
      <c r="A516" s="98">
        <v>43444</v>
      </c>
      <c r="B516" s="11" t="s">
        <v>15</v>
      </c>
      <c r="C516" s="11" t="s">
        <v>212</v>
      </c>
      <c r="D516" s="11" t="s">
        <v>209</v>
      </c>
      <c r="E516" s="11" t="s">
        <v>7</v>
      </c>
      <c r="F516" s="11" t="s">
        <v>78</v>
      </c>
      <c r="G516" s="11" t="s">
        <v>79</v>
      </c>
      <c r="H516" s="12">
        <v>6.04</v>
      </c>
      <c r="I516" s="13"/>
      <c r="J516" s="12">
        <v>0.02</v>
      </c>
      <c r="K516" s="14">
        <v>3</v>
      </c>
      <c r="L516" s="11" t="s">
        <v>605</v>
      </c>
      <c r="M516" s="15" t="s">
        <v>255</v>
      </c>
    </row>
    <row r="517" spans="1:13">
      <c r="A517" s="98">
        <v>43445</v>
      </c>
      <c r="B517" s="11" t="s">
        <v>15</v>
      </c>
      <c r="C517" s="11" t="s">
        <v>212</v>
      </c>
      <c r="D517" s="11" t="s">
        <v>209</v>
      </c>
      <c r="E517" s="11" t="s">
        <v>7</v>
      </c>
      <c r="F517" s="11" t="s">
        <v>78</v>
      </c>
      <c r="G517" s="11" t="s">
        <v>79</v>
      </c>
      <c r="H517" s="12">
        <v>5.6</v>
      </c>
      <c r="I517" s="13"/>
      <c r="J517" s="12">
        <v>0.02</v>
      </c>
      <c r="K517" s="14">
        <v>3</v>
      </c>
      <c r="L517" s="11" t="s">
        <v>605</v>
      </c>
      <c r="M517" s="15" t="s">
        <v>256</v>
      </c>
    </row>
    <row r="518" spans="1:13">
      <c r="A518" s="98">
        <v>43446</v>
      </c>
      <c r="B518" s="11" t="s">
        <v>15</v>
      </c>
      <c r="C518" s="11" t="s">
        <v>212</v>
      </c>
      <c r="D518" s="11" t="s">
        <v>209</v>
      </c>
      <c r="E518" s="11" t="s">
        <v>7</v>
      </c>
      <c r="F518" s="11" t="s">
        <v>78</v>
      </c>
      <c r="G518" s="11" t="s">
        <v>79</v>
      </c>
      <c r="H518" s="12">
        <v>6.09</v>
      </c>
      <c r="I518" s="13"/>
      <c r="J518" s="12">
        <v>0.02</v>
      </c>
      <c r="K518" s="14">
        <v>3</v>
      </c>
      <c r="L518" s="11" t="s">
        <v>605</v>
      </c>
      <c r="M518" s="15" t="s">
        <v>257</v>
      </c>
    </row>
    <row r="519" spans="1:13">
      <c r="A519" s="98">
        <v>43451</v>
      </c>
      <c r="B519" s="11" t="s">
        <v>15</v>
      </c>
      <c r="C519" s="11" t="s">
        <v>212</v>
      </c>
      <c r="D519" s="11" t="s">
        <v>209</v>
      </c>
      <c r="E519" s="11" t="s">
        <v>7</v>
      </c>
      <c r="F519" s="11" t="s">
        <v>78</v>
      </c>
      <c r="G519" s="11" t="s">
        <v>79</v>
      </c>
      <c r="H519" s="12">
        <v>5.25</v>
      </c>
      <c r="I519" s="13"/>
      <c r="J519" s="12">
        <v>0.02</v>
      </c>
      <c r="K519" s="14">
        <v>3</v>
      </c>
      <c r="L519" s="11" t="s">
        <v>605</v>
      </c>
      <c r="M519" s="15" t="s">
        <v>258</v>
      </c>
    </row>
    <row r="520" spans="1:13">
      <c r="A520" s="98">
        <v>43452</v>
      </c>
      <c r="B520" s="11" t="s">
        <v>15</v>
      </c>
      <c r="C520" s="11" t="s">
        <v>212</v>
      </c>
      <c r="D520" s="11" t="s">
        <v>209</v>
      </c>
      <c r="E520" s="11" t="s">
        <v>7</v>
      </c>
      <c r="F520" s="11" t="s">
        <v>78</v>
      </c>
      <c r="G520" s="11" t="s">
        <v>79</v>
      </c>
      <c r="H520" s="12">
        <v>5.79</v>
      </c>
      <c r="I520" s="13"/>
      <c r="J520" s="12">
        <v>0.02</v>
      </c>
      <c r="K520" s="14">
        <v>3</v>
      </c>
      <c r="L520" s="11" t="s">
        <v>605</v>
      </c>
      <c r="M520" s="15" t="s">
        <v>259</v>
      </c>
    </row>
    <row r="521" spans="1:13">
      <c r="A521" s="98">
        <v>43453</v>
      </c>
      <c r="B521" s="11" t="s">
        <v>15</v>
      </c>
      <c r="C521" s="11" t="s">
        <v>212</v>
      </c>
      <c r="D521" s="11" t="s">
        <v>209</v>
      </c>
      <c r="E521" s="11" t="s">
        <v>7</v>
      </c>
      <c r="F521" s="11" t="s">
        <v>78</v>
      </c>
      <c r="G521" s="11" t="s">
        <v>79</v>
      </c>
      <c r="H521" s="12">
        <v>5.69</v>
      </c>
      <c r="I521" s="13"/>
      <c r="J521" s="12">
        <v>0.02</v>
      </c>
      <c r="K521" s="14">
        <v>3</v>
      </c>
      <c r="L521" s="11" t="s">
        <v>605</v>
      </c>
      <c r="M521" s="15" t="s">
        <v>260</v>
      </c>
    </row>
    <row r="522" spans="1:13">
      <c r="A522" s="98">
        <v>43458</v>
      </c>
      <c r="B522" s="11" t="s">
        <v>15</v>
      </c>
      <c r="C522" s="11" t="s">
        <v>212</v>
      </c>
      <c r="D522" s="11" t="s">
        <v>209</v>
      </c>
      <c r="E522" s="11" t="s">
        <v>7</v>
      </c>
      <c r="F522" s="11" t="s">
        <v>78</v>
      </c>
      <c r="G522" s="11" t="s">
        <v>79</v>
      </c>
      <c r="H522" s="12">
        <v>5.88</v>
      </c>
      <c r="I522" s="13"/>
      <c r="J522" s="12">
        <v>0.02</v>
      </c>
      <c r="K522" s="14">
        <v>3</v>
      </c>
      <c r="L522" s="11" t="s">
        <v>605</v>
      </c>
      <c r="M522" s="15" t="s">
        <v>261</v>
      </c>
    </row>
    <row r="523" spans="1:13">
      <c r="A523" s="98">
        <v>43459</v>
      </c>
      <c r="B523" s="11" t="s">
        <v>15</v>
      </c>
      <c r="C523" s="11" t="s">
        <v>212</v>
      </c>
      <c r="D523" s="11" t="s">
        <v>209</v>
      </c>
      <c r="E523" s="11" t="s">
        <v>7</v>
      </c>
      <c r="F523" s="11" t="s">
        <v>78</v>
      </c>
      <c r="G523" s="11" t="s">
        <v>79</v>
      </c>
      <c r="H523" s="12">
        <v>6.9</v>
      </c>
      <c r="I523" s="13"/>
      <c r="J523" s="12">
        <v>0.02</v>
      </c>
      <c r="K523" s="14">
        <v>3</v>
      </c>
      <c r="L523" s="11" t="s">
        <v>605</v>
      </c>
      <c r="M523" s="15" t="s">
        <v>262</v>
      </c>
    </row>
    <row r="524" spans="1:13">
      <c r="A524" s="98">
        <v>43460</v>
      </c>
      <c r="B524" s="11" t="s">
        <v>15</v>
      </c>
      <c r="C524" s="11" t="s">
        <v>212</v>
      </c>
      <c r="D524" s="11" t="s">
        <v>209</v>
      </c>
      <c r="E524" s="11" t="s">
        <v>7</v>
      </c>
      <c r="F524" s="11" t="s">
        <v>78</v>
      </c>
      <c r="G524" s="11" t="s">
        <v>79</v>
      </c>
      <c r="H524" s="12">
        <v>7.29</v>
      </c>
      <c r="I524" s="13"/>
      <c r="J524" s="12">
        <v>0.02</v>
      </c>
      <c r="K524" s="14">
        <v>3</v>
      </c>
      <c r="L524" s="11" t="s">
        <v>605</v>
      </c>
      <c r="M524" s="15" t="s">
        <v>263</v>
      </c>
    </row>
    <row r="525" spans="1:13">
      <c r="A525" s="98">
        <v>43465</v>
      </c>
      <c r="B525" s="11" t="s">
        <v>15</v>
      </c>
      <c r="C525" s="11" t="s">
        <v>212</v>
      </c>
      <c r="D525" s="11" t="s">
        <v>209</v>
      </c>
      <c r="E525" s="11" t="s">
        <v>7</v>
      </c>
      <c r="F525" s="11" t="s">
        <v>78</v>
      </c>
      <c r="G525" s="11" t="s">
        <v>79</v>
      </c>
      <c r="H525" s="12">
        <v>6.68</v>
      </c>
      <c r="I525" s="13"/>
      <c r="J525" s="12">
        <v>0.02</v>
      </c>
      <c r="K525" s="14">
        <v>3</v>
      </c>
      <c r="L525" s="11" t="s">
        <v>605</v>
      </c>
      <c r="M525" s="15" t="s">
        <v>264</v>
      </c>
    </row>
    <row r="526" spans="1:13">
      <c r="A526" s="98">
        <v>43466</v>
      </c>
      <c r="B526" s="11" t="s">
        <v>15</v>
      </c>
      <c r="C526" s="11" t="s">
        <v>212</v>
      </c>
      <c r="D526" s="11" t="s">
        <v>209</v>
      </c>
      <c r="E526" s="11" t="s">
        <v>7</v>
      </c>
      <c r="F526" s="11" t="s">
        <v>78</v>
      </c>
      <c r="G526" s="11" t="s">
        <v>79</v>
      </c>
      <c r="H526" s="12">
        <v>7.22</v>
      </c>
      <c r="I526" s="13"/>
      <c r="J526" s="12">
        <v>0.02</v>
      </c>
      <c r="K526" s="14">
        <v>3</v>
      </c>
      <c r="L526" s="11" t="s">
        <v>605</v>
      </c>
      <c r="M526" s="15" t="s">
        <v>265</v>
      </c>
    </row>
    <row r="527" spans="1:13">
      <c r="A527" s="98">
        <v>43467</v>
      </c>
      <c r="B527" s="11" t="s">
        <v>15</v>
      </c>
      <c r="C527" s="11" t="s">
        <v>212</v>
      </c>
      <c r="D527" s="11" t="s">
        <v>209</v>
      </c>
      <c r="E527" s="11" t="s">
        <v>7</v>
      </c>
      <c r="F527" s="11" t="s">
        <v>78</v>
      </c>
      <c r="G527" s="11" t="s">
        <v>79</v>
      </c>
      <c r="H527" s="12" t="s">
        <v>80</v>
      </c>
      <c r="I527" s="13">
        <v>-6</v>
      </c>
      <c r="J527" s="12">
        <v>0.02</v>
      </c>
      <c r="K527" s="14">
        <v>3</v>
      </c>
      <c r="L527" s="11" t="s">
        <v>605</v>
      </c>
      <c r="M527" s="15" t="s">
        <v>266</v>
      </c>
    </row>
    <row r="528" spans="1:13">
      <c r="A528" s="98">
        <v>43469</v>
      </c>
      <c r="B528" s="11" t="s">
        <v>15</v>
      </c>
      <c r="C528" s="11" t="s">
        <v>212</v>
      </c>
      <c r="D528" s="11" t="s">
        <v>209</v>
      </c>
      <c r="E528" s="11" t="s">
        <v>7</v>
      </c>
      <c r="F528" s="11" t="s">
        <v>78</v>
      </c>
      <c r="G528" s="11" t="s">
        <v>79</v>
      </c>
      <c r="H528" s="12">
        <v>6.51</v>
      </c>
      <c r="I528" s="13"/>
      <c r="J528" s="12">
        <v>0.02</v>
      </c>
      <c r="K528" s="14">
        <v>3</v>
      </c>
      <c r="L528" s="11" t="s">
        <v>605</v>
      </c>
      <c r="M528" s="15" t="s">
        <v>267</v>
      </c>
    </row>
    <row r="529" spans="1:13">
      <c r="A529" s="98">
        <v>43472</v>
      </c>
      <c r="B529" s="11" t="s">
        <v>15</v>
      </c>
      <c r="C529" s="11" t="s">
        <v>212</v>
      </c>
      <c r="D529" s="11" t="s">
        <v>209</v>
      </c>
      <c r="E529" s="11" t="s">
        <v>7</v>
      </c>
      <c r="F529" s="11" t="s">
        <v>78</v>
      </c>
      <c r="G529" s="11" t="s">
        <v>79</v>
      </c>
      <c r="H529" s="12">
        <v>5.54</v>
      </c>
      <c r="I529" s="13"/>
      <c r="J529" s="12">
        <v>0.06</v>
      </c>
      <c r="K529" s="14">
        <v>3</v>
      </c>
      <c r="L529" s="11" t="s">
        <v>607</v>
      </c>
      <c r="M529" s="15" t="s">
        <v>268</v>
      </c>
    </row>
    <row r="530" spans="1:13">
      <c r="A530" s="98">
        <v>43473</v>
      </c>
      <c r="B530" s="11" t="s">
        <v>15</v>
      </c>
      <c r="C530" s="11" t="s">
        <v>212</v>
      </c>
      <c r="D530" s="11" t="s">
        <v>209</v>
      </c>
      <c r="E530" s="11" t="s">
        <v>7</v>
      </c>
      <c r="F530" s="11" t="s">
        <v>78</v>
      </c>
      <c r="G530" s="11" t="s">
        <v>79</v>
      </c>
      <c r="H530" s="12">
        <v>7.33</v>
      </c>
      <c r="I530" s="13"/>
      <c r="J530" s="12">
        <v>0.02</v>
      </c>
      <c r="K530" s="14">
        <v>3</v>
      </c>
      <c r="L530" s="11" t="s">
        <v>605</v>
      </c>
      <c r="M530" s="15" t="s">
        <v>269</v>
      </c>
    </row>
    <row r="531" spans="1:13">
      <c r="A531" s="98">
        <v>43474</v>
      </c>
      <c r="B531" s="11" t="s">
        <v>15</v>
      </c>
      <c r="C531" s="11" t="s">
        <v>212</v>
      </c>
      <c r="D531" s="11" t="s">
        <v>209</v>
      </c>
      <c r="E531" s="11" t="s">
        <v>7</v>
      </c>
      <c r="F531" s="11" t="s">
        <v>78</v>
      </c>
      <c r="G531" s="11" t="s">
        <v>79</v>
      </c>
      <c r="H531" s="12">
        <v>6.9</v>
      </c>
      <c r="I531" s="13"/>
      <c r="J531" s="12">
        <v>0.02</v>
      </c>
      <c r="K531" s="14">
        <v>3</v>
      </c>
      <c r="L531" s="11" t="s">
        <v>605</v>
      </c>
      <c r="M531" s="15" t="s">
        <v>270</v>
      </c>
    </row>
    <row r="532" spans="1:13">
      <c r="A532" s="98">
        <v>43479</v>
      </c>
      <c r="B532" s="11" t="s">
        <v>15</v>
      </c>
      <c r="C532" s="11" t="s">
        <v>212</v>
      </c>
      <c r="D532" s="11" t="s">
        <v>209</v>
      </c>
      <c r="E532" s="11" t="s">
        <v>7</v>
      </c>
      <c r="F532" s="11" t="s">
        <v>78</v>
      </c>
      <c r="G532" s="11" t="s">
        <v>79</v>
      </c>
      <c r="H532" s="12">
        <v>6.45</v>
      </c>
      <c r="I532" s="13"/>
      <c r="J532" s="12">
        <v>0.02</v>
      </c>
      <c r="K532" s="14">
        <v>3</v>
      </c>
      <c r="L532" s="11" t="s">
        <v>605</v>
      </c>
      <c r="M532" s="15" t="s">
        <v>271</v>
      </c>
    </row>
    <row r="533" spans="1:13">
      <c r="A533" s="98">
        <v>43480</v>
      </c>
      <c r="B533" s="11" t="s">
        <v>15</v>
      </c>
      <c r="C533" s="11" t="s">
        <v>212</v>
      </c>
      <c r="D533" s="11" t="s">
        <v>209</v>
      </c>
      <c r="E533" s="11" t="s">
        <v>7</v>
      </c>
      <c r="F533" s="11" t="s">
        <v>78</v>
      </c>
      <c r="G533" s="11" t="s">
        <v>79</v>
      </c>
      <c r="H533" s="12">
        <v>6.51</v>
      </c>
      <c r="I533" s="13"/>
      <c r="J533" s="12">
        <v>0.02</v>
      </c>
      <c r="K533" s="14">
        <v>3</v>
      </c>
      <c r="L533" s="11" t="s">
        <v>605</v>
      </c>
      <c r="M533" s="15" t="s">
        <v>272</v>
      </c>
    </row>
    <row r="534" spans="1:13">
      <c r="A534" s="98">
        <v>43481</v>
      </c>
      <c r="B534" s="11" t="s">
        <v>15</v>
      </c>
      <c r="C534" s="11" t="s">
        <v>212</v>
      </c>
      <c r="D534" s="11" t="s">
        <v>209</v>
      </c>
      <c r="E534" s="11" t="s">
        <v>7</v>
      </c>
      <c r="F534" s="11" t="s">
        <v>78</v>
      </c>
      <c r="G534" s="11" t="s">
        <v>79</v>
      </c>
      <c r="H534" s="12">
        <v>7.01</v>
      </c>
      <c r="I534" s="13"/>
      <c r="J534" s="12">
        <v>0.02</v>
      </c>
      <c r="K534" s="14">
        <v>3</v>
      </c>
      <c r="L534" s="11" t="s">
        <v>605</v>
      </c>
      <c r="M534" s="15" t="s">
        <v>273</v>
      </c>
    </row>
    <row r="535" spans="1:13">
      <c r="A535" s="98">
        <v>43486</v>
      </c>
      <c r="B535" s="11" t="s">
        <v>15</v>
      </c>
      <c r="C535" s="11" t="s">
        <v>212</v>
      </c>
      <c r="D535" s="11" t="s">
        <v>209</v>
      </c>
      <c r="E535" s="11" t="s">
        <v>7</v>
      </c>
      <c r="F535" s="11" t="s">
        <v>78</v>
      </c>
      <c r="G535" s="11" t="s">
        <v>79</v>
      </c>
      <c r="H535" s="12">
        <v>5.92</v>
      </c>
      <c r="I535" s="13"/>
      <c r="J535" s="12">
        <v>0.02</v>
      </c>
      <c r="K535" s="14">
        <v>3</v>
      </c>
      <c r="L535" s="11" t="s">
        <v>605</v>
      </c>
      <c r="M535" s="15" t="s">
        <v>274</v>
      </c>
    </row>
    <row r="536" spans="1:13">
      <c r="A536" s="98">
        <v>43487</v>
      </c>
      <c r="B536" s="11" t="s">
        <v>15</v>
      </c>
      <c r="C536" s="11" t="s">
        <v>212</v>
      </c>
      <c r="D536" s="11" t="s">
        <v>209</v>
      </c>
      <c r="E536" s="11" t="s">
        <v>7</v>
      </c>
      <c r="F536" s="11" t="s">
        <v>78</v>
      </c>
      <c r="G536" s="11" t="s">
        <v>79</v>
      </c>
      <c r="H536" s="12">
        <v>6.04</v>
      </c>
      <c r="I536" s="13"/>
      <c r="J536" s="12">
        <v>0.02</v>
      </c>
      <c r="K536" s="14">
        <v>3</v>
      </c>
      <c r="L536" s="11" t="s">
        <v>605</v>
      </c>
      <c r="M536" s="15" t="s">
        <v>275</v>
      </c>
    </row>
    <row r="537" spans="1:13">
      <c r="A537" s="98">
        <v>43488</v>
      </c>
      <c r="B537" s="11" t="s">
        <v>15</v>
      </c>
      <c r="C537" s="11" t="s">
        <v>212</v>
      </c>
      <c r="D537" s="11" t="s">
        <v>209</v>
      </c>
      <c r="E537" s="11" t="s">
        <v>7</v>
      </c>
      <c r="F537" s="11" t="s">
        <v>78</v>
      </c>
      <c r="G537" s="11" t="s">
        <v>79</v>
      </c>
      <c r="H537" s="12">
        <v>6.3</v>
      </c>
      <c r="I537" s="13"/>
      <c r="J537" s="12">
        <v>0.02</v>
      </c>
      <c r="K537" s="14">
        <v>3</v>
      </c>
      <c r="L537" s="11" t="s">
        <v>605</v>
      </c>
      <c r="M537" s="15" t="s">
        <v>276</v>
      </c>
    </row>
    <row r="538" spans="1:13">
      <c r="A538" s="98">
        <v>43494</v>
      </c>
      <c r="B538" s="11" t="s">
        <v>15</v>
      </c>
      <c r="C538" s="11" t="s">
        <v>212</v>
      </c>
      <c r="D538" s="11" t="s">
        <v>209</v>
      </c>
      <c r="E538" s="11" t="s">
        <v>7</v>
      </c>
      <c r="F538" s="11" t="s">
        <v>78</v>
      </c>
      <c r="G538" s="11" t="s">
        <v>79</v>
      </c>
      <c r="H538" s="12">
        <v>7.54</v>
      </c>
      <c r="I538" s="13"/>
      <c r="J538" s="12">
        <v>0.02</v>
      </c>
      <c r="K538" s="14">
        <v>3</v>
      </c>
      <c r="L538" s="11" t="s">
        <v>605</v>
      </c>
      <c r="M538" s="15" t="s">
        <v>277</v>
      </c>
    </row>
    <row r="539" spans="1:13">
      <c r="A539" s="98">
        <v>43495</v>
      </c>
      <c r="B539" s="11" t="s">
        <v>15</v>
      </c>
      <c r="C539" s="11" t="s">
        <v>212</v>
      </c>
      <c r="D539" s="11" t="s">
        <v>209</v>
      </c>
      <c r="E539" s="11" t="s">
        <v>7</v>
      </c>
      <c r="F539" s="11" t="s">
        <v>78</v>
      </c>
      <c r="G539" s="11" t="s">
        <v>79</v>
      </c>
      <c r="H539" s="12">
        <v>7.35</v>
      </c>
      <c r="I539" s="13"/>
      <c r="J539" s="12">
        <v>0.02</v>
      </c>
      <c r="K539" s="14">
        <v>3</v>
      </c>
      <c r="L539" s="11" t="s">
        <v>605</v>
      </c>
      <c r="M539" s="15" t="s">
        <v>278</v>
      </c>
    </row>
    <row r="540" spans="1:13">
      <c r="A540" s="98">
        <v>43496</v>
      </c>
      <c r="B540" s="11" t="s">
        <v>15</v>
      </c>
      <c r="C540" s="11" t="s">
        <v>212</v>
      </c>
      <c r="D540" s="11" t="s">
        <v>209</v>
      </c>
      <c r="E540" s="11" t="s">
        <v>7</v>
      </c>
      <c r="F540" s="11" t="s">
        <v>78</v>
      </c>
      <c r="G540" s="11" t="s">
        <v>79</v>
      </c>
      <c r="H540" s="12">
        <v>6.55</v>
      </c>
      <c r="I540" s="13"/>
      <c r="J540" s="12">
        <v>0.02</v>
      </c>
      <c r="K540" s="14">
        <v>3</v>
      </c>
      <c r="L540" s="11" t="s">
        <v>605</v>
      </c>
      <c r="M540" s="15" t="s">
        <v>279</v>
      </c>
    </row>
    <row r="541" spans="1:13">
      <c r="A541" s="98">
        <v>43501</v>
      </c>
      <c r="B541" s="11" t="s">
        <v>15</v>
      </c>
      <c r="C541" s="11" t="s">
        <v>212</v>
      </c>
      <c r="D541" s="11" t="s">
        <v>209</v>
      </c>
      <c r="E541" s="11" t="s">
        <v>7</v>
      </c>
      <c r="F541" s="11" t="s">
        <v>78</v>
      </c>
      <c r="G541" s="11" t="s">
        <v>79</v>
      </c>
      <c r="H541" s="12">
        <v>5.9</v>
      </c>
      <c r="I541" s="13"/>
      <c r="J541" s="12">
        <v>0.02</v>
      </c>
      <c r="K541" s="14">
        <v>3</v>
      </c>
      <c r="L541" s="11" t="s">
        <v>605</v>
      </c>
      <c r="M541" s="15" t="s">
        <v>280</v>
      </c>
    </row>
    <row r="542" spans="1:13">
      <c r="A542" s="98">
        <v>43502</v>
      </c>
      <c r="B542" s="11" t="s">
        <v>15</v>
      </c>
      <c r="C542" s="11" t="s">
        <v>212</v>
      </c>
      <c r="D542" s="11" t="s">
        <v>209</v>
      </c>
      <c r="E542" s="11" t="s">
        <v>7</v>
      </c>
      <c r="F542" s="11" t="s">
        <v>78</v>
      </c>
      <c r="G542" s="11" t="s">
        <v>79</v>
      </c>
      <c r="H542" s="12">
        <v>6.31</v>
      </c>
      <c r="I542" s="13"/>
      <c r="J542" s="12">
        <v>0.02</v>
      </c>
      <c r="K542" s="14">
        <v>3</v>
      </c>
      <c r="L542" s="11" t="s">
        <v>605</v>
      </c>
      <c r="M542" s="15" t="s">
        <v>281</v>
      </c>
    </row>
    <row r="543" spans="1:13">
      <c r="A543" s="98">
        <v>43503</v>
      </c>
      <c r="B543" s="11" t="s">
        <v>15</v>
      </c>
      <c r="C543" s="11" t="s">
        <v>212</v>
      </c>
      <c r="D543" s="11" t="s">
        <v>209</v>
      </c>
      <c r="E543" s="11" t="s">
        <v>7</v>
      </c>
      <c r="F543" s="11" t="s">
        <v>78</v>
      </c>
      <c r="G543" s="11" t="s">
        <v>79</v>
      </c>
      <c r="H543" s="12">
        <v>6.62</v>
      </c>
      <c r="I543" s="13"/>
      <c r="J543" s="12">
        <v>0.02</v>
      </c>
      <c r="K543" s="14">
        <v>3</v>
      </c>
      <c r="L543" s="11" t="s">
        <v>605</v>
      </c>
      <c r="M543" s="15" t="s">
        <v>282</v>
      </c>
    </row>
    <row r="544" spans="1:13">
      <c r="A544" s="98">
        <v>43508</v>
      </c>
      <c r="B544" s="11" t="s">
        <v>15</v>
      </c>
      <c r="C544" s="11" t="s">
        <v>212</v>
      </c>
      <c r="D544" s="11" t="s">
        <v>209</v>
      </c>
      <c r="E544" s="11" t="s">
        <v>7</v>
      </c>
      <c r="F544" s="11" t="s">
        <v>78</v>
      </c>
      <c r="G544" s="11" t="s">
        <v>79</v>
      </c>
      <c r="H544" s="12">
        <v>6.35</v>
      </c>
      <c r="I544" s="13"/>
      <c r="J544" s="12">
        <v>0.02</v>
      </c>
      <c r="K544" s="14">
        <v>3</v>
      </c>
      <c r="L544" s="11" t="s">
        <v>605</v>
      </c>
      <c r="M544" s="15" t="s">
        <v>283</v>
      </c>
    </row>
    <row r="545" spans="1:13">
      <c r="A545" s="98">
        <v>43509</v>
      </c>
      <c r="B545" s="11" t="s">
        <v>15</v>
      </c>
      <c r="C545" s="11" t="s">
        <v>212</v>
      </c>
      <c r="D545" s="11" t="s">
        <v>209</v>
      </c>
      <c r="E545" s="11" t="s">
        <v>7</v>
      </c>
      <c r="F545" s="11" t="s">
        <v>78</v>
      </c>
      <c r="G545" s="11" t="s">
        <v>79</v>
      </c>
      <c r="H545" s="12">
        <v>6.17</v>
      </c>
      <c r="I545" s="13"/>
      <c r="J545" s="12">
        <v>0.02</v>
      </c>
      <c r="K545" s="14">
        <v>3</v>
      </c>
      <c r="L545" s="11" t="s">
        <v>605</v>
      </c>
      <c r="M545" s="15" t="s">
        <v>284</v>
      </c>
    </row>
    <row r="546" spans="1:13">
      <c r="A546" s="98">
        <v>43510</v>
      </c>
      <c r="B546" s="11" t="s">
        <v>15</v>
      </c>
      <c r="C546" s="11" t="s">
        <v>212</v>
      </c>
      <c r="D546" s="11" t="s">
        <v>209</v>
      </c>
      <c r="E546" s="11" t="s">
        <v>7</v>
      </c>
      <c r="F546" s="11" t="s">
        <v>78</v>
      </c>
      <c r="G546" s="11" t="s">
        <v>79</v>
      </c>
      <c r="H546" s="12">
        <v>6.11</v>
      </c>
      <c r="I546" s="13"/>
      <c r="J546" s="12">
        <v>0.02</v>
      </c>
      <c r="K546" s="14">
        <v>3</v>
      </c>
      <c r="L546" s="11" t="s">
        <v>605</v>
      </c>
      <c r="M546" s="15" t="s">
        <v>285</v>
      </c>
    </row>
    <row r="547" spans="1:13">
      <c r="A547" s="98">
        <v>43515</v>
      </c>
      <c r="B547" s="11" t="s">
        <v>15</v>
      </c>
      <c r="C547" s="11" t="s">
        <v>212</v>
      </c>
      <c r="D547" s="11" t="s">
        <v>209</v>
      </c>
      <c r="E547" s="11" t="s">
        <v>7</v>
      </c>
      <c r="F547" s="11" t="s">
        <v>78</v>
      </c>
      <c r="G547" s="11" t="s">
        <v>79</v>
      </c>
      <c r="H547" s="12">
        <v>6.71</v>
      </c>
      <c r="I547" s="13"/>
      <c r="J547" s="12">
        <v>0.02</v>
      </c>
      <c r="K547" s="14">
        <v>3</v>
      </c>
      <c r="L547" s="11" t="s">
        <v>605</v>
      </c>
      <c r="M547" s="15" t="s">
        <v>286</v>
      </c>
    </row>
    <row r="548" spans="1:13">
      <c r="A548" s="98">
        <v>43516</v>
      </c>
      <c r="B548" s="11" t="s">
        <v>15</v>
      </c>
      <c r="C548" s="11" t="s">
        <v>212</v>
      </c>
      <c r="D548" s="11" t="s">
        <v>209</v>
      </c>
      <c r="E548" s="11" t="s">
        <v>7</v>
      </c>
      <c r="F548" s="11" t="s">
        <v>78</v>
      </c>
      <c r="G548" s="11" t="s">
        <v>79</v>
      </c>
      <c r="H548" s="12">
        <v>6.38</v>
      </c>
      <c r="I548" s="13"/>
      <c r="J548" s="12">
        <v>0.02</v>
      </c>
      <c r="K548" s="14">
        <v>3</v>
      </c>
      <c r="L548" s="11" t="s">
        <v>605</v>
      </c>
      <c r="M548" s="15" t="s">
        <v>287</v>
      </c>
    </row>
    <row r="549" spans="1:13">
      <c r="A549" s="98">
        <v>43517</v>
      </c>
      <c r="B549" s="11" t="s">
        <v>15</v>
      </c>
      <c r="C549" s="11" t="s">
        <v>212</v>
      </c>
      <c r="D549" s="11" t="s">
        <v>209</v>
      </c>
      <c r="E549" s="11" t="s">
        <v>7</v>
      </c>
      <c r="F549" s="11" t="s">
        <v>78</v>
      </c>
      <c r="G549" s="11" t="s">
        <v>79</v>
      </c>
      <c r="H549" s="12">
        <v>6.94</v>
      </c>
      <c r="I549" s="13"/>
      <c r="J549" s="12">
        <v>0.02</v>
      </c>
      <c r="K549" s="14">
        <v>3</v>
      </c>
      <c r="L549" s="11" t="s">
        <v>605</v>
      </c>
      <c r="M549" s="15" t="s">
        <v>288</v>
      </c>
    </row>
    <row r="550" spans="1:13">
      <c r="A550" s="98">
        <v>43522</v>
      </c>
      <c r="B550" s="11" t="s">
        <v>15</v>
      </c>
      <c r="C550" s="11" t="s">
        <v>212</v>
      </c>
      <c r="D550" s="11" t="s">
        <v>209</v>
      </c>
      <c r="E550" s="11" t="s">
        <v>7</v>
      </c>
      <c r="F550" s="11" t="s">
        <v>78</v>
      </c>
      <c r="G550" s="11" t="s">
        <v>79</v>
      </c>
      <c r="H550" s="12">
        <v>5.63</v>
      </c>
      <c r="I550" s="13"/>
      <c r="J550" s="12">
        <v>0.02</v>
      </c>
      <c r="K550" s="14">
        <v>3</v>
      </c>
      <c r="L550" s="11" t="s">
        <v>605</v>
      </c>
      <c r="M550" s="15" t="s">
        <v>289</v>
      </c>
    </row>
    <row r="551" spans="1:13">
      <c r="A551" s="98">
        <v>43523</v>
      </c>
      <c r="B551" s="11" t="s">
        <v>15</v>
      </c>
      <c r="C551" s="11" t="s">
        <v>212</v>
      </c>
      <c r="D551" s="11" t="s">
        <v>209</v>
      </c>
      <c r="E551" s="11" t="s">
        <v>7</v>
      </c>
      <c r="F551" s="11" t="s">
        <v>78</v>
      </c>
      <c r="G551" s="11" t="s">
        <v>79</v>
      </c>
      <c r="H551" s="12">
        <v>5.76</v>
      </c>
      <c r="I551" s="13"/>
      <c r="J551" s="12">
        <v>0.02</v>
      </c>
      <c r="K551" s="14">
        <v>3</v>
      </c>
      <c r="L551" s="11" t="s">
        <v>605</v>
      </c>
      <c r="M551" s="15" t="s">
        <v>290</v>
      </c>
    </row>
    <row r="552" spans="1:13">
      <c r="A552" s="98">
        <v>43524</v>
      </c>
      <c r="B552" s="11" t="s">
        <v>15</v>
      </c>
      <c r="C552" s="11" t="s">
        <v>212</v>
      </c>
      <c r="D552" s="11" t="s">
        <v>209</v>
      </c>
      <c r="E552" s="11" t="s">
        <v>7</v>
      </c>
      <c r="F552" s="11" t="s">
        <v>78</v>
      </c>
      <c r="G552" s="11" t="s">
        <v>79</v>
      </c>
      <c r="H552" s="12">
        <v>6.67</v>
      </c>
      <c r="I552" s="13"/>
      <c r="J552" s="12">
        <v>0.02</v>
      </c>
      <c r="K552" s="14">
        <v>3</v>
      </c>
      <c r="L552" s="11" t="s">
        <v>605</v>
      </c>
      <c r="M552" s="15" t="s">
        <v>291</v>
      </c>
    </row>
    <row r="553" spans="1:13">
      <c r="A553" s="98">
        <v>43527</v>
      </c>
      <c r="B553" s="11" t="s">
        <v>15</v>
      </c>
      <c r="C553" s="11" t="s">
        <v>212</v>
      </c>
      <c r="D553" s="11" t="s">
        <v>209</v>
      </c>
      <c r="E553" s="11" t="s">
        <v>7</v>
      </c>
      <c r="F553" s="11" t="s">
        <v>78</v>
      </c>
      <c r="G553" s="11" t="s">
        <v>79</v>
      </c>
      <c r="H553" s="12">
        <v>6.5</v>
      </c>
      <c r="I553" s="13"/>
      <c r="J553" s="12">
        <v>0.02</v>
      </c>
      <c r="K553" s="14">
        <v>3</v>
      </c>
      <c r="L553" s="11" t="s">
        <v>605</v>
      </c>
      <c r="M553" s="15" t="s">
        <v>292</v>
      </c>
    </row>
    <row r="554" spans="1:13">
      <c r="A554" s="98">
        <v>43528</v>
      </c>
      <c r="B554" s="11" t="s">
        <v>15</v>
      </c>
      <c r="C554" s="11" t="s">
        <v>212</v>
      </c>
      <c r="D554" s="11" t="s">
        <v>209</v>
      </c>
      <c r="E554" s="11" t="s">
        <v>7</v>
      </c>
      <c r="F554" s="11" t="s">
        <v>78</v>
      </c>
      <c r="G554" s="11" t="s">
        <v>79</v>
      </c>
      <c r="H554" s="12">
        <v>6.03</v>
      </c>
      <c r="I554" s="13"/>
      <c r="J554" s="12">
        <v>0.02</v>
      </c>
      <c r="K554" s="14">
        <v>3</v>
      </c>
      <c r="L554" s="11" t="s">
        <v>605</v>
      </c>
      <c r="M554" s="15" t="s">
        <v>293</v>
      </c>
    </row>
    <row r="555" spans="1:13">
      <c r="A555" s="98">
        <v>43529</v>
      </c>
      <c r="B555" s="11" t="s">
        <v>15</v>
      </c>
      <c r="C555" s="11" t="s">
        <v>212</v>
      </c>
      <c r="D555" s="11" t="s">
        <v>209</v>
      </c>
      <c r="E555" s="11" t="s">
        <v>7</v>
      </c>
      <c r="F555" s="11" t="s">
        <v>78</v>
      </c>
      <c r="G555" s="11" t="s">
        <v>79</v>
      </c>
      <c r="H555" s="12">
        <v>5.72</v>
      </c>
      <c r="I555" s="13"/>
      <c r="J555" s="12">
        <v>0.02</v>
      </c>
      <c r="K555" s="14">
        <v>3</v>
      </c>
      <c r="L555" s="11" t="s">
        <v>605</v>
      </c>
      <c r="M555" s="15" t="s">
        <v>294</v>
      </c>
    </row>
    <row r="556" spans="1:13">
      <c r="A556" s="98">
        <v>43534</v>
      </c>
      <c r="B556" s="11" t="s">
        <v>15</v>
      </c>
      <c r="C556" s="11" t="s">
        <v>212</v>
      </c>
      <c r="D556" s="11" t="s">
        <v>209</v>
      </c>
      <c r="E556" s="11" t="s">
        <v>7</v>
      </c>
      <c r="F556" s="11" t="s">
        <v>78</v>
      </c>
      <c r="G556" s="11" t="s">
        <v>79</v>
      </c>
      <c r="H556" s="12">
        <v>5.99</v>
      </c>
      <c r="I556" s="13"/>
      <c r="J556" s="12">
        <v>0.02</v>
      </c>
      <c r="K556" s="14">
        <v>3</v>
      </c>
      <c r="L556" s="11" t="s">
        <v>605</v>
      </c>
      <c r="M556" s="15" t="s">
        <v>295</v>
      </c>
    </row>
    <row r="557" spans="1:13">
      <c r="A557" s="98">
        <v>43535</v>
      </c>
      <c r="B557" s="11" t="s">
        <v>15</v>
      </c>
      <c r="C557" s="11" t="s">
        <v>212</v>
      </c>
      <c r="D557" s="11" t="s">
        <v>209</v>
      </c>
      <c r="E557" s="11" t="s">
        <v>7</v>
      </c>
      <c r="F557" s="11" t="s">
        <v>78</v>
      </c>
      <c r="G557" s="11" t="s">
        <v>79</v>
      </c>
      <c r="H557" s="12">
        <v>5.57</v>
      </c>
      <c r="I557" s="13"/>
      <c r="J557" s="12">
        <v>0.02</v>
      </c>
      <c r="K557" s="14">
        <v>3</v>
      </c>
      <c r="L557" s="11" t="s">
        <v>605</v>
      </c>
      <c r="M557" s="15" t="s">
        <v>296</v>
      </c>
    </row>
    <row r="558" spans="1:13">
      <c r="A558" s="98">
        <v>43536</v>
      </c>
      <c r="B558" s="11" t="s">
        <v>15</v>
      </c>
      <c r="C558" s="11" t="s">
        <v>212</v>
      </c>
      <c r="D558" s="11" t="s">
        <v>209</v>
      </c>
      <c r="E558" s="11" t="s">
        <v>7</v>
      </c>
      <c r="F558" s="11" t="s">
        <v>78</v>
      </c>
      <c r="G558" s="11" t="s">
        <v>79</v>
      </c>
      <c r="H558" s="12">
        <v>6</v>
      </c>
      <c r="I558" s="13"/>
      <c r="J558" s="12">
        <v>0.02</v>
      </c>
      <c r="K558" s="14">
        <v>3</v>
      </c>
      <c r="L558" s="11" t="s">
        <v>605</v>
      </c>
      <c r="M558" s="15" t="s">
        <v>297</v>
      </c>
    </row>
    <row r="559" spans="1:13">
      <c r="A559" s="98">
        <v>43541</v>
      </c>
      <c r="B559" s="11" t="s">
        <v>15</v>
      </c>
      <c r="C559" s="11" t="s">
        <v>212</v>
      </c>
      <c r="D559" s="11" t="s">
        <v>209</v>
      </c>
      <c r="E559" s="11" t="s">
        <v>7</v>
      </c>
      <c r="F559" s="11" t="s">
        <v>78</v>
      </c>
      <c r="G559" s="11" t="s">
        <v>79</v>
      </c>
      <c r="H559" s="12">
        <v>6.14</v>
      </c>
      <c r="I559" s="13"/>
      <c r="J559" s="12">
        <v>0.02</v>
      </c>
      <c r="K559" s="14">
        <v>3</v>
      </c>
      <c r="L559" s="11" t="s">
        <v>605</v>
      </c>
      <c r="M559" s="15" t="s">
        <v>298</v>
      </c>
    </row>
    <row r="560" spans="1:13">
      <c r="A560" s="98">
        <v>43542</v>
      </c>
      <c r="B560" s="11" t="s">
        <v>15</v>
      </c>
      <c r="C560" s="11" t="s">
        <v>212</v>
      </c>
      <c r="D560" s="11" t="s">
        <v>209</v>
      </c>
      <c r="E560" s="11" t="s">
        <v>7</v>
      </c>
      <c r="F560" s="11" t="s">
        <v>78</v>
      </c>
      <c r="G560" s="11" t="s">
        <v>79</v>
      </c>
      <c r="H560" s="12">
        <v>5.24</v>
      </c>
      <c r="I560" s="13"/>
      <c r="J560" s="12">
        <v>0.02</v>
      </c>
      <c r="K560" s="14">
        <v>3</v>
      </c>
      <c r="L560" s="11" t="s">
        <v>605</v>
      </c>
      <c r="M560" s="15" t="s">
        <v>299</v>
      </c>
    </row>
    <row r="561" spans="1:13">
      <c r="A561" s="98">
        <v>43543</v>
      </c>
      <c r="B561" s="11" t="s">
        <v>15</v>
      </c>
      <c r="C561" s="11" t="s">
        <v>212</v>
      </c>
      <c r="D561" s="11" t="s">
        <v>209</v>
      </c>
      <c r="E561" s="11" t="s">
        <v>7</v>
      </c>
      <c r="F561" s="11" t="s">
        <v>78</v>
      </c>
      <c r="G561" s="11" t="s">
        <v>79</v>
      </c>
      <c r="H561" s="12">
        <v>6.25</v>
      </c>
      <c r="I561" s="13"/>
      <c r="J561" s="12">
        <v>0.02</v>
      </c>
      <c r="K561" s="14">
        <v>3</v>
      </c>
      <c r="L561" s="11" t="s">
        <v>605</v>
      </c>
      <c r="M561" s="15" t="s">
        <v>300</v>
      </c>
    </row>
    <row r="562" spans="1:13">
      <c r="A562" s="98">
        <v>43548</v>
      </c>
      <c r="B562" s="11" t="s">
        <v>15</v>
      </c>
      <c r="C562" s="11" t="s">
        <v>212</v>
      </c>
      <c r="D562" s="11" t="s">
        <v>209</v>
      </c>
      <c r="E562" s="11" t="s">
        <v>7</v>
      </c>
      <c r="F562" s="11" t="s">
        <v>78</v>
      </c>
      <c r="G562" s="11" t="s">
        <v>79</v>
      </c>
      <c r="H562" s="12">
        <v>5.88</v>
      </c>
      <c r="I562" s="13"/>
      <c r="J562" s="12">
        <v>0.02</v>
      </c>
      <c r="K562" s="14">
        <v>3</v>
      </c>
      <c r="L562" s="11" t="s">
        <v>605</v>
      </c>
      <c r="M562" s="15" t="s">
        <v>301</v>
      </c>
    </row>
    <row r="563" spans="1:13">
      <c r="A563" s="98">
        <v>43549</v>
      </c>
      <c r="B563" s="11" t="s">
        <v>15</v>
      </c>
      <c r="C563" s="11" t="s">
        <v>212</v>
      </c>
      <c r="D563" s="11" t="s">
        <v>209</v>
      </c>
      <c r="E563" s="11" t="s">
        <v>7</v>
      </c>
      <c r="F563" s="11" t="s">
        <v>78</v>
      </c>
      <c r="G563" s="11" t="s">
        <v>79</v>
      </c>
      <c r="H563" s="12">
        <v>4.93</v>
      </c>
      <c r="I563" s="13"/>
      <c r="J563" s="12">
        <v>0.02</v>
      </c>
      <c r="K563" s="14">
        <v>3</v>
      </c>
      <c r="L563" s="11" t="s">
        <v>605</v>
      </c>
      <c r="M563" s="15" t="s">
        <v>302</v>
      </c>
    </row>
    <row r="564" spans="1:13">
      <c r="A564" s="98">
        <v>43550</v>
      </c>
      <c r="B564" s="11" t="s">
        <v>15</v>
      </c>
      <c r="C564" s="11" t="s">
        <v>212</v>
      </c>
      <c r="D564" s="11" t="s">
        <v>209</v>
      </c>
      <c r="E564" s="11" t="s">
        <v>7</v>
      </c>
      <c r="F564" s="11" t="s">
        <v>78</v>
      </c>
      <c r="G564" s="11" t="s">
        <v>79</v>
      </c>
      <c r="H564" s="12">
        <v>4.9400000000000004</v>
      </c>
      <c r="I564" s="13"/>
      <c r="J564" s="12">
        <v>0.02</v>
      </c>
      <c r="K564" s="14">
        <v>3</v>
      </c>
      <c r="L564" s="11" t="s">
        <v>605</v>
      </c>
      <c r="M564" s="15" t="s">
        <v>303</v>
      </c>
    </row>
    <row r="565" spans="1:13">
      <c r="A565" s="98">
        <v>43555</v>
      </c>
      <c r="B565" s="11" t="s">
        <v>15</v>
      </c>
      <c r="C565" s="11" t="s">
        <v>212</v>
      </c>
      <c r="D565" s="11" t="s">
        <v>209</v>
      </c>
      <c r="E565" s="11" t="s">
        <v>7</v>
      </c>
      <c r="F565" s="11" t="s">
        <v>78</v>
      </c>
      <c r="G565" s="11" t="s">
        <v>79</v>
      </c>
      <c r="H565" s="12">
        <v>5.28</v>
      </c>
      <c r="I565" s="13"/>
      <c r="J565" s="12">
        <v>0.02</v>
      </c>
      <c r="K565" s="14">
        <v>3</v>
      </c>
      <c r="L565" s="11" t="s">
        <v>605</v>
      </c>
      <c r="M565" s="15" t="s">
        <v>304</v>
      </c>
    </row>
    <row r="566" spans="1:13">
      <c r="A566" s="98">
        <v>43556</v>
      </c>
      <c r="B566" s="11" t="s">
        <v>15</v>
      </c>
      <c r="C566" s="11" t="s">
        <v>212</v>
      </c>
      <c r="D566" s="11" t="s">
        <v>209</v>
      </c>
      <c r="E566" s="11" t="s">
        <v>7</v>
      </c>
      <c r="F566" s="11" t="s">
        <v>78</v>
      </c>
      <c r="G566" s="11" t="s">
        <v>79</v>
      </c>
      <c r="H566" s="12">
        <v>4.34</v>
      </c>
      <c r="I566" s="13"/>
      <c r="J566" s="12">
        <v>0.02</v>
      </c>
      <c r="K566" s="14">
        <v>3</v>
      </c>
      <c r="L566" s="11" t="s">
        <v>605</v>
      </c>
      <c r="M566" s="15" t="s">
        <v>305</v>
      </c>
    </row>
    <row r="567" spans="1:13">
      <c r="A567" s="98">
        <v>43557</v>
      </c>
      <c r="B567" s="11" t="s">
        <v>15</v>
      </c>
      <c r="C567" s="11" t="s">
        <v>212</v>
      </c>
      <c r="D567" s="11" t="s">
        <v>209</v>
      </c>
      <c r="E567" s="11" t="s">
        <v>7</v>
      </c>
      <c r="F567" s="11" t="s">
        <v>78</v>
      </c>
      <c r="G567" s="11" t="s">
        <v>79</v>
      </c>
      <c r="H567" s="12">
        <v>2.8</v>
      </c>
      <c r="I567" s="13"/>
      <c r="J567" s="12">
        <v>0.02</v>
      </c>
      <c r="K567" s="14">
        <v>3</v>
      </c>
      <c r="L567" s="11" t="s">
        <v>605</v>
      </c>
      <c r="M567" s="15" t="s">
        <v>306</v>
      </c>
    </row>
    <row r="568" spans="1:13">
      <c r="A568" s="98">
        <v>43565</v>
      </c>
      <c r="B568" s="11" t="s">
        <v>15</v>
      </c>
      <c r="C568" s="11" t="s">
        <v>212</v>
      </c>
      <c r="D568" s="11" t="s">
        <v>209</v>
      </c>
      <c r="E568" s="11" t="s">
        <v>7</v>
      </c>
      <c r="F568" s="11" t="s">
        <v>78</v>
      </c>
      <c r="G568" s="11" t="s">
        <v>79</v>
      </c>
      <c r="H568" s="12">
        <v>5.68</v>
      </c>
      <c r="I568" s="13"/>
      <c r="J568" s="12">
        <v>0.06</v>
      </c>
      <c r="K568" s="14">
        <v>3</v>
      </c>
      <c r="L568" s="11" t="s">
        <v>607</v>
      </c>
      <c r="M568" s="15" t="s">
        <v>307</v>
      </c>
    </row>
    <row r="569" spans="1:13">
      <c r="A569" s="98">
        <v>43566</v>
      </c>
      <c r="B569" s="11" t="s">
        <v>15</v>
      </c>
      <c r="C569" s="11" t="s">
        <v>212</v>
      </c>
      <c r="D569" s="11" t="s">
        <v>209</v>
      </c>
      <c r="E569" s="11" t="s">
        <v>7</v>
      </c>
      <c r="F569" s="11" t="s">
        <v>78</v>
      </c>
      <c r="G569" s="11" t="s">
        <v>79</v>
      </c>
      <c r="H569" s="12">
        <v>6.22</v>
      </c>
      <c r="I569" s="13"/>
      <c r="J569" s="12">
        <v>0.02</v>
      </c>
      <c r="K569" s="14">
        <v>3</v>
      </c>
      <c r="L569" s="11" t="s">
        <v>605</v>
      </c>
      <c r="M569" s="15" t="s">
        <v>308</v>
      </c>
    </row>
    <row r="570" spans="1:13">
      <c r="A570" s="98">
        <v>43567</v>
      </c>
      <c r="B570" s="11" t="s">
        <v>15</v>
      </c>
      <c r="C570" s="11" t="s">
        <v>212</v>
      </c>
      <c r="D570" s="11" t="s">
        <v>209</v>
      </c>
      <c r="E570" s="11" t="s">
        <v>7</v>
      </c>
      <c r="F570" s="11" t="s">
        <v>78</v>
      </c>
      <c r="G570" s="11" t="s">
        <v>79</v>
      </c>
      <c r="H570" s="12">
        <v>5.89</v>
      </c>
      <c r="I570" s="13"/>
      <c r="J570" s="12">
        <v>0.02</v>
      </c>
      <c r="K570" s="14">
        <v>3</v>
      </c>
      <c r="L570" s="11" t="s">
        <v>605</v>
      </c>
      <c r="M570" s="15" t="s">
        <v>309</v>
      </c>
    </row>
    <row r="571" spans="1:13">
      <c r="A571" s="98">
        <v>43572</v>
      </c>
      <c r="B571" s="11" t="s">
        <v>15</v>
      </c>
      <c r="C571" s="11" t="s">
        <v>212</v>
      </c>
      <c r="D571" s="11" t="s">
        <v>209</v>
      </c>
      <c r="E571" s="11" t="s">
        <v>7</v>
      </c>
      <c r="F571" s="11" t="s">
        <v>78</v>
      </c>
      <c r="G571" s="11" t="s">
        <v>79</v>
      </c>
      <c r="H571" s="12">
        <v>4.3099999999999996</v>
      </c>
      <c r="I571" s="13"/>
      <c r="J571" s="12">
        <v>0.02</v>
      </c>
      <c r="K571" s="14">
        <v>3</v>
      </c>
      <c r="L571" s="11" t="s">
        <v>605</v>
      </c>
      <c r="M571" s="15" t="s">
        <v>310</v>
      </c>
    </row>
    <row r="572" spans="1:13">
      <c r="A572" s="98">
        <v>43573</v>
      </c>
      <c r="B572" s="11" t="s">
        <v>15</v>
      </c>
      <c r="C572" s="11" t="s">
        <v>212</v>
      </c>
      <c r="D572" s="11" t="s">
        <v>209</v>
      </c>
      <c r="E572" s="11" t="s">
        <v>7</v>
      </c>
      <c r="F572" s="11" t="s">
        <v>78</v>
      </c>
      <c r="G572" s="11" t="s">
        <v>79</v>
      </c>
      <c r="H572" s="12">
        <v>3.72</v>
      </c>
      <c r="I572" s="13"/>
      <c r="J572" s="12">
        <v>0.02</v>
      </c>
      <c r="K572" s="14">
        <v>3</v>
      </c>
      <c r="L572" s="11" t="s">
        <v>605</v>
      </c>
      <c r="M572" s="15" t="s">
        <v>311</v>
      </c>
    </row>
    <row r="573" spans="1:13">
      <c r="A573" s="98">
        <v>43574</v>
      </c>
      <c r="B573" s="11" t="s">
        <v>15</v>
      </c>
      <c r="C573" s="11" t="s">
        <v>212</v>
      </c>
      <c r="D573" s="11" t="s">
        <v>209</v>
      </c>
      <c r="E573" s="11" t="s">
        <v>7</v>
      </c>
      <c r="F573" s="11" t="s">
        <v>78</v>
      </c>
      <c r="G573" s="11" t="s">
        <v>79</v>
      </c>
      <c r="H573" s="12">
        <v>2.0299999999999998</v>
      </c>
      <c r="I573" s="13"/>
      <c r="J573" s="12">
        <v>0.02</v>
      </c>
      <c r="K573" s="14">
        <v>3</v>
      </c>
      <c r="L573" s="11" t="s">
        <v>605</v>
      </c>
      <c r="M573" s="15" t="s">
        <v>312</v>
      </c>
    </row>
    <row r="574" spans="1:13">
      <c r="A574" s="98">
        <v>43579</v>
      </c>
      <c r="B574" s="11" t="s">
        <v>15</v>
      </c>
      <c r="C574" s="11" t="s">
        <v>212</v>
      </c>
      <c r="D574" s="11" t="s">
        <v>209</v>
      </c>
      <c r="E574" s="11" t="s">
        <v>7</v>
      </c>
      <c r="F574" s="11" t="s">
        <v>78</v>
      </c>
      <c r="G574" s="11" t="s">
        <v>79</v>
      </c>
      <c r="H574" s="12">
        <v>6.59</v>
      </c>
      <c r="I574" s="13"/>
      <c r="J574" s="12">
        <v>0.06</v>
      </c>
      <c r="K574" s="14">
        <v>3</v>
      </c>
      <c r="L574" s="11" t="s">
        <v>607</v>
      </c>
      <c r="M574" s="15" t="s">
        <v>313</v>
      </c>
    </row>
    <row r="575" spans="1:13">
      <c r="A575" s="98">
        <v>43580</v>
      </c>
      <c r="B575" s="11" t="s">
        <v>15</v>
      </c>
      <c r="C575" s="11" t="s">
        <v>212</v>
      </c>
      <c r="D575" s="11" t="s">
        <v>209</v>
      </c>
      <c r="E575" s="11" t="s">
        <v>7</v>
      </c>
      <c r="F575" s="11" t="s">
        <v>78</v>
      </c>
      <c r="G575" s="11" t="s">
        <v>79</v>
      </c>
      <c r="H575" s="12">
        <v>5.0999999999999996</v>
      </c>
      <c r="I575" s="13"/>
      <c r="J575" s="12">
        <v>0.02</v>
      </c>
      <c r="K575" s="14">
        <v>3</v>
      </c>
      <c r="L575" s="11" t="s">
        <v>605</v>
      </c>
      <c r="M575" s="15" t="s">
        <v>314</v>
      </c>
    </row>
    <row r="576" spans="1:13">
      <c r="A576" s="98">
        <v>43581</v>
      </c>
      <c r="B576" s="11" t="s">
        <v>15</v>
      </c>
      <c r="C576" s="11" t="s">
        <v>212</v>
      </c>
      <c r="D576" s="11" t="s">
        <v>209</v>
      </c>
      <c r="E576" s="11" t="s">
        <v>7</v>
      </c>
      <c r="F576" s="11" t="s">
        <v>78</v>
      </c>
      <c r="G576" s="11" t="s">
        <v>79</v>
      </c>
      <c r="H576" s="12">
        <v>3.61</v>
      </c>
      <c r="I576" s="13"/>
      <c r="J576" s="12">
        <v>0.06</v>
      </c>
      <c r="K576" s="14">
        <v>3</v>
      </c>
      <c r="L576" s="11" t="s">
        <v>607</v>
      </c>
      <c r="M576" s="15" t="s">
        <v>315</v>
      </c>
    </row>
    <row r="577" spans="1:13">
      <c r="A577" s="98">
        <v>43583</v>
      </c>
      <c r="B577" s="11" t="s">
        <v>15</v>
      </c>
      <c r="C577" s="11" t="s">
        <v>212</v>
      </c>
      <c r="D577" s="11" t="s">
        <v>209</v>
      </c>
      <c r="E577" s="11" t="s">
        <v>7</v>
      </c>
      <c r="F577" s="11" t="s">
        <v>78</v>
      </c>
      <c r="G577" s="11" t="s">
        <v>79</v>
      </c>
      <c r="H577" s="12">
        <v>3.64</v>
      </c>
      <c r="I577" s="13"/>
      <c r="J577" s="12">
        <v>0.02</v>
      </c>
      <c r="K577" s="14">
        <v>3</v>
      </c>
      <c r="L577" s="11" t="s">
        <v>605</v>
      </c>
      <c r="M577" s="15" t="s">
        <v>316</v>
      </c>
    </row>
    <row r="578" spans="1:13">
      <c r="A578" s="98">
        <v>43588</v>
      </c>
      <c r="B578" s="11" t="s">
        <v>15</v>
      </c>
      <c r="C578" s="11" t="s">
        <v>212</v>
      </c>
      <c r="D578" s="11" t="s">
        <v>209</v>
      </c>
      <c r="E578" s="11" t="s">
        <v>7</v>
      </c>
      <c r="F578" s="11" t="s">
        <v>78</v>
      </c>
      <c r="G578" s="11" t="s">
        <v>79</v>
      </c>
      <c r="H578" s="12">
        <v>4.3899999999999997</v>
      </c>
      <c r="I578" s="13"/>
      <c r="J578" s="12">
        <v>0.02</v>
      </c>
      <c r="K578" s="14">
        <v>3</v>
      </c>
      <c r="L578" s="11" t="s">
        <v>605</v>
      </c>
      <c r="M578" s="15" t="s">
        <v>317</v>
      </c>
    </row>
    <row r="579" spans="1:13">
      <c r="A579" s="98">
        <v>43589</v>
      </c>
      <c r="B579" s="11" t="s">
        <v>15</v>
      </c>
      <c r="C579" s="11" t="s">
        <v>212</v>
      </c>
      <c r="D579" s="11" t="s">
        <v>209</v>
      </c>
      <c r="E579" s="11" t="s">
        <v>7</v>
      </c>
      <c r="F579" s="11" t="s">
        <v>78</v>
      </c>
      <c r="G579" s="11" t="s">
        <v>79</v>
      </c>
      <c r="H579" s="12">
        <v>6.73</v>
      </c>
      <c r="I579" s="13"/>
      <c r="J579" s="12">
        <v>0.06</v>
      </c>
      <c r="K579" s="14">
        <v>3</v>
      </c>
      <c r="L579" s="11" t="s">
        <v>607</v>
      </c>
      <c r="M579" s="15" t="s">
        <v>318</v>
      </c>
    </row>
    <row r="580" spans="1:13">
      <c r="A580" s="98">
        <v>43590</v>
      </c>
      <c r="B580" s="11" t="s">
        <v>15</v>
      </c>
      <c r="C580" s="11" t="s">
        <v>212</v>
      </c>
      <c r="D580" s="11" t="s">
        <v>209</v>
      </c>
      <c r="E580" s="11" t="s">
        <v>7</v>
      </c>
      <c r="F580" s="11" t="s">
        <v>78</v>
      </c>
      <c r="G580" s="11" t="s">
        <v>79</v>
      </c>
      <c r="H580" s="12">
        <v>7.66</v>
      </c>
      <c r="I580" s="13"/>
      <c r="J580" s="12">
        <v>0.02</v>
      </c>
      <c r="K580" s="14">
        <v>3</v>
      </c>
      <c r="L580" s="11" t="s">
        <v>605</v>
      </c>
      <c r="M580" s="15" t="s">
        <v>319</v>
      </c>
    </row>
    <row r="581" spans="1:13">
      <c r="A581" s="98">
        <v>43595</v>
      </c>
      <c r="B581" s="11" t="s">
        <v>15</v>
      </c>
      <c r="C581" s="11" t="s">
        <v>212</v>
      </c>
      <c r="D581" s="11" t="s">
        <v>209</v>
      </c>
      <c r="E581" s="11" t="s">
        <v>7</v>
      </c>
      <c r="F581" s="11" t="s">
        <v>78</v>
      </c>
      <c r="G581" s="11" t="s">
        <v>79</v>
      </c>
      <c r="H581" s="12">
        <v>4.2699999999999996</v>
      </c>
      <c r="I581" s="13"/>
      <c r="J581" s="12">
        <v>0.02</v>
      </c>
      <c r="K581" s="14">
        <v>3</v>
      </c>
      <c r="L581" s="11" t="s">
        <v>605</v>
      </c>
      <c r="M581" s="15" t="s">
        <v>320</v>
      </c>
    </row>
    <row r="582" spans="1:13">
      <c r="A582" s="98">
        <v>43596</v>
      </c>
      <c r="B582" s="11" t="s">
        <v>15</v>
      </c>
      <c r="C582" s="11" t="s">
        <v>212</v>
      </c>
      <c r="D582" s="11" t="s">
        <v>209</v>
      </c>
      <c r="E582" s="11" t="s">
        <v>7</v>
      </c>
      <c r="F582" s="11" t="s">
        <v>78</v>
      </c>
      <c r="G582" s="11" t="s">
        <v>79</v>
      </c>
      <c r="H582" s="12">
        <v>3.97</v>
      </c>
      <c r="I582" s="13"/>
      <c r="J582" s="12">
        <v>0.02</v>
      </c>
      <c r="K582" s="14">
        <v>3</v>
      </c>
      <c r="L582" s="11" t="s">
        <v>605</v>
      </c>
      <c r="M582" s="15" t="s">
        <v>321</v>
      </c>
    </row>
    <row r="583" spans="1:13">
      <c r="A583" s="98">
        <v>43597</v>
      </c>
      <c r="B583" s="11" t="s">
        <v>15</v>
      </c>
      <c r="C583" s="11" t="s">
        <v>212</v>
      </c>
      <c r="D583" s="11" t="s">
        <v>209</v>
      </c>
      <c r="E583" s="11" t="s">
        <v>7</v>
      </c>
      <c r="F583" s="11" t="s">
        <v>78</v>
      </c>
      <c r="G583" s="11" t="s">
        <v>79</v>
      </c>
      <c r="H583" s="12">
        <v>4.1100000000000003</v>
      </c>
      <c r="I583" s="13"/>
      <c r="J583" s="12">
        <v>0.02</v>
      </c>
      <c r="K583" s="14">
        <v>3</v>
      </c>
      <c r="L583" s="11" t="s">
        <v>605</v>
      </c>
      <c r="M583" s="15" t="s">
        <v>322</v>
      </c>
    </row>
    <row r="584" spans="1:13">
      <c r="A584" s="98">
        <v>43602</v>
      </c>
      <c r="B584" s="11" t="s">
        <v>15</v>
      </c>
      <c r="C584" s="11" t="s">
        <v>212</v>
      </c>
      <c r="D584" s="11" t="s">
        <v>209</v>
      </c>
      <c r="E584" s="11" t="s">
        <v>7</v>
      </c>
      <c r="F584" s="11" t="s">
        <v>78</v>
      </c>
      <c r="G584" s="11" t="s">
        <v>79</v>
      </c>
      <c r="H584" s="12">
        <v>4.91</v>
      </c>
      <c r="I584" s="13"/>
      <c r="J584" s="12">
        <v>0.02</v>
      </c>
      <c r="K584" s="14">
        <v>3</v>
      </c>
      <c r="L584" s="11" t="s">
        <v>605</v>
      </c>
      <c r="M584" s="15" t="s">
        <v>323</v>
      </c>
    </row>
    <row r="585" spans="1:13">
      <c r="A585" s="98">
        <v>43603</v>
      </c>
      <c r="B585" s="11" t="s">
        <v>15</v>
      </c>
      <c r="C585" s="11" t="s">
        <v>212</v>
      </c>
      <c r="D585" s="11" t="s">
        <v>209</v>
      </c>
      <c r="E585" s="11" t="s">
        <v>7</v>
      </c>
      <c r="F585" s="11" t="s">
        <v>78</v>
      </c>
      <c r="G585" s="11" t="s">
        <v>79</v>
      </c>
      <c r="H585" s="12">
        <v>6.3</v>
      </c>
      <c r="I585" s="13"/>
      <c r="J585" s="12">
        <v>0.02</v>
      </c>
      <c r="K585" s="14">
        <v>3</v>
      </c>
      <c r="L585" s="11" t="s">
        <v>605</v>
      </c>
      <c r="M585" s="15" t="s">
        <v>324</v>
      </c>
    </row>
    <row r="586" spans="1:13">
      <c r="A586" s="98">
        <v>43604</v>
      </c>
      <c r="B586" s="11" t="s">
        <v>15</v>
      </c>
      <c r="C586" s="11" t="s">
        <v>212</v>
      </c>
      <c r="D586" s="11" t="s">
        <v>209</v>
      </c>
      <c r="E586" s="11" t="s">
        <v>7</v>
      </c>
      <c r="F586" s="11" t="s">
        <v>78</v>
      </c>
      <c r="G586" s="11" t="s">
        <v>79</v>
      </c>
      <c r="H586" s="12">
        <v>6.98</v>
      </c>
      <c r="I586" s="13"/>
      <c r="J586" s="12">
        <v>0.02</v>
      </c>
      <c r="K586" s="14">
        <v>3</v>
      </c>
      <c r="L586" s="11" t="s">
        <v>605</v>
      </c>
      <c r="M586" s="15" t="s">
        <v>325</v>
      </c>
    </row>
    <row r="587" spans="1:13">
      <c r="A587" s="98">
        <v>43609</v>
      </c>
      <c r="B587" s="11" t="s">
        <v>15</v>
      </c>
      <c r="C587" s="11" t="s">
        <v>212</v>
      </c>
      <c r="D587" s="11" t="s">
        <v>209</v>
      </c>
      <c r="E587" s="11" t="s">
        <v>7</v>
      </c>
      <c r="F587" s="11" t="s">
        <v>78</v>
      </c>
      <c r="G587" s="11" t="s">
        <v>79</v>
      </c>
      <c r="H587" s="12">
        <v>5.19</v>
      </c>
      <c r="I587" s="13"/>
      <c r="J587" s="12">
        <v>0.02</v>
      </c>
      <c r="K587" s="14">
        <v>3</v>
      </c>
      <c r="L587" s="11" t="s">
        <v>605</v>
      </c>
      <c r="M587" s="15" t="s">
        <v>326</v>
      </c>
    </row>
    <row r="588" spans="1:13">
      <c r="A588" s="98">
        <v>43610</v>
      </c>
      <c r="B588" s="11" t="s">
        <v>15</v>
      </c>
      <c r="C588" s="11" t="s">
        <v>212</v>
      </c>
      <c r="D588" s="11" t="s">
        <v>209</v>
      </c>
      <c r="E588" s="11" t="s">
        <v>7</v>
      </c>
      <c r="F588" s="11" t="s">
        <v>78</v>
      </c>
      <c r="G588" s="11" t="s">
        <v>79</v>
      </c>
      <c r="H588" s="12">
        <v>4.96</v>
      </c>
      <c r="I588" s="13"/>
      <c r="J588" s="12">
        <v>0.02</v>
      </c>
      <c r="K588" s="14">
        <v>3</v>
      </c>
      <c r="L588" s="11" t="s">
        <v>605</v>
      </c>
      <c r="M588" s="15" t="s">
        <v>327</v>
      </c>
    </row>
    <row r="589" spans="1:13">
      <c r="A589" s="98">
        <v>43611</v>
      </c>
      <c r="B589" s="11" t="s">
        <v>15</v>
      </c>
      <c r="C589" s="11" t="s">
        <v>212</v>
      </c>
      <c r="D589" s="11" t="s">
        <v>209</v>
      </c>
      <c r="E589" s="11" t="s">
        <v>7</v>
      </c>
      <c r="F589" s="11" t="s">
        <v>78</v>
      </c>
      <c r="G589" s="11" t="s">
        <v>79</v>
      </c>
      <c r="H589" s="12">
        <v>5.55</v>
      </c>
      <c r="I589" s="13"/>
      <c r="J589" s="12">
        <v>0.02</v>
      </c>
      <c r="K589" s="14">
        <v>3</v>
      </c>
      <c r="L589" s="11" t="s">
        <v>605</v>
      </c>
      <c r="M589" s="15" t="s">
        <v>328</v>
      </c>
    </row>
    <row r="590" spans="1:13">
      <c r="A590" s="98">
        <v>43616</v>
      </c>
      <c r="B590" s="11" t="s">
        <v>15</v>
      </c>
      <c r="C590" s="11" t="s">
        <v>212</v>
      </c>
      <c r="D590" s="11" t="s">
        <v>209</v>
      </c>
      <c r="E590" s="11" t="s">
        <v>7</v>
      </c>
      <c r="F590" s="11" t="s">
        <v>78</v>
      </c>
      <c r="G590" s="11" t="s">
        <v>79</v>
      </c>
      <c r="H590" s="12">
        <v>3.51</v>
      </c>
      <c r="I590" s="13"/>
      <c r="J590" s="12">
        <v>0.02</v>
      </c>
      <c r="K590" s="14">
        <v>3</v>
      </c>
      <c r="L590" s="11" t="s">
        <v>605</v>
      </c>
      <c r="M590" s="15" t="s">
        <v>329</v>
      </c>
    </row>
    <row r="591" spans="1:13">
      <c r="A591" s="98">
        <v>43617</v>
      </c>
      <c r="B591" s="11" t="s">
        <v>15</v>
      </c>
      <c r="C591" s="11" t="s">
        <v>212</v>
      </c>
      <c r="D591" s="11" t="s">
        <v>209</v>
      </c>
      <c r="E591" s="11" t="s">
        <v>7</v>
      </c>
      <c r="F591" s="11" t="s">
        <v>78</v>
      </c>
      <c r="G591" s="11" t="s">
        <v>79</v>
      </c>
      <c r="H591" s="12">
        <v>4.8499999999999996</v>
      </c>
      <c r="I591" s="13"/>
      <c r="J591" s="12">
        <v>0.02</v>
      </c>
      <c r="K591" s="14">
        <v>3</v>
      </c>
      <c r="L591" s="11" t="s">
        <v>605</v>
      </c>
      <c r="M591" s="15" t="s">
        <v>330</v>
      </c>
    </row>
    <row r="592" spans="1:13">
      <c r="A592" s="98">
        <v>43619</v>
      </c>
      <c r="B592" s="11" t="s">
        <v>15</v>
      </c>
      <c r="C592" s="11" t="s">
        <v>212</v>
      </c>
      <c r="D592" s="11" t="s">
        <v>209</v>
      </c>
      <c r="E592" s="11" t="s">
        <v>7</v>
      </c>
      <c r="F592" s="11" t="s">
        <v>78</v>
      </c>
      <c r="G592" s="11" t="s">
        <v>79</v>
      </c>
      <c r="H592" s="12">
        <v>3.72</v>
      </c>
      <c r="I592" s="13"/>
      <c r="J592" s="12">
        <v>0.02</v>
      </c>
      <c r="K592" s="14">
        <v>3</v>
      </c>
      <c r="L592" s="11" t="s">
        <v>605</v>
      </c>
      <c r="M592" s="15" t="s">
        <v>331</v>
      </c>
    </row>
    <row r="593" spans="1:13">
      <c r="A593" s="98">
        <v>43623</v>
      </c>
      <c r="B593" s="11" t="s">
        <v>15</v>
      </c>
      <c r="C593" s="11" t="s">
        <v>212</v>
      </c>
      <c r="D593" s="11" t="s">
        <v>209</v>
      </c>
      <c r="E593" s="11" t="s">
        <v>7</v>
      </c>
      <c r="F593" s="11" t="s">
        <v>78</v>
      </c>
      <c r="G593" s="11" t="s">
        <v>79</v>
      </c>
      <c r="H593" s="12">
        <v>5.23</v>
      </c>
      <c r="I593" s="13"/>
      <c r="J593" s="12">
        <v>0.02</v>
      </c>
      <c r="K593" s="14">
        <v>3</v>
      </c>
      <c r="L593" s="11" t="s">
        <v>605</v>
      </c>
      <c r="M593" s="15" t="s">
        <v>332</v>
      </c>
    </row>
    <row r="594" spans="1:13">
      <c r="A594" s="98">
        <v>43624</v>
      </c>
      <c r="B594" s="11" t="s">
        <v>15</v>
      </c>
      <c r="C594" s="11" t="s">
        <v>212</v>
      </c>
      <c r="D594" s="11" t="s">
        <v>209</v>
      </c>
      <c r="E594" s="11" t="s">
        <v>7</v>
      </c>
      <c r="F594" s="11" t="s">
        <v>78</v>
      </c>
      <c r="G594" s="11" t="s">
        <v>79</v>
      </c>
      <c r="H594" s="12">
        <v>6.16</v>
      </c>
      <c r="I594" s="13"/>
      <c r="J594" s="12">
        <v>0.02</v>
      </c>
      <c r="K594" s="14">
        <v>3</v>
      </c>
      <c r="L594" s="11" t="s">
        <v>605</v>
      </c>
      <c r="M594" s="15" t="s">
        <v>333</v>
      </c>
    </row>
    <row r="595" spans="1:13">
      <c r="A595" s="98">
        <v>43626</v>
      </c>
      <c r="B595" s="11" t="s">
        <v>15</v>
      </c>
      <c r="C595" s="11" t="s">
        <v>212</v>
      </c>
      <c r="D595" s="11" t="s">
        <v>209</v>
      </c>
      <c r="E595" s="11" t="s">
        <v>7</v>
      </c>
      <c r="F595" s="11" t="s">
        <v>78</v>
      </c>
      <c r="G595" s="11" t="s">
        <v>79</v>
      </c>
      <c r="H595" s="12">
        <v>5.78</v>
      </c>
      <c r="I595" s="13"/>
      <c r="J595" s="12">
        <v>0.02</v>
      </c>
      <c r="K595" s="14">
        <v>3</v>
      </c>
      <c r="L595" s="11" t="s">
        <v>605</v>
      </c>
      <c r="M595" s="15" t="s">
        <v>334</v>
      </c>
    </row>
    <row r="596" spans="1:13">
      <c r="A596" s="98">
        <v>43630</v>
      </c>
      <c r="B596" s="11" t="s">
        <v>15</v>
      </c>
      <c r="C596" s="11" t="s">
        <v>212</v>
      </c>
      <c r="D596" s="11" t="s">
        <v>209</v>
      </c>
      <c r="E596" s="11" t="s">
        <v>7</v>
      </c>
      <c r="F596" s="11" t="s">
        <v>78</v>
      </c>
      <c r="G596" s="11" t="s">
        <v>79</v>
      </c>
      <c r="H596" s="12">
        <v>6.09</v>
      </c>
      <c r="I596" s="13"/>
      <c r="J596" s="12">
        <v>0.02</v>
      </c>
      <c r="K596" s="14">
        <v>3</v>
      </c>
      <c r="L596" s="11" t="s">
        <v>605</v>
      </c>
      <c r="M596" s="15" t="s">
        <v>335</v>
      </c>
    </row>
    <row r="597" spans="1:13">
      <c r="A597" s="98">
        <v>43631</v>
      </c>
      <c r="B597" s="11" t="s">
        <v>15</v>
      </c>
      <c r="C597" s="11" t="s">
        <v>212</v>
      </c>
      <c r="D597" s="11" t="s">
        <v>209</v>
      </c>
      <c r="E597" s="11" t="s">
        <v>7</v>
      </c>
      <c r="F597" s="11" t="s">
        <v>78</v>
      </c>
      <c r="G597" s="11" t="s">
        <v>79</v>
      </c>
      <c r="H597" s="12">
        <v>6.8</v>
      </c>
      <c r="I597" s="13"/>
      <c r="J597" s="12">
        <v>0.02</v>
      </c>
      <c r="K597" s="14">
        <v>3</v>
      </c>
      <c r="L597" s="11" t="s">
        <v>605</v>
      </c>
      <c r="M597" s="15" t="s">
        <v>336</v>
      </c>
    </row>
    <row r="598" spans="1:13">
      <c r="A598" s="98">
        <v>43633</v>
      </c>
      <c r="B598" s="11" t="s">
        <v>15</v>
      </c>
      <c r="C598" s="11" t="s">
        <v>212</v>
      </c>
      <c r="D598" s="11" t="s">
        <v>209</v>
      </c>
      <c r="E598" s="11" t="s">
        <v>7</v>
      </c>
      <c r="F598" s="11" t="s">
        <v>78</v>
      </c>
      <c r="G598" s="11" t="s">
        <v>79</v>
      </c>
      <c r="H598" s="12">
        <v>5.74</v>
      </c>
      <c r="I598" s="13"/>
      <c r="J598" s="12">
        <v>0.02</v>
      </c>
      <c r="K598" s="14">
        <v>3</v>
      </c>
      <c r="L598" s="11" t="s">
        <v>605</v>
      </c>
      <c r="M598" s="15" t="s">
        <v>337</v>
      </c>
    </row>
    <row r="599" spans="1:13">
      <c r="A599" s="98">
        <v>43637</v>
      </c>
      <c r="B599" s="11" t="s">
        <v>15</v>
      </c>
      <c r="C599" s="11" t="s">
        <v>212</v>
      </c>
      <c r="D599" s="11" t="s">
        <v>209</v>
      </c>
      <c r="E599" s="11" t="s">
        <v>7</v>
      </c>
      <c r="F599" s="11" t="s">
        <v>78</v>
      </c>
      <c r="G599" s="11" t="s">
        <v>79</v>
      </c>
      <c r="H599" s="12">
        <v>5.47</v>
      </c>
      <c r="I599" s="13"/>
      <c r="J599" s="12">
        <v>0.02</v>
      </c>
      <c r="K599" s="14">
        <v>3</v>
      </c>
      <c r="L599" s="11" t="s">
        <v>605</v>
      </c>
      <c r="M599" s="15" t="s">
        <v>338</v>
      </c>
    </row>
    <row r="600" spans="1:13">
      <c r="A600" s="98">
        <v>43638</v>
      </c>
      <c r="B600" s="11" t="s">
        <v>15</v>
      </c>
      <c r="C600" s="11" t="s">
        <v>212</v>
      </c>
      <c r="D600" s="11" t="s">
        <v>209</v>
      </c>
      <c r="E600" s="11" t="s">
        <v>7</v>
      </c>
      <c r="F600" s="11" t="s">
        <v>78</v>
      </c>
      <c r="G600" s="11" t="s">
        <v>79</v>
      </c>
      <c r="H600" s="12">
        <v>5.73</v>
      </c>
      <c r="I600" s="13"/>
      <c r="J600" s="12">
        <v>0.02</v>
      </c>
      <c r="K600" s="14">
        <v>3</v>
      </c>
      <c r="L600" s="11" t="s">
        <v>605</v>
      </c>
      <c r="M600" s="15" t="s">
        <v>339</v>
      </c>
    </row>
    <row r="601" spans="1:13">
      <c r="A601" s="98">
        <v>43640</v>
      </c>
      <c r="B601" s="11" t="s">
        <v>15</v>
      </c>
      <c r="C601" s="11" t="s">
        <v>212</v>
      </c>
      <c r="D601" s="11" t="s">
        <v>209</v>
      </c>
      <c r="E601" s="11" t="s">
        <v>7</v>
      </c>
      <c r="F601" s="11" t="s">
        <v>78</v>
      </c>
      <c r="G601" s="11" t="s">
        <v>79</v>
      </c>
      <c r="H601" s="12">
        <v>5.13</v>
      </c>
      <c r="I601" s="13"/>
      <c r="J601" s="12">
        <v>0.02</v>
      </c>
      <c r="K601" s="14">
        <v>3</v>
      </c>
      <c r="L601" s="11" t="s">
        <v>605</v>
      </c>
      <c r="M601" s="15" t="s">
        <v>340</v>
      </c>
    </row>
    <row r="602" spans="1:13">
      <c r="A602" s="98">
        <v>43644</v>
      </c>
      <c r="B602" s="11" t="s">
        <v>15</v>
      </c>
      <c r="C602" s="11" t="s">
        <v>212</v>
      </c>
      <c r="D602" s="11" t="s">
        <v>209</v>
      </c>
      <c r="E602" s="11" t="s">
        <v>7</v>
      </c>
      <c r="F602" s="11" t="s">
        <v>78</v>
      </c>
      <c r="G602" s="11" t="s">
        <v>79</v>
      </c>
      <c r="H602" s="12">
        <v>4.5</v>
      </c>
      <c r="I602" s="13"/>
      <c r="J602" s="12">
        <v>0.02</v>
      </c>
      <c r="K602" s="14">
        <v>3</v>
      </c>
      <c r="L602" s="11" t="s">
        <v>605</v>
      </c>
      <c r="M602" s="15" t="s">
        <v>341</v>
      </c>
    </row>
    <row r="603" spans="1:13">
      <c r="A603" s="98">
        <v>43645</v>
      </c>
      <c r="B603" s="11" t="s">
        <v>15</v>
      </c>
      <c r="C603" s="11" t="s">
        <v>212</v>
      </c>
      <c r="D603" s="11" t="s">
        <v>209</v>
      </c>
      <c r="E603" s="11" t="s">
        <v>7</v>
      </c>
      <c r="F603" s="11" t="s">
        <v>78</v>
      </c>
      <c r="G603" s="11" t="s">
        <v>79</v>
      </c>
      <c r="H603" s="12">
        <v>4.62</v>
      </c>
      <c r="I603" s="13"/>
      <c r="J603" s="12">
        <v>0.02</v>
      </c>
      <c r="K603" s="14">
        <v>3</v>
      </c>
      <c r="L603" s="11" t="s">
        <v>605</v>
      </c>
      <c r="M603" s="15" t="s">
        <v>342</v>
      </c>
    </row>
    <row r="604" spans="1:13">
      <c r="A604" s="98">
        <v>43647</v>
      </c>
      <c r="B604" s="11" t="s">
        <v>15</v>
      </c>
      <c r="C604" s="11" t="s">
        <v>212</v>
      </c>
      <c r="D604" s="11" t="s">
        <v>209</v>
      </c>
      <c r="E604" s="11" t="s">
        <v>7</v>
      </c>
      <c r="F604" s="11" t="s">
        <v>78</v>
      </c>
      <c r="G604" s="11" t="s">
        <v>79</v>
      </c>
      <c r="H604" s="12">
        <v>5.86</v>
      </c>
      <c r="I604" s="13"/>
      <c r="J604" s="12">
        <v>0.02</v>
      </c>
      <c r="K604" s="14">
        <v>3</v>
      </c>
      <c r="L604" s="11" t="s">
        <v>605</v>
      </c>
      <c r="M604" s="15" t="s">
        <v>630</v>
      </c>
    </row>
    <row r="605" spans="1:13">
      <c r="A605" s="98">
        <v>43651</v>
      </c>
      <c r="B605" s="11" t="s">
        <v>15</v>
      </c>
      <c r="C605" s="11" t="s">
        <v>212</v>
      </c>
      <c r="D605" s="11" t="s">
        <v>209</v>
      </c>
      <c r="E605" s="11" t="s">
        <v>7</v>
      </c>
      <c r="F605" s="11" t="s">
        <v>78</v>
      </c>
      <c r="G605" s="11" t="s">
        <v>79</v>
      </c>
      <c r="H605" s="12">
        <v>5.14</v>
      </c>
      <c r="I605" s="13"/>
      <c r="J605" s="12">
        <v>0.02</v>
      </c>
      <c r="K605" s="14">
        <v>3</v>
      </c>
      <c r="L605" s="11" t="s">
        <v>605</v>
      </c>
      <c r="M605" s="15" t="s">
        <v>631</v>
      </c>
    </row>
    <row r="606" spans="1:13">
      <c r="A606" s="98">
        <v>43652</v>
      </c>
      <c r="B606" s="11" t="s">
        <v>15</v>
      </c>
      <c r="C606" s="11" t="s">
        <v>212</v>
      </c>
      <c r="D606" s="11" t="s">
        <v>209</v>
      </c>
      <c r="E606" s="11" t="s">
        <v>7</v>
      </c>
      <c r="F606" s="11" t="s">
        <v>78</v>
      </c>
      <c r="G606" s="11" t="s">
        <v>79</v>
      </c>
      <c r="H606" s="12">
        <v>4.91</v>
      </c>
      <c r="I606" s="13"/>
      <c r="J606" s="12">
        <v>0.02</v>
      </c>
      <c r="K606" s="14">
        <v>3</v>
      </c>
      <c r="L606" s="11" t="s">
        <v>605</v>
      </c>
      <c r="M606" s="15" t="s">
        <v>632</v>
      </c>
    </row>
    <row r="607" spans="1:13">
      <c r="A607" s="98">
        <v>43653</v>
      </c>
      <c r="B607" s="11" t="s">
        <v>15</v>
      </c>
      <c r="C607" s="11" t="s">
        <v>212</v>
      </c>
      <c r="D607" s="11" t="s">
        <v>209</v>
      </c>
      <c r="E607" s="11" t="s">
        <v>7</v>
      </c>
      <c r="F607" s="11" t="s">
        <v>78</v>
      </c>
      <c r="G607" s="11" t="s">
        <v>79</v>
      </c>
      <c r="H607" s="12">
        <v>5.18</v>
      </c>
      <c r="I607" s="13"/>
      <c r="J607" s="12">
        <v>0.06</v>
      </c>
      <c r="K607" s="14">
        <v>3</v>
      </c>
      <c r="L607" s="11" t="s">
        <v>607</v>
      </c>
      <c r="M607" s="15" t="s">
        <v>633</v>
      </c>
    </row>
    <row r="608" spans="1:13">
      <c r="A608" s="98">
        <v>43654</v>
      </c>
      <c r="B608" s="11" t="s">
        <v>15</v>
      </c>
      <c r="C608" s="11" t="s">
        <v>212</v>
      </c>
      <c r="D608" s="11" t="s">
        <v>209</v>
      </c>
      <c r="E608" s="11" t="s">
        <v>7</v>
      </c>
      <c r="F608" s="11" t="s">
        <v>78</v>
      </c>
      <c r="G608" s="11" t="s">
        <v>79</v>
      </c>
      <c r="H608" s="12">
        <v>4.6500000000000004</v>
      </c>
      <c r="I608" s="13"/>
      <c r="J608" s="12">
        <v>0.02</v>
      </c>
      <c r="K608" s="14">
        <v>3</v>
      </c>
      <c r="L608" s="11" t="s">
        <v>605</v>
      </c>
      <c r="M608" s="15" t="s">
        <v>634</v>
      </c>
    </row>
    <row r="609" spans="1:13">
      <c r="A609" s="98">
        <v>43656</v>
      </c>
      <c r="B609" s="11" t="s">
        <v>15</v>
      </c>
      <c r="C609" s="11" t="s">
        <v>212</v>
      </c>
      <c r="D609" s="11" t="s">
        <v>209</v>
      </c>
      <c r="E609" s="11" t="s">
        <v>7</v>
      </c>
      <c r="F609" s="11" t="s">
        <v>78</v>
      </c>
      <c r="G609" s="11" t="s">
        <v>79</v>
      </c>
      <c r="H609" s="12">
        <v>4.88</v>
      </c>
      <c r="I609" s="13"/>
      <c r="J609" s="12">
        <v>0.02</v>
      </c>
      <c r="K609" s="14">
        <v>3</v>
      </c>
      <c r="L609" s="11" t="s">
        <v>605</v>
      </c>
      <c r="M609" s="15" t="s">
        <v>635</v>
      </c>
    </row>
    <row r="610" spans="1:13">
      <c r="A610" s="98">
        <v>43660</v>
      </c>
      <c r="B610" s="11" t="s">
        <v>15</v>
      </c>
      <c r="C610" s="11" t="s">
        <v>212</v>
      </c>
      <c r="D610" s="11" t="s">
        <v>209</v>
      </c>
      <c r="E610" s="11" t="s">
        <v>7</v>
      </c>
      <c r="F610" s="11" t="s">
        <v>78</v>
      </c>
      <c r="G610" s="11" t="s">
        <v>79</v>
      </c>
      <c r="H610" s="12">
        <v>7.6</v>
      </c>
      <c r="I610" s="13"/>
      <c r="J610" s="12">
        <v>0.02</v>
      </c>
      <c r="K610" s="14">
        <v>3</v>
      </c>
      <c r="L610" s="11" t="s">
        <v>605</v>
      </c>
      <c r="M610" s="15" t="s">
        <v>636</v>
      </c>
    </row>
    <row r="611" spans="1:13">
      <c r="A611" s="98">
        <v>43661</v>
      </c>
      <c r="B611" s="11" t="s">
        <v>15</v>
      </c>
      <c r="C611" s="11" t="s">
        <v>212</v>
      </c>
      <c r="D611" s="11" t="s">
        <v>209</v>
      </c>
      <c r="E611" s="11" t="s">
        <v>7</v>
      </c>
      <c r="F611" s="11" t="s">
        <v>78</v>
      </c>
      <c r="G611" s="11" t="s">
        <v>79</v>
      </c>
      <c r="H611" s="12">
        <v>6.75</v>
      </c>
      <c r="I611" s="13"/>
      <c r="J611" s="12">
        <v>0.02</v>
      </c>
      <c r="K611" s="14">
        <v>3</v>
      </c>
      <c r="L611" s="11" t="s">
        <v>605</v>
      </c>
      <c r="M611" s="15" t="s">
        <v>637</v>
      </c>
    </row>
    <row r="612" spans="1:13">
      <c r="A612" s="98">
        <v>43663</v>
      </c>
      <c r="B612" s="11" t="s">
        <v>15</v>
      </c>
      <c r="C612" s="11" t="s">
        <v>212</v>
      </c>
      <c r="D612" s="11" t="s">
        <v>209</v>
      </c>
      <c r="E612" s="11" t="s">
        <v>7</v>
      </c>
      <c r="F612" s="11" t="s">
        <v>78</v>
      </c>
      <c r="G612" s="11" t="s">
        <v>79</v>
      </c>
      <c r="H612" s="12">
        <v>5.55</v>
      </c>
      <c r="I612" s="13"/>
      <c r="J612" s="12">
        <v>0.06</v>
      </c>
      <c r="K612" s="14">
        <v>3</v>
      </c>
      <c r="L612" s="11" t="s">
        <v>607</v>
      </c>
      <c r="M612" s="15" t="s">
        <v>638</v>
      </c>
    </row>
    <row r="613" spans="1:13">
      <c r="A613" s="98">
        <v>43667</v>
      </c>
      <c r="B613" s="11" t="s">
        <v>15</v>
      </c>
      <c r="C613" s="11" t="s">
        <v>212</v>
      </c>
      <c r="D613" s="11" t="s">
        <v>209</v>
      </c>
      <c r="E613" s="11" t="s">
        <v>7</v>
      </c>
      <c r="F613" s="11" t="s">
        <v>78</v>
      </c>
      <c r="G613" s="11" t="s">
        <v>79</v>
      </c>
      <c r="H613" s="12">
        <v>7.37</v>
      </c>
      <c r="I613" s="13"/>
      <c r="J613" s="12">
        <v>0.02</v>
      </c>
      <c r="K613" s="14">
        <v>3</v>
      </c>
      <c r="L613" s="11" t="s">
        <v>605</v>
      </c>
      <c r="M613" s="15" t="s">
        <v>639</v>
      </c>
    </row>
    <row r="614" spans="1:13">
      <c r="A614" s="98">
        <v>43668</v>
      </c>
      <c r="B614" s="11" t="s">
        <v>15</v>
      </c>
      <c r="C614" s="11" t="s">
        <v>212</v>
      </c>
      <c r="D614" s="11" t="s">
        <v>209</v>
      </c>
      <c r="E614" s="11" t="s">
        <v>7</v>
      </c>
      <c r="F614" s="11" t="s">
        <v>78</v>
      </c>
      <c r="G614" s="11" t="s">
        <v>79</v>
      </c>
      <c r="H614" s="12">
        <v>5.52</v>
      </c>
      <c r="I614" s="13"/>
      <c r="J614" s="12">
        <v>0.04</v>
      </c>
      <c r="K614" s="14">
        <v>3</v>
      </c>
      <c r="L614" s="11" t="s">
        <v>606</v>
      </c>
      <c r="M614" s="15" t="s">
        <v>640</v>
      </c>
    </row>
    <row r="615" spans="1:13">
      <c r="A615" s="98">
        <v>43670</v>
      </c>
      <c r="B615" s="11" t="s">
        <v>15</v>
      </c>
      <c r="C615" s="11" t="s">
        <v>212</v>
      </c>
      <c r="D615" s="11" t="s">
        <v>209</v>
      </c>
      <c r="E615" s="11" t="s">
        <v>7</v>
      </c>
      <c r="F615" s="11" t="s">
        <v>78</v>
      </c>
      <c r="G615" s="11" t="s">
        <v>79</v>
      </c>
      <c r="H615" s="12">
        <v>3.47</v>
      </c>
      <c r="I615" s="13"/>
      <c r="J615" s="12">
        <v>0.02</v>
      </c>
      <c r="K615" s="14">
        <v>3</v>
      </c>
      <c r="L615" s="11" t="s">
        <v>605</v>
      </c>
      <c r="M615" s="15" t="s">
        <v>641</v>
      </c>
    </row>
    <row r="616" spans="1:13">
      <c r="A616" s="98">
        <v>43674</v>
      </c>
      <c r="B616" s="11" t="s">
        <v>15</v>
      </c>
      <c r="C616" s="11" t="s">
        <v>212</v>
      </c>
      <c r="D616" s="11" t="s">
        <v>209</v>
      </c>
      <c r="E616" s="11" t="s">
        <v>7</v>
      </c>
      <c r="F616" s="11" t="s">
        <v>78</v>
      </c>
      <c r="G616" s="11" t="s">
        <v>79</v>
      </c>
      <c r="H616" s="12">
        <v>6.53</v>
      </c>
      <c r="I616" s="13"/>
      <c r="J616" s="12">
        <v>0.02</v>
      </c>
      <c r="K616" s="14">
        <v>3</v>
      </c>
      <c r="L616" s="11" t="s">
        <v>605</v>
      </c>
      <c r="M616" s="15" t="s">
        <v>642</v>
      </c>
    </row>
    <row r="617" spans="1:13">
      <c r="A617" s="98">
        <v>43675</v>
      </c>
      <c r="B617" s="11" t="s">
        <v>15</v>
      </c>
      <c r="C617" s="11" t="s">
        <v>212</v>
      </c>
      <c r="D617" s="11" t="s">
        <v>209</v>
      </c>
      <c r="E617" s="11" t="s">
        <v>7</v>
      </c>
      <c r="F617" s="11" t="s">
        <v>78</v>
      </c>
      <c r="G617" s="11" t="s">
        <v>79</v>
      </c>
      <c r="H617" s="12">
        <v>5.78</v>
      </c>
      <c r="I617" s="13"/>
      <c r="J617" s="12">
        <v>0.02</v>
      </c>
      <c r="K617" s="14">
        <v>3</v>
      </c>
      <c r="L617" s="11" t="s">
        <v>605</v>
      </c>
      <c r="M617" s="15" t="s">
        <v>643</v>
      </c>
    </row>
    <row r="618" spans="1:13">
      <c r="A618" s="98">
        <v>43677</v>
      </c>
      <c r="B618" s="11" t="s">
        <v>15</v>
      </c>
      <c r="C618" s="11" t="s">
        <v>212</v>
      </c>
      <c r="D618" s="11" t="s">
        <v>209</v>
      </c>
      <c r="E618" s="11" t="s">
        <v>7</v>
      </c>
      <c r="F618" s="11" t="s">
        <v>78</v>
      </c>
      <c r="G618" s="11" t="s">
        <v>79</v>
      </c>
      <c r="H618" s="12">
        <v>4.63</v>
      </c>
      <c r="I618" s="13"/>
      <c r="J618" s="12">
        <v>0.02</v>
      </c>
      <c r="K618" s="14">
        <v>3</v>
      </c>
      <c r="L618" s="11" t="s">
        <v>605</v>
      </c>
      <c r="M618" s="15" t="s">
        <v>644</v>
      </c>
    </row>
    <row r="619" spans="1:13">
      <c r="A619" s="98">
        <v>43681</v>
      </c>
      <c r="B619" s="11" t="s">
        <v>15</v>
      </c>
      <c r="C619" s="11" t="s">
        <v>212</v>
      </c>
      <c r="D619" s="11" t="s">
        <v>209</v>
      </c>
      <c r="E619" s="11" t="s">
        <v>7</v>
      </c>
      <c r="F619" s="11" t="s">
        <v>78</v>
      </c>
      <c r="G619" s="11" t="s">
        <v>79</v>
      </c>
      <c r="H619" s="12">
        <v>5.47</v>
      </c>
      <c r="I619" s="13"/>
      <c r="J619" s="12">
        <v>0.02</v>
      </c>
      <c r="K619" s="14">
        <v>3</v>
      </c>
      <c r="L619" s="11" t="s">
        <v>605</v>
      </c>
      <c r="M619" s="15" t="s">
        <v>688</v>
      </c>
    </row>
    <row r="620" spans="1:13">
      <c r="A620" s="98">
        <v>43682</v>
      </c>
      <c r="B620" s="11" t="s">
        <v>15</v>
      </c>
      <c r="C620" s="11" t="s">
        <v>212</v>
      </c>
      <c r="D620" s="11" t="s">
        <v>209</v>
      </c>
      <c r="E620" s="11" t="s">
        <v>7</v>
      </c>
      <c r="F620" s="11" t="s">
        <v>78</v>
      </c>
      <c r="G620" s="11" t="s">
        <v>79</v>
      </c>
      <c r="H620" s="12">
        <v>4.84</v>
      </c>
      <c r="I620" s="13"/>
      <c r="J620" s="12">
        <v>0.02</v>
      </c>
      <c r="K620" s="14">
        <v>3</v>
      </c>
      <c r="L620" s="11" t="s">
        <v>605</v>
      </c>
      <c r="M620" s="15" t="s">
        <v>689</v>
      </c>
    </row>
    <row r="621" spans="1:13">
      <c r="A621" s="98">
        <v>43684</v>
      </c>
      <c r="B621" s="11" t="s">
        <v>15</v>
      </c>
      <c r="C621" s="11" t="s">
        <v>212</v>
      </c>
      <c r="D621" s="11" t="s">
        <v>209</v>
      </c>
      <c r="E621" s="11" t="s">
        <v>7</v>
      </c>
      <c r="F621" s="11" t="s">
        <v>78</v>
      </c>
      <c r="G621" s="11" t="s">
        <v>79</v>
      </c>
      <c r="H621" s="12">
        <v>5.12</v>
      </c>
      <c r="I621" s="13"/>
      <c r="J621" s="12">
        <v>0.02</v>
      </c>
      <c r="K621" s="14">
        <v>3</v>
      </c>
      <c r="L621" s="11" t="s">
        <v>605</v>
      </c>
      <c r="M621" s="15" t="s">
        <v>690</v>
      </c>
    </row>
    <row r="622" spans="1:13">
      <c r="A622" s="98">
        <v>43688</v>
      </c>
      <c r="B622" s="11" t="s">
        <v>15</v>
      </c>
      <c r="C622" s="11" t="s">
        <v>212</v>
      </c>
      <c r="D622" s="11" t="s">
        <v>209</v>
      </c>
      <c r="E622" s="11" t="s">
        <v>7</v>
      </c>
      <c r="F622" s="11" t="s">
        <v>78</v>
      </c>
      <c r="G622" s="11" t="s">
        <v>79</v>
      </c>
      <c r="H622" s="12">
        <v>6.28</v>
      </c>
      <c r="I622" s="13"/>
      <c r="J622" s="12">
        <v>0.02</v>
      </c>
      <c r="K622" s="14">
        <v>3</v>
      </c>
      <c r="L622" s="11" t="s">
        <v>605</v>
      </c>
      <c r="M622" s="15" t="s">
        <v>691</v>
      </c>
    </row>
    <row r="623" spans="1:13">
      <c r="A623" s="98">
        <v>43692</v>
      </c>
      <c r="B623" s="11" t="s">
        <v>15</v>
      </c>
      <c r="C623" s="11" t="s">
        <v>212</v>
      </c>
      <c r="D623" s="11" t="s">
        <v>209</v>
      </c>
      <c r="E623" s="11" t="s">
        <v>7</v>
      </c>
      <c r="F623" s="11" t="s">
        <v>78</v>
      </c>
      <c r="G623" s="11" t="s">
        <v>79</v>
      </c>
      <c r="H623" s="12">
        <v>5.12</v>
      </c>
      <c r="I623" s="13"/>
      <c r="J623" s="12">
        <v>0.02</v>
      </c>
      <c r="K623" s="14">
        <v>3</v>
      </c>
      <c r="L623" s="11" t="s">
        <v>605</v>
      </c>
      <c r="M623" s="15" t="s">
        <v>692</v>
      </c>
    </row>
    <row r="624" spans="1:13">
      <c r="A624" s="98">
        <v>43693</v>
      </c>
      <c r="B624" s="11" t="s">
        <v>15</v>
      </c>
      <c r="C624" s="11" t="s">
        <v>212</v>
      </c>
      <c r="D624" s="11" t="s">
        <v>209</v>
      </c>
      <c r="E624" s="11" t="s">
        <v>7</v>
      </c>
      <c r="F624" s="11" t="s">
        <v>78</v>
      </c>
      <c r="G624" s="11" t="s">
        <v>79</v>
      </c>
      <c r="H624" s="12">
        <v>5.87</v>
      </c>
      <c r="I624" s="13"/>
      <c r="J624" s="12">
        <v>0.02</v>
      </c>
      <c r="K624" s="14">
        <v>3</v>
      </c>
      <c r="L624" s="11" t="s">
        <v>605</v>
      </c>
      <c r="M624" s="15" t="s">
        <v>693</v>
      </c>
    </row>
    <row r="625" spans="1:13">
      <c r="A625" s="98">
        <v>43695</v>
      </c>
      <c r="B625" s="11" t="s">
        <v>15</v>
      </c>
      <c r="C625" s="11" t="s">
        <v>212</v>
      </c>
      <c r="D625" s="11" t="s">
        <v>209</v>
      </c>
      <c r="E625" s="11" t="s">
        <v>7</v>
      </c>
      <c r="F625" s="11" t="s">
        <v>78</v>
      </c>
      <c r="G625" s="11" t="s">
        <v>79</v>
      </c>
      <c r="H625" s="12">
        <v>6.2</v>
      </c>
      <c r="I625" s="13"/>
      <c r="J625" s="12">
        <v>0.02</v>
      </c>
      <c r="K625" s="14">
        <v>3</v>
      </c>
      <c r="L625" s="11" t="s">
        <v>605</v>
      </c>
      <c r="M625" s="15" t="s">
        <v>694</v>
      </c>
    </row>
    <row r="626" spans="1:13">
      <c r="A626" s="98">
        <v>43699</v>
      </c>
      <c r="B626" s="11" t="s">
        <v>15</v>
      </c>
      <c r="C626" s="11" t="s">
        <v>212</v>
      </c>
      <c r="D626" s="11" t="s">
        <v>209</v>
      </c>
      <c r="E626" s="11" t="s">
        <v>7</v>
      </c>
      <c r="F626" s="11" t="s">
        <v>78</v>
      </c>
      <c r="G626" s="11" t="s">
        <v>79</v>
      </c>
      <c r="H626" s="12">
        <v>6</v>
      </c>
      <c r="I626" s="13"/>
      <c r="J626" s="12">
        <v>0.02</v>
      </c>
      <c r="K626" s="14">
        <v>3</v>
      </c>
      <c r="L626" s="11" t="s">
        <v>605</v>
      </c>
      <c r="M626" s="15" t="s">
        <v>695</v>
      </c>
    </row>
    <row r="627" spans="1:13">
      <c r="A627" s="98">
        <v>43700</v>
      </c>
      <c r="B627" s="11" t="s">
        <v>15</v>
      </c>
      <c r="C627" s="11" t="s">
        <v>212</v>
      </c>
      <c r="D627" s="11" t="s">
        <v>209</v>
      </c>
      <c r="E627" s="11" t="s">
        <v>7</v>
      </c>
      <c r="F627" s="11" t="s">
        <v>78</v>
      </c>
      <c r="G627" s="11" t="s">
        <v>79</v>
      </c>
      <c r="H627" s="12">
        <v>5.86</v>
      </c>
      <c r="I627" s="13"/>
      <c r="J627" s="12">
        <v>0.02</v>
      </c>
      <c r="K627" s="14">
        <v>3</v>
      </c>
      <c r="L627" s="11" t="s">
        <v>605</v>
      </c>
      <c r="M627" s="15" t="s">
        <v>696</v>
      </c>
    </row>
    <row r="628" spans="1:13">
      <c r="A628" s="98">
        <v>43702</v>
      </c>
      <c r="B628" s="11" t="s">
        <v>15</v>
      </c>
      <c r="C628" s="11" t="s">
        <v>212</v>
      </c>
      <c r="D628" s="11" t="s">
        <v>209</v>
      </c>
      <c r="E628" s="11" t="s">
        <v>7</v>
      </c>
      <c r="F628" s="11" t="s">
        <v>78</v>
      </c>
      <c r="G628" s="11" t="s">
        <v>79</v>
      </c>
      <c r="H628" s="12">
        <v>6.05</v>
      </c>
      <c r="I628" s="13"/>
      <c r="J628" s="12">
        <v>0.02</v>
      </c>
      <c r="K628" s="14">
        <v>3</v>
      </c>
      <c r="L628" s="11" t="s">
        <v>605</v>
      </c>
      <c r="M628" s="15" t="s">
        <v>697</v>
      </c>
    </row>
    <row r="629" spans="1:13">
      <c r="A629" s="98">
        <v>43706</v>
      </c>
      <c r="B629" s="11" t="s">
        <v>15</v>
      </c>
      <c r="C629" s="11" t="s">
        <v>212</v>
      </c>
      <c r="D629" s="11" t="s">
        <v>209</v>
      </c>
      <c r="E629" s="11" t="s">
        <v>7</v>
      </c>
      <c r="F629" s="11" t="s">
        <v>78</v>
      </c>
      <c r="G629" s="11" t="s">
        <v>79</v>
      </c>
      <c r="H629" s="12">
        <v>6.36</v>
      </c>
      <c r="I629" s="13"/>
      <c r="J629" s="12">
        <v>0.02</v>
      </c>
      <c r="K629" s="14">
        <v>3</v>
      </c>
      <c r="L629" s="11" t="s">
        <v>605</v>
      </c>
      <c r="M629" s="15" t="s">
        <v>698</v>
      </c>
    </row>
    <row r="630" spans="1:13">
      <c r="A630" s="98">
        <v>43707</v>
      </c>
      <c r="B630" s="11" t="s">
        <v>15</v>
      </c>
      <c r="C630" s="11" t="s">
        <v>212</v>
      </c>
      <c r="D630" s="11" t="s">
        <v>209</v>
      </c>
      <c r="E630" s="11" t="s">
        <v>7</v>
      </c>
      <c r="F630" s="11" t="s">
        <v>78</v>
      </c>
      <c r="G630" s="11" t="s">
        <v>79</v>
      </c>
      <c r="H630" s="12">
        <v>6.36</v>
      </c>
      <c r="I630" s="13"/>
      <c r="J630" s="12">
        <v>0.02</v>
      </c>
      <c r="K630" s="14">
        <v>3</v>
      </c>
      <c r="L630" s="11" t="s">
        <v>605</v>
      </c>
      <c r="M630" s="15" t="s">
        <v>699</v>
      </c>
    </row>
    <row r="631" spans="1:13">
      <c r="A631" s="98">
        <v>43345</v>
      </c>
      <c r="B631" s="11" t="s">
        <v>17</v>
      </c>
      <c r="C631" s="11" t="s">
        <v>343</v>
      </c>
      <c r="D631" s="11" t="s">
        <v>344</v>
      </c>
      <c r="E631" s="11" t="s">
        <v>345</v>
      </c>
      <c r="F631" s="11" t="s">
        <v>78</v>
      </c>
      <c r="G631" s="11" t="s">
        <v>79</v>
      </c>
      <c r="H631" s="12">
        <v>0.55000000000000004</v>
      </c>
      <c r="I631" s="13"/>
      <c r="J631" s="12">
        <v>0.01</v>
      </c>
      <c r="K631" s="14">
        <v>3</v>
      </c>
      <c r="L631" s="11" t="s">
        <v>608</v>
      </c>
      <c r="M631" s="15" t="s">
        <v>346</v>
      </c>
    </row>
    <row r="632" spans="1:13">
      <c r="A632" s="98">
        <v>43349</v>
      </c>
      <c r="B632" s="11" t="s">
        <v>17</v>
      </c>
      <c r="C632" s="11" t="s">
        <v>343</v>
      </c>
      <c r="D632" s="11" t="s">
        <v>344</v>
      </c>
      <c r="E632" s="11" t="s">
        <v>345</v>
      </c>
      <c r="F632" s="11" t="s">
        <v>78</v>
      </c>
      <c r="G632" s="11" t="s">
        <v>79</v>
      </c>
      <c r="H632" s="12">
        <v>0.44</v>
      </c>
      <c r="I632" s="13"/>
      <c r="J632" s="12">
        <v>0.01</v>
      </c>
      <c r="K632" s="14">
        <v>3</v>
      </c>
      <c r="L632" s="11" t="s">
        <v>608</v>
      </c>
      <c r="M632" s="15" t="s">
        <v>347</v>
      </c>
    </row>
    <row r="633" spans="1:13">
      <c r="A633" s="98">
        <v>43352</v>
      </c>
      <c r="B633" s="11" t="s">
        <v>17</v>
      </c>
      <c r="C633" s="11" t="s">
        <v>343</v>
      </c>
      <c r="D633" s="11" t="s">
        <v>344</v>
      </c>
      <c r="E633" s="11" t="s">
        <v>345</v>
      </c>
      <c r="F633" s="11" t="s">
        <v>78</v>
      </c>
      <c r="G633" s="11" t="s">
        <v>79</v>
      </c>
      <c r="H633" s="12">
        <v>0.41</v>
      </c>
      <c r="I633" s="13"/>
      <c r="J633" s="12">
        <v>0.01</v>
      </c>
      <c r="K633" s="14">
        <v>3</v>
      </c>
      <c r="L633" s="11" t="s">
        <v>608</v>
      </c>
      <c r="M633" s="15" t="s">
        <v>348</v>
      </c>
    </row>
    <row r="634" spans="1:13">
      <c r="A634" s="98">
        <v>43356</v>
      </c>
      <c r="B634" s="11" t="s">
        <v>17</v>
      </c>
      <c r="C634" s="11" t="s">
        <v>343</v>
      </c>
      <c r="D634" s="11" t="s">
        <v>344</v>
      </c>
      <c r="E634" s="11" t="s">
        <v>345</v>
      </c>
      <c r="F634" s="11" t="s">
        <v>78</v>
      </c>
      <c r="G634" s="11" t="s">
        <v>79</v>
      </c>
      <c r="H634" s="12">
        <v>0.38</v>
      </c>
      <c r="I634" s="13"/>
      <c r="J634" s="12">
        <v>0.01</v>
      </c>
      <c r="K634" s="14">
        <v>3</v>
      </c>
      <c r="L634" s="11" t="s">
        <v>608</v>
      </c>
      <c r="M634" s="15" t="s">
        <v>349</v>
      </c>
    </row>
    <row r="635" spans="1:13">
      <c r="A635" s="98">
        <v>43359</v>
      </c>
      <c r="B635" s="11" t="s">
        <v>17</v>
      </c>
      <c r="C635" s="11" t="s">
        <v>343</v>
      </c>
      <c r="D635" s="11" t="s">
        <v>344</v>
      </c>
      <c r="E635" s="11" t="s">
        <v>345</v>
      </c>
      <c r="F635" s="11" t="s">
        <v>78</v>
      </c>
      <c r="G635" s="11" t="s">
        <v>79</v>
      </c>
      <c r="H635" s="12">
        <v>0.39</v>
      </c>
      <c r="I635" s="13"/>
      <c r="J635" s="12">
        <v>0.01</v>
      </c>
      <c r="K635" s="14">
        <v>3</v>
      </c>
      <c r="L635" s="11" t="s">
        <v>608</v>
      </c>
      <c r="M635" s="15" t="s">
        <v>350</v>
      </c>
    </row>
    <row r="636" spans="1:13">
      <c r="A636" s="98">
        <v>43363</v>
      </c>
      <c r="B636" s="11" t="s">
        <v>17</v>
      </c>
      <c r="C636" s="11" t="s">
        <v>343</v>
      </c>
      <c r="D636" s="11" t="s">
        <v>344</v>
      </c>
      <c r="E636" s="11" t="s">
        <v>345</v>
      </c>
      <c r="F636" s="11" t="s">
        <v>78</v>
      </c>
      <c r="G636" s="11" t="s">
        <v>79</v>
      </c>
      <c r="H636" s="12">
        <v>0.34</v>
      </c>
      <c r="I636" s="13"/>
      <c r="J636" s="12">
        <v>0.01</v>
      </c>
      <c r="K636" s="14">
        <v>3</v>
      </c>
      <c r="L636" s="11" t="s">
        <v>608</v>
      </c>
      <c r="M636" s="15" t="s">
        <v>351</v>
      </c>
    </row>
    <row r="637" spans="1:13">
      <c r="A637" s="98">
        <v>43366</v>
      </c>
      <c r="B637" s="11" t="s">
        <v>17</v>
      </c>
      <c r="C637" s="11" t="s">
        <v>343</v>
      </c>
      <c r="D637" s="11" t="s">
        <v>344</v>
      </c>
      <c r="E637" s="11" t="s">
        <v>345</v>
      </c>
      <c r="F637" s="11" t="s">
        <v>78</v>
      </c>
      <c r="G637" s="11" t="s">
        <v>79</v>
      </c>
      <c r="H637" s="12">
        <v>0.3</v>
      </c>
      <c r="I637" s="13"/>
      <c r="J637" s="12">
        <v>0.01</v>
      </c>
      <c r="K637" s="14">
        <v>3</v>
      </c>
      <c r="L637" s="11" t="s">
        <v>608</v>
      </c>
      <c r="M637" s="15" t="s">
        <v>352</v>
      </c>
    </row>
    <row r="638" spans="1:13">
      <c r="A638" s="98">
        <v>43370</v>
      </c>
      <c r="B638" s="11" t="s">
        <v>17</v>
      </c>
      <c r="C638" s="11" t="s">
        <v>343</v>
      </c>
      <c r="D638" s="11" t="s">
        <v>344</v>
      </c>
      <c r="E638" s="11" t="s">
        <v>345</v>
      </c>
      <c r="F638" s="11" t="s">
        <v>78</v>
      </c>
      <c r="G638" s="11" t="s">
        <v>79</v>
      </c>
      <c r="H638" s="12">
        <v>0.33</v>
      </c>
      <c r="I638" s="13"/>
      <c r="J638" s="12">
        <v>0.01</v>
      </c>
      <c r="K638" s="14">
        <v>3</v>
      </c>
      <c r="L638" s="11" t="s">
        <v>608</v>
      </c>
      <c r="M638" s="15" t="s">
        <v>353</v>
      </c>
    </row>
    <row r="639" spans="1:13">
      <c r="A639" s="98">
        <v>43373</v>
      </c>
      <c r="B639" s="11" t="s">
        <v>17</v>
      </c>
      <c r="C639" s="11" t="s">
        <v>343</v>
      </c>
      <c r="D639" s="11" t="s">
        <v>344</v>
      </c>
      <c r="E639" s="11" t="s">
        <v>345</v>
      </c>
      <c r="F639" s="11" t="s">
        <v>78</v>
      </c>
      <c r="G639" s="11" t="s">
        <v>79</v>
      </c>
      <c r="H639" s="12">
        <v>0.27</v>
      </c>
      <c r="I639" s="13"/>
      <c r="J639" s="12">
        <v>0.01</v>
      </c>
      <c r="K639" s="14">
        <v>3</v>
      </c>
      <c r="L639" s="11" t="s">
        <v>608</v>
      </c>
      <c r="M639" s="15" t="s">
        <v>354</v>
      </c>
    </row>
    <row r="640" spans="1:13">
      <c r="A640" s="98">
        <v>43377</v>
      </c>
      <c r="B640" s="11" t="s">
        <v>17</v>
      </c>
      <c r="C640" s="11" t="s">
        <v>343</v>
      </c>
      <c r="D640" s="11" t="s">
        <v>344</v>
      </c>
      <c r="E640" s="11" t="s">
        <v>345</v>
      </c>
      <c r="F640" s="11" t="s">
        <v>78</v>
      </c>
      <c r="G640" s="11" t="s">
        <v>79</v>
      </c>
      <c r="H640" s="12">
        <v>0.26</v>
      </c>
      <c r="I640" s="13"/>
      <c r="J640" s="12">
        <v>0.01</v>
      </c>
      <c r="K640" s="14">
        <v>3</v>
      </c>
      <c r="L640" s="11" t="s">
        <v>608</v>
      </c>
      <c r="M640" s="15" t="s">
        <v>355</v>
      </c>
    </row>
    <row r="641" spans="1:13">
      <c r="A641" s="98">
        <v>43380</v>
      </c>
      <c r="B641" s="11" t="s">
        <v>17</v>
      </c>
      <c r="C641" s="11" t="s">
        <v>343</v>
      </c>
      <c r="D641" s="11" t="s">
        <v>344</v>
      </c>
      <c r="E641" s="11" t="s">
        <v>345</v>
      </c>
      <c r="F641" s="11" t="s">
        <v>78</v>
      </c>
      <c r="G641" s="11" t="s">
        <v>79</v>
      </c>
      <c r="H641" s="12">
        <v>0.22</v>
      </c>
      <c r="I641" s="13"/>
      <c r="J641" s="12">
        <v>0.01</v>
      </c>
      <c r="K641" s="14">
        <v>3</v>
      </c>
      <c r="L641" s="11" t="s">
        <v>608</v>
      </c>
      <c r="M641" s="15" t="s">
        <v>356</v>
      </c>
    </row>
    <row r="642" spans="1:13">
      <c r="A642" s="98">
        <v>43384</v>
      </c>
      <c r="B642" s="11" t="s">
        <v>17</v>
      </c>
      <c r="C642" s="11" t="s">
        <v>343</v>
      </c>
      <c r="D642" s="11" t="s">
        <v>344</v>
      </c>
      <c r="E642" s="11" t="s">
        <v>345</v>
      </c>
      <c r="F642" s="11" t="s">
        <v>78</v>
      </c>
      <c r="G642" s="11" t="s">
        <v>79</v>
      </c>
      <c r="H642" s="12">
        <v>0.24</v>
      </c>
      <c r="I642" s="13"/>
      <c r="J642" s="12">
        <v>0.01</v>
      </c>
      <c r="K642" s="14">
        <v>3</v>
      </c>
      <c r="L642" s="11" t="s">
        <v>608</v>
      </c>
      <c r="M642" s="15" t="s">
        <v>357</v>
      </c>
    </row>
    <row r="643" spans="1:13">
      <c r="A643" s="98">
        <v>43387</v>
      </c>
      <c r="B643" s="11" t="s">
        <v>17</v>
      </c>
      <c r="C643" s="11" t="s">
        <v>343</v>
      </c>
      <c r="D643" s="11" t="s">
        <v>344</v>
      </c>
      <c r="E643" s="11" t="s">
        <v>345</v>
      </c>
      <c r="F643" s="11" t="s">
        <v>78</v>
      </c>
      <c r="G643" s="11" t="s">
        <v>79</v>
      </c>
      <c r="H643" s="12">
        <v>0.26</v>
      </c>
      <c r="I643" s="13"/>
      <c r="J643" s="12">
        <v>0.01</v>
      </c>
      <c r="K643" s="14">
        <v>3</v>
      </c>
      <c r="L643" s="11" t="s">
        <v>608</v>
      </c>
      <c r="M643" s="15" t="s">
        <v>358</v>
      </c>
    </row>
    <row r="644" spans="1:13">
      <c r="A644" s="98">
        <v>43391</v>
      </c>
      <c r="B644" s="11" t="s">
        <v>17</v>
      </c>
      <c r="C644" s="11" t="s">
        <v>343</v>
      </c>
      <c r="D644" s="11" t="s">
        <v>344</v>
      </c>
      <c r="E644" s="11" t="s">
        <v>345</v>
      </c>
      <c r="F644" s="11" t="s">
        <v>78</v>
      </c>
      <c r="G644" s="11" t="s">
        <v>79</v>
      </c>
      <c r="H644" s="12">
        <v>0.28000000000000003</v>
      </c>
      <c r="I644" s="13"/>
      <c r="J644" s="12">
        <v>0.01</v>
      </c>
      <c r="K644" s="14">
        <v>3</v>
      </c>
      <c r="L644" s="11" t="s">
        <v>608</v>
      </c>
      <c r="M644" s="15" t="s">
        <v>359</v>
      </c>
    </row>
    <row r="645" spans="1:13">
      <c r="A645" s="98">
        <v>43394</v>
      </c>
      <c r="B645" s="11" t="s">
        <v>17</v>
      </c>
      <c r="C645" s="11" t="s">
        <v>343</v>
      </c>
      <c r="D645" s="11" t="s">
        <v>344</v>
      </c>
      <c r="E645" s="11" t="s">
        <v>345</v>
      </c>
      <c r="F645" s="11" t="s">
        <v>78</v>
      </c>
      <c r="G645" s="11" t="s">
        <v>79</v>
      </c>
      <c r="H645" s="12">
        <v>0.28000000000000003</v>
      </c>
      <c r="I645" s="13"/>
      <c r="J645" s="12">
        <v>0.01</v>
      </c>
      <c r="K645" s="14">
        <v>3</v>
      </c>
      <c r="L645" s="11" t="s">
        <v>608</v>
      </c>
      <c r="M645" s="15" t="s">
        <v>360</v>
      </c>
    </row>
    <row r="646" spans="1:13">
      <c r="A646" s="98">
        <v>43398</v>
      </c>
      <c r="B646" s="11" t="s">
        <v>17</v>
      </c>
      <c r="C646" s="11" t="s">
        <v>343</v>
      </c>
      <c r="D646" s="11" t="s">
        <v>344</v>
      </c>
      <c r="E646" s="11" t="s">
        <v>345</v>
      </c>
      <c r="F646" s="11" t="s">
        <v>78</v>
      </c>
      <c r="G646" s="11" t="s">
        <v>79</v>
      </c>
      <c r="H646" s="12">
        <v>0.31</v>
      </c>
      <c r="I646" s="13"/>
      <c r="J646" s="12">
        <v>0.01</v>
      </c>
      <c r="K646" s="14">
        <v>3</v>
      </c>
      <c r="L646" s="11" t="s">
        <v>608</v>
      </c>
      <c r="M646" s="15" t="s">
        <v>361</v>
      </c>
    </row>
    <row r="647" spans="1:13">
      <c r="A647" s="98">
        <v>43401</v>
      </c>
      <c r="B647" s="11" t="s">
        <v>17</v>
      </c>
      <c r="C647" s="11" t="s">
        <v>343</v>
      </c>
      <c r="D647" s="11" t="s">
        <v>344</v>
      </c>
      <c r="E647" s="11" t="s">
        <v>345</v>
      </c>
      <c r="F647" s="11" t="s">
        <v>78</v>
      </c>
      <c r="G647" s="11" t="s">
        <v>79</v>
      </c>
      <c r="H647" s="12">
        <v>0.31</v>
      </c>
      <c r="I647" s="13"/>
      <c r="J647" s="12">
        <v>0.01</v>
      </c>
      <c r="K647" s="14">
        <v>3</v>
      </c>
      <c r="L647" s="11" t="s">
        <v>608</v>
      </c>
      <c r="M647" s="15" t="s">
        <v>362</v>
      </c>
    </row>
    <row r="648" spans="1:13">
      <c r="A648" s="98">
        <v>43405</v>
      </c>
      <c r="B648" s="11" t="s">
        <v>17</v>
      </c>
      <c r="C648" s="11" t="s">
        <v>343</v>
      </c>
      <c r="D648" s="11" t="s">
        <v>344</v>
      </c>
      <c r="E648" s="11" t="s">
        <v>345</v>
      </c>
      <c r="F648" s="11" t="s">
        <v>78</v>
      </c>
      <c r="G648" s="11" t="s">
        <v>79</v>
      </c>
      <c r="H648" s="12">
        <v>0.31</v>
      </c>
      <c r="I648" s="13"/>
      <c r="J648" s="12">
        <v>0.01</v>
      </c>
      <c r="K648" s="14">
        <v>3</v>
      </c>
      <c r="L648" s="11" t="s">
        <v>608</v>
      </c>
      <c r="M648" s="15" t="s">
        <v>363</v>
      </c>
    </row>
    <row r="649" spans="1:13">
      <c r="A649" s="98">
        <v>43408</v>
      </c>
      <c r="B649" s="11" t="s">
        <v>17</v>
      </c>
      <c r="C649" s="11" t="s">
        <v>343</v>
      </c>
      <c r="D649" s="11" t="s">
        <v>344</v>
      </c>
      <c r="E649" s="11" t="s">
        <v>345</v>
      </c>
      <c r="F649" s="11" t="s">
        <v>78</v>
      </c>
      <c r="G649" s="11" t="s">
        <v>79</v>
      </c>
      <c r="H649" s="12">
        <v>0.37</v>
      </c>
      <c r="I649" s="13"/>
      <c r="J649" s="12">
        <v>0.01</v>
      </c>
      <c r="K649" s="14">
        <v>3</v>
      </c>
      <c r="L649" s="11" t="s">
        <v>608</v>
      </c>
      <c r="M649" s="15" t="s">
        <v>364</v>
      </c>
    </row>
    <row r="650" spans="1:13">
      <c r="A650" s="98">
        <v>43412</v>
      </c>
      <c r="B650" s="11" t="s">
        <v>17</v>
      </c>
      <c r="C650" s="11" t="s">
        <v>343</v>
      </c>
      <c r="D650" s="11" t="s">
        <v>344</v>
      </c>
      <c r="E650" s="11" t="s">
        <v>345</v>
      </c>
      <c r="F650" s="11" t="s">
        <v>78</v>
      </c>
      <c r="G650" s="11" t="s">
        <v>79</v>
      </c>
      <c r="H650" s="12">
        <v>0.3</v>
      </c>
      <c r="I650" s="13"/>
      <c r="J650" s="12">
        <v>0.01</v>
      </c>
      <c r="K650" s="14">
        <v>3</v>
      </c>
      <c r="L650" s="11" t="s">
        <v>608</v>
      </c>
      <c r="M650" s="15" t="s">
        <v>365</v>
      </c>
    </row>
    <row r="651" spans="1:13">
      <c r="A651" s="98">
        <v>43415</v>
      </c>
      <c r="B651" s="11" t="s">
        <v>17</v>
      </c>
      <c r="C651" s="11" t="s">
        <v>343</v>
      </c>
      <c r="D651" s="11" t="s">
        <v>344</v>
      </c>
      <c r="E651" s="11" t="s">
        <v>345</v>
      </c>
      <c r="F651" s="11" t="s">
        <v>78</v>
      </c>
      <c r="G651" s="11" t="s">
        <v>79</v>
      </c>
      <c r="H651" s="12">
        <v>0.36</v>
      </c>
      <c r="I651" s="13"/>
      <c r="J651" s="12">
        <v>0.01</v>
      </c>
      <c r="K651" s="14">
        <v>3</v>
      </c>
      <c r="L651" s="11" t="s">
        <v>608</v>
      </c>
      <c r="M651" s="15" t="s">
        <v>366</v>
      </c>
    </row>
    <row r="652" spans="1:13">
      <c r="A652" s="98">
        <v>43419</v>
      </c>
      <c r="B652" s="11" t="s">
        <v>17</v>
      </c>
      <c r="C652" s="11" t="s">
        <v>343</v>
      </c>
      <c r="D652" s="11" t="s">
        <v>344</v>
      </c>
      <c r="E652" s="11" t="s">
        <v>345</v>
      </c>
      <c r="F652" s="11" t="s">
        <v>78</v>
      </c>
      <c r="G652" s="11" t="s">
        <v>79</v>
      </c>
      <c r="H652" s="12">
        <v>0.27</v>
      </c>
      <c r="I652" s="13"/>
      <c r="J652" s="12">
        <v>0.01</v>
      </c>
      <c r="K652" s="14">
        <v>3</v>
      </c>
      <c r="L652" s="11" t="s">
        <v>608</v>
      </c>
      <c r="M652" s="15" t="s">
        <v>367</v>
      </c>
    </row>
    <row r="653" spans="1:13">
      <c r="A653" s="98">
        <v>43422</v>
      </c>
      <c r="B653" s="11" t="s">
        <v>17</v>
      </c>
      <c r="C653" s="11" t="s">
        <v>343</v>
      </c>
      <c r="D653" s="11" t="s">
        <v>344</v>
      </c>
      <c r="E653" s="11" t="s">
        <v>345</v>
      </c>
      <c r="F653" s="11" t="s">
        <v>78</v>
      </c>
      <c r="G653" s="11" t="s">
        <v>79</v>
      </c>
      <c r="H653" s="12">
        <v>0.26</v>
      </c>
      <c r="I653" s="13"/>
      <c r="J653" s="12">
        <v>0.01</v>
      </c>
      <c r="K653" s="14">
        <v>3</v>
      </c>
      <c r="L653" s="11" t="s">
        <v>608</v>
      </c>
      <c r="M653" s="15" t="s">
        <v>368</v>
      </c>
    </row>
    <row r="654" spans="1:13">
      <c r="A654" s="98">
        <v>43426</v>
      </c>
      <c r="B654" s="11" t="s">
        <v>17</v>
      </c>
      <c r="C654" s="11" t="s">
        <v>343</v>
      </c>
      <c r="D654" s="11" t="s">
        <v>344</v>
      </c>
      <c r="E654" s="11" t="s">
        <v>345</v>
      </c>
      <c r="F654" s="11" t="s">
        <v>78</v>
      </c>
      <c r="G654" s="11" t="s">
        <v>79</v>
      </c>
      <c r="H654" s="12">
        <v>0.27</v>
      </c>
      <c r="I654" s="13"/>
      <c r="J654" s="12">
        <v>0.01</v>
      </c>
      <c r="K654" s="14">
        <v>3</v>
      </c>
      <c r="L654" s="11" t="s">
        <v>608</v>
      </c>
      <c r="M654" s="15" t="s">
        <v>369</v>
      </c>
    </row>
    <row r="655" spans="1:13">
      <c r="A655" s="98">
        <v>43429</v>
      </c>
      <c r="B655" s="11" t="s">
        <v>17</v>
      </c>
      <c r="C655" s="11" t="s">
        <v>343</v>
      </c>
      <c r="D655" s="11" t="s">
        <v>344</v>
      </c>
      <c r="E655" s="11" t="s">
        <v>345</v>
      </c>
      <c r="F655" s="11" t="s">
        <v>78</v>
      </c>
      <c r="G655" s="11" t="s">
        <v>79</v>
      </c>
      <c r="H655" s="12">
        <v>0.25</v>
      </c>
      <c r="I655" s="13"/>
      <c r="J655" s="12">
        <v>0.01</v>
      </c>
      <c r="K655" s="14">
        <v>3</v>
      </c>
      <c r="L655" s="11" t="s">
        <v>608</v>
      </c>
      <c r="M655" s="15" t="s">
        <v>370</v>
      </c>
    </row>
    <row r="656" spans="1:13">
      <c r="A656" s="98">
        <v>43433</v>
      </c>
      <c r="B656" s="11" t="s">
        <v>17</v>
      </c>
      <c r="C656" s="11" t="s">
        <v>343</v>
      </c>
      <c r="D656" s="11" t="s">
        <v>344</v>
      </c>
      <c r="E656" s="11" t="s">
        <v>345</v>
      </c>
      <c r="F656" s="11" t="s">
        <v>78</v>
      </c>
      <c r="G656" s="11" t="s">
        <v>79</v>
      </c>
      <c r="H656" s="12">
        <v>0.26</v>
      </c>
      <c r="I656" s="13"/>
      <c r="J656" s="12">
        <v>0.01</v>
      </c>
      <c r="K656" s="14">
        <v>3</v>
      </c>
      <c r="L656" s="11" t="s">
        <v>608</v>
      </c>
      <c r="M656" s="15" t="s">
        <v>371</v>
      </c>
    </row>
    <row r="657" spans="1:13">
      <c r="A657" s="98">
        <v>43436</v>
      </c>
      <c r="B657" s="11" t="s">
        <v>17</v>
      </c>
      <c r="C657" s="11" t="s">
        <v>343</v>
      </c>
      <c r="D657" s="11" t="s">
        <v>344</v>
      </c>
      <c r="E657" s="11" t="s">
        <v>345</v>
      </c>
      <c r="F657" s="11" t="s">
        <v>78</v>
      </c>
      <c r="G657" s="11" t="s">
        <v>79</v>
      </c>
      <c r="H657" s="12">
        <v>0.28000000000000003</v>
      </c>
      <c r="I657" s="13"/>
      <c r="J657" s="12">
        <v>0.01</v>
      </c>
      <c r="K657" s="14">
        <v>3</v>
      </c>
      <c r="L657" s="11" t="s">
        <v>608</v>
      </c>
      <c r="M657" s="15" t="s">
        <v>372</v>
      </c>
    </row>
    <row r="658" spans="1:13">
      <c r="A658" s="98">
        <v>43440</v>
      </c>
      <c r="B658" s="11" t="s">
        <v>17</v>
      </c>
      <c r="C658" s="11" t="s">
        <v>343</v>
      </c>
      <c r="D658" s="11" t="s">
        <v>344</v>
      </c>
      <c r="E658" s="11" t="s">
        <v>345</v>
      </c>
      <c r="F658" s="11" t="s">
        <v>78</v>
      </c>
      <c r="G658" s="11" t="s">
        <v>79</v>
      </c>
      <c r="H658" s="12">
        <v>0.27</v>
      </c>
      <c r="I658" s="13"/>
      <c r="J658" s="12">
        <v>0.01</v>
      </c>
      <c r="K658" s="14">
        <v>3</v>
      </c>
      <c r="L658" s="11" t="s">
        <v>608</v>
      </c>
      <c r="M658" s="15" t="s">
        <v>373</v>
      </c>
    </row>
    <row r="659" spans="1:13">
      <c r="A659" s="98">
        <v>43443</v>
      </c>
      <c r="B659" s="11" t="s">
        <v>17</v>
      </c>
      <c r="C659" s="11" t="s">
        <v>343</v>
      </c>
      <c r="D659" s="11" t="s">
        <v>344</v>
      </c>
      <c r="E659" s="11" t="s">
        <v>345</v>
      </c>
      <c r="F659" s="11" t="s">
        <v>78</v>
      </c>
      <c r="G659" s="11" t="s">
        <v>79</v>
      </c>
      <c r="H659" s="12">
        <v>0.33</v>
      </c>
      <c r="I659" s="13"/>
      <c r="J659" s="12">
        <v>0.01</v>
      </c>
      <c r="K659" s="14">
        <v>3</v>
      </c>
      <c r="L659" s="11" t="s">
        <v>608</v>
      </c>
      <c r="M659" s="15" t="s">
        <v>374</v>
      </c>
    </row>
    <row r="660" spans="1:13">
      <c r="A660" s="98">
        <v>43447</v>
      </c>
      <c r="B660" s="11" t="s">
        <v>17</v>
      </c>
      <c r="C660" s="11" t="s">
        <v>343</v>
      </c>
      <c r="D660" s="11" t="s">
        <v>344</v>
      </c>
      <c r="E660" s="11" t="s">
        <v>345</v>
      </c>
      <c r="F660" s="11" t="s">
        <v>78</v>
      </c>
      <c r="G660" s="11" t="s">
        <v>79</v>
      </c>
      <c r="H660" s="12">
        <v>0.28999999999999998</v>
      </c>
      <c r="I660" s="13"/>
      <c r="J660" s="12">
        <v>0.01</v>
      </c>
      <c r="K660" s="14">
        <v>3</v>
      </c>
      <c r="L660" s="11" t="s">
        <v>608</v>
      </c>
      <c r="M660" s="15" t="s">
        <v>375</v>
      </c>
    </row>
    <row r="661" spans="1:13">
      <c r="A661" s="98">
        <v>43450</v>
      </c>
      <c r="B661" s="11" t="s">
        <v>17</v>
      </c>
      <c r="C661" s="11" t="s">
        <v>343</v>
      </c>
      <c r="D661" s="11" t="s">
        <v>344</v>
      </c>
      <c r="E661" s="11" t="s">
        <v>345</v>
      </c>
      <c r="F661" s="11" t="s">
        <v>78</v>
      </c>
      <c r="G661" s="11" t="s">
        <v>79</v>
      </c>
      <c r="H661" s="12">
        <v>0.27</v>
      </c>
      <c r="I661" s="13"/>
      <c r="J661" s="12">
        <v>0.01</v>
      </c>
      <c r="K661" s="14">
        <v>3</v>
      </c>
      <c r="L661" s="11" t="s">
        <v>608</v>
      </c>
      <c r="M661" s="15" t="s">
        <v>376</v>
      </c>
    </row>
    <row r="662" spans="1:13">
      <c r="A662" s="98">
        <v>43454</v>
      </c>
      <c r="B662" s="11" t="s">
        <v>17</v>
      </c>
      <c r="C662" s="11" t="s">
        <v>343</v>
      </c>
      <c r="D662" s="11" t="s">
        <v>344</v>
      </c>
      <c r="E662" s="11" t="s">
        <v>345</v>
      </c>
      <c r="F662" s="11" t="s">
        <v>78</v>
      </c>
      <c r="G662" s="11" t="s">
        <v>79</v>
      </c>
      <c r="H662" s="12">
        <v>0.4</v>
      </c>
      <c r="I662" s="13"/>
      <c r="J662" s="12">
        <v>0.01</v>
      </c>
      <c r="K662" s="14">
        <v>3</v>
      </c>
      <c r="L662" s="11" t="s">
        <v>608</v>
      </c>
      <c r="M662" s="15" t="s">
        <v>377</v>
      </c>
    </row>
    <row r="663" spans="1:13">
      <c r="A663" s="98">
        <v>43457</v>
      </c>
      <c r="B663" s="11" t="s">
        <v>17</v>
      </c>
      <c r="C663" s="11" t="s">
        <v>343</v>
      </c>
      <c r="D663" s="11" t="s">
        <v>344</v>
      </c>
      <c r="E663" s="11" t="s">
        <v>345</v>
      </c>
      <c r="F663" s="11" t="s">
        <v>78</v>
      </c>
      <c r="G663" s="11" t="s">
        <v>79</v>
      </c>
      <c r="H663" s="12">
        <v>0.32</v>
      </c>
      <c r="I663" s="13"/>
      <c r="J663" s="12">
        <v>0.01</v>
      </c>
      <c r="K663" s="14">
        <v>3</v>
      </c>
      <c r="L663" s="11" t="s">
        <v>608</v>
      </c>
      <c r="M663" s="15" t="s">
        <v>378</v>
      </c>
    </row>
    <row r="664" spans="1:13">
      <c r="A664" s="98">
        <v>43461</v>
      </c>
      <c r="B664" s="11" t="s">
        <v>17</v>
      </c>
      <c r="C664" s="11" t="s">
        <v>343</v>
      </c>
      <c r="D664" s="11" t="s">
        <v>344</v>
      </c>
      <c r="E664" s="11" t="s">
        <v>345</v>
      </c>
      <c r="F664" s="11" t="s">
        <v>78</v>
      </c>
      <c r="G664" s="11" t="s">
        <v>79</v>
      </c>
      <c r="H664" s="12">
        <v>0.33</v>
      </c>
      <c r="I664" s="13"/>
      <c r="J664" s="12">
        <v>0.01</v>
      </c>
      <c r="K664" s="14">
        <v>3</v>
      </c>
      <c r="L664" s="11" t="s">
        <v>608</v>
      </c>
      <c r="M664" s="15" t="s">
        <v>379</v>
      </c>
    </row>
    <row r="665" spans="1:13">
      <c r="A665" s="98">
        <v>43464</v>
      </c>
      <c r="B665" s="11" t="s">
        <v>17</v>
      </c>
      <c r="C665" s="11" t="s">
        <v>343</v>
      </c>
      <c r="D665" s="11" t="s">
        <v>344</v>
      </c>
      <c r="E665" s="11" t="s">
        <v>345</v>
      </c>
      <c r="F665" s="11" t="s">
        <v>78</v>
      </c>
      <c r="G665" s="11" t="s">
        <v>79</v>
      </c>
      <c r="H665" s="12">
        <v>0.27</v>
      </c>
      <c r="I665" s="13"/>
      <c r="J665" s="12">
        <v>0.01</v>
      </c>
      <c r="K665" s="14">
        <v>3</v>
      </c>
      <c r="L665" s="11" t="s">
        <v>608</v>
      </c>
      <c r="M665" s="15" t="s">
        <v>380</v>
      </c>
    </row>
    <row r="666" spans="1:13">
      <c r="A666" s="98">
        <v>43468</v>
      </c>
      <c r="B666" s="11" t="s">
        <v>17</v>
      </c>
      <c r="C666" s="11" t="s">
        <v>343</v>
      </c>
      <c r="D666" s="11" t="s">
        <v>344</v>
      </c>
      <c r="E666" s="11" t="s">
        <v>345</v>
      </c>
      <c r="F666" s="11" t="s">
        <v>78</v>
      </c>
      <c r="G666" s="11" t="s">
        <v>79</v>
      </c>
      <c r="H666" s="12">
        <v>0.28999999999999998</v>
      </c>
      <c r="I666" s="13"/>
      <c r="J666" s="12">
        <v>0.01</v>
      </c>
      <c r="K666" s="14">
        <v>3</v>
      </c>
      <c r="L666" s="11" t="s">
        <v>608</v>
      </c>
      <c r="M666" s="15" t="s">
        <v>381</v>
      </c>
    </row>
    <row r="667" spans="1:13">
      <c r="A667" s="98">
        <v>43471</v>
      </c>
      <c r="B667" s="11" t="s">
        <v>17</v>
      </c>
      <c r="C667" s="11" t="s">
        <v>343</v>
      </c>
      <c r="D667" s="11" t="s">
        <v>344</v>
      </c>
      <c r="E667" s="11" t="s">
        <v>345</v>
      </c>
      <c r="F667" s="11" t="s">
        <v>78</v>
      </c>
      <c r="G667" s="11" t="s">
        <v>79</v>
      </c>
      <c r="H667" s="12">
        <v>0.26</v>
      </c>
      <c r="I667" s="13"/>
      <c r="J667" s="12">
        <v>0.01</v>
      </c>
      <c r="K667" s="14">
        <v>3</v>
      </c>
      <c r="L667" s="11" t="s">
        <v>608</v>
      </c>
      <c r="M667" s="15" t="s">
        <v>382</v>
      </c>
    </row>
    <row r="668" spans="1:13">
      <c r="A668" s="98">
        <v>43475</v>
      </c>
      <c r="B668" s="11" t="s">
        <v>17</v>
      </c>
      <c r="C668" s="11" t="s">
        <v>343</v>
      </c>
      <c r="D668" s="11" t="s">
        <v>344</v>
      </c>
      <c r="E668" s="11" t="s">
        <v>345</v>
      </c>
      <c r="F668" s="11" t="s">
        <v>78</v>
      </c>
      <c r="G668" s="11" t="s">
        <v>79</v>
      </c>
      <c r="H668" s="12">
        <v>0.28000000000000003</v>
      </c>
      <c r="I668" s="13"/>
      <c r="J668" s="12">
        <v>0.01</v>
      </c>
      <c r="K668" s="14">
        <v>3</v>
      </c>
      <c r="L668" s="11" t="s">
        <v>608</v>
      </c>
      <c r="M668" s="15" t="s">
        <v>383</v>
      </c>
    </row>
    <row r="669" spans="1:13">
      <c r="A669" s="98">
        <v>43478</v>
      </c>
      <c r="B669" s="11" t="s">
        <v>17</v>
      </c>
      <c r="C669" s="11" t="s">
        <v>343</v>
      </c>
      <c r="D669" s="11" t="s">
        <v>344</v>
      </c>
      <c r="E669" s="11" t="s">
        <v>345</v>
      </c>
      <c r="F669" s="11" t="s">
        <v>78</v>
      </c>
      <c r="G669" s="11" t="s">
        <v>79</v>
      </c>
      <c r="H669" s="12">
        <v>0.28000000000000003</v>
      </c>
      <c r="I669" s="13"/>
      <c r="J669" s="12">
        <v>0.01</v>
      </c>
      <c r="K669" s="14">
        <v>3</v>
      </c>
      <c r="L669" s="11" t="s">
        <v>608</v>
      </c>
      <c r="M669" s="15" t="s">
        <v>384</v>
      </c>
    </row>
    <row r="670" spans="1:13">
      <c r="A670" s="98">
        <v>43482</v>
      </c>
      <c r="B670" s="11" t="s">
        <v>17</v>
      </c>
      <c r="C670" s="11" t="s">
        <v>343</v>
      </c>
      <c r="D670" s="11" t="s">
        <v>344</v>
      </c>
      <c r="E670" s="11" t="s">
        <v>345</v>
      </c>
      <c r="F670" s="11" t="s">
        <v>78</v>
      </c>
      <c r="G670" s="11" t="s">
        <v>79</v>
      </c>
      <c r="H670" s="12">
        <v>0.37</v>
      </c>
      <c r="I670" s="13"/>
      <c r="J670" s="12">
        <v>0.01</v>
      </c>
      <c r="K670" s="14">
        <v>3</v>
      </c>
      <c r="L670" s="11" t="s">
        <v>608</v>
      </c>
      <c r="M670" s="15" t="s">
        <v>385</v>
      </c>
    </row>
    <row r="671" spans="1:13">
      <c r="A671" s="98">
        <v>43485</v>
      </c>
      <c r="B671" s="11" t="s">
        <v>17</v>
      </c>
      <c r="C671" s="11" t="s">
        <v>343</v>
      </c>
      <c r="D671" s="11" t="s">
        <v>344</v>
      </c>
      <c r="E671" s="11" t="s">
        <v>345</v>
      </c>
      <c r="F671" s="11" t="s">
        <v>78</v>
      </c>
      <c r="G671" s="11" t="s">
        <v>79</v>
      </c>
      <c r="H671" s="12">
        <v>0.39</v>
      </c>
      <c r="I671" s="13"/>
      <c r="J671" s="12">
        <v>0.01</v>
      </c>
      <c r="K671" s="14">
        <v>3</v>
      </c>
      <c r="L671" s="11" t="s">
        <v>608</v>
      </c>
      <c r="M671" s="15" t="s">
        <v>386</v>
      </c>
    </row>
    <row r="672" spans="1:13">
      <c r="A672" s="98">
        <v>43489</v>
      </c>
      <c r="B672" s="11" t="s">
        <v>17</v>
      </c>
      <c r="C672" s="11" t="s">
        <v>343</v>
      </c>
      <c r="D672" s="11" t="s">
        <v>344</v>
      </c>
      <c r="E672" s="11" t="s">
        <v>345</v>
      </c>
      <c r="F672" s="11" t="s">
        <v>78</v>
      </c>
      <c r="G672" s="11" t="s">
        <v>79</v>
      </c>
      <c r="H672" s="12">
        <v>0.49</v>
      </c>
      <c r="I672" s="13"/>
      <c r="J672" s="12">
        <v>0.01</v>
      </c>
      <c r="K672" s="14">
        <v>3</v>
      </c>
      <c r="L672" s="11" t="s">
        <v>608</v>
      </c>
      <c r="M672" s="15" t="s">
        <v>387</v>
      </c>
    </row>
    <row r="673" spans="1:13">
      <c r="A673" s="98">
        <v>43493</v>
      </c>
      <c r="B673" s="11" t="s">
        <v>17</v>
      </c>
      <c r="C673" s="11" t="s">
        <v>343</v>
      </c>
      <c r="D673" s="11" t="s">
        <v>344</v>
      </c>
      <c r="E673" s="11" t="s">
        <v>345</v>
      </c>
      <c r="F673" s="11" t="s">
        <v>78</v>
      </c>
      <c r="G673" s="11" t="s">
        <v>79</v>
      </c>
      <c r="H673" s="12">
        <v>0.49</v>
      </c>
      <c r="I673" s="13"/>
      <c r="J673" s="12">
        <v>0.01</v>
      </c>
      <c r="K673" s="14">
        <v>3</v>
      </c>
      <c r="L673" s="11" t="s">
        <v>608</v>
      </c>
      <c r="M673" s="15" t="s">
        <v>388</v>
      </c>
    </row>
    <row r="674" spans="1:13">
      <c r="A674" s="98">
        <v>43497</v>
      </c>
      <c r="B674" s="11" t="s">
        <v>17</v>
      </c>
      <c r="C674" s="11" t="s">
        <v>343</v>
      </c>
      <c r="D674" s="11" t="s">
        <v>344</v>
      </c>
      <c r="E674" s="11" t="s">
        <v>345</v>
      </c>
      <c r="F674" s="11" t="s">
        <v>78</v>
      </c>
      <c r="G674" s="11" t="s">
        <v>79</v>
      </c>
      <c r="H674" s="12">
        <v>0.42</v>
      </c>
      <c r="I674" s="13"/>
      <c r="J674" s="12">
        <v>0.01</v>
      </c>
      <c r="K674" s="14">
        <v>3</v>
      </c>
      <c r="L674" s="11" t="s">
        <v>608</v>
      </c>
      <c r="M674" s="15" t="s">
        <v>389</v>
      </c>
    </row>
    <row r="675" spans="1:13">
      <c r="A675" s="98">
        <v>43500</v>
      </c>
      <c r="B675" s="11" t="s">
        <v>17</v>
      </c>
      <c r="C675" s="11" t="s">
        <v>343</v>
      </c>
      <c r="D675" s="11" t="s">
        <v>344</v>
      </c>
      <c r="E675" s="11" t="s">
        <v>345</v>
      </c>
      <c r="F675" s="11" t="s">
        <v>78</v>
      </c>
      <c r="G675" s="11" t="s">
        <v>79</v>
      </c>
      <c r="H675" s="12">
        <v>0.4</v>
      </c>
      <c r="I675" s="13"/>
      <c r="J675" s="12">
        <v>0.01</v>
      </c>
      <c r="K675" s="14">
        <v>3</v>
      </c>
      <c r="L675" s="11" t="s">
        <v>608</v>
      </c>
      <c r="M675" s="15" t="s">
        <v>390</v>
      </c>
    </row>
    <row r="676" spans="1:13">
      <c r="A676" s="98">
        <v>43504</v>
      </c>
      <c r="B676" s="11" t="s">
        <v>17</v>
      </c>
      <c r="C676" s="11" t="s">
        <v>343</v>
      </c>
      <c r="D676" s="11" t="s">
        <v>344</v>
      </c>
      <c r="E676" s="11" t="s">
        <v>345</v>
      </c>
      <c r="F676" s="11" t="s">
        <v>78</v>
      </c>
      <c r="G676" s="11" t="s">
        <v>79</v>
      </c>
      <c r="H676" s="12">
        <v>0.47</v>
      </c>
      <c r="I676" s="13"/>
      <c r="J676" s="12">
        <v>0.01</v>
      </c>
      <c r="K676" s="14">
        <v>3</v>
      </c>
      <c r="L676" s="11" t="s">
        <v>608</v>
      </c>
      <c r="M676" s="15" t="s">
        <v>391</v>
      </c>
    </row>
    <row r="677" spans="1:13">
      <c r="A677" s="98">
        <v>43507</v>
      </c>
      <c r="B677" s="11" t="s">
        <v>17</v>
      </c>
      <c r="C677" s="11" t="s">
        <v>343</v>
      </c>
      <c r="D677" s="11" t="s">
        <v>344</v>
      </c>
      <c r="E677" s="11" t="s">
        <v>345</v>
      </c>
      <c r="F677" s="11" t="s">
        <v>78</v>
      </c>
      <c r="G677" s="11" t="s">
        <v>79</v>
      </c>
      <c r="H677" s="12">
        <v>0.45</v>
      </c>
      <c r="I677" s="13"/>
      <c r="J677" s="12">
        <v>0.01</v>
      </c>
      <c r="K677" s="14">
        <v>3</v>
      </c>
      <c r="L677" s="11" t="s">
        <v>608</v>
      </c>
      <c r="M677" s="15" t="s">
        <v>392</v>
      </c>
    </row>
    <row r="678" spans="1:13">
      <c r="A678" s="98">
        <v>43511</v>
      </c>
      <c r="B678" s="11" t="s">
        <v>17</v>
      </c>
      <c r="C678" s="11" t="s">
        <v>343</v>
      </c>
      <c r="D678" s="11" t="s">
        <v>344</v>
      </c>
      <c r="E678" s="11" t="s">
        <v>345</v>
      </c>
      <c r="F678" s="11" t="s">
        <v>78</v>
      </c>
      <c r="G678" s="11" t="s">
        <v>79</v>
      </c>
      <c r="H678" s="12">
        <v>0.39</v>
      </c>
      <c r="I678" s="13"/>
      <c r="J678" s="12">
        <v>0.01</v>
      </c>
      <c r="K678" s="14">
        <v>3</v>
      </c>
      <c r="L678" s="11" t="s">
        <v>608</v>
      </c>
      <c r="M678" s="15" t="s">
        <v>393</v>
      </c>
    </row>
    <row r="679" spans="1:13">
      <c r="A679" s="98">
        <v>43514</v>
      </c>
      <c r="B679" s="11" t="s">
        <v>17</v>
      </c>
      <c r="C679" s="11" t="s">
        <v>343</v>
      </c>
      <c r="D679" s="11" t="s">
        <v>344</v>
      </c>
      <c r="E679" s="11" t="s">
        <v>345</v>
      </c>
      <c r="F679" s="11" t="s">
        <v>78</v>
      </c>
      <c r="G679" s="11" t="s">
        <v>79</v>
      </c>
      <c r="H679" s="12">
        <v>0.51</v>
      </c>
      <c r="I679" s="13"/>
      <c r="J679" s="12">
        <v>0.01</v>
      </c>
      <c r="K679" s="14">
        <v>3</v>
      </c>
      <c r="L679" s="11" t="s">
        <v>608</v>
      </c>
      <c r="M679" s="15" t="s">
        <v>394</v>
      </c>
    </row>
    <row r="680" spans="1:13">
      <c r="A680" s="98">
        <v>43518</v>
      </c>
      <c r="B680" s="11" t="s">
        <v>17</v>
      </c>
      <c r="C680" s="11" t="s">
        <v>343</v>
      </c>
      <c r="D680" s="11" t="s">
        <v>344</v>
      </c>
      <c r="E680" s="11" t="s">
        <v>345</v>
      </c>
      <c r="F680" s="11" t="s">
        <v>78</v>
      </c>
      <c r="G680" s="11" t="s">
        <v>79</v>
      </c>
      <c r="H680" s="12">
        <v>0.49</v>
      </c>
      <c r="I680" s="13"/>
      <c r="J680" s="12">
        <v>0.01</v>
      </c>
      <c r="K680" s="14">
        <v>3</v>
      </c>
      <c r="L680" s="11" t="s">
        <v>608</v>
      </c>
      <c r="M680" s="15" t="s">
        <v>395</v>
      </c>
    </row>
    <row r="681" spans="1:13">
      <c r="A681" s="98">
        <v>43521</v>
      </c>
      <c r="B681" s="11" t="s">
        <v>17</v>
      </c>
      <c r="C681" s="11" t="s">
        <v>343</v>
      </c>
      <c r="D681" s="11" t="s">
        <v>344</v>
      </c>
      <c r="E681" s="11" t="s">
        <v>345</v>
      </c>
      <c r="F681" s="11" t="s">
        <v>78</v>
      </c>
      <c r="G681" s="11" t="s">
        <v>79</v>
      </c>
      <c r="H681" s="12">
        <v>0.38</v>
      </c>
      <c r="I681" s="13"/>
      <c r="J681" s="12">
        <v>0.01</v>
      </c>
      <c r="K681" s="14">
        <v>3</v>
      </c>
      <c r="L681" s="11" t="s">
        <v>608</v>
      </c>
      <c r="M681" s="15" t="s">
        <v>396</v>
      </c>
    </row>
    <row r="682" spans="1:13">
      <c r="A682" s="98">
        <v>43525</v>
      </c>
      <c r="B682" s="11" t="s">
        <v>17</v>
      </c>
      <c r="C682" s="11" t="s">
        <v>343</v>
      </c>
      <c r="D682" s="11" t="s">
        <v>344</v>
      </c>
      <c r="E682" s="11" t="s">
        <v>345</v>
      </c>
      <c r="F682" s="11" t="s">
        <v>78</v>
      </c>
      <c r="G682" s="11" t="s">
        <v>79</v>
      </c>
      <c r="H682" s="12">
        <v>0.37</v>
      </c>
      <c r="I682" s="13"/>
      <c r="J682" s="12">
        <v>0.01</v>
      </c>
      <c r="K682" s="14">
        <v>3</v>
      </c>
      <c r="L682" s="11" t="s">
        <v>608</v>
      </c>
      <c r="M682" s="15" t="s">
        <v>397</v>
      </c>
    </row>
    <row r="683" spans="1:13">
      <c r="A683" s="98">
        <v>43526</v>
      </c>
      <c r="B683" s="11" t="s">
        <v>17</v>
      </c>
      <c r="C683" s="11" t="s">
        <v>343</v>
      </c>
      <c r="D683" s="11" t="s">
        <v>344</v>
      </c>
      <c r="E683" s="11" t="s">
        <v>345</v>
      </c>
      <c r="F683" s="11" t="s">
        <v>78</v>
      </c>
      <c r="G683" s="11" t="s">
        <v>79</v>
      </c>
      <c r="H683" s="12">
        <v>0.47</v>
      </c>
      <c r="I683" s="13"/>
      <c r="J683" s="12">
        <v>0.01</v>
      </c>
      <c r="K683" s="14">
        <v>3</v>
      </c>
      <c r="L683" s="11" t="s">
        <v>608</v>
      </c>
      <c r="M683" s="15" t="s">
        <v>398</v>
      </c>
    </row>
    <row r="684" spans="1:13">
      <c r="A684" s="98">
        <v>43530</v>
      </c>
      <c r="B684" s="11" t="s">
        <v>17</v>
      </c>
      <c r="C684" s="11" t="s">
        <v>343</v>
      </c>
      <c r="D684" s="11" t="s">
        <v>344</v>
      </c>
      <c r="E684" s="11" t="s">
        <v>345</v>
      </c>
      <c r="F684" s="11" t="s">
        <v>78</v>
      </c>
      <c r="G684" s="11" t="s">
        <v>79</v>
      </c>
      <c r="H684" s="12">
        <v>0.44</v>
      </c>
      <c r="I684" s="13"/>
      <c r="J684" s="12">
        <v>0.01</v>
      </c>
      <c r="K684" s="14">
        <v>3</v>
      </c>
      <c r="L684" s="11" t="s">
        <v>608</v>
      </c>
      <c r="M684" s="15" t="s">
        <v>399</v>
      </c>
    </row>
    <row r="685" spans="1:13">
      <c r="A685" s="98">
        <v>43531</v>
      </c>
      <c r="B685" s="11" t="s">
        <v>17</v>
      </c>
      <c r="C685" s="11" t="s">
        <v>343</v>
      </c>
      <c r="D685" s="11" t="s">
        <v>344</v>
      </c>
      <c r="E685" s="11" t="s">
        <v>345</v>
      </c>
      <c r="F685" s="11" t="s">
        <v>78</v>
      </c>
      <c r="G685" s="11" t="s">
        <v>79</v>
      </c>
      <c r="H685" s="12">
        <v>0.37</v>
      </c>
      <c r="I685" s="13"/>
      <c r="J685" s="12">
        <v>0.01</v>
      </c>
      <c r="K685" s="14">
        <v>3</v>
      </c>
      <c r="L685" s="11" t="s">
        <v>608</v>
      </c>
      <c r="M685" s="15" t="s">
        <v>400</v>
      </c>
    </row>
    <row r="686" spans="1:13">
      <c r="A686" s="98">
        <v>43532</v>
      </c>
      <c r="B686" s="11" t="s">
        <v>17</v>
      </c>
      <c r="C686" s="11" t="s">
        <v>343</v>
      </c>
      <c r="D686" s="11" t="s">
        <v>344</v>
      </c>
      <c r="E686" s="11" t="s">
        <v>345</v>
      </c>
      <c r="F686" s="11" t="s">
        <v>78</v>
      </c>
      <c r="G686" s="11" t="s">
        <v>79</v>
      </c>
      <c r="H686" s="12">
        <v>0.35</v>
      </c>
      <c r="I686" s="13"/>
      <c r="J686" s="12">
        <v>0.01</v>
      </c>
      <c r="K686" s="14">
        <v>3</v>
      </c>
      <c r="L686" s="11" t="s">
        <v>608</v>
      </c>
      <c r="M686" s="15" t="s">
        <v>401</v>
      </c>
    </row>
    <row r="687" spans="1:13">
      <c r="A687" s="98">
        <v>43533</v>
      </c>
      <c r="B687" s="11" t="s">
        <v>17</v>
      </c>
      <c r="C687" s="11" t="s">
        <v>343</v>
      </c>
      <c r="D687" s="11" t="s">
        <v>344</v>
      </c>
      <c r="E687" s="11" t="s">
        <v>345</v>
      </c>
      <c r="F687" s="11" t="s">
        <v>78</v>
      </c>
      <c r="G687" s="11" t="s">
        <v>79</v>
      </c>
      <c r="H687" s="12">
        <v>0.39</v>
      </c>
      <c r="I687" s="13"/>
      <c r="J687" s="12">
        <v>0.01</v>
      </c>
      <c r="K687" s="14">
        <v>3</v>
      </c>
      <c r="L687" s="11" t="s">
        <v>608</v>
      </c>
      <c r="M687" s="15" t="s">
        <v>402</v>
      </c>
    </row>
    <row r="688" spans="1:13">
      <c r="A688" s="98">
        <v>43537</v>
      </c>
      <c r="B688" s="11" t="s">
        <v>17</v>
      </c>
      <c r="C688" s="11" t="s">
        <v>343</v>
      </c>
      <c r="D688" s="11" t="s">
        <v>344</v>
      </c>
      <c r="E688" s="11" t="s">
        <v>345</v>
      </c>
      <c r="F688" s="11" t="s">
        <v>78</v>
      </c>
      <c r="G688" s="11" t="s">
        <v>79</v>
      </c>
      <c r="H688" s="12">
        <v>0.46</v>
      </c>
      <c r="I688" s="13"/>
      <c r="J688" s="12">
        <v>0.01</v>
      </c>
      <c r="K688" s="14">
        <v>3</v>
      </c>
      <c r="L688" s="11" t="s">
        <v>608</v>
      </c>
      <c r="M688" s="15" t="s">
        <v>403</v>
      </c>
    </row>
    <row r="689" spans="1:13">
      <c r="A689" s="98">
        <v>43538</v>
      </c>
      <c r="B689" s="11" t="s">
        <v>17</v>
      </c>
      <c r="C689" s="11" t="s">
        <v>343</v>
      </c>
      <c r="D689" s="11" t="s">
        <v>344</v>
      </c>
      <c r="E689" s="11" t="s">
        <v>345</v>
      </c>
      <c r="F689" s="11" t="s">
        <v>78</v>
      </c>
      <c r="G689" s="11" t="s">
        <v>79</v>
      </c>
      <c r="H689" s="12">
        <v>0.44</v>
      </c>
      <c r="I689" s="13"/>
      <c r="J689" s="12">
        <v>0.01</v>
      </c>
      <c r="K689" s="14">
        <v>3</v>
      </c>
      <c r="L689" s="11" t="s">
        <v>608</v>
      </c>
      <c r="M689" s="15" t="s">
        <v>404</v>
      </c>
    </row>
    <row r="690" spans="1:13">
      <c r="A690" s="98">
        <v>43539</v>
      </c>
      <c r="B690" s="11" t="s">
        <v>17</v>
      </c>
      <c r="C690" s="11" t="s">
        <v>343</v>
      </c>
      <c r="D690" s="11" t="s">
        <v>344</v>
      </c>
      <c r="E690" s="11" t="s">
        <v>345</v>
      </c>
      <c r="F690" s="11" t="s">
        <v>78</v>
      </c>
      <c r="G690" s="11" t="s">
        <v>79</v>
      </c>
      <c r="H690" s="12">
        <v>0.43</v>
      </c>
      <c r="I690" s="13"/>
      <c r="J690" s="12">
        <v>0.01</v>
      </c>
      <c r="K690" s="14">
        <v>3</v>
      </c>
      <c r="L690" s="11" t="s">
        <v>608</v>
      </c>
      <c r="M690" s="15" t="s">
        <v>405</v>
      </c>
    </row>
    <row r="691" spans="1:13">
      <c r="A691" s="98">
        <v>43540</v>
      </c>
      <c r="B691" s="11" t="s">
        <v>17</v>
      </c>
      <c r="C691" s="11" t="s">
        <v>343</v>
      </c>
      <c r="D691" s="11" t="s">
        <v>344</v>
      </c>
      <c r="E691" s="11" t="s">
        <v>345</v>
      </c>
      <c r="F691" s="11" t="s">
        <v>78</v>
      </c>
      <c r="G691" s="11" t="s">
        <v>79</v>
      </c>
      <c r="H691" s="12">
        <v>0.43</v>
      </c>
      <c r="I691" s="13"/>
      <c r="J691" s="12">
        <v>0.01</v>
      </c>
      <c r="K691" s="14">
        <v>3</v>
      </c>
      <c r="L691" s="11" t="s">
        <v>608</v>
      </c>
      <c r="M691" s="15" t="s">
        <v>406</v>
      </c>
    </row>
    <row r="692" spans="1:13">
      <c r="A692" s="98">
        <v>43544</v>
      </c>
      <c r="B692" s="11" t="s">
        <v>17</v>
      </c>
      <c r="C692" s="11" t="s">
        <v>343</v>
      </c>
      <c r="D692" s="11" t="s">
        <v>344</v>
      </c>
      <c r="E692" s="11" t="s">
        <v>345</v>
      </c>
      <c r="F692" s="11" t="s">
        <v>78</v>
      </c>
      <c r="G692" s="11" t="s">
        <v>79</v>
      </c>
      <c r="H692" s="12">
        <v>0.36</v>
      </c>
      <c r="I692" s="13"/>
      <c r="J692" s="12">
        <v>0.01</v>
      </c>
      <c r="K692" s="14">
        <v>3</v>
      </c>
      <c r="L692" s="11" t="s">
        <v>608</v>
      </c>
      <c r="M692" s="15" t="s">
        <v>407</v>
      </c>
    </row>
    <row r="693" spans="1:13">
      <c r="A693" s="98">
        <v>43545</v>
      </c>
      <c r="B693" s="11" t="s">
        <v>17</v>
      </c>
      <c r="C693" s="11" t="s">
        <v>343</v>
      </c>
      <c r="D693" s="11" t="s">
        <v>344</v>
      </c>
      <c r="E693" s="11" t="s">
        <v>345</v>
      </c>
      <c r="F693" s="11" t="s">
        <v>78</v>
      </c>
      <c r="G693" s="11" t="s">
        <v>79</v>
      </c>
      <c r="H693" s="12">
        <v>0.35</v>
      </c>
      <c r="I693" s="13"/>
      <c r="J693" s="12">
        <v>0.01</v>
      </c>
      <c r="K693" s="14">
        <v>3</v>
      </c>
      <c r="L693" s="11" t="s">
        <v>608</v>
      </c>
      <c r="M693" s="15" t="s">
        <v>408</v>
      </c>
    </row>
    <row r="694" spans="1:13">
      <c r="A694" s="98">
        <v>43546</v>
      </c>
      <c r="B694" s="11" t="s">
        <v>17</v>
      </c>
      <c r="C694" s="11" t="s">
        <v>343</v>
      </c>
      <c r="D694" s="11" t="s">
        <v>344</v>
      </c>
      <c r="E694" s="11" t="s">
        <v>345</v>
      </c>
      <c r="F694" s="11" t="s">
        <v>78</v>
      </c>
      <c r="G694" s="11" t="s">
        <v>79</v>
      </c>
      <c r="H694" s="12">
        <v>0.33</v>
      </c>
      <c r="I694" s="13"/>
      <c r="J694" s="12">
        <v>0.01</v>
      </c>
      <c r="K694" s="14">
        <v>3</v>
      </c>
      <c r="L694" s="11" t="s">
        <v>608</v>
      </c>
      <c r="M694" s="15" t="s">
        <v>409</v>
      </c>
    </row>
    <row r="695" spans="1:13">
      <c r="A695" s="98">
        <v>43547</v>
      </c>
      <c r="B695" s="11" t="s">
        <v>17</v>
      </c>
      <c r="C695" s="11" t="s">
        <v>343</v>
      </c>
      <c r="D695" s="11" t="s">
        <v>344</v>
      </c>
      <c r="E695" s="11" t="s">
        <v>345</v>
      </c>
      <c r="F695" s="11" t="s">
        <v>78</v>
      </c>
      <c r="G695" s="11" t="s">
        <v>79</v>
      </c>
      <c r="H695" s="12">
        <v>0.3</v>
      </c>
      <c r="I695" s="13"/>
      <c r="J695" s="12">
        <v>0.01</v>
      </c>
      <c r="K695" s="14">
        <v>3</v>
      </c>
      <c r="L695" s="11" t="s">
        <v>608</v>
      </c>
      <c r="M695" s="15" t="s">
        <v>410</v>
      </c>
    </row>
    <row r="696" spans="1:13">
      <c r="A696" s="98">
        <v>43551</v>
      </c>
      <c r="B696" s="11" t="s">
        <v>17</v>
      </c>
      <c r="C696" s="11" t="s">
        <v>343</v>
      </c>
      <c r="D696" s="11" t="s">
        <v>344</v>
      </c>
      <c r="E696" s="11" t="s">
        <v>345</v>
      </c>
      <c r="F696" s="11" t="s">
        <v>78</v>
      </c>
      <c r="G696" s="11" t="s">
        <v>79</v>
      </c>
      <c r="H696" s="12">
        <v>0.23</v>
      </c>
      <c r="I696" s="13"/>
      <c r="J696" s="12">
        <v>0.01</v>
      </c>
      <c r="K696" s="14">
        <v>3</v>
      </c>
      <c r="L696" s="11" t="s">
        <v>608</v>
      </c>
      <c r="M696" s="15" t="s">
        <v>411</v>
      </c>
    </row>
    <row r="697" spans="1:13">
      <c r="A697" s="98">
        <v>43552</v>
      </c>
      <c r="B697" s="11" t="s">
        <v>17</v>
      </c>
      <c r="C697" s="11" t="s">
        <v>343</v>
      </c>
      <c r="D697" s="11" t="s">
        <v>344</v>
      </c>
      <c r="E697" s="11" t="s">
        <v>345</v>
      </c>
      <c r="F697" s="11" t="s">
        <v>78</v>
      </c>
      <c r="G697" s="11" t="s">
        <v>79</v>
      </c>
      <c r="H697" s="12">
        <v>0.25</v>
      </c>
      <c r="I697" s="13"/>
      <c r="J697" s="12">
        <v>0.01</v>
      </c>
      <c r="K697" s="14">
        <v>3</v>
      </c>
      <c r="L697" s="11" t="s">
        <v>608</v>
      </c>
      <c r="M697" s="15" t="s">
        <v>412</v>
      </c>
    </row>
    <row r="698" spans="1:13">
      <c r="A698" s="98">
        <v>43553</v>
      </c>
      <c r="B698" s="11" t="s">
        <v>17</v>
      </c>
      <c r="C698" s="11" t="s">
        <v>343</v>
      </c>
      <c r="D698" s="11" t="s">
        <v>344</v>
      </c>
      <c r="E698" s="11" t="s">
        <v>345</v>
      </c>
      <c r="F698" s="11" t="s">
        <v>78</v>
      </c>
      <c r="G698" s="11" t="s">
        <v>79</v>
      </c>
      <c r="H698" s="12">
        <v>0.27</v>
      </c>
      <c r="I698" s="13"/>
      <c r="J698" s="12">
        <v>0.01</v>
      </c>
      <c r="K698" s="14">
        <v>3</v>
      </c>
      <c r="L698" s="11" t="s">
        <v>608</v>
      </c>
      <c r="M698" s="15" t="s">
        <v>413</v>
      </c>
    </row>
    <row r="699" spans="1:13">
      <c r="A699" s="98">
        <v>43554</v>
      </c>
      <c r="B699" s="11" t="s">
        <v>17</v>
      </c>
      <c r="C699" s="11" t="s">
        <v>343</v>
      </c>
      <c r="D699" s="11" t="s">
        <v>344</v>
      </c>
      <c r="E699" s="11" t="s">
        <v>345</v>
      </c>
      <c r="F699" s="11" t="s">
        <v>78</v>
      </c>
      <c r="G699" s="11" t="s">
        <v>79</v>
      </c>
      <c r="H699" s="12">
        <v>0.25</v>
      </c>
      <c r="I699" s="13"/>
      <c r="J699" s="12">
        <v>0.01</v>
      </c>
      <c r="K699" s="14">
        <v>3</v>
      </c>
      <c r="L699" s="11" t="s">
        <v>608</v>
      </c>
      <c r="M699" s="15" t="s">
        <v>414</v>
      </c>
    </row>
    <row r="700" spans="1:13">
      <c r="A700" s="98">
        <v>43558</v>
      </c>
      <c r="B700" s="11" t="s">
        <v>17</v>
      </c>
      <c r="C700" s="11" t="s">
        <v>343</v>
      </c>
      <c r="D700" s="11" t="s">
        <v>344</v>
      </c>
      <c r="E700" s="11" t="s">
        <v>345</v>
      </c>
      <c r="F700" s="11" t="s">
        <v>78</v>
      </c>
      <c r="G700" s="11" t="s">
        <v>79</v>
      </c>
      <c r="H700" s="12">
        <v>0.4</v>
      </c>
      <c r="I700" s="13"/>
      <c r="J700" s="12">
        <v>0.01</v>
      </c>
      <c r="K700" s="14">
        <v>3</v>
      </c>
      <c r="L700" s="11" t="s">
        <v>608</v>
      </c>
      <c r="M700" s="15" t="s">
        <v>415</v>
      </c>
    </row>
    <row r="701" spans="1:13">
      <c r="A701" s="98">
        <v>43559</v>
      </c>
      <c r="B701" s="11" t="s">
        <v>17</v>
      </c>
      <c r="C701" s="11" t="s">
        <v>343</v>
      </c>
      <c r="D701" s="11" t="s">
        <v>344</v>
      </c>
      <c r="E701" s="11" t="s">
        <v>345</v>
      </c>
      <c r="F701" s="11" t="s">
        <v>78</v>
      </c>
      <c r="G701" s="11" t="s">
        <v>79</v>
      </c>
      <c r="H701" s="12">
        <v>0.25</v>
      </c>
      <c r="I701" s="13"/>
      <c r="J701" s="12">
        <v>0.01</v>
      </c>
      <c r="K701" s="14">
        <v>3</v>
      </c>
      <c r="L701" s="11" t="s">
        <v>608</v>
      </c>
      <c r="M701" s="15" t="s">
        <v>416</v>
      </c>
    </row>
    <row r="702" spans="1:13">
      <c r="A702" s="98">
        <v>43560</v>
      </c>
      <c r="B702" s="11" t="s">
        <v>17</v>
      </c>
      <c r="C702" s="11" t="s">
        <v>343</v>
      </c>
      <c r="D702" s="11" t="s">
        <v>344</v>
      </c>
      <c r="E702" s="11" t="s">
        <v>345</v>
      </c>
      <c r="F702" s="11" t="s">
        <v>78</v>
      </c>
      <c r="G702" s="11" t="s">
        <v>79</v>
      </c>
      <c r="H702" s="12">
        <v>0.25</v>
      </c>
      <c r="I702" s="13"/>
      <c r="J702" s="12">
        <v>0.01</v>
      </c>
      <c r="K702" s="14">
        <v>3</v>
      </c>
      <c r="L702" s="11" t="s">
        <v>608</v>
      </c>
      <c r="M702" s="15" t="s">
        <v>417</v>
      </c>
    </row>
    <row r="703" spans="1:13">
      <c r="A703" s="98">
        <v>43561</v>
      </c>
      <c r="B703" s="11" t="s">
        <v>17</v>
      </c>
      <c r="C703" s="11" t="s">
        <v>343</v>
      </c>
      <c r="D703" s="11" t="s">
        <v>344</v>
      </c>
      <c r="E703" s="11" t="s">
        <v>345</v>
      </c>
      <c r="F703" s="11" t="s">
        <v>78</v>
      </c>
      <c r="G703" s="11" t="s">
        <v>79</v>
      </c>
      <c r="H703" s="12">
        <v>0.24</v>
      </c>
      <c r="I703" s="13"/>
      <c r="J703" s="12">
        <v>0.01</v>
      </c>
      <c r="K703" s="14">
        <v>3</v>
      </c>
      <c r="L703" s="11" t="s">
        <v>608</v>
      </c>
      <c r="M703" s="15" t="s">
        <v>418</v>
      </c>
    </row>
    <row r="704" spans="1:13">
      <c r="A704" s="98">
        <v>43562</v>
      </c>
      <c r="B704" s="11" t="s">
        <v>17</v>
      </c>
      <c r="C704" s="11" t="s">
        <v>343</v>
      </c>
      <c r="D704" s="11" t="s">
        <v>344</v>
      </c>
      <c r="E704" s="11" t="s">
        <v>345</v>
      </c>
      <c r="F704" s="11" t="s">
        <v>78</v>
      </c>
      <c r="G704" s="11" t="s">
        <v>79</v>
      </c>
      <c r="H704" s="12">
        <v>0.23</v>
      </c>
      <c r="I704" s="13"/>
      <c r="J704" s="12">
        <v>0.01</v>
      </c>
      <c r="K704" s="14">
        <v>3</v>
      </c>
      <c r="L704" s="11" t="s">
        <v>608</v>
      </c>
      <c r="M704" s="15" t="s">
        <v>419</v>
      </c>
    </row>
    <row r="705" spans="1:13">
      <c r="A705" s="98">
        <v>43563</v>
      </c>
      <c r="B705" s="11" t="s">
        <v>17</v>
      </c>
      <c r="C705" s="11" t="s">
        <v>343</v>
      </c>
      <c r="D705" s="11" t="s">
        <v>344</v>
      </c>
      <c r="E705" s="11" t="s">
        <v>345</v>
      </c>
      <c r="F705" s="11" t="s">
        <v>78</v>
      </c>
      <c r="G705" s="11" t="s">
        <v>79</v>
      </c>
      <c r="H705" s="12">
        <v>0.24</v>
      </c>
      <c r="I705" s="13"/>
      <c r="J705" s="12">
        <v>0.01</v>
      </c>
      <c r="K705" s="14">
        <v>3</v>
      </c>
      <c r="L705" s="11" t="s">
        <v>608</v>
      </c>
      <c r="M705" s="15" t="s">
        <v>420</v>
      </c>
    </row>
    <row r="706" spans="1:13">
      <c r="A706" s="98">
        <v>43564</v>
      </c>
      <c r="B706" s="11" t="s">
        <v>17</v>
      </c>
      <c r="C706" s="11" t="s">
        <v>343</v>
      </c>
      <c r="D706" s="11" t="s">
        <v>344</v>
      </c>
      <c r="E706" s="11" t="s">
        <v>345</v>
      </c>
      <c r="F706" s="11" t="s">
        <v>78</v>
      </c>
      <c r="G706" s="11" t="s">
        <v>79</v>
      </c>
      <c r="H706" s="12">
        <v>0.25</v>
      </c>
      <c r="I706" s="13"/>
      <c r="J706" s="12">
        <v>0.01</v>
      </c>
      <c r="K706" s="14">
        <v>3</v>
      </c>
      <c r="L706" s="11" t="s">
        <v>608</v>
      </c>
      <c r="M706" s="15" t="s">
        <v>421</v>
      </c>
    </row>
    <row r="707" spans="1:13">
      <c r="A707" s="98">
        <v>43568</v>
      </c>
      <c r="B707" s="11" t="s">
        <v>17</v>
      </c>
      <c r="C707" s="11" t="s">
        <v>343</v>
      </c>
      <c r="D707" s="11" t="s">
        <v>344</v>
      </c>
      <c r="E707" s="11" t="s">
        <v>345</v>
      </c>
      <c r="F707" s="11" t="s">
        <v>78</v>
      </c>
      <c r="G707" s="11" t="s">
        <v>79</v>
      </c>
      <c r="H707" s="12">
        <v>0.23</v>
      </c>
      <c r="I707" s="13"/>
      <c r="J707" s="12">
        <v>0.01</v>
      </c>
      <c r="K707" s="14">
        <v>3</v>
      </c>
      <c r="L707" s="11" t="s">
        <v>608</v>
      </c>
      <c r="M707" s="15" t="s">
        <v>422</v>
      </c>
    </row>
    <row r="708" spans="1:13">
      <c r="A708" s="98">
        <v>43569</v>
      </c>
      <c r="B708" s="11" t="s">
        <v>17</v>
      </c>
      <c r="C708" s="11" t="s">
        <v>343</v>
      </c>
      <c r="D708" s="11" t="s">
        <v>344</v>
      </c>
      <c r="E708" s="11" t="s">
        <v>345</v>
      </c>
      <c r="F708" s="11" t="s">
        <v>78</v>
      </c>
      <c r="G708" s="11" t="s">
        <v>79</v>
      </c>
      <c r="H708" s="12">
        <v>0.24</v>
      </c>
      <c r="I708" s="13"/>
      <c r="J708" s="12">
        <v>0.01</v>
      </c>
      <c r="K708" s="14">
        <v>3</v>
      </c>
      <c r="L708" s="11" t="s">
        <v>608</v>
      </c>
      <c r="M708" s="15" t="s">
        <v>423</v>
      </c>
    </row>
    <row r="709" spans="1:13">
      <c r="A709" s="98">
        <v>43570</v>
      </c>
      <c r="B709" s="11" t="s">
        <v>17</v>
      </c>
      <c r="C709" s="11" t="s">
        <v>343</v>
      </c>
      <c r="D709" s="11" t="s">
        <v>344</v>
      </c>
      <c r="E709" s="11" t="s">
        <v>345</v>
      </c>
      <c r="F709" s="11" t="s">
        <v>78</v>
      </c>
      <c r="G709" s="11" t="s">
        <v>79</v>
      </c>
      <c r="H709" s="12">
        <v>0.27</v>
      </c>
      <c r="I709" s="13"/>
      <c r="J709" s="12">
        <v>0.01</v>
      </c>
      <c r="K709" s="14">
        <v>3</v>
      </c>
      <c r="L709" s="11" t="s">
        <v>608</v>
      </c>
      <c r="M709" s="15" t="s">
        <v>424</v>
      </c>
    </row>
    <row r="710" spans="1:13">
      <c r="A710" s="98">
        <v>43571</v>
      </c>
      <c r="B710" s="11" t="s">
        <v>17</v>
      </c>
      <c r="C710" s="11" t="s">
        <v>343</v>
      </c>
      <c r="D710" s="11" t="s">
        <v>344</v>
      </c>
      <c r="E710" s="11" t="s">
        <v>345</v>
      </c>
      <c r="F710" s="11" t="s">
        <v>78</v>
      </c>
      <c r="G710" s="11" t="s">
        <v>79</v>
      </c>
      <c r="H710" s="12">
        <v>0.36</v>
      </c>
      <c r="I710" s="13"/>
      <c r="J710" s="12">
        <v>0.01</v>
      </c>
      <c r="K710" s="14">
        <v>3</v>
      </c>
      <c r="L710" s="11" t="s">
        <v>608</v>
      </c>
      <c r="M710" s="15" t="s">
        <v>425</v>
      </c>
    </row>
    <row r="711" spans="1:13">
      <c r="A711" s="98">
        <v>43575</v>
      </c>
      <c r="B711" s="11" t="s">
        <v>17</v>
      </c>
      <c r="C711" s="11" t="s">
        <v>343</v>
      </c>
      <c r="D711" s="11" t="s">
        <v>344</v>
      </c>
      <c r="E711" s="11" t="s">
        <v>345</v>
      </c>
      <c r="F711" s="11" t="s">
        <v>78</v>
      </c>
      <c r="G711" s="11" t="s">
        <v>79</v>
      </c>
      <c r="H711" s="12">
        <v>0.25</v>
      </c>
      <c r="I711" s="13"/>
      <c r="J711" s="12">
        <v>0.01</v>
      </c>
      <c r="K711" s="14">
        <v>3</v>
      </c>
      <c r="L711" s="11" t="s">
        <v>608</v>
      </c>
      <c r="M711" s="15" t="s">
        <v>426</v>
      </c>
    </row>
    <row r="712" spans="1:13">
      <c r="A712" s="98">
        <v>43576</v>
      </c>
      <c r="B712" s="11" t="s">
        <v>17</v>
      </c>
      <c r="C712" s="11" t="s">
        <v>343</v>
      </c>
      <c r="D712" s="11" t="s">
        <v>344</v>
      </c>
      <c r="E712" s="11" t="s">
        <v>345</v>
      </c>
      <c r="F712" s="11" t="s">
        <v>78</v>
      </c>
      <c r="G712" s="11" t="s">
        <v>79</v>
      </c>
      <c r="H712" s="12">
        <v>0.24</v>
      </c>
      <c r="I712" s="13"/>
      <c r="J712" s="12">
        <v>0.01</v>
      </c>
      <c r="K712" s="14">
        <v>3</v>
      </c>
      <c r="L712" s="11" t="s">
        <v>608</v>
      </c>
      <c r="M712" s="15" t="s">
        <v>427</v>
      </c>
    </row>
    <row r="713" spans="1:13">
      <c r="A713" s="98">
        <v>43577</v>
      </c>
      <c r="B713" s="11" t="s">
        <v>17</v>
      </c>
      <c r="C713" s="11" t="s">
        <v>343</v>
      </c>
      <c r="D713" s="11" t="s">
        <v>344</v>
      </c>
      <c r="E713" s="11" t="s">
        <v>345</v>
      </c>
      <c r="F713" s="11" t="s">
        <v>78</v>
      </c>
      <c r="G713" s="11" t="s">
        <v>79</v>
      </c>
      <c r="H713" s="12">
        <v>0.25</v>
      </c>
      <c r="I713" s="13"/>
      <c r="J713" s="12">
        <v>0.01</v>
      </c>
      <c r="K713" s="14">
        <v>3</v>
      </c>
      <c r="L713" s="11" t="s">
        <v>608</v>
      </c>
      <c r="M713" s="15" t="s">
        <v>428</v>
      </c>
    </row>
    <row r="714" spans="1:13">
      <c r="A714" s="98">
        <v>43578</v>
      </c>
      <c r="B714" s="11" t="s">
        <v>17</v>
      </c>
      <c r="C714" s="11" t="s">
        <v>343</v>
      </c>
      <c r="D714" s="11" t="s">
        <v>344</v>
      </c>
      <c r="E714" s="11" t="s">
        <v>345</v>
      </c>
      <c r="F714" s="11" t="s">
        <v>78</v>
      </c>
      <c r="G714" s="11" t="s">
        <v>79</v>
      </c>
      <c r="H714" s="12">
        <v>0.25</v>
      </c>
      <c r="I714" s="13"/>
      <c r="J714" s="12">
        <v>0.01</v>
      </c>
      <c r="K714" s="14">
        <v>3</v>
      </c>
      <c r="L714" s="11" t="s">
        <v>608</v>
      </c>
      <c r="M714" s="15" t="s">
        <v>429</v>
      </c>
    </row>
    <row r="715" spans="1:13">
      <c r="A715" s="98">
        <v>43582</v>
      </c>
      <c r="B715" s="11" t="s">
        <v>17</v>
      </c>
      <c r="C715" s="11" t="s">
        <v>343</v>
      </c>
      <c r="D715" s="11" t="s">
        <v>344</v>
      </c>
      <c r="E715" s="11" t="s">
        <v>345</v>
      </c>
      <c r="F715" s="11" t="s">
        <v>78</v>
      </c>
      <c r="G715" s="11" t="s">
        <v>79</v>
      </c>
      <c r="H715" s="12">
        <v>0.31</v>
      </c>
      <c r="I715" s="13"/>
      <c r="J715" s="12">
        <v>0.01</v>
      </c>
      <c r="K715" s="14">
        <v>3</v>
      </c>
      <c r="L715" s="11" t="s">
        <v>608</v>
      </c>
      <c r="M715" s="15" t="s">
        <v>430</v>
      </c>
    </row>
    <row r="716" spans="1:13">
      <c r="A716" s="98">
        <v>43584</v>
      </c>
      <c r="B716" s="11" t="s">
        <v>17</v>
      </c>
      <c r="C716" s="11" t="s">
        <v>343</v>
      </c>
      <c r="D716" s="11" t="s">
        <v>344</v>
      </c>
      <c r="E716" s="11" t="s">
        <v>345</v>
      </c>
      <c r="F716" s="11" t="s">
        <v>78</v>
      </c>
      <c r="G716" s="11" t="s">
        <v>79</v>
      </c>
      <c r="H716" s="12">
        <v>0.3</v>
      </c>
      <c r="I716" s="13"/>
      <c r="J716" s="12">
        <v>0.01</v>
      </c>
      <c r="K716" s="14">
        <v>3</v>
      </c>
      <c r="L716" s="11" t="s">
        <v>608</v>
      </c>
      <c r="M716" s="15" t="s">
        <v>431</v>
      </c>
    </row>
    <row r="717" spans="1:13">
      <c r="A717" s="98">
        <v>43585</v>
      </c>
      <c r="B717" s="11" t="s">
        <v>17</v>
      </c>
      <c r="C717" s="11" t="s">
        <v>343</v>
      </c>
      <c r="D717" s="11" t="s">
        <v>344</v>
      </c>
      <c r="E717" s="11" t="s">
        <v>345</v>
      </c>
      <c r="F717" s="11" t="s">
        <v>78</v>
      </c>
      <c r="G717" s="11" t="s">
        <v>79</v>
      </c>
      <c r="H717" s="12">
        <v>0.28999999999999998</v>
      </c>
      <c r="I717" s="13"/>
      <c r="J717" s="12">
        <v>0.01</v>
      </c>
      <c r="K717" s="14">
        <v>3</v>
      </c>
      <c r="L717" s="11" t="s">
        <v>608</v>
      </c>
      <c r="M717" s="15" t="s">
        <v>432</v>
      </c>
    </row>
    <row r="718" spans="1:13">
      <c r="A718" s="98">
        <v>43586</v>
      </c>
      <c r="B718" s="11" t="s">
        <v>17</v>
      </c>
      <c r="C718" s="11" t="s">
        <v>343</v>
      </c>
      <c r="D718" s="11" t="s">
        <v>344</v>
      </c>
      <c r="E718" s="11" t="s">
        <v>345</v>
      </c>
      <c r="F718" s="11" t="s">
        <v>78</v>
      </c>
      <c r="G718" s="11" t="s">
        <v>79</v>
      </c>
      <c r="H718" s="12">
        <v>0.24</v>
      </c>
      <c r="I718" s="13"/>
      <c r="J718" s="12">
        <v>0.01</v>
      </c>
      <c r="K718" s="14">
        <v>3</v>
      </c>
      <c r="L718" s="11" t="s">
        <v>608</v>
      </c>
      <c r="M718" s="15" t="s">
        <v>433</v>
      </c>
    </row>
    <row r="719" spans="1:13">
      <c r="A719" s="98">
        <v>43587</v>
      </c>
      <c r="B719" s="11" t="s">
        <v>17</v>
      </c>
      <c r="C719" s="11" t="s">
        <v>343</v>
      </c>
      <c r="D719" s="11" t="s">
        <v>344</v>
      </c>
      <c r="E719" s="11" t="s">
        <v>345</v>
      </c>
      <c r="F719" s="11" t="s">
        <v>78</v>
      </c>
      <c r="G719" s="11" t="s">
        <v>79</v>
      </c>
      <c r="H719" s="12">
        <v>0.27</v>
      </c>
      <c r="I719" s="13"/>
      <c r="J719" s="12">
        <v>0.01</v>
      </c>
      <c r="K719" s="14">
        <v>3</v>
      </c>
      <c r="L719" s="11" t="s">
        <v>608</v>
      </c>
      <c r="M719" s="15" t="s">
        <v>434</v>
      </c>
    </row>
    <row r="720" spans="1:13">
      <c r="A720" s="98">
        <v>43591</v>
      </c>
      <c r="B720" s="11" t="s">
        <v>17</v>
      </c>
      <c r="C720" s="11" t="s">
        <v>343</v>
      </c>
      <c r="D720" s="11" t="s">
        <v>344</v>
      </c>
      <c r="E720" s="11" t="s">
        <v>345</v>
      </c>
      <c r="F720" s="11" t="s">
        <v>78</v>
      </c>
      <c r="G720" s="11" t="s">
        <v>79</v>
      </c>
      <c r="H720" s="12">
        <v>0.37</v>
      </c>
      <c r="I720" s="13"/>
      <c r="J720" s="12">
        <v>0.01</v>
      </c>
      <c r="K720" s="14">
        <v>3</v>
      </c>
      <c r="L720" s="11" t="s">
        <v>608</v>
      </c>
      <c r="M720" s="15" t="s">
        <v>435</v>
      </c>
    </row>
    <row r="721" spans="1:13">
      <c r="A721" s="98">
        <v>43592</v>
      </c>
      <c r="B721" s="11" t="s">
        <v>17</v>
      </c>
      <c r="C721" s="11" t="s">
        <v>343</v>
      </c>
      <c r="D721" s="11" t="s">
        <v>344</v>
      </c>
      <c r="E721" s="11" t="s">
        <v>345</v>
      </c>
      <c r="F721" s="11" t="s">
        <v>78</v>
      </c>
      <c r="G721" s="11" t="s">
        <v>79</v>
      </c>
      <c r="H721" s="12">
        <v>0.43</v>
      </c>
      <c r="I721" s="13"/>
      <c r="J721" s="12">
        <v>0.01</v>
      </c>
      <c r="K721" s="14">
        <v>3</v>
      </c>
      <c r="L721" s="11" t="s">
        <v>608</v>
      </c>
      <c r="M721" s="15" t="s">
        <v>436</v>
      </c>
    </row>
    <row r="722" spans="1:13">
      <c r="A722" s="98">
        <v>43593</v>
      </c>
      <c r="B722" s="11" t="s">
        <v>17</v>
      </c>
      <c r="C722" s="11" t="s">
        <v>343</v>
      </c>
      <c r="D722" s="11" t="s">
        <v>344</v>
      </c>
      <c r="E722" s="11" t="s">
        <v>345</v>
      </c>
      <c r="F722" s="11" t="s">
        <v>78</v>
      </c>
      <c r="G722" s="11" t="s">
        <v>79</v>
      </c>
      <c r="H722" s="12">
        <v>0.43</v>
      </c>
      <c r="I722" s="13"/>
      <c r="J722" s="12">
        <v>0.01</v>
      </c>
      <c r="K722" s="14">
        <v>3</v>
      </c>
      <c r="L722" s="11" t="s">
        <v>608</v>
      </c>
      <c r="M722" s="15" t="s">
        <v>437</v>
      </c>
    </row>
    <row r="723" spans="1:13">
      <c r="A723" s="98">
        <v>43594</v>
      </c>
      <c r="B723" s="11" t="s">
        <v>17</v>
      </c>
      <c r="C723" s="11" t="s">
        <v>343</v>
      </c>
      <c r="D723" s="11" t="s">
        <v>344</v>
      </c>
      <c r="E723" s="11" t="s">
        <v>345</v>
      </c>
      <c r="F723" s="11" t="s">
        <v>78</v>
      </c>
      <c r="G723" s="11" t="s">
        <v>79</v>
      </c>
      <c r="H723" s="12">
        <v>0.43</v>
      </c>
      <c r="I723" s="13"/>
      <c r="J723" s="12">
        <v>0.01</v>
      </c>
      <c r="K723" s="14">
        <v>3</v>
      </c>
      <c r="L723" s="11" t="s">
        <v>608</v>
      </c>
      <c r="M723" s="15" t="s">
        <v>438</v>
      </c>
    </row>
    <row r="724" spans="1:13">
      <c r="A724" s="98">
        <v>43598</v>
      </c>
      <c r="B724" s="11" t="s">
        <v>17</v>
      </c>
      <c r="C724" s="11" t="s">
        <v>343</v>
      </c>
      <c r="D724" s="11" t="s">
        <v>344</v>
      </c>
      <c r="E724" s="11" t="s">
        <v>345</v>
      </c>
      <c r="F724" s="11" t="s">
        <v>78</v>
      </c>
      <c r="G724" s="11" t="s">
        <v>79</v>
      </c>
      <c r="H724" s="12">
        <v>0.37</v>
      </c>
      <c r="I724" s="13"/>
      <c r="J724" s="12">
        <v>0.01</v>
      </c>
      <c r="K724" s="14">
        <v>3</v>
      </c>
      <c r="L724" s="11" t="s">
        <v>608</v>
      </c>
      <c r="M724" s="15" t="s">
        <v>439</v>
      </c>
    </row>
    <row r="725" spans="1:13">
      <c r="A725" s="98">
        <v>43599</v>
      </c>
      <c r="B725" s="11" t="s">
        <v>17</v>
      </c>
      <c r="C725" s="11" t="s">
        <v>343</v>
      </c>
      <c r="D725" s="11" t="s">
        <v>344</v>
      </c>
      <c r="E725" s="11" t="s">
        <v>345</v>
      </c>
      <c r="F725" s="11" t="s">
        <v>78</v>
      </c>
      <c r="G725" s="11" t="s">
        <v>79</v>
      </c>
      <c r="H725" s="12">
        <v>0.38</v>
      </c>
      <c r="I725" s="13"/>
      <c r="J725" s="12">
        <v>0.01</v>
      </c>
      <c r="K725" s="14">
        <v>3</v>
      </c>
      <c r="L725" s="11" t="s">
        <v>608</v>
      </c>
      <c r="M725" s="15" t="s">
        <v>440</v>
      </c>
    </row>
    <row r="726" spans="1:13">
      <c r="A726" s="98">
        <v>43600</v>
      </c>
      <c r="B726" s="11" t="s">
        <v>17</v>
      </c>
      <c r="C726" s="11" t="s">
        <v>343</v>
      </c>
      <c r="D726" s="11" t="s">
        <v>344</v>
      </c>
      <c r="E726" s="11" t="s">
        <v>345</v>
      </c>
      <c r="F726" s="11" t="s">
        <v>78</v>
      </c>
      <c r="G726" s="11" t="s">
        <v>79</v>
      </c>
      <c r="H726" s="12">
        <v>0.41</v>
      </c>
      <c r="I726" s="13"/>
      <c r="J726" s="12">
        <v>0.01</v>
      </c>
      <c r="K726" s="14">
        <v>3</v>
      </c>
      <c r="L726" s="11" t="s">
        <v>608</v>
      </c>
      <c r="M726" s="15" t="s">
        <v>441</v>
      </c>
    </row>
    <row r="727" spans="1:13">
      <c r="A727" s="98">
        <v>43601</v>
      </c>
      <c r="B727" s="11" t="s">
        <v>17</v>
      </c>
      <c r="C727" s="11" t="s">
        <v>343</v>
      </c>
      <c r="D727" s="11" t="s">
        <v>344</v>
      </c>
      <c r="E727" s="11" t="s">
        <v>345</v>
      </c>
      <c r="F727" s="11" t="s">
        <v>78</v>
      </c>
      <c r="G727" s="11" t="s">
        <v>79</v>
      </c>
      <c r="H727" s="12">
        <v>0.4</v>
      </c>
      <c r="I727" s="13"/>
      <c r="J727" s="12">
        <v>0.01</v>
      </c>
      <c r="K727" s="14">
        <v>3</v>
      </c>
      <c r="L727" s="11" t="s">
        <v>608</v>
      </c>
      <c r="M727" s="15" t="s">
        <v>442</v>
      </c>
    </row>
    <row r="728" spans="1:13">
      <c r="A728" s="98">
        <v>43605</v>
      </c>
      <c r="B728" s="11" t="s">
        <v>17</v>
      </c>
      <c r="C728" s="11" t="s">
        <v>343</v>
      </c>
      <c r="D728" s="11" t="s">
        <v>344</v>
      </c>
      <c r="E728" s="11" t="s">
        <v>345</v>
      </c>
      <c r="F728" s="11" t="s">
        <v>78</v>
      </c>
      <c r="G728" s="11" t="s">
        <v>79</v>
      </c>
      <c r="H728" s="12">
        <v>0.47</v>
      </c>
      <c r="I728" s="13"/>
      <c r="J728" s="12">
        <v>0.01</v>
      </c>
      <c r="K728" s="14">
        <v>3</v>
      </c>
      <c r="L728" s="11" t="s">
        <v>608</v>
      </c>
      <c r="M728" s="15" t="s">
        <v>443</v>
      </c>
    </row>
    <row r="729" spans="1:13">
      <c r="A729" s="98">
        <v>43608</v>
      </c>
      <c r="B729" s="11" t="s">
        <v>17</v>
      </c>
      <c r="C729" s="11" t="s">
        <v>343</v>
      </c>
      <c r="D729" s="11" t="s">
        <v>344</v>
      </c>
      <c r="E729" s="11" t="s">
        <v>345</v>
      </c>
      <c r="F729" s="11" t="s">
        <v>78</v>
      </c>
      <c r="G729" s="11" t="s">
        <v>79</v>
      </c>
      <c r="H729" s="12">
        <v>0.41</v>
      </c>
      <c r="I729" s="13"/>
      <c r="J729" s="12">
        <v>0.01</v>
      </c>
      <c r="K729" s="14">
        <v>3</v>
      </c>
      <c r="L729" s="11" t="s">
        <v>608</v>
      </c>
      <c r="M729" s="15" t="s">
        <v>444</v>
      </c>
    </row>
    <row r="730" spans="1:13">
      <c r="A730" s="98">
        <v>43612</v>
      </c>
      <c r="B730" s="11" t="s">
        <v>17</v>
      </c>
      <c r="C730" s="11" t="s">
        <v>343</v>
      </c>
      <c r="D730" s="11" t="s">
        <v>344</v>
      </c>
      <c r="E730" s="11" t="s">
        <v>345</v>
      </c>
      <c r="F730" s="11" t="s">
        <v>78</v>
      </c>
      <c r="G730" s="11" t="s">
        <v>79</v>
      </c>
      <c r="H730" s="12">
        <v>0.45</v>
      </c>
      <c r="I730" s="13"/>
      <c r="J730" s="12">
        <v>0.01</v>
      </c>
      <c r="K730" s="14">
        <v>3</v>
      </c>
      <c r="L730" s="11" t="s">
        <v>608</v>
      </c>
      <c r="M730" s="15" t="s">
        <v>445</v>
      </c>
    </row>
    <row r="731" spans="1:13">
      <c r="A731" s="98">
        <v>43615</v>
      </c>
      <c r="B731" s="11" t="s">
        <v>17</v>
      </c>
      <c r="C731" s="11" t="s">
        <v>343</v>
      </c>
      <c r="D731" s="11" t="s">
        <v>344</v>
      </c>
      <c r="E731" s="11" t="s">
        <v>345</v>
      </c>
      <c r="F731" s="11" t="s">
        <v>78</v>
      </c>
      <c r="G731" s="11" t="s">
        <v>79</v>
      </c>
      <c r="H731" s="12">
        <v>0.4</v>
      </c>
      <c r="I731" s="13"/>
      <c r="J731" s="12">
        <v>0.01</v>
      </c>
      <c r="K731" s="14">
        <v>3</v>
      </c>
      <c r="L731" s="11" t="s">
        <v>608</v>
      </c>
      <c r="M731" s="15" t="s">
        <v>446</v>
      </c>
    </row>
    <row r="732" spans="1:13">
      <c r="A732" s="98">
        <v>43618</v>
      </c>
      <c r="B732" s="11" t="s">
        <v>17</v>
      </c>
      <c r="C732" s="11" t="s">
        <v>343</v>
      </c>
      <c r="D732" s="11" t="s">
        <v>344</v>
      </c>
      <c r="E732" s="11" t="s">
        <v>345</v>
      </c>
      <c r="F732" s="11" t="s">
        <v>78</v>
      </c>
      <c r="G732" s="11" t="s">
        <v>79</v>
      </c>
      <c r="H732" s="12">
        <v>0.39</v>
      </c>
      <c r="I732" s="13"/>
      <c r="J732" s="12">
        <v>0.01</v>
      </c>
      <c r="K732" s="14">
        <v>3</v>
      </c>
      <c r="L732" s="11" t="s">
        <v>608</v>
      </c>
      <c r="M732" s="15" t="s">
        <v>447</v>
      </c>
    </row>
    <row r="733" spans="1:13">
      <c r="A733" s="98">
        <v>43621</v>
      </c>
      <c r="B733" s="11" t="s">
        <v>17</v>
      </c>
      <c r="C733" s="11" t="s">
        <v>343</v>
      </c>
      <c r="D733" s="11" t="s">
        <v>344</v>
      </c>
      <c r="E733" s="11" t="s">
        <v>345</v>
      </c>
      <c r="F733" s="11" t="s">
        <v>78</v>
      </c>
      <c r="G733" s="11" t="s">
        <v>79</v>
      </c>
      <c r="H733" s="12">
        <v>0.35</v>
      </c>
      <c r="I733" s="13"/>
      <c r="J733" s="12">
        <v>0.01</v>
      </c>
      <c r="K733" s="14">
        <v>3</v>
      </c>
      <c r="L733" s="11" t="s">
        <v>608</v>
      </c>
      <c r="M733" s="15" t="s">
        <v>448</v>
      </c>
    </row>
    <row r="734" spans="1:13">
      <c r="A734" s="98">
        <v>43625</v>
      </c>
      <c r="B734" s="11" t="s">
        <v>17</v>
      </c>
      <c r="C734" s="11" t="s">
        <v>343</v>
      </c>
      <c r="D734" s="11" t="s">
        <v>344</v>
      </c>
      <c r="E734" s="11" t="s">
        <v>345</v>
      </c>
      <c r="F734" s="11" t="s">
        <v>78</v>
      </c>
      <c r="G734" s="11" t="s">
        <v>79</v>
      </c>
      <c r="H734" s="12">
        <v>0.34</v>
      </c>
      <c r="I734" s="13"/>
      <c r="J734" s="12">
        <v>0.01</v>
      </c>
      <c r="K734" s="14">
        <v>3</v>
      </c>
      <c r="L734" s="11" t="s">
        <v>608</v>
      </c>
      <c r="M734" s="15" t="s">
        <v>449</v>
      </c>
    </row>
    <row r="735" spans="1:13">
      <c r="A735" s="98">
        <v>43628</v>
      </c>
      <c r="B735" s="11" t="s">
        <v>17</v>
      </c>
      <c r="C735" s="11" t="s">
        <v>343</v>
      </c>
      <c r="D735" s="11" t="s">
        <v>344</v>
      </c>
      <c r="E735" s="11" t="s">
        <v>345</v>
      </c>
      <c r="F735" s="11" t="s">
        <v>78</v>
      </c>
      <c r="G735" s="11" t="s">
        <v>79</v>
      </c>
      <c r="H735" s="12">
        <v>0.36</v>
      </c>
      <c r="I735" s="13"/>
      <c r="J735" s="12">
        <v>0.01</v>
      </c>
      <c r="K735" s="14">
        <v>3</v>
      </c>
      <c r="L735" s="11" t="s">
        <v>608</v>
      </c>
      <c r="M735" s="15" t="s">
        <v>450</v>
      </c>
    </row>
    <row r="736" spans="1:13">
      <c r="A736" s="98">
        <v>43632</v>
      </c>
      <c r="B736" s="11" t="s">
        <v>17</v>
      </c>
      <c r="C736" s="11" t="s">
        <v>343</v>
      </c>
      <c r="D736" s="11" t="s">
        <v>344</v>
      </c>
      <c r="E736" s="11" t="s">
        <v>345</v>
      </c>
      <c r="F736" s="11" t="s">
        <v>78</v>
      </c>
      <c r="G736" s="11" t="s">
        <v>79</v>
      </c>
      <c r="H736" s="12">
        <v>0.36</v>
      </c>
      <c r="I736" s="13"/>
      <c r="J736" s="12">
        <v>0.01</v>
      </c>
      <c r="K736" s="14">
        <v>3</v>
      </c>
      <c r="L736" s="11" t="s">
        <v>608</v>
      </c>
      <c r="M736" s="15" t="s">
        <v>451</v>
      </c>
    </row>
    <row r="737" spans="1:13">
      <c r="A737" s="98">
        <v>43635</v>
      </c>
      <c r="B737" s="11" t="s">
        <v>17</v>
      </c>
      <c r="C737" s="11" t="s">
        <v>343</v>
      </c>
      <c r="D737" s="11" t="s">
        <v>344</v>
      </c>
      <c r="E737" s="11" t="s">
        <v>345</v>
      </c>
      <c r="F737" s="11" t="s">
        <v>78</v>
      </c>
      <c r="G737" s="11" t="s">
        <v>79</v>
      </c>
      <c r="H737" s="12">
        <v>0.34</v>
      </c>
      <c r="I737" s="13"/>
      <c r="J737" s="12">
        <v>0.01</v>
      </c>
      <c r="K737" s="14">
        <v>3</v>
      </c>
      <c r="L737" s="11" t="s">
        <v>608</v>
      </c>
      <c r="M737" s="15" t="s">
        <v>645</v>
      </c>
    </row>
    <row r="738" spans="1:13">
      <c r="A738" s="98">
        <v>43639</v>
      </c>
      <c r="B738" s="11" t="s">
        <v>17</v>
      </c>
      <c r="C738" s="11" t="s">
        <v>343</v>
      </c>
      <c r="D738" s="11" t="s">
        <v>344</v>
      </c>
      <c r="E738" s="11" t="s">
        <v>345</v>
      </c>
      <c r="F738" s="11" t="s">
        <v>78</v>
      </c>
      <c r="G738" s="11" t="s">
        <v>79</v>
      </c>
      <c r="H738" s="12">
        <v>0.34</v>
      </c>
      <c r="I738" s="13"/>
      <c r="J738" s="12">
        <v>0.01</v>
      </c>
      <c r="K738" s="14">
        <v>3</v>
      </c>
      <c r="L738" s="11" t="s">
        <v>608</v>
      </c>
      <c r="M738" s="15" t="s">
        <v>646</v>
      </c>
    </row>
    <row r="739" spans="1:13">
      <c r="A739" s="98">
        <v>43642</v>
      </c>
      <c r="B739" s="11" t="s">
        <v>17</v>
      </c>
      <c r="C739" s="11" t="s">
        <v>343</v>
      </c>
      <c r="D739" s="11" t="s">
        <v>344</v>
      </c>
      <c r="E739" s="11" t="s">
        <v>345</v>
      </c>
      <c r="F739" s="11" t="s">
        <v>78</v>
      </c>
      <c r="G739" s="11" t="s">
        <v>79</v>
      </c>
      <c r="H739" s="12">
        <v>0.4</v>
      </c>
      <c r="I739" s="13"/>
      <c r="J739" s="12">
        <v>0.01</v>
      </c>
      <c r="K739" s="14">
        <v>3</v>
      </c>
      <c r="L739" s="11" t="s">
        <v>608</v>
      </c>
      <c r="M739" s="15" t="s">
        <v>647</v>
      </c>
    </row>
    <row r="740" spans="1:13">
      <c r="A740" s="98">
        <v>43646</v>
      </c>
      <c r="B740" s="11" t="s">
        <v>17</v>
      </c>
      <c r="C740" s="11" t="s">
        <v>343</v>
      </c>
      <c r="D740" s="11" t="s">
        <v>344</v>
      </c>
      <c r="E740" s="11" t="s">
        <v>345</v>
      </c>
      <c r="F740" s="11" t="s">
        <v>78</v>
      </c>
      <c r="G740" s="11" t="s">
        <v>79</v>
      </c>
      <c r="H740" s="12">
        <v>0.34</v>
      </c>
      <c r="I740" s="13"/>
      <c r="J740" s="12">
        <v>0.01</v>
      </c>
      <c r="K740" s="14">
        <v>3</v>
      </c>
      <c r="L740" s="11" t="s">
        <v>608</v>
      </c>
      <c r="M740" s="15" t="s">
        <v>648</v>
      </c>
    </row>
    <row r="741" spans="1:13">
      <c r="A741" s="98">
        <v>43649</v>
      </c>
      <c r="B741" s="11" t="s">
        <v>17</v>
      </c>
      <c r="C741" s="11" t="s">
        <v>343</v>
      </c>
      <c r="D741" s="11" t="s">
        <v>344</v>
      </c>
      <c r="E741" s="11" t="s">
        <v>345</v>
      </c>
      <c r="F741" s="11" t="s">
        <v>78</v>
      </c>
      <c r="G741" s="11" t="s">
        <v>79</v>
      </c>
      <c r="H741" s="12">
        <v>0.36</v>
      </c>
      <c r="I741" s="13"/>
      <c r="J741" s="12">
        <v>0.01</v>
      </c>
      <c r="K741" s="14">
        <v>3</v>
      </c>
      <c r="L741" s="11" t="s">
        <v>608</v>
      </c>
      <c r="M741" s="15" t="s">
        <v>649</v>
      </c>
    </row>
    <row r="742" spans="1:13">
      <c r="A742" s="98">
        <v>43655</v>
      </c>
      <c r="B742" s="11" t="s">
        <v>17</v>
      </c>
      <c r="C742" s="11" t="s">
        <v>343</v>
      </c>
      <c r="D742" s="11" t="s">
        <v>344</v>
      </c>
      <c r="E742" s="11" t="s">
        <v>345</v>
      </c>
      <c r="F742" s="11" t="s">
        <v>78</v>
      </c>
      <c r="G742" s="11" t="s">
        <v>79</v>
      </c>
      <c r="H742" s="12">
        <v>0.39</v>
      </c>
      <c r="I742" s="13"/>
      <c r="J742" s="12">
        <v>0.01</v>
      </c>
      <c r="K742" s="14">
        <v>3</v>
      </c>
      <c r="L742" s="11" t="s">
        <v>608</v>
      </c>
      <c r="M742" s="15" t="s">
        <v>650</v>
      </c>
    </row>
    <row r="743" spans="1:13">
      <c r="A743" s="98">
        <v>43658</v>
      </c>
      <c r="B743" s="11" t="s">
        <v>17</v>
      </c>
      <c r="C743" s="11" t="s">
        <v>343</v>
      </c>
      <c r="D743" s="11" t="s">
        <v>344</v>
      </c>
      <c r="E743" s="11" t="s">
        <v>345</v>
      </c>
      <c r="F743" s="11" t="s">
        <v>78</v>
      </c>
      <c r="G743" s="11" t="s">
        <v>79</v>
      </c>
      <c r="H743" s="12">
        <v>0.26</v>
      </c>
      <c r="I743" s="13"/>
      <c r="J743" s="12">
        <v>0.01</v>
      </c>
      <c r="K743" s="14">
        <v>3</v>
      </c>
      <c r="L743" s="11" t="s">
        <v>608</v>
      </c>
      <c r="M743" s="15" t="s">
        <v>651</v>
      </c>
    </row>
    <row r="744" spans="1:13">
      <c r="A744" s="98">
        <v>43662</v>
      </c>
      <c r="B744" s="11" t="s">
        <v>17</v>
      </c>
      <c r="C744" s="11" t="s">
        <v>343</v>
      </c>
      <c r="D744" s="11" t="s">
        <v>344</v>
      </c>
      <c r="E744" s="11" t="s">
        <v>345</v>
      </c>
      <c r="F744" s="11" t="s">
        <v>78</v>
      </c>
      <c r="G744" s="11" t="s">
        <v>79</v>
      </c>
      <c r="H744" s="12">
        <v>0.31</v>
      </c>
      <c r="I744" s="13"/>
      <c r="J744" s="12">
        <v>0.01</v>
      </c>
      <c r="K744" s="14">
        <v>3</v>
      </c>
      <c r="L744" s="11" t="s">
        <v>608</v>
      </c>
      <c r="M744" s="15" t="s">
        <v>652</v>
      </c>
    </row>
    <row r="745" spans="1:13">
      <c r="A745" s="98">
        <v>43665</v>
      </c>
      <c r="B745" s="11" t="s">
        <v>17</v>
      </c>
      <c r="C745" s="11" t="s">
        <v>343</v>
      </c>
      <c r="D745" s="11" t="s">
        <v>344</v>
      </c>
      <c r="E745" s="11" t="s">
        <v>345</v>
      </c>
      <c r="F745" s="11" t="s">
        <v>78</v>
      </c>
      <c r="G745" s="11" t="s">
        <v>79</v>
      </c>
      <c r="H745" s="12">
        <v>0.3</v>
      </c>
      <c r="I745" s="13"/>
      <c r="J745" s="12">
        <v>0.01</v>
      </c>
      <c r="K745" s="14">
        <v>3</v>
      </c>
      <c r="L745" s="11" t="s">
        <v>608</v>
      </c>
      <c r="M745" s="15" t="s">
        <v>653</v>
      </c>
    </row>
    <row r="746" spans="1:13">
      <c r="A746" s="98">
        <v>43669</v>
      </c>
      <c r="B746" s="11" t="s">
        <v>17</v>
      </c>
      <c r="C746" s="11" t="s">
        <v>343</v>
      </c>
      <c r="D746" s="11" t="s">
        <v>344</v>
      </c>
      <c r="E746" s="11" t="s">
        <v>345</v>
      </c>
      <c r="F746" s="11" t="s">
        <v>78</v>
      </c>
      <c r="G746" s="11" t="s">
        <v>79</v>
      </c>
      <c r="H746" s="12">
        <v>0.34</v>
      </c>
      <c r="I746" s="13"/>
      <c r="J746" s="12">
        <v>0.01</v>
      </c>
      <c r="K746" s="14">
        <v>3</v>
      </c>
      <c r="L746" s="11" t="s">
        <v>608</v>
      </c>
      <c r="M746" s="15" t="s">
        <v>654</v>
      </c>
    </row>
    <row r="747" spans="1:13">
      <c r="A747" s="98">
        <v>43672</v>
      </c>
      <c r="B747" s="11" t="s">
        <v>17</v>
      </c>
      <c r="C747" s="11" t="s">
        <v>343</v>
      </c>
      <c r="D747" s="11" t="s">
        <v>344</v>
      </c>
      <c r="E747" s="11" t="s">
        <v>345</v>
      </c>
      <c r="F747" s="11" t="s">
        <v>78</v>
      </c>
      <c r="G747" s="11" t="s">
        <v>79</v>
      </c>
      <c r="H747" s="12">
        <v>0.37</v>
      </c>
      <c r="I747" s="13"/>
      <c r="J747" s="12">
        <v>0.01</v>
      </c>
      <c r="K747" s="14">
        <v>3</v>
      </c>
      <c r="L747" s="11" t="s">
        <v>608</v>
      </c>
      <c r="M747" s="15" t="s">
        <v>655</v>
      </c>
    </row>
    <row r="748" spans="1:13">
      <c r="A748" s="98">
        <v>43676</v>
      </c>
      <c r="B748" s="11" t="s">
        <v>17</v>
      </c>
      <c r="C748" s="11" t="s">
        <v>343</v>
      </c>
      <c r="D748" s="11" t="s">
        <v>344</v>
      </c>
      <c r="E748" s="11" t="s">
        <v>345</v>
      </c>
      <c r="F748" s="11" t="s">
        <v>78</v>
      </c>
      <c r="G748" s="11" t="s">
        <v>79</v>
      </c>
      <c r="H748" s="12">
        <v>0.36</v>
      </c>
      <c r="I748" s="13"/>
      <c r="J748" s="12">
        <v>0.01</v>
      </c>
      <c r="K748" s="14">
        <v>3</v>
      </c>
      <c r="L748" s="11" t="s">
        <v>608</v>
      </c>
      <c r="M748" s="15" t="s">
        <v>656</v>
      </c>
    </row>
    <row r="749" spans="1:13">
      <c r="A749" s="98">
        <v>43679</v>
      </c>
      <c r="B749" s="11" t="s">
        <v>17</v>
      </c>
      <c r="C749" s="11" t="s">
        <v>343</v>
      </c>
      <c r="D749" s="11" t="s">
        <v>344</v>
      </c>
      <c r="E749" s="11" t="s">
        <v>345</v>
      </c>
      <c r="F749" s="11" t="s">
        <v>78</v>
      </c>
      <c r="G749" s="11" t="s">
        <v>79</v>
      </c>
      <c r="H749" s="12">
        <v>0.43</v>
      </c>
      <c r="I749" s="13"/>
      <c r="J749" s="12">
        <v>0.01</v>
      </c>
      <c r="K749" s="14">
        <v>3</v>
      </c>
      <c r="L749" s="11" t="s">
        <v>608</v>
      </c>
      <c r="M749" s="15" t="s">
        <v>700</v>
      </c>
    </row>
    <row r="750" spans="1:13">
      <c r="A750" s="98">
        <v>43683</v>
      </c>
      <c r="B750" s="11" t="s">
        <v>17</v>
      </c>
      <c r="C750" s="11" t="s">
        <v>343</v>
      </c>
      <c r="D750" s="11" t="s">
        <v>344</v>
      </c>
      <c r="E750" s="11" t="s">
        <v>345</v>
      </c>
      <c r="F750" s="11" t="s">
        <v>78</v>
      </c>
      <c r="G750" s="11" t="s">
        <v>79</v>
      </c>
      <c r="H750" s="12">
        <v>0.48</v>
      </c>
      <c r="I750" s="13"/>
      <c r="J750" s="12">
        <v>0.01</v>
      </c>
      <c r="K750" s="14">
        <v>3</v>
      </c>
      <c r="L750" s="11" t="s">
        <v>608</v>
      </c>
      <c r="M750" s="15" t="s">
        <v>701</v>
      </c>
    </row>
    <row r="751" spans="1:13">
      <c r="A751" s="98">
        <v>43686</v>
      </c>
      <c r="B751" s="11" t="s">
        <v>17</v>
      </c>
      <c r="C751" s="11" t="s">
        <v>343</v>
      </c>
      <c r="D751" s="11" t="s">
        <v>344</v>
      </c>
      <c r="E751" s="11" t="s">
        <v>345</v>
      </c>
      <c r="F751" s="11" t="s">
        <v>78</v>
      </c>
      <c r="G751" s="11" t="s">
        <v>79</v>
      </c>
      <c r="H751" s="12">
        <v>0.42</v>
      </c>
      <c r="I751" s="13"/>
      <c r="J751" s="12">
        <v>0.01</v>
      </c>
      <c r="K751" s="14">
        <v>3</v>
      </c>
      <c r="L751" s="11" t="s">
        <v>608</v>
      </c>
      <c r="M751" s="15" t="s">
        <v>702</v>
      </c>
    </row>
    <row r="752" spans="1:13">
      <c r="A752" s="98">
        <v>43690</v>
      </c>
      <c r="B752" s="11" t="s">
        <v>17</v>
      </c>
      <c r="C752" s="11" t="s">
        <v>343</v>
      </c>
      <c r="D752" s="11" t="s">
        <v>344</v>
      </c>
      <c r="E752" s="11" t="s">
        <v>345</v>
      </c>
      <c r="F752" s="11" t="s">
        <v>78</v>
      </c>
      <c r="G752" s="11" t="s">
        <v>79</v>
      </c>
      <c r="H752" s="12">
        <v>0.44</v>
      </c>
      <c r="I752" s="13"/>
      <c r="J752" s="12">
        <v>0.01</v>
      </c>
      <c r="K752" s="14">
        <v>3</v>
      </c>
      <c r="L752" s="11" t="s">
        <v>608</v>
      </c>
      <c r="M752" s="15" t="s">
        <v>703</v>
      </c>
    </row>
    <row r="753" spans="1:13">
      <c r="A753" s="98">
        <v>43694</v>
      </c>
      <c r="B753" s="11" t="s">
        <v>17</v>
      </c>
      <c r="C753" s="11" t="s">
        <v>343</v>
      </c>
      <c r="D753" s="11" t="s">
        <v>344</v>
      </c>
      <c r="E753" s="11" t="s">
        <v>345</v>
      </c>
      <c r="F753" s="11" t="s">
        <v>78</v>
      </c>
      <c r="G753" s="11" t="s">
        <v>79</v>
      </c>
      <c r="H753" s="12">
        <v>0.4</v>
      </c>
      <c r="I753" s="13"/>
      <c r="J753" s="12">
        <v>0.01</v>
      </c>
      <c r="K753" s="14">
        <v>3</v>
      </c>
      <c r="L753" s="11" t="s">
        <v>608</v>
      </c>
      <c r="M753" s="15" t="s">
        <v>704</v>
      </c>
    </row>
    <row r="754" spans="1:13">
      <c r="A754" s="98">
        <v>43697</v>
      </c>
      <c r="B754" s="11" t="s">
        <v>17</v>
      </c>
      <c r="C754" s="11" t="s">
        <v>343</v>
      </c>
      <c r="D754" s="11" t="s">
        <v>344</v>
      </c>
      <c r="E754" s="11" t="s">
        <v>345</v>
      </c>
      <c r="F754" s="11" t="s">
        <v>78</v>
      </c>
      <c r="G754" s="11" t="s">
        <v>79</v>
      </c>
      <c r="H754" s="12">
        <v>0.47</v>
      </c>
      <c r="I754" s="13"/>
      <c r="J754" s="12">
        <v>0.01</v>
      </c>
      <c r="K754" s="14">
        <v>3</v>
      </c>
      <c r="L754" s="11" t="s">
        <v>608</v>
      </c>
      <c r="M754" s="15" t="s">
        <v>705</v>
      </c>
    </row>
    <row r="755" spans="1:13">
      <c r="A755" s="98">
        <v>43701</v>
      </c>
      <c r="B755" s="11" t="s">
        <v>17</v>
      </c>
      <c r="C755" s="11" t="s">
        <v>343</v>
      </c>
      <c r="D755" s="11" t="s">
        <v>344</v>
      </c>
      <c r="E755" s="11" t="s">
        <v>345</v>
      </c>
      <c r="F755" s="11" t="s">
        <v>78</v>
      </c>
      <c r="G755" s="11" t="s">
        <v>79</v>
      </c>
      <c r="H755" s="12">
        <v>0.61</v>
      </c>
      <c r="I755" s="13"/>
      <c r="J755" s="12">
        <v>0.01</v>
      </c>
      <c r="K755" s="14">
        <v>3</v>
      </c>
      <c r="L755" s="11" t="s">
        <v>608</v>
      </c>
      <c r="M755" s="15" t="s">
        <v>706</v>
      </c>
    </row>
    <row r="756" spans="1:13">
      <c r="A756" s="98">
        <v>43704</v>
      </c>
      <c r="B756" s="11" t="s">
        <v>17</v>
      </c>
      <c r="C756" s="11" t="s">
        <v>343</v>
      </c>
      <c r="D756" s="11" t="s">
        <v>344</v>
      </c>
      <c r="E756" s="11" t="s">
        <v>345</v>
      </c>
      <c r="F756" s="11" t="s">
        <v>78</v>
      </c>
      <c r="G756" s="11" t="s">
        <v>79</v>
      </c>
      <c r="H756" s="12">
        <v>0.56999999999999995</v>
      </c>
      <c r="I756" s="13"/>
      <c r="J756" s="12">
        <v>0.01</v>
      </c>
      <c r="K756" s="14">
        <v>3</v>
      </c>
      <c r="L756" s="11" t="s">
        <v>608</v>
      </c>
      <c r="M756" s="15" t="s">
        <v>707</v>
      </c>
    </row>
    <row r="757" spans="1:13">
      <c r="A757" s="98">
        <v>43708</v>
      </c>
      <c r="B757" s="11" t="s">
        <v>17</v>
      </c>
      <c r="C757" s="11" t="s">
        <v>343</v>
      </c>
      <c r="D757" s="11" t="s">
        <v>344</v>
      </c>
      <c r="E757" s="11" t="s">
        <v>345</v>
      </c>
      <c r="F757" s="11" t="s">
        <v>78</v>
      </c>
      <c r="G757" s="11" t="s">
        <v>79</v>
      </c>
      <c r="H757" s="12">
        <v>0.82</v>
      </c>
      <c r="I757" s="13"/>
      <c r="J757" s="12">
        <v>0.01</v>
      </c>
      <c r="K757" s="14">
        <v>3</v>
      </c>
      <c r="L757" s="11" t="s">
        <v>608</v>
      </c>
      <c r="M757" s="15" t="s">
        <v>708</v>
      </c>
    </row>
    <row r="758" spans="1:13">
      <c r="A758" s="98">
        <v>43345</v>
      </c>
      <c r="B758" s="11" t="s">
        <v>18</v>
      </c>
      <c r="C758" s="11" t="s">
        <v>452</v>
      </c>
      <c r="D758" s="11" t="s">
        <v>344</v>
      </c>
      <c r="E758" s="11" t="s">
        <v>345</v>
      </c>
      <c r="F758" s="11" t="s">
        <v>78</v>
      </c>
      <c r="G758" s="11" t="s">
        <v>79</v>
      </c>
      <c r="H758" s="12">
        <v>3.6</v>
      </c>
      <c r="I758" s="13"/>
      <c r="J758" s="12">
        <v>0.01</v>
      </c>
      <c r="K758" s="14">
        <v>3</v>
      </c>
      <c r="L758" s="11" t="s">
        <v>608</v>
      </c>
      <c r="M758" s="15" t="s">
        <v>453</v>
      </c>
    </row>
    <row r="759" spans="1:13">
      <c r="A759" s="98">
        <v>43349</v>
      </c>
      <c r="B759" s="11" t="s">
        <v>18</v>
      </c>
      <c r="C759" s="11" t="s">
        <v>452</v>
      </c>
      <c r="D759" s="11" t="s">
        <v>344</v>
      </c>
      <c r="E759" s="11" t="s">
        <v>345</v>
      </c>
      <c r="F759" s="11" t="s">
        <v>78</v>
      </c>
      <c r="G759" s="11" t="s">
        <v>79</v>
      </c>
      <c r="H759" s="12">
        <v>1.23</v>
      </c>
      <c r="I759" s="13"/>
      <c r="J759" s="12">
        <v>0.01</v>
      </c>
      <c r="K759" s="14">
        <v>3</v>
      </c>
      <c r="L759" s="11" t="s">
        <v>608</v>
      </c>
      <c r="M759" s="15" t="s">
        <v>454</v>
      </c>
    </row>
    <row r="760" spans="1:13">
      <c r="A760" s="98">
        <v>43352</v>
      </c>
      <c r="B760" s="11" t="s">
        <v>18</v>
      </c>
      <c r="C760" s="11" t="s">
        <v>452</v>
      </c>
      <c r="D760" s="11" t="s">
        <v>344</v>
      </c>
      <c r="E760" s="11" t="s">
        <v>345</v>
      </c>
      <c r="F760" s="11" t="s">
        <v>78</v>
      </c>
      <c r="G760" s="11" t="s">
        <v>79</v>
      </c>
      <c r="H760" s="12">
        <v>3.47</v>
      </c>
      <c r="I760" s="13"/>
      <c r="J760" s="12">
        <v>0.02</v>
      </c>
      <c r="K760" s="14">
        <v>3</v>
      </c>
      <c r="L760" s="11" t="s">
        <v>605</v>
      </c>
      <c r="M760" s="15" t="s">
        <v>455</v>
      </c>
    </row>
    <row r="761" spans="1:13">
      <c r="A761" s="98">
        <v>43356</v>
      </c>
      <c r="B761" s="11" t="s">
        <v>18</v>
      </c>
      <c r="C761" s="11" t="s">
        <v>452</v>
      </c>
      <c r="D761" s="11" t="s">
        <v>344</v>
      </c>
      <c r="E761" s="11" t="s">
        <v>345</v>
      </c>
      <c r="F761" s="11" t="s">
        <v>78</v>
      </c>
      <c r="G761" s="11" t="s">
        <v>79</v>
      </c>
      <c r="H761" s="12">
        <v>1.81</v>
      </c>
      <c r="I761" s="13"/>
      <c r="J761" s="12">
        <v>0.01</v>
      </c>
      <c r="K761" s="14">
        <v>3</v>
      </c>
      <c r="L761" s="11" t="s">
        <v>608</v>
      </c>
      <c r="M761" s="15" t="s">
        <v>456</v>
      </c>
    </row>
    <row r="762" spans="1:13">
      <c r="A762" s="98">
        <v>43359</v>
      </c>
      <c r="B762" s="11" t="s">
        <v>18</v>
      </c>
      <c r="C762" s="11" t="s">
        <v>452</v>
      </c>
      <c r="D762" s="11" t="s">
        <v>344</v>
      </c>
      <c r="E762" s="11" t="s">
        <v>345</v>
      </c>
      <c r="F762" s="11" t="s">
        <v>78</v>
      </c>
      <c r="G762" s="11" t="s">
        <v>79</v>
      </c>
      <c r="H762" s="12">
        <v>2.5499999999999998</v>
      </c>
      <c r="I762" s="13"/>
      <c r="J762" s="12">
        <v>0.01</v>
      </c>
      <c r="K762" s="14">
        <v>3</v>
      </c>
      <c r="L762" s="11" t="s">
        <v>608</v>
      </c>
      <c r="M762" s="15" t="s">
        <v>457</v>
      </c>
    </row>
    <row r="763" spans="1:13">
      <c r="A763" s="98">
        <v>43363</v>
      </c>
      <c r="B763" s="11" t="s">
        <v>18</v>
      </c>
      <c r="C763" s="11" t="s">
        <v>452</v>
      </c>
      <c r="D763" s="11" t="s">
        <v>344</v>
      </c>
      <c r="E763" s="11" t="s">
        <v>345</v>
      </c>
      <c r="F763" s="11" t="s">
        <v>78</v>
      </c>
      <c r="G763" s="11" t="s">
        <v>79</v>
      </c>
      <c r="H763" s="12">
        <v>2.81</v>
      </c>
      <c r="I763" s="13"/>
      <c r="J763" s="12">
        <v>0.01</v>
      </c>
      <c r="K763" s="14">
        <v>3</v>
      </c>
      <c r="L763" s="11" t="s">
        <v>608</v>
      </c>
      <c r="M763" s="15" t="s">
        <v>458</v>
      </c>
    </row>
    <row r="764" spans="1:13">
      <c r="A764" s="98">
        <v>43366</v>
      </c>
      <c r="B764" s="11" t="s">
        <v>18</v>
      </c>
      <c r="C764" s="11" t="s">
        <v>452</v>
      </c>
      <c r="D764" s="11" t="s">
        <v>344</v>
      </c>
      <c r="E764" s="11" t="s">
        <v>345</v>
      </c>
      <c r="F764" s="11" t="s">
        <v>78</v>
      </c>
      <c r="G764" s="11" t="s">
        <v>79</v>
      </c>
      <c r="H764" s="12">
        <v>0.78</v>
      </c>
      <c r="I764" s="13"/>
      <c r="J764" s="12">
        <v>0.01</v>
      </c>
      <c r="K764" s="14">
        <v>3</v>
      </c>
      <c r="L764" s="11" t="s">
        <v>608</v>
      </c>
      <c r="M764" s="15" t="s">
        <v>459</v>
      </c>
    </row>
    <row r="765" spans="1:13">
      <c r="A765" s="98">
        <v>43370</v>
      </c>
      <c r="B765" s="11" t="s">
        <v>18</v>
      </c>
      <c r="C765" s="11" t="s">
        <v>452</v>
      </c>
      <c r="D765" s="11" t="s">
        <v>344</v>
      </c>
      <c r="E765" s="11" t="s">
        <v>345</v>
      </c>
      <c r="F765" s="11" t="s">
        <v>78</v>
      </c>
      <c r="G765" s="11" t="s">
        <v>79</v>
      </c>
      <c r="H765" s="12" t="s">
        <v>80</v>
      </c>
      <c r="I765" s="13">
        <v>-6</v>
      </c>
      <c r="J765" s="12">
        <v>0.01</v>
      </c>
      <c r="K765" s="14">
        <v>3</v>
      </c>
      <c r="L765" s="11" t="s">
        <v>608</v>
      </c>
      <c r="M765" s="15" t="s">
        <v>460</v>
      </c>
    </row>
    <row r="766" spans="1:13">
      <c r="A766" s="98">
        <v>43373</v>
      </c>
      <c r="B766" s="11" t="s">
        <v>18</v>
      </c>
      <c r="C766" s="11" t="s">
        <v>452</v>
      </c>
      <c r="D766" s="11" t="s">
        <v>344</v>
      </c>
      <c r="E766" s="11" t="s">
        <v>345</v>
      </c>
      <c r="F766" s="11" t="s">
        <v>78</v>
      </c>
      <c r="G766" s="11" t="s">
        <v>79</v>
      </c>
      <c r="H766" s="12">
        <v>3.6</v>
      </c>
      <c r="I766" s="13"/>
      <c r="J766" s="12">
        <v>0.01</v>
      </c>
      <c r="K766" s="14">
        <v>3</v>
      </c>
      <c r="L766" s="11" t="s">
        <v>608</v>
      </c>
      <c r="M766" s="15" t="s">
        <v>461</v>
      </c>
    </row>
    <row r="767" spans="1:13">
      <c r="A767" s="98">
        <v>43377</v>
      </c>
      <c r="B767" s="11" t="s">
        <v>18</v>
      </c>
      <c r="C767" s="11" t="s">
        <v>452</v>
      </c>
      <c r="D767" s="11" t="s">
        <v>344</v>
      </c>
      <c r="E767" s="11" t="s">
        <v>345</v>
      </c>
      <c r="F767" s="11" t="s">
        <v>78</v>
      </c>
      <c r="G767" s="11" t="s">
        <v>79</v>
      </c>
      <c r="H767" s="12">
        <v>1.77</v>
      </c>
      <c r="I767" s="13"/>
      <c r="J767" s="12">
        <v>0.01</v>
      </c>
      <c r="K767" s="14">
        <v>3</v>
      </c>
      <c r="L767" s="11" t="s">
        <v>608</v>
      </c>
      <c r="M767" s="15" t="s">
        <v>462</v>
      </c>
    </row>
    <row r="768" spans="1:13">
      <c r="A768" s="98">
        <v>43380</v>
      </c>
      <c r="B768" s="11" t="s">
        <v>18</v>
      </c>
      <c r="C768" s="11" t="s">
        <v>452</v>
      </c>
      <c r="D768" s="11" t="s">
        <v>344</v>
      </c>
      <c r="E768" s="11" t="s">
        <v>345</v>
      </c>
      <c r="F768" s="11" t="s">
        <v>78</v>
      </c>
      <c r="G768" s="11" t="s">
        <v>79</v>
      </c>
      <c r="H768" s="12">
        <v>3.12</v>
      </c>
      <c r="I768" s="13"/>
      <c r="J768" s="12">
        <v>0.01</v>
      </c>
      <c r="K768" s="14">
        <v>3</v>
      </c>
      <c r="L768" s="11" t="s">
        <v>608</v>
      </c>
      <c r="M768" s="15" t="s">
        <v>463</v>
      </c>
    </row>
    <row r="769" spans="1:13">
      <c r="A769" s="98">
        <v>43384</v>
      </c>
      <c r="B769" s="11" t="s">
        <v>18</v>
      </c>
      <c r="C769" s="11" t="s">
        <v>452</v>
      </c>
      <c r="D769" s="11" t="s">
        <v>344</v>
      </c>
      <c r="E769" s="11" t="s">
        <v>345</v>
      </c>
      <c r="F769" s="11" t="s">
        <v>78</v>
      </c>
      <c r="G769" s="11" t="s">
        <v>79</v>
      </c>
      <c r="H769" s="12">
        <v>1.44</v>
      </c>
      <c r="I769" s="13"/>
      <c r="J769" s="12">
        <v>0.01</v>
      </c>
      <c r="K769" s="14">
        <v>3</v>
      </c>
      <c r="L769" s="11" t="s">
        <v>608</v>
      </c>
      <c r="M769" s="15" t="s">
        <v>464</v>
      </c>
    </row>
    <row r="770" spans="1:13">
      <c r="A770" s="98">
        <v>43387</v>
      </c>
      <c r="B770" s="11" t="s">
        <v>18</v>
      </c>
      <c r="C770" s="11" t="s">
        <v>452</v>
      </c>
      <c r="D770" s="11" t="s">
        <v>344</v>
      </c>
      <c r="E770" s="11" t="s">
        <v>345</v>
      </c>
      <c r="F770" s="11" t="s">
        <v>78</v>
      </c>
      <c r="G770" s="11" t="s">
        <v>79</v>
      </c>
      <c r="H770" s="12">
        <v>3.67</v>
      </c>
      <c r="I770" s="13"/>
      <c r="J770" s="12">
        <v>0.01</v>
      </c>
      <c r="K770" s="14">
        <v>3</v>
      </c>
      <c r="L770" s="11" t="s">
        <v>608</v>
      </c>
      <c r="M770" s="15" t="s">
        <v>465</v>
      </c>
    </row>
    <row r="771" spans="1:13">
      <c r="A771" s="98">
        <v>43391</v>
      </c>
      <c r="B771" s="11" t="s">
        <v>18</v>
      </c>
      <c r="C771" s="11" t="s">
        <v>452</v>
      </c>
      <c r="D771" s="11" t="s">
        <v>344</v>
      </c>
      <c r="E771" s="11" t="s">
        <v>345</v>
      </c>
      <c r="F771" s="11" t="s">
        <v>78</v>
      </c>
      <c r="G771" s="11" t="s">
        <v>79</v>
      </c>
      <c r="H771" s="12">
        <v>3.04</v>
      </c>
      <c r="I771" s="13"/>
      <c r="J771" s="12">
        <v>0.01</v>
      </c>
      <c r="K771" s="14">
        <v>3</v>
      </c>
      <c r="L771" s="11" t="s">
        <v>608</v>
      </c>
      <c r="M771" s="15" t="s">
        <v>466</v>
      </c>
    </row>
    <row r="772" spans="1:13">
      <c r="A772" s="98">
        <v>43394</v>
      </c>
      <c r="B772" s="11" t="s">
        <v>18</v>
      </c>
      <c r="C772" s="11" t="s">
        <v>452</v>
      </c>
      <c r="D772" s="11" t="s">
        <v>344</v>
      </c>
      <c r="E772" s="11" t="s">
        <v>345</v>
      </c>
      <c r="F772" s="11" t="s">
        <v>78</v>
      </c>
      <c r="G772" s="11" t="s">
        <v>79</v>
      </c>
      <c r="H772" s="12">
        <v>3.59</v>
      </c>
      <c r="I772" s="13"/>
      <c r="J772" s="12">
        <v>0.01</v>
      </c>
      <c r="K772" s="14">
        <v>3</v>
      </c>
      <c r="L772" s="11" t="s">
        <v>608</v>
      </c>
      <c r="M772" s="15" t="s">
        <v>467</v>
      </c>
    </row>
    <row r="773" spans="1:13">
      <c r="A773" s="98">
        <v>43398</v>
      </c>
      <c r="B773" s="11" t="s">
        <v>18</v>
      </c>
      <c r="C773" s="11" t="s">
        <v>452</v>
      </c>
      <c r="D773" s="11" t="s">
        <v>344</v>
      </c>
      <c r="E773" s="11" t="s">
        <v>345</v>
      </c>
      <c r="F773" s="11" t="s">
        <v>78</v>
      </c>
      <c r="G773" s="11" t="s">
        <v>79</v>
      </c>
      <c r="H773" s="12">
        <v>0.74</v>
      </c>
      <c r="I773" s="13"/>
      <c r="J773" s="12">
        <v>0.01</v>
      </c>
      <c r="K773" s="14">
        <v>3</v>
      </c>
      <c r="L773" s="11" t="s">
        <v>608</v>
      </c>
      <c r="M773" s="15" t="s">
        <v>468</v>
      </c>
    </row>
    <row r="774" spans="1:13">
      <c r="A774" s="98">
        <v>43401</v>
      </c>
      <c r="B774" s="11" t="s">
        <v>18</v>
      </c>
      <c r="C774" s="11" t="s">
        <v>452</v>
      </c>
      <c r="D774" s="11" t="s">
        <v>344</v>
      </c>
      <c r="E774" s="11" t="s">
        <v>345</v>
      </c>
      <c r="F774" s="11" t="s">
        <v>78</v>
      </c>
      <c r="G774" s="11" t="s">
        <v>79</v>
      </c>
      <c r="H774" s="12">
        <v>0.86</v>
      </c>
      <c r="I774" s="13"/>
      <c r="J774" s="12">
        <v>0.01</v>
      </c>
      <c r="K774" s="14">
        <v>3</v>
      </c>
      <c r="L774" s="11" t="s">
        <v>608</v>
      </c>
      <c r="M774" s="15" t="s">
        <v>469</v>
      </c>
    </row>
    <row r="775" spans="1:13">
      <c r="A775" s="98">
        <v>43405</v>
      </c>
      <c r="B775" s="11" t="s">
        <v>18</v>
      </c>
      <c r="C775" s="11" t="s">
        <v>452</v>
      </c>
      <c r="D775" s="11" t="s">
        <v>344</v>
      </c>
      <c r="E775" s="11" t="s">
        <v>345</v>
      </c>
      <c r="F775" s="11" t="s">
        <v>78</v>
      </c>
      <c r="G775" s="11" t="s">
        <v>79</v>
      </c>
      <c r="H775" s="12">
        <v>1.79</v>
      </c>
      <c r="I775" s="13"/>
      <c r="J775" s="12">
        <v>0.01</v>
      </c>
      <c r="K775" s="14">
        <v>3</v>
      </c>
      <c r="L775" s="11" t="s">
        <v>608</v>
      </c>
      <c r="M775" s="15" t="s">
        <v>470</v>
      </c>
    </row>
    <row r="776" spans="1:13">
      <c r="A776" s="98">
        <v>43408</v>
      </c>
      <c r="B776" s="11" t="s">
        <v>18</v>
      </c>
      <c r="C776" s="11" t="s">
        <v>452</v>
      </c>
      <c r="D776" s="11" t="s">
        <v>344</v>
      </c>
      <c r="E776" s="11" t="s">
        <v>345</v>
      </c>
      <c r="F776" s="11" t="s">
        <v>78</v>
      </c>
      <c r="G776" s="11" t="s">
        <v>79</v>
      </c>
      <c r="H776" s="12">
        <v>2.23</v>
      </c>
      <c r="I776" s="13"/>
      <c r="J776" s="12">
        <v>0.01</v>
      </c>
      <c r="K776" s="14">
        <v>3</v>
      </c>
      <c r="L776" s="11" t="s">
        <v>608</v>
      </c>
      <c r="M776" s="15" t="s">
        <v>471</v>
      </c>
    </row>
    <row r="777" spans="1:13">
      <c r="A777" s="98">
        <v>43412</v>
      </c>
      <c r="B777" s="11" t="s">
        <v>18</v>
      </c>
      <c r="C777" s="11" t="s">
        <v>452</v>
      </c>
      <c r="D777" s="11" t="s">
        <v>344</v>
      </c>
      <c r="E777" s="11" t="s">
        <v>345</v>
      </c>
      <c r="F777" s="11" t="s">
        <v>78</v>
      </c>
      <c r="G777" s="11" t="s">
        <v>79</v>
      </c>
      <c r="H777" s="12">
        <v>1.6</v>
      </c>
      <c r="I777" s="13"/>
      <c r="J777" s="12">
        <v>0.01</v>
      </c>
      <c r="K777" s="14">
        <v>3</v>
      </c>
      <c r="L777" s="11" t="s">
        <v>608</v>
      </c>
      <c r="M777" s="15" t="s">
        <v>472</v>
      </c>
    </row>
    <row r="778" spans="1:13">
      <c r="A778" s="98">
        <v>43415</v>
      </c>
      <c r="B778" s="11" t="s">
        <v>18</v>
      </c>
      <c r="C778" s="11" t="s">
        <v>452</v>
      </c>
      <c r="D778" s="11" t="s">
        <v>344</v>
      </c>
      <c r="E778" s="11" t="s">
        <v>345</v>
      </c>
      <c r="F778" s="11" t="s">
        <v>78</v>
      </c>
      <c r="G778" s="11" t="s">
        <v>79</v>
      </c>
      <c r="H778" s="12">
        <v>3.75</v>
      </c>
      <c r="I778" s="13"/>
      <c r="J778" s="12">
        <v>0.01</v>
      </c>
      <c r="K778" s="14">
        <v>3</v>
      </c>
      <c r="L778" s="11" t="s">
        <v>608</v>
      </c>
      <c r="M778" s="15" t="s">
        <v>473</v>
      </c>
    </row>
    <row r="779" spans="1:13">
      <c r="A779" s="98">
        <v>43419</v>
      </c>
      <c r="B779" s="11" t="s">
        <v>18</v>
      </c>
      <c r="C779" s="11" t="s">
        <v>452</v>
      </c>
      <c r="D779" s="11" t="s">
        <v>344</v>
      </c>
      <c r="E779" s="11" t="s">
        <v>345</v>
      </c>
      <c r="F779" s="11" t="s">
        <v>78</v>
      </c>
      <c r="G779" s="11" t="s">
        <v>79</v>
      </c>
      <c r="H779" s="12">
        <v>2.48</v>
      </c>
      <c r="I779" s="13"/>
      <c r="J779" s="12">
        <v>0.01</v>
      </c>
      <c r="K779" s="14">
        <v>3</v>
      </c>
      <c r="L779" s="11" t="s">
        <v>608</v>
      </c>
      <c r="M779" s="15" t="s">
        <v>474</v>
      </c>
    </row>
    <row r="780" spans="1:13">
      <c r="A780" s="98">
        <v>43422</v>
      </c>
      <c r="B780" s="11" t="s">
        <v>18</v>
      </c>
      <c r="C780" s="11" t="s">
        <v>452</v>
      </c>
      <c r="D780" s="11" t="s">
        <v>344</v>
      </c>
      <c r="E780" s="11" t="s">
        <v>345</v>
      </c>
      <c r="F780" s="11" t="s">
        <v>78</v>
      </c>
      <c r="G780" s="11" t="s">
        <v>79</v>
      </c>
      <c r="H780" s="12">
        <v>1.48</v>
      </c>
      <c r="I780" s="13"/>
      <c r="J780" s="12">
        <v>0.01</v>
      </c>
      <c r="K780" s="14">
        <v>3</v>
      </c>
      <c r="L780" s="11" t="s">
        <v>608</v>
      </c>
      <c r="M780" s="15" t="s">
        <v>475</v>
      </c>
    </row>
    <row r="781" spans="1:13">
      <c r="A781" s="98">
        <v>43426</v>
      </c>
      <c r="B781" s="11" t="s">
        <v>18</v>
      </c>
      <c r="C781" s="11" t="s">
        <v>452</v>
      </c>
      <c r="D781" s="11" t="s">
        <v>344</v>
      </c>
      <c r="E781" s="11" t="s">
        <v>345</v>
      </c>
      <c r="F781" s="11" t="s">
        <v>78</v>
      </c>
      <c r="G781" s="11" t="s">
        <v>79</v>
      </c>
      <c r="H781" s="12">
        <v>0.79</v>
      </c>
      <c r="I781" s="13"/>
      <c r="J781" s="12">
        <v>0.01</v>
      </c>
      <c r="K781" s="14">
        <v>3</v>
      </c>
      <c r="L781" s="11" t="s">
        <v>608</v>
      </c>
      <c r="M781" s="15" t="s">
        <v>476</v>
      </c>
    </row>
    <row r="782" spans="1:13">
      <c r="A782" s="98">
        <v>43429</v>
      </c>
      <c r="B782" s="11" t="s">
        <v>18</v>
      </c>
      <c r="C782" s="11" t="s">
        <v>452</v>
      </c>
      <c r="D782" s="11" t="s">
        <v>344</v>
      </c>
      <c r="E782" s="11" t="s">
        <v>345</v>
      </c>
      <c r="F782" s="11" t="s">
        <v>78</v>
      </c>
      <c r="G782" s="11" t="s">
        <v>79</v>
      </c>
      <c r="H782" s="12">
        <v>3.16</v>
      </c>
      <c r="I782" s="13"/>
      <c r="J782" s="12">
        <v>0.02</v>
      </c>
      <c r="K782" s="14">
        <v>3</v>
      </c>
      <c r="L782" s="11" t="s">
        <v>605</v>
      </c>
      <c r="M782" s="15" t="s">
        <v>477</v>
      </c>
    </row>
    <row r="783" spans="1:13">
      <c r="A783" s="98">
        <v>43433</v>
      </c>
      <c r="B783" s="11" t="s">
        <v>18</v>
      </c>
      <c r="C783" s="11" t="s">
        <v>452</v>
      </c>
      <c r="D783" s="11" t="s">
        <v>344</v>
      </c>
      <c r="E783" s="11" t="s">
        <v>345</v>
      </c>
      <c r="F783" s="11" t="s">
        <v>78</v>
      </c>
      <c r="G783" s="11" t="s">
        <v>79</v>
      </c>
      <c r="H783" s="12">
        <v>1.91</v>
      </c>
      <c r="I783" s="13"/>
      <c r="J783" s="12">
        <v>0.01</v>
      </c>
      <c r="K783" s="14">
        <v>3</v>
      </c>
      <c r="L783" s="11" t="s">
        <v>608</v>
      </c>
      <c r="M783" s="15" t="s">
        <v>478</v>
      </c>
    </row>
    <row r="784" spans="1:13">
      <c r="A784" s="98">
        <v>43436</v>
      </c>
      <c r="B784" s="11" t="s">
        <v>18</v>
      </c>
      <c r="C784" s="11" t="s">
        <v>452</v>
      </c>
      <c r="D784" s="11" t="s">
        <v>344</v>
      </c>
      <c r="E784" s="11" t="s">
        <v>345</v>
      </c>
      <c r="F784" s="11" t="s">
        <v>78</v>
      </c>
      <c r="G784" s="11" t="s">
        <v>79</v>
      </c>
      <c r="H784" s="12">
        <v>4.95</v>
      </c>
      <c r="I784" s="13"/>
      <c r="J784" s="12">
        <v>0.01</v>
      </c>
      <c r="K784" s="14">
        <v>3</v>
      </c>
      <c r="L784" s="11" t="s">
        <v>608</v>
      </c>
      <c r="M784" s="15" t="s">
        <v>479</v>
      </c>
    </row>
    <row r="785" spans="1:13">
      <c r="A785" s="98">
        <v>43440</v>
      </c>
      <c r="B785" s="11" t="s">
        <v>18</v>
      </c>
      <c r="C785" s="11" t="s">
        <v>452</v>
      </c>
      <c r="D785" s="11" t="s">
        <v>344</v>
      </c>
      <c r="E785" s="11" t="s">
        <v>345</v>
      </c>
      <c r="F785" s="11" t="s">
        <v>78</v>
      </c>
      <c r="G785" s="11" t="s">
        <v>79</v>
      </c>
      <c r="H785" s="12">
        <v>3.55</v>
      </c>
      <c r="I785" s="13"/>
      <c r="J785" s="12">
        <v>0.01</v>
      </c>
      <c r="K785" s="14">
        <v>3</v>
      </c>
      <c r="L785" s="11" t="s">
        <v>608</v>
      </c>
      <c r="M785" s="15" t="s">
        <v>480</v>
      </c>
    </row>
    <row r="786" spans="1:13">
      <c r="A786" s="98">
        <v>43443</v>
      </c>
      <c r="B786" s="11" t="s">
        <v>18</v>
      </c>
      <c r="C786" s="11" t="s">
        <v>452</v>
      </c>
      <c r="D786" s="11" t="s">
        <v>344</v>
      </c>
      <c r="E786" s="11" t="s">
        <v>345</v>
      </c>
      <c r="F786" s="11" t="s">
        <v>78</v>
      </c>
      <c r="G786" s="11" t="s">
        <v>79</v>
      </c>
      <c r="H786" s="12">
        <v>4.76</v>
      </c>
      <c r="I786" s="13"/>
      <c r="J786" s="12">
        <v>0.01</v>
      </c>
      <c r="K786" s="14">
        <v>3</v>
      </c>
      <c r="L786" s="11" t="s">
        <v>608</v>
      </c>
      <c r="M786" s="15" t="s">
        <v>481</v>
      </c>
    </row>
    <row r="787" spans="1:13">
      <c r="A787" s="98">
        <v>43447</v>
      </c>
      <c r="B787" s="11" t="s">
        <v>18</v>
      </c>
      <c r="C787" s="11" t="s">
        <v>452</v>
      </c>
      <c r="D787" s="11" t="s">
        <v>344</v>
      </c>
      <c r="E787" s="11" t="s">
        <v>345</v>
      </c>
      <c r="F787" s="11" t="s">
        <v>78</v>
      </c>
      <c r="G787" s="11" t="s">
        <v>79</v>
      </c>
      <c r="H787" s="12">
        <v>0.66</v>
      </c>
      <c r="I787" s="13"/>
      <c r="J787" s="12">
        <v>0.01</v>
      </c>
      <c r="K787" s="14">
        <v>3</v>
      </c>
      <c r="L787" s="11" t="s">
        <v>608</v>
      </c>
      <c r="M787" s="15" t="s">
        <v>482</v>
      </c>
    </row>
    <row r="788" spans="1:13">
      <c r="A788" s="98">
        <v>43450</v>
      </c>
      <c r="B788" s="11" t="s">
        <v>18</v>
      </c>
      <c r="C788" s="11" t="s">
        <v>452</v>
      </c>
      <c r="D788" s="11" t="s">
        <v>344</v>
      </c>
      <c r="E788" s="11" t="s">
        <v>345</v>
      </c>
      <c r="F788" s="11" t="s">
        <v>78</v>
      </c>
      <c r="G788" s="11" t="s">
        <v>79</v>
      </c>
      <c r="H788" s="12">
        <v>1.1499999999999999</v>
      </c>
      <c r="I788" s="13"/>
      <c r="J788" s="12">
        <v>0.01</v>
      </c>
      <c r="K788" s="14">
        <v>3</v>
      </c>
      <c r="L788" s="11" t="s">
        <v>608</v>
      </c>
      <c r="M788" s="15" t="s">
        <v>483</v>
      </c>
    </row>
    <row r="789" spans="1:13">
      <c r="A789" s="98">
        <v>43454</v>
      </c>
      <c r="B789" s="11" t="s">
        <v>18</v>
      </c>
      <c r="C789" s="11" t="s">
        <v>452</v>
      </c>
      <c r="D789" s="11" t="s">
        <v>344</v>
      </c>
      <c r="E789" s="11" t="s">
        <v>345</v>
      </c>
      <c r="F789" s="11" t="s">
        <v>78</v>
      </c>
      <c r="G789" s="11" t="s">
        <v>79</v>
      </c>
      <c r="H789" s="12">
        <v>1.08</v>
      </c>
      <c r="I789" s="13"/>
      <c r="J789" s="12">
        <v>0.01</v>
      </c>
      <c r="K789" s="14">
        <v>3</v>
      </c>
      <c r="L789" s="11" t="s">
        <v>608</v>
      </c>
      <c r="M789" s="15" t="s">
        <v>484</v>
      </c>
    </row>
    <row r="790" spans="1:13">
      <c r="A790" s="98">
        <v>43457</v>
      </c>
      <c r="B790" s="11" t="s">
        <v>18</v>
      </c>
      <c r="C790" s="11" t="s">
        <v>452</v>
      </c>
      <c r="D790" s="11" t="s">
        <v>344</v>
      </c>
      <c r="E790" s="11" t="s">
        <v>345</v>
      </c>
      <c r="F790" s="11" t="s">
        <v>78</v>
      </c>
      <c r="G790" s="11" t="s">
        <v>79</v>
      </c>
      <c r="H790" s="12">
        <v>2.69</v>
      </c>
      <c r="I790" s="13"/>
      <c r="J790" s="12">
        <v>0.01</v>
      </c>
      <c r="K790" s="14">
        <v>3</v>
      </c>
      <c r="L790" s="11" t="s">
        <v>608</v>
      </c>
      <c r="M790" s="15" t="s">
        <v>485</v>
      </c>
    </row>
    <row r="791" spans="1:13">
      <c r="A791" s="98">
        <v>43461</v>
      </c>
      <c r="B791" s="11" t="s">
        <v>18</v>
      </c>
      <c r="C791" s="11" t="s">
        <v>452</v>
      </c>
      <c r="D791" s="11" t="s">
        <v>344</v>
      </c>
      <c r="E791" s="11" t="s">
        <v>345</v>
      </c>
      <c r="F791" s="11" t="s">
        <v>78</v>
      </c>
      <c r="G791" s="11" t="s">
        <v>79</v>
      </c>
      <c r="H791" s="12">
        <v>4.33</v>
      </c>
      <c r="I791" s="13"/>
      <c r="J791" s="12">
        <v>0.01</v>
      </c>
      <c r="K791" s="14">
        <v>3</v>
      </c>
      <c r="L791" s="11" t="s">
        <v>608</v>
      </c>
      <c r="M791" s="15" t="s">
        <v>486</v>
      </c>
    </row>
    <row r="792" spans="1:13">
      <c r="A792" s="98">
        <v>43464</v>
      </c>
      <c r="B792" s="11" t="s">
        <v>18</v>
      </c>
      <c r="C792" s="11" t="s">
        <v>452</v>
      </c>
      <c r="D792" s="11" t="s">
        <v>344</v>
      </c>
      <c r="E792" s="11" t="s">
        <v>345</v>
      </c>
      <c r="F792" s="11" t="s">
        <v>78</v>
      </c>
      <c r="G792" s="11" t="s">
        <v>79</v>
      </c>
      <c r="H792" s="12">
        <v>3.57</v>
      </c>
      <c r="I792" s="13"/>
      <c r="J792" s="12">
        <v>0.01</v>
      </c>
      <c r="K792" s="14">
        <v>3</v>
      </c>
      <c r="L792" s="11" t="s">
        <v>608</v>
      </c>
      <c r="M792" s="15" t="s">
        <v>487</v>
      </c>
    </row>
    <row r="793" spans="1:13">
      <c r="A793" s="98">
        <v>43468</v>
      </c>
      <c r="B793" s="11" t="s">
        <v>18</v>
      </c>
      <c r="C793" s="11" t="s">
        <v>452</v>
      </c>
      <c r="D793" s="11" t="s">
        <v>344</v>
      </c>
      <c r="E793" s="11" t="s">
        <v>345</v>
      </c>
      <c r="F793" s="11" t="s">
        <v>78</v>
      </c>
      <c r="G793" s="11" t="s">
        <v>79</v>
      </c>
      <c r="H793" s="12">
        <v>4.22</v>
      </c>
      <c r="I793" s="13"/>
      <c r="J793" s="12">
        <v>0.01</v>
      </c>
      <c r="K793" s="14">
        <v>3</v>
      </c>
      <c r="L793" s="11" t="s">
        <v>608</v>
      </c>
      <c r="M793" s="15" t="s">
        <v>488</v>
      </c>
    </row>
    <row r="794" spans="1:13">
      <c r="A794" s="98">
        <v>43471</v>
      </c>
      <c r="B794" s="11" t="s">
        <v>18</v>
      </c>
      <c r="C794" s="11" t="s">
        <v>452</v>
      </c>
      <c r="D794" s="11" t="s">
        <v>344</v>
      </c>
      <c r="E794" s="11" t="s">
        <v>345</v>
      </c>
      <c r="F794" s="11" t="s">
        <v>78</v>
      </c>
      <c r="G794" s="11" t="s">
        <v>79</v>
      </c>
      <c r="H794" s="12">
        <v>4.1100000000000003</v>
      </c>
      <c r="I794" s="13"/>
      <c r="J794" s="12">
        <v>0.02</v>
      </c>
      <c r="K794" s="14">
        <v>3</v>
      </c>
      <c r="L794" s="11" t="s">
        <v>605</v>
      </c>
      <c r="M794" s="15" t="s">
        <v>489</v>
      </c>
    </row>
    <row r="795" spans="1:13">
      <c r="A795" s="98">
        <v>43475</v>
      </c>
      <c r="B795" s="11" t="s">
        <v>18</v>
      </c>
      <c r="C795" s="11" t="s">
        <v>452</v>
      </c>
      <c r="D795" s="11" t="s">
        <v>344</v>
      </c>
      <c r="E795" s="11" t="s">
        <v>345</v>
      </c>
      <c r="F795" s="11" t="s">
        <v>78</v>
      </c>
      <c r="G795" s="11" t="s">
        <v>79</v>
      </c>
      <c r="H795" s="12">
        <v>4.0199999999999996</v>
      </c>
      <c r="I795" s="13"/>
      <c r="J795" s="12">
        <v>0.01</v>
      </c>
      <c r="K795" s="14">
        <v>3</v>
      </c>
      <c r="L795" s="11" t="s">
        <v>608</v>
      </c>
      <c r="M795" s="15" t="s">
        <v>490</v>
      </c>
    </row>
    <row r="796" spans="1:13">
      <c r="A796" s="98">
        <v>43478</v>
      </c>
      <c r="B796" s="11" t="s">
        <v>18</v>
      </c>
      <c r="C796" s="11" t="s">
        <v>452</v>
      </c>
      <c r="D796" s="11" t="s">
        <v>344</v>
      </c>
      <c r="E796" s="11" t="s">
        <v>345</v>
      </c>
      <c r="F796" s="11" t="s">
        <v>78</v>
      </c>
      <c r="G796" s="11" t="s">
        <v>79</v>
      </c>
      <c r="H796" s="12">
        <v>3.01</v>
      </c>
      <c r="I796" s="13"/>
      <c r="J796" s="12">
        <v>0.01</v>
      </c>
      <c r="K796" s="14">
        <v>3</v>
      </c>
      <c r="L796" s="11" t="s">
        <v>608</v>
      </c>
      <c r="M796" s="15" t="s">
        <v>491</v>
      </c>
    </row>
    <row r="797" spans="1:13">
      <c r="A797" s="98">
        <v>43482</v>
      </c>
      <c r="B797" s="11" t="s">
        <v>18</v>
      </c>
      <c r="C797" s="11" t="s">
        <v>452</v>
      </c>
      <c r="D797" s="11" t="s">
        <v>344</v>
      </c>
      <c r="E797" s="11" t="s">
        <v>345</v>
      </c>
      <c r="F797" s="11" t="s">
        <v>78</v>
      </c>
      <c r="G797" s="11" t="s">
        <v>79</v>
      </c>
      <c r="H797" s="12">
        <v>3.56</v>
      </c>
      <c r="I797" s="13"/>
      <c r="J797" s="12">
        <v>0.01</v>
      </c>
      <c r="K797" s="14">
        <v>3</v>
      </c>
      <c r="L797" s="11" t="s">
        <v>608</v>
      </c>
      <c r="M797" s="15" t="s">
        <v>492</v>
      </c>
    </row>
    <row r="798" spans="1:13">
      <c r="A798" s="98">
        <v>43485</v>
      </c>
      <c r="B798" s="11" t="s">
        <v>18</v>
      </c>
      <c r="C798" s="11" t="s">
        <v>452</v>
      </c>
      <c r="D798" s="11" t="s">
        <v>344</v>
      </c>
      <c r="E798" s="11" t="s">
        <v>345</v>
      </c>
      <c r="F798" s="11" t="s">
        <v>78</v>
      </c>
      <c r="G798" s="11" t="s">
        <v>79</v>
      </c>
      <c r="H798" s="12">
        <v>2.46</v>
      </c>
      <c r="I798" s="13"/>
      <c r="J798" s="12">
        <v>0.01</v>
      </c>
      <c r="K798" s="14">
        <v>3</v>
      </c>
      <c r="L798" s="11" t="s">
        <v>608</v>
      </c>
      <c r="M798" s="15" t="s">
        <v>493</v>
      </c>
    </row>
    <row r="799" spans="1:13">
      <c r="A799" s="98">
        <v>43489</v>
      </c>
      <c r="B799" s="11" t="s">
        <v>18</v>
      </c>
      <c r="C799" s="11" t="s">
        <v>452</v>
      </c>
      <c r="D799" s="11" t="s">
        <v>344</v>
      </c>
      <c r="E799" s="11" t="s">
        <v>345</v>
      </c>
      <c r="F799" s="11" t="s">
        <v>78</v>
      </c>
      <c r="G799" s="11" t="s">
        <v>79</v>
      </c>
      <c r="H799" s="12">
        <v>2.0499999999999998</v>
      </c>
      <c r="I799" s="13"/>
      <c r="J799" s="12">
        <v>0.01</v>
      </c>
      <c r="K799" s="14">
        <v>3</v>
      </c>
      <c r="L799" s="11" t="s">
        <v>608</v>
      </c>
      <c r="M799" s="15" t="s">
        <v>494</v>
      </c>
    </row>
    <row r="800" spans="1:13">
      <c r="A800" s="98">
        <v>43493</v>
      </c>
      <c r="B800" s="11" t="s">
        <v>18</v>
      </c>
      <c r="C800" s="11" t="s">
        <v>452</v>
      </c>
      <c r="D800" s="11" t="s">
        <v>344</v>
      </c>
      <c r="E800" s="11" t="s">
        <v>345</v>
      </c>
      <c r="F800" s="11" t="s">
        <v>78</v>
      </c>
      <c r="G800" s="11" t="s">
        <v>79</v>
      </c>
      <c r="H800" s="12">
        <v>4.41</v>
      </c>
      <c r="I800" s="13"/>
      <c r="J800" s="12">
        <v>0.01</v>
      </c>
      <c r="K800" s="14">
        <v>3</v>
      </c>
      <c r="L800" s="11" t="s">
        <v>608</v>
      </c>
      <c r="M800" s="15" t="s">
        <v>495</v>
      </c>
    </row>
    <row r="801" spans="1:13">
      <c r="A801" s="98">
        <v>43497</v>
      </c>
      <c r="B801" s="11" t="s">
        <v>18</v>
      </c>
      <c r="C801" s="11" t="s">
        <v>452</v>
      </c>
      <c r="D801" s="11" t="s">
        <v>344</v>
      </c>
      <c r="E801" s="11" t="s">
        <v>345</v>
      </c>
      <c r="F801" s="11" t="s">
        <v>78</v>
      </c>
      <c r="G801" s="11" t="s">
        <v>79</v>
      </c>
      <c r="H801" s="12">
        <v>4.6399999999999997</v>
      </c>
      <c r="I801" s="13"/>
      <c r="J801" s="12">
        <v>0.01</v>
      </c>
      <c r="K801" s="14">
        <v>3</v>
      </c>
      <c r="L801" s="11" t="s">
        <v>608</v>
      </c>
      <c r="M801" s="15" t="s">
        <v>496</v>
      </c>
    </row>
    <row r="802" spans="1:13">
      <c r="A802" s="98">
        <v>43500</v>
      </c>
      <c r="B802" s="11" t="s">
        <v>18</v>
      </c>
      <c r="C802" s="11" t="s">
        <v>452</v>
      </c>
      <c r="D802" s="11" t="s">
        <v>344</v>
      </c>
      <c r="E802" s="11" t="s">
        <v>345</v>
      </c>
      <c r="F802" s="11" t="s">
        <v>78</v>
      </c>
      <c r="G802" s="11" t="s">
        <v>79</v>
      </c>
      <c r="H802" s="12">
        <v>3.55</v>
      </c>
      <c r="I802" s="13"/>
      <c r="J802" s="12">
        <v>0.01</v>
      </c>
      <c r="K802" s="14">
        <v>3</v>
      </c>
      <c r="L802" s="11" t="s">
        <v>608</v>
      </c>
      <c r="M802" s="15" t="s">
        <v>497</v>
      </c>
    </row>
    <row r="803" spans="1:13">
      <c r="A803" s="98">
        <v>43504</v>
      </c>
      <c r="B803" s="11" t="s">
        <v>18</v>
      </c>
      <c r="C803" s="11" t="s">
        <v>452</v>
      </c>
      <c r="D803" s="11" t="s">
        <v>344</v>
      </c>
      <c r="E803" s="11" t="s">
        <v>345</v>
      </c>
      <c r="F803" s="11" t="s">
        <v>78</v>
      </c>
      <c r="G803" s="11" t="s">
        <v>79</v>
      </c>
      <c r="H803" s="12">
        <v>3.01</v>
      </c>
      <c r="I803" s="13"/>
      <c r="J803" s="12">
        <v>0.02</v>
      </c>
      <c r="K803" s="14">
        <v>3</v>
      </c>
      <c r="L803" s="11" t="s">
        <v>605</v>
      </c>
      <c r="M803" s="15" t="s">
        <v>498</v>
      </c>
    </row>
    <row r="804" spans="1:13">
      <c r="A804" s="98">
        <v>43507</v>
      </c>
      <c r="B804" s="11" t="s">
        <v>18</v>
      </c>
      <c r="C804" s="11" t="s">
        <v>452</v>
      </c>
      <c r="D804" s="11" t="s">
        <v>344</v>
      </c>
      <c r="E804" s="11" t="s">
        <v>345</v>
      </c>
      <c r="F804" s="11" t="s">
        <v>78</v>
      </c>
      <c r="G804" s="11" t="s">
        <v>79</v>
      </c>
      <c r="H804" s="12">
        <v>3.97</v>
      </c>
      <c r="I804" s="13"/>
      <c r="J804" s="12">
        <v>0.02</v>
      </c>
      <c r="K804" s="14">
        <v>3</v>
      </c>
      <c r="L804" s="11" t="s">
        <v>605</v>
      </c>
      <c r="M804" s="15" t="s">
        <v>499</v>
      </c>
    </row>
    <row r="805" spans="1:13">
      <c r="A805" s="98">
        <v>43511</v>
      </c>
      <c r="B805" s="11" t="s">
        <v>18</v>
      </c>
      <c r="C805" s="11" t="s">
        <v>452</v>
      </c>
      <c r="D805" s="11" t="s">
        <v>344</v>
      </c>
      <c r="E805" s="11" t="s">
        <v>345</v>
      </c>
      <c r="F805" s="11" t="s">
        <v>78</v>
      </c>
      <c r="G805" s="11" t="s">
        <v>79</v>
      </c>
      <c r="H805" s="12">
        <v>4.33</v>
      </c>
      <c r="I805" s="13"/>
      <c r="J805" s="12">
        <v>0.01</v>
      </c>
      <c r="K805" s="14">
        <v>3</v>
      </c>
      <c r="L805" s="11" t="s">
        <v>608</v>
      </c>
      <c r="M805" s="15" t="s">
        <v>500</v>
      </c>
    </row>
    <row r="806" spans="1:13">
      <c r="A806" s="98">
        <v>43514</v>
      </c>
      <c r="B806" s="11" t="s">
        <v>18</v>
      </c>
      <c r="C806" s="11" t="s">
        <v>452</v>
      </c>
      <c r="D806" s="11" t="s">
        <v>344</v>
      </c>
      <c r="E806" s="11" t="s">
        <v>345</v>
      </c>
      <c r="F806" s="11" t="s">
        <v>78</v>
      </c>
      <c r="G806" s="11" t="s">
        <v>79</v>
      </c>
      <c r="H806" s="12">
        <v>5.89</v>
      </c>
      <c r="I806" s="13"/>
      <c r="J806" s="12">
        <v>0.02</v>
      </c>
      <c r="K806" s="14">
        <v>3</v>
      </c>
      <c r="L806" s="11" t="s">
        <v>605</v>
      </c>
      <c r="M806" s="15" t="s">
        <v>501</v>
      </c>
    </row>
    <row r="807" spans="1:13">
      <c r="A807" s="98">
        <v>43518</v>
      </c>
      <c r="B807" s="11" t="s">
        <v>18</v>
      </c>
      <c r="C807" s="11" t="s">
        <v>452</v>
      </c>
      <c r="D807" s="11" t="s">
        <v>344</v>
      </c>
      <c r="E807" s="11" t="s">
        <v>345</v>
      </c>
      <c r="F807" s="11" t="s">
        <v>78</v>
      </c>
      <c r="G807" s="11" t="s">
        <v>79</v>
      </c>
      <c r="H807" s="12">
        <v>4.6100000000000003</v>
      </c>
      <c r="I807" s="13"/>
      <c r="J807" s="12">
        <v>0.01</v>
      </c>
      <c r="K807" s="14">
        <v>3</v>
      </c>
      <c r="L807" s="11" t="s">
        <v>608</v>
      </c>
      <c r="M807" s="15" t="s">
        <v>502</v>
      </c>
    </row>
    <row r="808" spans="1:13">
      <c r="A808" s="98">
        <v>43521</v>
      </c>
      <c r="B808" s="11" t="s">
        <v>18</v>
      </c>
      <c r="C808" s="11" t="s">
        <v>452</v>
      </c>
      <c r="D808" s="11" t="s">
        <v>344</v>
      </c>
      <c r="E808" s="11" t="s">
        <v>345</v>
      </c>
      <c r="F808" s="11" t="s">
        <v>78</v>
      </c>
      <c r="G808" s="11" t="s">
        <v>79</v>
      </c>
      <c r="H808" s="12">
        <v>4.72</v>
      </c>
      <c r="I808" s="13"/>
      <c r="J808" s="12">
        <v>0.01</v>
      </c>
      <c r="K808" s="14">
        <v>3</v>
      </c>
      <c r="L808" s="11" t="s">
        <v>608</v>
      </c>
      <c r="M808" s="15" t="s">
        <v>503</v>
      </c>
    </row>
    <row r="809" spans="1:13">
      <c r="A809" s="98">
        <v>43525</v>
      </c>
      <c r="B809" s="11" t="s">
        <v>18</v>
      </c>
      <c r="C809" s="11" t="s">
        <v>452</v>
      </c>
      <c r="D809" s="11" t="s">
        <v>344</v>
      </c>
      <c r="E809" s="11" t="s">
        <v>345</v>
      </c>
      <c r="F809" s="11" t="s">
        <v>78</v>
      </c>
      <c r="G809" s="11" t="s">
        <v>79</v>
      </c>
      <c r="H809" s="12">
        <v>6.12</v>
      </c>
      <c r="I809" s="13"/>
      <c r="J809" s="12">
        <v>0.02</v>
      </c>
      <c r="K809" s="14">
        <v>3</v>
      </c>
      <c r="L809" s="11" t="s">
        <v>605</v>
      </c>
      <c r="M809" s="15" t="s">
        <v>504</v>
      </c>
    </row>
    <row r="810" spans="1:13">
      <c r="A810" s="98">
        <v>43526</v>
      </c>
      <c r="B810" s="11" t="s">
        <v>18</v>
      </c>
      <c r="C810" s="11" t="s">
        <v>452</v>
      </c>
      <c r="D810" s="11" t="s">
        <v>344</v>
      </c>
      <c r="E810" s="11" t="s">
        <v>345</v>
      </c>
      <c r="F810" s="11" t="s">
        <v>78</v>
      </c>
      <c r="G810" s="11" t="s">
        <v>79</v>
      </c>
      <c r="H810" s="12">
        <v>5.63</v>
      </c>
      <c r="I810" s="13"/>
      <c r="J810" s="12">
        <v>0.05</v>
      </c>
      <c r="K810" s="14">
        <v>3</v>
      </c>
      <c r="L810" s="11" t="s">
        <v>604</v>
      </c>
      <c r="M810" s="15" t="s">
        <v>505</v>
      </c>
    </row>
    <row r="811" spans="1:13">
      <c r="A811" s="98">
        <v>43530</v>
      </c>
      <c r="B811" s="11" t="s">
        <v>18</v>
      </c>
      <c r="C811" s="11" t="s">
        <v>452</v>
      </c>
      <c r="D811" s="11" t="s">
        <v>344</v>
      </c>
      <c r="E811" s="11" t="s">
        <v>345</v>
      </c>
      <c r="F811" s="11" t="s">
        <v>78</v>
      </c>
      <c r="G811" s="11" t="s">
        <v>79</v>
      </c>
      <c r="H811" s="12">
        <v>3.42</v>
      </c>
      <c r="I811" s="13"/>
      <c r="J811" s="12">
        <v>0.02</v>
      </c>
      <c r="K811" s="14">
        <v>3</v>
      </c>
      <c r="L811" s="11" t="s">
        <v>605</v>
      </c>
      <c r="M811" s="15" t="s">
        <v>506</v>
      </c>
    </row>
    <row r="812" spans="1:13">
      <c r="A812" s="98">
        <v>43531</v>
      </c>
      <c r="B812" s="11" t="s">
        <v>18</v>
      </c>
      <c r="C812" s="11" t="s">
        <v>452</v>
      </c>
      <c r="D812" s="11" t="s">
        <v>344</v>
      </c>
      <c r="E812" s="11" t="s">
        <v>345</v>
      </c>
      <c r="F812" s="11" t="s">
        <v>78</v>
      </c>
      <c r="G812" s="11" t="s">
        <v>79</v>
      </c>
      <c r="H812" s="12">
        <v>3.39</v>
      </c>
      <c r="I812" s="13"/>
      <c r="J812" s="12">
        <v>0.02</v>
      </c>
      <c r="K812" s="14">
        <v>3</v>
      </c>
      <c r="L812" s="11" t="s">
        <v>605</v>
      </c>
      <c r="M812" s="15" t="s">
        <v>507</v>
      </c>
    </row>
    <row r="813" spans="1:13">
      <c r="A813" s="98">
        <v>43532</v>
      </c>
      <c r="B813" s="11" t="s">
        <v>18</v>
      </c>
      <c r="C813" s="11" t="s">
        <v>452</v>
      </c>
      <c r="D813" s="11" t="s">
        <v>344</v>
      </c>
      <c r="E813" s="11" t="s">
        <v>345</v>
      </c>
      <c r="F813" s="11" t="s">
        <v>78</v>
      </c>
      <c r="G813" s="11" t="s">
        <v>79</v>
      </c>
      <c r="H813" s="12">
        <v>2.14</v>
      </c>
      <c r="I813" s="13"/>
      <c r="J813" s="12">
        <v>0.02</v>
      </c>
      <c r="K813" s="14">
        <v>3</v>
      </c>
      <c r="L813" s="11" t="s">
        <v>605</v>
      </c>
      <c r="M813" s="15" t="s">
        <v>508</v>
      </c>
    </row>
    <row r="814" spans="1:13">
      <c r="A814" s="98">
        <v>43533</v>
      </c>
      <c r="B814" s="11" t="s">
        <v>18</v>
      </c>
      <c r="C814" s="11" t="s">
        <v>452</v>
      </c>
      <c r="D814" s="11" t="s">
        <v>344</v>
      </c>
      <c r="E814" s="11" t="s">
        <v>345</v>
      </c>
      <c r="F814" s="11" t="s">
        <v>78</v>
      </c>
      <c r="G814" s="11" t="s">
        <v>79</v>
      </c>
      <c r="H814" s="12">
        <v>2.1</v>
      </c>
      <c r="I814" s="13"/>
      <c r="J814" s="12">
        <v>0.02</v>
      </c>
      <c r="K814" s="14">
        <v>3</v>
      </c>
      <c r="L814" s="11" t="s">
        <v>605</v>
      </c>
      <c r="M814" s="15" t="s">
        <v>509</v>
      </c>
    </row>
    <row r="815" spans="1:13">
      <c r="A815" s="98">
        <v>43537</v>
      </c>
      <c r="B815" s="11" t="s">
        <v>18</v>
      </c>
      <c r="C815" s="11" t="s">
        <v>452</v>
      </c>
      <c r="D815" s="11" t="s">
        <v>344</v>
      </c>
      <c r="E815" s="11" t="s">
        <v>345</v>
      </c>
      <c r="F815" s="11" t="s">
        <v>78</v>
      </c>
      <c r="G815" s="11" t="s">
        <v>79</v>
      </c>
      <c r="H815" s="12">
        <v>3.82</v>
      </c>
      <c r="I815" s="13"/>
      <c r="J815" s="12">
        <v>0.01</v>
      </c>
      <c r="K815" s="14">
        <v>3</v>
      </c>
      <c r="L815" s="11" t="s">
        <v>608</v>
      </c>
      <c r="M815" s="15" t="s">
        <v>510</v>
      </c>
    </row>
    <row r="816" spans="1:13">
      <c r="A816" s="98">
        <v>43538</v>
      </c>
      <c r="B816" s="11" t="s">
        <v>18</v>
      </c>
      <c r="C816" s="11" t="s">
        <v>452</v>
      </c>
      <c r="D816" s="11" t="s">
        <v>344</v>
      </c>
      <c r="E816" s="11" t="s">
        <v>345</v>
      </c>
      <c r="F816" s="11" t="s">
        <v>78</v>
      </c>
      <c r="G816" s="11" t="s">
        <v>79</v>
      </c>
      <c r="H816" s="12">
        <v>1.98</v>
      </c>
      <c r="I816" s="13"/>
      <c r="J816" s="12">
        <v>0.01</v>
      </c>
      <c r="K816" s="14">
        <v>3</v>
      </c>
      <c r="L816" s="11" t="s">
        <v>608</v>
      </c>
      <c r="M816" s="15" t="s">
        <v>511</v>
      </c>
    </row>
    <row r="817" spans="1:13">
      <c r="A817" s="98">
        <v>43539</v>
      </c>
      <c r="B817" s="11" t="s">
        <v>18</v>
      </c>
      <c r="C817" s="11" t="s">
        <v>452</v>
      </c>
      <c r="D817" s="11" t="s">
        <v>344</v>
      </c>
      <c r="E817" s="11" t="s">
        <v>345</v>
      </c>
      <c r="F817" s="11" t="s">
        <v>78</v>
      </c>
      <c r="G817" s="11" t="s">
        <v>79</v>
      </c>
      <c r="H817" s="12">
        <v>2.5299999999999998</v>
      </c>
      <c r="I817" s="13"/>
      <c r="J817" s="12">
        <v>0.01</v>
      </c>
      <c r="K817" s="14">
        <v>3</v>
      </c>
      <c r="L817" s="11" t="s">
        <v>608</v>
      </c>
      <c r="M817" s="15" t="s">
        <v>512</v>
      </c>
    </row>
    <row r="818" spans="1:13">
      <c r="A818" s="98">
        <v>43540</v>
      </c>
      <c r="B818" s="11" t="s">
        <v>18</v>
      </c>
      <c r="C818" s="11" t="s">
        <v>452</v>
      </c>
      <c r="D818" s="11" t="s">
        <v>344</v>
      </c>
      <c r="E818" s="11" t="s">
        <v>345</v>
      </c>
      <c r="F818" s="11" t="s">
        <v>78</v>
      </c>
      <c r="G818" s="11" t="s">
        <v>79</v>
      </c>
      <c r="H818" s="12">
        <v>4.21</v>
      </c>
      <c r="I818" s="13"/>
      <c r="J818" s="12">
        <v>0.01</v>
      </c>
      <c r="K818" s="14">
        <v>3</v>
      </c>
      <c r="L818" s="11" t="s">
        <v>608</v>
      </c>
      <c r="M818" s="15" t="s">
        <v>513</v>
      </c>
    </row>
    <row r="819" spans="1:13">
      <c r="A819" s="98">
        <v>43544</v>
      </c>
      <c r="B819" s="11" t="s">
        <v>18</v>
      </c>
      <c r="C819" s="11" t="s">
        <v>452</v>
      </c>
      <c r="D819" s="11" t="s">
        <v>344</v>
      </c>
      <c r="E819" s="11" t="s">
        <v>345</v>
      </c>
      <c r="F819" s="11" t="s">
        <v>78</v>
      </c>
      <c r="G819" s="11" t="s">
        <v>79</v>
      </c>
      <c r="H819" s="12">
        <v>4.6900000000000004</v>
      </c>
      <c r="I819" s="13"/>
      <c r="J819" s="12">
        <v>0.01</v>
      </c>
      <c r="K819" s="14">
        <v>3</v>
      </c>
      <c r="L819" s="11" t="s">
        <v>608</v>
      </c>
      <c r="M819" s="15" t="s">
        <v>514</v>
      </c>
    </row>
    <row r="820" spans="1:13">
      <c r="A820" s="98">
        <v>43545</v>
      </c>
      <c r="B820" s="11" t="s">
        <v>18</v>
      </c>
      <c r="C820" s="11" t="s">
        <v>452</v>
      </c>
      <c r="D820" s="11" t="s">
        <v>344</v>
      </c>
      <c r="E820" s="11" t="s">
        <v>345</v>
      </c>
      <c r="F820" s="11" t="s">
        <v>78</v>
      </c>
      <c r="G820" s="11" t="s">
        <v>79</v>
      </c>
      <c r="H820" s="12">
        <v>5.49</v>
      </c>
      <c r="I820" s="13"/>
      <c r="J820" s="12">
        <v>0.02</v>
      </c>
      <c r="K820" s="14">
        <v>3</v>
      </c>
      <c r="L820" s="11" t="s">
        <v>605</v>
      </c>
      <c r="M820" s="15" t="s">
        <v>515</v>
      </c>
    </row>
    <row r="821" spans="1:13">
      <c r="A821" s="98">
        <v>43546</v>
      </c>
      <c r="B821" s="11" t="s">
        <v>18</v>
      </c>
      <c r="C821" s="11" t="s">
        <v>452</v>
      </c>
      <c r="D821" s="11" t="s">
        <v>344</v>
      </c>
      <c r="E821" s="11" t="s">
        <v>345</v>
      </c>
      <c r="F821" s="11" t="s">
        <v>78</v>
      </c>
      <c r="G821" s="11" t="s">
        <v>79</v>
      </c>
      <c r="H821" s="12">
        <v>4.53</v>
      </c>
      <c r="I821" s="13"/>
      <c r="J821" s="12">
        <v>0.02</v>
      </c>
      <c r="K821" s="14">
        <v>3</v>
      </c>
      <c r="L821" s="11" t="s">
        <v>605</v>
      </c>
      <c r="M821" s="15" t="s">
        <v>516</v>
      </c>
    </row>
    <row r="822" spans="1:13">
      <c r="A822" s="98">
        <v>43547</v>
      </c>
      <c r="B822" s="11" t="s">
        <v>18</v>
      </c>
      <c r="C822" s="11" t="s">
        <v>452</v>
      </c>
      <c r="D822" s="11" t="s">
        <v>344</v>
      </c>
      <c r="E822" s="11" t="s">
        <v>345</v>
      </c>
      <c r="F822" s="11" t="s">
        <v>78</v>
      </c>
      <c r="G822" s="11" t="s">
        <v>79</v>
      </c>
      <c r="H822" s="12">
        <v>4.18</v>
      </c>
      <c r="I822" s="13"/>
      <c r="J822" s="12">
        <v>0.02</v>
      </c>
      <c r="K822" s="14">
        <v>3</v>
      </c>
      <c r="L822" s="11" t="s">
        <v>605</v>
      </c>
      <c r="M822" s="15" t="s">
        <v>517</v>
      </c>
    </row>
    <row r="823" spans="1:13">
      <c r="A823" s="98">
        <v>43551</v>
      </c>
      <c r="B823" s="11" t="s">
        <v>18</v>
      </c>
      <c r="C823" s="11" t="s">
        <v>452</v>
      </c>
      <c r="D823" s="11" t="s">
        <v>344</v>
      </c>
      <c r="E823" s="11" t="s">
        <v>345</v>
      </c>
      <c r="F823" s="11" t="s">
        <v>78</v>
      </c>
      <c r="G823" s="11" t="s">
        <v>79</v>
      </c>
      <c r="H823" s="12">
        <v>0.69</v>
      </c>
      <c r="I823" s="13"/>
      <c r="J823" s="12">
        <v>0.02</v>
      </c>
      <c r="K823" s="14">
        <v>3</v>
      </c>
      <c r="L823" s="11" t="s">
        <v>605</v>
      </c>
      <c r="M823" s="15" t="s">
        <v>518</v>
      </c>
    </row>
    <row r="824" spans="1:13">
      <c r="A824" s="98">
        <v>43552</v>
      </c>
      <c r="B824" s="11" t="s">
        <v>18</v>
      </c>
      <c r="C824" s="11" t="s">
        <v>452</v>
      </c>
      <c r="D824" s="11" t="s">
        <v>344</v>
      </c>
      <c r="E824" s="11" t="s">
        <v>345</v>
      </c>
      <c r="F824" s="11" t="s">
        <v>78</v>
      </c>
      <c r="G824" s="11" t="s">
        <v>79</v>
      </c>
      <c r="H824" s="12">
        <v>2.02</v>
      </c>
      <c r="I824" s="13"/>
      <c r="J824" s="12">
        <v>0.02</v>
      </c>
      <c r="K824" s="14">
        <v>3</v>
      </c>
      <c r="L824" s="11" t="s">
        <v>605</v>
      </c>
      <c r="M824" s="15" t="s">
        <v>519</v>
      </c>
    </row>
    <row r="825" spans="1:13">
      <c r="A825" s="98">
        <v>43553</v>
      </c>
      <c r="B825" s="11" t="s">
        <v>18</v>
      </c>
      <c r="C825" s="11" t="s">
        <v>452</v>
      </c>
      <c r="D825" s="11" t="s">
        <v>344</v>
      </c>
      <c r="E825" s="11" t="s">
        <v>345</v>
      </c>
      <c r="F825" s="11" t="s">
        <v>78</v>
      </c>
      <c r="G825" s="11" t="s">
        <v>79</v>
      </c>
      <c r="H825" s="12">
        <v>2.35</v>
      </c>
      <c r="I825" s="13"/>
      <c r="J825" s="12">
        <v>0.05</v>
      </c>
      <c r="K825" s="14">
        <v>3</v>
      </c>
      <c r="L825" s="11" t="s">
        <v>604</v>
      </c>
      <c r="M825" s="15" t="s">
        <v>520</v>
      </c>
    </row>
    <row r="826" spans="1:13">
      <c r="A826" s="98">
        <v>43554</v>
      </c>
      <c r="B826" s="11" t="s">
        <v>18</v>
      </c>
      <c r="C826" s="11" t="s">
        <v>452</v>
      </c>
      <c r="D826" s="11" t="s">
        <v>344</v>
      </c>
      <c r="E826" s="11" t="s">
        <v>345</v>
      </c>
      <c r="F826" s="11" t="s">
        <v>78</v>
      </c>
      <c r="G826" s="11" t="s">
        <v>79</v>
      </c>
      <c r="H826" s="12">
        <v>3.55</v>
      </c>
      <c r="I826" s="13"/>
      <c r="J826" s="12">
        <v>0.01</v>
      </c>
      <c r="K826" s="14">
        <v>3</v>
      </c>
      <c r="L826" s="11" t="s">
        <v>608</v>
      </c>
      <c r="M826" s="15" t="s">
        <v>521</v>
      </c>
    </row>
    <row r="827" spans="1:13">
      <c r="A827" s="98">
        <v>43558</v>
      </c>
      <c r="B827" s="11" t="s">
        <v>18</v>
      </c>
      <c r="C827" s="11" t="s">
        <v>452</v>
      </c>
      <c r="D827" s="11" t="s">
        <v>344</v>
      </c>
      <c r="E827" s="11" t="s">
        <v>345</v>
      </c>
      <c r="F827" s="11" t="s">
        <v>78</v>
      </c>
      <c r="G827" s="11" t="s">
        <v>79</v>
      </c>
      <c r="H827" s="12">
        <v>0.77</v>
      </c>
      <c r="I827" s="13"/>
      <c r="J827" s="12">
        <v>0.01</v>
      </c>
      <c r="K827" s="14">
        <v>3</v>
      </c>
      <c r="L827" s="11" t="s">
        <v>608</v>
      </c>
      <c r="M827" s="15" t="s">
        <v>522</v>
      </c>
    </row>
    <row r="828" spans="1:13">
      <c r="A828" s="98">
        <v>43559</v>
      </c>
      <c r="B828" s="11" t="s">
        <v>18</v>
      </c>
      <c r="C828" s="11" t="s">
        <v>452</v>
      </c>
      <c r="D828" s="11" t="s">
        <v>344</v>
      </c>
      <c r="E828" s="11" t="s">
        <v>345</v>
      </c>
      <c r="F828" s="11" t="s">
        <v>78</v>
      </c>
      <c r="G828" s="11" t="s">
        <v>79</v>
      </c>
      <c r="H828" s="12">
        <v>0.37</v>
      </c>
      <c r="I828" s="13"/>
      <c r="J828" s="12">
        <v>0.01</v>
      </c>
      <c r="K828" s="14">
        <v>3</v>
      </c>
      <c r="L828" s="11" t="s">
        <v>608</v>
      </c>
      <c r="M828" s="15" t="s">
        <v>523</v>
      </c>
    </row>
    <row r="829" spans="1:13">
      <c r="A829" s="98">
        <v>43560</v>
      </c>
      <c r="B829" s="11" t="s">
        <v>18</v>
      </c>
      <c r="C829" s="11" t="s">
        <v>452</v>
      </c>
      <c r="D829" s="11" t="s">
        <v>344</v>
      </c>
      <c r="E829" s="11" t="s">
        <v>345</v>
      </c>
      <c r="F829" s="11" t="s">
        <v>78</v>
      </c>
      <c r="G829" s="11" t="s">
        <v>79</v>
      </c>
      <c r="H829" s="12">
        <v>0.3</v>
      </c>
      <c r="I829" s="13"/>
      <c r="J829" s="12">
        <v>0.01</v>
      </c>
      <c r="K829" s="14">
        <v>3</v>
      </c>
      <c r="L829" s="11" t="s">
        <v>608</v>
      </c>
      <c r="M829" s="15" t="s">
        <v>524</v>
      </c>
    </row>
    <row r="830" spans="1:13">
      <c r="A830" s="98">
        <v>43561</v>
      </c>
      <c r="B830" s="11" t="s">
        <v>18</v>
      </c>
      <c r="C830" s="11" t="s">
        <v>452</v>
      </c>
      <c r="D830" s="11" t="s">
        <v>344</v>
      </c>
      <c r="E830" s="11" t="s">
        <v>345</v>
      </c>
      <c r="F830" s="11" t="s">
        <v>78</v>
      </c>
      <c r="G830" s="11" t="s">
        <v>79</v>
      </c>
      <c r="H830" s="12">
        <v>0.59</v>
      </c>
      <c r="I830" s="13"/>
      <c r="J830" s="12">
        <v>0.01</v>
      </c>
      <c r="K830" s="14">
        <v>3</v>
      </c>
      <c r="L830" s="11" t="s">
        <v>608</v>
      </c>
      <c r="M830" s="15" t="s">
        <v>525</v>
      </c>
    </row>
    <row r="831" spans="1:13">
      <c r="A831" s="98">
        <v>43562</v>
      </c>
      <c r="B831" s="11" t="s">
        <v>18</v>
      </c>
      <c r="C831" s="11" t="s">
        <v>452</v>
      </c>
      <c r="D831" s="11" t="s">
        <v>344</v>
      </c>
      <c r="E831" s="11" t="s">
        <v>345</v>
      </c>
      <c r="F831" s="11" t="s">
        <v>78</v>
      </c>
      <c r="G831" s="11" t="s">
        <v>79</v>
      </c>
      <c r="H831" s="12">
        <v>1.9</v>
      </c>
      <c r="I831" s="13"/>
      <c r="J831" s="12">
        <v>0.01</v>
      </c>
      <c r="K831" s="14">
        <v>3</v>
      </c>
      <c r="L831" s="11" t="s">
        <v>608</v>
      </c>
      <c r="M831" s="15" t="s">
        <v>526</v>
      </c>
    </row>
    <row r="832" spans="1:13">
      <c r="A832" s="98">
        <v>43563</v>
      </c>
      <c r="B832" s="11" t="s">
        <v>18</v>
      </c>
      <c r="C832" s="11" t="s">
        <v>452</v>
      </c>
      <c r="D832" s="11" t="s">
        <v>344</v>
      </c>
      <c r="E832" s="11" t="s">
        <v>345</v>
      </c>
      <c r="F832" s="11" t="s">
        <v>78</v>
      </c>
      <c r="G832" s="11" t="s">
        <v>79</v>
      </c>
      <c r="H832" s="12">
        <v>2.63</v>
      </c>
      <c r="I832" s="13"/>
      <c r="J832" s="12">
        <v>0.01</v>
      </c>
      <c r="K832" s="14">
        <v>3</v>
      </c>
      <c r="L832" s="11" t="s">
        <v>608</v>
      </c>
      <c r="M832" s="15" t="s">
        <v>527</v>
      </c>
    </row>
    <row r="833" spans="1:13">
      <c r="A833" s="98">
        <v>43564</v>
      </c>
      <c r="B833" s="11" t="s">
        <v>18</v>
      </c>
      <c r="C833" s="11" t="s">
        <v>452</v>
      </c>
      <c r="D833" s="11" t="s">
        <v>344</v>
      </c>
      <c r="E833" s="11" t="s">
        <v>345</v>
      </c>
      <c r="F833" s="11" t="s">
        <v>78</v>
      </c>
      <c r="G833" s="11" t="s">
        <v>79</v>
      </c>
      <c r="H833" s="12">
        <v>4.07</v>
      </c>
      <c r="I833" s="13"/>
      <c r="J833" s="12">
        <v>0.02</v>
      </c>
      <c r="K833" s="14">
        <v>3</v>
      </c>
      <c r="L833" s="11" t="s">
        <v>605</v>
      </c>
      <c r="M833" s="15" t="s">
        <v>528</v>
      </c>
    </row>
    <row r="834" spans="1:13">
      <c r="A834" s="98">
        <v>43568</v>
      </c>
      <c r="B834" s="11" t="s">
        <v>18</v>
      </c>
      <c r="C834" s="11" t="s">
        <v>452</v>
      </c>
      <c r="D834" s="11" t="s">
        <v>344</v>
      </c>
      <c r="E834" s="11" t="s">
        <v>345</v>
      </c>
      <c r="F834" s="11" t="s">
        <v>78</v>
      </c>
      <c r="G834" s="11" t="s">
        <v>79</v>
      </c>
      <c r="H834" s="12">
        <v>4.09</v>
      </c>
      <c r="I834" s="13"/>
      <c r="J834" s="12">
        <v>0.01</v>
      </c>
      <c r="K834" s="14">
        <v>3</v>
      </c>
      <c r="L834" s="11" t="s">
        <v>608</v>
      </c>
      <c r="M834" s="15" t="s">
        <v>529</v>
      </c>
    </row>
    <row r="835" spans="1:13">
      <c r="A835" s="98">
        <v>43569</v>
      </c>
      <c r="B835" s="11" t="s">
        <v>18</v>
      </c>
      <c r="C835" s="11" t="s">
        <v>452</v>
      </c>
      <c r="D835" s="11" t="s">
        <v>344</v>
      </c>
      <c r="E835" s="11" t="s">
        <v>345</v>
      </c>
      <c r="F835" s="11" t="s">
        <v>78</v>
      </c>
      <c r="G835" s="11" t="s">
        <v>79</v>
      </c>
      <c r="H835" s="12">
        <v>4.5199999999999996</v>
      </c>
      <c r="I835" s="13"/>
      <c r="J835" s="12">
        <v>0.01</v>
      </c>
      <c r="K835" s="14">
        <v>3</v>
      </c>
      <c r="L835" s="11" t="s">
        <v>608</v>
      </c>
      <c r="M835" s="15" t="s">
        <v>530</v>
      </c>
    </row>
    <row r="836" spans="1:13">
      <c r="A836" s="98">
        <v>43570</v>
      </c>
      <c r="B836" s="11" t="s">
        <v>18</v>
      </c>
      <c r="C836" s="11" t="s">
        <v>452</v>
      </c>
      <c r="D836" s="11" t="s">
        <v>344</v>
      </c>
      <c r="E836" s="11" t="s">
        <v>345</v>
      </c>
      <c r="F836" s="11" t="s">
        <v>78</v>
      </c>
      <c r="G836" s="11" t="s">
        <v>79</v>
      </c>
      <c r="H836" s="12">
        <v>3.73</v>
      </c>
      <c r="I836" s="13"/>
      <c r="J836" s="12">
        <v>0.01</v>
      </c>
      <c r="K836" s="14">
        <v>3</v>
      </c>
      <c r="L836" s="11" t="s">
        <v>608</v>
      </c>
      <c r="M836" s="15" t="s">
        <v>531</v>
      </c>
    </row>
    <row r="837" spans="1:13">
      <c r="A837" s="98">
        <v>43571</v>
      </c>
      <c r="B837" s="11" t="s">
        <v>18</v>
      </c>
      <c r="C837" s="11" t="s">
        <v>452</v>
      </c>
      <c r="D837" s="11" t="s">
        <v>344</v>
      </c>
      <c r="E837" s="11" t="s">
        <v>345</v>
      </c>
      <c r="F837" s="11" t="s">
        <v>78</v>
      </c>
      <c r="G837" s="11" t="s">
        <v>79</v>
      </c>
      <c r="H837" s="12">
        <v>3.21</v>
      </c>
      <c r="I837" s="13"/>
      <c r="J837" s="12">
        <v>0.01</v>
      </c>
      <c r="K837" s="14">
        <v>3</v>
      </c>
      <c r="L837" s="11" t="s">
        <v>608</v>
      </c>
      <c r="M837" s="15" t="s">
        <v>532</v>
      </c>
    </row>
    <row r="838" spans="1:13">
      <c r="A838" s="98">
        <v>43575</v>
      </c>
      <c r="B838" s="11" t="s">
        <v>18</v>
      </c>
      <c r="C838" s="11" t="s">
        <v>452</v>
      </c>
      <c r="D838" s="11" t="s">
        <v>344</v>
      </c>
      <c r="E838" s="11" t="s">
        <v>345</v>
      </c>
      <c r="F838" s="11" t="s">
        <v>78</v>
      </c>
      <c r="G838" s="11" t="s">
        <v>79</v>
      </c>
      <c r="H838" s="12">
        <v>0.44</v>
      </c>
      <c r="I838" s="13"/>
      <c r="J838" s="12">
        <v>0.01</v>
      </c>
      <c r="K838" s="14">
        <v>3</v>
      </c>
      <c r="L838" s="11" t="s">
        <v>608</v>
      </c>
      <c r="M838" s="15" t="s">
        <v>533</v>
      </c>
    </row>
    <row r="839" spans="1:13">
      <c r="A839" s="98">
        <v>43576</v>
      </c>
      <c r="B839" s="11" t="s">
        <v>18</v>
      </c>
      <c r="C839" s="11" t="s">
        <v>452</v>
      </c>
      <c r="D839" s="11" t="s">
        <v>344</v>
      </c>
      <c r="E839" s="11" t="s">
        <v>345</v>
      </c>
      <c r="F839" s="11" t="s">
        <v>78</v>
      </c>
      <c r="G839" s="11" t="s">
        <v>79</v>
      </c>
      <c r="H839" s="12">
        <v>0.51</v>
      </c>
      <c r="I839" s="13"/>
      <c r="J839" s="12">
        <v>0.01</v>
      </c>
      <c r="K839" s="14">
        <v>3</v>
      </c>
      <c r="L839" s="11" t="s">
        <v>608</v>
      </c>
      <c r="M839" s="15" t="s">
        <v>534</v>
      </c>
    </row>
    <row r="840" spans="1:13">
      <c r="A840" s="98">
        <v>43577</v>
      </c>
      <c r="B840" s="11" t="s">
        <v>18</v>
      </c>
      <c r="C840" s="11" t="s">
        <v>452</v>
      </c>
      <c r="D840" s="11" t="s">
        <v>344</v>
      </c>
      <c r="E840" s="11" t="s">
        <v>345</v>
      </c>
      <c r="F840" s="11" t="s">
        <v>78</v>
      </c>
      <c r="G840" s="11" t="s">
        <v>79</v>
      </c>
      <c r="H840" s="12">
        <v>2.1</v>
      </c>
      <c r="I840" s="13"/>
      <c r="J840" s="12">
        <v>0.01</v>
      </c>
      <c r="K840" s="14">
        <v>3</v>
      </c>
      <c r="L840" s="11" t="s">
        <v>608</v>
      </c>
      <c r="M840" s="15" t="s">
        <v>535</v>
      </c>
    </row>
    <row r="841" spans="1:13">
      <c r="A841" s="98">
        <v>43578</v>
      </c>
      <c r="B841" s="11" t="s">
        <v>18</v>
      </c>
      <c r="C841" s="11" t="s">
        <v>452</v>
      </c>
      <c r="D841" s="11" t="s">
        <v>344</v>
      </c>
      <c r="E841" s="11" t="s">
        <v>345</v>
      </c>
      <c r="F841" s="11" t="s">
        <v>78</v>
      </c>
      <c r="G841" s="11" t="s">
        <v>79</v>
      </c>
      <c r="H841" s="12">
        <v>3.91</v>
      </c>
      <c r="I841" s="13"/>
      <c r="J841" s="12">
        <v>0.01</v>
      </c>
      <c r="K841" s="14">
        <v>3</v>
      </c>
      <c r="L841" s="11" t="s">
        <v>608</v>
      </c>
      <c r="M841" s="15" t="s">
        <v>536</v>
      </c>
    </row>
    <row r="842" spans="1:13">
      <c r="A842" s="98">
        <v>43582</v>
      </c>
      <c r="B842" s="11" t="s">
        <v>18</v>
      </c>
      <c r="C842" s="11" t="s">
        <v>452</v>
      </c>
      <c r="D842" s="11" t="s">
        <v>344</v>
      </c>
      <c r="E842" s="11" t="s">
        <v>345</v>
      </c>
      <c r="F842" s="11" t="s">
        <v>78</v>
      </c>
      <c r="G842" s="11" t="s">
        <v>79</v>
      </c>
      <c r="H842" s="12">
        <v>1.03</v>
      </c>
      <c r="I842" s="13"/>
      <c r="J842" s="12">
        <v>0.01</v>
      </c>
      <c r="K842" s="14">
        <v>3</v>
      </c>
      <c r="L842" s="11" t="s">
        <v>608</v>
      </c>
      <c r="M842" s="15" t="s">
        <v>537</v>
      </c>
    </row>
    <row r="843" spans="1:13">
      <c r="A843" s="98">
        <v>43584</v>
      </c>
      <c r="B843" s="11" t="s">
        <v>18</v>
      </c>
      <c r="C843" s="11" t="s">
        <v>452</v>
      </c>
      <c r="D843" s="11" t="s">
        <v>344</v>
      </c>
      <c r="E843" s="11" t="s">
        <v>345</v>
      </c>
      <c r="F843" s="11" t="s">
        <v>78</v>
      </c>
      <c r="G843" s="11" t="s">
        <v>79</v>
      </c>
      <c r="H843" s="12">
        <v>0.54</v>
      </c>
      <c r="I843" s="13"/>
      <c r="J843" s="12">
        <v>0.01</v>
      </c>
      <c r="K843" s="14">
        <v>3</v>
      </c>
      <c r="L843" s="11" t="s">
        <v>608</v>
      </c>
      <c r="M843" s="15" t="s">
        <v>538</v>
      </c>
    </row>
    <row r="844" spans="1:13">
      <c r="A844" s="98">
        <v>43585</v>
      </c>
      <c r="B844" s="11" t="s">
        <v>18</v>
      </c>
      <c r="C844" s="11" t="s">
        <v>452</v>
      </c>
      <c r="D844" s="11" t="s">
        <v>344</v>
      </c>
      <c r="E844" s="11" t="s">
        <v>345</v>
      </c>
      <c r="F844" s="11" t="s">
        <v>78</v>
      </c>
      <c r="G844" s="11" t="s">
        <v>79</v>
      </c>
      <c r="H844" s="12">
        <v>0.56999999999999995</v>
      </c>
      <c r="I844" s="13"/>
      <c r="J844" s="12">
        <v>0.01</v>
      </c>
      <c r="K844" s="14">
        <v>3</v>
      </c>
      <c r="L844" s="11" t="s">
        <v>608</v>
      </c>
      <c r="M844" s="15" t="s">
        <v>539</v>
      </c>
    </row>
    <row r="845" spans="1:13">
      <c r="A845" s="98">
        <v>43586</v>
      </c>
      <c r="B845" s="11" t="s">
        <v>18</v>
      </c>
      <c r="C845" s="11" t="s">
        <v>452</v>
      </c>
      <c r="D845" s="11" t="s">
        <v>344</v>
      </c>
      <c r="E845" s="11" t="s">
        <v>345</v>
      </c>
      <c r="F845" s="11" t="s">
        <v>78</v>
      </c>
      <c r="G845" s="11" t="s">
        <v>79</v>
      </c>
      <c r="H845" s="12">
        <v>0.51</v>
      </c>
      <c r="I845" s="13"/>
      <c r="J845" s="12">
        <v>0.01</v>
      </c>
      <c r="K845" s="14">
        <v>3</v>
      </c>
      <c r="L845" s="11" t="s">
        <v>608</v>
      </c>
      <c r="M845" s="15" t="s">
        <v>540</v>
      </c>
    </row>
    <row r="846" spans="1:13">
      <c r="A846" s="98">
        <v>43587</v>
      </c>
      <c r="B846" s="11" t="s">
        <v>18</v>
      </c>
      <c r="C846" s="11" t="s">
        <v>452</v>
      </c>
      <c r="D846" s="11" t="s">
        <v>344</v>
      </c>
      <c r="E846" s="11" t="s">
        <v>345</v>
      </c>
      <c r="F846" s="11" t="s">
        <v>78</v>
      </c>
      <c r="G846" s="11" t="s">
        <v>79</v>
      </c>
      <c r="H846" s="12">
        <v>0.41</v>
      </c>
      <c r="I846" s="13"/>
      <c r="J846" s="12">
        <v>0.01</v>
      </c>
      <c r="K846" s="14">
        <v>3</v>
      </c>
      <c r="L846" s="11" t="s">
        <v>608</v>
      </c>
      <c r="M846" s="15" t="s">
        <v>541</v>
      </c>
    </row>
    <row r="847" spans="1:13">
      <c r="A847" s="98">
        <v>43591</v>
      </c>
      <c r="B847" s="11" t="s">
        <v>18</v>
      </c>
      <c r="C847" s="11" t="s">
        <v>452</v>
      </c>
      <c r="D847" s="11" t="s">
        <v>344</v>
      </c>
      <c r="E847" s="11" t="s">
        <v>345</v>
      </c>
      <c r="F847" s="11" t="s">
        <v>78</v>
      </c>
      <c r="G847" s="11" t="s">
        <v>79</v>
      </c>
      <c r="H847" s="12">
        <v>4.92</v>
      </c>
      <c r="I847" s="13"/>
      <c r="J847" s="12">
        <v>0.01</v>
      </c>
      <c r="K847" s="14">
        <v>3</v>
      </c>
      <c r="L847" s="11" t="s">
        <v>608</v>
      </c>
      <c r="M847" s="15" t="s">
        <v>542</v>
      </c>
    </row>
    <row r="848" spans="1:13">
      <c r="A848" s="98">
        <v>43592</v>
      </c>
      <c r="B848" s="11" t="s">
        <v>18</v>
      </c>
      <c r="C848" s="11" t="s">
        <v>452</v>
      </c>
      <c r="D848" s="11" t="s">
        <v>344</v>
      </c>
      <c r="E848" s="11" t="s">
        <v>345</v>
      </c>
      <c r="F848" s="11" t="s">
        <v>78</v>
      </c>
      <c r="G848" s="11" t="s">
        <v>79</v>
      </c>
      <c r="H848" s="12">
        <v>6.3</v>
      </c>
      <c r="I848" s="13"/>
      <c r="J848" s="12">
        <v>0.02</v>
      </c>
      <c r="K848" s="14">
        <v>3</v>
      </c>
      <c r="L848" s="11" t="s">
        <v>605</v>
      </c>
      <c r="M848" s="15" t="s">
        <v>543</v>
      </c>
    </row>
    <row r="849" spans="1:13">
      <c r="A849" s="98">
        <v>43593</v>
      </c>
      <c r="B849" s="11" t="s">
        <v>18</v>
      </c>
      <c r="C849" s="11" t="s">
        <v>452</v>
      </c>
      <c r="D849" s="11" t="s">
        <v>344</v>
      </c>
      <c r="E849" s="11" t="s">
        <v>345</v>
      </c>
      <c r="F849" s="11" t="s">
        <v>78</v>
      </c>
      <c r="G849" s="11" t="s">
        <v>79</v>
      </c>
      <c r="H849" s="12">
        <v>5.92</v>
      </c>
      <c r="I849" s="13"/>
      <c r="J849" s="12">
        <v>0.02</v>
      </c>
      <c r="K849" s="14">
        <v>3</v>
      </c>
      <c r="L849" s="11" t="s">
        <v>605</v>
      </c>
      <c r="M849" s="15" t="s">
        <v>544</v>
      </c>
    </row>
    <row r="850" spans="1:13">
      <c r="A850" s="98">
        <v>43594</v>
      </c>
      <c r="B850" s="11" t="s">
        <v>18</v>
      </c>
      <c r="C850" s="11" t="s">
        <v>452</v>
      </c>
      <c r="D850" s="11" t="s">
        <v>344</v>
      </c>
      <c r="E850" s="11" t="s">
        <v>345</v>
      </c>
      <c r="F850" s="11" t="s">
        <v>78</v>
      </c>
      <c r="G850" s="11" t="s">
        <v>79</v>
      </c>
      <c r="H850" s="12">
        <v>3.39</v>
      </c>
      <c r="I850" s="13"/>
      <c r="J850" s="12">
        <v>0.01</v>
      </c>
      <c r="K850" s="14">
        <v>3</v>
      </c>
      <c r="L850" s="11" t="s">
        <v>608</v>
      </c>
      <c r="M850" s="15" t="s">
        <v>545</v>
      </c>
    </row>
    <row r="851" spans="1:13">
      <c r="A851" s="98">
        <v>43598</v>
      </c>
      <c r="B851" s="11" t="s">
        <v>18</v>
      </c>
      <c r="C851" s="11" t="s">
        <v>452</v>
      </c>
      <c r="D851" s="11" t="s">
        <v>344</v>
      </c>
      <c r="E851" s="11" t="s">
        <v>345</v>
      </c>
      <c r="F851" s="11" t="s">
        <v>78</v>
      </c>
      <c r="G851" s="11" t="s">
        <v>79</v>
      </c>
      <c r="H851" s="12">
        <v>3.31</v>
      </c>
      <c r="I851" s="13"/>
      <c r="J851" s="12">
        <v>0.01</v>
      </c>
      <c r="K851" s="14">
        <v>3</v>
      </c>
      <c r="L851" s="11" t="s">
        <v>608</v>
      </c>
      <c r="M851" s="15" t="s">
        <v>546</v>
      </c>
    </row>
    <row r="852" spans="1:13">
      <c r="A852" s="98">
        <v>43599</v>
      </c>
      <c r="B852" s="11" t="s">
        <v>18</v>
      </c>
      <c r="C852" s="11" t="s">
        <v>452</v>
      </c>
      <c r="D852" s="11" t="s">
        <v>344</v>
      </c>
      <c r="E852" s="11" t="s">
        <v>345</v>
      </c>
      <c r="F852" s="11" t="s">
        <v>78</v>
      </c>
      <c r="G852" s="11" t="s">
        <v>79</v>
      </c>
      <c r="H852" s="12">
        <v>2.0099999999999998</v>
      </c>
      <c r="I852" s="13"/>
      <c r="J852" s="12">
        <v>0.01</v>
      </c>
      <c r="K852" s="14">
        <v>3</v>
      </c>
      <c r="L852" s="11" t="s">
        <v>608</v>
      </c>
      <c r="M852" s="15" t="s">
        <v>547</v>
      </c>
    </row>
    <row r="853" spans="1:13">
      <c r="A853" s="98">
        <v>43600</v>
      </c>
      <c r="B853" s="11" t="s">
        <v>18</v>
      </c>
      <c r="C853" s="11" t="s">
        <v>452</v>
      </c>
      <c r="D853" s="11" t="s">
        <v>344</v>
      </c>
      <c r="E853" s="11" t="s">
        <v>345</v>
      </c>
      <c r="F853" s="11" t="s">
        <v>78</v>
      </c>
      <c r="G853" s="11" t="s">
        <v>79</v>
      </c>
      <c r="H853" s="12">
        <v>3.5</v>
      </c>
      <c r="I853" s="13"/>
      <c r="J853" s="12">
        <v>0.01</v>
      </c>
      <c r="K853" s="14">
        <v>3</v>
      </c>
      <c r="L853" s="11" t="s">
        <v>608</v>
      </c>
      <c r="M853" s="15" t="s">
        <v>548</v>
      </c>
    </row>
    <row r="854" spans="1:13">
      <c r="A854" s="98">
        <v>43601</v>
      </c>
      <c r="B854" s="11" t="s">
        <v>18</v>
      </c>
      <c r="C854" s="11" t="s">
        <v>452</v>
      </c>
      <c r="D854" s="11" t="s">
        <v>344</v>
      </c>
      <c r="E854" s="11" t="s">
        <v>345</v>
      </c>
      <c r="F854" s="11" t="s">
        <v>78</v>
      </c>
      <c r="G854" s="11" t="s">
        <v>79</v>
      </c>
      <c r="H854" s="12">
        <v>4.54</v>
      </c>
      <c r="I854" s="13"/>
      <c r="J854" s="12">
        <v>0.01</v>
      </c>
      <c r="K854" s="14">
        <v>3</v>
      </c>
      <c r="L854" s="11" t="s">
        <v>608</v>
      </c>
      <c r="M854" s="15" t="s">
        <v>549</v>
      </c>
    </row>
    <row r="855" spans="1:13">
      <c r="A855" s="98">
        <v>43605</v>
      </c>
      <c r="B855" s="11" t="s">
        <v>18</v>
      </c>
      <c r="C855" s="11" t="s">
        <v>452</v>
      </c>
      <c r="D855" s="11" t="s">
        <v>344</v>
      </c>
      <c r="E855" s="11" t="s">
        <v>345</v>
      </c>
      <c r="F855" s="11" t="s">
        <v>78</v>
      </c>
      <c r="G855" s="11" t="s">
        <v>79</v>
      </c>
      <c r="H855" s="12">
        <v>8.6999999999999993</v>
      </c>
      <c r="I855" s="13"/>
      <c r="J855" s="12">
        <v>0.02</v>
      </c>
      <c r="K855" s="14">
        <v>3</v>
      </c>
      <c r="L855" s="11" t="s">
        <v>605</v>
      </c>
      <c r="M855" s="15" t="s">
        <v>550</v>
      </c>
    </row>
    <row r="856" spans="1:13">
      <c r="A856" s="98">
        <v>43608</v>
      </c>
      <c r="B856" s="11" t="s">
        <v>18</v>
      </c>
      <c r="C856" s="11" t="s">
        <v>452</v>
      </c>
      <c r="D856" s="11" t="s">
        <v>344</v>
      </c>
      <c r="E856" s="11" t="s">
        <v>345</v>
      </c>
      <c r="F856" s="11" t="s">
        <v>78</v>
      </c>
      <c r="G856" s="11" t="s">
        <v>79</v>
      </c>
      <c r="H856" s="12">
        <v>5.63</v>
      </c>
      <c r="I856" s="13"/>
      <c r="J856" s="12">
        <v>0.02</v>
      </c>
      <c r="K856" s="14">
        <v>3</v>
      </c>
      <c r="L856" s="11" t="s">
        <v>605</v>
      </c>
      <c r="M856" s="15" t="s">
        <v>551</v>
      </c>
    </row>
    <row r="857" spans="1:13">
      <c r="A857" s="98">
        <v>43612</v>
      </c>
      <c r="B857" s="11" t="s">
        <v>18</v>
      </c>
      <c r="C857" s="11" t="s">
        <v>452</v>
      </c>
      <c r="D857" s="11" t="s">
        <v>344</v>
      </c>
      <c r="E857" s="11" t="s">
        <v>345</v>
      </c>
      <c r="F857" s="11" t="s">
        <v>78</v>
      </c>
      <c r="G857" s="11" t="s">
        <v>79</v>
      </c>
      <c r="H857" s="12">
        <v>3.7</v>
      </c>
      <c r="I857" s="13"/>
      <c r="J857" s="12">
        <v>0.02</v>
      </c>
      <c r="K857" s="14">
        <v>3</v>
      </c>
      <c r="L857" s="11" t="s">
        <v>605</v>
      </c>
      <c r="M857" s="15" t="s">
        <v>552</v>
      </c>
    </row>
    <row r="858" spans="1:13">
      <c r="A858" s="98">
        <v>43615</v>
      </c>
      <c r="B858" s="11" t="s">
        <v>18</v>
      </c>
      <c r="C858" s="11" t="s">
        <v>452</v>
      </c>
      <c r="D858" s="11" t="s">
        <v>344</v>
      </c>
      <c r="E858" s="11" t="s">
        <v>345</v>
      </c>
      <c r="F858" s="11" t="s">
        <v>78</v>
      </c>
      <c r="G858" s="11" t="s">
        <v>79</v>
      </c>
      <c r="H858" s="12">
        <v>5.79</v>
      </c>
      <c r="I858" s="13"/>
      <c r="J858" s="12">
        <v>0.02</v>
      </c>
      <c r="K858" s="14">
        <v>3</v>
      </c>
      <c r="L858" s="11" t="s">
        <v>605</v>
      </c>
      <c r="M858" s="15" t="s">
        <v>553</v>
      </c>
    </row>
    <row r="859" spans="1:13">
      <c r="A859" s="98">
        <v>43618</v>
      </c>
      <c r="B859" s="11" t="s">
        <v>18</v>
      </c>
      <c r="C859" s="11" t="s">
        <v>452</v>
      </c>
      <c r="D859" s="11" t="s">
        <v>344</v>
      </c>
      <c r="E859" s="11" t="s">
        <v>345</v>
      </c>
      <c r="F859" s="11" t="s">
        <v>78</v>
      </c>
      <c r="G859" s="11" t="s">
        <v>79</v>
      </c>
      <c r="H859" s="12">
        <v>3.15</v>
      </c>
      <c r="I859" s="13"/>
      <c r="J859" s="12">
        <v>0.05</v>
      </c>
      <c r="K859" s="14">
        <v>3</v>
      </c>
      <c r="L859" s="11" t="s">
        <v>604</v>
      </c>
      <c r="M859" s="15" t="s">
        <v>554</v>
      </c>
    </row>
    <row r="860" spans="1:13">
      <c r="A860" s="98">
        <v>43621</v>
      </c>
      <c r="B860" s="11" t="s">
        <v>18</v>
      </c>
      <c r="C860" s="11" t="s">
        <v>452</v>
      </c>
      <c r="D860" s="11" t="s">
        <v>344</v>
      </c>
      <c r="E860" s="11" t="s">
        <v>345</v>
      </c>
      <c r="F860" s="11" t="s">
        <v>78</v>
      </c>
      <c r="G860" s="11" t="s">
        <v>79</v>
      </c>
      <c r="H860" s="12">
        <v>0.85</v>
      </c>
      <c r="I860" s="13"/>
      <c r="J860" s="12">
        <v>0.01</v>
      </c>
      <c r="K860" s="14">
        <v>3</v>
      </c>
      <c r="L860" s="11" t="s">
        <v>608</v>
      </c>
      <c r="M860" s="15" t="s">
        <v>555</v>
      </c>
    </row>
    <row r="861" spans="1:13">
      <c r="A861" s="98">
        <v>43625</v>
      </c>
      <c r="B861" s="11" t="s">
        <v>18</v>
      </c>
      <c r="C861" s="11" t="s">
        <v>452</v>
      </c>
      <c r="D861" s="11" t="s">
        <v>344</v>
      </c>
      <c r="E861" s="11" t="s">
        <v>345</v>
      </c>
      <c r="F861" s="11" t="s">
        <v>78</v>
      </c>
      <c r="G861" s="11" t="s">
        <v>79</v>
      </c>
      <c r="H861" s="12">
        <v>4.71</v>
      </c>
      <c r="I861" s="13"/>
      <c r="J861" s="12">
        <v>0.02</v>
      </c>
      <c r="K861" s="14">
        <v>3</v>
      </c>
      <c r="L861" s="11" t="s">
        <v>605</v>
      </c>
      <c r="M861" s="15" t="s">
        <v>556</v>
      </c>
    </row>
    <row r="862" spans="1:13">
      <c r="A862" s="98">
        <v>43628</v>
      </c>
      <c r="B862" s="11" t="s">
        <v>18</v>
      </c>
      <c r="C862" s="11" t="s">
        <v>452</v>
      </c>
      <c r="D862" s="11" t="s">
        <v>344</v>
      </c>
      <c r="E862" s="11" t="s">
        <v>345</v>
      </c>
      <c r="F862" s="11" t="s">
        <v>78</v>
      </c>
      <c r="G862" s="11" t="s">
        <v>79</v>
      </c>
      <c r="H862" s="12">
        <v>2.94</v>
      </c>
      <c r="I862" s="13"/>
      <c r="J862" s="12">
        <v>0.01</v>
      </c>
      <c r="K862" s="14">
        <v>3</v>
      </c>
      <c r="L862" s="11" t="s">
        <v>608</v>
      </c>
      <c r="M862" s="15" t="s">
        <v>557</v>
      </c>
    </row>
    <row r="863" spans="1:13">
      <c r="A863" s="98">
        <v>43632</v>
      </c>
      <c r="B863" s="11" t="s">
        <v>18</v>
      </c>
      <c r="C863" s="11" t="s">
        <v>452</v>
      </c>
      <c r="D863" s="11" t="s">
        <v>344</v>
      </c>
      <c r="E863" s="11" t="s">
        <v>345</v>
      </c>
      <c r="F863" s="11" t="s">
        <v>78</v>
      </c>
      <c r="G863" s="11" t="s">
        <v>79</v>
      </c>
      <c r="H863" s="12">
        <v>6.94</v>
      </c>
      <c r="I863" s="13"/>
      <c r="J863" s="12">
        <v>0.02</v>
      </c>
      <c r="K863" s="14">
        <v>3</v>
      </c>
      <c r="L863" s="11" t="s">
        <v>605</v>
      </c>
      <c r="M863" s="15" t="s">
        <v>558</v>
      </c>
    </row>
    <row r="864" spans="1:13">
      <c r="A864" s="98">
        <v>43635</v>
      </c>
      <c r="B864" s="11" t="s">
        <v>18</v>
      </c>
      <c r="C864" s="11" t="s">
        <v>452</v>
      </c>
      <c r="D864" s="11" t="s">
        <v>344</v>
      </c>
      <c r="E864" s="11" t="s">
        <v>345</v>
      </c>
      <c r="F864" s="11" t="s">
        <v>78</v>
      </c>
      <c r="G864" s="11" t="s">
        <v>79</v>
      </c>
      <c r="H864" s="12">
        <v>3.65</v>
      </c>
      <c r="I864" s="13"/>
      <c r="J864" s="12">
        <v>0.01</v>
      </c>
      <c r="K864" s="14">
        <v>3</v>
      </c>
      <c r="L864" s="11" t="s">
        <v>608</v>
      </c>
      <c r="M864" s="15" t="s">
        <v>657</v>
      </c>
    </row>
    <row r="865" spans="1:13">
      <c r="A865" s="98">
        <v>43639</v>
      </c>
      <c r="B865" s="11" t="s">
        <v>18</v>
      </c>
      <c r="C865" s="11" t="s">
        <v>452</v>
      </c>
      <c r="D865" s="11" t="s">
        <v>344</v>
      </c>
      <c r="E865" s="11" t="s">
        <v>345</v>
      </c>
      <c r="F865" s="11" t="s">
        <v>78</v>
      </c>
      <c r="G865" s="11" t="s">
        <v>79</v>
      </c>
      <c r="H865" s="12">
        <v>2.4900000000000002</v>
      </c>
      <c r="I865" s="13"/>
      <c r="J865" s="12">
        <v>0.05</v>
      </c>
      <c r="K865" s="14">
        <v>3</v>
      </c>
      <c r="L865" s="11" t="s">
        <v>604</v>
      </c>
      <c r="M865" s="15" t="s">
        <v>658</v>
      </c>
    </row>
    <row r="866" spans="1:13">
      <c r="A866" s="98">
        <v>43642</v>
      </c>
      <c r="B866" s="11" t="s">
        <v>18</v>
      </c>
      <c r="C866" s="11" t="s">
        <v>452</v>
      </c>
      <c r="D866" s="11" t="s">
        <v>344</v>
      </c>
      <c r="E866" s="11" t="s">
        <v>345</v>
      </c>
      <c r="F866" s="11" t="s">
        <v>78</v>
      </c>
      <c r="G866" s="11" t="s">
        <v>79</v>
      </c>
      <c r="H866" s="12">
        <v>3.74</v>
      </c>
      <c r="I866" s="13"/>
      <c r="J866" s="12">
        <v>0.02</v>
      </c>
      <c r="K866" s="14">
        <v>3</v>
      </c>
      <c r="L866" s="11" t="s">
        <v>605</v>
      </c>
      <c r="M866" s="15" t="s">
        <v>659</v>
      </c>
    </row>
    <row r="867" spans="1:13">
      <c r="A867" s="98">
        <v>43646</v>
      </c>
      <c r="B867" s="11" t="s">
        <v>18</v>
      </c>
      <c r="C867" s="11" t="s">
        <v>452</v>
      </c>
      <c r="D867" s="11" t="s">
        <v>344</v>
      </c>
      <c r="E867" s="11" t="s">
        <v>345</v>
      </c>
      <c r="F867" s="11" t="s">
        <v>78</v>
      </c>
      <c r="G867" s="11" t="s">
        <v>79</v>
      </c>
      <c r="H867" s="12">
        <v>4.71</v>
      </c>
      <c r="I867" s="13"/>
      <c r="J867" s="12">
        <v>0.02</v>
      </c>
      <c r="K867" s="14">
        <v>3</v>
      </c>
      <c r="L867" s="11" t="s">
        <v>605</v>
      </c>
      <c r="M867" s="15" t="s">
        <v>660</v>
      </c>
    </row>
    <row r="868" spans="1:13">
      <c r="A868" s="98">
        <v>43649</v>
      </c>
      <c r="B868" s="11" t="s">
        <v>18</v>
      </c>
      <c r="C868" s="11" t="s">
        <v>452</v>
      </c>
      <c r="D868" s="11" t="s">
        <v>344</v>
      </c>
      <c r="E868" s="11" t="s">
        <v>345</v>
      </c>
      <c r="F868" s="11" t="s">
        <v>78</v>
      </c>
      <c r="G868" s="11" t="s">
        <v>79</v>
      </c>
      <c r="H868" s="12">
        <v>4.53</v>
      </c>
      <c r="I868" s="13"/>
      <c r="J868" s="12">
        <v>0.01</v>
      </c>
      <c r="K868" s="14">
        <v>3</v>
      </c>
      <c r="L868" s="11" t="s">
        <v>608</v>
      </c>
      <c r="M868" s="15" t="s">
        <v>661</v>
      </c>
    </row>
    <row r="869" spans="1:13">
      <c r="A869" s="98">
        <v>43655</v>
      </c>
      <c r="B869" s="11" t="s">
        <v>18</v>
      </c>
      <c r="C869" s="11" t="s">
        <v>452</v>
      </c>
      <c r="D869" s="11" t="s">
        <v>344</v>
      </c>
      <c r="E869" s="11" t="s">
        <v>345</v>
      </c>
      <c r="F869" s="11" t="s">
        <v>78</v>
      </c>
      <c r="G869" s="11" t="s">
        <v>79</v>
      </c>
      <c r="H869" s="12">
        <v>1.58</v>
      </c>
      <c r="I869" s="13"/>
      <c r="J869" s="12">
        <v>0.02</v>
      </c>
      <c r="K869" s="14">
        <v>3</v>
      </c>
      <c r="L869" s="11" t="s">
        <v>605</v>
      </c>
      <c r="M869" s="15" t="s">
        <v>662</v>
      </c>
    </row>
    <row r="870" spans="1:13">
      <c r="A870" s="98">
        <v>43658</v>
      </c>
      <c r="B870" s="11" t="s">
        <v>18</v>
      </c>
      <c r="C870" s="11" t="s">
        <v>452</v>
      </c>
      <c r="D870" s="11" t="s">
        <v>344</v>
      </c>
      <c r="E870" s="11" t="s">
        <v>345</v>
      </c>
      <c r="F870" s="11" t="s">
        <v>78</v>
      </c>
      <c r="G870" s="11" t="s">
        <v>79</v>
      </c>
      <c r="H870" s="12">
        <v>5.21</v>
      </c>
      <c r="I870" s="13"/>
      <c r="J870" s="12">
        <v>0.02</v>
      </c>
      <c r="K870" s="14">
        <v>3</v>
      </c>
      <c r="L870" s="11" t="s">
        <v>605</v>
      </c>
      <c r="M870" s="15" t="s">
        <v>663</v>
      </c>
    </row>
    <row r="871" spans="1:13">
      <c r="A871" s="98">
        <v>43662</v>
      </c>
      <c r="B871" s="11" t="s">
        <v>18</v>
      </c>
      <c r="C871" s="11" t="s">
        <v>452</v>
      </c>
      <c r="D871" s="11" t="s">
        <v>344</v>
      </c>
      <c r="E871" s="11" t="s">
        <v>345</v>
      </c>
      <c r="F871" s="11" t="s">
        <v>78</v>
      </c>
      <c r="G871" s="11" t="s">
        <v>79</v>
      </c>
      <c r="H871" s="12">
        <v>4.3600000000000003</v>
      </c>
      <c r="I871" s="13"/>
      <c r="J871" s="12">
        <v>0.01</v>
      </c>
      <c r="K871" s="14">
        <v>3</v>
      </c>
      <c r="L871" s="11" t="s">
        <v>608</v>
      </c>
      <c r="M871" s="15" t="s">
        <v>664</v>
      </c>
    </row>
    <row r="872" spans="1:13">
      <c r="A872" s="98">
        <v>43665</v>
      </c>
      <c r="B872" s="11" t="s">
        <v>18</v>
      </c>
      <c r="C872" s="11" t="s">
        <v>452</v>
      </c>
      <c r="D872" s="11" t="s">
        <v>344</v>
      </c>
      <c r="E872" s="11" t="s">
        <v>345</v>
      </c>
      <c r="F872" s="11" t="s">
        <v>78</v>
      </c>
      <c r="G872" s="11" t="s">
        <v>79</v>
      </c>
      <c r="H872" s="12">
        <v>4.09</v>
      </c>
      <c r="I872" s="13"/>
      <c r="J872" s="12">
        <v>0.02</v>
      </c>
      <c r="K872" s="14">
        <v>3</v>
      </c>
      <c r="L872" s="11" t="s">
        <v>605</v>
      </c>
      <c r="M872" s="15" t="s">
        <v>665</v>
      </c>
    </row>
    <row r="873" spans="1:13">
      <c r="A873" s="98">
        <v>43669</v>
      </c>
      <c r="B873" s="11" t="s">
        <v>18</v>
      </c>
      <c r="C873" s="11" t="s">
        <v>452</v>
      </c>
      <c r="D873" s="11" t="s">
        <v>344</v>
      </c>
      <c r="E873" s="11" t="s">
        <v>345</v>
      </c>
      <c r="F873" s="11" t="s">
        <v>78</v>
      </c>
      <c r="G873" s="11" t="s">
        <v>79</v>
      </c>
      <c r="H873" s="12">
        <v>2.02</v>
      </c>
      <c r="I873" s="13"/>
      <c r="J873" s="12">
        <v>0.02</v>
      </c>
      <c r="K873" s="14">
        <v>3</v>
      </c>
      <c r="L873" s="11" t="s">
        <v>605</v>
      </c>
      <c r="M873" s="15" t="s">
        <v>666</v>
      </c>
    </row>
    <row r="874" spans="1:13">
      <c r="A874" s="98">
        <v>43672</v>
      </c>
      <c r="B874" s="11" t="s">
        <v>18</v>
      </c>
      <c r="C874" s="11" t="s">
        <v>452</v>
      </c>
      <c r="D874" s="11" t="s">
        <v>344</v>
      </c>
      <c r="E874" s="11" t="s">
        <v>345</v>
      </c>
      <c r="F874" s="11" t="s">
        <v>78</v>
      </c>
      <c r="G874" s="11" t="s">
        <v>79</v>
      </c>
      <c r="H874" s="12">
        <v>0.37</v>
      </c>
      <c r="I874" s="13"/>
      <c r="J874" s="12">
        <v>0.02</v>
      </c>
      <c r="K874" s="14">
        <v>3</v>
      </c>
      <c r="L874" s="11" t="s">
        <v>605</v>
      </c>
      <c r="M874" s="15" t="s">
        <v>667</v>
      </c>
    </row>
    <row r="875" spans="1:13">
      <c r="A875" s="98">
        <v>43676</v>
      </c>
      <c r="B875" s="11" t="s">
        <v>18</v>
      </c>
      <c r="C875" s="11" t="s">
        <v>452</v>
      </c>
      <c r="D875" s="11" t="s">
        <v>344</v>
      </c>
      <c r="E875" s="11" t="s">
        <v>345</v>
      </c>
      <c r="F875" s="11" t="s">
        <v>78</v>
      </c>
      <c r="G875" s="11" t="s">
        <v>79</v>
      </c>
      <c r="H875" s="12">
        <v>3.12</v>
      </c>
      <c r="I875" s="13"/>
      <c r="J875" s="12">
        <v>0.01</v>
      </c>
      <c r="K875" s="14">
        <v>3</v>
      </c>
      <c r="L875" s="11" t="s">
        <v>608</v>
      </c>
      <c r="M875" s="15" t="s">
        <v>668</v>
      </c>
    </row>
    <row r="876" spans="1:13">
      <c r="A876" s="98">
        <v>43679</v>
      </c>
      <c r="B876" s="11" t="s">
        <v>18</v>
      </c>
      <c r="C876" s="11" t="s">
        <v>452</v>
      </c>
      <c r="D876" s="11" t="s">
        <v>344</v>
      </c>
      <c r="E876" s="11" t="s">
        <v>345</v>
      </c>
      <c r="F876" s="11" t="s">
        <v>78</v>
      </c>
      <c r="G876" s="11" t="s">
        <v>79</v>
      </c>
      <c r="H876" s="12">
        <v>1.2</v>
      </c>
      <c r="I876" s="13"/>
      <c r="J876" s="12">
        <v>0.01</v>
      </c>
      <c r="K876" s="14">
        <v>3</v>
      </c>
      <c r="L876" s="11" t="s">
        <v>608</v>
      </c>
      <c r="M876" s="15" t="s">
        <v>709</v>
      </c>
    </row>
    <row r="877" spans="1:13">
      <c r="A877" s="98">
        <v>43683</v>
      </c>
      <c r="B877" s="11" t="s">
        <v>18</v>
      </c>
      <c r="C877" s="11" t="s">
        <v>452</v>
      </c>
      <c r="D877" s="11" t="s">
        <v>344</v>
      </c>
      <c r="E877" s="11" t="s">
        <v>345</v>
      </c>
      <c r="F877" s="11" t="s">
        <v>78</v>
      </c>
      <c r="G877" s="11" t="s">
        <v>79</v>
      </c>
      <c r="H877" s="12">
        <v>2.11</v>
      </c>
      <c r="I877" s="13"/>
      <c r="J877" s="12">
        <v>0.01</v>
      </c>
      <c r="K877" s="14">
        <v>3</v>
      </c>
      <c r="L877" s="11" t="s">
        <v>608</v>
      </c>
      <c r="M877" s="15" t="s">
        <v>710</v>
      </c>
    </row>
    <row r="878" spans="1:13">
      <c r="A878" s="98">
        <v>43686</v>
      </c>
      <c r="B878" s="11" t="s">
        <v>18</v>
      </c>
      <c r="C878" s="11" t="s">
        <v>452</v>
      </c>
      <c r="D878" s="11" t="s">
        <v>344</v>
      </c>
      <c r="E878" s="11" t="s">
        <v>345</v>
      </c>
      <c r="F878" s="11" t="s">
        <v>78</v>
      </c>
      <c r="G878" s="11" t="s">
        <v>79</v>
      </c>
      <c r="H878" s="12">
        <v>3.31</v>
      </c>
      <c r="I878" s="13"/>
      <c r="J878" s="12">
        <v>0.01</v>
      </c>
      <c r="K878" s="14">
        <v>3</v>
      </c>
      <c r="L878" s="11" t="s">
        <v>608</v>
      </c>
      <c r="M878" s="15" t="s">
        <v>711</v>
      </c>
    </row>
    <row r="879" spans="1:13">
      <c r="A879" s="98">
        <v>43690</v>
      </c>
      <c r="B879" s="11" t="s">
        <v>18</v>
      </c>
      <c r="C879" s="11" t="s">
        <v>452</v>
      </c>
      <c r="D879" s="11" t="s">
        <v>344</v>
      </c>
      <c r="E879" s="11" t="s">
        <v>345</v>
      </c>
      <c r="F879" s="11" t="s">
        <v>78</v>
      </c>
      <c r="G879" s="11" t="s">
        <v>79</v>
      </c>
      <c r="H879" s="12">
        <v>2.71</v>
      </c>
      <c r="I879" s="13"/>
      <c r="J879" s="12">
        <v>0.01</v>
      </c>
      <c r="K879" s="14">
        <v>3</v>
      </c>
      <c r="L879" s="11" t="s">
        <v>608</v>
      </c>
      <c r="M879" s="15" t="s">
        <v>712</v>
      </c>
    </row>
    <row r="880" spans="1:13">
      <c r="A880" s="98">
        <v>43694</v>
      </c>
      <c r="B880" s="11" t="s">
        <v>18</v>
      </c>
      <c r="C880" s="11" t="s">
        <v>452</v>
      </c>
      <c r="D880" s="11" t="s">
        <v>344</v>
      </c>
      <c r="E880" s="11" t="s">
        <v>345</v>
      </c>
      <c r="F880" s="11" t="s">
        <v>78</v>
      </c>
      <c r="G880" s="11" t="s">
        <v>79</v>
      </c>
      <c r="H880" s="12">
        <v>3.7</v>
      </c>
      <c r="I880" s="13"/>
      <c r="J880" s="12">
        <v>0.01</v>
      </c>
      <c r="K880" s="14">
        <v>3</v>
      </c>
      <c r="L880" s="11" t="s">
        <v>608</v>
      </c>
      <c r="M880" s="15" t="s">
        <v>713</v>
      </c>
    </row>
    <row r="881" spans="1:13">
      <c r="A881" s="98">
        <v>43697</v>
      </c>
      <c r="B881" s="11" t="s">
        <v>18</v>
      </c>
      <c r="C881" s="11" t="s">
        <v>452</v>
      </c>
      <c r="D881" s="11" t="s">
        <v>344</v>
      </c>
      <c r="E881" s="11" t="s">
        <v>345</v>
      </c>
      <c r="F881" s="11" t="s">
        <v>78</v>
      </c>
      <c r="G881" s="11" t="s">
        <v>79</v>
      </c>
      <c r="H881" s="12">
        <v>1.71</v>
      </c>
      <c r="I881" s="13"/>
      <c r="J881" s="12">
        <v>0.01</v>
      </c>
      <c r="K881" s="14">
        <v>3</v>
      </c>
      <c r="L881" s="11" t="s">
        <v>608</v>
      </c>
      <c r="M881" s="15" t="s">
        <v>714</v>
      </c>
    </row>
    <row r="882" spans="1:13">
      <c r="A882" s="98">
        <v>43701</v>
      </c>
      <c r="B882" s="11" t="s">
        <v>18</v>
      </c>
      <c r="C882" s="11" t="s">
        <v>452</v>
      </c>
      <c r="D882" s="11" t="s">
        <v>344</v>
      </c>
      <c r="E882" s="11" t="s">
        <v>345</v>
      </c>
      <c r="F882" s="11" t="s">
        <v>78</v>
      </c>
      <c r="G882" s="11" t="s">
        <v>79</v>
      </c>
      <c r="H882" s="12">
        <v>2.9</v>
      </c>
      <c r="I882" s="13"/>
      <c r="J882" s="12">
        <v>0.01</v>
      </c>
      <c r="K882" s="14">
        <v>3</v>
      </c>
      <c r="L882" s="11" t="s">
        <v>608</v>
      </c>
      <c r="M882" s="15" t="s">
        <v>715</v>
      </c>
    </row>
    <row r="883" spans="1:13">
      <c r="A883" s="98">
        <v>43704</v>
      </c>
      <c r="B883" s="11" t="s">
        <v>18</v>
      </c>
      <c r="C883" s="11" t="s">
        <v>452</v>
      </c>
      <c r="D883" s="11" t="s">
        <v>344</v>
      </c>
      <c r="E883" s="11" t="s">
        <v>345</v>
      </c>
      <c r="F883" s="11" t="s">
        <v>78</v>
      </c>
      <c r="G883" s="11" t="s">
        <v>79</v>
      </c>
      <c r="H883" s="12">
        <v>1.84</v>
      </c>
      <c r="I883" s="13"/>
      <c r="J883" s="12">
        <v>0.01</v>
      </c>
      <c r="K883" s="14">
        <v>3</v>
      </c>
      <c r="L883" s="11" t="s">
        <v>608</v>
      </c>
      <c r="M883" s="15" t="s">
        <v>716</v>
      </c>
    </row>
    <row r="884" spans="1:13">
      <c r="A884" s="98">
        <v>43708</v>
      </c>
      <c r="B884" s="11" t="s">
        <v>18</v>
      </c>
      <c r="C884" s="11" t="s">
        <v>452</v>
      </c>
      <c r="D884" s="11" t="s">
        <v>344</v>
      </c>
      <c r="E884" s="11" t="s">
        <v>345</v>
      </c>
      <c r="F884" s="11" t="s">
        <v>78</v>
      </c>
      <c r="G884" s="11" t="s">
        <v>79</v>
      </c>
      <c r="H884" s="12">
        <v>2.37</v>
      </c>
      <c r="I884" s="13"/>
      <c r="J884" s="12">
        <v>0.01</v>
      </c>
      <c r="K884" s="14">
        <v>3</v>
      </c>
      <c r="L884" s="11" t="s">
        <v>608</v>
      </c>
      <c r="M884" s="15" t="s">
        <v>717</v>
      </c>
    </row>
    <row r="885" spans="1:13">
      <c r="A885" s="98">
        <v>43356</v>
      </c>
      <c r="B885" s="11" t="s">
        <v>559</v>
      </c>
      <c r="C885" s="11" t="s">
        <v>560</v>
      </c>
      <c r="D885" s="11" t="s">
        <v>77</v>
      </c>
      <c r="E885" s="11" t="s">
        <v>5</v>
      </c>
      <c r="F885" s="11" t="s">
        <v>78</v>
      </c>
      <c r="G885" s="11" t="s">
        <v>79</v>
      </c>
      <c r="H885" s="12">
        <v>0.09</v>
      </c>
      <c r="I885" s="13" t="s">
        <v>561</v>
      </c>
      <c r="J885" s="12">
        <v>0.05</v>
      </c>
      <c r="K885" s="14">
        <v>3</v>
      </c>
      <c r="L885" s="11" t="s">
        <v>604</v>
      </c>
      <c r="M885" s="15" t="s">
        <v>562</v>
      </c>
    </row>
    <row r="886" spans="1:13">
      <c r="A886" s="98">
        <v>43359</v>
      </c>
      <c r="B886" s="11" t="s">
        <v>559</v>
      </c>
      <c r="C886" s="11" t="s">
        <v>560</v>
      </c>
      <c r="D886" s="11" t="s">
        <v>77</v>
      </c>
      <c r="E886" s="11" t="s">
        <v>5</v>
      </c>
      <c r="F886" s="11" t="s">
        <v>78</v>
      </c>
      <c r="G886" s="11" t="s">
        <v>79</v>
      </c>
      <c r="H886" s="12">
        <v>0.39</v>
      </c>
      <c r="I886" s="13" t="s">
        <v>561</v>
      </c>
      <c r="J886" s="12">
        <v>0.05</v>
      </c>
      <c r="K886" s="14">
        <v>3</v>
      </c>
      <c r="L886" s="11" t="s">
        <v>604</v>
      </c>
      <c r="M886" s="15" t="s">
        <v>563</v>
      </c>
    </row>
    <row r="887" spans="1:13">
      <c r="A887" s="98">
        <v>43361</v>
      </c>
      <c r="B887" s="11" t="s">
        <v>559</v>
      </c>
      <c r="C887" s="11" t="s">
        <v>560</v>
      </c>
      <c r="D887" s="11" t="s">
        <v>77</v>
      </c>
      <c r="E887" s="11" t="s">
        <v>5</v>
      </c>
      <c r="F887" s="11" t="s">
        <v>78</v>
      </c>
      <c r="G887" s="11" t="s">
        <v>79</v>
      </c>
      <c r="H887" s="12">
        <v>0.05</v>
      </c>
      <c r="I887" s="13" t="s">
        <v>561</v>
      </c>
      <c r="J887" s="12">
        <v>0.05</v>
      </c>
      <c r="K887" s="14">
        <v>3</v>
      </c>
      <c r="L887" s="11" t="s">
        <v>604</v>
      </c>
      <c r="M887" s="15" t="s">
        <v>564</v>
      </c>
    </row>
    <row r="888" spans="1:13">
      <c r="A888" s="98">
        <v>43377</v>
      </c>
      <c r="B888" s="11" t="s">
        <v>559</v>
      </c>
      <c r="C888" s="11" t="s">
        <v>560</v>
      </c>
      <c r="D888" s="11" t="s">
        <v>77</v>
      </c>
      <c r="E888" s="11" t="s">
        <v>5</v>
      </c>
      <c r="F888" s="11" t="s">
        <v>78</v>
      </c>
      <c r="G888" s="11" t="s">
        <v>79</v>
      </c>
      <c r="H888" s="12">
        <v>0.27</v>
      </c>
      <c r="I888" s="13" t="s">
        <v>561</v>
      </c>
      <c r="J888" s="12">
        <v>0.05</v>
      </c>
      <c r="K888" s="14">
        <v>3</v>
      </c>
      <c r="L888" s="11" t="s">
        <v>604</v>
      </c>
      <c r="M888" s="15" t="s">
        <v>565</v>
      </c>
    </row>
    <row r="889" spans="1:13">
      <c r="A889" s="98">
        <v>43380</v>
      </c>
      <c r="B889" s="11" t="s">
        <v>559</v>
      </c>
      <c r="C889" s="11" t="s">
        <v>560</v>
      </c>
      <c r="D889" s="11" t="s">
        <v>77</v>
      </c>
      <c r="E889" s="11" t="s">
        <v>5</v>
      </c>
      <c r="F889" s="11" t="s">
        <v>78</v>
      </c>
      <c r="G889" s="11" t="s">
        <v>79</v>
      </c>
      <c r="H889" s="12">
        <v>0.73</v>
      </c>
      <c r="I889" s="13" t="s">
        <v>561</v>
      </c>
      <c r="J889" s="12">
        <v>0.05</v>
      </c>
      <c r="K889" s="14">
        <v>3</v>
      </c>
      <c r="L889" s="11" t="s">
        <v>604</v>
      </c>
      <c r="M889" s="15" t="s">
        <v>566</v>
      </c>
    </row>
    <row r="890" spans="1:13">
      <c r="A890" s="98">
        <v>43381</v>
      </c>
      <c r="B890" s="11" t="s">
        <v>559</v>
      </c>
      <c r="C890" s="11" t="s">
        <v>560</v>
      </c>
      <c r="D890" s="11" t="s">
        <v>77</v>
      </c>
      <c r="E890" s="11" t="s">
        <v>5</v>
      </c>
      <c r="F890" s="11" t="s">
        <v>78</v>
      </c>
      <c r="G890" s="11" t="s">
        <v>79</v>
      </c>
      <c r="H890" s="12">
        <v>0.53</v>
      </c>
      <c r="I890" s="13" t="s">
        <v>561</v>
      </c>
      <c r="J890" s="12">
        <v>0.05</v>
      </c>
      <c r="K890" s="14">
        <v>3</v>
      </c>
      <c r="L890" s="11" t="s">
        <v>604</v>
      </c>
      <c r="M890" s="15" t="s">
        <v>567</v>
      </c>
    </row>
    <row r="891" spans="1:13">
      <c r="A891" s="98">
        <v>43382</v>
      </c>
      <c r="B891" s="11" t="s">
        <v>559</v>
      </c>
      <c r="C891" s="11" t="s">
        <v>560</v>
      </c>
      <c r="D891" s="11" t="s">
        <v>77</v>
      </c>
      <c r="E891" s="11" t="s">
        <v>5</v>
      </c>
      <c r="F891" s="11" t="s">
        <v>78</v>
      </c>
      <c r="G891" s="11" t="s">
        <v>79</v>
      </c>
      <c r="H891" s="12">
        <v>0.22</v>
      </c>
      <c r="I891" s="13" t="s">
        <v>561</v>
      </c>
      <c r="J891" s="12">
        <v>0.05</v>
      </c>
      <c r="K891" s="14">
        <v>3</v>
      </c>
      <c r="L891" s="11" t="s">
        <v>604</v>
      </c>
      <c r="M891" s="15" t="s">
        <v>568</v>
      </c>
    </row>
    <row r="892" spans="1:13">
      <c r="A892" s="98">
        <v>43475</v>
      </c>
      <c r="B892" s="11" t="s">
        <v>559</v>
      </c>
      <c r="C892" s="11" t="s">
        <v>560</v>
      </c>
      <c r="D892" s="11" t="s">
        <v>77</v>
      </c>
      <c r="E892" s="11" t="s">
        <v>5</v>
      </c>
      <c r="F892" s="11" t="s">
        <v>78</v>
      </c>
      <c r="G892" s="11" t="s">
        <v>79</v>
      </c>
      <c r="H892" s="12">
        <v>0.22</v>
      </c>
      <c r="I892" s="13" t="s">
        <v>561</v>
      </c>
      <c r="J892" s="12">
        <v>0.05</v>
      </c>
      <c r="K892" s="14">
        <v>3</v>
      </c>
      <c r="L892" s="11" t="s">
        <v>604</v>
      </c>
      <c r="M892" s="15" t="s">
        <v>569</v>
      </c>
    </row>
    <row r="893" spans="1:13">
      <c r="A893" s="98">
        <v>43477</v>
      </c>
      <c r="B893" s="11" t="s">
        <v>559</v>
      </c>
      <c r="C893" s="11" t="s">
        <v>560</v>
      </c>
      <c r="D893" s="11" t="s">
        <v>77</v>
      </c>
      <c r="E893" s="11" t="s">
        <v>5</v>
      </c>
      <c r="F893" s="11" t="s">
        <v>78</v>
      </c>
      <c r="G893" s="11" t="s">
        <v>79</v>
      </c>
      <c r="H893" s="12">
        <v>0.6</v>
      </c>
      <c r="I893" s="13" t="s">
        <v>561</v>
      </c>
      <c r="J893" s="12">
        <v>0.05</v>
      </c>
      <c r="K893" s="14">
        <v>3</v>
      </c>
      <c r="L893" s="11" t="s">
        <v>604</v>
      </c>
      <c r="M893" s="15" t="s">
        <v>570</v>
      </c>
    </row>
    <row r="894" spans="1:13">
      <c r="A894" s="98">
        <v>43478</v>
      </c>
      <c r="B894" s="11" t="s">
        <v>559</v>
      </c>
      <c r="C894" s="11" t="s">
        <v>560</v>
      </c>
      <c r="D894" s="11" t="s">
        <v>77</v>
      </c>
      <c r="E894" s="11" t="s">
        <v>5</v>
      </c>
      <c r="F894" s="11" t="s">
        <v>78</v>
      </c>
      <c r="G894" s="11" t="s">
        <v>79</v>
      </c>
      <c r="H894" s="12">
        <v>0.48</v>
      </c>
      <c r="I894" s="13" t="s">
        <v>561</v>
      </c>
      <c r="J894" s="12">
        <v>0.05</v>
      </c>
      <c r="K894" s="14">
        <v>3</v>
      </c>
      <c r="L894" s="11" t="s">
        <v>604</v>
      </c>
      <c r="M894" s="15" t="s">
        <v>571</v>
      </c>
    </row>
    <row r="895" spans="1:13">
      <c r="A895" s="98">
        <v>43480</v>
      </c>
      <c r="B895" s="11" t="s">
        <v>559</v>
      </c>
      <c r="C895" s="11" t="s">
        <v>560</v>
      </c>
      <c r="D895" s="11" t="s">
        <v>77</v>
      </c>
      <c r="E895" s="11" t="s">
        <v>5</v>
      </c>
      <c r="F895" s="11" t="s">
        <v>78</v>
      </c>
      <c r="G895" s="11" t="s">
        <v>79</v>
      </c>
      <c r="H895" s="12">
        <v>0.13</v>
      </c>
      <c r="I895" s="13" t="s">
        <v>561</v>
      </c>
      <c r="J895" s="12">
        <v>0.05</v>
      </c>
      <c r="K895" s="14">
        <v>3</v>
      </c>
      <c r="L895" s="11" t="s">
        <v>604</v>
      </c>
      <c r="M895" s="15" t="s">
        <v>572</v>
      </c>
    </row>
    <row r="896" spans="1:13">
      <c r="A896" s="98">
        <v>43579</v>
      </c>
      <c r="B896" s="11" t="s">
        <v>559</v>
      </c>
      <c r="C896" s="11" t="s">
        <v>560</v>
      </c>
      <c r="D896" s="11" t="s">
        <v>77</v>
      </c>
      <c r="E896" s="11" t="s">
        <v>5</v>
      </c>
      <c r="F896" s="11" t="s">
        <v>78</v>
      </c>
      <c r="G896" s="11" t="s">
        <v>79</v>
      </c>
      <c r="H896" s="12">
        <v>1.47</v>
      </c>
      <c r="I896" s="13" t="s">
        <v>561</v>
      </c>
      <c r="J896" s="12">
        <v>0.05</v>
      </c>
      <c r="K896" s="14">
        <v>3</v>
      </c>
      <c r="L896" s="11" t="s">
        <v>604</v>
      </c>
      <c r="M896" s="15" t="s">
        <v>573</v>
      </c>
    </row>
    <row r="897" spans="1:13">
      <c r="A897" s="98">
        <v>43581</v>
      </c>
      <c r="B897" s="11" t="s">
        <v>559</v>
      </c>
      <c r="C897" s="11" t="s">
        <v>560</v>
      </c>
      <c r="D897" s="11" t="s">
        <v>77</v>
      </c>
      <c r="E897" s="11" t="s">
        <v>5</v>
      </c>
      <c r="F897" s="11" t="s">
        <v>78</v>
      </c>
      <c r="G897" s="11" t="s">
        <v>79</v>
      </c>
      <c r="H897" s="12">
        <v>0.86</v>
      </c>
      <c r="I897" s="13" t="s">
        <v>561</v>
      </c>
      <c r="J897" s="12">
        <v>0.05</v>
      </c>
      <c r="K897" s="14">
        <v>3</v>
      </c>
      <c r="L897" s="11" t="s">
        <v>604</v>
      </c>
      <c r="M897" s="15" t="s">
        <v>574</v>
      </c>
    </row>
    <row r="898" spans="1:13">
      <c r="A898" s="98">
        <v>43583</v>
      </c>
      <c r="B898" s="11" t="s">
        <v>559</v>
      </c>
      <c r="C898" s="11" t="s">
        <v>560</v>
      </c>
      <c r="D898" s="11" t="s">
        <v>77</v>
      </c>
      <c r="E898" s="11" t="s">
        <v>5</v>
      </c>
      <c r="F898" s="11" t="s">
        <v>78</v>
      </c>
      <c r="G898" s="11" t="s">
        <v>79</v>
      </c>
      <c r="H898" s="12">
        <v>0.67</v>
      </c>
      <c r="I898" s="13" t="s">
        <v>561</v>
      </c>
      <c r="J898" s="12">
        <v>0.05</v>
      </c>
      <c r="K898" s="14">
        <v>3</v>
      </c>
      <c r="L898" s="11" t="s">
        <v>604</v>
      </c>
      <c r="M898" s="15" t="s">
        <v>575</v>
      </c>
    </row>
    <row r="899" spans="1:13">
      <c r="A899" s="98">
        <v>43655</v>
      </c>
      <c r="B899" s="11" t="s">
        <v>559</v>
      </c>
      <c r="C899" s="11" t="s">
        <v>560</v>
      </c>
      <c r="D899" s="11" t="s">
        <v>77</v>
      </c>
      <c r="E899" s="11" t="s">
        <v>5</v>
      </c>
      <c r="F899" s="11" t="s">
        <v>78</v>
      </c>
      <c r="G899" s="11" t="s">
        <v>79</v>
      </c>
      <c r="H899" s="12">
        <v>1.58</v>
      </c>
      <c r="I899" s="13" t="s">
        <v>561</v>
      </c>
      <c r="J899" s="12">
        <v>0.05</v>
      </c>
      <c r="K899" s="14">
        <v>3</v>
      </c>
      <c r="L899" s="11" t="s">
        <v>604</v>
      </c>
      <c r="M899" s="15" t="s">
        <v>669</v>
      </c>
    </row>
    <row r="900" spans="1:13">
      <c r="A900" s="98">
        <v>43657</v>
      </c>
      <c r="B900" s="11" t="s">
        <v>559</v>
      </c>
      <c r="C900" s="11" t="s">
        <v>560</v>
      </c>
      <c r="D900" s="11" t="s">
        <v>77</v>
      </c>
      <c r="E900" s="11" t="s">
        <v>5</v>
      </c>
      <c r="F900" s="11" t="s">
        <v>78</v>
      </c>
      <c r="G900" s="11" t="s">
        <v>79</v>
      </c>
      <c r="H900" s="12">
        <v>1.34</v>
      </c>
      <c r="I900" s="13" t="s">
        <v>561</v>
      </c>
      <c r="J900" s="12">
        <v>0.05</v>
      </c>
      <c r="K900" s="14">
        <v>3</v>
      </c>
      <c r="L900" s="11" t="s">
        <v>604</v>
      </c>
      <c r="M900" s="15" t="s">
        <v>670</v>
      </c>
    </row>
    <row r="901" spans="1:13">
      <c r="A901" s="98">
        <v>43660</v>
      </c>
      <c r="B901" s="11" t="s">
        <v>559</v>
      </c>
      <c r="C901" s="11" t="s">
        <v>560</v>
      </c>
      <c r="D901" s="11" t="s">
        <v>77</v>
      </c>
      <c r="E901" s="11" t="s">
        <v>5</v>
      </c>
      <c r="F901" s="11" t="s">
        <v>78</v>
      </c>
      <c r="G901" s="11" t="s">
        <v>79</v>
      </c>
      <c r="H901" s="12">
        <v>1.59</v>
      </c>
      <c r="I901" s="13" t="s">
        <v>561</v>
      </c>
      <c r="J901" s="12">
        <v>0.05</v>
      </c>
      <c r="K901" s="14">
        <v>3</v>
      </c>
      <c r="L901" s="11" t="s">
        <v>604</v>
      </c>
      <c r="M901" s="15" t="s">
        <v>671</v>
      </c>
    </row>
  </sheetData>
  <autoFilter ref="A2:M901"/>
  <mergeCells count="2">
    <mergeCell ref="A1:G1"/>
    <mergeCell ref="I1:M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mdBtnParameters">
              <controlPr defaultSize="0" print="0" autoFill="0" autoPict="0" macro="_xll.btnViewParameters_Click">
                <anchor moveWithCells="1" sizeWithCells="1">
                  <from>
                    <xdr:col>7</xdr:col>
                    <xdr:colOff>57150</xdr:colOff>
                    <xdr:row>0</xdr:row>
                    <xdr:rowOff>57150</xdr:rowOff>
                  </from>
                  <to>
                    <xdr:col>7</xdr:col>
                    <xdr:colOff>1200150</xdr:colOff>
                    <xdr:row>0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BA732"/>
  <sheetViews>
    <sheetView workbookViewId="0">
      <pane ySplit="2" topLeftCell="A3" activePane="bottomLeft" state="frozen"/>
      <selection pane="bottomLeft" activeCell="A2" sqref="A2:F732"/>
    </sheetView>
  </sheetViews>
  <sheetFormatPr defaultRowHeight="15"/>
  <cols>
    <col min="1" max="1" width="11.7109375" bestFit="1" customWidth="1"/>
    <col min="2" max="2" width="6.140625" bestFit="1" customWidth="1"/>
    <col min="3" max="3" width="20" bestFit="1" customWidth="1"/>
    <col min="4" max="4" width="9.85546875" bestFit="1" customWidth="1"/>
    <col min="5" max="5" width="15" bestFit="1" customWidth="1"/>
    <col min="6" max="6" width="9.5703125" bestFit="1" customWidth="1"/>
    <col min="8" max="8" width="19" customWidth="1"/>
    <col min="16277" max="16277" width="0" hidden="1" customWidth="1"/>
  </cols>
  <sheetData>
    <row r="1" spans="1:9 16277:16277" ht="24.95" customHeight="1">
      <c r="A1" s="140" t="s">
        <v>590</v>
      </c>
      <c r="B1" s="140"/>
      <c r="C1" s="140"/>
      <c r="D1" s="140"/>
      <c r="E1" s="140"/>
      <c r="F1" s="140"/>
      <c r="G1" s="140"/>
      <c r="H1" s="16"/>
      <c r="I1" s="106"/>
      <c r="XBA1">
        <v>4173</v>
      </c>
    </row>
    <row r="2" spans="1:9 16277:16277" s="10" customFormat="1">
      <c r="A2" s="33" t="s">
        <v>593</v>
      </c>
      <c r="B2" s="22" t="s">
        <v>584</v>
      </c>
      <c r="C2" s="18" t="s">
        <v>594</v>
      </c>
      <c r="D2" s="19" t="s">
        <v>583</v>
      </c>
      <c r="E2" s="18" t="s">
        <v>595</v>
      </c>
      <c r="F2" s="105" t="s">
        <v>596</v>
      </c>
      <c r="G2" s="32"/>
      <c r="H2" s="32"/>
      <c r="I2" s="32"/>
    </row>
    <row r="3" spans="1:9 16277:16277">
      <c r="A3" s="30">
        <v>43344</v>
      </c>
      <c r="B3" s="11" t="s">
        <v>585</v>
      </c>
      <c r="C3" s="11" t="s">
        <v>597</v>
      </c>
      <c r="D3" s="12">
        <v>48.995699999999999</v>
      </c>
      <c r="E3" s="11" t="s">
        <v>598</v>
      </c>
      <c r="F3" s="31">
        <v>0</v>
      </c>
      <c r="I3" s="106"/>
    </row>
    <row r="4" spans="1:9 16277:16277">
      <c r="A4" s="30">
        <v>43345</v>
      </c>
      <c r="B4" s="11" t="s">
        <v>585</v>
      </c>
      <c r="C4" s="11" t="s">
        <v>597</v>
      </c>
      <c r="D4" s="12">
        <v>48.726399999999998</v>
      </c>
      <c r="E4" s="11" t="s">
        <v>598</v>
      </c>
      <c r="F4" s="31">
        <v>0</v>
      </c>
      <c r="I4" s="106"/>
    </row>
    <row r="5" spans="1:9 16277:16277">
      <c r="A5" s="30">
        <v>43346</v>
      </c>
      <c r="B5" s="11" t="s">
        <v>585</v>
      </c>
      <c r="C5" s="11" t="s">
        <v>597</v>
      </c>
      <c r="D5" s="12">
        <v>51.500300000000003</v>
      </c>
      <c r="E5" s="11" t="s">
        <v>598</v>
      </c>
      <c r="F5" s="31">
        <v>0</v>
      </c>
      <c r="I5" s="106"/>
    </row>
    <row r="6" spans="1:9 16277:16277">
      <c r="A6" s="30">
        <v>43347</v>
      </c>
      <c r="B6" s="11" t="s">
        <v>585</v>
      </c>
      <c r="C6" s="11" t="s">
        <v>597</v>
      </c>
      <c r="D6" s="12">
        <v>45.305100000000003</v>
      </c>
      <c r="E6" s="11" t="s">
        <v>598</v>
      </c>
      <c r="F6" s="31">
        <v>0</v>
      </c>
      <c r="I6" s="106"/>
    </row>
    <row r="7" spans="1:9 16277:16277">
      <c r="A7" s="30">
        <v>43348</v>
      </c>
      <c r="B7" s="11" t="s">
        <v>585</v>
      </c>
      <c r="C7" s="11" t="s">
        <v>597</v>
      </c>
      <c r="D7" s="12">
        <v>60.033000000000001</v>
      </c>
      <c r="E7" s="11" t="s">
        <v>598</v>
      </c>
      <c r="F7" s="31">
        <v>0</v>
      </c>
      <c r="I7" s="106"/>
    </row>
    <row r="8" spans="1:9 16277:16277">
      <c r="A8" s="30">
        <v>43349</v>
      </c>
      <c r="B8" s="11" t="s">
        <v>585</v>
      </c>
      <c r="C8" s="11" t="s">
        <v>597</v>
      </c>
      <c r="D8" s="12">
        <v>52.708599999999997</v>
      </c>
      <c r="E8" s="11" t="s">
        <v>598</v>
      </c>
      <c r="F8" s="31">
        <v>0</v>
      </c>
      <c r="I8" s="106"/>
    </row>
    <row r="9" spans="1:9 16277:16277">
      <c r="A9" s="30">
        <v>43350</v>
      </c>
      <c r="B9" s="11" t="s">
        <v>585</v>
      </c>
      <c r="C9" s="11" t="s">
        <v>597</v>
      </c>
      <c r="D9" s="12">
        <v>55.737200000000001</v>
      </c>
      <c r="E9" s="11" t="s">
        <v>598</v>
      </c>
      <c r="F9" s="31">
        <v>0</v>
      </c>
      <c r="I9" s="106"/>
    </row>
    <row r="10" spans="1:9 16277:16277">
      <c r="A10" s="30">
        <v>43351</v>
      </c>
      <c r="B10" s="11" t="s">
        <v>585</v>
      </c>
      <c r="C10" s="11" t="s">
        <v>597</v>
      </c>
      <c r="D10" s="12">
        <v>53.907299999999999</v>
      </c>
      <c r="E10" s="11" t="s">
        <v>598</v>
      </c>
      <c r="F10" s="31">
        <v>0</v>
      </c>
    </row>
    <row r="11" spans="1:9 16277:16277">
      <c r="A11" s="30">
        <v>43352</v>
      </c>
      <c r="B11" s="11" t="s">
        <v>585</v>
      </c>
      <c r="C11" s="11" t="s">
        <v>597</v>
      </c>
      <c r="D11" s="12">
        <v>56.174300000000002</v>
      </c>
      <c r="E11" s="11" t="s">
        <v>598</v>
      </c>
      <c r="F11" s="31">
        <v>0</v>
      </c>
    </row>
    <row r="12" spans="1:9 16277:16277">
      <c r="A12" s="30">
        <v>43353</v>
      </c>
      <c r="B12" s="11" t="s">
        <v>585</v>
      </c>
      <c r="C12" s="11" t="s">
        <v>597</v>
      </c>
      <c r="D12" s="12">
        <v>52.4133</v>
      </c>
      <c r="E12" s="11" t="s">
        <v>598</v>
      </c>
      <c r="F12" s="31">
        <v>0</v>
      </c>
    </row>
    <row r="13" spans="1:9 16277:16277">
      <c r="A13" s="30">
        <v>43354</v>
      </c>
      <c r="B13" s="11" t="s">
        <v>585</v>
      </c>
      <c r="C13" s="11" t="s">
        <v>597</v>
      </c>
      <c r="D13" s="12">
        <v>51.781999999999996</v>
      </c>
      <c r="E13" s="11" t="s">
        <v>598</v>
      </c>
      <c r="F13" s="31">
        <v>0</v>
      </c>
    </row>
    <row r="14" spans="1:9 16277:16277">
      <c r="A14" s="30">
        <v>43355</v>
      </c>
      <c r="B14" s="11" t="s">
        <v>585</v>
      </c>
      <c r="C14" s="11" t="s">
        <v>597</v>
      </c>
      <c r="D14" s="12">
        <v>51.227699999999999</v>
      </c>
      <c r="E14" s="11" t="s">
        <v>598</v>
      </c>
      <c r="F14" s="31">
        <v>0</v>
      </c>
    </row>
    <row r="15" spans="1:9 16277:16277">
      <c r="A15" s="30">
        <v>43356</v>
      </c>
      <c r="B15" s="11" t="s">
        <v>585</v>
      </c>
      <c r="C15" s="11" t="s">
        <v>597</v>
      </c>
      <c r="D15" s="12">
        <v>49.626800000000003</v>
      </c>
      <c r="E15" s="11" t="s">
        <v>598</v>
      </c>
      <c r="F15" s="31">
        <v>0</v>
      </c>
    </row>
    <row r="16" spans="1:9 16277:16277">
      <c r="A16" s="30">
        <v>43357</v>
      </c>
      <c r="B16" s="11" t="s">
        <v>585</v>
      </c>
      <c r="C16" s="11" t="s">
        <v>597</v>
      </c>
      <c r="D16" s="12">
        <v>45.818600000000004</v>
      </c>
      <c r="E16" s="11" t="s">
        <v>598</v>
      </c>
      <c r="F16" s="31">
        <v>0</v>
      </c>
    </row>
    <row r="17" spans="1:6">
      <c r="A17" s="30">
        <v>43358</v>
      </c>
      <c r="B17" s="11" t="s">
        <v>585</v>
      </c>
      <c r="C17" s="11" t="s">
        <v>597</v>
      </c>
      <c r="D17" s="12">
        <v>48.984400000000001</v>
      </c>
      <c r="E17" s="11" t="s">
        <v>598</v>
      </c>
      <c r="F17" s="31">
        <v>0</v>
      </c>
    </row>
    <row r="18" spans="1:6">
      <c r="A18" s="30">
        <v>43359</v>
      </c>
      <c r="B18" s="11" t="s">
        <v>585</v>
      </c>
      <c r="C18" s="11" t="s">
        <v>597</v>
      </c>
      <c r="D18" s="12">
        <v>49.375100000000003</v>
      </c>
      <c r="E18" s="11" t="s">
        <v>598</v>
      </c>
      <c r="F18" s="31">
        <v>0</v>
      </c>
    </row>
    <row r="19" spans="1:6">
      <c r="A19" s="30">
        <v>43360</v>
      </c>
      <c r="B19" s="11" t="s">
        <v>585</v>
      </c>
      <c r="C19" s="11" t="s">
        <v>597</v>
      </c>
      <c r="D19" s="12">
        <v>49.522300000000001</v>
      </c>
      <c r="E19" s="11" t="s">
        <v>598</v>
      </c>
      <c r="F19" s="31">
        <v>0</v>
      </c>
    </row>
    <row r="20" spans="1:6">
      <c r="A20" s="30">
        <v>43361</v>
      </c>
      <c r="B20" s="11" t="s">
        <v>585</v>
      </c>
      <c r="C20" s="11" t="s">
        <v>597</v>
      </c>
      <c r="D20" s="12">
        <v>46.387</v>
      </c>
      <c r="E20" s="11" t="s">
        <v>598</v>
      </c>
      <c r="F20" s="31">
        <v>0</v>
      </c>
    </row>
    <row r="21" spans="1:6">
      <c r="A21" s="30">
        <v>43362</v>
      </c>
      <c r="B21" s="11" t="s">
        <v>585</v>
      </c>
      <c r="C21" s="11" t="s">
        <v>597</v>
      </c>
      <c r="D21" s="12">
        <v>48.722299999999997</v>
      </c>
      <c r="E21" s="11" t="s">
        <v>598</v>
      </c>
      <c r="F21" s="31">
        <v>0</v>
      </c>
    </row>
    <row r="22" spans="1:6">
      <c r="A22" s="30">
        <v>43363</v>
      </c>
      <c r="B22" s="11" t="s">
        <v>585</v>
      </c>
      <c r="C22" s="11" t="s">
        <v>597</v>
      </c>
      <c r="D22" s="12">
        <v>45.686199999999999</v>
      </c>
      <c r="E22" s="11" t="s">
        <v>598</v>
      </c>
      <c r="F22" s="31">
        <v>0</v>
      </c>
    </row>
    <row r="23" spans="1:6">
      <c r="A23" s="30">
        <v>43364</v>
      </c>
      <c r="B23" s="11" t="s">
        <v>585</v>
      </c>
      <c r="C23" s="11" t="s">
        <v>597</v>
      </c>
      <c r="D23" s="12">
        <v>42.522399999999998</v>
      </c>
      <c r="E23" s="11" t="s">
        <v>598</v>
      </c>
      <c r="F23" s="31">
        <v>0</v>
      </c>
    </row>
    <row r="24" spans="1:6">
      <c r="A24" s="30">
        <v>43365</v>
      </c>
      <c r="B24" s="11" t="s">
        <v>585</v>
      </c>
      <c r="C24" s="11" t="s">
        <v>597</v>
      </c>
      <c r="D24" s="12">
        <v>48.0229</v>
      </c>
      <c r="E24" s="11" t="s">
        <v>598</v>
      </c>
      <c r="F24" s="31">
        <v>0</v>
      </c>
    </row>
    <row r="25" spans="1:6">
      <c r="A25" s="30">
        <v>43366</v>
      </c>
      <c r="B25" s="11" t="s">
        <v>585</v>
      </c>
      <c r="C25" s="11" t="s">
        <v>597</v>
      </c>
      <c r="D25" s="12">
        <v>49.2136</v>
      </c>
      <c r="E25" s="11" t="s">
        <v>598</v>
      </c>
      <c r="F25" s="31">
        <v>0</v>
      </c>
    </row>
    <row r="26" spans="1:6">
      <c r="A26" s="30">
        <v>43367</v>
      </c>
      <c r="B26" s="11" t="s">
        <v>585</v>
      </c>
      <c r="C26" s="11" t="s">
        <v>597</v>
      </c>
      <c r="D26" s="12">
        <v>43.970500000000001</v>
      </c>
      <c r="E26" s="11" t="s">
        <v>598</v>
      </c>
      <c r="F26" s="31">
        <v>0</v>
      </c>
    </row>
    <row r="27" spans="1:6">
      <c r="A27" s="30">
        <v>43368</v>
      </c>
      <c r="B27" s="11" t="s">
        <v>585</v>
      </c>
      <c r="C27" s="11" t="s">
        <v>597</v>
      </c>
      <c r="D27" s="12">
        <v>42.515700000000002</v>
      </c>
      <c r="E27" s="11" t="s">
        <v>598</v>
      </c>
      <c r="F27" s="31">
        <v>0</v>
      </c>
    </row>
    <row r="28" spans="1:6">
      <c r="A28" s="30">
        <v>43369</v>
      </c>
      <c r="B28" s="11" t="s">
        <v>585</v>
      </c>
      <c r="C28" s="11" t="s">
        <v>597</v>
      </c>
      <c r="D28" s="12">
        <v>41.967100000000002</v>
      </c>
      <c r="E28" s="11" t="s">
        <v>598</v>
      </c>
      <c r="F28" s="31">
        <v>0</v>
      </c>
    </row>
    <row r="29" spans="1:6">
      <c r="A29" s="30">
        <v>43370</v>
      </c>
      <c r="B29" s="11" t="s">
        <v>585</v>
      </c>
      <c r="C29" s="11" t="s">
        <v>597</v>
      </c>
      <c r="D29" s="12">
        <v>39.5184</v>
      </c>
      <c r="E29" s="11" t="s">
        <v>598</v>
      </c>
      <c r="F29" s="31">
        <v>0</v>
      </c>
    </row>
    <row r="30" spans="1:6">
      <c r="A30" s="30">
        <v>43371</v>
      </c>
      <c r="B30" s="11" t="s">
        <v>585</v>
      </c>
      <c r="C30" s="11" t="s">
        <v>597</v>
      </c>
      <c r="D30" s="12">
        <v>41.399700000000003</v>
      </c>
      <c r="E30" s="11" t="s">
        <v>598</v>
      </c>
      <c r="F30" s="31">
        <v>0</v>
      </c>
    </row>
    <row r="31" spans="1:6">
      <c r="A31" s="30">
        <v>43372</v>
      </c>
      <c r="B31" s="11" t="s">
        <v>585</v>
      </c>
      <c r="C31" s="11" t="s">
        <v>597</v>
      </c>
      <c r="D31" s="12">
        <v>46.587800000000001</v>
      </c>
      <c r="E31" s="11" t="s">
        <v>598</v>
      </c>
      <c r="F31" s="31">
        <v>0</v>
      </c>
    </row>
    <row r="32" spans="1:6">
      <c r="A32" s="30">
        <v>43373</v>
      </c>
      <c r="B32" s="11" t="s">
        <v>585</v>
      </c>
      <c r="C32" s="11" t="s">
        <v>597</v>
      </c>
      <c r="D32" s="12">
        <v>49.485300000000002</v>
      </c>
      <c r="E32" s="11" t="s">
        <v>598</v>
      </c>
      <c r="F32" s="31">
        <v>0</v>
      </c>
    </row>
    <row r="33" spans="1:6">
      <c r="A33" s="30">
        <v>43374</v>
      </c>
      <c r="B33" s="11" t="s">
        <v>585</v>
      </c>
      <c r="C33" s="11" t="s">
        <v>597</v>
      </c>
      <c r="D33" s="12">
        <v>45.970599999999997</v>
      </c>
      <c r="E33" s="11" t="s">
        <v>598</v>
      </c>
      <c r="F33" s="31">
        <v>0</v>
      </c>
    </row>
    <row r="34" spans="1:6">
      <c r="A34" s="30">
        <v>43375</v>
      </c>
      <c r="B34" s="11" t="s">
        <v>585</v>
      </c>
      <c r="C34" s="11" t="s">
        <v>597</v>
      </c>
      <c r="D34" s="12">
        <v>44.141399999999997</v>
      </c>
      <c r="E34" s="11" t="s">
        <v>598</v>
      </c>
      <c r="F34" s="31">
        <v>0</v>
      </c>
    </row>
    <row r="35" spans="1:6">
      <c r="A35" s="30">
        <v>43376</v>
      </c>
      <c r="B35" s="11" t="s">
        <v>585</v>
      </c>
      <c r="C35" s="11" t="s">
        <v>597</v>
      </c>
      <c r="D35" s="12">
        <v>41.650799999999997</v>
      </c>
      <c r="E35" s="11" t="s">
        <v>598</v>
      </c>
      <c r="F35" s="31">
        <v>0</v>
      </c>
    </row>
    <row r="36" spans="1:6">
      <c r="A36" s="30">
        <v>43377</v>
      </c>
      <c r="B36" s="11" t="s">
        <v>585</v>
      </c>
      <c r="C36" s="11" t="s">
        <v>597</v>
      </c>
      <c r="D36" s="12">
        <v>46.741999999999997</v>
      </c>
      <c r="E36" s="11" t="s">
        <v>598</v>
      </c>
      <c r="F36" s="31">
        <v>0</v>
      </c>
    </row>
    <row r="37" spans="1:6">
      <c r="A37" s="30">
        <v>43378</v>
      </c>
      <c r="B37" s="11" t="s">
        <v>585</v>
      </c>
      <c r="C37" s="11" t="s">
        <v>597</v>
      </c>
      <c r="D37" s="12">
        <v>45.4345</v>
      </c>
      <c r="E37" s="11" t="s">
        <v>598</v>
      </c>
      <c r="F37" s="31">
        <v>0</v>
      </c>
    </row>
    <row r="38" spans="1:6">
      <c r="A38" s="30">
        <v>43379</v>
      </c>
      <c r="B38" s="11" t="s">
        <v>585</v>
      </c>
      <c r="C38" s="11" t="s">
        <v>597</v>
      </c>
      <c r="D38" s="12">
        <v>49.41</v>
      </c>
      <c r="E38" s="11" t="s">
        <v>598</v>
      </c>
      <c r="F38" s="31">
        <v>0</v>
      </c>
    </row>
    <row r="39" spans="1:6">
      <c r="A39" s="30">
        <v>43380</v>
      </c>
      <c r="B39" s="11" t="s">
        <v>585</v>
      </c>
      <c r="C39" s="11" t="s">
        <v>597</v>
      </c>
      <c r="D39" s="12">
        <v>53.046599999999998</v>
      </c>
      <c r="E39" s="11" t="s">
        <v>598</v>
      </c>
      <c r="F39" s="31">
        <v>0</v>
      </c>
    </row>
    <row r="40" spans="1:6">
      <c r="A40" s="30">
        <v>43381</v>
      </c>
      <c r="B40" s="11" t="s">
        <v>585</v>
      </c>
      <c r="C40" s="11" t="s">
        <v>597</v>
      </c>
      <c r="D40" s="12">
        <v>53.662700000000001</v>
      </c>
      <c r="E40" s="11" t="s">
        <v>598</v>
      </c>
      <c r="F40" s="31">
        <v>0</v>
      </c>
    </row>
    <row r="41" spans="1:6">
      <c r="A41" s="30">
        <v>43382</v>
      </c>
      <c r="B41" s="11" t="s">
        <v>585</v>
      </c>
      <c r="C41" s="11" t="s">
        <v>597</v>
      </c>
      <c r="D41" s="12">
        <v>45.650399999999998</v>
      </c>
      <c r="E41" s="11" t="s">
        <v>598</v>
      </c>
      <c r="F41" s="31">
        <v>0</v>
      </c>
    </row>
    <row r="42" spans="1:6">
      <c r="A42" s="30">
        <v>43383</v>
      </c>
      <c r="B42" s="11" t="s">
        <v>585</v>
      </c>
      <c r="C42" s="11" t="s">
        <v>597</v>
      </c>
      <c r="D42" s="12">
        <v>45.639499999999998</v>
      </c>
      <c r="E42" s="11" t="s">
        <v>598</v>
      </c>
      <c r="F42" s="31">
        <v>0</v>
      </c>
    </row>
    <row r="43" spans="1:6">
      <c r="A43" s="30">
        <v>43384</v>
      </c>
      <c r="B43" s="11" t="s">
        <v>585</v>
      </c>
      <c r="C43" s="11" t="s">
        <v>597</v>
      </c>
      <c r="D43" s="12">
        <v>44.110100000000003</v>
      </c>
      <c r="E43" s="11" t="s">
        <v>598</v>
      </c>
      <c r="F43" s="31">
        <v>0</v>
      </c>
    </row>
    <row r="44" spans="1:6">
      <c r="A44" s="30">
        <v>43385</v>
      </c>
      <c r="B44" s="11" t="s">
        <v>585</v>
      </c>
      <c r="C44" s="11" t="s">
        <v>597</v>
      </c>
      <c r="D44" s="12">
        <v>45.5426</v>
      </c>
      <c r="E44" s="11" t="s">
        <v>598</v>
      </c>
      <c r="F44" s="31">
        <v>0</v>
      </c>
    </row>
    <row r="45" spans="1:6">
      <c r="A45" s="30">
        <v>43386</v>
      </c>
      <c r="B45" s="11" t="s">
        <v>585</v>
      </c>
      <c r="C45" s="11" t="s">
        <v>597</v>
      </c>
      <c r="D45" s="12">
        <v>44.3581</v>
      </c>
      <c r="E45" s="11" t="s">
        <v>598</v>
      </c>
      <c r="F45" s="31">
        <v>0</v>
      </c>
    </row>
    <row r="46" spans="1:6">
      <c r="A46" s="30">
        <v>43387</v>
      </c>
      <c r="B46" s="11" t="s">
        <v>585</v>
      </c>
      <c r="C46" s="11" t="s">
        <v>597</v>
      </c>
      <c r="D46" s="12">
        <v>50.790100000000002</v>
      </c>
      <c r="E46" s="11" t="s">
        <v>598</v>
      </c>
      <c r="F46" s="31">
        <v>0</v>
      </c>
    </row>
    <row r="47" spans="1:6">
      <c r="A47" s="30">
        <v>43388</v>
      </c>
      <c r="B47" s="11" t="s">
        <v>585</v>
      </c>
      <c r="C47" s="11" t="s">
        <v>597</v>
      </c>
      <c r="D47" s="12">
        <v>44.363199999999999</v>
      </c>
      <c r="E47" s="11" t="s">
        <v>598</v>
      </c>
      <c r="F47" s="31">
        <v>0</v>
      </c>
    </row>
    <row r="48" spans="1:6">
      <c r="A48" s="30">
        <v>43389</v>
      </c>
      <c r="B48" s="11" t="s">
        <v>585</v>
      </c>
      <c r="C48" s="11" t="s">
        <v>597</v>
      </c>
      <c r="D48" s="12">
        <v>44.476999999999997</v>
      </c>
      <c r="E48" s="11" t="s">
        <v>598</v>
      </c>
      <c r="F48" s="31">
        <v>0</v>
      </c>
    </row>
    <row r="49" spans="1:6">
      <c r="A49" s="30">
        <v>43390</v>
      </c>
      <c r="B49" s="11" t="s">
        <v>585</v>
      </c>
      <c r="C49" s="11" t="s">
        <v>597</v>
      </c>
      <c r="D49" s="12">
        <v>41.103299999999997</v>
      </c>
      <c r="E49" s="11" t="s">
        <v>598</v>
      </c>
      <c r="F49" s="31">
        <v>0</v>
      </c>
    </row>
    <row r="50" spans="1:6">
      <c r="A50" s="30">
        <v>43391</v>
      </c>
      <c r="B50" s="11" t="s">
        <v>585</v>
      </c>
      <c r="C50" s="11" t="s">
        <v>597</v>
      </c>
      <c r="D50" s="12">
        <v>41.2637</v>
      </c>
      <c r="E50" s="11" t="s">
        <v>598</v>
      </c>
      <c r="F50" s="31">
        <v>0</v>
      </c>
    </row>
    <row r="51" spans="1:6">
      <c r="A51" s="30">
        <v>43392</v>
      </c>
      <c r="B51" s="11" t="s">
        <v>585</v>
      </c>
      <c r="C51" s="11" t="s">
        <v>597</v>
      </c>
      <c r="D51" s="12">
        <v>37.477699999999999</v>
      </c>
      <c r="E51" s="11" t="s">
        <v>598</v>
      </c>
      <c r="F51" s="31">
        <v>0</v>
      </c>
    </row>
    <row r="52" spans="1:6">
      <c r="A52" s="30">
        <v>43393</v>
      </c>
      <c r="B52" s="11" t="s">
        <v>585</v>
      </c>
      <c r="C52" s="11" t="s">
        <v>597</v>
      </c>
      <c r="D52" s="12">
        <v>41.198500000000003</v>
      </c>
      <c r="E52" s="11" t="s">
        <v>598</v>
      </c>
      <c r="F52" s="31">
        <v>0</v>
      </c>
    </row>
    <row r="53" spans="1:6">
      <c r="A53" s="30">
        <v>43394</v>
      </c>
      <c r="B53" s="11" t="s">
        <v>585</v>
      </c>
      <c r="C53" s="11" t="s">
        <v>597</v>
      </c>
      <c r="D53" s="12">
        <v>44.615099999999998</v>
      </c>
      <c r="E53" s="11" t="s">
        <v>598</v>
      </c>
      <c r="F53" s="31">
        <v>0</v>
      </c>
    </row>
    <row r="54" spans="1:6">
      <c r="A54" s="30">
        <v>43395</v>
      </c>
      <c r="B54" s="11" t="s">
        <v>585</v>
      </c>
      <c r="C54" s="11" t="s">
        <v>597</v>
      </c>
      <c r="D54" s="12">
        <v>41.922600000000003</v>
      </c>
      <c r="E54" s="11" t="s">
        <v>598</v>
      </c>
      <c r="F54" s="31">
        <v>0</v>
      </c>
    </row>
    <row r="55" spans="1:6">
      <c r="A55" s="30">
        <v>43396</v>
      </c>
      <c r="B55" s="11" t="s">
        <v>585</v>
      </c>
      <c r="C55" s="11" t="s">
        <v>597</v>
      </c>
      <c r="D55" s="12">
        <v>38.872100000000003</v>
      </c>
      <c r="E55" s="11" t="s">
        <v>598</v>
      </c>
      <c r="F55" s="31">
        <v>0</v>
      </c>
    </row>
    <row r="56" spans="1:6">
      <c r="A56" s="30">
        <v>43397</v>
      </c>
      <c r="B56" s="11" t="s">
        <v>585</v>
      </c>
      <c r="C56" s="11" t="s">
        <v>597</v>
      </c>
      <c r="D56" s="12">
        <v>38.726500000000001</v>
      </c>
      <c r="E56" s="11" t="s">
        <v>598</v>
      </c>
      <c r="F56" s="31">
        <v>0</v>
      </c>
    </row>
    <row r="57" spans="1:6">
      <c r="A57" s="30">
        <v>43398</v>
      </c>
      <c r="B57" s="11" t="s">
        <v>585</v>
      </c>
      <c r="C57" s="11" t="s">
        <v>597</v>
      </c>
      <c r="D57" s="12">
        <v>38.0486</v>
      </c>
      <c r="E57" s="11" t="s">
        <v>598</v>
      </c>
      <c r="F57" s="31">
        <v>0</v>
      </c>
    </row>
    <row r="58" spans="1:6">
      <c r="A58" s="30">
        <v>43399</v>
      </c>
      <c r="B58" s="11" t="s">
        <v>585</v>
      </c>
      <c r="C58" s="11" t="s">
        <v>597</v>
      </c>
      <c r="D58" s="12">
        <v>36.963299999999997</v>
      </c>
      <c r="E58" s="11" t="s">
        <v>598</v>
      </c>
      <c r="F58" s="31">
        <v>0</v>
      </c>
    </row>
    <row r="59" spans="1:6">
      <c r="A59" s="30">
        <v>43400</v>
      </c>
      <c r="B59" s="11" t="s">
        <v>585</v>
      </c>
      <c r="C59" s="11" t="s">
        <v>597</v>
      </c>
      <c r="D59" s="12">
        <v>43.724699999999999</v>
      </c>
      <c r="E59" s="11" t="s">
        <v>598</v>
      </c>
      <c r="F59" s="31">
        <v>0</v>
      </c>
    </row>
    <row r="60" spans="1:6">
      <c r="A60" s="30">
        <v>43401</v>
      </c>
      <c r="B60" s="11" t="s">
        <v>585</v>
      </c>
      <c r="C60" s="11" t="s">
        <v>597</v>
      </c>
      <c r="D60" s="12">
        <v>46.322699999999998</v>
      </c>
      <c r="E60" s="11" t="s">
        <v>598</v>
      </c>
      <c r="F60" s="31">
        <v>0</v>
      </c>
    </row>
    <row r="61" spans="1:6">
      <c r="A61" s="30">
        <v>43402</v>
      </c>
      <c r="B61" s="11" t="s">
        <v>585</v>
      </c>
      <c r="C61" s="11" t="s">
        <v>597</v>
      </c>
      <c r="D61" s="12">
        <v>45.790100000000002</v>
      </c>
      <c r="E61" s="11" t="s">
        <v>598</v>
      </c>
      <c r="F61" s="31">
        <v>0</v>
      </c>
    </row>
    <row r="62" spans="1:6">
      <c r="A62" s="30">
        <v>43403</v>
      </c>
      <c r="B62" s="11" t="s">
        <v>585</v>
      </c>
      <c r="C62" s="11" t="s">
        <v>597</v>
      </c>
      <c r="D62" s="12">
        <v>43.946899999999999</v>
      </c>
      <c r="E62" s="11" t="s">
        <v>598</v>
      </c>
      <c r="F62" s="31">
        <v>0</v>
      </c>
    </row>
    <row r="63" spans="1:6">
      <c r="A63" s="30">
        <v>43404</v>
      </c>
      <c r="B63" s="11" t="s">
        <v>585</v>
      </c>
      <c r="C63" s="11" t="s">
        <v>597</v>
      </c>
      <c r="D63" s="12">
        <v>35.644300000000001</v>
      </c>
      <c r="E63" s="11" t="s">
        <v>598</v>
      </c>
      <c r="F63" s="31">
        <v>0</v>
      </c>
    </row>
    <row r="64" spans="1:6">
      <c r="A64" s="30">
        <v>43405</v>
      </c>
      <c r="B64" s="11" t="s">
        <v>585</v>
      </c>
      <c r="C64" s="11" t="s">
        <v>597</v>
      </c>
      <c r="D64" s="12">
        <v>34.808399999999999</v>
      </c>
      <c r="E64" s="11" t="s">
        <v>598</v>
      </c>
      <c r="F64" s="31">
        <v>0</v>
      </c>
    </row>
    <row r="65" spans="1:6">
      <c r="A65" s="30">
        <v>43406</v>
      </c>
      <c r="B65" s="11" t="s">
        <v>585</v>
      </c>
      <c r="C65" s="11" t="s">
        <v>597</v>
      </c>
      <c r="D65" s="12">
        <v>40.557899999999997</v>
      </c>
      <c r="E65" s="11" t="s">
        <v>598</v>
      </c>
      <c r="F65" s="31">
        <v>0</v>
      </c>
    </row>
    <row r="66" spans="1:6">
      <c r="A66" s="30">
        <v>43407</v>
      </c>
      <c r="B66" s="11" t="s">
        <v>585</v>
      </c>
      <c r="C66" s="11" t="s">
        <v>597</v>
      </c>
      <c r="D66" s="12">
        <v>44.818100000000001</v>
      </c>
      <c r="E66" s="11" t="s">
        <v>598</v>
      </c>
      <c r="F66" s="31">
        <v>0</v>
      </c>
    </row>
    <row r="67" spans="1:6">
      <c r="A67" s="30">
        <v>43408</v>
      </c>
      <c r="B67" s="11" t="s">
        <v>585</v>
      </c>
      <c r="C67" s="11" t="s">
        <v>597</v>
      </c>
      <c r="D67" s="12">
        <v>50.976700000000001</v>
      </c>
      <c r="E67" s="11" t="s">
        <v>598</v>
      </c>
      <c r="F67" s="31">
        <v>0</v>
      </c>
    </row>
    <row r="68" spans="1:6">
      <c r="A68" s="30">
        <v>43409</v>
      </c>
      <c r="B68" s="11" t="s">
        <v>585</v>
      </c>
      <c r="C68" s="11" t="s">
        <v>597</v>
      </c>
      <c r="D68" s="12">
        <v>42.243299999999998</v>
      </c>
      <c r="E68" s="11" t="s">
        <v>598</v>
      </c>
      <c r="F68" s="31">
        <v>0</v>
      </c>
    </row>
    <row r="69" spans="1:6">
      <c r="A69" s="30">
        <v>43410</v>
      </c>
      <c r="B69" s="11" t="s">
        <v>585</v>
      </c>
      <c r="C69" s="11" t="s">
        <v>597</v>
      </c>
      <c r="D69" s="12">
        <v>47.473100000000002</v>
      </c>
      <c r="E69" s="11" t="s">
        <v>598</v>
      </c>
      <c r="F69" s="31">
        <v>0</v>
      </c>
    </row>
    <row r="70" spans="1:6">
      <c r="A70" s="30">
        <v>43411</v>
      </c>
      <c r="B70" s="11" t="s">
        <v>585</v>
      </c>
      <c r="C70" s="11" t="s">
        <v>597</v>
      </c>
      <c r="D70" s="12">
        <v>47.221299999999999</v>
      </c>
      <c r="E70" s="11" t="s">
        <v>598</v>
      </c>
      <c r="F70" s="31">
        <v>0</v>
      </c>
    </row>
    <row r="71" spans="1:6">
      <c r="A71" s="30">
        <v>43412</v>
      </c>
      <c r="B71" s="11" t="s">
        <v>585</v>
      </c>
      <c r="C71" s="11" t="s">
        <v>597</v>
      </c>
      <c r="D71" s="12">
        <v>44.816600000000001</v>
      </c>
      <c r="E71" s="11" t="s">
        <v>598</v>
      </c>
      <c r="F71" s="31">
        <v>0</v>
      </c>
    </row>
    <row r="72" spans="1:6">
      <c r="A72" s="30">
        <v>43413</v>
      </c>
      <c r="B72" s="11" t="s">
        <v>585</v>
      </c>
      <c r="C72" s="11" t="s">
        <v>597</v>
      </c>
      <c r="D72" s="12">
        <v>48.896099999999997</v>
      </c>
      <c r="E72" s="11" t="s">
        <v>598</v>
      </c>
      <c r="F72" s="31">
        <v>0</v>
      </c>
    </row>
    <row r="73" spans="1:6">
      <c r="A73" s="30">
        <v>43414</v>
      </c>
      <c r="B73" s="11" t="s">
        <v>585</v>
      </c>
      <c r="C73" s="11" t="s">
        <v>597</v>
      </c>
      <c r="D73" s="12">
        <v>56.231400000000001</v>
      </c>
      <c r="E73" s="11" t="s">
        <v>598</v>
      </c>
      <c r="F73" s="31">
        <v>0</v>
      </c>
    </row>
    <row r="74" spans="1:6">
      <c r="A74" s="30">
        <v>43415</v>
      </c>
      <c r="B74" s="11" t="s">
        <v>585</v>
      </c>
      <c r="C74" s="11" t="s">
        <v>597</v>
      </c>
      <c r="D74" s="12">
        <v>55.384700000000002</v>
      </c>
      <c r="E74" s="11" t="s">
        <v>598</v>
      </c>
      <c r="F74" s="31">
        <v>0</v>
      </c>
    </row>
    <row r="75" spans="1:6">
      <c r="A75" s="30">
        <v>43416</v>
      </c>
      <c r="B75" s="11" t="s">
        <v>585</v>
      </c>
      <c r="C75" s="11" t="s">
        <v>597</v>
      </c>
      <c r="D75" s="12">
        <v>54.664000000000001</v>
      </c>
      <c r="E75" s="11" t="s">
        <v>598</v>
      </c>
      <c r="F75" s="31">
        <v>0</v>
      </c>
    </row>
    <row r="76" spans="1:6">
      <c r="A76" s="30">
        <v>43417</v>
      </c>
      <c r="B76" s="11" t="s">
        <v>585</v>
      </c>
      <c r="C76" s="11" t="s">
        <v>597</v>
      </c>
      <c r="D76" s="12">
        <v>52.963200000000001</v>
      </c>
      <c r="E76" s="11" t="s">
        <v>598</v>
      </c>
      <c r="F76" s="31">
        <v>0</v>
      </c>
    </row>
    <row r="77" spans="1:6">
      <c r="A77" s="30">
        <v>43418</v>
      </c>
      <c r="B77" s="11" t="s">
        <v>585</v>
      </c>
      <c r="C77" s="11" t="s">
        <v>597</v>
      </c>
      <c r="D77" s="12">
        <v>53.085999999999999</v>
      </c>
      <c r="E77" s="11" t="s">
        <v>598</v>
      </c>
      <c r="F77" s="31">
        <v>0</v>
      </c>
    </row>
    <row r="78" spans="1:6">
      <c r="A78" s="30">
        <v>43419</v>
      </c>
      <c r="B78" s="11" t="s">
        <v>585</v>
      </c>
      <c r="C78" s="11" t="s">
        <v>597</v>
      </c>
      <c r="D78" s="12">
        <v>40.917999999999999</v>
      </c>
      <c r="E78" s="11" t="s">
        <v>598</v>
      </c>
      <c r="F78" s="31">
        <v>0</v>
      </c>
    </row>
    <row r="79" spans="1:6">
      <c r="A79" s="30">
        <v>43420</v>
      </c>
      <c r="B79" s="11" t="s">
        <v>585</v>
      </c>
      <c r="C79" s="11" t="s">
        <v>597</v>
      </c>
      <c r="D79" s="12">
        <v>38.145600000000002</v>
      </c>
      <c r="E79" s="11" t="s">
        <v>598</v>
      </c>
      <c r="F79" s="31">
        <v>0</v>
      </c>
    </row>
    <row r="80" spans="1:6">
      <c r="A80" s="30">
        <v>43421</v>
      </c>
      <c r="B80" s="11" t="s">
        <v>585</v>
      </c>
      <c r="C80" s="11" t="s">
        <v>597</v>
      </c>
      <c r="D80" s="12">
        <v>41.382599999999996</v>
      </c>
      <c r="E80" s="11" t="s">
        <v>598</v>
      </c>
      <c r="F80" s="31">
        <v>0</v>
      </c>
    </row>
    <row r="81" spans="1:6">
      <c r="A81" s="30">
        <v>43422</v>
      </c>
      <c r="B81" s="11" t="s">
        <v>585</v>
      </c>
      <c r="C81" s="11" t="s">
        <v>597</v>
      </c>
      <c r="D81" s="12">
        <v>50.020899999999997</v>
      </c>
      <c r="E81" s="11" t="s">
        <v>598</v>
      </c>
      <c r="F81" s="31">
        <v>0</v>
      </c>
    </row>
    <row r="82" spans="1:6">
      <c r="A82" s="30">
        <v>43423</v>
      </c>
      <c r="B82" s="11" t="s">
        <v>585</v>
      </c>
      <c r="C82" s="11" t="s">
        <v>597</v>
      </c>
      <c r="D82" s="12">
        <v>47.898600000000002</v>
      </c>
      <c r="E82" s="11" t="s">
        <v>598</v>
      </c>
      <c r="F82" s="31">
        <v>0</v>
      </c>
    </row>
    <row r="83" spans="1:6">
      <c r="A83" s="30">
        <v>43424</v>
      </c>
      <c r="B83" s="11" t="s">
        <v>585</v>
      </c>
      <c r="C83" s="11" t="s">
        <v>597</v>
      </c>
      <c r="D83" s="12">
        <v>47.952399999999997</v>
      </c>
      <c r="E83" s="11" t="s">
        <v>598</v>
      </c>
      <c r="F83" s="31">
        <v>0</v>
      </c>
    </row>
    <row r="84" spans="1:6">
      <c r="A84" s="30">
        <v>43425</v>
      </c>
      <c r="B84" s="11" t="s">
        <v>585</v>
      </c>
      <c r="C84" s="11" t="s">
        <v>597</v>
      </c>
      <c r="D84" s="12">
        <v>51.253599999999999</v>
      </c>
      <c r="E84" s="11" t="s">
        <v>598</v>
      </c>
      <c r="F84" s="31">
        <v>0</v>
      </c>
    </row>
    <row r="85" spans="1:6">
      <c r="A85" s="30">
        <v>43426</v>
      </c>
      <c r="B85" s="11" t="s">
        <v>585</v>
      </c>
      <c r="C85" s="11" t="s">
        <v>597</v>
      </c>
      <c r="D85" s="12">
        <v>48.483400000000003</v>
      </c>
      <c r="E85" s="11" t="s">
        <v>598</v>
      </c>
      <c r="F85" s="31">
        <v>0</v>
      </c>
    </row>
    <row r="86" spans="1:6">
      <c r="A86" s="30">
        <v>43427</v>
      </c>
      <c r="B86" s="11" t="s">
        <v>585</v>
      </c>
      <c r="C86" s="11" t="s">
        <v>597</v>
      </c>
      <c r="D86" s="12">
        <v>40.496200000000002</v>
      </c>
      <c r="E86" s="11" t="s">
        <v>598</v>
      </c>
      <c r="F86" s="31">
        <v>0</v>
      </c>
    </row>
    <row r="87" spans="1:6">
      <c r="A87" s="30">
        <v>43428</v>
      </c>
      <c r="B87" s="11" t="s">
        <v>585</v>
      </c>
      <c r="C87" s="11" t="s">
        <v>597</v>
      </c>
      <c r="D87" s="12">
        <v>49.037599999999998</v>
      </c>
      <c r="E87" s="11" t="s">
        <v>598</v>
      </c>
      <c r="F87" s="31">
        <v>0</v>
      </c>
    </row>
    <row r="88" spans="1:6">
      <c r="A88" s="30">
        <v>43429</v>
      </c>
      <c r="B88" s="11" t="s">
        <v>585</v>
      </c>
      <c r="C88" s="11" t="s">
        <v>597</v>
      </c>
      <c r="D88" s="12">
        <v>44.414200000000001</v>
      </c>
      <c r="E88" s="11" t="s">
        <v>598</v>
      </c>
      <c r="F88" s="31">
        <v>0</v>
      </c>
    </row>
    <row r="89" spans="1:6">
      <c r="A89" s="30">
        <v>43430</v>
      </c>
      <c r="B89" s="11" t="s">
        <v>585</v>
      </c>
      <c r="C89" s="11" t="s">
        <v>597</v>
      </c>
      <c r="D89" s="12">
        <v>35.744</v>
      </c>
      <c r="E89" s="11" t="s">
        <v>598</v>
      </c>
      <c r="F89" s="31">
        <v>0</v>
      </c>
    </row>
    <row r="90" spans="1:6">
      <c r="A90" s="30">
        <v>43431</v>
      </c>
      <c r="B90" s="11" t="s">
        <v>585</v>
      </c>
      <c r="C90" s="11" t="s">
        <v>597</v>
      </c>
      <c r="D90" s="12">
        <v>39.397500000000001</v>
      </c>
      <c r="E90" s="11" t="s">
        <v>598</v>
      </c>
      <c r="F90" s="31">
        <v>0</v>
      </c>
    </row>
    <row r="91" spans="1:6">
      <c r="A91" s="30">
        <v>43432</v>
      </c>
      <c r="B91" s="11" t="s">
        <v>585</v>
      </c>
      <c r="C91" s="11" t="s">
        <v>597</v>
      </c>
      <c r="D91" s="12">
        <v>48.896799999999999</v>
      </c>
      <c r="E91" s="11" t="s">
        <v>598</v>
      </c>
      <c r="F91" s="31">
        <v>0</v>
      </c>
    </row>
    <row r="92" spans="1:6">
      <c r="A92" s="30">
        <v>43433</v>
      </c>
      <c r="B92" s="11" t="s">
        <v>585</v>
      </c>
      <c r="C92" s="11" t="s">
        <v>597</v>
      </c>
      <c r="D92" s="12">
        <v>43.246099999999998</v>
      </c>
      <c r="E92" s="11" t="s">
        <v>598</v>
      </c>
      <c r="F92" s="31">
        <v>0</v>
      </c>
    </row>
    <row r="93" spans="1:6">
      <c r="A93" s="30">
        <v>43434</v>
      </c>
      <c r="B93" s="11" t="s">
        <v>585</v>
      </c>
      <c r="C93" s="11" t="s">
        <v>597</v>
      </c>
      <c r="D93" s="12">
        <v>41.295099999999998</v>
      </c>
      <c r="E93" s="11" t="s">
        <v>598</v>
      </c>
      <c r="F93" s="31">
        <v>0</v>
      </c>
    </row>
    <row r="94" spans="1:6">
      <c r="A94" s="30">
        <v>43435</v>
      </c>
      <c r="B94" s="11" t="s">
        <v>585</v>
      </c>
      <c r="C94" s="11" t="s">
        <v>597</v>
      </c>
      <c r="D94" s="12">
        <v>38.866700000000002</v>
      </c>
      <c r="E94" s="11" t="s">
        <v>598</v>
      </c>
      <c r="F94" s="31">
        <v>0</v>
      </c>
    </row>
    <row r="95" spans="1:6">
      <c r="A95" s="30">
        <v>43436</v>
      </c>
      <c r="B95" s="11" t="s">
        <v>585</v>
      </c>
      <c r="C95" s="11" t="s">
        <v>597</v>
      </c>
      <c r="D95" s="12">
        <v>40.451700000000002</v>
      </c>
      <c r="E95" s="11" t="s">
        <v>598</v>
      </c>
      <c r="F95" s="31">
        <v>0</v>
      </c>
    </row>
    <row r="96" spans="1:6">
      <c r="A96" s="30">
        <v>43437</v>
      </c>
      <c r="B96" s="11" t="s">
        <v>585</v>
      </c>
      <c r="C96" s="11" t="s">
        <v>597</v>
      </c>
      <c r="D96" s="12">
        <v>41.9788</v>
      </c>
      <c r="E96" s="11" t="s">
        <v>598</v>
      </c>
      <c r="F96" s="31">
        <v>0</v>
      </c>
    </row>
    <row r="97" spans="1:6">
      <c r="A97" s="30">
        <v>43438</v>
      </c>
      <c r="B97" s="11" t="s">
        <v>585</v>
      </c>
      <c r="C97" s="11" t="s">
        <v>597</v>
      </c>
      <c r="D97" s="12">
        <v>32.086100000000002</v>
      </c>
      <c r="E97" s="11" t="s">
        <v>598</v>
      </c>
      <c r="F97" s="31">
        <v>0</v>
      </c>
    </row>
    <row r="98" spans="1:6">
      <c r="A98" s="30">
        <v>43439</v>
      </c>
      <c r="B98" s="11" t="s">
        <v>585</v>
      </c>
      <c r="C98" s="11" t="s">
        <v>597</v>
      </c>
      <c r="D98" s="12">
        <v>26.315200000000001</v>
      </c>
      <c r="E98" s="11" t="s">
        <v>598</v>
      </c>
      <c r="F98" s="31">
        <v>0</v>
      </c>
    </row>
    <row r="99" spans="1:6">
      <c r="A99" s="30">
        <v>43440</v>
      </c>
      <c r="B99" s="11" t="s">
        <v>585</v>
      </c>
      <c r="C99" s="11" t="s">
        <v>597</v>
      </c>
      <c r="D99" s="12">
        <v>26.304099999999998</v>
      </c>
      <c r="E99" s="11" t="s">
        <v>598</v>
      </c>
      <c r="F99" s="31">
        <v>0</v>
      </c>
    </row>
    <row r="100" spans="1:6">
      <c r="A100" s="30">
        <v>43441</v>
      </c>
      <c r="B100" s="11" t="s">
        <v>585</v>
      </c>
      <c r="C100" s="11" t="s">
        <v>597</v>
      </c>
      <c r="D100" s="12">
        <v>34.674399999999999</v>
      </c>
      <c r="E100" s="11" t="s">
        <v>598</v>
      </c>
      <c r="F100" s="31">
        <v>0</v>
      </c>
    </row>
    <row r="101" spans="1:6">
      <c r="A101" s="30">
        <v>43442</v>
      </c>
      <c r="B101" s="11" t="s">
        <v>585</v>
      </c>
      <c r="C101" s="11" t="s">
        <v>597</v>
      </c>
      <c r="D101" s="12">
        <v>36.966999999999999</v>
      </c>
      <c r="E101" s="11" t="s">
        <v>598</v>
      </c>
      <c r="F101" s="31">
        <v>0</v>
      </c>
    </row>
    <row r="102" spans="1:6">
      <c r="A102" s="30">
        <v>43443</v>
      </c>
      <c r="B102" s="11" t="s">
        <v>585</v>
      </c>
      <c r="C102" s="11" t="s">
        <v>597</v>
      </c>
      <c r="D102" s="12">
        <v>42.57</v>
      </c>
      <c r="E102" s="11" t="s">
        <v>598</v>
      </c>
      <c r="F102" s="31">
        <v>0</v>
      </c>
    </row>
    <row r="103" spans="1:6">
      <c r="A103" s="30">
        <v>43444</v>
      </c>
      <c r="B103" s="11" t="s">
        <v>585</v>
      </c>
      <c r="C103" s="11" t="s">
        <v>597</v>
      </c>
      <c r="D103" s="12">
        <v>41.555300000000003</v>
      </c>
      <c r="E103" s="11" t="s">
        <v>598</v>
      </c>
      <c r="F103" s="31">
        <v>0</v>
      </c>
    </row>
    <row r="104" spans="1:6">
      <c r="A104" s="30">
        <v>43445</v>
      </c>
      <c r="B104" s="11" t="s">
        <v>585</v>
      </c>
      <c r="C104" s="11" t="s">
        <v>597</v>
      </c>
      <c r="D104" s="12">
        <v>36.245100000000001</v>
      </c>
      <c r="E104" s="11" t="s">
        <v>598</v>
      </c>
      <c r="F104" s="31">
        <v>0</v>
      </c>
    </row>
    <row r="105" spans="1:6">
      <c r="A105" s="30">
        <v>43446</v>
      </c>
      <c r="B105" s="11" t="s">
        <v>585</v>
      </c>
      <c r="C105" s="11" t="s">
        <v>597</v>
      </c>
      <c r="D105" s="12">
        <v>36.557600000000001</v>
      </c>
      <c r="E105" s="11" t="s">
        <v>598</v>
      </c>
      <c r="F105" s="31">
        <v>0</v>
      </c>
    </row>
    <row r="106" spans="1:6">
      <c r="A106" s="30">
        <v>43447</v>
      </c>
      <c r="B106" s="11" t="s">
        <v>585</v>
      </c>
      <c r="C106" s="11" t="s">
        <v>597</v>
      </c>
      <c r="D106" s="12">
        <v>32.929000000000002</v>
      </c>
      <c r="E106" s="11" t="s">
        <v>598</v>
      </c>
      <c r="F106" s="31">
        <v>0</v>
      </c>
    </row>
    <row r="107" spans="1:6">
      <c r="A107" s="30">
        <v>43448</v>
      </c>
      <c r="B107" s="11" t="s">
        <v>585</v>
      </c>
      <c r="C107" s="11" t="s">
        <v>597</v>
      </c>
      <c r="D107" s="12">
        <v>35.818399999999997</v>
      </c>
      <c r="E107" s="11" t="s">
        <v>598</v>
      </c>
      <c r="F107" s="31">
        <v>0</v>
      </c>
    </row>
    <row r="108" spans="1:6">
      <c r="A108" s="30">
        <v>43449</v>
      </c>
      <c r="B108" s="11" t="s">
        <v>585</v>
      </c>
      <c r="C108" s="11" t="s">
        <v>597</v>
      </c>
      <c r="D108" s="12">
        <v>38.710999999999999</v>
      </c>
      <c r="E108" s="11" t="s">
        <v>598</v>
      </c>
      <c r="F108" s="31">
        <v>0</v>
      </c>
    </row>
    <row r="109" spans="1:6">
      <c r="A109" s="30">
        <v>43450</v>
      </c>
      <c r="B109" s="11" t="s">
        <v>585</v>
      </c>
      <c r="C109" s="11" t="s">
        <v>597</v>
      </c>
      <c r="D109" s="12">
        <v>47.342100000000002</v>
      </c>
      <c r="E109" s="11" t="s">
        <v>598</v>
      </c>
      <c r="F109" s="31">
        <v>0</v>
      </c>
    </row>
    <row r="110" spans="1:6">
      <c r="A110" s="30">
        <v>43451</v>
      </c>
      <c r="B110" s="11" t="s">
        <v>585</v>
      </c>
      <c r="C110" s="11" t="s">
        <v>597</v>
      </c>
      <c r="D110" s="12">
        <v>48.891300000000001</v>
      </c>
      <c r="E110" s="11" t="s">
        <v>598</v>
      </c>
      <c r="F110" s="31">
        <v>0</v>
      </c>
    </row>
    <row r="111" spans="1:6">
      <c r="A111" s="30">
        <v>43452</v>
      </c>
      <c r="B111" s="11" t="s">
        <v>585</v>
      </c>
      <c r="C111" s="11" t="s">
        <v>597</v>
      </c>
      <c r="D111" s="12">
        <v>46.738900000000001</v>
      </c>
      <c r="E111" s="11" t="s">
        <v>598</v>
      </c>
      <c r="F111" s="31">
        <v>0</v>
      </c>
    </row>
    <row r="112" spans="1:6">
      <c r="A112" s="30">
        <v>43453</v>
      </c>
      <c r="B112" s="11" t="s">
        <v>585</v>
      </c>
      <c r="C112" s="11" t="s">
        <v>597</v>
      </c>
      <c r="D112" s="12">
        <v>49.144500000000001</v>
      </c>
      <c r="E112" s="11" t="s">
        <v>598</v>
      </c>
      <c r="F112" s="31">
        <v>0</v>
      </c>
    </row>
    <row r="113" spans="1:6">
      <c r="A113" s="30">
        <v>43454</v>
      </c>
      <c r="B113" s="11" t="s">
        <v>585</v>
      </c>
      <c r="C113" s="11" t="s">
        <v>597</v>
      </c>
      <c r="D113" s="12">
        <v>46.448700000000002</v>
      </c>
      <c r="E113" s="11" t="s">
        <v>598</v>
      </c>
      <c r="F113" s="31">
        <v>0</v>
      </c>
    </row>
    <row r="114" spans="1:6">
      <c r="A114" s="30">
        <v>43455</v>
      </c>
      <c r="B114" s="11" t="s">
        <v>585</v>
      </c>
      <c r="C114" s="11" t="s">
        <v>597</v>
      </c>
      <c r="D114" s="12">
        <v>49.509700000000002</v>
      </c>
      <c r="E114" s="11" t="s">
        <v>598</v>
      </c>
      <c r="F114" s="31">
        <v>0</v>
      </c>
    </row>
    <row r="115" spans="1:6">
      <c r="A115" s="30">
        <v>43456</v>
      </c>
      <c r="B115" s="11" t="s">
        <v>585</v>
      </c>
      <c r="C115" s="11" t="s">
        <v>597</v>
      </c>
      <c r="D115" s="12">
        <v>47.352400000000003</v>
      </c>
      <c r="E115" s="11" t="s">
        <v>598</v>
      </c>
      <c r="F115" s="31">
        <v>0</v>
      </c>
    </row>
    <row r="116" spans="1:6">
      <c r="A116" s="30">
        <v>43457</v>
      </c>
      <c r="B116" s="11" t="s">
        <v>585</v>
      </c>
      <c r="C116" s="11" t="s">
        <v>597</v>
      </c>
      <c r="D116" s="12">
        <v>48.281700000000001</v>
      </c>
      <c r="E116" s="11" t="s">
        <v>598</v>
      </c>
      <c r="F116" s="31">
        <v>0</v>
      </c>
    </row>
    <row r="117" spans="1:6">
      <c r="A117" s="30">
        <v>43458</v>
      </c>
      <c r="B117" s="11" t="s">
        <v>585</v>
      </c>
      <c r="C117" s="11" t="s">
        <v>597</v>
      </c>
      <c r="D117" s="12">
        <v>47.006399999999999</v>
      </c>
      <c r="E117" s="11" t="s">
        <v>598</v>
      </c>
      <c r="F117" s="31">
        <v>0</v>
      </c>
    </row>
    <row r="118" spans="1:6">
      <c r="A118" s="30">
        <v>43459</v>
      </c>
      <c r="B118" s="11" t="s">
        <v>585</v>
      </c>
      <c r="C118" s="11" t="s">
        <v>597</v>
      </c>
      <c r="D118" s="12">
        <v>40.655000000000001</v>
      </c>
      <c r="E118" s="11" t="s">
        <v>598</v>
      </c>
      <c r="F118" s="31">
        <v>0</v>
      </c>
    </row>
    <row r="119" spans="1:6">
      <c r="A119" s="30">
        <v>43460</v>
      </c>
      <c r="B119" s="11" t="s">
        <v>585</v>
      </c>
      <c r="C119" s="11" t="s">
        <v>597</v>
      </c>
      <c r="D119" s="12">
        <v>44.053600000000003</v>
      </c>
      <c r="E119" s="11" t="s">
        <v>598</v>
      </c>
      <c r="F119" s="31">
        <v>0</v>
      </c>
    </row>
    <row r="120" spans="1:6">
      <c r="A120" s="30">
        <v>43461</v>
      </c>
      <c r="B120" s="11" t="s">
        <v>585</v>
      </c>
      <c r="C120" s="11" t="s">
        <v>597</v>
      </c>
      <c r="D120" s="12">
        <v>47.0092</v>
      </c>
      <c r="E120" s="11" t="s">
        <v>598</v>
      </c>
      <c r="F120" s="31">
        <v>0</v>
      </c>
    </row>
    <row r="121" spans="1:6">
      <c r="A121" s="30">
        <v>43462</v>
      </c>
      <c r="B121" s="11" t="s">
        <v>585</v>
      </c>
      <c r="C121" s="11" t="s">
        <v>597</v>
      </c>
      <c r="D121" s="12">
        <v>44.758200000000002</v>
      </c>
      <c r="E121" s="11" t="s">
        <v>598</v>
      </c>
      <c r="F121" s="31">
        <v>0</v>
      </c>
    </row>
    <row r="122" spans="1:6">
      <c r="A122" s="30">
        <v>43463</v>
      </c>
      <c r="B122" s="11" t="s">
        <v>585</v>
      </c>
      <c r="C122" s="11" t="s">
        <v>597</v>
      </c>
      <c r="D122" s="12">
        <v>46.627200000000002</v>
      </c>
      <c r="E122" s="11" t="s">
        <v>598</v>
      </c>
      <c r="F122" s="31">
        <v>0</v>
      </c>
    </row>
    <row r="123" spans="1:6">
      <c r="A123" s="30">
        <v>43464</v>
      </c>
      <c r="B123" s="11" t="s">
        <v>585</v>
      </c>
      <c r="C123" s="11" t="s">
        <v>597</v>
      </c>
      <c r="D123" s="12">
        <v>50.515599999999999</v>
      </c>
      <c r="E123" s="11" t="s">
        <v>598</v>
      </c>
      <c r="F123" s="31">
        <v>0</v>
      </c>
    </row>
    <row r="124" spans="1:6">
      <c r="A124" s="30">
        <v>43465</v>
      </c>
      <c r="B124" s="11" t="s">
        <v>585</v>
      </c>
      <c r="C124" s="11" t="s">
        <v>597</v>
      </c>
      <c r="D124" s="12">
        <v>47.833100000000002</v>
      </c>
      <c r="E124" s="11" t="s">
        <v>598</v>
      </c>
      <c r="F124" s="31">
        <v>0</v>
      </c>
    </row>
    <row r="125" spans="1:6">
      <c r="A125" s="30">
        <v>43466</v>
      </c>
      <c r="B125" s="11" t="s">
        <v>585</v>
      </c>
      <c r="C125" s="11" t="s">
        <v>597</v>
      </c>
      <c r="D125" s="12">
        <v>47.741900000000001</v>
      </c>
      <c r="E125" s="11" t="s">
        <v>598</v>
      </c>
      <c r="F125" s="31">
        <v>0</v>
      </c>
    </row>
    <row r="126" spans="1:6">
      <c r="A126" s="30">
        <v>43467</v>
      </c>
      <c r="B126" s="11" t="s">
        <v>585</v>
      </c>
      <c r="C126" s="11" t="s">
        <v>597</v>
      </c>
      <c r="D126" s="12">
        <v>47.084299999999999</v>
      </c>
      <c r="E126" s="11" t="s">
        <v>598</v>
      </c>
      <c r="F126" s="31">
        <v>0</v>
      </c>
    </row>
    <row r="127" spans="1:6">
      <c r="A127" s="30">
        <v>43468</v>
      </c>
      <c r="B127" s="11" t="s">
        <v>585</v>
      </c>
      <c r="C127" s="11" t="s">
        <v>597</v>
      </c>
      <c r="D127" s="12">
        <v>46.247</v>
      </c>
      <c r="E127" s="11" t="s">
        <v>598</v>
      </c>
      <c r="F127" s="31">
        <v>0</v>
      </c>
    </row>
    <row r="128" spans="1:6">
      <c r="A128" s="30">
        <v>43469</v>
      </c>
      <c r="B128" s="11" t="s">
        <v>585</v>
      </c>
      <c r="C128" s="11" t="s">
        <v>597</v>
      </c>
      <c r="D128" s="12">
        <v>47.89</v>
      </c>
      <c r="E128" s="11" t="s">
        <v>598</v>
      </c>
      <c r="F128" s="31">
        <v>0</v>
      </c>
    </row>
    <row r="129" spans="1:6">
      <c r="A129" s="30">
        <v>43470</v>
      </c>
      <c r="B129" s="11" t="s">
        <v>585</v>
      </c>
      <c r="C129" s="11" t="s">
        <v>597</v>
      </c>
      <c r="D129" s="12">
        <v>47.992100000000001</v>
      </c>
      <c r="E129" s="11" t="s">
        <v>598</v>
      </c>
      <c r="F129" s="31">
        <v>0</v>
      </c>
    </row>
    <row r="130" spans="1:6">
      <c r="A130" s="30">
        <v>43471</v>
      </c>
      <c r="B130" s="11" t="s">
        <v>585</v>
      </c>
      <c r="C130" s="11" t="s">
        <v>597</v>
      </c>
      <c r="D130" s="12">
        <v>54.5426</v>
      </c>
      <c r="E130" s="11" t="s">
        <v>598</v>
      </c>
      <c r="F130" s="31">
        <v>0</v>
      </c>
    </row>
    <row r="131" spans="1:6">
      <c r="A131" s="30">
        <v>43472</v>
      </c>
      <c r="B131" s="11" t="s">
        <v>585</v>
      </c>
      <c r="C131" s="11" t="s">
        <v>597</v>
      </c>
      <c r="D131" s="12">
        <v>45.930999999999997</v>
      </c>
      <c r="E131" s="11" t="s">
        <v>598</v>
      </c>
      <c r="F131" s="31">
        <v>0</v>
      </c>
    </row>
    <row r="132" spans="1:6">
      <c r="A132" s="30">
        <v>43473</v>
      </c>
      <c r="B132" s="11" t="s">
        <v>585</v>
      </c>
      <c r="C132" s="11" t="s">
        <v>597</v>
      </c>
      <c r="D132" s="12">
        <v>47.829900000000002</v>
      </c>
      <c r="E132" s="11" t="s">
        <v>598</v>
      </c>
      <c r="F132" s="31">
        <v>0</v>
      </c>
    </row>
    <row r="133" spans="1:6">
      <c r="A133" s="30">
        <v>43474</v>
      </c>
      <c r="B133" s="11" t="s">
        <v>585</v>
      </c>
      <c r="C133" s="11" t="s">
        <v>597</v>
      </c>
      <c r="D133" s="12">
        <v>45.235900000000001</v>
      </c>
      <c r="E133" s="11" t="s">
        <v>598</v>
      </c>
      <c r="F133" s="31">
        <v>0</v>
      </c>
    </row>
    <row r="134" spans="1:6">
      <c r="A134" s="30">
        <v>43475</v>
      </c>
      <c r="B134" s="11" t="s">
        <v>585</v>
      </c>
      <c r="C134" s="11" t="s">
        <v>597</v>
      </c>
      <c r="D134" s="12">
        <v>43.2761</v>
      </c>
      <c r="E134" s="11" t="s">
        <v>598</v>
      </c>
      <c r="F134" s="31">
        <v>0</v>
      </c>
    </row>
    <row r="135" spans="1:6">
      <c r="A135" s="30">
        <v>43476</v>
      </c>
      <c r="B135" s="11" t="s">
        <v>585</v>
      </c>
      <c r="C135" s="11" t="s">
        <v>597</v>
      </c>
      <c r="D135" s="12">
        <v>51.821399999999997</v>
      </c>
      <c r="E135" s="11" t="s">
        <v>598</v>
      </c>
      <c r="F135" s="31">
        <v>0</v>
      </c>
    </row>
    <row r="136" spans="1:6">
      <c r="A136" s="30">
        <v>43477</v>
      </c>
      <c r="B136" s="11" t="s">
        <v>585</v>
      </c>
      <c r="C136" s="11" t="s">
        <v>597</v>
      </c>
      <c r="D136" s="12">
        <v>55.885399999999997</v>
      </c>
      <c r="E136" s="11" t="s">
        <v>598</v>
      </c>
      <c r="F136" s="31">
        <v>0</v>
      </c>
    </row>
    <row r="137" spans="1:6">
      <c r="A137" s="30">
        <v>43478</v>
      </c>
      <c r="B137" s="11" t="s">
        <v>585</v>
      </c>
      <c r="C137" s="11" t="s">
        <v>597</v>
      </c>
      <c r="D137" s="12">
        <v>51.981900000000003</v>
      </c>
      <c r="E137" s="11" t="s">
        <v>598</v>
      </c>
      <c r="F137" s="31">
        <v>0</v>
      </c>
    </row>
    <row r="138" spans="1:6">
      <c r="A138" s="30">
        <v>43479</v>
      </c>
      <c r="B138" s="11" t="s">
        <v>585</v>
      </c>
      <c r="C138" s="11" t="s">
        <v>597</v>
      </c>
      <c r="D138" s="12">
        <v>46.353000000000002</v>
      </c>
      <c r="E138" s="11" t="s">
        <v>598</v>
      </c>
      <c r="F138" s="31">
        <v>0</v>
      </c>
    </row>
    <row r="139" spans="1:6">
      <c r="A139" s="30">
        <v>43480</v>
      </c>
      <c r="B139" s="11" t="s">
        <v>585</v>
      </c>
      <c r="C139" s="11" t="s">
        <v>597</v>
      </c>
      <c r="D139" s="12">
        <v>45.863199999999999</v>
      </c>
      <c r="E139" s="11" t="s">
        <v>598</v>
      </c>
      <c r="F139" s="31">
        <v>0</v>
      </c>
    </row>
    <row r="140" spans="1:6">
      <c r="A140" s="30">
        <v>43481</v>
      </c>
      <c r="B140" s="11" t="s">
        <v>585</v>
      </c>
      <c r="C140" s="11" t="s">
        <v>597</v>
      </c>
      <c r="D140" s="12">
        <v>44.292700000000004</v>
      </c>
      <c r="E140" s="11" t="s">
        <v>598</v>
      </c>
      <c r="F140" s="31">
        <v>0</v>
      </c>
    </row>
    <row r="141" spans="1:6">
      <c r="A141" s="30">
        <v>43482</v>
      </c>
      <c r="B141" s="11" t="s">
        <v>585</v>
      </c>
      <c r="C141" s="11" t="s">
        <v>597</v>
      </c>
      <c r="D141" s="12">
        <v>47.172800000000002</v>
      </c>
      <c r="E141" s="11" t="s">
        <v>598</v>
      </c>
      <c r="F141" s="31">
        <v>0</v>
      </c>
    </row>
    <row r="142" spans="1:6">
      <c r="A142" s="30">
        <v>43483</v>
      </c>
      <c r="B142" s="11" t="s">
        <v>585</v>
      </c>
      <c r="C142" s="11" t="s">
        <v>597</v>
      </c>
      <c r="D142" s="12">
        <v>47.358699999999999</v>
      </c>
      <c r="E142" s="11" t="s">
        <v>598</v>
      </c>
      <c r="F142" s="31">
        <v>0</v>
      </c>
    </row>
    <row r="143" spans="1:6">
      <c r="A143" s="30">
        <v>43484</v>
      </c>
      <c r="B143" s="11" t="s">
        <v>585</v>
      </c>
      <c r="C143" s="11" t="s">
        <v>597</v>
      </c>
      <c r="D143" s="12">
        <v>48.191899999999997</v>
      </c>
      <c r="E143" s="11" t="s">
        <v>598</v>
      </c>
      <c r="F143" s="31">
        <v>0</v>
      </c>
    </row>
    <row r="144" spans="1:6">
      <c r="A144" s="30">
        <v>43485</v>
      </c>
      <c r="B144" s="11" t="s">
        <v>585</v>
      </c>
      <c r="C144" s="11" t="s">
        <v>597</v>
      </c>
      <c r="D144" s="12">
        <v>52.641500000000001</v>
      </c>
      <c r="E144" s="11" t="s">
        <v>598</v>
      </c>
      <c r="F144" s="31">
        <v>0</v>
      </c>
    </row>
    <row r="145" spans="1:6">
      <c r="A145" s="30">
        <v>43486</v>
      </c>
      <c r="B145" s="11" t="s">
        <v>585</v>
      </c>
      <c r="C145" s="11" t="s">
        <v>597</v>
      </c>
      <c r="D145" s="12">
        <v>50.536200000000001</v>
      </c>
      <c r="E145" s="11" t="s">
        <v>598</v>
      </c>
      <c r="F145" s="31">
        <v>0</v>
      </c>
    </row>
    <row r="146" spans="1:6">
      <c r="A146" s="30">
        <v>43487</v>
      </c>
      <c r="B146" s="11" t="s">
        <v>585</v>
      </c>
      <c r="C146" s="11" t="s">
        <v>597</v>
      </c>
      <c r="D146" s="12">
        <v>47.116799999999998</v>
      </c>
      <c r="E146" s="11" t="s">
        <v>598</v>
      </c>
      <c r="F146" s="31">
        <v>0</v>
      </c>
    </row>
    <row r="147" spans="1:6">
      <c r="A147" s="30">
        <v>43488</v>
      </c>
      <c r="B147" s="11" t="s">
        <v>585</v>
      </c>
      <c r="C147" s="11" t="s">
        <v>597</v>
      </c>
      <c r="D147" s="12">
        <v>45.723500000000001</v>
      </c>
      <c r="E147" s="11" t="s">
        <v>598</v>
      </c>
      <c r="F147" s="31">
        <v>0</v>
      </c>
    </row>
    <row r="148" spans="1:6">
      <c r="A148" s="30">
        <v>43489</v>
      </c>
      <c r="B148" s="11" t="s">
        <v>585</v>
      </c>
      <c r="C148" s="11" t="s">
        <v>597</v>
      </c>
      <c r="D148" s="12">
        <v>44.831800000000001</v>
      </c>
      <c r="E148" s="11" t="s">
        <v>598</v>
      </c>
      <c r="F148" s="31">
        <v>0</v>
      </c>
    </row>
    <row r="149" spans="1:6">
      <c r="A149" s="30">
        <v>43490</v>
      </c>
      <c r="B149" s="11" t="s">
        <v>585</v>
      </c>
      <c r="C149" s="11" t="s">
        <v>597</v>
      </c>
      <c r="D149" s="12">
        <v>55.061100000000003</v>
      </c>
      <c r="E149" s="11" t="s">
        <v>598</v>
      </c>
      <c r="F149" s="31">
        <v>0</v>
      </c>
    </row>
    <row r="150" spans="1:6">
      <c r="A150" s="30">
        <v>43491</v>
      </c>
      <c r="B150" s="11" t="s">
        <v>585</v>
      </c>
      <c r="C150" s="11" t="s">
        <v>597</v>
      </c>
      <c r="D150" s="12">
        <v>51.386400000000002</v>
      </c>
      <c r="E150" s="11" t="s">
        <v>598</v>
      </c>
      <c r="F150" s="31">
        <v>0</v>
      </c>
    </row>
    <row r="151" spans="1:6">
      <c r="A151" s="30">
        <v>43492</v>
      </c>
      <c r="B151" s="11" t="s">
        <v>585</v>
      </c>
      <c r="C151" s="11" t="s">
        <v>597</v>
      </c>
      <c r="D151" s="12">
        <v>56.94</v>
      </c>
      <c r="E151" s="11" t="s">
        <v>598</v>
      </c>
      <c r="F151" s="31">
        <v>0</v>
      </c>
    </row>
    <row r="152" spans="1:6">
      <c r="A152" s="30">
        <v>43493</v>
      </c>
      <c r="B152" s="11" t="s">
        <v>585</v>
      </c>
      <c r="C152" s="11" t="s">
        <v>597</v>
      </c>
      <c r="D152" s="12">
        <v>47.919499999999999</v>
      </c>
      <c r="E152" s="11" t="s">
        <v>598</v>
      </c>
      <c r="F152" s="31">
        <v>0</v>
      </c>
    </row>
    <row r="153" spans="1:6">
      <c r="A153" s="30">
        <v>43494</v>
      </c>
      <c r="B153" s="11" t="s">
        <v>585</v>
      </c>
      <c r="C153" s="11" t="s">
        <v>597</v>
      </c>
      <c r="D153" s="12">
        <v>49.121299999999998</v>
      </c>
      <c r="E153" s="11" t="s">
        <v>598</v>
      </c>
      <c r="F153" s="31">
        <v>0</v>
      </c>
    </row>
    <row r="154" spans="1:6">
      <c r="A154" s="30">
        <v>43495</v>
      </c>
      <c r="B154" s="11" t="s">
        <v>585</v>
      </c>
      <c r="C154" s="11" t="s">
        <v>597</v>
      </c>
      <c r="D154" s="12">
        <v>54.795499999999997</v>
      </c>
      <c r="E154" s="11" t="s">
        <v>598</v>
      </c>
      <c r="F154" s="31">
        <v>0</v>
      </c>
    </row>
    <row r="155" spans="1:6">
      <c r="A155" s="30">
        <v>43496</v>
      </c>
      <c r="B155" s="11" t="s">
        <v>585</v>
      </c>
      <c r="C155" s="11" t="s">
        <v>597</v>
      </c>
      <c r="D155" s="12">
        <v>61.456899999999997</v>
      </c>
      <c r="E155" s="11" t="s">
        <v>598</v>
      </c>
      <c r="F155" s="31">
        <v>0</v>
      </c>
    </row>
    <row r="156" spans="1:6">
      <c r="A156" s="30">
        <v>43497</v>
      </c>
      <c r="B156" s="11" t="s">
        <v>585</v>
      </c>
      <c r="C156" s="11" t="s">
        <v>597</v>
      </c>
      <c r="D156" s="12">
        <v>53.911799999999999</v>
      </c>
      <c r="E156" s="11" t="s">
        <v>598</v>
      </c>
      <c r="F156" s="31">
        <v>0</v>
      </c>
    </row>
    <row r="157" spans="1:6">
      <c r="A157" s="30">
        <v>43498</v>
      </c>
      <c r="B157" s="11" t="s">
        <v>585</v>
      </c>
      <c r="C157" s="11" t="s">
        <v>597</v>
      </c>
      <c r="D157" s="12">
        <v>51.397300000000001</v>
      </c>
      <c r="E157" s="11" t="s">
        <v>598</v>
      </c>
      <c r="F157" s="31">
        <v>0</v>
      </c>
    </row>
    <row r="158" spans="1:6">
      <c r="A158" s="30">
        <v>43499</v>
      </c>
      <c r="B158" s="11" t="s">
        <v>585</v>
      </c>
      <c r="C158" s="11" t="s">
        <v>597</v>
      </c>
      <c r="D158" s="12">
        <v>52.112400000000001</v>
      </c>
      <c r="E158" s="11" t="s">
        <v>598</v>
      </c>
      <c r="F158" s="31">
        <v>0</v>
      </c>
    </row>
    <row r="159" spans="1:6">
      <c r="A159" s="30">
        <v>43500</v>
      </c>
      <c r="B159" s="11" t="s">
        <v>585</v>
      </c>
      <c r="C159" s="11" t="s">
        <v>597</v>
      </c>
      <c r="D159" s="12">
        <v>48.148800000000001</v>
      </c>
      <c r="E159" s="11" t="s">
        <v>598</v>
      </c>
      <c r="F159" s="31">
        <v>0</v>
      </c>
    </row>
    <row r="160" spans="1:6">
      <c r="A160" s="30">
        <v>43501</v>
      </c>
      <c r="B160" s="11" t="s">
        <v>585</v>
      </c>
      <c r="C160" s="11" t="s">
        <v>597</v>
      </c>
      <c r="D160" s="12">
        <v>54.104100000000003</v>
      </c>
      <c r="E160" s="11" t="s">
        <v>598</v>
      </c>
      <c r="F160" s="31">
        <v>0</v>
      </c>
    </row>
    <row r="161" spans="1:6">
      <c r="A161" s="30">
        <v>43502</v>
      </c>
      <c r="B161" s="11" t="s">
        <v>585</v>
      </c>
      <c r="C161" s="11" t="s">
        <v>597</v>
      </c>
      <c r="D161" s="12">
        <v>62.332900000000002</v>
      </c>
      <c r="E161" s="11" t="s">
        <v>598</v>
      </c>
      <c r="F161" s="31">
        <v>0</v>
      </c>
    </row>
    <row r="162" spans="1:6">
      <c r="A162" s="30">
        <v>43503</v>
      </c>
      <c r="B162" s="11" t="s">
        <v>585</v>
      </c>
      <c r="C162" s="11" t="s">
        <v>597</v>
      </c>
      <c r="D162" s="12">
        <v>52.613799999999998</v>
      </c>
      <c r="E162" s="11" t="s">
        <v>598</v>
      </c>
      <c r="F162" s="31">
        <v>0</v>
      </c>
    </row>
    <row r="163" spans="1:6">
      <c r="A163" s="30">
        <v>43504</v>
      </c>
      <c r="B163" s="11" t="s">
        <v>585</v>
      </c>
      <c r="C163" s="11" t="s">
        <v>597</v>
      </c>
      <c r="D163" s="12">
        <v>53.8964</v>
      </c>
      <c r="E163" s="11" t="s">
        <v>598</v>
      </c>
      <c r="F163" s="31">
        <v>0</v>
      </c>
    </row>
    <row r="164" spans="1:6">
      <c r="A164" s="30">
        <v>43505</v>
      </c>
      <c r="B164" s="11" t="s">
        <v>585</v>
      </c>
      <c r="C164" s="11" t="s">
        <v>597</v>
      </c>
      <c r="D164" s="12">
        <v>52.2102</v>
      </c>
      <c r="E164" s="11" t="s">
        <v>598</v>
      </c>
      <c r="F164" s="31">
        <v>0</v>
      </c>
    </row>
    <row r="165" spans="1:6">
      <c r="A165" s="30">
        <v>43506</v>
      </c>
      <c r="B165" s="11" t="s">
        <v>585</v>
      </c>
      <c r="C165" s="11" t="s">
        <v>597</v>
      </c>
      <c r="D165" s="12">
        <v>55.561799999999998</v>
      </c>
      <c r="E165" s="11" t="s">
        <v>598</v>
      </c>
      <c r="F165" s="31">
        <v>0</v>
      </c>
    </row>
    <row r="166" spans="1:6">
      <c r="A166" s="30">
        <v>43507</v>
      </c>
      <c r="B166" s="11" t="s">
        <v>585</v>
      </c>
      <c r="C166" s="11" t="s">
        <v>597</v>
      </c>
      <c r="D166" s="12">
        <v>58.428400000000003</v>
      </c>
      <c r="E166" s="11" t="s">
        <v>598</v>
      </c>
      <c r="F166" s="31">
        <v>0</v>
      </c>
    </row>
    <row r="167" spans="1:6">
      <c r="A167" s="30">
        <v>43508</v>
      </c>
      <c r="B167" s="11" t="s">
        <v>585</v>
      </c>
      <c r="C167" s="11" t="s">
        <v>597</v>
      </c>
      <c r="D167" s="12">
        <v>61.2027</v>
      </c>
      <c r="E167" s="11" t="s">
        <v>598</v>
      </c>
      <c r="F167" s="31">
        <v>0</v>
      </c>
    </row>
    <row r="168" spans="1:6">
      <c r="A168" s="30">
        <v>43509</v>
      </c>
      <c r="B168" s="11" t="s">
        <v>585</v>
      </c>
      <c r="C168" s="11" t="s">
        <v>597</v>
      </c>
      <c r="D168" s="12">
        <v>58.713900000000002</v>
      </c>
      <c r="E168" s="11" t="s">
        <v>598</v>
      </c>
      <c r="F168" s="31">
        <v>0</v>
      </c>
    </row>
    <row r="169" spans="1:6">
      <c r="A169" s="30">
        <v>43510</v>
      </c>
      <c r="B169" s="11" t="s">
        <v>585</v>
      </c>
      <c r="C169" s="11" t="s">
        <v>597</v>
      </c>
      <c r="D169" s="12">
        <v>60.323799999999999</v>
      </c>
      <c r="E169" s="11" t="s">
        <v>598</v>
      </c>
      <c r="F169" s="31">
        <v>0</v>
      </c>
    </row>
    <row r="170" spans="1:6">
      <c r="A170" s="30">
        <v>43511</v>
      </c>
      <c r="B170" s="11" t="s">
        <v>585</v>
      </c>
      <c r="C170" s="11" t="s">
        <v>597</v>
      </c>
      <c r="D170" s="12">
        <v>59.796700000000001</v>
      </c>
      <c r="E170" s="11" t="s">
        <v>598</v>
      </c>
      <c r="F170" s="31">
        <v>0</v>
      </c>
    </row>
    <row r="171" spans="1:6">
      <c r="A171" s="30">
        <v>43512</v>
      </c>
      <c r="B171" s="11" t="s">
        <v>585</v>
      </c>
      <c r="C171" s="11" t="s">
        <v>597</v>
      </c>
      <c r="D171" s="12">
        <v>53.653399999999998</v>
      </c>
      <c r="E171" s="11" t="s">
        <v>598</v>
      </c>
      <c r="F171" s="31">
        <v>0</v>
      </c>
    </row>
    <row r="172" spans="1:6">
      <c r="A172" s="30">
        <v>43513</v>
      </c>
      <c r="B172" s="11" t="s">
        <v>585</v>
      </c>
      <c r="C172" s="11" t="s">
        <v>597</v>
      </c>
      <c r="D172" s="12">
        <v>59.116599999999998</v>
      </c>
      <c r="E172" s="11" t="s">
        <v>598</v>
      </c>
      <c r="F172" s="31">
        <v>0</v>
      </c>
    </row>
    <row r="173" spans="1:6">
      <c r="A173" s="30">
        <v>43514</v>
      </c>
      <c r="B173" s="11" t="s">
        <v>585</v>
      </c>
      <c r="C173" s="11" t="s">
        <v>597</v>
      </c>
      <c r="D173" s="12">
        <v>60.924500000000002</v>
      </c>
      <c r="E173" s="11" t="s">
        <v>598</v>
      </c>
      <c r="F173" s="31">
        <v>0</v>
      </c>
    </row>
    <row r="174" spans="1:6">
      <c r="A174" s="30">
        <v>43515</v>
      </c>
      <c r="B174" s="11" t="s">
        <v>585</v>
      </c>
      <c r="C174" s="11" t="s">
        <v>597</v>
      </c>
      <c r="D174" s="12">
        <v>59.878</v>
      </c>
      <c r="E174" s="11" t="s">
        <v>598</v>
      </c>
      <c r="F174" s="31">
        <v>0</v>
      </c>
    </row>
    <row r="175" spans="1:6">
      <c r="A175" s="30">
        <v>43516</v>
      </c>
      <c r="B175" s="11" t="s">
        <v>585</v>
      </c>
      <c r="C175" s="11" t="s">
        <v>597</v>
      </c>
      <c r="D175" s="12">
        <v>59.852600000000002</v>
      </c>
      <c r="E175" s="11" t="s">
        <v>598</v>
      </c>
      <c r="F175" s="31">
        <v>0</v>
      </c>
    </row>
    <row r="176" spans="1:6">
      <c r="A176" s="30">
        <v>43517</v>
      </c>
      <c r="B176" s="11" t="s">
        <v>585</v>
      </c>
      <c r="C176" s="11" t="s">
        <v>597</v>
      </c>
      <c r="D176" s="12">
        <v>60.712499999999999</v>
      </c>
      <c r="E176" s="11" t="s">
        <v>598</v>
      </c>
      <c r="F176" s="31">
        <v>0</v>
      </c>
    </row>
    <row r="177" spans="1:6">
      <c r="A177" s="30">
        <v>43518</v>
      </c>
      <c r="B177" s="11" t="s">
        <v>585</v>
      </c>
      <c r="C177" s="11" t="s">
        <v>597</v>
      </c>
      <c r="D177" s="12">
        <v>57.109099999999998</v>
      </c>
      <c r="E177" s="11" t="s">
        <v>598</v>
      </c>
      <c r="F177" s="31">
        <v>0</v>
      </c>
    </row>
    <row r="178" spans="1:6">
      <c r="A178" s="30">
        <v>43519</v>
      </c>
      <c r="B178" s="11" t="s">
        <v>585</v>
      </c>
      <c r="C178" s="11" t="s">
        <v>597</v>
      </c>
      <c r="D178" s="12">
        <v>55.446599999999997</v>
      </c>
      <c r="E178" s="11" t="s">
        <v>598</v>
      </c>
      <c r="F178" s="31">
        <v>0</v>
      </c>
    </row>
    <row r="179" spans="1:6">
      <c r="A179" s="30">
        <v>43520</v>
      </c>
      <c r="B179" s="11" t="s">
        <v>585</v>
      </c>
      <c r="C179" s="11" t="s">
        <v>597</v>
      </c>
      <c r="D179" s="12">
        <v>62.994500000000002</v>
      </c>
      <c r="E179" s="11" t="s">
        <v>598</v>
      </c>
      <c r="F179" s="31">
        <v>0</v>
      </c>
    </row>
    <row r="180" spans="1:6">
      <c r="A180" s="30">
        <v>43521</v>
      </c>
      <c r="B180" s="11" t="s">
        <v>585</v>
      </c>
      <c r="C180" s="11" t="s">
        <v>597</v>
      </c>
      <c r="D180" s="12">
        <v>62.415199999999999</v>
      </c>
      <c r="E180" s="11" t="s">
        <v>598</v>
      </c>
      <c r="F180" s="31">
        <v>0</v>
      </c>
    </row>
    <row r="181" spans="1:6">
      <c r="A181" s="30">
        <v>43522</v>
      </c>
      <c r="B181" s="11" t="s">
        <v>585</v>
      </c>
      <c r="C181" s="11" t="s">
        <v>597</v>
      </c>
      <c r="D181" s="12">
        <v>64.247900000000001</v>
      </c>
      <c r="E181" s="11" t="s">
        <v>598</v>
      </c>
      <c r="F181" s="31">
        <v>0</v>
      </c>
    </row>
    <row r="182" spans="1:6">
      <c r="A182" s="30">
        <v>43523</v>
      </c>
      <c r="B182" s="11" t="s">
        <v>585</v>
      </c>
      <c r="C182" s="11" t="s">
        <v>597</v>
      </c>
      <c r="D182" s="12">
        <v>58.541600000000003</v>
      </c>
      <c r="E182" s="11" t="s">
        <v>598</v>
      </c>
      <c r="F182" s="31">
        <v>0</v>
      </c>
    </row>
    <row r="183" spans="1:6">
      <c r="A183" s="30">
        <v>43524</v>
      </c>
      <c r="B183" s="11" t="s">
        <v>585</v>
      </c>
      <c r="C183" s="11" t="s">
        <v>597</v>
      </c>
      <c r="D183" s="12">
        <v>63.612900000000003</v>
      </c>
      <c r="E183" s="11" t="s">
        <v>598</v>
      </c>
      <c r="F183" s="31">
        <v>0</v>
      </c>
    </row>
    <row r="184" spans="1:6">
      <c r="A184" s="30">
        <v>43525</v>
      </c>
      <c r="B184" s="11" t="s">
        <v>585</v>
      </c>
      <c r="C184" s="11" t="s">
        <v>597</v>
      </c>
      <c r="D184" s="12">
        <v>55.980400000000003</v>
      </c>
      <c r="E184" s="11" t="s">
        <v>598</v>
      </c>
      <c r="F184" s="31">
        <v>0</v>
      </c>
    </row>
    <row r="185" spans="1:6">
      <c r="A185" s="30">
        <v>43526</v>
      </c>
      <c r="B185" s="11" t="s">
        <v>585</v>
      </c>
      <c r="C185" s="11" t="s">
        <v>597</v>
      </c>
      <c r="D185" s="12">
        <v>58.441499999999998</v>
      </c>
      <c r="E185" s="11" t="s">
        <v>598</v>
      </c>
      <c r="F185" s="31">
        <v>0</v>
      </c>
    </row>
    <row r="186" spans="1:6">
      <c r="A186" s="30">
        <v>43527</v>
      </c>
      <c r="B186" s="11" t="s">
        <v>585</v>
      </c>
      <c r="C186" s="11" t="s">
        <v>597</v>
      </c>
      <c r="D186" s="12">
        <v>62.833399999999997</v>
      </c>
      <c r="E186" s="11" t="s">
        <v>598</v>
      </c>
      <c r="F186" s="31">
        <v>0</v>
      </c>
    </row>
    <row r="187" spans="1:6">
      <c r="A187" s="30">
        <v>43528</v>
      </c>
      <c r="B187" s="11" t="s">
        <v>585</v>
      </c>
      <c r="C187" s="11" t="s">
        <v>597</v>
      </c>
      <c r="D187" s="12">
        <v>60.769199999999998</v>
      </c>
      <c r="E187" s="11" t="s">
        <v>598</v>
      </c>
      <c r="F187" s="31">
        <v>0</v>
      </c>
    </row>
    <row r="188" spans="1:6">
      <c r="A188" s="30">
        <v>43529</v>
      </c>
      <c r="B188" s="11" t="s">
        <v>585</v>
      </c>
      <c r="C188" s="11" t="s">
        <v>597</v>
      </c>
      <c r="D188" s="12">
        <v>61.797699999999999</v>
      </c>
      <c r="E188" s="11" t="s">
        <v>598</v>
      </c>
      <c r="F188" s="31">
        <v>0</v>
      </c>
    </row>
    <row r="189" spans="1:6">
      <c r="A189" s="30">
        <v>43530</v>
      </c>
      <c r="B189" s="11" t="s">
        <v>585</v>
      </c>
      <c r="C189" s="11" t="s">
        <v>597</v>
      </c>
      <c r="D189" s="12">
        <v>60.517899999999997</v>
      </c>
      <c r="E189" s="11" t="s">
        <v>598</v>
      </c>
      <c r="F189" s="31">
        <v>0</v>
      </c>
    </row>
    <row r="190" spans="1:6">
      <c r="A190" s="30">
        <v>43531</v>
      </c>
      <c r="B190" s="11" t="s">
        <v>585</v>
      </c>
      <c r="C190" s="11" t="s">
        <v>597</v>
      </c>
      <c r="D190" s="12">
        <v>65.472099999999998</v>
      </c>
      <c r="E190" s="11" t="s">
        <v>598</v>
      </c>
      <c r="F190" s="31">
        <v>0</v>
      </c>
    </row>
    <row r="191" spans="1:6">
      <c r="A191" s="30">
        <v>43532</v>
      </c>
      <c r="B191" s="11" t="s">
        <v>585</v>
      </c>
      <c r="C191" s="11" t="s">
        <v>597</v>
      </c>
      <c r="D191" s="12">
        <v>58.01</v>
      </c>
      <c r="E191" s="11" t="s">
        <v>598</v>
      </c>
      <c r="F191" s="31">
        <v>0</v>
      </c>
    </row>
    <row r="192" spans="1:6">
      <c r="A192" s="30">
        <v>43533</v>
      </c>
      <c r="B192" s="11" t="s">
        <v>585</v>
      </c>
      <c r="C192" s="11" t="s">
        <v>597</v>
      </c>
      <c r="D192" s="12">
        <v>64.451599999999999</v>
      </c>
      <c r="E192" s="11" t="s">
        <v>598</v>
      </c>
      <c r="F192" s="31">
        <v>0</v>
      </c>
    </row>
    <row r="193" spans="1:6">
      <c r="A193" s="30">
        <v>43534</v>
      </c>
      <c r="B193" s="11" t="s">
        <v>585</v>
      </c>
      <c r="C193" s="11" t="s">
        <v>597</v>
      </c>
      <c r="D193" s="12">
        <v>64.186099999999996</v>
      </c>
      <c r="E193" s="11" t="s">
        <v>598</v>
      </c>
      <c r="F193" s="31">
        <v>0</v>
      </c>
    </row>
    <row r="194" spans="1:6">
      <c r="A194" s="30">
        <v>43535</v>
      </c>
      <c r="B194" s="11" t="s">
        <v>585</v>
      </c>
      <c r="C194" s="11" t="s">
        <v>597</v>
      </c>
      <c r="D194" s="12">
        <v>62.888500000000001</v>
      </c>
      <c r="E194" s="11" t="s">
        <v>598</v>
      </c>
      <c r="F194" s="31">
        <v>0</v>
      </c>
    </row>
    <row r="195" spans="1:6">
      <c r="A195" s="30">
        <v>43536</v>
      </c>
      <c r="B195" s="11" t="s">
        <v>585</v>
      </c>
      <c r="C195" s="11" t="s">
        <v>597</v>
      </c>
      <c r="D195" s="12">
        <v>55.970799999999997</v>
      </c>
      <c r="E195" s="11" t="s">
        <v>598</v>
      </c>
      <c r="F195" s="31">
        <v>0</v>
      </c>
    </row>
    <row r="196" spans="1:6">
      <c r="A196" s="30">
        <v>43537</v>
      </c>
      <c r="B196" s="11" t="s">
        <v>585</v>
      </c>
      <c r="C196" s="11" t="s">
        <v>597</v>
      </c>
      <c r="D196" s="12">
        <v>63.027799999999999</v>
      </c>
      <c r="E196" s="11" t="s">
        <v>598</v>
      </c>
      <c r="F196" s="31">
        <v>0</v>
      </c>
    </row>
    <row r="197" spans="1:6">
      <c r="A197" s="30">
        <v>43538</v>
      </c>
      <c r="B197" s="11" t="s">
        <v>585</v>
      </c>
      <c r="C197" s="11" t="s">
        <v>597</v>
      </c>
      <c r="D197" s="12">
        <v>71.052800000000005</v>
      </c>
      <c r="E197" s="11" t="s">
        <v>598</v>
      </c>
      <c r="F197" s="31">
        <v>0</v>
      </c>
    </row>
    <row r="198" spans="1:6">
      <c r="A198" s="30">
        <v>43539</v>
      </c>
      <c r="B198" s="11" t="s">
        <v>585</v>
      </c>
      <c r="C198" s="11" t="s">
        <v>597</v>
      </c>
      <c r="D198" s="12">
        <v>68.023899999999998</v>
      </c>
      <c r="E198" s="11" t="s">
        <v>598</v>
      </c>
      <c r="F198" s="31">
        <v>0</v>
      </c>
    </row>
    <row r="199" spans="1:6">
      <c r="A199" s="30">
        <v>43540</v>
      </c>
      <c r="B199" s="11" t="s">
        <v>585</v>
      </c>
      <c r="C199" s="11" t="s">
        <v>597</v>
      </c>
      <c r="D199" s="12">
        <v>65.4054</v>
      </c>
      <c r="E199" s="11" t="s">
        <v>598</v>
      </c>
      <c r="F199" s="31">
        <v>0</v>
      </c>
    </row>
    <row r="200" spans="1:6">
      <c r="A200" s="30">
        <v>43541</v>
      </c>
      <c r="B200" s="11" t="s">
        <v>585</v>
      </c>
      <c r="C200" s="11" t="s">
        <v>597</v>
      </c>
      <c r="D200" s="12">
        <v>64.790999999999997</v>
      </c>
      <c r="E200" s="11" t="s">
        <v>598</v>
      </c>
      <c r="F200" s="31">
        <v>0</v>
      </c>
    </row>
    <row r="201" spans="1:6">
      <c r="A201" s="30">
        <v>43542</v>
      </c>
      <c r="B201" s="11" t="s">
        <v>585</v>
      </c>
      <c r="C201" s="11" t="s">
        <v>597</v>
      </c>
      <c r="D201" s="12">
        <v>67.3797</v>
      </c>
      <c r="E201" s="11" t="s">
        <v>598</v>
      </c>
      <c r="F201" s="31">
        <v>0</v>
      </c>
    </row>
    <row r="202" spans="1:6">
      <c r="A202" s="30">
        <v>43543</v>
      </c>
      <c r="B202" s="11" t="s">
        <v>585</v>
      </c>
      <c r="C202" s="11" t="s">
        <v>597</v>
      </c>
      <c r="D202" s="12">
        <v>63.264099999999999</v>
      </c>
      <c r="E202" s="11" t="s">
        <v>598</v>
      </c>
      <c r="F202" s="31">
        <v>0</v>
      </c>
    </row>
    <row r="203" spans="1:6">
      <c r="A203" s="30">
        <v>43544</v>
      </c>
      <c r="B203" s="11" t="s">
        <v>585</v>
      </c>
      <c r="C203" s="11" t="s">
        <v>597</v>
      </c>
      <c r="D203" s="12">
        <v>66.651899999999998</v>
      </c>
      <c r="E203" s="11" t="s">
        <v>598</v>
      </c>
      <c r="F203" s="31">
        <v>0</v>
      </c>
    </row>
    <row r="204" spans="1:6">
      <c r="A204" s="30">
        <v>43545</v>
      </c>
      <c r="B204" s="11" t="s">
        <v>585</v>
      </c>
      <c r="C204" s="11" t="s">
        <v>597</v>
      </c>
      <c r="D204" s="12">
        <v>61.289299999999997</v>
      </c>
      <c r="E204" s="11" t="s">
        <v>598</v>
      </c>
      <c r="F204" s="31">
        <v>0</v>
      </c>
    </row>
    <row r="205" spans="1:6">
      <c r="A205" s="30">
        <v>43546</v>
      </c>
      <c r="B205" s="11" t="s">
        <v>585</v>
      </c>
      <c r="C205" s="11" t="s">
        <v>597</v>
      </c>
      <c r="D205" s="12">
        <v>63.3857</v>
      </c>
      <c r="E205" s="11" t="s">
        <v>598</v>
      </c>
      <c r="F205" s="31">
        <v>0</v>
      </c>
    </row>
    <row r="206" spans="1:6">
      <c r="A206" s="30">
        <v>43547</v>
      </c>
      <c r="B206" s="11" t="s">
        <v>585</v>
      </c>
      <c r="C206" s="11" t="s">
        <v>597</v>
      </c>
      <c r="D206" s="12">
        <v>54.687899999999999</v>
      </c>
      <c r="E206" s="11" t="s">
        <v>598</v>
      </c>
      <c r="F206" s="31">
        <v>0</v>
      </c>
    </row>
    <row r="207" spans="1:6">
      <c r="A207" s="30">
        <v>43548</v>
      </c>
      <c r="B207" s="11" t="s">
        <v>585</v>
      </c>
      <c r="C207" s="11" t="s">
        <v>597</v>
      </c>
      <c r="D207" s="12">
        <v>58.076900000000002</v>
      </c>
      <c r="E207" s="11" t="s">
        <v>598</v>
      </c>
      <c r="F207" s="31">
        <v>0</v>
      </c>
    </row>
    <row r="208" spans="1:6">
      <c r="A208" s="30">
        <v>43549</v>
      </c>
      <c r="B208" s="11" t="s">
        <v>585</v>
      </c>
      <c r="C208" s="11" t="s">
        <v>597</v>
      </c>
      <c r="D208" s="12">
        <v>62.623199999999997</v>
      </c>
      <c r="E208" s="11" t="s">
        <v>598</v>
      </c>
      <c r="F208" s="31">
        <v>0</v>
      </c>
    </row>
    <row r="209" spans="1:6">
      <c r="A209" s="30">
        <v>43550</v>
      </c>
      <c r="B209" s="11" t="s">
        <v>585</v>
      </c>
      <c r="C209" s="11" t="s">
        <v>597</v>
      </c>
      <c r="D209" s="12">
        <v>58.0854</v>
      </c>
      <c r="E209" s="11" t="s">
        <v>598</v>
      </c>
      <c r="F209" s="31">
        <v>0</v>
      </c>
    </row>
    <row r="210" spans="1:6">
      <c r="A210" s="30">
        <v>43551</v>
      </c>
      <c r="B210" s="11" t="s">
        <v>585</v>
      </c>
      <c r="C210" s="11" t="s">
        <v>597</v>
      </c>
      <c r="D210" s="12">
        <v>63.053199999999997</v>
      </c>
      <c r="E210" s="11" t="s">
        <v>598</v>
      </c>
      <c r="F210" s="31">
        <v>0</v>
      </c>
    </row>
    <row r="211" spans="1:6">
      <c r="A211" s="30">
        <v>43552</v>
      </c>
      <c r="B211" s="11" t="s">
        <v>585</v>
      </c>
      <c r="C211" s="11" t="s">
        <v>597</v>
      </c>
      <c r="D211" s="12">
        <v>59.238700000000001</v>
      </c>
      <c r="E211" s="11" t="s">
        <v>598</v>
      </c>
      <c r="F211" s="31">
        <v>0</v>
      </c>
    </row>
    <row r="212" spans="1:6">
      <c r="A212" s="30">
        <v>43553</v>
      </c>
      <c r="B212" s="11" t="s">
        <v>585</v>
      </c>
      <c r="C212" s="11" t="s">
        <v>597</v>
      </c>
      <c r="D212" s="12">
        <v>59.938899999999997</v>
      </c>
      <c r="E212" s="11" t="s">
        <v>598</v>
      </c>
      <c r="F212" s="31">
        <v>0</v>
      </c>
    </row>
    <row r="213" spans="1:6">
      <c r="A213" s="30">
        <v>43554</v>
      </c>
      <c r="B213" s="11" t="s">
        <v>585</v>
      </c>
      <c r="C213" s="11" t="s">
        <v>597</v>
      </c>
      <c r="D213" s="12">
        <v>58.106099999999998</v>
      </c>
      <c r="E213" s="11" t="s">
        <v>598</v>
      </c>
      <c r="F213" s="31">
        <v>0</v>
      </c>
    </row>
    <row r="214" spans="1:6">
      <c r="A214" s="30">
        <v>43555</v>
      </c>
      <c r="B214" s="11" t="s">
        <v>585</v>
      </c>
      <c r="C214" s="11" t="s">
        <v>597</v>
      </c>
      <c r="D214" s="12">
        <v>58.833500000000001</v>
      </c>
      <c r="E214" s="11" t="s">
        <v>598</v>
      </c>
      <c r="F214" s="31">
        <v>0</v>
      </c>
    </row>
    <row r="215" spans="1:6">
      <c r="A215" s="30">
        <v>43556</v>
      </c>
      <c r="B215" s="11" t="s">
        <v>585</v>
      </c>
      <c r="C215" s="11" t="s">
        <v>597</v>
      </c>
      <c r="D215" s="12">
        <v>64.704499999999996</v>
      </c>
      <c r="E215" s="11" t="s">
        <v>598</v>
      </c>
      <c r="F215" s="31">
        <v>0</v>
      </c>
    </row>
    <row r="216" spans="1:6">
      <c r="A216" s="30">
        <v>43557</v>
      </c>
      <c r="B216" s="11" t="s">
        <v>585</v>
      </c>
      <c r="C216" s="11" t="s">
        <v>597</v>
      </c>
      <c r="D216" s="12">
        <v>66.169899999999998</v>
      </c>
      <c r="E216" s="11" t="s">
        <v>598</v>
      </c>
      <c r="F216" s="31">
        <v>0</v>
      </c>
    </row>
    <row r="217" spans="1:6">
      <c r="A217" s="30">
        <v>43558</v>
      </c>
      <c r="B217" s="11" t="s">
        <v>585</v>
      </c>
      <c r="C217" s="11" t="s">
        <v>597</v>
      </c>
      <c r="D217" s="12">
        <v>64.887100000000004</v>
      </c>
      <c r="E217" s="11" t="s">
        <v>598</v>
      </c>
      <c r="F217" s="31">
        <v>0</v>
      </c>
    </row>
    <row r="218" spans="1:6">
      <c r="A218" s="30">
        <v>43559</v>
      </c>
      <c r="B218" s="11" t="s">
        <v>585</v>
      </c>
      <c r="C218" s="11" t="s">
        <v>597</v>
      </c>
      <c r="D218" s="12">
        <v>63.3934</v>
      </c>
      <c r="E218" s="11" t="s">
        <v>598</v>
      </c>
      <c r="F218" s="31">
        <v>0</v>
      </c>
    </row>
    <row r="219" spans="1:6">
      <c r="A219" s="30">
        <v>43560</v>
      </c>
      <c r="B219" s="11" t="s">
        <v>585</v>
      </c>
      <c r="C219" s="11" t="s">
        <v>597</v>
      </c>
      <c r="D219" s="12">
        <v>65.274000000000001</v>
      </c>
      <c r="E219" s="11" t="s">
        <v>598</v>
      </c>
      <c r="F219" s="31">
        <v>0</v>
      </c>
    </row>
    <row r="220" spans="1:6">
      <c r="A220" s="30">
        <v>43561</v>
      </c>
      <c r="B220" s="11" t="s">
        <v>585</v>
      </c>
      <c r="C220" s="11" t="s">
        <v>597</v>
      </c>
      <c r="D220" s="12">
        <v>59.810200000000002</v>
      </c>
      <c r="E220" s="11" t="s">
        <v>598</v>
      </c>
      <c r="F220" s="31">
        <v>0</v>
      </c>
    </row>
    <row r="221" spans="1:6">
      <c r="A221" s="30">
        <v>43562</v>
      </c>
      <c r="B221" s="11" t="s">
        <v>585</v>
      </c>
      <c r="C221" s="11" t="s">
        <v>597</v>
      </c>
      <c r="D221" s="12">
        <v>63.238399999999999</v>
      </c>
      <c r="E221" s="11" t="s">
        <v>598</v>
      </c>
      <c r="F221" s="31">
        <v>0</v>
      </c>
    </row>
    <row r="222" spans="1:6">
      <c r="A222" s="30">
        <v>43563</v>
      </c>
      <c r="B222" s="11" t="s">
        <v>585</v>
      </c>
      <c r="C222" s="11" t="s">
        <v>597</v>
      </c>
      <c r="D222" s="12">
        <v>67.660899999999998</v>
      </c>
      <c r="E222" s="11" t="s">
        <v>598</v>
      </c>
      <c r="F222" s="31">
        <v>0</v>
      </c>
    </row>
    <row r="223" spans="1:6">
      <c r="A223" s="30">
        <v>43564</v>
      </c>
      <c r="B223" s="11" t="s">
        <v>585</v>
      </c>
      <c r="C223" s="11" t="s">
        <v>597</v>
      </c>
      <c r="D223" s="12">
        <v>63.2714</v>
      </c>
      <c r="E223" s="11" t="s">
        <v>598</v>
      </c>
      <c r="F223" s="31">
        <v>0</v>
      </c>
    </row>
    <row r="224" spans="1:6">
      <c r="A224" s="30">
        <v>43565</v>
      </c>
      <c r="B224" s="11" t="s">
        <v>585</v>
      </c>
      <c r="C224" s="11" t="s">
        <v>597</v>
      </c>
      <c r="D224" s="12">
        <v>68.933999999999997</v>
      </c>
      <c r="E224" s="11" t="s">
        <v>598</v>
      </c>
      <c r="F224" s="31">
        <v>0</v>
      </c>
    </row>
    <row r="225" spans="1:6">
      <c r="A225" s="30">
        <v>43566</v>
      </c>
      <c r="B225" s="11" t="s">
        <v>585</v>
      </c>
      <c r="C225" s="11" t="s">
        <v>597</v>
      </c>
      <c r="D225" s="12">
        <v>76.718100000000007</v>
      </c>
      <c r="E225" s="11" t="s">
        <v>598</v>
      </c>
      <c r="F225" s="31">
        <v>0</v>
      </c>
    </row>
    <row r="226" spans="1:6">
      <c r="A226" s="30">
        <v>43567</v>
      </c>
      <c r="B226" s="11" t="s">
        <v>585</v>
      </c>
      <c r="C226" s="11" t="s">
        <v>597</v>
      </c>
      <c r="D226" s="12">
        <v>67.236000000000004</v>
      </c>
      <c r="E226" s="11" t="s">
        <v>598</v>
      </c>
      <c r="F226" s="31">
        <v>0</v>
      </c>
    </row>
    <row r="227" spans="1:6">
      <c r="A227" s="30">
        <v>43568</v>
      </c>
      <c r="B227" s="11" t="s">
        <v>585</v>
      </c>
      <c r="C227" s="11" t="s">
        <v>597</v>
      </c>
      <c r="D227" s="12">
        <v>61.371499999999997</v>
      </c>
      <c r="E227" s="11" t="s">
        <v>598</v>
      </c>
      <c r="F227" s="31">
        <v>0</v>
      </c>
    </row>
    <row r="228" spans="1:6">
      <c r="A228" s="30">
        <v>43569</v>
      </c>
      <c r="B228" s="11" t="s">
        <v>585</v>
      </c>
      <c r="C228" s="11" t="s">
        <v>597</v>
      </c>
      <c r="D228" s="12">
        <v>63.7271</v>
      </c>
      <c r="E228" s="11" t="s">
        <v>598</v>
      </c>
      <c r="F228" s="31">
        <v>0</v>
      </c>
    </row>
    <row r="229" spans="1:6">
      <c r="A229" s="30">
        <v>43570</v>
      </c>
      <c r="B229" s="11" t="s">
        <v>585</v>
      </c>
      <c r="C229" s="11" t="s">
        <v>597</v>
      </c>
      <c r="D229" s="12">
        <v>68.392399999999995</v>
      </c>
      <c r="E229" s="11" t="s">
        <v>598</v>
      </c>
      <c r="F229" s="31">
        <v>0</v>
      </c>
    </row>
    <row r="230" spans="1:6">
      <c r="A230" s="30">
        <v>43571</v>
      </c>
      <c r="B230" s="11" t="s">
        <v>585</v>
      </c>
      <c r="C230" s="11" t="s">
        <v>597</v>
      </c>
      <c r="D230" s="12">
        <v>69.115799999999993</v>
      </c>
      <c r="E230" s="11" t="s">
        <v>598</v>
      </c>
      <c r="F230" s="31">
        <v>0</v>
      </c>
    </row>
    <row r="231" spans="1:6">
      <c r="A231" s="30">
        <v>43572</v>
      </c>
      <c r="B231" s="11" t="s">
        <v>585</v>
      </c>
      <c r="C231" s="11" t="s">
        <v>597</v>
      </c>
      <c r="D231" s="12">
        <v>68.640600000000006</v>
      </c>
      <c r="E231" s="11" t="s">
        <v>598</v>
      </c>
      <c r="F231" s="31">
        <v>0</v>
      </c>
    </row>
    <row r="232" spans="1:6">
      <c r="A232" s="30">
        <v>43573</v>
      </c>
      <c r="B232" s="11" t="s">
        <v>585</v>
      </c>
      <c r="C232" s="11" t="s">
        <v>597</v>
      </c>
      <c r="D232" s="12">
        <v>72.002099999999999</v>
      </c>
      <c r="E232" s="11" t="s">
        <v>598</v>
      </c>
      <c r="F232" s="31">
        <v>0</v>
      </c>
    </row>
    <row r="233" spans="1:6">
      <c r="A233" s="30">
        <v>43574</v>
      </c>
      <c r="B233" s="11" t="s">
        <v>585</v>
      </c>
      <c r="C233" s="11" t="s">
        <v>597</v>
      </c>
      <c r="D233" s="12">
        <v>69.477099999999993</v>
      </c>
      <c r="E233" s="11" t="s">
        <v>598</v>
      </c>
      <c r="F233" s="31">
        <v>0</v>
      </c>
    </row>
    <row r="234" spans="1:6">
      <c r="A234" s="30">
        <v>43575</v>
      </c>
      <c r="B234" s="11" t="s">
        <v>585</v>
      </c>
      <c r="C234" s="11" t="s">
        <v>597</v>
      </c>
      <c r="D234" s="12">
        <v>63.400399999999998</v>
      </c>
      <c r="E234" s="11" t="s">
        <v>598</v>
      </c>
      <c r="F234" s="31">
        <v>0</v>
      </c>
    </row>
    <row r="235" spans="1:6">
      <c r="A235" s="30">
        <v>43576</v>
      </c>
      <c r="B235" s="11" t="s">
        <v>585</v>
      </c>
      <c r="C235" s="11" t="s">
        <v>597</v>
      </c>
      <c r="D235" s="12">
        <v>61.355600000000003</v>
      </c>
      <c r="E235" s="11" t="s">
        <v>598</v>
      </c>
      <c r="F235" s="31">
        <v>0</v>
      </c>
    </row>
    <row r="236" spans="1:6">
      <c r="A236" s="30">
        <v>43577</v>
      </c>
      <c r="B236" s="11" t="s">
        <v>585</v>
      </c>
      <c r="C236" s="11" t="s">
        <v>597</v>
      </c>
      <c r="D236" s="12">
        <v>65.952699999999993</v>
      </c>
      <c r="E236" s="11" t="s">
        <v>598</v>
      </c>
      <c r="F236" s="31">
        <v>0</v>
      </c>
    </row>
    <row r="237" spans="1:6">
      <c r="A237" s="30">
        <v>43578</v>
      </c>
      <c r="B237" s="11" t="s">
        <v>585</v>
      </c>
      <c r="C237" s="11" t="s">
        <v>597</v>
      </c>
      <c r="D237" s="12">
        <v>66.626199999999997</v>
      </c>
      <c r="E237" s="11" t="s">
        <v>598</v>
      </c>
      <c r="F237" s="31">
        <v>0</v>
      </c>
    </row>
    <row r="238" spans="1:6">
      <c r="A238" s="30">
        <v>43579</v>
      </c>
      <c r="B238" s="11" t="s">
        <v>585</v>
      </c>
      <c r="C238" s="11" t="s">
        <v>597</v>
      </c>
      <c r="D238" s="12">
        <v>67.564599999999999</v>
      </c>
      <c r="E238" s="11" t="s">
        <v>598</v>
      </c>
      <c r="F238" s="31">
        <v>0</v>
      </c>
    </row>
    <row r="239" spans="1:6">
      <c r="A239" s="30">
        <v>43580</v>
      </c>
      <c r="B239" s="11" t="s">
        <v>585</v>
      </c>
      <c r="C239" s="11" t="s">
        <v>597</v>
      </c>
      <c r="D239" s="12">
        <v>64.622699999999995</v>
      </c>
      <c r="E239" s="11" t="s">
        <v>598</v>
      </c>
      <c r="F239" s="31">
        <v>0</v>
      </c>
    </row>
    <row r="240" spans="1:6">
      <c r="A240" s="30">
        <v>43581</v>
      </c>
      <c r="B240" s="11" t="s">
        <v>585</v>
      </c>
      <c r="C240" s="11" t="s">
        <v>597</v>
      </c>
      <c r="D240" s="12">
        <v>68.027600000000007</v>
      </c>
      <c r="E240" s="11" t="s">
        <v>598</v>
      </c>
      <c r="F240" s="31">
        <v>0</v>
      </c>
    </row>
    <row r="241" spans="1:6">
      <c r="A241" s="30">
        <v>43582</v>
      </c>
      <c r="B241" s="11" t="s">
        <v>585</v>
      </c>
      <c r="C241" s="11" t="s">
        <v>597</v>
      </c>
      <c r="D241" s="12">
        <v>63.361699999999999</v>
      </c>
      <c r="E241" s="11" t="s">
        <v>598</v>
      </c>
      <c r="F241" s="31">
        <v>0</v>
      </c>
    </row>
    <row r="242" spans="1:6">
      <c r="A242" s="30">
        <v>43583</v>
      </c>
      <c r="B242" s="11" t="s">
        <v>585</v>
      </c>
      <c r="C242" s="11" t="s">
        <v>597</v>
      </c>
      <c r="D242" s="12">
        <v>63.917000000000002</v>
      </c>
      <c r="E242" s="11" t="s">
        <v>598</v>
      </c>
      <c r="F242" s="31">
        <v>0</v>
      </c>
    </row>
    <row r="243" spans="1:6">
      <c r="A243" s="30">
        <v>43584</v>
      </c>
      <c r="B243" s="11" t="s">
        <v>585</v>
      </c>
      <c r="C243" s="11" t="s">
        <v>597</v>
      </c>
      <c r="D243" s="12">
        <v>70.278099999999995</v>
      </c>
      <c r="E243" s="11" t="s">
        <v>598</v>
      </c>
      <c r="F243" s="31">
        <v>0</v>
      </c>
    </row>
    <row r="244" spans="1:6">
      <c r="A244" s="30">
        <v>43585</v>
      </c>
      <c r="B244" s="11" t="s">
        <v>585</v>
      </c>
      <c r="C244" s="11" t="s">
        <v>597</v>
      </c>
      <c r="D244" s="12">
        <v>69.877099999999999</v>
      </c>
      <c r="E244" s="11" t="s">
        <v>598</v>
      </c>
      <c r="F244" s="31">
        <v>0</v>
      </c>
    </row>
    <row r="245" spans="1:6">
      <c r="A245" s="30">
        <v>43586</v>
      </c>
      <c r="B245" s="11" t="s">
        <v>585</v>
      </c>
      <c r="C245" s="11" t="s">
        <v>597</v>
      </c>
      <c r="D245" s="12">
        <v>64.740799999999993</v>
      </c>
      <c r="E245" s="11" t="s">
        <v>598</v>
      </c>
      <c r="F245" s="31">
        <v>0</v>
      </c>
    </row>
    <row r="246" spans="1:6">
      <c r="A246" s="30">
        <v>43587</v>
      </c>
      <c r="B246" s="11" t="s">
        <v>585</v>
      </c>
      <c r="C246" s="11" t="s">
        <v>597</v>
      </c>
      <c r="D246" s="12">
        <v>59.6295</v>
      </c>
      <c r="E246" s="11" t="s">
        <v>598</v>
      </c>
      <c r="F246" s="31">
        <v>0</v>
      </c>
    </row>
    <row r="247" spans="1:6">
      <c r="A247" s="30">
        <v>43588</v>
      </c>
      <c r="B247" s="11" t="s">
        <v>585</v>
      </c>
      <c r="C247" s="11" t="s">
        <v>597</v>
      </c>
      <c r="D247" s="12">
        <v>59.911999999999999</v>
      </c>
      <c r="E247" s="11" t="s">
        <v>598</v>
      </c>
      <c r="F247" s="31">
        <v>0</v>
      </c>
    </row>
    <row r="248" spans="1:6">
      <c r="A248" s="30">
        <v>43589</v>
      </c>
      <c r="B248" s="11" t="s">
        <v>585</v>
      </c>
      <c r="C248" s="11" t="s">
        <v>597</v>
      </c>
      <c r="D248" s="12">
        <v>58.347799999999999</v>
      </c>
      <c r="E248" s="11" t="s">
        <v>598</v>
      </c>
      <c r="F248" s="31">
        <v>0</v>
      </c>
    </row>
    <row r="249" spans="1:6">
      <c r="A249" s="30">
        <v>43590</v>
      </c>
      <c r="B249" s="11" t="s">
        <v>585</v>
      </c>
      <c r="C249" s="11" t="s">
        <v>597</v>
      </c>
      <c r="D249" s="12">
        <v>60.3003</v>
      </c>
      <c r="E249" s="11" t="s">
        <v>598</v>
      </c>
      <c r="F249" s="31">
        <v>0</v>
      </c>
    </row>
    <row r="250" spans="1:6">
      <c r="A250" s="30">
        <v>43591</v>
      </c>
      <c r="B250" s="11" t="s">
        <v>585</v>
      </c>
      <c r="C250" s="11" t="s">
        <v>597</v>
      </c>
      <c r="D250" s="12">
        <v>64.405000000000001</v>
      </c>
      <c r="E250" s="11" t="s">
        <v>598</v>
      </c>
      <c r="F250" s="31">
        <v>0</v>
      </c>
    </row>
    <row r="251" spans="1:6">
      <c r="A251" s="30">
        <v>43592</v>
      </c>
      <c r="B251" s="11" t="s">
        <v>585</v>
      </c>
      <c r="C251" s="11" t="s">
        <v>597</v>
      </c>
      <c r="D251" s="12">
        <v>69.227199999999996</v>
      </c>
      <c r="E251" s="11" t="s">
        <v>598</v>
      </c>
      <c r="F251" s="31">
        <v>0</v>
      </c>
    </row>
    <row r="252" spans="1:6">
      <c r="A252" s="30">
        <v>43593</v>
      </c>
      <c r="B252" s="11" t="s">
        <v>585</v>
      </c>
      <c r="C252" s="11" t="s">
        <v>597</v>
      </c>
      <c r="D252" s="12">
        <v>66.970600000000005</v>
      </c>
      <c r="E252" s="11" t="s">
        <v>598</v>
      </c>
      <c r="F252" s="31">
        <v>0</v>
      </c>
    </row>
    <row r="253" spans="1:6">
      <c r="A253" s="30">
        <v>43594</v>
      </c>
      <c r="B253" s="11" t="s">
        <v>585</v>
      </c>
      <c r="C253" s="11" t="s">
        <v>597</v>
      </c>
      <c r="D253" s="12">
        <v>77.2059</v>
      </c>
      <c r="E253" s="11" t="s">
        <v>598</v>
      </c>
      <c r="F253" s="31">
        <v>0</v>
      </c>
    </row>
    <row r="254" spans="1:6">
      <c r="A254" s="30">
        <v>43595</v>
      </c>
      <c r="B254" s="11" t="s">
        <v>585</v>
      </c>
      <c r="C254" s="11" t="s">
        <v>597</v>
      </c>
      <c r="D254" s="12">
        <v>74.883600000000001</v>
      </c>
      <c r="E254" s="11" t="s">
        <v>598</v>
      </c>
      <c r="F254" s="31">
        <v>0</v>
      </c>
    </row>
    <row r="255" spans="1:6">
      <c r="A255" s="30">
        <v>43596</v>
      </c>
      <c r="B255" s="11" t="s">
        <v>585</v>
      </c>
      <c r="C255" s="11" t="s">
        <v>597</v>
      </c>
      <c r="D255" s="12">
        <v>73.549800000000005</v>
      </c>
      <c r="E255" s="11" t="s">
        <v>598</v>
      </c>
      <c r="F255" s="31">
        <v>0</v>
      </c>
    </row>
    <row r="256" spans="1:6">
      <c r="A256" s="30">
        <v>43597</v>
      </c>
      <c r="B256" s="11" t="s">
        <v>585</v>
      </c>
      <c r="C256" s="11" t="s">
        <v>597</v>
      </c>
      <c r="D256" s="12">
        <v>71.791300000000007</v>
      </c>
      <c r="E256" s="11" t="s">
        <v>598</v>
      </c>
      <c r="F256" s="31">
        <v>0</v>
      </c>
    </row>
    <row r="257" spans="1:6">
      <c r="A257" s="30">
        <v>43598</v>
      </c>
      <c r="B257" s="11" t="s">
        <v>585</v>
      </c>
      <c r="C257" s="11" t="s">
        <v>597</v>
      </c>
      <c r="D257" s="12">
        <v>73.344899999999996</v>
      </c>
      <c r="E257" s="11" t="s">
        <v>598</v>
      </c>
      <c r="F257" s="31">
        <v>0</v>
      </c>
    </row>
    <row r="258" spans="1:6">
      <c r="A258" s="30">
        <v>43599</v>
      </c>
      <c r="B258" s="11" t="s">
        <v>585</v>
      </c>
      <c r="C258" s="11" t="s">
        <v>597</v>
      </c>
      <c r="D258" s="12">
        <v>74.102400000000003</v>
      </c>
      <c r="E258" s="11" t="s">
        <v>598</v>
      </c>
      <c r="F258" s="31">
        <v>0</v>
      </c>
    </row>
    <row r="259" spans="1:6">
      <c r="A259" s="30">
        <v>43600</v>
      </c>
      <c r="B259" s="11" t="s">
        <v>585</v>
      </c>
      <c r="C259" s="11" t="s">
        <v>597</v>
      </c>
      <c r="D259" s="12">
        <v>74.538700000000006</v>
      </c>
      <c r="E259" s="11" t="s">
        <v>598</v>
      </c>
      <c r="F259" s="31">
        <v>0</v>
      </c>
    </row>
    <row r="260" spans="1:6">
      <c r="A260" s="30">
        <v>43601</v>
      </c>
      <c r="B260" s="11" t="s">
        <v>585</v>
      </c>
      <c r="C260" s="11" t="s">
        <v>597</v>
      </c>
      <c r="D260" s="12">
        <v>70.834999999999994</v>
      </c>
      <c r="E260" s="11" t="s">
        <v>598</v>
      </c>
      <c r="F260" s="31">
        <v>0</v>
      </c>
    </row>
    <row r="261" spans="1:6">
      <c r="A261" s="30">
        <v>43602</v>
      </c>
      <c r="B261" s="11" t="s">
        <v>585</v>
      </c>
      <c r="C261" s="11" t="s">
        <v>597</v>
      </c>
      <c r="D261" s="12">
        <v>72.237300000000005</v>
      </c>
      <c r="E261" s="11" t="s">
        <v>598</v>
      </c>
      <c r="F261" s="31">
        <v>0</v>
      </c>
    </row>
    <row r="262" spans="1:6">
      <c r="A262" s="30">
        <v>43603</v>
      </c>
      <c r="B262" s="11" t="s">
        <v>585</v>
      </c>
      <c r="C262" s="11" t="s">
        <v>597</v>
      </c>
      <c r="D262" s="12">
        <v>66.182500000000005</v>
      </c>
      <c r="E262" s="11" t="s">
        <v>598</v>
      </c>
      <c r="F262" s="31">
        <v>0</v>
      </c>
    </row>
    <row r="263" spans="1:6">
      <c r="A263" s="30">
        <v>43604</v>
      </c>
      <c r="B263" s="11" t="s">
        <v>585</v>
      </c>
      <c r="C263" s="11" t="s">
        <v>597</v>
      </c>
      <c r="D263" s="12">
        <v>68.740300000000005</v>
      </c>
      <c r="E263" s="11" t="s">
        <v>598</v>
      </c>
      <c r="F263" s="31">
        <v>0</v>
      </c>
    </row>
    <row r="264" spans="1:6">
      <c r="A264" s="30">
        <v>43605</v>
      </c>
      <c r="B264" s="11" t="s">
        <v>585</v>
      </c>
      <c r="C264" s="11" t="s">
        <v>597</v>
      </c>
      <c r="D264" s="12">
        <v>71.896600000000007</v>
      </c>
      <c r="E264" s="11" t="s">
        <v>598</v>
      </c>
      <c r="F264" s="31">
        <v>0</v>
      </c>
    </row>
    <row r="265" spans="1:6">
      <c r="A265" s="30">
        <v>43606</v>
      </c>
      <c r="B265" s="11" t="s">
        <v>585</v>
      </c>
      <c r="C265" s="11" t="s">
        <v>597</v>
      </c>
      <c r="D265" s="12">
        <v>85.553200000000004</v>
      </c>
      <c r="E265" s="11" t="s">
        <v>598</v>
      </c>
      <c r="F265" s="31">
        <v>0</v>
      </c>
    </row>
    <row r="266" spans="1:6">
      <c r="A266" s="30">
        <v>43607</v>
      </c>
      <c r="B266" s="11" t="s">
        <v>585</v>
      </c>
      <c r="C266" s="11" t="s">
        <v>597</v>
      </c>
      <c r="D266" s="12">
        <v>78.919799999999995</v>
      </c>
      <c r="E266" s="11" t="s">
        <v>598</v>
      </c>
      <c r="F266" s="31">
        <v>0</v>
      </c>
    </row>
    <row r="267" spans="1:6">
      <c r="A267" s="30">
        <v>43608</v>
      </c>
      <c r="B267" s="11" t="s">
        <v>585</v>
      </c>
      <c r="C267" s="11" t="s">
        <v>597</v>
      </c>
      <c r="D267" s="12">
        <v>77.287700000000001</v>
      </c>
      <c r="E267" s="11" t="s">
        <v>598</v>
      </c>
      <c r="F267" s="31">
        <v>0</v>
      </c>
    </row>
    <row r="268" spans="1:6">
      <c r="A268" s="30">
        <v>43609</v>
      </c>
      <c r="B268" s="11" t="s">
        <v>585</v>
      </c>
      <c r="C268" s="11" t="s">
        <v>597</v>
      </c>
      <c r="D268" s="12">
        <v>76.821399999999997</v>
      </c>
      <c r="E268" s="11" t="s">
        <v>598</v>
      </c>
      <c r="F268" s="31">
        <v>0</v>
      </c>
    </row>
    <row r="269" spans="1:6">
      <c r="A269" s="30">
        <v>43610</v>
      </c>
      <c r="B269" s="11" t="s">
        <v>585</v>
      </c>
      <c r="C269" s="11" t="s">
        <v>597</v>
      </c>
      <c r="D269" s="12">
        <v>73.503399999999999</v>
      </c>
      <c r="E269" s="11" t="s">
        <v>598</v>
      </c>
      <c r="F269" s="31">
        <v>0</v>
      </c>
    </row>
    <row r="270" spans="1:6">
      <c r="A270" s="30">
        <v>43611</v>
      </c>
      <c r="B270" s="11" t="s">
        <v>585</v>
      </c>
      <c r="C270" s="11" t="s">
        <v>597</v>
      </c>
      <c r="D270" s="12">
        <v>73.016900000000007</v>
      </c>
      <c r="E270" s="11" t="s">
        <v>598</v>
      </c>
      <c r="F270" s="31">
        <v>0</v>
      </c>
    </row>
    <row r="271" spans="1:6">
      <c r="A271" s="30">
        <v>43612</v>
      </c>
      <c r="B271" s="11" t="s">
        <v>585</v>
      </c>
      <c r="C271" s="11" t="s">
        <v>597</v>
      </c>
      <c r="D271" s="12">
        <v>76.245699999999999</v>
      </c>
      <c r="E271" s="11" t="s">
        <v>598</v>
      </c>
      <c r="F271" s="31">
        <v>0</v>
      </c>
    </row>
    <row r="272" spans="1:6">
      <c r="A272" s="30">
        <v>43613</v>
      </c>
      <c r="B272" s="11" t="s">
        <v>585</v>
      </c>
      <c r="C272" s="11" t="s">
        <v>597</v>
      </c>
      <c r="D272" s="12">
        <v>84.511700000000005</v>
      </c>
      <c r="E272" s="11" t="s">
        <v>598</v>
      </c>
      <c r="F272" s="31">
        <v>0</v>
      </c>
    </row>
    <row r="273" spans="1:6">
      <c r="A273" s="30">
        <v>43614</v>
      </c>
      <c r="B273" s="11" t="s">
        <v>585</v>
      </c>
      <c r="C273" s="11" t="s">
        <v>597</v>
      </c>
      <c r="D273" s="12">
        <v>77.583500000000001</v>
      </c>
      <c r="E273" s="11" t="s">
        <v>598</v>
      </c>
      <c r="F273" s="31">
        <v>0</v>
      </c>
    </row>
    <row r="274" spans="1:6">
      <c r="A274" s="30">
        <v>43615</v>
      </c>
      <c r="B274" s="11" t="s">
        <v>585</v>
      </c>
      <c r="C274" s="11" t="s">
        <v>597</v>
      </c>
      <c r="D274" s="12">
        <v>77.966899999999995</v>
      </c>
      <c r="E274" s="11" t="s">
        <v>598</v>
      </c>
      <c r="F274" s="31">
        <v>0</v>
      </c>
    </row>
    <row r="275" spans="1:6">
      <c r="A275" s="30">
        <v>43616</v>
      </c>
      <c r="B275" s="11" t="s">
        <v>585</v>
      </c>
      <c r="C275" s="11" t="s">
        <v>597</v>
      </c>
      <c r="D275" s="12">
        <v>78.040999999999997</v>
      </c>
      <c r="E275" s="11" t="s">
        <v>598</v>
      </c>
      <c r="F275" s="31">
        <v>0</v>
      </c>
    </row>
    <row r="276" spans="1:6">
      <c r="A276" s="30">
        <v>43617</v>
      </c>
      <c r="B276" s="11" t="s">
        <v>585</v>
      </c>
      <c r="C276" s="11" t="s">
        <v>597</v>
      </c>
      <c r="D276" s="12">
        <v>74.531999999999996</v>
      </c>
      <c r="E276" s="11" t="s">
        <v>598</v>
      </c>
      <c r="F276" s="31">
        <v>0</v>
      </c>
    </row>
    <row r="277" spans="1:6">
      <c r="A277" s="30">
        <v>43618</v>
      </c>
      <c r="B277" s="11" t="s">
        <v>585</v>
      </c>
      <c r="C277" s="11" t="s">
        <v>597</v>
      </c>
      <c r="D277" s="12">
        <v>74.839699999999993</v>
      </c>
      <c r="E277" s="11" t="s">
        <v>598</v>
      </c>
      <c r="F277" s="31">
        <v>0</v>
      </c>
    </row>
    <row r="278" spans="1:6">
      <c r="A278" s="30">
        <v>43619</v>
      </c>
      <c r="B278" s="11" t="s">
        <v>585</v>
      </c>
      <c r="C278" s="11" t="s">
        <v>597</v>
      </c>
      <c r="D278" s="12">
        <v>78.994500000000002</v>
      </c>
      <c r="E278" s="11" t="s">
        <v>598</v>
      </c>
      <c r="F278" s="31">
        <v>0</v>
      </c>
    </row>
    <row r="279" spans="1:6">
      <c r="A279" s="30">
        <v>43620</v>
      </c>
      <c r="B279" s="11" t="s">
        <v>585</v>
      </c>
      <c r="C279" s="11" t="s">
        <v>597</v>
      </c>
      <c r="D279" s="12">
        <v>74.496899999999997</v>
      </c>
      <c r="E279" s="11" t="s">
        <v>598</v>
      </c>
      <c r="F279" s="31">
        <v>0</v>
      </c>
    </row>
    <row r="280" spans="1:6">
      <c r="A280" s="30">
        <v>43621</v>
      </c>
      <c r="B280" s="11" t="s">
        <v>585</v>
      </c>
      <c r="C280" s="11" t="s">
        <v>597</v>
      </c>
      <c r="D280" s="12">
        <v>75.878500000000003</v>
      </c>
      <c r="E280" s="11" t="s">
        <v>598</v>
      </c>
      <c r="F280" s="31">
        <v>0</v>
      </c>
    </row>
    <row r="281" spans="1:6">
      <c r="A281" s="30">
        <v>43622</v>
      </c>
      <c r="B281" s="11" t="s">
        <v>585</v>
      </c>
      <c r="C281" s="11" t="s">
        <v>597</v>
      </c>
      <c r="D281" s="12">
        <v>76.352800000000002</v>
      </c>
      <c r="E281" s="11" t="s">
        <v>598</v>
      </c>
      <c r="F281" s="31">
        <v>0</v>
      </c>
    </row>
    <row r="282" spans="1:6">
      <c r="A282" s="30">
        <v>43623</v>
      </c>
      <c r="B282" s="11" t="s">
        <v>585</v>
      </c>
      <c r="C282" s="11" t="s">
        <v>597</v>
      </c>
      <c r="D282" s="12">
        <v>75.858500000000006</v>
      </c>
      <c r="E282" s="11" t="s">
        <v>598</v>
      </c>
      <c r="F282" s="31">
        <v>0</v>
      </c>
    </row>
    <row r="283" spans="1:6">
      <c r="A283" s="30">
        <v>43624</v>
      </c>
      <c r="B283" s="11" t="s">
        <v>585</v>
      </c>
      <c r="C283" s="11" t="s">
        <v>597</v>
      </c>
      <c r="D283" s="12">
        <v>70.3</v>
      </c>
      <c r="E283" s="11" t="s">
        <v>598</v>
      </c>
      <c r="F283" s="31">
        <v>0</v>
      </c>
    </row>
    <row r="284" spans="1:6">
      <c r="A284" s="30">
        <v>43625</v>
      </c>
      <c r="B284" s="11" t="s">
        <v>585</v>
      </c>
      <c r="C284" s="11" t="s">
        <v>597</v>
      </c>
      <c r="D284" s="12">
        <v>71.561700000000002</v>
      </c>
      <c r="E284" s="11" t="s">
        <v>598</v>
      </c>
      <c r="F284" s="31">
        <v>0</v>
      </c>
    </row>
    <row r="285" spans="1:6">
      <c r="A285" s="30">
        <v>43626</v>
      </c>
      <c r="B285" s="11" t="s">
        <v>585</v>
      </c>
      <c r="C285" s="11" t="s">
        <v>597</v>
      </c>
      <c r="D285" s="12">
        <v>76.087800000000001</v>
      </c>
      <c r="E285" s="11" t="s">
        <v>598</v>
      </c>
      <c r="F285" s="31">
        <v>0</v>
      </c>
    </row>
    <row r="286" spans="1:6">
      <c r="A286" s="30">
        <v>43627</v>
      </c>
      <c r="B286" s="11" t="s">
        <v>585</v>
      </c>
      <c r="C286" s="11" t="s">
        <v>597</v>
      </c>
      <c r="D286" s="12">
        <v>74.159400000000005</v>
      </c>
      <c r="E286" s="11" t="s">
        <v>598</v>
      </c>
      <c r="F286" s="31">
        <v>0</v>
      </c>
    </row>
    <row r="287" spans="1:6">
      <c r="A287" s="30">
        <v>43628</v>
      </c>
      <c r="B287" s="11" t="s">
        <v>585</v>
      </c>
      <c r="C287" s="11" t="s">
        <v>597</v>
      </c>
      <c r="D287" s="12">
        <v>71.376499999999993</v>
      </c>
      <c r="E287" s="11" t="s">
        <v>598</v>
      </c>
      <c r="F287" s="31">
        <v>0</v>
      </c>
    </row>
    <row r="288" spans="1:6">
      <c r="A288" s="30">
        <v>43629</v>
      </c>
      <c r="B288" s="11" t="s">
        <v>585</v>
      </c>
      <c r="C288" s="11" t="s">
        <v>597</v>
      </c>
      <c r="D288" s="12">
        <v>73.829599999999999</v>
      </c>
      <c r="E288" s="11" t="s">
        <v>598</v>
      </c>
      <c r="F288" s="31">
        <v>0</v>
      </c>
    </row>
    <row r="289" spans="1:6">
      <c r="A289" s="30">
        <v>43630</v>
      </c>
      <c r="B289" s="11" t="s">
        <v>585</v>
      </c>
      <c r="C289" s="11" t="s">
        <v>597</v>
      </c>
      <c r="D289" s="12">
        <v>76.150199999999998</v>
      </c>
      <c r="E289" s="11" t="s">
        <v>598</v>
      </c>
      <c r="F289" s="31">
        <v>0</v>
      </c>
    </row>
    <row r="290" spans="1:6">
      <c r="A290" s="30">
        <v>43631</v>
      </c>
      <c r="B290" s="11" t="s">
        <v>585</v>
      </c>
      <c r="C290" s="11" t="s">
        <v>597</v>
      </c>
      <c r="D290" s="12">
        <v>68.995999999999995</v>
      </c>
      <c r="E290" s="11" t="s">
        <v>598</v>
      </c>
      <c r="F290" s="31">
        <v>0</v>
      </c>
    </row>
    <row r="291" spans="1:6">
      <c r="A291" s="30">
        <v>43632</v>
      </c>
      <c r="B291" s="11" t="s">
        <v>585</v>
      </c>
      <c r="C291" s="11" t="s">
        <v>597</v>
      </c>
      <c r="D291" s="12">
        <v>67.215299999999999</v>
      </c>
      <c r="E291" s="11" t="s">
        <v>598</v>
      </c>
      <c r="F291" s="31">
        <v>0</v>
      </c>
    </row>
    <row r="292" spans="1:6">
      <c r="A292" s="30">
        <v>43633</v>
      </c>
      <c r="B292" s="11" t="s">
        <v>585</v>
      </c>
      <c r="C292" s="11" t="s">
        <v>597</v>
      </c>
      <c r="D292" s="12">
        <v>72.793199999999999</v>
      </c>
      <c r="E292" s="11" t="s">
        <v>598</v>
      </c>
      <c r="F292" s="31">
        <v>0</v>
      </c>
    </row>
    <row r="293" spans="1:6">
      <c r="A293" s="30">
        <v>43634</v>
      </c>
      <c r="B293" s="11" t="s">
        <v>585</v>
      </c>
      <c r="C293" s="11" t="s">
        <v>597</v>
      </c>
      <c r="D293" s="12">
        <v>72.853499999999997</v>
      </c>
      <c r="E293" s="11" t="s">
        <v>598</v>
      </c>
      <c r="F293" s="31">
        <v>0</v>
      </c>
    </row>
    <row r="294" spans="1:6">
      <c r="A294" s="30">
        <v>43635</v>
      </c>
      <c r="B294" s="11" t="s">
        <v>585</v>
      </c>
      <c r="C294" s="11" t="s">
        <v>597</v>
      </c>
      <c r="D294" s="12">
        <v>73.256600000000006</v>
      </c>
      <c r="E294" s="11" t="s">
        <v>598</v>
      </c>
      <c r="F294" s="31">
        <v>0</v>
      </c>
    </row>
    <row r="295" spans="1:6">
      <c r="A295" s="30">
        <v>43636</v>
      </c>
      <c r="B295" s="11" t="s">
        <v>585</v>
      </c>
      <c r="C295" s="11" t="s">
        <v>597</v>
      </c>
      <c r="D295" s="12">
        <v>70.818899999999999</v>
      </c>
      <c r="E295" s="11" t="s">
        <v>598</v>
      </c>
      <c r="F295" s="31">
        <v>0</v>
      </c>
    </row>
    <row r="296" spans="1:6">
      <c r="A296" s="30">
        <v>43637</v>
      </c>
      <c r="B296" s="11" t="s">
        <v>585</v>
      </c>
      <c r="C296" s="11" t="s">
        <v>597</v>
      </c>
      <c r="D296" s="12">
        <v>72.1477</v>
      </c>
      <c r="E296" s="11" t="s">
        <v>598</v>
      </c>
      <c r="F296" s="31">
        <v>0</v>
      </c>
    </row>
    <row r="297" spans="1:6">
      <c r="A297" s="30">
        <v>43638</v>
      </c>
      <c r="B297" s="11" t="s">
        <v>585</v>
      </c>
      <c r="C297" s="11" t="s">
        <v>597</v>
      </c>
      <c r="D297" s="12">
        <v>71.214699999999993</v>
      </c>
      <c r="E297" s="11" t="s">
        <v>598</v>
      </c>
      <c r="F297" s="31">
        <v>0</v>
      </c>
    </row>
    <row r="298" spans="1:6">
      <c r="A298" s="30">
        <v>43639</v>
      </c>
      <c r="B298" s="11" t="s">
        <v>585</v>
      </c>
      <c r="C298" s="11" t="s">
        <v>597</v>
      </c>
      <c r="D298" s="12">
        <v>69.442999999999998</v>
      </c>
      <c r="E298" s="11" t="s">
        <v>598</v>
      </c>
      <c r="F298" s="31">
        <v>0</v>
      </c>
    </row>
    <row r="299" spans="1:6">
      <c r="A299" s="30">
        <v>43640</v>
      </c>
      <c r="B299" s="11" t="s">
        <v>585</v>
      </c>
      <c r="C299" s="11" t="s">
        <v>597</v>
      </c>
      <c r="D299" s="12">
        <v>76.094099999999997</v>
      </c>
      <c r="E299" s="11" t="s">
        <v>598</v>
      </c>
      <c r="F299" s="31">
        <v>0</v>
      </c>
    </row>
    <row r="300" spans="1:6">
      <c r="A300" s="30">
        <v>43641</v>
      </c>
      <c r="B300" s="11" t="s">
        <v>585</v>
      </c>
      <c r="C300" s="11" t="s">
        <v>597</v>
      </c>
      <c r="D300" s="12">
        <v>73.072100000000006</v>
      </c>
      <c r="E300" s="11" t="s">
        <v>598</v>
      </c>
      <c r="F300" s="31">
        <v>0</v>
      </c>
    </row>
    <row r="301" spans="1:6">
      <c r="A301" s="30">
        <v>43642</v>
      </c>
      <c r="B301" s="11" t="s">
        <v>585</v>
      </c>
      <c r="C301" s="11" t="s">
        <v>597</v>
      </c>
      <c r="D301" s="12">
        <v>72.292100000000005</v>
      </c>
      <c r="E301" s="11" t="s">
        <v>598</v>
      </c>
      <c r="F301" s="31">
        <v>0</v>
      </c>
    </row>
    <row r="302" spans="1:6">
      <c r="A302" s="30">
        <v>43643</v>
      </c>
      <c r="B302" s="11" t="s">
        <v>585</v>
      </c>
      <c r="C302" s="11" t="s">
        <v>597</v>
      </c>
      <c r="D302" s="12">
        <v>69.782799999999995</v>
      </c>
      <c r="E302" s="11" t="s">
        <v>598</v>
      </c>
      <c r="F302" s="31">
        <v>0</v>
      </c>
    </row>
    <row r="303" spans="1:6">
      <c r="A303" s="30">
        <v>43644</v>
      </c>
      <c r="B303" s="11" t="s">
        <v>585</v>
      </c>
      <c r="C303" s="11" t="s">
        <v>597</v>
      </c>
      <c r="D303" s="12">
        <v>71.429100000000005</v>
      </c>
      <c r="E303" s="11" t="s">
        <v>598</v>
      </c>
      <c r="F303" s="31">
        <v>0</v>
      </c>
    </row>
    <row r="304" spans="1:6">
      <c r="A304" s="30">
        <v>43645</v>
      </c>
      <c r="B304" s="11" t="s">
        <v>585</v>
      </c>
      <c r="C304" s="11" t="s">
        <v>597</v>
      </c>
      <c r="D304" s="12">
        <v>68.974100000000007</v>
      </c>
      <c r="E304" s="11" t="s">
        <v>598</v>
      </c>
      <c r="F304" s="31">
        <v>0</v>
      </c>
    </row>
    <row r="305" spans="1:6">
      <c r="A305" s="30">
        <v>43646</v>
      </c>
      <c r="B305" s="11" t="s">
        <v>585</v>
      </c>
      <c r="C305" s="11" t="s">
        <v>597</v>
      </c>
      <c r="D305" s="12">
        <v>70.637200000000007</v>
      </c>
      <c r="E305" s="11" t="s">
        <v>598</v>
      </c>
      <c r="F305" s="31">
        <v>0</v>
      </c>
    </row>
    <row r="306" spans="1:6">
      <c r="A306" s="30">
        <v>43647</v>
      </c>
      <c r="B306" s="11" t="s">
        <v>585</v>
      </c>
      <c r="C306" s="11" t="s">
        <v>597</v>
      </c>
      <c r="D306" s="12">
        <v>73.764300000000006</v>
      </c>
      <c r="E306" s="11" t="s">
        <v>598</v>
      </c>
      <c r="F306" s="31">
        <v>0</v>
      </c>
    </row>
    <row r="307" spans="1:6">
      <c r="A307" s="30">
        <v>43648</v>
      </c>
      <c r="B307" s="11" t="s">
        <v>585</v>
      </c>
      <c r="C307" s="11" t="s">
        <v>597</v>
      </c>
      <c r="D307" s="12">
        <v>71.333100000000002</v>
      </c>
      <c r="E307" s="11" t="s">
        <v>598</v>
      </c>
      <c r="F307" s="31">
        <v>0</v>
      </c>
    </row>
    <row r="308" spans="1:6">
      <c r="A308" s="30">
        <v>43649</v>
      </c>
      <c r="B308" s="11" t="s">
        <v>585</v>
      </c>
      <c r="C308" s="11" t="s">
        <v>597</v>
      </c>
      <c r="D308" s="12">
        <v>70.972200000000001</v>
      </c>
      <c r="E308" s="11" t="s">
        <v>598</v>
      </c>
      <c r="F308" s="31">
        <v>0</v>
      </c>
    </row>
    <row r="309" spans="1:6">
      <c r="A309" s="30">
        <v>43650</v>
      </c>
      <c r="B309" s="11" t="s">
        <v>585</v>
      </c>
      <c r="C309" s="11" t="s">
        <v>597</v>
      </c>
      <c r="D309" s="12">
        <v>67.262299999999996</v>
      </c>
      <c r="E309" s="11" t="s">
        <v>598</v>
      </c>
      <c r="F309" s="31">
        <v>0</v>
      </c>
    </row>
    <row r="310" spans="1:6">
      <c r="A310" s="30">
        <v>43651</v>
      </c>
      <c r="B310" s="11" t="s">
        <v>585</v>
      </c>
      <c r="C310" s="11" t="s">
        <v>597</v>
      </c>
      <c r="D310" s="12">
        <v>69.152199999999993</v>
      </c>
      <c r="E310" s="11" t="s">
        <v>598</v>
      </c>
      <c r="F310" s="31">
        <v>0</v>
      </c>
    </row>
    <row r="311" spans="1:6">
      <c r="A311" s="30">
        <v>43652</v>
      </c>
      <c r="B311" s="11" t="s">
        <v>585</v>
      </c>
      <c r="C311" s="11" t="s">
        <v>597</v>
      </c>
      <c r="D311" s="12">
        <v>70.898300000000006</v>
      </c>
      <c r="E311" s="11" t="s">
        <v>598</v>
      </c>
      <c r="F311" s="31">
        <v>0</v>
      </c>
    </row>
    <row r="312" spans="1:6">
      <c r="A312" s="30">
        <v>43653</v>
      </c>
      <c r="B312" s="11" t="s">
        <v>585</v>
      </c>
      <c r="C312" s="11" t="s">
        <v>597</v>
      </c>
      <c r="D312" s="12">
        <v>69.666700000000006</v>
      </c>
      <c r="E312" s="11" t="s">
        <v>598</v>
      </c>
      <c r="F312" s="31">
        <v>0</v>
      </c>
    </row>
    <row r="313" spans="1:6">
      <c r="A313" s="30">
        <v>43654</v>
      </c>
      <c r="B313" s="11" t="s">
        <v>585</v>
      </c>
      <c r="C313" s="11" t="s">
        <v>597</v>
      </c>
      <c r="D313" s="12">
        <v>74.011200000000002</v>
      </c>
      <c r="E313" s="11" t="s">
        <v>598</v>
      </c>
      <c r="F313" s="31">
        <v>0</v>
      </c>
    </row>
    <row r="314" spans="1:6">
      <c r="A314" s="30">
        <v>43655</v>
      </c>
      <c r="B314" s="11" t="s">
        <v>585</v>
      </c>
      <c r="C314" s="11" t="s">
        <v>597</v>
      </c>
      <c r="D314" s="12">
        <v>73.497699999999995</v>
      </c>
      <c r="E314" s="11" t="s">
        <v>598</v>
      </c>
      <c r="F314" s="31">
        <v>0</v>
      </c>
    </row>
    <row r="315" spans="1:6">
      <c r="A315" s="30">
        <v>43656</v>
      </c>
      <c r="B315" s="11" t="s">
        <v>585</v>
      </c>
      <c r="C315" s="11" t="s">
        <v>597</v>
      </c>
      <c r="D315" s="12">
        <v>70.703100000000006</v>
      </c>
      <c r="E315" s="11" t="s">
        <v>598</v>
      </c>
      <c r="F315" s="31">
        <v>0</v>
      </c>
    </row>
    <row r="316" spans="1:6">
      <c r="A316" s="30">
        <v>43657</v>
      </c>
      <c r="B316" s="11" t="s">
        <v>585</v>
      </c>
      <c r="C316" s="11" t="s">
        <v>597</v>
      </c>
      <c r="D316" s="12">
        <v>71.794600000000003</v>
      </c>
      <c r="E316" s="11" t="s">
        <v>598</v>
      </c>
      <c r="F316" s="31">
        <v>0</v>
      </c>
    </row>
    <row r="317" spans="1:6">
      <c r="A317" s="30">
        <v>43658</v>
      </c>
      <c r="B317" s="11" t="s">
        <v>585</v>
      </c>
      <c r="C317" s="11" t="s">
        <v>597</v>
      </c>
      <c r="D317" s="12">
        <v>71.236400000000003</v>
      </c>
      <c r="E317" s="11" t="s">
        <v>598</v>
      </c>
      <c r="F317" s="31">
        <v>0</v>
      </c>
    </row>
    <row r="318" spans="1:6">
      <c r="A318" s="30">
        <v>43659</v>
      </c>
      <c r="B318" s="11" t="s">
        <v>585</v>
      </c>
      <c r="C318" s="11" t="s">
        <v>597</v>
      </c>
      <c r="D318" s="12">
        <v>72.159000000000006</v>
      </c>
      <c r="E318" s="11" t="s">
        <v>598</v>
      </c>
      <c r="F318" s="31">
        <v>0</v>
      </c>
    </row>
    <row r="319" spans="1:6">
      <c r="A319" s="30">
        <v>43660</v>
      </c>
      <c r="B319" s="11" t="s">
        <v>585</v>
      </c>
      <c r="C319" s="11" t="s">
        <v>597</v>
      </c>
      <c r="D319" s="12">
        <v>72.026899999999998</v>
      </c>
      <c r="E319" s="11" t="s">
        <v>598</v>
      </c>
      <c r="F319" s="31">
        <v>0</v>
      </c>
    </row>
    <row r="320" spans="1:6">
      <c r="A320" s="30">
        <v>43661</v>
      </c>
      <c r="B320" s="11" t="s">
        <v>585</v>
      </c>
      <c r="C320" s="11" t="s">
        <v>597</v>
      </c>
      <c r="D320" s="12">
        <v>68.404200000000003</v>
      </c>
      <c r="E320" s="11" t="s">
        <v>598</v>
      </c>
      <c r="F320" s="31">
        <v>0</v>
      </c>
    </row>
    <row r="321" spans="1:6">
      <c r="A321" s="30">
        <v>43662</v>
      </c>
      <c r="B321" s="11" t="s">
        <v>585</v>
      </c>
      <c r="C321" s="11" t="s">
        <v>597</v>
      </c>
      <c r="D321" s="12">
        <v>58.109699999999997</v>
      </c>
      <c r="E321" s="11" t="s">
        <v>598</v>
      </c>
      <c r="F321" s="31">
        <v>0</v>
      </c>
    </row>
    <row r="322" spans="1:6">
      <c r="A322" s="30">
        <v>43663</v>
      </c>
      <c r="B322" s="11" t="s">
        <v>585</v>
      </c>
      <c r="C322" s="11" t="s">
        <v>597</v>
      </c>
      <c r="D322" s="12">
        <v>64.043000000000006</v>
      </c>
      <c r="E322" s="11" t="s">
        <v>598</v>
      </c>
      <c r="F322" s="31">
        <v>0</v>
      </c>
    </row>
    <row r="323" spans="1:6">
      <c r="A323" s="30">
        <v>43664</v>
      </c>
      <c r="B323" s="11" t="s">
        <v>585</v>
      </c>
      <c r="C323" s="11" t="s">
        <v>597</v>
      </c>
      <c r="D323" s="12">
        <v>63.9482</v>
      </c>
      <c r="E323" s="11" t="s">
        <v>598</v>
      </c>
      <c r="F323" s="31">
        <v>0</v>
      </c>
    </row>
    <row r="324" spans="1:6">
      <c r="A324" s="30">
        <v>43665</v>
      </c>
      <c r="B324" s="11" t="s">
        <v>585</v>
      </c>
      <c r="C324" s="11" t="s">
        <v>597</v>
      </c>
      <c r="D324" s="12">
        <v>61.953299999999999</v>
      </c>
      <c r="E324" s="11" t="s">
        <v>598</v>
      </c>
      <c r="F324" s="31">
        <v>0</v>
      </c>
    </row>
    <row r="325" spans="1:6">
      <c r="A325" s="30">
        <v>43666</v>
      </c>
      <c r="B325" s="11" t="s">
        <v>585</v>
      </c>
      <c r="C325" s="11" t="s">
        <v>597</v>
      </c>
      <c r="D325" s="12">
        <v>61.289099999999998</v>
      </c>
      <c r="E325" s="11" t="s">
        <v>598</v>
      </c>
      <c r="F325" s="31">
        <v>0</v>
      </c>
    </row>
    <row r="326" spans="1:6">
      <c r="A326" s="30">
        <v>43667</v>
      </c>
      <c r="B326" s="11" t="s">
        <v>585</v>
      </c>
      <c r="C326" s="11" t="s">
        <v>597</v>
      </c>
      <c r="D326" s="12">
        <v>58.768599999999999</v>
      </c>
      <c r="E326" s="11" t="s">
        <v>598</v>
      </c>
      <c r="F326" s="31">
        <v>0</v>
      </c>
    </row>
    <row r="327" spans="1:6">
      <c r="A327" s="30">
        <v>43668</v>
      </c>
      <c r="B327" s="11" t="s">
        <v>585</v>
      </c>
      <c r="C327" s="11" t="s">
        <v>597</v>
      </c>
      <c r="D327" s="12">
        <v>60.590800000000002</v>
      </c>
      <c r="E327" s="11" t="s">
        <v>598</v>
      </c>
      <c r="F327" s="31">
        <v>0</v>
      </c>
    </row>
    <row r="328" spans="1:6">
      <c r="A328" s="30">
        <v>43669</v>
      </c>
      <c r="B328" s="11" t="s">
        <v>585</v>
      </c>
      <c r="C328" s="11" t="s">
        <v>597</v>
      </c>
      <c r="D328" s="12">
        <v>53.346499999999999</v>
      </c>
      <c r="E328" s="11" t="s">
        <v>598</v>
      </c>
      <c r="F328" s="31">
        <v>0</v>
      </c>
    </row>
    <row r="329" spans="1:6">
      <c r="A329" s="30">
        <v>43670</v>
      </c>
      <c r="B329" s="11" t="s">
        <v>585</v>
      </c>
      <c r="C329" s="11" t="s">
        <v>597</v>
      </c>
      <c r="D329" s="12">
        <v>60.410200000000003</v>
      </c>
      <c r="E329" s="11" t="s">
        <v>598</v>
      </c>
      <c r="F329" s="31">
        <v>0</v>
      </c>
    </row>
    <row r="330" spans="1:6">
      <c r="A330" s="30">
        <v>43671</v>
      </c>
      <c r="B330" s="11" t="s">
        <v>585</v>
      </c>
      <c r="C330" s="11" t="s">
        <v>597</v>
      </c>
      <c r="D330" s="12">
        <v>58.266199999999998</v>
      </c>
      <c r="E330" s="11" t="s">
        <v>598</v>
      </c>
      <c r="F330" s="31">
        <v>0</v>
      </c>
    </row>
    <row r="331" spans="1:6">
      <c r="A331" s="30">
        <v>43672</v>
      </c>
      <c r="B331" s="11" t="s">
        <v>585</v>
      </c>
      <c r="C331" s="11" t="s">
        <v>597</v>
      </c>
      <c r="D331" s="12">
        <v>57.970500000000001</v>
      </c>
      <c r="E331" s="11" t="s">
        <v>598</v>
      </c>
      <c r="F331" s="31">
        <v>0</v>
      </c>
    </row>
    <row r="332" spans="1:6">
      <c r="A332" s="30">
        <v>43673</v>
      </c>
      <c r="B332" s="11" t="s">
        <v>585</v>
      </c>
      <c r="C332" s="11" t="s">
        <v>597</v>
      </c>
      <c r="D332" s="12">
        <v>54.690800000000003</v>
      </c>
      <c r="E332" s="11" t="s">
        <v>598</v>
      </c>
      <c r="F332" s="31">
        <v>0</v>
      </c>
    </row>
    <row r="333" spans="1:6">
      <c r="A333" s="30">
        <v>43674</v>
      </c>
      <c r="B333" s="11" t="s">
        <v>585</v>
      </c>
      <c r="C333" s="11" t="s">
        <v>597</v>
      </c>
      <c r="D333" s="12">
        <v>54.6066</v>
      </c>
      <c r="E333" s="11" t="s">
        <v>598</v>
      </c>
      <c r="F333" s="31">
        <v>0</v>
      </c>
    </row>
    <row r="334" spans="1:6">
      <c r="A334" s="30">
        <v>43675</v>
      </c>
      <c r="B334" s="11" t="s">
        <v>585</v>
      </c>
      <c r="C334" s="11" t="s">
        <v>597</v>
      </c>
      <c r="D334" s="12">
        <v>54.201000000000001</v>
      </c>
      <c r="E334" s="11" t="s">
        <v>598</v>
      </c>
      <c r="F334" s="31">
        <v>0</v>
      </c>
    </row>
    <row r="335" spans="1:6">
      <c r="A335" s="30">
        <v>43676</v>
      </c>
      <c r="B335" s="11" t="s">
        <v>585</v>
      </c>
      <c r="C335" s="11" t="s">
        <v>597</v>
      </c>
      <c r="D335" s="12">
        <v>48.517600000000002</v>
      </c>
      <c r="E335" s="11" t="s">
        <v>598</v>
      </c>
      <c r="F335" s="31">
        <v>0</v>
      </c>
    </row>
    <row r="336" spans="1:6">
      <c r="A336" s="30">
        <v>43677</v>
      </c>
      <c r="B336" s="11" t="s">
        <v>585</v>
      </c>
      <c r="C336" s="11" t="s">
        <v>597</v>
      </c>
      <c r="D336" s="12">
        <v>49.512799999999999</v>
      </c>
      <c r="E336" s="11" t="s">
        <v>598</v>
      </c>
      <c r="F336" s="31">
        <v>0</v>
      </c>
    </row>
    <row r="337" spans="1:6">
      <c r="A337" s="30">
        <v>43678</v>
      </c>
      <c r="B337" s="11" t="s">
        <v>585</v>
      </c>
      <c r="C337" s="11" t="s">
        <v>597</v>
      </c>
      <c r="D337" s="12">
        <v>56.402900000000002</v>
      </c>
      <c r="E337" s="11" t="s">
        <v>598</v>
      </c>
      <c r="F337" s="31">
        <v>0</v>
      </c>
    </row>
    <row r="338" spans="1:6">
      <c r="A338" s="30">
        <v>43679</v>
      </c>
      <c r="B338" s="11" t="s">
        <v>585</v>
      </c>
      <c r="C338" s="11" t="s">
        <v>597</v>
      </c>
      <c r="D338" s="12">
        <v>54.080399999999997</v>
      </c>
      <c r="E338" s="11" t="s">
        <v>598</v>
      </c>
      <c r="F338" s="31">
        <v>0</v>
      </c>
    </row>
    <row r="339" spans="1:6">
      <c r="A339" s="30">
        <v>43680</v>
      </c>
      <c r="B339" s="11" t="s">
        <v>585</v>
      </c>
      <c r="C339" s="11" t="s">
        <v>597</v>
      </c>
      <c r="D339" s="12">
        <v>53.453699999999998</v>
      </c>
      <c r="E339" s="11" t="s">
        <v>598</v>
      </c>
      <c r="F339" s="31">
        <v>0</v>
      </c>
    </row>
    <row r="340" spans="1:6">
      <c r="A340" s="30">
        <v>43681</v>
      </c>
      <c r="B340" s="11" t="s">
        <v>585</v>
      </c>
      <c r="C340" s="11" t="s">
        <v>597</v>
      </c>
      <c r="D340" s="12">
        <v>54.512</v>
      </c>
      <c r="E340" s="11" t="s">
        <v>598</v>
      </c>
      <c r="F340" s="31">
        <v>0</v>
      </c>
    </row>
    <row r="341" spans="1:6">
      <c r="A341" s="30">
        <v>43682</v>
      </c>
      <c r="B341" s="11" t="s">
        <v>585</v>
      </c>
      <c r="C341" s="11" t="s">
        <v>597</v>
      </c>
      <c r="D341" s="12">
        <v>52.2712</v>
      </c>
      <c r="E341" s="11" t="s">
        <v>598</v>
      </c>
      <c r="F341" s="31">
        <v>0</v>
      </c>
    </row>
    <row r="342" spans="1:6">
      <c r="A342" s="30">
        <v>43683</v>
      </c>
      <c r="B342" s="11" t="s">
        <v>585</v>
      </c>
      <c r="C342" s="11" t="s">
        <v>597</v>
      </c>
      <c r="D342" s="12">
        <v>53.790799999999997</v>
      </c>
      <c r="E342" s="11" t="s">
        <v>598</v>
      </c>
      <c r="F342" s="31">
        <v>0</v>
      </c>
    </row>
    <row r="343" spans="1:6">
      <c r="A343" s="30">
        <v>43684</v>
      </c>
      <c r="B343" s="11" t="s">
        <v>585</v>
      </c>
      <c r="C343" s="11" t="s">
        <v>597</v>
      </c>
      <c r="D343" s="12">
        <v>58.594700000000003</v>
      </c>
      <c r="E343" s="11" t="s">
        <v>598</v>
      </c>
      <c r="F343" s="31">
        <v>0</v>
      </c>
    </row>
    <row r="344" spans="1:6">
      <c r="A344" s="30">
        <v>43685</v>
      </c>
      <c r="B344" s="11" t="s">
        <v>585</v>
      </c>
      <c r="C344" s="11" t="s">
        <v>597</v>
      </c>
      <c r="D344" s="12">
        <v>53.7104</v>
      </c>
      <c r="E344" s="11" t="s">
        <v>598</v>
      </c>
      <c r="F344" s="31">
        <v>0</v>
      </c>
    </row>
    <row r="345" spans="1:6">
      <c r="A345" s="30">
        <v>43686</v>
      </c>
      <c r="B345" s="11" t="s">
        <v>585</v>
      </c>
      <c r="C345" s="11" t="s">
        <v>597</v>
      </c>
      <c r="D345" s="12">
        <v>55.0336</v>
      </c>
      <c r="E345" s="11" t="s">
        <v>598</v>
      </c>
      <c r="F345" s="31">
        <v>0</v>
      </c>
    </row>
    <row r="346" spans="1:6">
      <c r="A346" s="30">
        <v>43687</v>
      </c>
      <c r="B346" s="11" t="s">
        <v>585</v>
      </c>
      <c r="C346" s="11" t="s">
        <v>597</v>
      </c>
      <c r="D346" s="12">
        <v>51.062100000000001</v>
      </c>
      <c r="E346" s="11" t="s">
        <v>598</v>
      </c>
      <c r="F346" s="31">
        <v>0</v>
      </c>
    </row>
    <row r="347" spans="1:6">
      <c r="A347" s="30">
        <v>43688</v>
      </c>
      <c r="B347" s="11" t="s">
        <v>585</v>
      </c>
      <c r="C347" s="11" t="s">
        <v>597</v>
      </c>
      <c r="D347" s="12">
        <v>52.520299999999999</v>
      </c>
      <c r="E347" s="11" t="s">
        <v>598</v>
      </c>
      <c r="F347" s="31">
        <v>0</v>
      </c>
    </row>
    <row r="348" spans="1:6">
      <c r="A348" s="30">
        <v>43689</v>
      </c>
      <c r="B348" s="11" t="s">
        <v>585</v>
      </c>
      <c r="C348" s="11" t="s">
        <v>597</v>
      </c>
      <c r="D348" s="12">
        <v>53.8855</v>
      </c>
      <c r="E348" s="11" t="s">
        <v>598</v>
      </c>
      <c r="F348" s="31">
        <v>0</v>
      </c>
    </row>
    <row r="349" spans="1:6">
      <c r="A349" s="30">
        <v>43690</v>
      </c>
      <c r="B349" s="11" t="s">
        <v>585</v>
      </c>
      <c r="C349" s="11" t="s">
        <v>597</v>
      </c>
      <c r="D349" s="12">
        <v>51.302599999999998</v>
      </c>
      <c r="E349" s="11" t="s">
        <v>598</v>
      </c>
      <c r="F349" s="31">
        <v>0</v>
      </c>
    </row>
    <row r="350" spans="1:6">
      <c r="A350" s="30">
        <v>43691</v>
      </c>
      <c r="B350" s="11" t="s">
        <v>585</v>
      </c>
      <c r="C350" s="11" t="s">
        <v>597</v>
      </c>
      <c r="D350" s="12">
        <v>49.476100000000002</v>
      </c>
      <c r="E350" s="11" t="s">
        <v>598</v>
      </c>
      <c r="F350" s="31">
        <v>0</v>
      </c>
    </row>
    <row r="351" spans="1:6">
      <c r="A351" s="30">
        <v>43692</v>
      </c>
      <c r="B351" s="11" t="s">
        <v>585</v>
      </c>
      <c r="C351" s="11" t="s">
        <v>597</v>
      </c>
      <c r="D351" s="12">
        <v>44.199100000000001</v>
      </c>
      <c r="E351" s="11" t="s">
        <v>598</v>
      </c>
      <c r="F351" s="31">
        <v>0</v>
      </c>
    </row>
    <row r="352" spans="1:6">
      <c r="A352" s="30">
        <v>43693</v>
      </c>
      <c r="B352" s="11" t="s">
        <v>585</v>
      </c>
      <c r="C352" s="11" t="s">
        <v>597</v>
      </c>
      <c r="D352" s="12">
        <v>45.667099999999998</v>
      </c>
      <c r="E352" s="11" t="s">
        <v>598</v>
      </c>
      <c r="F352" s="31">
        <v>0</v>
      </c>
    </row>
    <row r="353" spans="1:6">
      <c r="A353" s="30">
        <v>43694</v>
      </c>
      <c r="B353" s="11" t="s">
        <v>585</v>
      </c>
      <c r="C353" s="11" t="s">
        <v>597</v>
      </c>
      <c r="D353" s="12">
        <v>42.549500000000002</v>
      </c>
      <c r="E353" s="11" t="s">
        <v>598</v>
      </c>
      <c r="F353" s="31">
        <v>0</v>
      </c>
    </row>
    <row r="354" spans="1:6">
      <c r="A354" s="30">
        <v>43695</v>
      </c>
      <c r="B354" s="11" t="s">
        <v>585</v>
      </c>
      <c r="C354" s="11" t="s">
        <v>597</v>
      </c>
      <c r="D354" s="12">
        <v>45.984499999999997</v>
      </c>
      <c r="E354" s="11" t="s">
        <v>598</v>
      </c>
      <c r="F354" s="31">
        <v>0</v>
      </c>
    </row>
    <row r="355" spans="1:6">
      <c r="A355" s="30">
        <v>43696</v>
      </c>
      <c r="B355" s="11" t="s">
        <v>585</v>
      </c>
      <c r="C355" s="11" t="s">
        <v>597</v>
      </c>
      <c r="D355" s="12">
        <v>36.557499999999997</v>
      </c>
      <c r="E355" s="11" t="s">
        <v>598</v>
      </c>
      <c r="F355" s="31">
        <v>0</v>
      </c>
    </row>
    <row r="356" spans="1:6">
      <c r="A356" s="30">
        <v>43697</v>
      </c>
      <c r="B356" s="11" t="s">
        <v>585</v>
      </c>
      <c r="C356" s="11" t="s">
        <v>597</v>
      </c>
      <c r="D356" s="12">
        <v>34.386499999999998</v>
      </c>
      <c r="E356" s="11" t="s">
        <v>598</v>
      </c>
      <c r="F356" s="31">
        <v>0</v>
      </c>
    </row>
    <row r="357" spans="1:6">
      <c r="A357" s="30">
        <v>43698</v>
      </c>
      <c r="B357" s="11" t="s">
        <v>585</v>
      </c>
      <c r="C357" s="11" t="s">
        <v>597</v>
      </c>
      <c r="D357" s="12">
        <v>43.136299999999999</v>
      </c>
      <c r="E357" s="11" t="s">
        <v>598</v>
      </c>
      <c r="F357" s="31">
        <v>0</v>
      </c>
    </row>
    <row r="358" spans="1:6">
      <c r="A358" s="30">
        <v>43699</v>
      </c>
      <c r="B358" s="11" t="s">
        <v>585</v>
      </c>
      <c r="C358" s="11" t="s">
        <v>597</v>
      </c>
      <c r="D358" s="12">
        <v>45.042499999999997</v>
      </c>
      <c r="E358" s="11" t="s">
        <v>598</v>
      </c>
      <c r="F358" s="31">
        <v>0</v>
      </c>
    </row>
    <row r="359" spans="1:6">
      <c r="A359" s="30">
        <v>43700</v>
      </c>
      <c r="B359" s="11" t="s">
        <v>585</v>
      </c>
      <c r="C359" s="11" t="s">
        <v>597</v>
      </c>
      <c r="D359" s="12">
        <v>37.699800000000003</v>
      </c>
      <c r="E359" s="11" t="s">
        <v>598</v>
      </c>
      <c r="F359" s="31">
        <v>0</v>
      </c>
    </row>
    <row r="360" spans="1:6">
      <c r="A360" s="30">
        <v>43701</v>
      </c>
      <c r="B360" s="11" t="s">
        <v>585</v>
      </c>
      <c r="C360" s="11" t="s">
        <v>597</v>
      </c>
      <c r="D360" s="12">
        <v>38.890599999999999</v>
      </c>
      <c r="E360" s="11" t="s">
        <v>598</v>
      </c>
      <c r="F360" s="31">
        <v>0</v>
      </c>
    </row>
    <row r="361" spans="1:6">
      <c r="A361" s="30">
        <v>43702</v>
      </c>
      <c r="B361" s="11" t="s">
        <v>585</v>
      </c>
      <c r="C361" s="11" t="s">
        <v>597</v>
      </c>
      <c r="D361" s="12">
        <v>41.2331</v>
      </c>
      <c r="E361" s="11" t="s">
        <v>598</v>
      </c>
      <c r="F361" s="31">
        <v>0</v>
      </c>
    </row>
    <row r="362" spans="1:6">
      <c r="A362" s="30">
        <v>43703</v>
      </c>
      <c r="B362" s="11" t="s">
        <v>585</v>
      </c>
      <c r="C362" s="11" t="s">
        <v>597</v>
      </c>
      <c r="D362" s="12">
        <v>45.248399999999997</v>
      </c>
      <c r="E362" s="11" t="s">
        <v>598</v>
      </c>
      <c r="F362" s="31">
        <v>0</v>
      </c>
    </row>
    <row r="363" spans="1:6">
      <c r="A363" s="30">
        <v>43704</v>
      </c>
      <c r="B363" s="11" t="s">
        <v>585</v>
      </c>
      <c r="C363" s="11" t="s">
        <v>597</v>
      </c>
      <c r="D363" s="12">
        <v>41.087200000000003</v>
      </c>
      <c r="E363" s="11" t="s">
        <v>598</v>
      </c>
      <c r="F363" s="31">
        <v>0</v>
      </c>
    </row>
    <row r="364" spans="1:6">
      <c r="A364" s="30">
        <v>43705</v>
      </c>
      <c r="B364" s="11" t="s">
        <v>585</v>
      </c>
      <c r="C364" s="11" t="s">
        <v>597</v>
      </c>
      <c r="D364" s="12">
        <v>37.927</v>
      </c>
      <c r="E364" s="11" t="s">
        <v>598</v>
      </c>
      <c r="F364" s="31">
        <v>0</v>
      </c>
    </row>
    <row r="365" spans="1:6">
      <c r="A365" s="30">
        <v>43706</v>
      </c>
      <c r="B365" s="11" t="s">
        <v>585</v>
      </c>
      <c r="C365" s="11" t="s">
        <v>597</v>
      </c>
      <c r="D365" s="12">
        <v>36.269799999999996</v>
      </c>
      <c r="E365" s="11" t="s">
        <v>598</v>
      </c>
      <c r="F365" s="31">
        <v>0</v>
      </c>
    </row>
    <row r="366" spans="1:6">
      <c r="A366" s="30">
        <v>43707</v>
      </c>
      <c r="B366" s="11" t="s">
        <v>585</v>
      </c>
      <c r="C366" s="11" t="s">
        <v>597</v>
      </c>
      <c r="D366" s="12">
        <v>34.502099999999999</v>
      </c>
      <c r="E366" s="11" t="s">
        <v>598</v>
      </c>
      <c r="F366" s="31">
        <v>0</v>
      </c>
    </row>
    <row r="367" spans="1:6">
      <c r="A367" s="30">
        <v>43708</v>
      </c>
      <c r="B367" s="11" t="s">
        <v>585</v>
      </c>
      <c r="C367" s="11" t="s">
        <v>597</v>
      </c>
      <c r="D367" s="12">
        <v>36.171900000000001</v>
      </c>
      <c r="E367" s="11" t="s">
        <v>598</v>
      </c>
      <c r="F367" s="31">
        <v>0</v>
      </c>
    </row>
    <row r="368" spans="1:6">
      <c r="A368" s="30">
        <v>43344</v>
      </c>
      <c r="B368" s="11" t="s">
        <v>586</v>
      </c>
      <c r="C368" s="11" t="s">
        <v>599</v>
      </c>
      <c r="D368" s="12">
        <v>64.921400000000006</v>
      </c>
      <c r="E368" s="11" t="s">
        <v>598</v>
      </c>
      <c r="F368" s="31">
        <v>0</v>
      </c>
    </row>
    <row r="369" spans="1:6">
      <c r="A369" s="30">
        <v>43345</v>
      </c>
      <c r="B369" s="11" t="s">
        <v>586</v>
      </c>
      <c r="C369" s="11" t="s">
        <v>599</v>
      </c>
      <c r="D369" s="12">
        <v>62.2851</v>
      </c>
      <c r="E369" s="11" t="s">
        <v>598</v>
      </c>
      <c r="F369" s="31">
        <v>0</v>
      </c>
    </row>
    <row r="370" spans="1:6">
      <c r="A370" s="30">
        <v>43346</v>
      </c>
      <c r="B370" s="11" t="s">
        <v>586</v>
      </c>
      <c r="C370" s="11" t="s">
        <v>599</v>
      </c>
      <c r="D370" s="12">
        <v>60.124099999999999</v>
      </c>
      <c r="E370" s="11" t="s">
        <v>598</v>
      </c>
      <c r="F370" s="31">
        <v>0</v>
      </c>
    </row>
    <row r="371" spans="1:6">
      <c r="A371" s="30">
        <v>43347</v>
      </c>
      <c r="B371" s="11" t="s">
        <v>586</v>
      </c>
      <c r="C371" s="11" t="s">
        <v>599</v>
      </c>
      <c r="D371" s="12">
        <v>68.316699999999997</v>
      </c>
      <c r="E371" s="11" t="s">
        <v>598</v>
      </c>
      <c r="F371" s="31">
        <v>0</v>
      </c>
    </row>
    <row r="372" spans="1:6">
      <c r="A372" s="30">
        <v>43348</v>
      </c>
      <c r="B372" s="11" t="s">
        <v>586</v>
      </c>
      <c r="C372" s="11" t="s">
        <v>599</v>
      </c>
      <c r="D372" s="12">
        <v>76.200199999999995</v>
      </c>
      <c r="E372" s="11" t="s">
        <v>598</v>
      </c>
      <c r="F372" s="31">
        <v>0</v>
      </c>
    </row>
    <row r="373" spans="1:6">
      <c r="A373" s="30">
        <v>43349</v>
      </c>
      <c r="B373" s="11" t="s">
        <v>586</v>
      </c>
      <c r="C373" s="11" t="s">
        <v>599</v>
      </c>
      <c r="D373" s="12">
        <v>75.450699999999998</v>
      </c>
      <c r="E373" s="11" t="s">
        <v>598</v>
      </c>
      <c r="F373" s="31">
        <v>0</v>
      </c>
    </row>
    <row r="374" spans="1:6">
      <c r="A374" s="30">
        <v>43350</v>
      </c>
      <c r="B374" s="11" t="s">
        <v>586</v>
      </c>
      <c r="C374" s="11" t="s">
        <v>599</v>
      </c>
      <c r="D374" s="12">
        <v>68.965199999999996</v>
      </c>
      <c r="E374" s="11" t="s">
        <v>598</v>
      </c>
      <c r="F374" s="31">
        <v>0</v>
      </c>
    </row>
    <row r="375" spans="1:6">
      <c r="A375" s="30">
        <v>43351</v>
      </c>
      <c r="B375" s="11" t="s">
        <v>586</v>
      </c>
      <c r="C375" s="11" t="s">
        <v>599</v>
      </c>
      <c r="D375" s="12">
        <v>68.147199999999998</v>
      </c>
      <c r="E375" s="11" t="s">
        <v>598</v>
      </c>
      <c r="F375" s="31">
        <v>0</v>
      </c>
    </row>
    <row r="376" spans="1:6">
      <c r="A376" s="30">
        <v>43352</v>
      </c>
      <c r="B376" s="11" t="s">
        <v>586</v>
      </c>
      <c r="C376" s="11" t="s">
        <v>599</v>
      </c>
      <c r="D376" s="12">
        <v>71.0351</v>
      </c>
      <c r="E376" s="11" t="s">
        <v>598</v>
      </c>
      <c r="F376" s="31">
        <v>0</v>
      </c>
    </row>
    <row r="377" spans="1:6">
      <c r="A377" s="30">
        <v>43353</v>
      </c>
      <c r="B377" s="11" t="s">
        <v>586</v>
      </c>
      <c r="C377" s="11" t="s">
        <v>599</v>
      </c>
      <c r="D377" s="12">
        <v>70.4375</v>
      </c>
      <c r="E377" s="11" t="s">
        <v>598</v>
      </c>
      <c r="F377" s="31">
        <v>0</v>
      </c>
    </row>
    <row r="378" spans="1:6">
      <c r="A378" s="30">
        <v>43354</v>
      </c>
      <c r="B378" s="11" t="s">
        <v>586</v>
      </c>
      <c r="C378" s="11" t="s">
        <v>599</v>
      </c>
      <c r="D378" s="12">
        <v>70.388000000000005</v>
      </c>
      <c r="E378" s="11" t="s">
        <v>598</v>
      </c>
      <c r="F378" s="31">
        <v>0</v>
      </c>
    </row>
    <row r="379" spans="1:6">
      <c r="A379" s="30">
        <v>43355</v>
      </c>
      <c r="B379" s="11" t="s">
        <v>586</v>
      </c>
      <c r="C379" s="11" t="s">
        <v>599</v>
      </c>
      <c r="D379" s="12">
        <v>70.704499999999996</v>
      </c>
      <c r="E379" s="11" t="s">
        <v>598</v>
      </c>
      <c r="F379" s="31">
        <v>0</v>
      </c>
    </row>
    <row r="380" spans="1:6">
      <c r="A380" s="30">
        <v>43356</v>
      </c>
      <c r="B380" s="11" t="s">
        <v>586</v>
      </c>
      <c r="C380" s="11" t="s">
        <v>599</v>
      </c>
      <c r="D380" s="12">
        <v>69.339100000000002</v>
      </c>
      <c r="E380" s="11" t="s">
        <v>598</v>
      </c>
      <c r="F380" s="31">
        <v>0</v>
      </c>
    </row>
    <row r="381" spans="1:6">
      <c r="A381" s="30">
        <v>43357</v>
      </c>
      <c r="B381" s="11" t="s">
        <v>586</v>
      </c>
      <c r="C381" s="11" t="s">
        <v>599</v>
      </c>
      <c r="D381" s="12">
        <v>68.188699999999997</v>
      </c>
      <c r="E381" s="11" t="s">
        <v>598</v>
      </c>
      <c r="F381" s="31">
        <v>0</v>
      </c>
    </row>
    <row r="382" spans="1:6">
      <c r="A382" s="30">
        <v>43358</v>
      </c>
      <c r="B382" s="11" t="s">
        <v>586</v>
      </c>
      <c r="C382" s="11" t="s">
        <v>599</v>
      </c>
      <c r="D382" s="12">
        <v>66.093999999999994</v>
      </c>
      <c r="E382" s="11" t="s">
        <v>598</v>
      </c>
      <c r="F382" s="31">
        <v>0</v>
      </c>
    </row>
    <row r="383" spans="1:6">
      <c r="A383" s="30">
        <v>43359</v>
      </c>
      <c r="B383" s="11" t="s">
        <v>586</v>
      </c>
      <c r="C383" s="11" t="s">
        <v>599</v>
      </c>
      <c r="D383" s="12">
        <v>68.3767</v>
      </c>
      <c r="E383" s="11" t="s">
        <v>598</v>
      </c>
      <c r="F383" s="31">
        <v>0</v>
      </c>
    </row>
    <row r="384" spans="1:6">
      <c r="A384" s="30">
        <v>43360</v>
      </c>
      <c r="B384" s="11" t="s">
        <v>586</v>
      </c>
      <c r="C384" s="11" t="s">
        <v>599</v>
      </c>
      <c r="D384" s="12">
        <v>66.837199999999996</v>
      </c>
      <c r="E384" s="11" t="s">
        <v>598</v>
      </c>
      <c r="F384" s="31">
        <v>0</v>
      </c>
    </row>
    <row r="385" spans="1:6">
      <c r="A385" s="30">
        <v>43361</v>
      </c>
      <c r="B385" s="11" t="s">
        <v>586</v>
      </c>
      <c r="C385" s="11" t="s">
        <v>599</v>
      </c>
      <c r="D385" s="12">
        <v>68.572100000000006</v>
      </c>
      <c r="E385" s="11" t="s">
        <v>598</v>
      </c>
      <c r="F385" s="31">
        <v>0</v>
      </c>
    </row>
    <row r="386" spans="1:6">
      <c r="A386" s="30">
        <v>43362</v>
      </c>
      <c r="B386" s="11" t="s">
        <v>586</v>
      </c>
      <c r="C386" s="11" t="s">
        <v>599</v>
      </c>
      <c r="D386" s="12">
        <v>69.101900000000001</v>
      </c>
      <c r="E386" s="11" t="s">
        <v>598</v>
      </c>
      <c r="F386" s="31">
        <v>0</v>
      </c>
    </row>
    <row r="387" spans="1:6">
      <c r="A387" s="30">
        <v>43363</v>
      </c>
      <c r="B387" s="11" t="s">
        <v>586</v>
      </c>
      <c r="C387" s="11" t="s">
        <v>599</v>
      </c>
      <c r="D387" s="12">
        <v>71.813299999999998</v>
      </c>
      <c r="E387" s="11" t="s">
        <v>598</v>
      </c>
      <c r="F387" s="31">
        <v>0</v>
      </c>
    </row>
    <row r="388" spans="1:6">
      <c r="A388" s="30">
        <v>43364</v>
      </c>
      <c r="B388" s="11" t="s">
        <v>586</v>
      </c>
      <c r="C388" s="11" t="s">
        <v>599</v>
      </c>
      <c r="D388" s="12">
        <v>74.035600000000002</v>
      </c>
      <c r="E388" s="11" t="s">
        <v>598</v>
      </c>
      <c r="F388" s="31">
        <v>0</v>
      </c>
    </row>
    <row r="389" spans="1:6">
      <c r="A389" s="30">
        <v>43365</v>
      </c>
      <c r="B389" s="11" t="s">
        <v>586</v>
      </c>
      <c r="C389" s="11" t="s">
        <v>599</v>
      </c>
      <c r="D389" s="12">
        <v>66.950900000000004</v>
      </c>
      <c r="E389" s="11" t="s">
        <v>598</v>
      </c>
      <c r="F389" s="31">
        <v>0</v>
      </c>
    </row>
    <row r="390" spans="1:6">
      <c r="A390" s="30">
        <v>43366</v>
      </c>
      <c r="B390" s="11" t="s">
        <v>586</v>
      </c>
      <c r="C390" s="11" t="s">
        <v>599</v>
      </c>
      <c r="D390" s="12">
        <v>68.608699999999999</v>
      </c>
      <c r="E390" s="11" t="s">
        <v>598</v>
      </c>
      <c r="F390" s="31">
        <v>0</v>
      </c>
    </row>
    <row r="391" spans="1:6">
      <c r="A391" s="30">
        <v>43367</v>
      </c>
      <c r="B391" s="11" t="s">
        <v>586</v>
      </c>
      <c r="C391" s="11" t="s">
        <v>599</v>
      </c>
      <c r="D391" s="12">
        <v>70.502600000000001</v>
      </c>
      <c r="E391" s="11" t="s">
        <v>598</v>
      </c>
      <c r="F391" s="31">
        <v>0</v>
      </c>
    </row>
    <row r="392" spans="1:6">
      <c r="A392" s="30">
        <v>43368</v>
      </c>
      <c r="B392" s="11" t="s">
        <v>586</v>
      </c>
      <c r="C392" s="11" t="s">
        <v>599</v>
      </c>
      <c r="D392" s="12">
        <v>70.119399999999999</v>
      </c>
      <c r="E392" s="11" t="s">
        <v>598</v>
      </c>
      <c r="F392" s="31">
        <v>0</v>
      </c>
    </row>
    <row r="393" spans="1:6">
      <c r="A393" s="30">
        <v>43369</v>
      </c>
      <c r="B393" s="11" t="s">
        <v>586</v>
      </c>
      <c r="C393" s="11" t="s">
        <v>599</v>
      </c>
      <c r="D393" s="12">
        <v>71.046000000000006</v>
      </c>
      <c r="E393" s="11" t="s">
        <v>598</v>
      </c>
      <c r="F393" s="31">
        <v>0</v>
      </c>
    </row>
    <row r="394" spans="1:6">
      <c r="A394" s="30">
        <v>43370</v>
      </c>
      <c r="B394" s="11" t="s">
        <v>586</v>
      </c>
      <c r="C394" s="11" t="s">
        <v>599</v>
      </c>
      <c r="D394" s="12">
        <v>73.690399999999997</v>
      </c>
      <c r="E394" s="11" t="s">
        <v>598</v>
      </c>
      <c r="F394" s="31">
        <v>0</v>
      </c>
    </row>
    <row r="395" spans="1:6">
      <c r="A395" s="30">
        <v>43371</v>
      </c>
      <c r="B395" s="11" t="s">
        <v>586</v>
      </c>
      <c r="C395" s="11" t="s">
        <v>599</v>
      </c>
      <c r="D395" s="12">
        <v>70.566599999999994</v>
      </c>
      <c r="E395" s="11" t="s">
        <v>598</v>
      </c>
      <c r="F395" s="31">
        <v>0</v>
      </c>
    </row>
    <row r="396" spans="1:6">
      <c r="A396" s="30">
        <v>43372</v>
      </c>
      <c r="B396" s="11" t="s">
        <v>586</v>
      </c>
      <c r="C396" s="11" t="s">
        <v>599</v>
      </c>
      <c r="D396" s="12">
        <v>66.947100000000006</v>
      </c>
      <c r="E396" s="11" t="s">
        <v>598</v>
      </c>
      <c r="F396" s="31">
        <v>0</v>
      </c>
    </row>
    <row r="397" spans="1:6">
      <c r="A397" s="30">
        <v>43373</v>
      </c>
      <c r="B397" s="11" t="s">
        <v>586</v>
      </c>
      <c r="C397" s="11" t="s">
        <v>599</v>
      </c>
      <c r="D397" s="12">
        <v>68.865899999999996</v>
      </c>
      <c r="E397" s="11" t="s">
        <v>598</v>
      </c>
      <c r="F397" s="31">
        <v>0</v>
      </c>
    </row>
    <row r="398" spans="1:6">
      <c r="A398" s="30">
        <v>43374</v>
      </c>
      <c r="B398" s="11" t="s">
        <v>586</v>
      </c>
      <c r="C398" s="11" t="s">
        <v>599</v>
      </c>
      <c r="D398" s="12">
        <v>70.834100000000007</v>
      </c>
      <c r="E398" s="11" t="s">
        <v>598</v>
      </c>
      <c r="F398" s="31">
        <v>0</v>
      </c>
    </row>
    <row r="399" spans="1:6">
      <c r="A399" s="30">
        <v>43375</v>
      </c>
      <c r="B399" s="11" t="s">
        <v>586</v>
      </c>
      <c r="C399" s="11" t="s">
        <v>599</v>
      </c>
      <c r="D399" s="12">
        <v>73.527000000000001</v>
      </c>
      <c r="E399" s="11" t="s">
        <v>598</v>
      </c>
      <c r="F399" s="31">
        <v>0</v>
      </c>
    </row>
    <row r="400" spans="1:6">
      <c r="A400" s="30">
        <v>43376</v>
      </c>
      <c r="B400" s="11" t="s">
        <v>586</v>
      </c>
      <c r="C400" s="11" t="s">
        <v>599</v>
      </c>
      <c r="D400" s="12">
        <v>74.896799999999999</v>
      </c>
      <c r="E400" s="11" t="s">
        <v>598</v>
      </c>
      <c r="F400" s="31">
        <v>0</v>
      </c>
    </row>
    <row r="401" spans="1:6">
      <c r="A401" s="30">
        <v>43377</v>
      </c>
      <c r="B401" s="11" t="s">
        <v>586</v>
      </c>
      <c r="C401" s="11" t="s">
        <v>599</v>
      </c>
      <c r="D401" s="12">
        <v>76.512200000000007</v>
      </c>
      <c r="E401" s="11" t="s">
        <v>598</v>
      </c>
      <c r="F401" s="31">
        <v>0</v>
      </c>
    </row>
    <row r="402" spans="1:6">
      <c r="A402" s="30">
        <v>43378</v>
      </c>
      <c r="B402" s="11" t="s">
        <v>586</v>
      </c>
      <c r="C402" s="11" t="s">
        <v>599</v>
      </c>
      <c r="D402" s="12">
        <v>78.646699999999996</v>
      </c>
      <c r="E402" s="11" t="s">
        <v>598</v>
      </c>
      <c r="F402" s="31">
        <v>0</v>
      </c>
    </row>
    <row r="403" spans="1:6">
      <c r="A403" s="30">
        <v>43379</v>
      </c>
      <c r="B403" s="11" t="s">
        <v>586</v>
      </c>
      <c r="C403" s="11" t="s">
        <v>599</v>
      </c>
      <c r="D403" s="12">
        <v>77.785499999999999</v>
      </c>
      <c r="E403" s="11" t="s">
        <v>598</v>
      </c>
      <c r="F403" s="31">
        <v>0</v>
      </c>
    </row>
    <row r="404" spans="1:6">
      <c r="A404" s="30">
        <v>43380</v>
      </c>
      <c r="B404" s="11" t="s">
        <v>586</v>
      </c>
      <c r="C404" s="11" t="s">
        <v>599</v>
      </c>
      <c r="D404" s="12">
        <v>72.8977</v>
      </c>
      <c r="E404" s="11" t="s">
        <v>598</v>
      </c>
      <c r="F404" s="31">
        <v>0</v>
      </c>
    </row>
    <row r="405" spans="1:6">
      <c r="A405" s="30">
        <v>43381</v>
      </c>
      <c r="B405" s="11" t="s">
        <v>586</v>
      </c>
      <c r="C405" s="11" t="s">
        <v>599</v>
      </c>
      <c r="D405" s="12">
        <v>81.347800000000007</v>
      </c>
      <c r="E405" s="11" t="s">
        <v>598</v>
      </c>
      <c r="F405" s="31">
        <v>0</v>
      </c>
    </row>
    <row r="406" spans="1:6">
      <c r="A406" s="30">
        <v>43382</v>
      </c>
      <c r="B406" s="11" t="s">
        <v>586</v>
      </c>
      <c r="C406" s="11" t="s">
        <v>599</v>
      </c>
      <c r="D406" s="12">
        <v>80.692599999999999</v>
      </c>
      <c r="E406" s="11" t="s">
        <v>598</v>
      </c>
      <c r="F406" s="31">
        <v>0</v>
      </c>
    </row>
    <row r="407" spans="1:6">
      <c r="A407" s="30">
        <v>43383</v>
      </c>
      <c r="B407" s="11" t="s">
        <v>586</v>
      </c>
      <c r="C407" s="11" t="s">
        <v>599</v>
      </c>
      <c r="D407" s="12">
        <v>82.075800000000001</v>
      </c>
      <c r="E407" s="11" t="s">
        <v>598</v>
      </c>
      <c r="F407" s="31">
        <v>0</v>
      </c>
    </row>
    <row r="408" spans="1:6">
      <c r="A408" s="30">
        <v>43384</v>
      </c>
      <c r="B408" s="11" t="s">
        <v>586</v>
      </c>
      <c r="C408" s="11" t="s">
        <v>599</v>
      </c>
      <c r="D408" s="12">
        <v>77.447599999999994</v>
      </c>
      <c r="E408" s="11" t="s">
        <v>598</v>
      </c>
      <c r="F408" s="31">
        <v>0</v>
      </c>
    </row>
    <row r="409" spans="1:6">
      <c r="A409" s="30">
        <v>43385</v>
      </c>
      <c r="B409" s="11" t="s">
        <v>586</v>
      </c>
      <c r="C409" s="11" t="s">
        <v>599</v>
      </c>
      <c r="D409" s="12">
        <v>81.0047</v>
      </c>
      <c r="E409" s="11" t="s">
        <v>598</v>
      </c>
      <c r="F409" s="31">
        <v>0</v>
      </c>
    </row>
    <row r="410" spans="1:6">
      <c r="A410" s="30">
        <v>43386</v>
      </c>
      <c r="B410" s="11" t="s">
        <v>586</v>
      </c>
      <c r="C410" s="11" t="s">
        <v>599</v>
      </c>
      <c r="D410" s="12">
        <v>79.149699999999996</v>
      </c>
      <c r="E410" s="11" t="s">
        <v>598</v>
      </c>
      <c r="F410" s="31">
        <v>0</v>
      </c>
    </row>
    <row r="411" spans="1:6">
      <c r="A411" s="30">
        <v>43387</v>
      </c>
      <c r="B411" s="11" t="s">
        <v>586</v>
      </c>
      <c r="C411" s="11" t="s">
        <v>599</v>
      </c>
      <c r="D411" s="12">
        <v>75.872299999999996</v>
      </c>
      <c r="E411" s="11" t="s">
        <v>598</v>
      </c>
      <c r="F411" s="31">
        <v>0</v>
      </c>
    </row>
    <row r="412" spans="1:6">
      <c r="A412" s="30">
        <v>43388</v>
      </c>
      <c r="B412" s="11" t="s">
        <v>586</v>
      </c>
      <c r="C412" s="11" t="s">
        <v>599</v>
      </c>
      <c r="D412" s="12">
        <v>79.850499999999997</v>
      </c>
      <c r="E412" s="11" t="s">
        <v>598</v>
      </c>
      <c r="F412" s="31">
        <v>0</v>
      </c>
    </row>
    <row r="413" spans="1:6">
      <c r="A413" s="30">
        <v>43389</v>
      </c>
      <c r="B413" s="11" t="s">
        <v>586</v>
      </c>
      <c r="C413" s="11" t="s">
        <v>599</v>
      </c>
      <c r="D413" s="12">
        <v>80.351600000000005</v>
      </c>
      <c r="E413" s="11" t="s">
        <v>598</v>
      </c>
      <c r="F413" s="31">
        <v>0</v>
      </c>
    </row>
    <row r="414" spans="1:6">
      <c r="A414" s="30">
        <v>43390</v>
      </c>
      <c r="B414" s="11" t="s">
        <v>586</v>
      </c>
      <c r="C414" s="11" t="s">
        <v>599</v>
      </c>
      <c r="D414" s="12">
        <v>81.749399999999994</v>
      </c>
      <c r="E414" s="11" t="s">
        <v>598</v>
      </c>
      <c r="F414" s="31">
        <v>0</v>
      </c>
    </row>
    <row r="415" spans="1:6">
      <c r="A415" s="30">
        <v>43391</v>
      </c>
      <c r="B415" s="11" t="s">
        <v>586</v>
      </c>
      <c r="C415" s="11" t="s">
        <v>599</v>
      </c>
      <c r="D415" s="12">
        <v>79.098100000000002</v>
      </c>
      <c r="E415" s="11" t="s">
        <v>598</v>
      </c>
      <c r="F415" s="31">
        <v>0</v>
      </c>
    </row>
    <row r="416" spans="1:6">
      <c r="A416" s="30">
        <v>43392</v>
      </c>
      <c r="B416" s="11" t="s">
        <v>586</v>
      </c>
      <c r="C416" s="11" t="s">
        <v>599</v>
      </c>
      <c r="D416" s="12">
        <v>80.262500000000003</v>
      </c>
      <c r="E416" s="11" t="s">
        <v>598</v>
      </c>
      <c r="F416" s="31">
        <v>0</v>
      </c>
    </row>
    <row r="417" spans="1:6">
      <c r="A417" s="30">
        <v>43393</v>
      </c>
      <c r="B417" s="11" t="s">
        <v>586</v>
      </c>
      <c r="C417" s="11" t="s">
        <v>599</v>
      </c>
      <c r="D417" s="12">
        <v>76.728499999999997</v>
      </c>
      <c r="E417" s="11" t="s">
        <v>598</v>
      </c>
      <c r="F417" s="31">
        <v>0</v>
      </c>
    </row>
    <row r="418" spans="1:6">
      <c r="A418" s="30">
        <v>43394</v>
      </c>
      <c r="B418" s="11" t="s">
        <v>586</v>
      </c>
      <c r="C418" s="11" t="s">
        <v>599</v>
      </c>
      <c r="D418" s="12">
        <v>74.740600000000001</v>
      </c>
      <c r="E418" s="11" t="s">
        <v>598</v>
      </c>
      <c r="F418" s="31">
        <v>0</v>
      </c>
    </row>
    <row r="419" spans="1:6">
      <c r="A419" s="30">
        <v>43395</v>
      </c>
      <c r="B419" s="11" t="s">
        <v>586</v>
      </c>
      <c r="C419" s="11" t="s">
        <v>599</v>
      </c>
      <c r="D419" s="12">
        <v>79.671599999999998</v>
      </c>
      <c r="E419" s="11" t="s">
        <v>598</v>
      </c>
      <c r="F419" s="31">
        <v>0</v>
      </c>
    </row>
    <row r="420" spans="1:6">
      <c r="A420" s="30">
        <v>43396</v>
      </c>
      <c r="B420" s="11" t="s">
        <v>586</v>
      </c>
      <c r="C420" s="11" t="s">
        <v>599</v>
      </c>
      <c r="D420" s="12">
        <v>78.357699999999994</v>
      </c>
      <c r="E420" s="11" t="s">
        <v>598</v>
      </c>
      <c r="F420" s="31">
        <v>0</v>
      </c>
    </row>
    <row r="421" spans="1:6">
      <c r="A421" s="30">
        <v>43397</v>
      </c>
      <c r="B421" s="11" t="s">
        <v>586</v>
      </c>
      <c r="C421" s="11" t="s">
        <v>599</v>
      </c>
      <c r="D421" s="12">
        <v>78.510400000000004</v>
      </c>
      <c r="E421" s="11" t="s">
        <v>598</v>
      </c>
      <c r="F421" s="31">
        <v>0</v>
      </c>
    </row>
    <row r="422" spans="1:6">
      <c r="A422" s="30">
        <v>43398</v>
      </c>
      <c r="B422" s="11" t="s">
        <v>586</v>
      </c>
      <c r="C422" s="11" t="s">
        <v>599</v>
      </c>
      <c r="D422" s="12">
        <v>78.025700000000001</v>
      </c>
      <c r="E422" s="11" t="s">
        <v>598</v>
      </c>
      <c r="F422" s="31">
        <v>0</v>
      </c>
    </row>
    <row r="423" spans="1:6">
      <c r="A423" s="30">
        <v>43399</v>
      </c>
      <c r="B423" s="11" t="s">
        <v>586</v>
      </c>
      <c r="C423" s="11" t="s">
        <v>599</v>
      </c>
      <c r="D423" s="12">
        <v>75.820599999999999</v>
      </c>
      <c r="E423" s="11" t="s">
        <v>598</v>
      </c>
      <c r="F423" s="31">
        <v>0</v>
      </c>
    </row>
    <row r="424" spans="1:6">
      <c r="A424" s="30">
        <v>43400</v>
      </c>
      <c r="B424" s="11" t="s">
        <v>586</v>
      </c>
      <c r="C424" s="11" t="s">
        <v>599</v>
      </c>
      <c r="D424" s="12">
        <v>71.854100000000003</v>
      </c>
      <c r="E424" s="11" t="s">
        <v>598</v>
      </c>
      <c r="F424" s="31">
        <v>0</v>
      </c>
    </row>
    <row r="425" spans="1:6">
      <c r="A425" s="30">
        <v>43401</v>
      </c>
      <c r="B425" s="11" t="s">
        <v>586</v>
      </c>
      <c r="C425" s="11" t="s">
        <v>599</v>
      </c>
      <c r="D425" s="12">
        <v>69.920199999999994</v>
      </c>
      <c r="E425" s="11" t="s">
        <v>598</v>
      </c>
      <c r="F425" s="31">
        <v>0</v>
      </c>
    </row>
    <row r="426" spans="1:6">
      <c r="A426" s="30">
        <v>43402</v>
      </c>
      <c r="B426" s="11" t="s">
        <v>586</v>
      </c>
      <c r="C426" s="11" t="s">
        <v>599</v>
      </c>
      <c r="D426" s="12">
        <v>70.314899999999994</v>
      </c>
      <c r="E426" s="11" t="s">
        <v>598</v>
      </c>
      <c r="F426" s="31">
        <v>0</v>
      </c>
    </row>
    <row r="427" spans="1:6">
      <c r="A427" s="30">
        <v>43403</v>
      </c>
      <c r="B427" s="11" t="s">
        <v>586</v>
      </c>
      <c r="C427" s="11" t="s">
        <v>599</v>
      </c>
      <c r="D427" s="12">
        <v>70.069699999999997</v>
      </c>
      <c r="E427" s="11" t="s">
        <v>598</v>
      </c>
      <c r="F427" s="31">
        <v>0</v>
      </c>
    </row>
    <row r="428" spans="1:6">
      <c r="A428" s="30">
        <v>43404</v>
      </c>
      <c r="B428" s="11" t="s">
        <v>586</v>
      </c>
      <c r="C428" s="11" t="s">
        <v>599</v>
      </c>
      <c r="D428" s="12">
        <v>83.991500000000002</v>
      </c>
      <c r="E428" s="11" t="s">
        <v>598</v>
      </c>
      <c r="F428" s="31">
        <v>0</v>
      </c>
    </row>
    <row r="429" spans="1:6">
      <c r="A429" s="30">
        <v>43405</v>
      </c>
      <c r="B429" s="11" t="s">
        <v>586</v>
      </c>
      <c r="C429" s="11" t="s">
        <v>599</v>
      </c>
      <c r="D429" s="12">
        <v>84.501400000000004</v>
      </c>
      <c r="E429" s="11" t="s">
        <v>598</v>
      </c>
      <c r="F429" s="31">
        <v>0</v>
      </c>
    </row>
    <row r="430" spans="1:6">
      <c r="A430" s="30">
        <v>43406</v>
      </c>
      <c r="B430" s="11" t="s">
        <v>586</v>
      </c>
      <c r="C430" s="11" t="s">
        <v>599</v>
      </c>
      <c r="D430" s="12">
        <v>78.728399999999993</v>
      </c>
      <c r="E430" s="11" t="s">
        <v>598</v>
      </c>
      <c r="F430" s="31">
        <v>0</v>
      </c>
    </row>
    <row r="431" spans="1:6">
      <c r="A431" s="30">
        <v>43407</v>
      </c>
      <c r="B431" s="11" t="s">
        <v>586</v>
      </c>
      <c r="C431" s="11" t="s">
        <v>599</v>
      </c>
      <c r="D431" s="12">
        <v>73.792599999999993</v>
      </c>
      <c r="E431" s="11" t="s">
        <v>598</v>
      </c>
      <c r="F431" s="31">
        <v>0</v>
      </c>
    </row>
    <row r="432" spans="1:6">
      <c r="A432" s="30">
        <v>43408</v>
      </c>
      <c r="B432" s="11" t="s">
        <v>586</v>
      </c>
      <c r="C432" s="11" t="s">
        <v>599</v>
      </c>
      <c r="D432" s="12">
        <v>72.596100000000007</v>
      </c>
      <c r="E432" s="11" t="s">
        <v>598</v>
      </c>
      <c r="F432" s="31">
        <v>0</v>
      </c>
    </row>
    <row r="433" spans="1:6">
      <c r="A433" s="30">
        <v>43409</v>
      </c>
      <c r="B433" s="11" t="s">
        <v>586</v>
      </c>
      <c r="C433" s="11" t="s">
        <v>599</v>
      </c>
      <c r="D433" s="12">
        <v>75.619299999999996</v>
      </c>
      <c r="E433" s="11" t="s">
        <v>598</v>
      </c>
      <c r="F433" s="31">
        <v>0</v>
      </c>
    </row>
    <row r="434" spans="1:6">
      <c r="A434" s="30">
        <v>43410</v>
      </c>
      <c r="B434" s="11" t="s">
        <v>586</v>
      </c>
      <c r="C434" s="11" t="s">
        <v>599</v>
      </c>
      <c r="D434" s="12">
        <v>72.6511</v>
      </c>
      <c r="E434" s="11" t="s">
        <v>598</v>
      </c>
      <c r="F434" s="31">
        <v>0</v>
      </c>
    </row>
    <row r="435" spans="1:6">
      <c r="A435" s="30">
        <v>43411</v>
      </c>
      <c r="B435" s="11" t="s">
        <v>586</v>
      </c>
      <c r="C435" s="11" t="s">
        <v>599</v>
      </c>
      <c r="D435" s="12">
        <v>71.267700000000005</v>
      </c>
      <c r="E435" s="11" t="s">
        <v>598</v>
      </c>
      <c r="F435" s="31">
        <v>0</v>
      </c>
    </row>
    <row r="436" spans="1:6">
      <c r="A436" s="30">
        <v>43412</v>
      </c>
      <c r="B436" s="11" t="s">
        <v>586</v>
      </c>
      <c r="C436" s="11" t="s">
        <v>599</v>
      </c>
      <c r="D436" s="12">
        <v>72.866299999999995</v>
      </c>
      <c r="E436" s="11" t="s">
        <v>598</v>
      </c>
      <c r="F436" s="31">
        <v>0</v>
      </c>
    </row>
    <row r="437" spans="1:6">
      <c r="A437" s="30">
        <v>43413</v>
      </c>
      <c r="B437" s="11" t="s">
        <v>586</v>
      </c>
      <c r="C437" s="11" t="s">
        <v>599</v>
      </c>
      <c r="D437" s="12">
        <v>67.832999999999998</v>
      </c>
      <c r="E437" s="11" t="s">
        <v>598</v>
      </c>
      <c r="F437" s="31">
        <v>0</v>
      </c>
    </row>
    <row r="438" spans="1:6">
      <c r="A438" s="30">
        <v>43414</v>
      </c>
      <c r="B438" s="11" t="s">
        <v>586</v>
      </c>
      <c r="C438" s="11" t="s">
        <v>599</v>
      </c>
      <c r="D438" s="12">
        <v>64.6999</v>
      </c>
      <c r="E438" s="11" t="s">
        <v>598</v>
      </c>
      <c r="F438" s="31">
        <v>0</v>
      </c>
    </row>
    <row r="439" spans="1:6">
      <c r="A439" s="30">
        <v>43415</v>
      </c>
      <c r="B439" s="11" t="s">
        <v>586</v>
      </c>
      <c r="C439" s="11" t="s">
        <v>599</v>
      </c>
      <c r="D439" s="12">
        <v>65.887299999999996</v>
      </c>
      <c r="E439" s="11" t="s">
        <v>598</v>
      </c>
      <c r="F439" s="31">
        <v>0</v>
      </c>
    </row>
    <row r="440" spans="1:6">
      <c r="A440" s="30">
        <v>43416</v>
      </c>
      <c r="B440" s="11" t="s">
        <v>586</v>
      </c>
      <c r="C440" s="11" t="s">
        <v>599</v>
      </c>
      <c r="D440" s="12">
        <v>67.755200000000002</v>
      </c>
      <c r="E440" s="11" t="s">
        <v>598</v>
      </c>
      <c r="F440" s="31">
        <v>0</v>
      </c>
    </row>
    <row r="441" spans="1:6">
      <c r="A441" s="30">
        <v>43417</v>
      </c>
      <c r="B441" s="11" t="s">
        <v>586</v>
      </c>
      <c r="C441" s="11" t="s">
        <v>599</v>
      </c>
      <c r="D441" s="12">
        <v>68.682000000000002</v>
      </c>
      <c r="E441" s="11" t="s">
        <v>598</v>
      </c>
      <c r="F441" s="31">
        <v>0</v>
      </c>
    </row>
    <row r="442" spans="1:6">
      <c r="A442" s="30">
        <v>43418</v>
      </c>
      <c r="B442" s="11" t="s">
        <v>586</v>
      </c>
      <c r="C442" s="11" t="s">
        <v>599</v>
      </c>
      <c r="D442" s="12">
        <v>68.073499999999996</v>
      </c>
      <c r="E442" s="11" t="s">
        <v>598</v>
      </c>
      <c r="F442" s="31">
        <v>0</v>
      </c>
    </row>
    <row r="443" spans="1:6">
      <c r="A443" s="30">
        <v>43419</v>
      </c>
      <c r="B443" s="11" t="s">
        <v>586</v>
      </c>
      <c r="C443" s="11" t="s">
        <v>599</v>
      </c>
      <c r="D443" s="12">
        <v>77.760300000000001</v>
      </c>
      <c r="E443" s="11" t="s">
        <v>598</v>
      </c>
      <c r="F443" s="31">
        <v>0</v>
      </c>
    </row>
    <row r="444" spans="1:6">
      <c r="A444" s="30">
        <v>43420</v>
      </c>
      <c r="B444" s="11" t="s">
        <v>586</v>
      </c>
      <c r="C444" s="11" t="s">
        <v>599</v>
      </c>
      <c r="D444" s="12">
        <v>81.105000000000004</v>
      </c>
      <c r="E444" s="11" t="s">
        <v>598</v>
      </c>
      <c r="F444" s="31">
        <v>0</v>
      </c>
    </row>
    <row r="445" spans="1:6">
      <c r="A445" s="30">
        <v>43421</v>
      </c>
      <c r="B445" s="11" t="s">
        <v>586</v>
      </c>
      <c r="C445" s="11" t="s">
        <v>599</v>
      </c>
      <c r="D445" s="12">
        <v>78.468800000000002</v>
      </c>
      <c r="E445" s="11" t="s">
        <v>598</v>
      </c>
      <c r="F445" s="31">
        <v>0</v>
      </c>
    </row>
    <row r="446" spans="1:6">
      <c r="A446" s="30">
        <v>43422</v>
      </c>
      <c r="B446" s="11" t="s">
        <v>586</v>
      </c>
      <c r="C446" s="11" t="s">
        <v>599</v>
      </c>
      <c r="D446" s="12">
        <v>74.836600000000004</v>
      </c>
      <c r="E446" s="11" t="s">
        <v>598</v>
      </c>
      <c r="F446" s="31">
        <v>0</v>
      </c>
    </row>
    <row r="447" spans="1:6">
      <c r="A447" s="30">
        <v>43423</v>
      </c>
      <c r="B447" s="11" t="s">
        <v>586</v>
      </c>
      <c r="C447" s="11" t="s">
        <v>599</v>
      </c>
      <c r="D447" s="12">
        <v>74.404300000000006</v>
      </c>
      <c r="E447" s="11" t="s">
        <v>598</v>
      </c>
      <c r="F447" s="31">
        <v>0</v>
      </c>
    </row>
    <row r="448" spans="1:6">
      <c r="A448" s="30">
        <v>43424</v>
      </c>
      <c r="B448" s="11" t="s">
        <v>586</v>
      </c>
      <c r="C448" s="11" t="s">
        <v>599</v>
      </c>
      <c r="D448" s="12">
        <v>71.224400000000003</v>
      </c>
      <c r="E448" s="11" t="s">
        <v>598</v>
      </c>
      <c r="F448" s="31">
        <v>0</v>
      </c>
    </row>
    <row r="449" spans="1:6">
      <c r="A449" s="30">
        <v>43425</v>
      </c>
      <c r="B449" s="11" t="s">
        <v>586</v>
      </c>
      <c r="C449" s="11" t="s">
        <v>599</v>
      </c>
      <c r="D449" s="12">
        <v>66.606999999999999</v>
      </c>
      <c r="E449" s="11" t="s">
        <v>598</v>
      </c>
      <c r="F449" s="31">
        <v>0</v>
      </c>
    </row>
    <row r="450" spans="1:6">
      <c r="A450" s="30">
        <v>43426</v>
      </c>
      <c r="B450" s="11" t="s">
        <v>586</v>
      </c>
      <c r="C450" s="11" t="s">
        <v>599</v>
      </c>
      <c r="D450" s="12">
        <v>76.263499999999993</v>
      </c>
      <c r="E450" s="11" t="s">
        <v>598</v>
      </c>
      <c r="F450" s="31">
        <v>0</v>
      </c>
    </row>
    <row r="451" spans="1:6">
      <c r="A451" s="30">
        <v>43427</v>
      </c>
      <c r="B451" s="11" t="s">
        <v>586</v>
      </c>
      <c r="C451" s="11" t="s">
        <v>599</v>
      </c>
      <c r="D451" s="12">
        <v>68.209599999999995</v>
      </c>
      <c r="E451" s="11" t="s">
        <v>598</v>
      </c>
      <c r="F451" s="31">
        <v>0</v>
      </c>
    </row>
    <row r="452" spans="1:6">
      <c r="A452" s="30">
        <v>43428</v>
      </c>
      <c r="B452" s="11" t="s">
        <v>586</v>
      </c>
      <c r="C452" s="11" t="s">
        <v>599</v>
      </c>
      <c r="D452" s="12">
        <v>67.734300000000005</v>
      </c>
      <c r="E452" s="11" t="s">
        <v>598</v>
      </c>
      <c r="F452" s="31">
        <v>0</v>
      </c>
    </row>
    <row r="453" spans="1:6">
      <c r="A453" s="30">
        <v>43429</v>
      </c>
      <c r="B453" s="11" t="s">
        <v>586</v>
      </c>
      <c r="C453" s="11" t="s">
        <v>599</v>
      </c>
      <c r="D453" s="12">
        <v>79.927199999999999</v>
      </c>
      <c r="E453" s="11" t="s">
        <v>598</v>
      </c>
      <c r="F453" s="31">
        <v>0</v>
      </c>
    </row>
    <row r="454" spans="1:6">
      <c r="A454" s="30">
        <v>43430</v>
      </c>
      <c r="B454" s="11" t="s">
        <v>586</v>
      </c>
      <c r="C454" s="11" t="s">
        <v>599</v>
      </c>
      <c r="D454" s="12">
        <v>84.417299999999997</v>
      </c>
      <c r="E454" s="11" t="s">
        <v>598</v>
      </c>
      <c r="F454" s="31">
        <v>0</v>
      </c>
    </row>
    <row r="455" spans="1:6">
      <c r="A455" s="30">
        <v>43431</v>
      </c>
      <c r="B455" s="11" t="s">
        <v>586</v>
      </c>
      <c r="C455" s="11" t="s">
        <v>599</v>
      </c>
      <c r="D455" s="12">
        <v>81.031300000000002</v>
      </c>
      <c r="E455" s="11" t="s">
        <v>598</v>
      </c>
      <c r="F455" s="31">
        <v>0</v>
      </c>
    </row>
    <row r="456" spans="1:6">
      <c r="A456" s="30">
        <v>43432</v>
      </c>
      <c r="B456" s="11" t="s">
        <v>586</v>
      </c>
      <c r="C456" s="11" t="s">
        <v>599</v>
      </c>
      <c r="D456" s="12">
        <v>72.075999999999993</v>
      </c>
      <c r="E456" s="11" t="s">
        <v>598</v>
      </c>
      <c r="F456" s="31">
        <v>0</v>
      </c>
    </row>
    <row r="457" spans="1:6">
      <c r="A457" s="30">
        <v>43433</v>
      </c>
      <c r="B457" s="11" t="s">
        <v>586</v>
      </c>
      <c r="C457" s="11" t="s">
        <v>599</v>
      </c>
      <c r="D457" s="12">
        <v>74.688400000000001</v>
      </c>
      <c r="E457" s="11" t="s">
        <v>598</v>
      </c>
      <c r="F457" s="31">
        <v>0</v>
      </c>
    </row>
    <row r="458" spans="1:6">
      <c r="A458" s="30">
        <v>43434</v>
      </c>
      <c r="B458" s="11" t="s">
        <v>586</v>
      </c>
      <c r="C458" s="11" t="s">
        <v>599</v>
      </c>
      <c r="D458" s="12">
        <v>76.8673</v>
      </c>
      <c r="E458" s="11" t="s">
        <v>598</v>
      </c>
      <c r="F458" s="31">
        <v>0</v>
      </c>
    </row>
    <row r="459" spans="1:6">
      <c r="A459" s="30">
        <v>43435</v>
      </c>
      <c r="B459" s="11" t="s">
        <v>586</v>
      </c>
      <c r="C459" s="11" t="s">
        <v>599</v>
      </c>
      <c r="D459" s="12">
        <v>81.951099999999997</v>
      </c>
      <c r="E459" s="11" t="s">
        <v>598</v>
      </c>
      <c r="F459" s="31">
        <v>0</v>
      </c>
    </row>
    <row r="460" spans="1:6">
      <c r="A460" s="30">
        <v>43436</v>
      </c>
      <c r="B460" s="11" t="s">
        <v>586</v>
      </c>
      <c r="C460" s="11" t="s">
        <v>599</v>
      </c>
      <c r="D460" s="12">
        <v>80.045699999999997</v>
      </c>
      <c r="E460" s="11" t="s">
        <v>598</v>
      </c>
      <c r="F460" s="31">
        <v>0</v>
      </c>
    </row>
    <row r="461" spans="1:6">
      <c r="A461" s="30">
        <v>43437</v>
      </c>
      <c r="B461" s="11" t="s">
        <v>586</v>
      </c>
      <c r="C461" s="11" t="s">
        <v>599</v>
      </c>
      <c r="D461" s="12">
        <v>76.822100000000006</v>
      </c>
      <c r="E461" s="11" t="s">
        <v>598</v>
      </c>
      <c r="F461" s="31">
        <v>0</v>
      </c>
    </row>
    <row r="462" spans="1:6">
      <c r="A462" s="30">
        <v>43438</v>
      </c>
      <c r="B462" s="11" t="s">
        <v>586</v>
      </c>
      <c r="C462" s="11" t="s">
        <v>599</v>
      </c>
      <c r="D462" s="12">
        <v>86.549099999999996</v>
      </c>
      <c r="E462" s="11" t="s">
        <v>598</v>
      </c>
      <c r="F462" s="31">
        <v>0</v>
      </c>
    </row>
    <row r="463" spans="1:6">
      <c r="A463" s="30">
        <v>43439</v>
      </c>
      <c r="B463" s="11" t="s">
        <v>586</v>
      </c>
      <c r="C463" s="11" t="s">
        <v>599</v>
      </c>
      <c r="D463" s="12">
        <v>88.599699999999999</v>
      </c>
      <c r="E463" s="11" t="s">
        <v>598</v>
      </c>
      <c r="F463" s="31">
        <v>0</v>
      </c>
    </row>
    <row r="464" spans="1:6">
      <c r="A464" s="30">
        <v>43440</v>
      </c>
      <c r="B464" s="11" t="s">
        <v>586</v>
      </c>
      <c r="C464" s="11" t="s">
        <v>599</v>
      </c>
      <c r="D464" s="12">
        <v>90.5595</v>
      </c>
      <c r="E464" s="11" t="s">
        <v>598</v>
      </c>
      <c r="F464" s="31">
        <v>0</v>
      </c>
    </row>
    <row r="465" spans="1:6">
      <c r="A465" s="30">
        <v>43441</v>
      </c>
      <c r="B465" s="11" t="s">
        <v>586</v>
      </c>
      <c r="C465" s="11" t="s">
        <v>599</v>
      </c>
      <c r="D465" s="12">
        <v>87.698400000000007</v>
      </c>
      <c r="E465" s="11" t="s">
        <v>598</v>
      </c>
      <c r="F465" s="31">
        <v>0</v>
      </c>
    </row>
    <row r="466" spans="1:6">
      <c r="A466" s="30">
        <v>43442</v>
      </c>
      <c r="B466" s="11" t="s">
        <v>586</v>
      </c>
      <c r="C466" s="11" t="s">
        <v>599</v>
      </c>
      <c r="D466" s="12">
        <v>85.840599999999995</v>
      </c>
      <c r="E466" s="11" t="s">
        <v>598</v>
      </c>
      <c r="F466" s="31">
        <v>0</v>
      </c>
    </row>
    <row r="467" spans="1:6">
      <c r="A467" s="30">
        <v>43443</v>
      </c>
      <c r="B467" s="11" t="s">
        <v>586</v>
      </c>
      <c r="C467" s="11" t="s">
        <v>599</v>
      </c>
      <c r="D467" s="12">
        <v>86.022599999999997</v>
      </c>
      <c r="E467" s="11" t="s">
        <v>598</v>
      </c>
      <c r="F467" s="31">
        <v>0</v>
      </c>
    </row>
    <row r="468" spans="1:6">
      <c r="A468" s="30">
        <v>43444</v>
      </c>
      <c r="B468" s="11" t="s">
        <v>586</v>
      </c>
      <c r="C468" s="11" t="s">
        <v>599</v>
      </c>
      <c r="D468" s="12">
        <v>85.521299999999997</v>
      </c>
      <c r="E468" s="11" t="s">
        <v>598</v>
      </c>
      <c r="F468" s="31">
        <v>0</v>
      </c>
    </row>
    <row r="469" spans="1:6">
      <c r="A469" s="30">
        <v>43445</v>
      </c>
      <c r="B469" s="11" t="s">
        <v>586</v>
      </c>
      <c r="C469" s="11" t="s">
        <v>599</v>
      </c>
      <c r="D469" s="12">
        <v>87.570599999999999</v>
      </c>
      <c r="E469" s="11" t="s">
        <v>598</v>
      </c>
      <c r="F469" s="31">
        <v>0</v>
      </c>
    </row>
    <row r="470" spans="1:6">
      <c r="A470" s="30">
        <v>43446</v>
      </c>
      <c r="B470" s="11" t="s">
        <v>586</v>
      </c>
      <c r="C470" s="11" t="s">
        <v>599</v>
      </c>
      <c r="D470" s="12">
        <v>87.011300000000006</v>
      </c>
      <c r="E470" s="11" t="s">
        <v>598</v>
      </c>
      <c r="F470" s="31">
        <v>0</v>
      </c>
    </row>
    <row r="471" spans="1:6">
      <c r="A471" s="30">
        <v>43447</v>
      </c>
      <c r="B471" s="11" t="s">
        <v>586</v>
      </c>
      <c r="C471" s="11" t="s">
        <v>599</v>
      </c>
      <c r="D471" s="12">
        <v>81.734099999999998</v>
      </c>
      <c r="E471" s="11" t="s">
        <v>598</v>
      </c>
      <c r="F471" s="31">
        <v>0</v>
      </c>
    </row>
    <row r="472" spans="1:6">
      <c r="A472" s="30">
        <v>43448</v>
      </c>
      <c r="B472" s="11" t="s">
        <v>586</v>
      </c>
      <c r="C472" s="11" t="s">
        <v>599</v>
      </c>
      <c r="D472" s="12">
        <v>81.787000000000006</v>
      </c>
      <c r="E472" s="11" t="s">
        <v>598</v>
      </c>
      <c r="F472" s="31">
        <v>0</v>
      </c>
    </row>
    <row r="473" spans="1:6">
      <c r="A473" s="30">
        <v>43449</v>
      </c>
      <c r="B473" s="11" t="s">
        <v>586</v>
      </c>
      <c r="C473" s="11" t="s">
        <v>599</v>
      </c>
      <c r="D473" s="12">
        <v>76.628200000000007</v>
      </c>
      <c r="E473" s="11" t="s">
        <v>598</v>
      </c>
      <c r="F473" s="31">
        <v>0</v>
      </c>
    </row>
    <row r="474" spans="1:6">
      <c r="A474" s="30">
        <v>43450</v>
      </c>
      <c r="B474" s="11" t="s">
        <v>586</v>
      </c>
      <c r="C474" s="11" t="s">
        <v>599</v>
      </c>
      <c r="D474" s="12">
        <v>79.375600000000006</v>
      </c>
      <c r="E474" s="11" t="s">
        <v>598</v>
      </c>
      <c r="F474" s="31">
        <v>0</v>
      </c>
    </row>
    <row r="475" spans="1:6">
      <c r="A475" s="30">
        <v>43451</v>
      </c>
      <c r="B475" s="11" t="s">
        <v>586</v>
      </c>
      <c r="C475" s="11" t="s">
        <v>599</v>
      </c>
      <c r="D475" s="12">
        <v>72.337199999999996</v>
      </c>
      <c r="E475" s="11" t="s">
        <v>598</v>
      </c>
      <c r="F475" s="31">
        <v>0</v>
      </c>
    </row>
    <row r="476" spans="1:6">
      <c r="A476" s="30">
        <v>43452</v>
      </c>
      <c r="B476" s="11" t="s">
        <v>586</v>
      </c>
      <c r="C476" s="11" t="s">
        <v>599</v>
      </c>
      <c r="D476" s="12">
        <v>72.768600000000006</v>
      </c>
      <c r="E476" s="11" t="s">
        <v>598</v>
      </c>
      <c r="F476" s="31">
        <v>0</v>
      </c>
    </row>
    <row r="477" spans="1:6">
      <c r="A477" s="30">
        <v>43453</v>
      </c>
      <c r="B477" s="11" t="s">
        <v>586</v>
      </c>
      <c r="C477" s="11" t="s">
        <v>599</v>
      </c>
      <c r="D477" s="12">
        <v>70.366299999999995</v>
      </c>
      <c r="E477" s="11" t="s">
        <v>598</v>
      </c>
      <c r="F477" s="31">
        <v>0</v>
      </c>
    </row>
    <row r="478" spans="1:6">
      <c r="A478" s="30">
        <v>43454</v>
      </c>
      <c r="B478" s="11" t="s">
        <v>586</v>
      </c>
      <c r="C478" s="11" t="s">
        <v>599</v>
      </c>
      <c r="D478" s="12">
        <v>70.675899999999999</v>
      </c>
      <c r="E478" s="11" t="s">
        <v>598</v>
      </c>
      <c r="F478" s="31">
        <v>0</v>
      </c>
    </row>
    <row r="479" spans="1:6">
      <c r="A479" s="30">
        <v>43455</v>
      </c>
      <c r="B479" s="11" t="s">
        <v>586</v>
      </c>
      <c r="C479" s="11" t="s">
        <v>599</v>
      </c>
      <c r="D479" s="12">
        <v>70.337500000000006</v>
      </c>
      <c r="E479" s="11" t="s">
        <v>598</v>
      </c>
      <c r="F479" s="31">
        <v>0</v>
      </c>
    </row>
    <row r="480" spans="1:6">
      <c r="A480" s="30">
        <v>43456</v>
      </c>
      <c r="B480" s="11" t="s">
        <v>586</v>
      </c>
      <c r="C480" s="11" t="s">
        <v>599</v>
      </c>
      <c r="D480" s="12">
        <v>66.554900000000004</v>
      </c>
      <c r="E480" s="11" t="s">
        <v>598</v>
      </c>
      <c r="F480" s="31">
        <v>0</v>
      </c>
    </row>
    <row r="481" spans="1:6">
      <c r="A481" s="30">
        <v>43457</v>
      </c>
      <c r="B481" s="11" t="s">
        <v>586</v>
      </c>
      <c r="C481" s="11" t="s">
        <v>599</v>
      </c>
      <c r="D481" s="12">
        <v>71.271799999999999</v>
      </c>
      <c r="E481" s="11" t="s">
        <v>598</v>
      </c>
      <c r="F481" s="31">
        <v>0</v>
      </c>
    </row>
    <row r="482" spans="1:6">
      <c r="A482" s="30">
        <v>43458</v>
      </c>
      <c r="B482" s="11" t="s">
        <v>586</v>
      </c>
      <c r="C482" s="11" t="s">
        <v>599</v>
      </c>
      <c r="D482" s="12">
        <v>64.980699999999999</v>
      </c>
      <c r="E482" s="11" t="s">
        <v>598</v>
      </c>
      <c r="F482" s="31">
        <v>0</v>
      </c>
    </row>
    <row r="483" spans="1:6">
      <c r="A483" s="30">
        <v>43459</v>
      </c>
      <c r="B483" s="11" t="s">
        <v>586</v>
      </c>
      <c r="C483" s="11" t="s">
        <v>599</v>
      </c>
      <c r="D483" s="12">
        <v>67.250299999999996</v>
      </c>
      <c r="E483" s="11" t="s">
        <v>598</v>
      </c>
      <c r="F483" s="31">
        <v>0</v>
      </c>
    </row>
    <row r="484" spans="1:6">
      <c r="A484" s="30">
        <v>43460</v>
      </c>
      <c r="B484" s="11" t="s">
        <v>586</v>
      </c>
      <c r="C484" s="11" t="s">
        <v>599</v>
      </c>
      <c r="D484" s="12">
        <v>68.6922</v>
      </c>
      <c r="E484" s="11" t="s">
        <v>598</v>
      </c>
      <c r="F484" s="31">
        <v>0</v>
      </c>
    </row>
    <row r="485" spans="1:6">
      <c r="A485" s="30">
        <v>43461</v>
      </c>
      <c r="B485" s="11" t="s">
        <v>586</v>
      </c>
      <c r="C485" s="11" t="s">
        <v>599</v>
      </c>
      <c r="D485" s="12">
        <v>68.939400000000006</v>
      </c>
      <c r="E485" s="11" t="s">
        <v>598</v>
      </c>
      <c r="F485" s="31">
        <v>0</v>
      </c>
    </row>
    <row r="486" spans="1:6">
      <c r="A486" s="30">
        <v>43462</v>
      </c>
      <c r="B486" s="11" t="s">
        <v>586</v>
      </c>
      <c r="C486" s="11" t="s">
        <v>599</v>
      </c>
      <c r="D486" s="12">
        <v>68.177700000000002</v>
      </c>
      <c r="E486" s="11" t="s">
        <v>598</v>
      </c>
      <c r="F486" s="31">
        <v>0</v>
      </c>
    </row>
    <row r="487" spans="1:6">
      <c r="A487" s="30">
        <v>43463</v>
      </c>
      <c r="B487" s="11" t="s">
        <v>586</v>
      </c>
      <c r="C487" s="11" t="s">
        <v>599</v>
      </c>
      <c r="D487" s="12">
        <v>67.231200000000001</v>
      </c>
      <c r="E487" s="11" t="s">
        <v>598</v>
      </c>
      <c r="F487" s="31">
        <v>0</v>
      </c>
    </row>
    <row r="488" spans="1:6">
      <c r="A488" s="30">
        <v>43464</v>
      </c>
      <c r="B488" s="11" t="s">
        <v>586</v>
      </c>
      <c r="C488" s="11" t="s">
        <v>599</v>
      </c>
      <c r="D488" s="12">
        <v>70.462999999999994</v>
      </c>
      <c r="E488" s="11" t="s">
        <v>598</v>
      </c>
      <c r="F488" s="31">
        <v>0</v>
      </c>
    </row>
    <row r="489" spans="1:6">
      <c r="A489" s="30">
        <v>43465</v>
      </c>
      <c r="B489" s="11" t="s">
        <v>586</v>
      </c>
      <c r="C489" s="11" t="s">
        <v>599</v>
      </c>
      <c r="D489" s="12">
        <v>67.004400000000004</v>
      </c>
      <c r="E489" s="11" t="s">
        <v>598</v>
      </c>
      <c r="F489" s="31">
        <v>0</v>
      </c>
    </row>
    <row r="490" spans="1:6">
      <c r="A490" s="30">
        <v>43466</v>
      </c>
      <c r="B490" s="11" t="s">
        <v>586</v>
      </c>
      <c r="C490" s="11" t="s">
        <v>599</v>
      </c>
      <c r="D490" s="12">
        <v>69.189099999999996</v>
      </c>
      <c r="E490" s="11" t="s">
        <v>598</v>
      </c>
      <c r="F490" s="31">
        <v>0</v>
      </c>
    </row>
    <row r="491" spans="1:6">
      <c r="A491" s="30">
        <v>43467</v>
      </c>
      <c r="B491" s="11" t="s">
        <v>586</v>
      </c>
      <c r="C491" s="11" t="s">
        <v>599</v>
      </c>
      <c r="D491" s="12">
        <v>71.335300000000004</v>
      </c>
      <c r="E491" s="11" t="s">
        <v>598</v>
      </c>
      <c r="F491" s="31">
        <v>0</v>
      </c>
    </row>
    <row r="492" spans="1:6">
      <c r="A492" s="30">
        <v>43468</v>
      </c>
      <c r="B492" s="11" t="s">
        <v>586</v>
      </c>
      <c r="C492" s="11" t="s">
        <v>599</v>
      </c>
      <c r="D492" s="12">
        <v>74.260599999999997</v>
      </c>
      <c r="E492" s="11" t="s">
        <v>598</v>
      </c>
      <c r="F492" s="31">
        <v>0</v>
      </c>
    </row>
    <row r="493" spans="1:6">
      <c r="A493" s="30">
        <v>43469</v>
      </c>
      <c r="B493" s="11" t="s">
        <v>586</v>
      </c>
      <c r="C493" s="11" t="s">
        <v>599</v>
      </c>
      <c r="D493" s="12">
        <v>71.687399999999997</v>
      </c>
      <c r="E493" s="11" t="s">
        <v>598</v>
      </c>
      <c r="F493" s="31">
        <v>0</v>
      </c>
    </row>
    <row r="494" spans="1:6">
      <c r="A494" s="30">
        <v>43470</v>
      </c>
      <c r="B494" s="11" t="s">
        <v>586</v>
      </c>
      <c r="C494" s="11" t="s">
        <v>599</v>
      </c>
      <c r="D494" s="12">
        <v>70.198899999999995</v>
      </c>
      <c r="E494" s="11" t="s">
        <v>598</v>
      </c>
      <c r="F494" s="31">
        <v>0</v>
      </c>
    </row>
    <row r="495" spans="1:6">
      <c r="A495" s="30">
        <v>43471</v>
      </c>
      <c r="B495" s="11" t="s">
        <v>586</v>
      </c>
      <c r="C495" s="11" t="s">
        <v>599</v>
      </c>
      <c r="D495" s="12">
        <v>71.410700000000006</v>
      </c>
      <c r="E495" s="11" t="s">
        <v>598</v>
      </c>
      <c r="F495" s="31">
        <v>0</v>
      </c>
    </row>
    <row r="496" spans="1:6">
      <c r="A496" s="30">
        <v>43472</v>
      </c>
      <c r="B496" s="11" t="s">
        <v>586</v>
      </c>
      <c r="C496" s="11" t="s">
        <v>599</v>
      </c>
      <c r="D496" s="12">
        <v>73.273899999999998</v>
      </c>
      <c r="E496" s="11" t="s">
        <v>598</v>
      </c>
      <c r="F496" s="31">
        <v>0</v>
      </c>
    </row>
    <row r="497" spans="1:6">
      <c r="A497" s="30">
        <v>43473</v>
      </c>
      <c r="B497" s="11" t="s">
        <v>586</v>
      </c>
      <c r="C497" s="11" t="s">
        <v>599</v>
      </c>
      <c r="D497" s="12">
        <v>70.417299999999997</v>
      </c>
      <c r="E497" s="11" t="s">
        <v>598</v>
      </c>
      <c r="F497" s="31">
        <v>0</v>
      </c>
    </row>
    <row r="498" spans="1:6">
      <c r="A498" s="30">
        <v>43474</v>
      </c>
      <c r="B498" s="11" t="s">
        <v>586</v>
      </c>
      <c r="C498" s="11" t="s">
        <v>599</v>
      </c>
      <c r="D498" s="12">
        <v>71.525099999999995</v>
      </c>
      <c r="E498" s="11" t="s">
        <v>598</v>
      </c>
      <c r="F498" s="31">
        <v>0</v>
      </c>
    </row>
    <row r="499" spans="1:6">
      <c r="A499" s="30">
        <v>43475</v>
      </c>
      <c r="B499" s="11" t="s">
        <v>586</v>
      </c>
      <c r="C499" s="11" t="s">
        <v>599</v>
      </c>
      <c r="D499" s="12">
        <v>73.500100000000003</v>
      </c>
      <c r="E499" s="11" t="s">
        <v>598</v>
      </c>
      <c r="F499" s="31">
        <v>0</v>
      </c>
    </row>
    <row r="500" spans="1:6">
      <c r="A500" s="30">
        <v>43476</v>
      </c>
      <c r="B500" s="11" t="s">
        <v>586</v>
      </c>
      <c r="C500" s="11" t="s">
        <v>599</v>
      </c>
      <c r="D500" s="12">
        <v>71.429299999999998</v>
      </c>
      <c r="E500" s="11" t="s">
        <v>598</v>
      </c>
      <c r="F500" s="31">
        <v>0</v>
      </c>
    </row>
    <row r="501" spans="1:6">
      <c r="A501" s="30">
        <v>43477</v>
      </c>
      <c r="B501" s="11" t="s">
        <v>586</v>
      </c>
      <c r="C501" s="11" t="s">
        <v>599</v>
      </c>
      <c r="D501" s="12">
        <v>74.446799999999996</v>
      </c>
      <c r="E501" s="11" t="s">
        <v>598</v>
      </c>
      <c r="F501" s="31">
        <v>0</v>
      </c>
    </row>
    <row r="502" spans="1:6">
      <c r="A502" s="30">
        <v>43478</v>
      </c>
      <c r="B502" s="11" t="s">
        <v>586</v>
      </c>
      <c r="C502" s="11" t="s">
        <v>599</v>
      </c>
      <c r="D502" s="12">
        <v>69.363600000000005</v>
      </c>
      <c r="E502" s="11" t="s">
        <v>598</v>
      </c>
      <c r="F502" s="31">
        <v>0</v>
      </c>
    </row>
    <row r="503" spans="1:6">
      <c r="A503" s="30">
        <v>43479</v>
      </c>
      <c r="B503" s="11" t="s">
        <v>586</v>
      </c>
      <c r="C503" s="11" t="s">
        <v>599</v>
      </c>
      <c r="D503" s="12">
        <v>71.596199999999996</v>
      </c>
      <c r="E503" s="11" t="s">
        <v>598</v>
      </c>
      <c r="F503" s="31">
        <v>0</v>
      </c>
    </row>
    <row r="504" spans="1:6">
      <c r="A504" s="30">
        <v>43480</v>
      </c>
      <c r="B504" s="11" t="s">
        <v>586</v>
      </c>
      <c r="C504" s="11" t="s">
        <v>599</v>
      </c>
      <c r="D504" s="12">
        <v>75.281000000000006</v>
      </c>
      <c r="E504" s="11" t="s">
        <v>598</v>
      </c>
      <c r="F504" s="31">
        <v>0</v>
      </c>
    </row>
    <row r="505" spans="1:6">
      <c r="A505" s="30">
        <v>43481</v>
      </c>
      <c r="B505" s="11" t="s">
        <v>586</v>
      </c>
      <c r="C505" s="11" t="s">
        <v>599</v>
      </c>
      <c r="D505" s="12">
        <v>75.975399999999993</v>
      </c>
      <c r="E505" s="11" t="s">
        <v>598</v>
      </c>
      <c r="F505" s="31">
        <v>0</v>
      </c>
    </row>
    <row r="506" spans="1:6">
      <c r="A506" s="30">
        <v>43482</v>
      </c>
      <c r="B506" s="11" t="s">
        <v>586</v>
      </c>
      <c r="C506" s="11" t="s">
        <v>599</v>
      </c>
      <c r="D506" s="12">
        <v>71.924999999999997</v>
      </c>
      <c r="E506" s="11" t="s">
        <v>598</v>
      </c>
      <c r="F506" s="31">
        <v>0</v>
      </c>
    </row>
    <row r="507" spans="1:6">
      <c r="A507" s="30">
        <v>43483</v>
      </c>
      <c r="B507" s="11" t="s">
        <v>586</v>
      </c>
      <c r="C507" s="11" t="s">
        <v>599</v>
      </c>
      <c r="D507" s="12">
        <v>74.824600000000004</v>
      </c>
      <c r="E507" s="11" t="s">
        <v>598</v>
      </c>
      <c r="F507" s="31">
        <v>0</v>
      </c>
    </row>
    <row r="508" spans="1:6">
      <c r="A508" s="30">
        <v>43484</v>
      </c>
      <c r="B508" s="11" t="s">
        <v>586</v>
      </c>
      <c r="C508" s="11" t="s">
        <v>599</v>
      </c>
      <c r="D508" s="12">
        <v>74.852099999999993</v>
      </c>
      <c r="E508" s="11" t="s">
        <v>598</v>
      </c>
      <c r="F508" s="31">
        <v>0</v>
      </c>
    </row>
    <row r="509" spans="1:6">
      <c r="A509" s="30">
        <v>43485</v>
      </c>
      <c r="B509" s="11" t="s">
        <v>586</v>
      </c>
      <c r="C509" s="11" t="s">
        <v>599</v>
      </c>
      <c r="D509" s="12">
        <v>74.476200000000006</v>
      </c>
      <c r="E509" s="11" t="s">
        <v>598</v>
      </c>
      <c r="F509" s="31">
        <v>0</v>
      </c>
    </row>
    <row r="510" spans="1:6">
      <c r="A510" s="30">
        <v>43486</v>
      </c>
      <c r="B510" s="11" t="s">
        <v>586</v>
      </c>
      <c r="C510" s="11" t="s">
        <v>599</v>
      </c>
      <c r="D510" s="12">
        <v>71.252499999999998</v>
      </c>
      <c r="E510" s="11" t="s">
        <v>598</v>
      </c>
      <c r="F510" s="31">
        <v>0</v>
      </c>
    </row>
    <row r="511" spans="1:6">
      <c r="A511" s="30">
        <v>43487</v>
      </c>
      <c r="B511" s="11" t="s">
        <v>586</v>
      </c>
      <c r="C511" s="11" t="s">
        <v>599</v>
      </c>
      <c r="D511" s="12">
        <v>74.903899999999993</v>
      </c>
      <c r="E511" s="11" t="s">
        <v>598</v>
      </c>
      <c r="F511" s="31">
        <v>0</v>
      </c>
    </row>
    <row r="512" spans="1:6">
      <c r="A512" s="30">
        <v>43488</v>
      </c>
      <c r="B512" s="11" t="s">
        <v>586</v>
      </c>
      <c r="C512" s="11" t="s">
        <v>599</v>
      </c>
      <c r="D512" s="12">
        <v>76.145700000000005</v>
      </c>
      <c r="E512" s="11" t="s">
        <v>598</v>
      </c>
      <c r="F512" s="31">
        <v>0</v>
      </c>
    </row>
    <row r="513" spans="1:6">
      <c r="A513" s="30">
        <v>43489</v>
      </c>
      <c r="B513" s="11" t="s">
        <v>586</v>
      </c>
      <c r="C513" s="11" t="s">
        <v>599</v>
      </c>
      <c r="D513" s="12">
        <v>72.694900000000004</v>
      </c>
      <c r="E513" s="11" t="s">
        <v>598</v>
      </c>
      <c r="F513" s="31">
        <v>0</v>
      </c>
    </row>
    <row r="514" spans="1:6">
      <c r="A514" s="30">
        <v>43490</v>
      </c>
      <c r="B514" s="11" t="s">
        <v>586</v>
      </c>
      <c r="C514" s="11" t="s">
        <v>599</v>
      </c>
      <c r="D514" s="12">
        <v>64.467100000000002</v>
      </c>
      <c r="E514" s="11" t="s">
        <v>598</v>
      </c>
      <c r="F514" s="31">
        <v>0</v>
      </c>
    </row>
    <row r="515" spans="1:6">
      <c r="A515" s="30">
        <v>43491</v>
      </c>
      <c r="B515" s="11" t="s">
        <v>586</v>
      </c>
      <c r="C515" s="11" t="s">
        <v>599</v>
      </c>
      <c r="D515" s="12">
        <v>68.254400000000004</v>
      </c>
      <c r="E515" s="11" t="s">
        <v>598</v>
      </c>
      <c r="F515" s="31">
        <v>0</v>
      </c>
    </row>
    <row r="516" spans="1:6">
      <c r="A516" s="30">
        <v>43492</v>
      </c>
      <c r="B516" s="11" t="s">
        <v>586</v>
      </c>
      <c r="C516" s="11" t="s">
        <v>599</v>
      </c>
      <c r="D516" s="12">
        <v>72.5124</v>
      </c>
      <c r="E516" s="11" t="s">
        <v>598</v>
      </c>
      <c r="F516" s="31">
        <v>0</v>
      </c>
    </row>
    <row r="517" spans="1:6">
      <c r="A517" s="30">
        <v>43493</v>
      </c>
      <c r="B517" s="11" t="s">
        <v>586</v>
      </c>
      <c r="C517" s="11" t="s">
        <v>599</v>
      </c>
      <c r="D517" s="12">
        <v>69.434799999999996</v>
      </c>
      <c r="E517" s="11" t="s">
        <v>598</v>
      </c>
      <c r="F517" s="31">
        <v>0</v>
      </c>
    </row>
    <row r="518" spans="1:6">
      <c r="A518" s="30">
        <v>43494</v>
      </c>
      <c r="B518" s="11" t="s">
        <v>586</v>
      </c>
      <c r="C518" s="11" t="s">
        <v>599</v>
      </c>
      <c r="D518" s="12">
        <v>70.633200000000002</v>
      </c>
      <c r="E518" s="11" t="s">
        <v>598</v>
      </c>
      <c r="F518" s="31">
        <v>0</v>
      </c>
    </row>
    <row r="519" spans="1:6">
      <c r="A519" s="30">
        <v>43495</v>
      </c>
      <c r="B519" s="11" t="s">
        <v>586</v>
      </c>
      <c r="C519" s="11" t="s">
        <v>599</v>
      </c>
      <c r="D519" s="12">
        <v>67.6357</v>
      </c>
      <c r="E519" s="11" t="s">
        <v>598</v>
      </c>
      <c r="F519" s="31">
        <v>0</v>
      </c>
    </row>
    <row r="520" spans="1:6">
      <c r="A520" s="30">
        <v>43496</v>
      </c>
      <c r="B520" s="11" t="s">
        <v>586</v>
      </c>
      <c r="C520" s="11" t="s">
        <v>599</v>
      </c>
      <c r="D520" s="12">
        <v>65.600300000000004</v>
      </c>
      <c r="E520" s="11" t="s">
        <v>598</v>
      </c>
      <c r="F520" s="31">
        <v>0</v>
      </c>
    </row>
    <row r="521" spans="1:6">
      <c r="A521" s="30">
        <v>43497</v>
      </c>
      <c r="B521" s="11" t="s">
        <v>586</v>
      </c>
      <c r="C521" s="11" t="s">
        <v>599</v>
      </c>
      <c r="D521" s="12">
        <v>66.466300000000004</v>
      </c>
      <c r="E521" s="11" t="s">
        <v>598</v>
      </c>
      <c r="F521" s="31">
        <v>0</v>
      </c>
    </row>
    <row r="522" spans="1:6">
      <c r="A522" s="30">
        <v>43498</v>
      </c>
      <c r="B522" s="11" t="s">
        <v>586</v>
      </c>
      <c r="C522" s="11" t="s">
        <v>599</v>
      </c>
      <c r="D522" s="12">
        <v>71.382000000000005</v>
      </c>
      <c r="E522" s="11" t="s">
        <v>598</v>
      </c>
      <c r="F522" s="31">
        <v>0</v>
      </c>
    </row>
    <row r="523" spans="1:6">
      <c r="A523" s="30">
        <v>43499</v>
      </c>
      <c r="B523" s="11" t="s">
        <v>586</v>
      </c>
      <c r="C523" s="11" t="s">
        <v>599</v>
      </c>
      <c r="D523" s="12">
        <v>77.572199999999995</v>
      </c>
      <c r="E523" s="11" t="s">
        <v>598</v>
      </c>
      <c r="F523" s="31">
        <v>0</v>
      </c>
    </row>
    <row r="524" spans="1:6">
      <c r="A524" s="30">
        <v>43500</v>
      </c>
      <c r="B524" s="11" t="s">
        <v>586</v>
      </c>
      <c r="C524" s="11" t="s">
        <v>599</v>
      </c>
      <c r="D524" s="12">
        <v>69.0762</v>
      </c>
      <c r="E524" s="11" t="s">
        <v>598</v>
      </c>
      <c r="F524" s="31">
        <v>0</v>
      </c>
    </row>
    <row r="525" spans="1:6">
      <c r="A525" s="30">
        <v>43501</v>
      </c>
      <c r="B525" s="11" t="s">
        <v>586</v>
      </c>
      <c r="C525" s="11" t="s">
        <v>599</v>
      </c>
      <c r="D525" s="12">
        <v>62.826700000000002</v>
      </c>
      <c r="E525" s="11" t="s">
        <v>598</v>
      </c>
      <c r="F525" s="31">
        <v>0</v>
      </c>
    </row>
    <row r="526" spans="1:6">
      <c r="A526" s="30">
        <v>43502</v>
      </c>
      <c r="B526" s="11" t="s">
        <v>586</v>
      </c>
      <c r="C526" s="11" t="s">
        <v>599</v>
      </c>
      <c r="D526" s="12">
        <v>59.4681</v>
      </c>
      <c r="E526" s="11" t="s">
        <v>598</v>
      </c>
      <c r="F526" s="31">
        <v>0</v>
      </c>
    </row>
    <row r="527" spans="1:6">
      <c r="A527" s="30">
        <v>43503</v>
      </c>
      <c r="B527" s="11" t="s">
        <v>586</v>
      </c>
      <c r="C527" s="11" t="s">
        <v>599</v>
      </c>
      <c r="D527" s="12">
        <v>66.863699999999994</v>
      </c>
      <c r="E527" s="11" t="s">
        <v>598</v>
      </c>
      <c r="F527" s="31">
        <v>0</v>
      </c>
    </row>
    <row r="528" spans="1:6">
      <c r="A528" s="30">
        <v>43504</v>
      </c>
      <c r="B528" s="11" t="s">
        <v>586</v>
      </c>
      <c r="C528" s="11" t="s">
        <v>599</v>
      </c>
      <c r="D528" s="12">
        <v>65.603499999999997</v>
      </c>
      <c r="E528" s="11" t="s">
        <v>598</v>
      </c>
      <c r="F528" s="31">
        <v>0</v>
      </c>
    </row>
    <row r="529" spans="1:6">
      <c r="A529" s="30">
        <v>43505</v>
      </c>
      <c r="B529" s="11" t="s">
        <v>586</v>
      </c>
      <c r="C529" s="11" t="s">
        <v>599</v>
      </c>
      <c r="D529" s="12">
        <v>68.255600000000001</v>
      </c>
      <c r="E529" s="11" t="s">
        <v>598</v>
      </c>
      <c r="F529" s="31">
        <v>0</v>
      </c>
    </row>
    <row r="530" spans="1:6">
      <c r="A530" s="30">
        <v>43506</v>
      </c>
      <c r="B530" s="11" t="s">
        <v>586</v>
      </c>
      <c r="C530" s="11" t="s">
        <v>599</v>
      </c>
      <c r="D530" s="12">
        <v>71.821299999999994</v>
      </c>
      <c r="E530" s="11" t="s">
        <v>598</v>
      </c>
      <c r="F530" s="31">
        <v>0</v>
      </c>
    </row>
    <row r="531" spans="1:6">
      <c r="A531" s="30">
        <v>43507</v>
      </c>
      <c r="B531" s="11" t="s">
        <v>586</v>
      </c>
      <c r="C531" s="11" t="s">
        <v>599</v>
      </c>
      <c r="D531" s="12">
        <v>66.350700000000003</v>
      </c>
      <c r="E531" s="11" t="s">
        <v>598</v>
      </c>
      <c r="F531" s="31">
        <v>0</v>
      </c>
    </row>
    <row r="532" spans="1:6">
      <c r="A532" s="30">
        <v>43508</v>
      </c>
      <c r="B532" s="11" t="s">
        <v>586</v>
      </c>
      <c r="C532" s="11" t="s">
        <v>599</v>
      </c>
      <c r="D532" s="12">
        <v>65.6922</v>
      </c>
      <c r="E532" s="11" t="s">
        <v>598</v>
      </c>
      <c r="F532" s="31">
        <v>0</v>
      </c>
    </row>
    <row r="533" spans="1:6">
      <c r="A533" s="30">
        <v>43509</v>
      </c>
      <c r="B533" s="11" t="s">
        <v>586</v>
      </c>
      <c r="C533" s="11" t="s">
        <v>599</v>
      </c>
      <c r="D533" s="12">
        <v>62.348199999999999</v>
      </c>
      <c r="E533" s="11" t="s">
        <v>598</v>
      </c>
      <c r="F533" s="31">
        <v>0</v>
      </c>
    </row>
    <row r="534" spans="1:6">
      <c r="A534" s="30">
        <v>43510</v>
      </c>
      <c r="B534" s="11" t="s">
        <v>586</v>
      </c>
      <c r="C534" s="11" t="s">
        <v>599</v>
      </c>
      <c r="D534" s="12">
        <v>60.813400000000001</v>
      </c>
      <c r="E534" s="11" t="s">
        <v>598</v>
      </c>
      <c r="F534" s="31">
        <v>0</v>
      </c>
    </row>
    <row r="535" spans="1:6">
      <c r="A535" s="30">
        <v>43511</v>
      </c>
      <c r="B535" s="11" t="s">
        <v>586</v>
      </c>
      <c r="C535" s="11" t="s">
        <v>599</v>
      </c>
      <c r="D535" s="12">
        <v>64.709999999999994</v>
      </c>
      <c r="E535" s="11" t="s">
        <v>598</v>
      </c>
      <c r="F535" s="31">
        <v>0</v>
      </c>
    </row>
    <row r="536" spans="1:6">
      <c r="A536" s="30">
        <v>43512</v>
      </c>
      <c r="B536" s="11" t="s">
        <v>586</v>
      </c>
      <c r="C536" s="11" t="s">
        <v>599</v>
      </c>
      <c r="D536" s="12">
        <v>65.648899999999998</v>
      </c>
      <c r="E536" s="11" t="s">
        <v>598</v>
      </c>
      <c r="F536" s="31">
        <v>0</v>
      </c>
    </row>
    <row r="537" spans="1:6">
      <c r="A537" s="30">
        <v>43513</v>
      </c>
      <c r="B537" s="11" t="s">
        <v>586</v>
      </c>
      <c r="C537" s="11" t="s">
        <v>599</v>
      </c>
      <c r="D537" s="12">
        <v>65.397000000000006</v>
      </c>
      <c r="E537" s="11" t="s">
        <v>598</v>
      </c>
      <c r="F537" s="31">
        <v>0</v>
      </c>
    </row>
    <row r="538" spans="1:6">
      <c r="A538" s="30">
        <v>43514</v>
      </c>
      <c r="B538" s="11" t="s">
        <v>586</v>
      </c>
      <c r="C538" s="11" t="s">
        <v>599</v>
      </c>
      <c r="D538" s="12">
        <v>60.732999999999997</v>
      </c>
      <c r="E538" s="11" t="s">
        <v>598</v>
      </c>
      <c r="F538" s="31">
        <v>0</v>
      </c>
    </row>
    <row r="539" spans="1:6">
      <c r="A539" s="30">
        <v>43515</v>
      </c>
      <c r="B539" s="11" t="s">
        <v>586</v>
      </c>
      <c r="C539" s="11" t="s">
        <v>599</v>
      </c>
      <c r="D539" s="12">
        <v>63.360100000000003</v>
      </c>
      <c r="E539" s="11" t="s">
        <v>598</v>
      </c>
      <c r="F539" s="31">
        <v>0</v>
      </c>
    </row>
    <row r="540" spans="1:6">
      <c r="A540" s="30">
        <v>43516</v>
      </c>
      <c r="B540" s="11" t="s">
        <v>586</v>
      </c>
      <c r="C540" s="11" t="s">
        <v>599</v>
      </c>
      <c r="D540" s="12">
        <v>63.379800000000003</v>
      </c>
      <c r="E540" s="11" t="s">
        <v>598</v>
      </c>
      <c r="F540" s="31">
        <v>0</v>
      </c>
    </row>
    <row r="541" spans="1:6">
      <c r="A541" s="30">
        <v>43517</v>
      </c>
      <c r="B541" s="11" t="s">
        <v>586</v>
      </c>
      <c r="C541" s="11" t="s">
        <v>599</v>
      </c>
      <c r="D541" s="12">
        <v>63.314799999999998</v>
      </c>
      <c r="E541" s="11" t="s">
        <v>598</v>
      </c>
      <c r="F541" s="31">
        <v>0</v>
      </c>
    </row>
    <row r="542" spans="1:6">
      <c r="A542" s="30">
        <v>43518</v>
      </c>
      <c r="B542" s="11" t="s">
        <v>586</v>
      </c>
      <c r="C542" s="11" t="s">
        <v>599</v>
      </c>
      <c r="D542" s="12">
        <v>63.6113</v>
      </c>
      <c r="E542" s="11" t="s">
        <v>598</v>
      </c>
      <c r="F542" s="31">
        <v>0</v>
      </c>
    </row>
    <row r="543" spans="1:6">
      <c r="A543" s="30">
        <v>43519</v>
      </c>
      <c r="B543" s="11" t="s">
        <v>586</v>
      </c>
      <c r="C543" s="11" t="s">
        <v>599</v>
      </c>
      <c r="D543" s="12">
        <v>63.168199999999999</v>
      </c>
      <c r="E543" s="11" t="s">
        <v>598</v>
      </c>
      <c r="F543" s="31">
        <v>0</v>
      </c>
    </row>
    <row r="544" spans="1:6">
      <c r="A544" s="30">
        <v>43520</v>
      </c>
      <c r="B544" s="11" t="s">
        <v>586</v>
      </c>
      <c r="C544" s="11" t="s">
        <v>599</v>
      </c>
      <c r="D544" s="12">
        <v>67.1755</v>
      </c>
      <c r="E544" s="11" t="s">
        <v>598</v>
      </c>
      <c r="F544" s="31">
        <v>0</v>
      </c>
    </row>
    <row r="545" spans="1:6">
      <c r="A545" s="30">
        <v>43521</v>
      </c>
      <c r="B545" s="11" t="s">
        <v>586</v>
      </c>
      <c r="C545" s="11" t="s">
        <v>599</v>
      </c>
      <c r="D545" s="12">
        <v>63.1813</v>
      </c>
      <c r="E545" s="11" t="s">
        <v>598</v>
      </c>
      <c r="F545" s="31">
        <v>0</v>
      </c>
    </row>
    <row r="546" spans="1:6">
      <c r="A546" s="30">
        <v>43522</v>
      </c>
      <c r="B546" s="11" t="s">
        <v>586</v>
      </c>
      <c r="C546" s="11" t="s">
        <v>599</v>
      </c>
      <c r="D546" s="12">
        <v>62.954300000000003</v>
      </c>
      <c r="E546" s="11" t="s">
        <v>598</v>
      </c>
      <c r="F546" s="31">
        <v>0</v>
      </c>
    </row>
    <row r="547" spans="1:6">
      <c r="A547" s="30">
        <v>43523</v>
      </c>
      <c r="B547" s="11" t="s">
        <v>586</v>
      </c>
      <c r="C547" s="11" t="s">
        <v>599</v>
      </c>
      <c r="D547" s="12">
        <v>61.067799999999998</v>
      </c>
      <c r="E547" s="11" t="s">
        <v>598</v>
      </c>
      <c r="F547" s="31">
        <v>0</v>
      </c>
    </row>
    <row r="548" spans="1:6">
      <c r="A548" s="30">
        <v>43524</v>
      </c>
      <c r="B548" s="11" t="s">
        <v>586</v>
      </c>
      <c r="C548" s="11" t="s">
        <v>599</v>
      </c>
      <c r="D548" s="12">
        <v>61.418399999999998</v>
      </c>
      <c r="E548" s="11" t="s">
        <v>598</v>
      </c>
      <c r="F548" s="31">
        <v>0</v>
      </c>
    </row>
    <row r="549" spans="1:6">
      <c r="A549" s="30">
        <v>43525</v>
      </c>
      <c r="B549" s="11" t="s">
        <v>586</v>
      </c>
      <c r="C549" s="11" t="s">
        <v>599</v>
      </c>
      <c r="D549" s="12">
        <v>59.497199999999999</v>
      </c>
      <c r="E549" s="11" t="s">
        <v>598</v>
      </c>
      <c r="F549" s="31">
        <v>0</v>
      </c>
    </row>
    <row r="550" spans="1:6">
      <c r="A550" s="30">
        <v>43526</v>
      </c>
      <c r="B550" s="11" t="s">
        <v>586</v>
      </c>
      <c r="C550" s="11" t="s">
        <v>599</v>
      </c>
      <c r="D550" s="12">
        <v>64.915700000000001</v>
      </c>
      <c r="E550" s="11" t="s">
        <v>598</v>
      </c>
      <c r="F550" s="31">
        <v>0</v>
      </c>
    </row>
    <row r="551" spans="1:6">
      <c r="A551" s="30">
        <v>43527</v>
      </c>
      <c r="B551" s="11" t="s">
        <v>586</v>
      </c>
      <c r="C551" s="11" t="s">
        <v>599</v>
      </c>
      <c r="D551" s="12">
        <v>62.5657</v>
      </c>
      <c r="E551" s="11" t="s">
        <v>598</v>
      </c>
      <c r="F551" s="31">
        <v>0</v>
      </c>
    </row>
    <row r="552" spans="1:6">
      <c r="A552" s="30">
        <v>43528</v>
      </c>
      <c r="B552" s="11" t="s">
        <v>586</v>
      </c>
      <c r="C552" s="11" t="s">
        <v>599</v>
      </c>
      <c r="D552" s="12">
        <v>62.953200000000002</v>
      </c>
      <c r="E552" s="11" t="s">
        <v>598</v>
      </c>
      <c r="F552" s="31">
        <v>0</v>
      </c>
    </row>
    <row r="553" spans="1:6">
      <c r="A553" s="30">
        <v>43529</v>
      </c>
      <c r="B553" s="11" t="s">
        <v>586</v>
      </c>
      <c r="C553" s="11" t="s">
        <v>599</v>
      </c>
      <c r="D553" s="12">
        <v>64.742000000000004</v>
      </c>
      <c r="E553" s="11" t="s">
        <v>598</v>
      </c>
      <c r="F553" s="31">
        <v>0</v>
      </c>
    </row>
    <row r="554" spans="1:6">
      <c r="A554" s="30">
        <v>43530</v>
      </c>
      <c r="B554" s="11" t="s">
        <v>586</v>
      </c>
      <c r="C554" s="11" t="s">
        <v>599</v>
      </c>
      <c r="D554" s="12">
        <v>63.183500000000002</v>
      </c>
      <c r="E554" s="11" t="s">
        <v>598</v>
      </c>
      <c r="F554" s="31">
        <v>0</v>
      </c>
    </row>
    <row r="555" spans="1:6">
      <c r="A555" s="30">
        <v>43531</v>
      </c>
      <c r="B555" s="11" t="s">
        <v>586</v>
      </c>
      <c r="C555" s="11" t="s">
        <v>599</v>
      </c>
      <c r="D555" s="12">
        <v>66.633200000000002</v>
      </c>
      <c r="E555" s="11" t="s">
        <v>598</v>
      </c>
      <c r="F555" s="31">
        <v>0</v>
      </c>
    </row>
    <row r="556" spans="1:6">
      <c r="A556" s="30">
        <v>43532</v>
      </c>
      <c r="B556" s="11" t="s">
        <v>586</v>
      </c>
      <c r="C556" s="11" t="s">
        <v>599</v>
      </c>
      <c r="D556" s="12">
        <v>63.668999999999997</v>
      </c>
      <c r="E556" s="11" t="s">
        <v>598</v>
      </c>
      <c r="F556" s="31">
        <v>0</v>
      </c>
    </row>
    <row r="557" spans="1:6">
      <c r="A557" s="30">
        <v>43533</v>
      </c>
      <c r="B557" s="11" t="s">
        <v>586</v>
      </c>
      <c r="C557" s="11" t="s">
        <v>599</v>
      </c>
      <c r="D557" s="12">
        <v>65.869399999999999</v>
      </c>
      <c r="E557" s="11" t="s">
        <v>598</v>
      </c>
      <c r="F557" s="31">
        <v>0</v>
      </c>
    </row>
    <row r="558" spans="1:6">
      <c r="A558" s="30">
        <v>43534</v>
      </c>
      <c r="B558" s="11" t="s">
        <v>586</v>
      </c>
      <c r="C558" s="11" t="s">
        <v>599</v>
      </c>
      <c r="D558" s="12">
        <v>71.3857</v>
      </c>
      <c r="E558" s="11" t="s">
        <v>598</v>
      </c>
      <c r="F558" s="31">
        <v>0</v>
      </c>
    </row>
    <row r="559" spans="1:6">
      <c r="A559" s="30">
        <v>43535</v>
      </c>
      <c r="B559" s="11" t="s">
        <v>586</v>
      </c>
      <c r="C559" s="11" t="s">
        <v>599</v>
      </c>
      <c r="D559" s="12">
        <v>62.664499999999997</v>
      </c>
      <c r="E559" s="11" t="s">
        <v>598</v>
      </c>
      <c r="F559" s="31">
        <v>0</v>
      </c>
    </row>
    <row r="560" spans="1:6">
      <c r="A560" s="30">
        <v>43536</v>
      </c>
      <c r="B560" s="11" t="s">
        <v>586</v>
      </c>
      <c r="C560" s="11" t="s">
        <v>599</v>
      </c>
      <c r="D560" s="12">
        <v>63.5779</v>
      </c>
      <c r="E560" s="11" t="s">
        <v>598</v>
      </c>
      <c r="F560" s="31">
        <v>0</v>
      </c>
    </row>
    <row r="561" spans="1:6">
      <c r="A561" s="30">
        <v>43537</v>
      </c>
      <c r="B561" s="11" t="s">
        <v>586</v>
      </c>
      <c r="C561" s="11" t="s">
        <v>599</v>
      </c>
      <c r="D561" s="12">
        <v>73.917699999999996</v>
      </c>
      <c r="E561" s="11" t="s">
        <v>598</v>
      </c>
      <c r="F561" s="31">
        <v>0</v>
      </c>
    </row>
    <row r="562" spans="1:6">
      <c r="A562" s="30">
        <v>43538</v>
      </c>
      <c r="B562" s="11" t="s">
        <v>586</v>
      </c>
      <c r="C562" s="11" t="s">
        <v>599</v>
      </c>
      <c r="D562" s="12">
        <v>71.092399999999998</v>
      </c>
      <c r="E562" s="11" t="s">
        <v>598</v>
      </c>
      <c r="F562" s="31">
        <v>0</v>
      </c>
    </row>
    <row r="563" spans="1:6">
      <c r="A563" s="30">
        <v>43539</v>
      </c>
      <c r="B563" s="11" t="s">
        <v>586</v>
      </c>
      <c r="C563" s="11" t="s">
        <v>599</v>
      </c>
      <c r="D563" s="12">
        <v>64.1999</v>
      </c>
      <c r="E563" s="11" t="s">
        <v>598</v>
      </c>
      <c r="F563" s="31">
        <v>0</v>
      </c>
    </row>
    <row r="564" spans="1:6">
      <c r="A564" s="30">
        <v>43540</v>
      </c>
      <c r="B564" s="11" t="s">
        <v>586</v>
      </c>
      <c r="C564" s="11" t="s">
        <v>599</v>
      </c>
      <c r="D564" s="12">
        <v>64.096400000000003</v>
      </c>
      <c r="E564" s="11" t="s">
        <v>598</v>
      </c>
      <c r="F564" s="31">
        <v>0</v>
      </c>
    </row>
    <row r="565" spans="1:6">
      <c r="A565" s="30">
        <v>43541</v>
      </c>
      <c r="B565" s="11" t="s">
        <v>586</v>
      </c>
      <c r="C565" s="11" t="s">
        <v>599</v>
      </c>
      <c r="D565" s="12">
        <v>70.017600000000002</v>
      </c>
      <c r="E565" s="11" t="s">
        <v>598</v>
      </c>
      <c r="F565" s="31">
        <v>0</v>
      </c>
    </row>
    <row r="566" spans="1:6">
      <c r="A566" s="30">
        <v>43542</v>
      </c>
      <c r="B566" s="11" t="s">
        <v>586</v>
      </c>
      <c r="C566" s="11" t="s">
        <v>599</v>
      </c>
      <c r="D566" s="12">
        <v>65.155500000000004</v>
      </c>
      <c r="E566" s="11" t="s">
        <v>598</v>
      </c>
      <c r="F566" s="31">
        <v>0</v>
      </c>
    </row>
    <row r="567" spans="1:6">
      <c r="A567" s="30">
        <v>43543</v>
      </c>
      <c r="B567" s="11" t="s">
        <v>586</v>
      </c>
      <c r="C567" s="11" t="s">
        <v>599</v>
      </c>
      <c r="D567" s="12">
        <v>64.271699999999996</v>
      </c>
      <c r="E567" s="11" t="s">
        <v>598</v>
      </c>
      <c r="F567" s="31">
        <v>0</v>
      </c>
    </row>
    <row r="568" spans="1:6">
      <c r="A568" s="30">
        <v>43544</v>
      </c>
      <c r="B568" s="11" t="s">
        <v>586</v>
      </c>
      <c r="C568" s="11" t="s">
        <v>599</v>
      </c>
      <c r="D568" s="12">
        <v>65.051599999999993</v>
      </c>
      <c r="E568" s="11" t="s">
        <v>598</v>
      </c>
      <c r="F568" s="31">
        <v>0</v>
      </c>
    </row>
    <row r="569" spans="1:6">
      <c r="A569" s="30">
        <v>43545</v>
      </c>
      <c r="B569" s="11" t="s">
        <v>586</v>
      </c>
      <c r="C569" s="11" t="s">
        <v>599</v>
      </c>
      <c r="D569" s="12">
        <v>66.168700000000001</v>
      </c>
      <c r="E569" s="11" t="s">
        <v>598</v>
      </c>
      <c r="F569" s="31">
        <v>0</v>
      </c>
    </row>
    <row r="570" spans="1:6">
      <c r="A570" s="30">
        <v>43546</v>
      </c>
      <c r="B570" s="11" t="s">
        <v>586</v>
      </c>
      <c r="C570" s="11" t="s">
        <v>599</v>
      </c>
      <c r="D570" s="12">
        <v>67.533100000000005</v>
      </c>
      <c r="E570" s="11" t="s">
        <v>598</v>
      </c>
      <c r="F570" s="31">
        <v>0</v>
      </c>
    </row>
    <row r="571" spans="1:6">
      <c r="A571" s="30">
        <v>43547</v>
      </c>
      <c r="B571" s="11" t="s">
        <v>586</v>
      </c>
      <c r="C571" s="11" t="s">
        <v>599</v>
      </c>
      <c r="D571" s="12">
        <v>67.686999999999998</v>
      </c>
      <c r="E571" s="11" t="s">
        <v>598</v>
      </c>
      <c r="F571" s="31">
        <v>0</v>
      </c>
    </row>
    <row r="572" spans="1:6">
      <c r="A572" s="30">
        <v>43548</v>
      </c>
      <c r="B572" s="11" t="s">
        <v>586</v>
      </c>
      <c r="C572" s="11" t="s">
        <v>599</v>
      </c>
      <c r="D572" s="12">
        <v>72.200299999999999</v>
      </c>
      <c r="E572" s="11" t="s">
        <v>598</v>
      </c>
      <c r="F572" s="31">
        <v>0</v>
      </c>
    </row>
    <row r="573" spans="1:6">
      <c r="A573" s="30">
        <v>43549</v>
      </c>
      <c r="B573" s="11" t="s">
        <v>586</v>
      </c>
      <c r="C573" s="11" t="s">
        <v>599</v>
      </c>
      <c r="D573" s="12">
        <v>65.495900000000006</v>
      </c>
      <c r="E573" s="11" t="s">
        <v>598</v>
      </c>
      <c r="F573" s="31">
        <v>0</v>
      </c>
    </row>
    <row r="574" spans="1:6">
      <c r="A574" s="30">
        <v>43550</v>
      </c>
      <c r="B574" s="11" t="s">
        <v>586</v>
      </c>
      <c r="C574" s="11" t="s">
        <v>599</v>
      </c>
      <c r="D574" s="12">
        <v>66.121099999999998</v>
      </c>
      <c r="E574" s="11" t="s">
        <v>598</v>
      </c>
      <c r="F574" s="31">
        <v>0</v>
      </c>
    </row>
    <row r="575" spans="1:6">
      <c r="A575" s="30">
        <v>43551</v>
      </c>
      <c r="B575" s="11" t="s">
        <v>586</v>
      </c>
      <c r="C575" s="11" t="s">
        <v>599</v>
      </c>
      <c r="D575" s="12">
        <v>62.536200000000001</v>
      </c>
      <c r="E575" s="11" t="s">
        <v>598</v>
      </c>
      <c r="F575" s="31">
        <v>0</v>
      </c>
    </row>
    <row r="576" spans="1:6">
      <c r="A576" s="30">
        <v>43552</v>
      </c>
      <c r="B576" s="11" t="s">
        <v>586</v>
      </c>
      <c r="C576" s="11" t="s">
        <v>599</v>
      </c>
      <c r="D576" s="12">
        <v>63.254300000000001</v>
      </c>
      <c r="E576" s="11" t="s">
        <v>598</v>
      </c>
      <c r="F576" s="31">
        <v>0</v>
      </c>
    </row>
    <row r="577" spans="1:6">
      <c r="A577" s="30">
        <v>43553</v>
      </c>
      <c r="B577" s="11" t="s">
        <v>586</v>
      </c>
      <c r="C577" s="11" t="s">
        <v>599</v>
      </c>
      <c r="D577" s="12">
        <v>59.840499999999999</v>
      </c>
      <c r="E577" s="11" t="s">
        <v>598</v>
      </c>
      <c r="F577" s="31">
        <v>0</v>
      </c>
    </row>
    <row r="578" spans="1:6">
      <c r="A578" s="30">
        <v>43554</v>
      </c>
      <c r="B578" s="11" t="s">
        <v>586</v>
      </c>
      <c r="C578" s="11" t="s">
        <v>599</v>
      </c>
      <c r="D578" s="12">
        <v>75.400099999999995</v>
      </c>
      <c r="E578" s="11" t="s">
        <v>598</v>
      </c>
      <c r="F578" s="31">
        <v>0</v>
      </c>
    </row>
    <row r="579" spans="1:6">
      <c r="A579" s="30">
        <v>43555</v>
      </c>
      <c r="B579" s="11" t="s">
        <v>586</v>
      </c>
      <c r="C579" s="11" t="s">
        <v>599</v>
      </c>
      <c r="D579" s="12">
        <v>73.494600000000005</v>
      </c>
      <c r="E579" s="11" t="s">
        <v>598</v>
      </c>
      <c r="F579" s="31">
        <v>0</v>
      </c>
    </row>
    <row r="580" spans="1:6">
      <c r="A580" s="30">
        <v>43556</v>
      </c>
      <c r="B580" s="11" t="s">
        <v>586</v>
      </c>
      <c r="C580" s="11" t="s">
        <v>599</v>
      </c>
      <c r="D580" s="12">
        <v>60.763199999999998</v>
      </c>
      <c r="E580" s="11" t="s">
        <v>598</v>
      </c>
      <c r="F580" s="31">
        <v>0</v>
      </c>
    </row>
    <row r="581" spans="1:6">
      <c r="A581" s="30">
        <v>43557</v>
      </c>
      <c r="B581" s="11" t="s">
        <v>586</v>
      </c>
      <c r="C581" s="11" t="s">
        <v>599</v>
      </c>
      <c r="D581" s="12">
        <v>53.541800000000002</v>
      </c>
      <c r="E581" s="11" t="s">
        <v>598</v>
      </c>
      <c r="F581" s="31">
        <v>0</v>
      </c>
    </row>
    <row r="582" spans="1:6">
      <c r="A582" s="30">
        <v>43558</v>
      </c>
      <c r="B582" s="11" t="s">
        <v>586</v>
      </c>
      <c r="C582" s="11" t="s">
        <v>599</v>
      </c>
      <c r="D582" s="12">
        <v>57.392200000000003</v>
      </c>
      <c r="E582" s="11" t="s">
        <v>598</v>
      </c>
      <c r="F582" s="31">
        <v>0</v>
      </c>
    </row>
    <row r="583" spans="1:6">
      <c r="A583" s="30">
        <v>43559</v>
      </c>
      <c r="B583" s="11" t="s">
        <v>586</v>
      </c>
      <c r="C583" s="11" t="s">
        <v>599</v>
      </c>
      <c r="D583" s="12">
        <v>59.392899999999997</v>
      </c>
      <c r="E583" s="11" t="s">
        <v>598</v>
      </c>
      <c r="F583" s="31">
        <v>0</v>
      </c>
    </row>
    <row r="584" spans="1:6">
      <c r="A584" s="30">
        <v>43560</v>
      </c>
      <c r="B584" s="11" t="s">
        <v>586</v>
      </c>
      <c r="C584" s="11" t="s">
        <v>599</v>
      </c>
      <c r="D584" s="12">
        <v>57.0199</v>
      </c>
      <c r="E584" s="11" t="s">
        <v>598</v>
      </c>
      <c r="F584" s="31">
        <v>0</v>
      </c>
    </row>
    <row r="585" spans="1:6">
      <c r="A585" s="30">
        <v>43561</v>
      </c>
      <c r="B585" s="11" t="s">
        <v>586</v>
      </c>
      <c r="C585" s="11" t="s">
        <v>599</v>
      </c>
      <c r="D585" s="12">
        <v>62.718200000000003</v>
      </c>
      <c r="E585" s="11" t="s">
        <v>598</v>
      </c>
      <c r="F585" s="31">
        <v>0</v>
      </c>
    </row>
    <row r="586" spans="1:6">
      <c r="A586" s="30">
        <v>43562</v>
      </c>
      <c r="B586" s="11" t="s">
        <v>586</v>
      </c>
      <c r="C586" s="11" t="s">
        <v>599</v>
      </c>
      <c r="D586" s="12">
        <v>69.327699999999993</v>
      </c>
      <c r="E586" s="11" t="s">
        <v>598</v>
      </c>
      <c r="F586" s="31">
        <v>0</v>
      </c>
    </row>
    <row r="587" spans="1:6">
      <c r="A587" s="30">
        <v>43563</v>
      </c>
      <c r="B587" s="11" t="s">
        <v>586</v>
      </c>
      <c r="C587" s="11" t="s">
        <v>599</v>
      </c>
      <c r="D587" s="12">
        <v>56.648899999999998</v>
      </c>
      <c r="E587" s="11" t="s">
        <v>598</v>
      </c>
      <c r="F587" s="31">
        <v>0</v>
      </c>
    </row>
    <row r="588" spans="1:6">
      <c r="A588" s="30">
        <v>43564</v>
      </c>
      <c r="B588" s="11" t="s">
        <v>586</v>
      </c>
      <c r="C588" s="11" t="s">
        <v>599</v>
      </c>
      <c r="D588" s="12">
        <v>55.920499999999997</v>
      </c>
      <c r="E588" s="11" t="s">
        <v>598</v>
      </c>
      <c r="F588" s="31">
        <v>0</v>
      </c>
    </row>
    <row r="589" spans="1:6">
      <c r="A589" s="30">
        <v>43565</v>
      </c>
      <c r="B589" s="11" t="s">
        <v>586</v>
      </c>
      <c r="C589" s="11" t="s">
        <v>599</v>
      </c>
      <c r="D589" s="12">
        <v>60.215800000000002</v>
      </c>
      <c r="E589" s="11" t="s">
        <v>598</v>
      </c>
      <c r="F589" s="31">
        <v>0</v>
      </c>
    </row>
    <row r="590" spans="1:6">
      <c r="A590" s="30">
        <v>43566</v>
      </c>
      <c r="B590" s="11" t="s">
        <v>586</v>
      </c>
      <c r="C590" s="11" t="s">
        <v>599</v>
      </c>
      <c r="D590" s="12">
        <v>60.923999999999999</v>
      </c>
      <c r="E590" s="11" t="s">
        <v>598</v>
      </c>
      <c r="F590" s="31">
        <v>0</v>
      </c>
    </row>
    <row r="591" spans="1:6">
      <c r="A591" s="30">
        <v>43567</v>
      </c>
      <c r="B591" s="11" t="s">
        <v>586</v>
      </c>
      <c r="C591" s="11" t="s">
        <v>599</v>
      </c>
      <c r="D591" s="12">
        <v>55.514800000000001</v>
      </c>
      <c r="E591" s="11" t="s">
        <v>598</v>
      </c>
      <c r="F591" s="31">
        <v>0</v>
      </c>
    </row>
    <row r="592" spans="1:6">
      <c r="A592" s="30">
        <v>43568</v>
      </c>
      <c r="B592" s="11" t="s">
        <v>586</v>
      </c>
      <c r="C592" s="11" t="s">
        <v>599</v>
      </c>
      <c r="D592" s="12">
        <v>63.837899999999998</v>
      </c>
      <c r="E592" s="11" t="s">
        <v>598</v>
      </c>
      <c r="F592" s="31">
        <v>0</v>
      </c>
    </row>
    <row r="593" spans="1:6">
      <c r="A593" s="30">
        <v>43569</v>
      </c>
      <c r="B593" s="11" t="s">
        <v>586</v>
      </c>
      <c r="C593" s="11" t="s">
        <v>599</v>
      </c>
      <c r="D593" s="12">
        <v>63.4056</v>
      </c>
      <c r="E593" s="11" t="s">
        <v>598</v>
      </c>
      <c r="F593" s="31">
        <v>0</v>
      </c>
    </row>
    <row r="594" spans="1:6">
      <c r="A594" s="30">
        <v>43570</v>
      </c>
      <c r="B594" s="11" t="s">
        <v>586</v>
      </c>
      <c r="C594" s="11" t="s">
        <v>599</v>
      </c>
      <c r="D594" s="12">
        <v>57.920900000000003</v>
      </c>
      <c r="E594" s="11" t="s">
        <v>598</v>
      </c>
      <c r="F594" s="31">
        <v>0</v>
      </c>
    </row>
    <row r="595" spans="1:6">
      <c r="A595" s="30">
        <v>43571</v>
      </c>
      <c r="B595" s="11" t="s">
        <v>586</v>
      </c>
      <c r="C595" s="11" t="s">
        <v>599</v>
      </c>
      <c r="D595" s="12">
        <v>55.858899999999998</v>
      </c>
      <c r="E595" s="11" t="s">
        <v>598</v>
      </c>
      <c r="F595" s="31">
        <v>0</v>
      </c>
    </row>
    <row r="596" spans="1:6">
      <c r="A596" s="30">
        <v>43572</v>
      </c>
      <c r="B596" s="11" t="s">
        <v>586</v>
      </c>
      <c r="C596" s="11" t="s">
        <v>599</v>
      </c>
      <c r="D596" s="12">
        <v>56.8889</v>
      </c>
      <c r="E596" s="11" t="s">
        <v>598</v>
      </c>
      <c r="F596" s="31">
        <v>0</v>
      </c>
    </row>
    <row r="597" spans="1:6">
      <c r="A597" s="30">
        <v>43573</v>
      </c>
      <c r="B597" s="11" t="s">
        <v>586</v>
      </c>
      <c r="C597" s="11" t="s">
        <v>599</v>
      </c>
      <c r="D597" s="12">
        <v>53.924900000000001</v>
      </c>
      <c r="E597" s="11" t="s">
        <v>598</v>
      </c>
      <c r="F597" s="31">
        <v>0</v>
      </c>
    </row>
    <row r="598" spans="1:6">
      <c r="A598" s="30">
        <v>43574</v>
      </c>
      <c r="B598" s="11" t="s">
        <v>586</v>
      </c>
      <c r="C598" s="11" t="s">
        <v>599</v>
      </c>
      <c r="D598" s="12">
        <v>55.164999999999999</v>
      </c>
      <c r="E598" s="11" t="s">
        <v>598</v>
      </c>
      <c r="F598" s="31">
        <v>0</v>
      </c>
    </row>
    <row r="599" spans="1:6">
      <c r="A599" s="30">
        <v>43575</v>
      </c>
      <c r="B599" s="11" t="s">
        <v>586</v>
      </c>
      <c r="C599" s="11" t="s">
        <v>599</v>
      </c>
      <c r="D599" s="12">
        <v>62.570700000000002</v>
      </c>
      <c r="E599" s="11" t="s">
        <v>598</v>
      </c>
      <c r="F599" s="31">
        <v>0</v>
      </c>
    </row>
    <row r="600" spans="1:6">
      <c r="A600" s="30">
        <v>43576</v>
      </c>
      <c r="B600" s="11" t="s">
        <v>586</v>
      </c>
      <c r="C600" s="11" t="s">
        <v>599</v>
      </c>
      <c r="D600" s="12">
        <v>62.891800000000003</v>
      </c>
      <c r="E600" s="11" t="s">
        <v>598</v>
      </c>
      <c r="F600" s="31">
        <v>0</v>
      </c>
    </row>
    <row r="601" spans="1:6">
      <c r="A601" s="30">
        <v>43577</v>
      </c>
      <c r="B601" s="11" t="s">
        <v>586</v>
      </c>
      <c r="C601" s="11" t="s">
        <v>599</v>
      </c>
      <c r="D601" s="12">
        <v>57.7624</v>
      </c>
      <c r="E601" s="11" t="s">
        <v>598</v>
      </c>
      <c r="F601" s="31">
        <v>0</v>
      </c>
    </row>
    <row r="602" spans="1:6">
      <c r="A602" s="30">
        <v>43578</v>
      </c>
      <c r="B602" s="11" t="s">
        <v>586</v>
      </c>
      <c r="C602" s="11" t="s">
        <v>599</v>
      </c>
      <c r="D602" s="12">
        <v>57.4953</v>
      </c>
      <c r="E602" s="11" t="s">
        <v>598</v>
      </c>
      <c r="F602" s="31">
        <v>0</v>
      </c>
    </row>
    <row r="603" spans="1:6">
      <c r="A603" s="30">
        <v>43579</v>
      </c>
      <c r="B603" s="11" t="s">
        <v>586</v>
      </c>
      <c r="C603" s="11" t="s">
        <v>599</v>
      </c>
      <c r="D603" s="12">
        <v>55.962600000000002</v>
      </c>
      <c r="E603" s="11" t="s">
        <v>598</v>
      </c>
      <c r="F603" s="31">
        <v>0</v>
      </c>
    </row>
    <row r="604" spans="1:6">
      <c r="A604" s="30">
        <v>43580</v>
      </c>
      <c r="B604" s="11" t="s">
        <v>586</v>
      </c>
      <c r="C604" s="11" t="s">
        <v>599</v>
      </c>
      <c r="D604" s="12">
        <v>55.792000000000002</v>
      </c>
      <c r="E604" s="11" t="s">
        <v>598</v>
      </c>
      <c r="F604" s="31">
        <v>0</v>
      </c>
    </row>
    <row r="605" spans="1:6">
      <c r="A605" s="30">
        <v>43581</v>
      </c>
      <c r="B605" s="11" t="s">
        <v>586</v>
      </c>
      <c r="C605" s="11" t="s">
        <v>599</v>
      </c>
      <c r="D605" s="12">
        <v>52.110100000000003</v>
      </c>
      <c r="E605" s="11" t="s">
        <v>598</v>
      </c>
      <c r="F605" s="31">
        <v>0</v>
      </c>
    </row>
    <row r="606" spans="1:6">
      <c r="A606" s="30">
        <v>43582</v>
      </c>
      <c r="B606" s="11" t="s">
        <v>586</v>
      </c>
      <c r="C606" s="11" t="s">
        <v>599</v>
      </c>
      <c r="D606" s="12">
        <v>59.851999999999997</v>
      </c>
      <c r="E606" s="11" t="s">
        <v>598</v>
      </c>
      <c r="F606" s="31">
        <v>0</v>
      </c>
    </row>
    <row r="607" spans="1:6">
      <c r="A607" s="30">
        <v>43583</v>
      </c>
      <c r="B607" s="11" t="s">
        <v>586</v>
      </c>
      <c r="C607" s="11" t="s">
        <v>599</v>
      </c>
      <c r="D607" s="12">
        <v>62.124000000000002</v>
      </c>
      <c r="E607" s="11" t="s">
        <v>598</v>
      </c>
      <c r="F607" s="31">
        <v>0</v>
      </c>
    </row>
    <row r="608" spans="1:6">
      <c r="A608" s="30">
        <v>43584</v>
      </c>
      <c r="B608" s="11" t="s">
        <v>586</v>
      </c>
      <c r="C608" s="11" t="s">
        <v>599</v>
      </c>
      <c r="D608" s="12">
        <v>56.205800000000004</v>
      </c>
      <c r="E608" s="11" t="s">
        <v>598</v>
      </c>
      <c r="F608" s="31">
        <v>0</v>
      </c>
    </row>
    <row r="609" spans="1:6">
      <c r="A609" s="30">
        <v>43585</v>
      </c>
      <c r="B609" s="11" t="s">
        <v>586</v>
      </c>
      <c r="C609" s="11" t="s">
        <v>599</v>
      </c>
      <c r="D609" s="12">
        <v>56.087299999999999</v>
      </c>
      <c r="E609" s="11" t="s">
        <v>598</v>
      </c>
      <c r="F609" s="31">
        <v>0</v>
      </c>
    </row>
    <row r="610" spans="1:6">
      <c r="A610" s="30">
        <v>43586</v>
      </c>
      <c r="B610" s="11" t="s">
        <v>586</v>
      </c>
      <c r="C610" s="11" t="s">
        <v>599</v>
      </c>
      <c r="D610" s="12">
        <v>60.751300000000001</v>
      </c>
      <c r="E610" s="11" t="s">
        <v>598</v>
      </c>
      <c r="F610" s="31">
        <v>0</v>
      </c>
    </row>
    <row r="611" spans="1:6">
      <c r="A611" s="30">
        <v>43587</v>
      </c>
      <c r="B611" s="11" t="s">
        <v>586</v>
      </c>
      <c r="C611" s="11" t="s">
        <v>599</v>
      </c>
      <c r="D611" s="12">
        <v>63.9437</v>
      </c>
      <c r="E611" s="11" t="s">
        <v>598</v>
      </c>
      <c r="F611" s="31">
        <v>0</v>
      </c>
    </row>
    <row r="612" spans="1:6">
      <c r="A612" s="30">
        <v>43588</v>
      </c>
      <c r="B612" s="11" t="s">
        <v>586</v>
      </c>
      <c r="C612" s="11" t="s">
        <v>599</v>
      </c>
      <c r="D612" s="12">
        <v>63.211799999999997</v>
      </c>
      <c r="E612" s="11" t="s">
        <v>598</v>
      </c>
      <c r="F612" s="31">
        <v>0</v>
      </c>
    </row>
    <row r="613" spans="1:6">
      <c r="A613" s="30">
        <v>43589</v>
      </c>
      <c r="B613" s="11" t="s">
        <v>586</v>
      </c>
      <c r="C613" s="11" t="s">
        <v>599</v>
      </c>
      <c r="D613" s="12">
        <v>60.652799999999999</v>
      </c>
      <c r="E613" s="11" t="s">
        <v>598</v>
      </c>
      <c r="F613" s="31">
        <v>0</v>
      </c>
    </row>
    <row r="614" spans="1:6">
      <c r="A614" s="30">
        <v>43590</v>
      </c>
      <c r="B614" s="11" t="s">
        <v>586</v>
      </c>
      <c r="C614" s="11" t="s">
        <v>599</v>
      </c>
      <c r="D614" s="12">
        <v>61.6691</v>
      </c>
      <c r="E614" s="11" t="s">
        <v>598</v>
      </c>
      <c r="F614" s="31">
        <v>0</v>
      </c>
    </row>
    <row r="615" spans="1:6">
      <c r="A615" s="30">
        <v>43591</v>
      </c>
      <c r="B615" s="11" t="s">
        <v>586</v>
      </c>
      <c r="C615" s="11" t="s">
        <v>599</v>
      </c>
      <c r="D615" s="12">
        <v>55.654899999999998</v>
      </c>
      <c r="E615" s="11" t="s">
        <v>598</v>
      </c>
      <c r="F615" s="31">
        <v>0</v>
      </c>
    </row>
    <row r="616" spans="1:6">
      <c r="A616" s="30">
        <v>43592</v>
      </c>
      <c r="B616" s="11" t="s">
        <v>586</v>
      </c>
      <c r="C616" s="11" t="s">
        <v>599</v>
      </c>
      <c r="D616" s="12">
        <v>56.271099999999997</v>
      </c>
      <c r="E616" s="11" t="s">
        <v>598</v>
      </c>
      <c r="F616" s="31">
        <v>0</v>
      </c>
    </row>
    <row r="617" spans="1:6">
      <c r="A617" s="30">
        <v>43593</v>
      </c>
      <c r="B617" s="11" t="s">
        <v>586</v>
      </c>
      <c r="C617" s="11" t="s">
        <v>599</v>
      </c>
      <c r="D617" s="12">
        <v>67.2624</v>
      </c>
      <c r="E617" s="11" t="s">
        <v>598</v>
      </c>
      <c r="F617" s="31">
        <v>0</v>
      </c>
    </row>
    <row r="618" spans="1:6">
      <c r="A618" s="30">
        <v>43594</v>
      </c>
      <c r="B618" s="11" t="s">
        <v>586</v>
      </c>
      <c r="C618" s="11" t="s">
        <v>599</v>
      </c>
      <c r="D618" s="12">
        <v>63.172199999999997</v>
      </c>
      <c r="E618" s="11" t="s">
        <v>598</v>
      </c>
      <c r="F618" s="31">
        <v>0</v>
      </c>
    </row>
    <row r="619" spans="1:6">
      <c r="A619" s="30">
        <v>43595</v>
      </c>
      <c r="B619" s="11" t="s">
        <v>586</v>
      </c>
      <c r="C619" s="11" t="s">
        <v>599</v>
      </c>
      <c r="D619" s="12">
        <v>54.619900000000001</v>
      </c>
      <c r="E619" s="11" t="s">
        <v>598</v>
      </c>
      <c r="F619" s="31">
        <v>0</v>
      </c>
    </row>
    <row r="620" spans="1:6">
      <c r="A620" s="30">
        <v>43596</v>
      </c>
      <c r="B620" s="11" t="s">
        <v>586</v>
      </c>
      <c r="C620" s="11" t="s">
        <v>599</v>
      </c>
      <c r="D620" s="12">
        <v>56.524900000000002</v>
      </c>
      <c r="E620" s="11" t="s">
        <v>598</v>
      </c>
      <c r="F620" s="31">
        <v>0</v>
      </c>
    </row>
    <row r="621" spans="1:6">
      <c r="A621" s="30">
        <v>43597</v>
      </c>
      <c r="B621" s="11" t="s">
        <v>586</v>
      </c>
      <c r="C621" s="11" t="s">
        <v>599</v>
      </c>
      <c r="D621" s="12">
        <v>59.1357</v>
      </c>
      <c r="E621" s="11" t="s">
        <v>598</v>
      </c>
      <c r="F621" s="31">
        <v>0</v>
      </c>
    </row>
    <row r="622" spans="1:6">
      <c r="A622" s="30">
        <v>43598</v>
      </c>
      <c r="B622" s="11" t="s">
        <v>586</v>
      </c>
      <c r="C622" s="11" t="s">
        <v>599</v>
      </c>
      <c r="D622" s="12">
        <v>56.042700000000004</v>
      </c>
      <c r="E622" s="11" t="s">
        <v>598</v>
      </c>
      <c r="F622" s="31">
        <v>0</v>
      </c>
    </row>
    <row r="623" spans="1:6">
      <c r="A623" s="30">
        <v>43599</v>
      </c>
      <c r="B623" s="11" t="s">
        <v>586</v>
      </c>
      <c r="C623" s="11" t="s">
        <v>599</v>
      </c>
      <c r="D623" s="12">
        <v>54.624200000000002</v>
      </c>
      <c r="E623" s="11" t="s">
        <v>598</v>
      </c>
      <c r="F623" s="31">
        <v>0</v>
      </c>
    </row>
    <row r="624" spans="1:6">
      <c r="A624" s="30">
        <v>43600</v>
      </c>
      <c r="B624" s="11" t="s">
        <v>586</v>
      </c>
      <c r="C624" s="11" t="s">
        <v>599</v>
      </c>
      <c r="D624" s="12">
        <v>53.774999999999999</v>
      </c>
      <c r="E624" s="11" t="s">
        <v>598</v>
      </c>
      <c r="F624" s="31">
        <v>0</v>
      </c>
    </row>
    <row r="625" spans="1:6">
      <c r="A625" s="30">
        <v>43601</v>
      </c>
      <c r="B625" s="11" t="s">
        <v>586</v>
      </c>
      <c r="C625" s="11" t="s">
        <v>599</v>
      </c>
      <c r="D625" s="12">
        <v>55.266199999999998</v>
      </c>
      <c r="E625" s="11" t="s">
        <v>598</v>
      </c>
      <c r="F625" s="31">
        <v>0</v>
      </c>
    </row>
    <row r="626" spans="1:6">
      <c r="A626" s="30">
        <v>43602</v>
      </c>
      <c r="B626" s="11" t="s">
        <v>586</v>
      </c>
      <c r="C626" s="11" t="s">
        <v>599</v>
      </c>
      <c r="D626" s="12">
        <v>56.105499999999999</v>
      </c>
      <c r="E626" s="11" t="s">
        <v>598</v>
      </c>
      <c r="F626" s="31">
        <v>0</v>
      </c>
    </row>
    <row r="627" spans="1:6">
      <c r="A627" s="30">
        <v>43603</v>
      </c>
      <c r="B627" s="11" t="s">
        <v>586</v>
      </c>
      <c r="C627" s="11" t="s">
        <v>599</v>
      </c>
      <c r="D627" s="12">
        <v>59.048900000000003</v>
      </c>
      <c r="E627" s="11" t="s">
        <v>598</v>
      </c>
      <c r="F627" s="31">
        <v>0</v>
      </c>
    </row>
    <row r="628" spans="1:6">
      <c r="A628" s="30">
        <v>43604</v>
      </c>
      <c r="B628" s="11" t="s">
        <v>586</v>
      </c>
      <c r="C628" s="11" t="s">
        <v>599</v>
      </c>
      <c r="D628" s="12">
        <v>59.285600000000002</v>
      </c>
      <c r="E628" s="11" t="s">
        <v>598</v>
      </c>
      <c r="F628" s="31">
        <v>0</v>
      </c>
    </row>
    <row r="629" spans="1:6">
      <c r="A629" s="30">
        <v>43605</v>
      </c>
      <c r="B629" s="11" t="s">
        <v>586</v>
      </c>
      <c r="C629" s="11" t="s">
        <v>599</v>
      </c>
      <c r="D629" s="12">
        <v>60.665100000000002</v>
      </c>
      <c r="E629" s="11" t="s">
        <v>598</v>
      </c>
      <c r="F629" s="31">
        <v>0</v>
      </c>
    </row>
    <row r="630" spans="1:6">
      <c r="A630" s="30">
        <v>43606</v>
      </c>
      <c r="B630" s="11" t="s">
        <v>586</v>
      </c>
      <c r="C630" s="11" t="s">
        <v>599</v>
      </c>
      <c r="D630" s="12">
        <v>63.581800000000001</v>
      </c>
      <c r="E630" s="11" t="s">
        <v>598</v>
      </c>
      <c r="F630" s="31">
        <v>0</v>
      </c>
    </row>
    <row r="631" spans="1:6">
      <c r="A631" s="30">
        <v>43607</v>
      </c>
      <c r="B631" s="11" t="s">
        <v>586</v>
      </c>
      <c r="C631" s="11" t="s">
        <v>599</v>
      </c>
      <c r="D631" s="12">
        <v>59.672800000000002</v>
      </c>
      <c r="E631" s="11" t="s">
        <v>598</v>
      </c>
      <c r="F631" s="31">
        <v>0</v>
      </c>
    </row>
    <row r="632" spans="1:6">
      <c r="A632" s="30">
        <v>43608</v>
      </c>
      <c r="B632" s="11" t="s">
        <v>586</v>
      </c>
      <c r="C632" s="11" t="s">
        <v>599</v>
      </c>
      <c r="D632" s="12">
        <v>59.341200000000001</v>
      </c>
      <c r="E632" s="11" t="s">
        <v>598</v>
      </c>
      <c r="F632" s="31">
        <v>0</v>
      </c>
    </row>
    <row r="633" spans="1:6">
      <c r="A633" s="30">
        <v>43609</v>
      </c>
      <c r="B633" s="11" t="s">
        <v>586</v>
      </c>
      <c r="C633" s="11" t="s">
        <v>599</v>
      </c>
      <c r="D633" s="12">
        <v>61.6389</v>
      </c>
      <c r="E633" s="11" t="s">
        <v>598</v>
      </c>
      <c r="F633" s="31">
        <v>0</v>
      </c>
    </row>
    <row r="634" spans="1:6">
      <c r="A634" s="30">
        <v>43610</v>
      </c>
      <c r="B634" s="11" t="s">
        <v>586</v>
      </c>
      <c r="C634" s="11" t="s">
        <v>599</v>
      </c>
      <c r="D634" s="12">
        <v>61.2973</v>
      </c>
      <c r="E634" s="11" t="s">
        <v>598</v>
      </c>
      <c r="F634" s="31">
        <v>0</v>
      </c>
    </row>
    <row r="635" spans="1:6">
      <c r="A635" s="30">
        <v>43611</v>
      </c>
      <c r="B635" s="11" t="s">
        <v>586</v>
      </c>
      <c r="C635" s="11" t="s">
        <v>599</v>
      </c>
      <c r="D635" s="12">
        <v>57.783299999999997</v>
      </c>
      <c r="E635" s="11" t="s">
        <v>598</v>
      </c>
      <c r="F635" s="31">
        <v>0</v>
      </c>
    </row>
    <row r="636" spans="1:6">
      <c r="A636" s="30">
        <v>43612</v>
      </c>
      <c r="B636" s="11" t="s">
        <v>586</v>
      </c>
      <c r="C636" s="11" t="s">
        <v>599</v>
      </c>
      <c r="D636" s="12">
        <v>59.292900000000003</v>
      </c>
      <c r="E636" s="11" t="s">
        <v>598</v>
      </c>
      <c r="F636" s="31">
        <v>0</v>
      </c>
    </row>
    <row r="637" spans="1:6">
      <c r="A637" s="30">
        <v>43613</v>
      </c>
      <c r="B637" s="11" t="s">
        <v>586</v>
      </c>
      <c r="C637" s="11" t="s">
        <v>599</v>
      </c>
      <c r="D637" s="12">
        <v>61.532600000000002</v>
      </c>
      <c r="E637" s="11" t="s">
        <v>598</v>
      </c>
      <c r="F637" s="31">
        <v>0</v>
      </c>
    </row>
    <row r="638" spans="1:6">
      <c r="A638" s="30">
        <v>43614</v>
      </c>
      <c r="B638" s="11" t="s">
        <v>586</v>
      </c>
      <c r="C638" s="11" t="s">
        <v>599</v>
      </c>
      <c r="D638" s="12">
        <v>59.087800000000001</v>
      </c>
      <c r="E638" s="11" t="s">
        <v>598</v>
      </c>
      <c r="F638" s="31">
        <v>0</v>
      </c>
    </row>
    <row r="639" spans="1:6">
      <c r="A639" s="30">
        <v>43615</v>
      </c>
      <c r="B639" s="11" t="s">
        <v>586</v>
      </c>
      <c r="C639" s="11" t="s">
        <v>599</v>
      </c>
      <c r="D639" s="12">
        <v>57.8947</v>
      </c>
      <c r="E639" s="11" t="s">
        <v>598</v>
      </c>
      <c r="F639" s="31">
        <v>0</v>
      </c>
    </row>
    <row r="640" spans="1:6">
      <c r="A640" s="30">
        <v>43616</v>
      </c>
      <c r="B640" s="11" t="s">
        <v>586</v>
      </c>
      <c r="C640" s="11" t="s">
        <v>599</v>
      </c>
      <c r="D640" s="12">
        <v>56.226300000000002</v>
      </c>
      <c r="E640" s="11" t="s">
        <v>598</v>
      </c>
      <c r="F640" s="31">
        <v>0</v>
      </c>
    </row>
    <row r="641" spans="1:6">
      <c r="A641" s="30">
        <v>43617</v>
      </c>
      <c r="B641" s="11" t="s">
        <v>586</v>
      </c>
      <c r="C641" s="11" t="s">
        <v>599</v>
      </c>
      <c r="D641" s="12">
        <v>59.010599999999997</v>
      </c>
      <c r="E641" s="11" t="s">
        <v>598</v>
      </c>
      <c r="F641" s="31">
        <v>0</v>
      </c>
    </row>
    <row r="642" spans="1:6">
      <c r="A642" s="30">
        <v>43618</v>
      </c>
      <c r="B642" s="11" t="s">
        <v>586</v>
      </c>
      <c r="C642" s="11" t="s">
        <v>599</v>
      </c>
      <c r="D642" s="12">
        <v>59.6905</v>
      </c>
      <c r="E642" s="11" t="s">
        <v>598</v>
      </c>
      <c r="F642" s="31">
        <v>0</v>
      </c>
    </row>
    <row r="643" spans="1:6">
      <c r="A643" s="30">
        <v>43619</v>
      </c>
      <c r="B643" s="11" t="s">
        <v>586</v>
      </c>
      <c r="C643" s="11" t="s">
        <v>599</v>
      </c>
      <c r="D643" s="12">
        <v>58.350099999999998</v>
      </c>
      <c r="E643" s="11" t="s">
        <v>598</v>
      </c>
      <c r="F643" s="31">
        <v>0</v>
      </c>
    </row>
    <row r="644" spans="1:6">
      <c r="A644" s="30">
        <v>43620</v>
      </c>
      <c r="B644" s="11" t="s">
        <v>586</v>
      </c>
      <c r="C644" s="11" t="s">
        <v>599</v>
      </c>
      <c r="D644" s="12">
        <v>61.0655</v>
      </c>
      <c r="E644" s="11" t="s">
        <v>598</v>
      </c>
      <c r="F644" s="31">
        <v>0</v>
      </c>
    </row>
    <row r="645" spans="1:6">
      <c r="A645" s="30">
        <v>43621</v>
      </c>
      <c r="B645" s="11" t="s">
        <v>586</v>
      </c>
      <c r="C645" s="11" t="s">
        <v>599</v>
      </c>
      <c r="D645" s="12">
        <v>57.231900000000003</v>
      </c>
      <c r="E645" s="11" t="s">
        <v>598</v>
      </c>
      <c r="F645" s="31">
        <v>0</v>
      </c>
    </row>
    <row r="646" spans="1:6">
      <c r="A646" s="30">
        <v>43622</v>
      </c>
      <c r="B646" s="11" t="s">
        <v>586</v>
      </c>
      <c r="C646" s="11" t="s">
        <v>599</v>
      </c>
      <c r="D646" s="12">
        <v>56.2012</v>
      </c>
      <c r="E646" s="11" t="s">
        <v>598</v>
      </c>
      <c r="F646" s="31">
        <v>0</v>
      </c>
    </row>
    <row r="647" spans="1:6">
      <c r="A647" s="30">
        <v>43623</v>
      </c>
      <c r="B647" s="11" t="s">
        <v>586</v>
      </c>
      <c r="C647" s="11" t="s">
        <v>599</v>
      </c>
      <c r="D647" s="12">
        <v>56.146000000000001</v>
      </c>
      <c r="E647" s="11" t="s">
        <v>598</v>
      </c>
      <c r="F647" s="31">
        <v>0</v>
      </c>
    </row>
    <row r="648" spans="1:6">
      <c r="A648" s="30">
        <v>43624</v>
      </c>
      <c r="B648" s="11" t="s">
        <v>586</v>
      </c>
      <c r="C648" s="11" t="s">
        <v>599</v>
      </c>
      <c r="D648" s="12">
        <v>62.117600000000003</v>
      </c>
      <c r="E648" s="11" t="s">
        <v>598</v>
      </c>
      <c r="F648" s="31">
        <v>0</v>
      </c>
    </row>
    <row r="649" spans="1:6">
      <c r="A649" s="30">
        <v>43625</v>
      </c>
      <c r="B649" s="11" t="s">
        <v>586</v>
      </c>
      <c r="C649" s="11" t="s">
        <v>599</v>
      </c>
      <c r="D649" s="12">
        <v>58.753799999999998</v>
      </c>
      <c r="E649" s="11" t="s">
        <v>598</v>
      </c>
      <c r="F649" s="31">
        <v>0</v>
      </c>
    </row>
    <row r="650" spans="1:6">
      <c r="A650" s="30">
        <v>43626</v>
      </c>
      <c r="B650" s="11" t="s">
        <v>586</v>
      </c>
      <c r="C650" s="11" t="s">
        <v>599</v>
      </c>
      <c r="D650" s="12">
        <v>57.101900000000001</v>
      </c>
      <c r="E650" s="11" t="s">
        <v>598</v>
      </c>
      <c r="F650" s="31">
        <v>0</v>
      </c>
    </row>
    <row r="651" spans="1:6">
      <c r="A651" s="30">
        <v>43627</v>
      </c>
      <c r="B651" s="11" t="s">
        <v>586</v>
      </c>
      <c r="C651" s="11" t="s">
        <v>599</v>
      </c>
      <c r="D651" s="12">
        <v>55.585299999999997</v>
      </c>
      <c r="E651" s="11" t="s">
        <v>598</v>
      </c>
      <c r="F651" s="31">
        <v>0</v>
      </c>
    </row>
    <row r="652" spans="1:6">
      <c r="A652" s="30">
        <v>43628</v>
      </c>
      <c r="B652" s="11" t="s">
        <v>586</v>
      </c>
      <c r="C652" s="11" t="s">
        <v>599</v>
      </c>
      <c r="D652" s="12">
        <v>57.426600000000001</v>
      </c>
      <c r="E652" s="11" t="s">
        <v>598</v>
      </c>
      <c r="F652" s="31">
        <v>0</v>
      </c>
    </row>
    <row r="653" spans="1:6">
      <c r="A653" s="30">
        <v>43629</v>
      </c>
      <c r="B653" s="11" t="s">
        <v>586</v>
      </c>
      <c r="C653" s="11" t="s">
        <v>599</v>
      </c>
      <c r="D653" s="12">
        <v>57.1327</v>
      </c>
      <c r="E653" s="11" t="s">
        <v>598</v>
      </c>
      <c r="F653" s="31">
        <v>0</v>
      </c>
    </row>
    <row r="654" spans="1:6">
      <c r="A654" s="30">
        <v>43630</v>
      </c>
      <c r="B654" s="11" t="s">
        <v>586</v>
      </c>
      <c r="C654" s="11" t="s">
        <v>599</v>
      </c>
      <c r="D654" s="12">
        <v>53.190100000000001</v>
      </c>
      <c r="E654" s="11" t="s">
        <v>598</v>
      </c>
      <c r="F654" s="31">
        <v>0</v>
      </c>
    </row>
    <row r="655" spans="1:6">
      <c r="A655" s="30">
        <v>43631</v>
      </c>
      <c r="B655" s="11" t="s">
        <v>586</v>
      </c>
      <c r="C655" s="11" t="s">
        <v>599</v>
      </c>
      <c r="D655" s="12">
        <v>58.573700000000002</v>
      </c>
      <c r="E655" s="11" t="s">
        <v>598</v>
      </c>
      <c r="F655" s="31">
        <v>0</v>
      </c>
    </row>
    <row r="656" spans="1:6">
      <c r="A656" s="30">
        <v>43632</v>
      </c>
      <c r="B656" s="11" t="s">
        <v>586</v>
      </c>
      <c r="C656" s="11" t="s">
        <v>599</v>
      </c>
      <c r="D656" s="12">
        <v>64.702200000000005</v>
      </c>
      <c r="E656" s="11" t="s">
        <v>598</v>
      </c>
      <c r="F656" s="31">
        <v>0</v>
      </c>
    </row>
    <row r="657" spans="1:6">
      <c r="A657" s="30">
        <v>43633</v>
      </c>
      <c r="B657" s="11" t="s">
        <v>586</v>
      </c>
      <c r="C657" s="11" t="s">
        <v>599</v>
      </c>
      <c r="D657" s="12">
        <v>58.701099999999997</v>
      </c>
      <c r="E657" s="11" t="s">
        <v>598</v>
      </c>
      <c r="F657" s="31">
        <v>0</v>
      </c>
    </row>
    <row r="658" spans="1:6">
      <c r="A658" s="30">
        <v>43634</v>
      </c>
      <c r="B658" s="11" t="s">
        <v>586</v>
      </c>
      <c r="C658" s="11" t="s">
        <v>599</v>
      </c>
      <c r="D658" s="12">
        <v>59.5259</v>
      </c>
      <c r="E658" s="11" t="s">
        <v>598</v>
      </c>
      <c r="F658" s="31">
        <v>0</v>
      </c>
    </row>
    <row r="659" spans="1:6">
      <c r="A659" s="30">
        <v>43635</v>
      </c>
      <c r="B659" s="11" t="s">
        <v>586</v>
      </c>
      <c r="C659" s="11" t="s">
        <v>599</v>
      </c>
      <c r="D659" s="12">
        <v>59.822699999999998</v>
      </c>
      <c r="E659" s="11" t="s">
        <v>598</v>
      </c>
      <c r="F659" s="31">
        <v>0</v>
      </c>
    </row>
    <row r="660" spans="1:6">
      <c r="A660" s="30">
        <v>43636</v>
      </c>
      <c r="B660" s="11" t="s">
        <v>586</v>
      </c>
      <c r="C660" s="11" t="s">
        <v>599</v>
      </c>
      <c r="D660" s="12">
        <v>58.329099999999997</v>
      </c>
      <c r="E660" s="11" t="s">
        <v>598</v>
      </c>
      <c r="F660" s="31">
        <v>0</v>
      </c>
    </row>
    <row r="661" spans="1:6">
      <c r="A661" s="30">
        <v>43637</v>
      </c>
      <c r="B661" s="11" t="s">
        <v>586</v>
      </c>
      <c r="C661" s="11" t="s">
        <v>599</v>
      </c>
      <c r="D661" s="12">
        <v>59.747599999999998</v>
      </c>
      <c r="E661" s="11" t="s">
        <v>598</v>
      </c>
      <c r="F661" s="31">
        <v>0</v>
      </c>
    </row>
    <row r="662" spans="1:6">
      <c r="A662" s="30">
        <v>43638</v>
      </c>
      <c r="B662" s="11" t="s">
        <v>586</v>
      </c>
      <c r="C662" s="11" t="s">
        <v>599</v>
      </c>
      <c r="D662" s="12">
        <v>65.283900000000003</v>
      </c>
      <c r="E662" s="11" t="s">
        <v>598</v>
      </c>
      <c r="F662" s="31">
        <v>0</v>
      </c>
    </row>
    <row r="663" spans="1:6">
      <c r="A663" s="30">
        <v>43639</v>
      </c>
      <c r="B663" s="11" t="s">
        <v>586</v>
      </c>
      <c r="C663" s="11" t="s">
        <v>599</v>
      </c>
      <c r="D663" s="12">
        <v>64.485100000000003</v>
      </c>
      <c r="E663" s="11" t="s">
        <v>598</v>
      </c>
      <c r="F663" s="31">
        <v>0</v>
      </c>
    </row>
    <row r="664" spans="1:6">
      <c r="A664" s="30">
        <v>43640</v>
      </c>
      <c r="B664" s="11" t="s">
        <v>586</v>
      </c>
      <c r="C664" s="11" t="s">
        <v>599</v>
      </c>
      <c r="D664" s="12">
        <v>61.266399999999997</v>
      </c>
      <c r="E664" s="11" t="s">
        <v>598</v>
      </c>
      <c r="F664" s="31">
        <v>0</v>
      </c>
    </row>
    <row r="665" spans="1:6">
      <c r="A665" s="30">
        <v>43641</v>
      </c>
      <c r="B665" s="11" t="s">
        <v>586</v>
      </c>
      <c r="C665" s="11" t="s">
        <v>599</v>
      </c>
      <c r="D665" s="12">
        <v>58.607700000000001</v>
      </c>
      <c r="E665" s="11" t="s">
        <v>598</v>
      </c>
      <c r="F665" s="31">
        <v>0</v>
      </c>
    </row>
    <row r="666" spans="1:6">
      <c r="A666" s="30">
        <v>43642</v>
      </c>
      <c r="B666" s="11" t="s">
        <v>586</v>
      </c>
      <c r="C666" s="11" t="s">
        <v>599</v>
      </c>
      <c r="D666" s="12">
        <v>56.749099999999999</v>
      </c>
      <c r="E666" s="11" t="s">
        <v>598</v>
      </c>
      <c r="F666" s="31">
        <v>0</v>
      </c>
    </row>
    <row r="667" spans="1:6">
      <c r="A667" s="30">
        <v>43643</v>
      </c>
      <c r="B667" s="11" t="s">
        <v>586</v>
      </c>
      <c r="C667" s="11" t="s">
        <v>599</v>
      </c>
      <c r="D667" s="12">
        <v>57.849600000000002</v>
      </c>
      <c r="E667" s="11" t="s">
        <v>598</v>
      </c>
      <c r="F667" s="31">
        <v>0</v>
      </c>
    </row>
    <row r="668" spans="1:6">
      <c r="A668" s="30">
        <v>43644</v>
      </c>
      <c r="B668" s="11" t="s">
        <v>586</v>
      </c>
      <c r="C668" s="11" t="s">
        <v>599</v>
      </c>
      <c r="D668" s="12">
        <v>56.000900000000001</v>
      </c>
      <c r="E668" s="11" t="s">
        <v>598</v>
      </c>
      <c r="F668" s="31">
        <v>0</v>
      </c>
    </row>
    <row r="669" spans="1:6">
      <c r="A669" s="30">
        <v>43645</v>
      </c>
      <c r="B669" s="11" t="s">
        <v>586</v>
      </c>
      <c r="C669" s="11" t="s">
        <v>599</v>
      </c>
      <c r="D669" s="12">
        <v>56.922400000000003</v>
      </c>
      <c r="E669" s="11" t="s">
        <v>598</v>
      </c>
      <c r="F669" s="31">
        <v>0</v>
      </c>
    </row>
    <row r="670" spans="1:6">
      <c r="A670" s="30">
        <v>43646</v>
      </c>
      <c r="B670" s="11" t="s">
        <v>586</v>
      </c>
      <c r="C670" s="11" t="s">
        <v>599</v>
      </c>
      <c r="D670" s="12">
        <v>56.923000000000002</v>
      </c>
      <c r="E670" s="11" t="s">
        <v>598</v>
      </c>
      <c r="F670" s="31">
        <v>0</v>
      </c>
    </row>
    <row r="671" spans="1:6">
      <c r="A671" s="30">
        <v>43647</v>
      </c>
      <c r="B671" s="11" t="s">
        <v>586</v>
      </c>
      <c r="C671" s="11" t="s">
        <v>599</v>
      </c>
      <c r="D671" s="12">
        <v>56.344200000000001</v>
      </c>
      <c r="E671" s="11" t="s">
        <v>598</v>
      </c>
      <c r="F671" s="31">
        <v>0</v>
      </c>
    </row>
    <row r="672" spans="1:6">
      <c r="A672" s="30">
        <v>43648</v>
      </c>
      <c r="B672" s="11" t="s">
        <v>586</v>
      </c>
      <c r="C672" s="11" t="s">
        <v>599</v>
      </c>
      <c r="D672" s="12">
        <v>61.8202</v>
      </c>
      <c r="E672" s="11" t="s">
        <v>598</v>
      </c>
      <c r="F672" s="31">
        <v>0</v>
      </c>
    </row>
    <row r="673" spans="1:6">
      <c r="A673" s="30">
        <v>43649</v>
      </c>
      <c r="B673" s="11" t="s">
        <v>586</v>
      </c>
      <c r="C673" s="11" t="s">
        <v>599</v>
      </c>
      <c r="D673" s="12">
        <v>59.070500000000003</v>
      </c>
      <c r="E673" s="11" t="s">
        <v>598</v>
      </c>
      <c r="F673" s="31">
        <v>0</v>
      </c>
    </row>
    <row r="674" spans="1:6">
      <c r="A674" s="30">
        <v>43650</v>
      </c>
      <c r="B674" s="11" t="s">
        <v>586</v>
      </c>
      <c r="C674" s="11" t="s">
        <v>599</v>
      </c>
      <c r="D674" s="12">
        <v>57.858400000000003</v>
      </c>
      <c r="E674" s="11" t="s">
        <v>598</v>
      </c>
      <c r="F674" s="31">
        <v>0</v>
      </c>
    </row>
    <row r="675" spans="1:6">
      <c r="A675" s="30">
        <v>43651</v>
      </c>
      <c r="B675" s="11" t="s">
        <v>586</v>
      </c>
      <c r="C675" s="11" t="s">
        <v>599</v>
      </c>
      <c r="D675" s="12">
        <v>58.7727</v>
      </c>
      <c r="E675" s="11" t="s">
        <v>598</v>
      </c>
      <c r="F675" s="31">
        <v>0</v>
      </c>
    </row>
    <row r="676" spans="1:6">
      <c r="A676" s="30">
        <v>43652</v>
      </c>
      <c r="B676" s="11" t="s">
        <v>586</v>
      </c>
      <c r="C676" s="11" t="s">
        <v>599</v>
      </c>
      <c r="D676" s="12">
        <v>61.081299999999999</v>
      </c>
      <c r="E676" s="11" t="s">
        <v>598</v>
      </c>
      <c r="F676" s="31">
        <v>0</v>
      </c>
    </row>
    <row r="677" spans="1:6">
      <c r="A677" s="30">
        <v>43653</v>
      </c>
      <c r="B677" s="11" t="s">
        <v>586</v>
      </c>
      <c r="C677" s="11" t="s">
        <v>599</v>
      </c>
      <c r="D677" s="12">
        <v>63.609000000000002</v>
      </c>
      <c r="E677" s="11" t="s">
        <v>598</v>
      </c>
      <c r="F677" s="31">
        <v>0</v>
      </c>
    </row>
    <row r="678" spans="1:6">
      <c r="A678" s="30">
        <v>43654</v>
      </c>
      <c r="B678" s="11" t="s">
        <v>586</v>
      </c>
      <c r="C678" s="11" t="s">
        <v>599</v>
      </c>
      <c r="D678" s="12">
        <v>58.807699999999997</v>
      </c>
      <c r="E678" s="11" t="s">
        <v>598</v>
      </c>
      <c r="F678" s="31">
        <v>0</v>
      </c>
    </row>
    <row r="679" spans="1:6">
      <c r="A679" s="30">
        <v>43655</v>
      </c>
      <c r="B679" s="11" t="s">
        <v>586</v>
      </c>
      <c r="C679" s="11" t="s">
        <v>599</v>
      </c>
      <c r="D679" s="12">
        <v>56.800899999999999</v>
      </c>
      <c r="E679" s="11" t="s">
        <v>598</v>
      </c>
      <c r="F679" s="31">
        <v>0</v>
      </c>
    </row>
    <row r="680" spans="1:6">
      <c r="A680" s="30">
        <v>43656</v>
      </c>
      <c r="B680" s="11" t="s">
        <v>586</v>
      </c>
      <c r="C680" s="11" t="s">
        <v>599</v>
      </c>
      <c r="D680" s="12">
        <v>58.049500000000002</v>
      </c>
      <c r="E680" s="11" t="s">
        <v>598</v>
      </c>
      <c r="F680" s="31">
        <v>0</v>
      </c>
    </row>
    <row r="681" spans="1:6">
      <c r="A681" s="30">
        <v>43657</v>
      </c>
      <c r="B681" s="11" t="s">
        <v>586</v>
      </c>
      <c r="C681" s="11" t="s">
        <v>599</v>
      </c>
      <c r="D681" s="12">
        <v>55.874200000000002</v>
      </c>
      <c r="E681" s="11" t="s">
        <v>598</v>
      </c>
      <c r="F681" s="31">
        <v>0</v>
      </c>
    </row>
    <row r="682" spans="1:6">
      <c r="A682" s="30">
        <v>43658</v>
      </c>
      <c r="B682" s="11" t="s">
        <v>586</v>
      </c>
      <c r="C682" s="11" t="s">
        <v>599</v>
      </c>
      <c r="D682" s="12">
        <v>55.276600000000002</v>
      </c>
      <c r="E682" s="11" t="s">
        <v>598</v>
      </c>
      <c r="F682" s="31">
        <v>0</v>
      </c>
    </row>
    <row r="683" spans="1:6">
      <c r="A683" s="30">
        <v>43659</v>
      </c>
      <c r="B683" s="11" t="s">
        <v>586</v>
      </c>
      <c r="C683" s="11" t="s">
        <v>599</v>
      </c>
      <c r="D683" s="12">
        <v>56.810499999999998</v>
      </c>
      <c r="E683" s="11" t="s">
        <v>598</v>
      </c>
      <c r="F683" s="31">
        <v>0</v>
      </c>
    </row>
    <row r="684" spans="1:6">
      <c r="A684" s="30">
        <v>43660</v>
      </c>
      <c r="B684" s="11" t="s">
        <v>586</v>
      </c>
      <c r="C684" s="11" t="s">
        <v>599</v>
      </c>
      <c r="D684" s="12">
        <v>61.1922</v>
      </c>
      <c r="E684" s="11" t="s">
        <v>598</v>
      </c>
      <c r="F684" s="31">
        <v>0</v>
      </c>
    </row>
    <row r="685" spans="1:6">
      <c r="A685" s="30">
        <v>43661</v>
      </c>
      <c r="B685" s="11" t="s">
        <v>586</v>
      </c>
      <c r="C685" s="11" t="s">
        <v>599</v>
      </c>
      <c r="D685" s="12">
        <v>62.651899999999998</v>
      </c>
      <c r="E685" s="11" t="s">
        <v>598</v>
      </c>
      <c r="F685" s="31">
        <v>0</v>
      </c>
    </row>
    <row r="686" spans="1:6">
      <c r="A686" s="30">
        <v>43662</v>
      </c>
      <c r="B686" s="11" t="s">
        <v>586</v>
      </c>
      <c r="C686" s="11" t="s">
        <v>599</v>
      </c>
      <c r="D686" s="12">
        <v>70.721900000000005</v>
      </c>
      <c r="E686" s="11" t="s">
        <v>598</v>
      </c>
      <c r="F686" s="31">
        <v>0</v>
      </c>
    </row>
    <row r="687" spans="1:6">
      <c r="A687" s="30">
        <v>43663</v>
      </c>
      <c r="B687" s="11" t="s">
        <v>586</v>
      </c>
      <c r="C687" s="11" t="s">
        <v>599</v>
      </c>
      <c r="D687" s="12">
        <v>65.548500000000004</v>
      </c>
      <c r="E687" s="11" t="s">
        <v>598</v>
      </c>
      <c r="F687" s="31">
        <v>0</v>
      </c>
    </row>
    <row r="688" spans="1:6">
      <c r="A688" s="30">
        <v>43664</v>
      </c>
      <c r="B688" s="11" t="s">
        <v>586</v>
      </c>
      <c r="C688" s="11" t="s">
        <v>599</v>
      </c>
      <c r="D688" s="12">
        <v>61.4621</v>
      </c>
      <c r="E688" s="11" t="s">
        <v>598</v>
      </c>
      <c r="F688" s="31">
        <v>0</v>
      </c>
    </row>
    <row r="689" spans="1:6">
      <c r="A689" s="30">
        <v>43665</v>
      </c>
      <c r="B689" s="11" t="s">
        <v>586</v>
      </c>
      <c r="C689" s="11" t="s">
        <v>599</v>
      </c>
      <c r="D689" s="12">
        <v>63.2136</v>
      </c>
      <c r="E689" s="11" t="s">
        <v>598</v>
      </c>
      <c r="F689" s="31">
        <v>0</v>
      </c>
    </row>
    <row r="690" spans="1:6">
      <c r="A690" s="30">
        <v>43666</v>
      </c>
      <c r="B690" s="11" t="s">
        <v>586</v>
      </c>
      <c r="C690" s="11" t="s">
        <v>599</v>
      </c>
      <c r="D690" s="12">
        <v>69.359700000000004</v>
      </c>
      <c r="E690" s="11" t="s">
        <v>598</v>
      </c>
      <c r="F690" s="31">
        <v>0</v>
      </c>
    </row>
    <row r="691" spans="1:6">
      <c r="A691" s="30">
        <v>43667</v>
      </c>
      <c r="B691" s="11" t="s">
        <v>586</v>
      </c>
      <c r="C691" s="11" t="s">
        <v>599</v>
      </c>
      <c r="D691" s="12">
        <v>76.257099999999994</v>
      </c>
      <c r="E691" s="11" t="s">
        <v>598</v>
      </c>
      <c r="F691" s="31">
        <v>0</v>
      </c>
    </row>
    <row r="692" spans="1:6">
      <c r="A692" s="30">
        <v>43668</v>
      </c>
      <c r="B692" s="11" t="s">
        <v>586</v>
      </c>
      <c r="C692" s="11" t="s">
        <v>599</v>
      </c>
      <c r="D692" s="12">
        <v>75.7971</v>
      </c>
      <c r="E692" s="11" t="s">
        <v>598</v>
      </c>
      <c r="F692" s="31">
        <v>0</v>
      </c>
    </row>
    <row r="693" spans="1:6">
      <c r="A693" s="30">
        <v>43669</v>
      </c>
      <c r="B693" s="11" t="s">
        <v>586</v>
      </c>
      <c r="C693" s="11" t="s">
        <v>599</v>
      </c>
      <c r="D693" s="12">
        <v>78.351799999999997</v>
      </c>
      <c r="E693" s="11" t="s">
        <v>598</v>
      </c>
      <c r="F693" s="31">
        <v>0</v>
      </c>
    </row>
    <row r="694" spans="1:6">
      <c r="A694" s="30">
        <v>43670</v>
      </c>
      <c r="B694" s="11" t="s">
        <v>586</v>
      </c>
      <c r="C694" s="11" t="s">
        <v>599</v>
      </c>
      <c r="D694" s="12">
        <v>67.772999999999996</v>
      </c>
      <c r="E694" s="11" t="s">
        <v>598</v>
      </c>
      <c r="F694" s="31">
        <v>0</v>
      </c>
    </row>
    <row r="695" spans="1:6">
      <c r="A695" s="30">
        <v>43671</v>
      </c>
      <c r="B695" s="11" t="s">
        <v>586</v>
      </c>
      <c r="C695" s="11" t="s">
        <v>599</v>
      </c>
      <c r="D695" s="12">
        <v>68.617400000000004</v>
      </c>
      <c r="E695" s="11" t="s">
        <v>598</v>
      </c>
      <c r="F695" s="31">
        <v>0</v>
      </c>
    </row>
    <row r="696" spans="1:6">
      <c r="A696" s="30">
        <v>43672</v>
      </c>
      <c r="B696" s="11" t="s">
        <v>586</v>
      </c>
      <c r="C696" s="11" t="s">
        <v>599</v>
      </c>
      <c r="D696" s="12">
        <v>67.706800000000001</v>
      </c>
      <c r="E696" s="11" t="s">
        <v>598</v>
      </c>
      <c r="F696" s="31">
        <v>0</v>
      </c>
    </row>
    <row r="697" spans="1:6">
      <c r="A697" s="30">
        <v>43673</v>
      </c>
      <c r="B697" s="11" t="s">
        <v>586</v>
      </c>
      <c r="C697" s="11" t="s">
        <v>599</v>
      </c>
      <c r="D697" s="12">
        <v>70.388999999999996</v>
      </c>
      <c r="E697" s="11" t="s">
        <v>598</v>
      </c>
      <c r="F697" s="31">
        <v>0</v>
      </c>
    </row>
    <row r="698" spans="1:6">
      <c r="A698" s="30">
        <v>43674</v>
      </c>
      <c r="B698" s="11" t="s">
        <v>586</v>
      </c>
      <c r="C698" s="11" t="s">
        <v>599</v>
      </c>
      <c r="D698" s="12">
        <v>71.099900000000005</v>
      </c>
      <c r="E698" s="11" t="s">
        <v>598</v>
      </c>
      <c r="F698" s="31">
        <v>0</v>
      </c>
    </row>
    <row r="699" spans="1:6">
      <c r="A699" s="30">
        <v>43675</v>
      </c>
      <c r="B699" s="11" t="s">
        <v>586</v>
      </c>
      <c r="C699" s="11" t="s">
        <v>599</v>
      </c>
      <c r="D699" s="12">
        <v>69.071700000000007</v>
      </c>
      <c r="E699" s="11" t="s">
        <v>598</v>
      </c>
      <c r="F699" s="31">
        <v>0</v>
      </c>
    </row>
    <row r="700" spans="1:6">
      <c r="A700" s="30">
        <v>43676</v>
      </c>
      <c r="B700" s="11" t="s">
        <v>586</v>
      </c>
      <c r="C700" s="11" t="s">
        <v>599</v>
      </c>
      <c r="D700" s="12">
        <v>72.546800000000005</v>
      </c>
      <c r="E700" s="11" t="s">
        <v>598</v>
      </c>
      <c r="F700" s="31">
        <v>0</v>
      </c>
    </row>
    <row r="701" spans="1:6">
      <c r="A701" s="30">
        <v>43677</v>
      </c>
      <c r="B701" s="11" t="s">
        <v>586</v>
      </c>
      <c r="C701" s="11" t="s">
        <v>599</v>
      </c>
      <c r="D701" s="12">
        <v>74.994799999999998</v>
      </c>
      <c r="E701" s="11" t="s">
        <v>598</v>
      </c>
      <c r="F701" s="31">
        <v>0</v>
      </c>
    </row>
    <row r="702" spans="1:6">
      <c r="A702" s="30">
        <v>43678</v>
      </c>
      <c r="B702" s="11" t="s">
        <v>586</v>
      </c>
      <c r="C702" s="11" t="s">
        <v>599</v>
      </c>
      <c r="D702" s="12">
        <v>72.420100000000005</v>
      </c>
      <c r="E702" s="11" t="s">
        <v>598</v>
      </c>
      <c r="F702" s="31">
        <v>0</v>
      </c>
    </row>
    <row r="703" spans="1:6">
      <c r="A703" s="30">
        <v>43679</v>
      </c>
      <c r="B703" s="11" t="s">
        <v>586</v>
      </c>
      <c r="C703" s="11" t="s">
        <v>599</v>
      </c>
      <c r="D703" s="12">
        <v>71.528000000000006</v>
      </c>
      <c r="E703" s="11" t="s">
        <v>598</v>
      </c>
      <c r="F703" s="31">
        <v>0</v>
      </c>
    </row>
    <row r="704" spans="1:6">
      <c r="A704" s="30">
        <v>43680</v>
      </c>
      <c r="B704" s="11" t="s">
        <v>586</v>
      </c>
      <c r="C704" s="11" t="s">
        <v>599</v>
      </c>
      <c r="D704" s="12">
        <v>70.555999999999997</v>
      </c>
      <c r="E704" s="11" t="s">
        <v>598</v>
      </c>
      <c r="F704" s="31">
        <v>0</v>
      </c>
    </row>
    <row r="705" spans="1:6">
      <c r="A705" s="30">
        <v>43681</v>
      </c>
      <c r="B705" s="11" t="s">
        <v>586</v>
      </c>
      <c r="C705" s="11" t="s">
        <v>599</v>
      </c>
      <c r="D705" s="12">
        <v>72.327100000000002</v>
      </c>
      <c r="E705" s="11" t="s">
        <v>598</v>
      </c>
      <c r="F705" s="31">
        <v>0</v>
      </c>
    </row>
    <row r="706" spans="1:6">
      <c r="A706" s="30">
        <v>43682</v>
      </c>
      <c r="B706" s="11" t="s">
        <v>586</v>
      </c>
      <c r="C706" s="11" t="s">
        <v>599</v>
      </c>
      <c r="D706" s="12">
        <v>72.749200000000002</v>
      </c>
      <c r="E706" s="11" t="s">
        <v>598</v>
      </c>
      <c r="F706" s="31">
        <v>0</v>
      </c>
    </row>
    <row r="707" spans="1:6">
      <c r="A707" s="30">
        <v>43683</v>
      </c>
      <c r="B707" s="11" t="s">
        <v>586</v>
      </c>
      <c r="C707" s="11" t="s">
        <v>599</v>
      </c>
      <c r="D707" s="12">
        <v>70.638599999999997</v>
      </c>
      <c r="E707" s="11" t="s">
        <v>598</v>
      </c>
      <c r="F707" s="31">
        <v>0</v>
      </c>
    </row>
    <row r="708" spans="1:6">
      <c r="A708" s="30">
        <v>43684</v>
      </c>
      <c r="B708" s="11" t="s">
        <v>586</v>
      </c>
      <c r="C708" s="11" t="s">
        <v>599</v>
      </c>
      <c r="D708" s="12">
        <v>64.610699999999994</v>
      </c>
      <c r="E708" s="11" t="s">
        <v>598</v>
      </c>
      <c r="F708" s="31">
        <v>0</v>
      </c>
    </row>
    <row r="709" spans="1:6">
      <c r="A709" s="30">
        <v>43685</v>
      </c>
      <c r="B709" s="11" t="s">
        <v>586</v>
      </c>
      <c r="C709" s="11" t="s">
        <v>599</v>
      </c>
      <c r="D709" s="12">
        <v>70.550399999999996</v>
      </c>
      <c r="E709" s="11" t="s">
        <v>598</v>
      </c>
      <c r="F709" s="31">
        <v>0</v>
      </c>
    </row>
    <row r="710" spans="1:6">
      <c r="A710" s="30">
        <v>43686</v>
      </c>
      <c r="B710" s="11" t="s">
        <v>586</v>
      </c>
      <c r="C710" s="11" t="s">
        <v>599</v>
      </c>
      <c r="D710" s="12">
        <v>71.215900000000005</v>
      </c>
      <c r="E710" s="11" t="s">
        <v>598</v>
      </c>
      <c r="F710" s="31">
        <v>0</v>
      </c>
    </row>
    <row r="711" spans="1:6">
      <c r="A711" s="30">
        <v>43687</v>
      </c>
      <c r="B711" s="11" t="s">
        <v>586</v>
      </c>
      <c r="C711" s="11" t="s">
        <v>599</v>
      </c>
      <c r="D711" s="12">
        <v>70.581500000000005</v>
      </c>
      <c r="E711" s="11" t="s">
        <v>598</v>
      </c>
      <c r="F711" s="31">
        <v>0</v>
      </c>
    </row>
    <row r="712" spans="1:6">
      <c r="A712" s="30">
        <v>43688</v>
      </c>
      <c r="B712" s="11" t="s">
        <v>586</v>
      </c>
      <c r="C712" s="11" t="s">
        <v>599</v>
      </c>
      <c r="D712" s="12">
        <v>82.240700000000004</v>
      </c>
      <c r="E712" s="11" t="s">
        <v>598</v>
      </c>
      <c r="F712" s="31">
        <v>0</v>
      </c>
    </row>
    <row r="713" spans="1:6">
      <c r="A713" s="30">
        <v>43689</v>
      </c>
      <c r="B713" s="11" t="s">
        <v>586</v>
      </c>
      <c r="C713" s="11" t="s">
        <v>599</v>
      </c>
      <c r="D713" s="12">
        <v>78.660200000000003</v>
      </c>
      <c r="E713" s="11" t="s">
        <v>598</v>
      </c>
      <c r="F713" s="31">
        <v>0</v>
      </c>
    </row>
    <row r="714" spans="1:6">
      <c r="A714" s="30">
        <v>43690</v>
      </c>
      <c r="B714" s="11" t="s">
        <v>586</v>
      </c>
      <c r="C714" s="11" t="s">
        <v>599</v>
      </c>
      <c r="D714" s="12">
        <v>80.340500000000006</v>
      </c>
      <c r="E714" s="11" t="s">
        <v>598</v>
      </c>
      <c r="F714" s="31">
        <v>0</v>
      </c>
    </row>
    <row r="715" spans="1:6">
      <c r="A715" s="30">
        <v>43691</v>
      </c>
      <c r="B715" s="11" t="s">
        <v>586</v>
      </c>
      <c r="C715" s="11" t="s">
        <v>599</v>
      </c>
      <c r="D715" s="12">
        <v>82.647400000000005</v>
      </c>
      <c r="E715" s="11" t="s">
        <v>598</v>
      </c>
      <c r="F715" s="31">
        <v>0</v>
      </c>
    </row>
    <row r="716" spans="1:6">
      <c r="A716" s="30">
        <v>43692</v>
      </c>
      <c r="B716" s="11" t="s">
        <v>586</v>
      </c>
      <c r="C716" s="11" t="s">
        <v>599</v>
      </c>
      <c r="D716" s="12">
        <v>84.138400000000004</v>
      </c>
      <c r="E716" s="11" t="s">
        <v>598</v>
      </c>
      <c r="F716" s="31">
        <v>0</v>
      </c>
    </row>
    <row r="717" spans="1:6">
      <c r="A717" s="30">
        <v>43693</v>
      </c>
      <c r="B717" s="11" t="s">
        <v>586</v>
      </c>
      <c r="C717" s="11" t="s">
        <v>599</v>
      </c>
      <c r="D717" s="12">
        <v>78.309799999999996</v>
      </c>
      <c r="E717" s="11" t="s">
        <v>598</v>
      </c>
      <c r="F717" s="31">
        <v>0</v>
      </c>
    </row>
    <row r="718" spans="1:6">
      <c r="A718" s="30">
        <v>43694</v>
      </c>
      <c r="B718" s="11" t="s">
        <v>586</v>
      </c>
      <c r="C718" s="11" t="s">
        <v>599</v>
      </c>
      <c r="D718" s="12">
        <v>79.905600000000007</v>
      </c>
      <c r="E718" s="11" t="s">
        <v>598</v>
      </c>
      <c r="F718" s="31">
        <v>0</v>
      </c>
    </row>
    <row r="719" spans="1:6">
      <c r="A719" s="30">
        <v>43695</v>
      </c>
      <c r="B719" s="11" t="s">
        <v>586</v>
      </c>
      <c r="C719" s="11" t="s">
        <v>599</v>
      </c>
      <c r="D719" s="12">
        <v>80.689300000000003</v>
      </c>
      <c r="E719" s="11" t="s">
        <v>598</v>
      </c>
      <c r="F719" s="31">
        <v>0</v>
      </c>
    </row>
    <row r="720" spans="1:6">
      <c r="A720" s="30">
        <v>43696</v>
      </c>
      <c r="B720" s="11" t="s">
        <v>586</v>
      </c>
      <c r="C720" s="11" t="s">
        <v>599</v>
      </c>
      <c r="D720" s="12">
        <v>90.935699999999997</v>
      </c>
      <c r="E720" s="11" t="s">
        <v>598</v>
      </c>
      <c r="F720" s="31">
        <v>0</v>
      </c>
    </row>
    <row r="721" spans="1:6">
      <c r="A721" s="30">
        <v>43697</v>
      </c>
      <c r="B721" s="11" t="s">
        <v>586</v>
      </c>
      <c r="C721" s="11" t="s">
        <v>599</v>
      </c>
      <c r="D721" s="12">
        <v>85.290199999999999</v>
      </c>
      <c r="E721" s="11" t="s">
        <v>598</v>
      </c>
      <c r="F721" s="31">
        <v>0</v>
      </c>
    </row>
    <row r="722" spans="1:6">
      <c r="A722" s="30">
        <v>43698</v>
      </c>
      <c r="B722" s="11" t="s">
        <v>586</v>
      </c>
      <c r="C722" s="11" t="s">
        <v>599</v>
      </c>
      <c r="D722" s="12">
        <v>84.528800000000004</v>
      </c>
      <c r="E722" s="11" t="s">
        <v>598</v>
      </c>
      <c r="F722" s="31">
        <v>0</v>
      </c>
    </row>
    <row r="723" spans="1:6">
      <c r="A723" s="30">
        <v>43699</v>
      </c>
      <c r="B723" s="11" t="s">
        <v>586</v>
      </c>
      <c r="C723" s="11" t="s">
        <v>599</v>
      </c>
      <c r="D723" s="12">
        <v>79.455399999999997</v>
      </c>
      <c r="E723" s="11" t="s">
        <v>598</v>
      </c>
      <c r="F723" s="31">
        <v>0</v>
      </c>
    </row>
    <row r="724" spans="1:6">
      <c r="A724" s="30">
        <v>43700</v>
      </c>
      <c r="B724" s="11" t="s">
        <v>586</v>
      </c>
      <c r="C724" s="11" t="s">
        <v>599</v>
      </c>
      <c r="D724" s="12">
        <v>83.436000000000007</v>
      </c>
      <c r="E724" s="11" t="s">
        <v>598</v>
      </c>
      <c r="F724" s="31">
        <v>0</v>
      </c>
    </row>
    <row r="725" spans="1:6">
      <c r="A725" s="30">
        <v>43701</v>
      </c>
      <c r="B725" s="11" t="s">
        <v>586</v>
      </c>
      <c r="C725" s="11" t="s">
        <v>599</v>
      </c>
      <c r="D725" s="12">
        <v>78.685500000000005</v>
      </c>
      <c r="E725" s="11" t="s">
        <v>598</v>
      </c>
      <c r="F725" s="31">
        <v>0</v>
      </c>
    </row>
    <row r="726" spans="1:6">
      <c r="A726" s="30">
        <v>43702</v>
      </c>
      <c r="B726" s="11" t="s">
        <v>586</v>
      </c>
      <c r="C726" s="11" t="s">
        <v>599</v>
      </c>
      <c r="D726" s="12">
        <v>81.317899999999995</v>
      </c>
      <c r="E726" s="11" t="s">
        <v>598</v>
      </c>
      <c r="F726" s="31">
        <v>0</v>
      </c>
    </row>
    <row r="727" spans="1:6">
      <c r="A727" s="30">
        <v>43703</v>
      </c>
      <c r="B727" s="11" t="s">
        <v>586</v>
      </c>
      <c r="C727" s="11" t="s">
        <v>599</v>
      </c>
      <c r="D727" s="12">
        <v>74.948700000000002</v>
      </c>
      <c r="E727" s="11" t="s">
        <v>598</v>
      </c>
      <c r="F727" s="31">
        <v>0</v>
      </c>
    </row>
    <row r="728" spans="1:6">
      <c r="A728" s="30">
        <v>43704</v>
      </c>
      <c r="B728" s="11" t="s">
        <v>586</v>
      </c>
      <c r="C728" s="11" t="s">
        <v>599</v>
      </c>
      <c r="D728" s="12">
        <v>75.825999999999993</v>
      </c>
      <c r="E728" s="11" t="s">
        <v>598</v>
      </c>
      <c r="F728" s="31">
        <v>0</v>
      </c>
    </row>
    <row r="729" spans="1:6">
      <c r="A729" s="30">
        <v>43705</v>
      </c>
      <c r="B729" s="11" t="s">
        <v>586</v>
      </c>
      <c r="C729" s="11" t="s">
        <v>599</v>
      </c>
      <c r="D729" s="12">
        <v>78.948700000000002</v>
      </c>
      <c r="E729" s="11" t="s">
        <v>598</v>
      </c>
      <c r="F729" s="31">
        <v>0</v>
      </c>
    </row>
    <row r="730" spans="1:6">
      <c r="A730" s="30">
        <v>43706</v>
      </c>
      <c r="B730" s="11" t="s">
        <v>586</v>
      </c>
      <c r="C730" s="11" t="s">
        <v>599</v>
      </c>
      <c r="D730" s="12">
        <v>81.897499999999994</v>
      </c>
      <c r="E730" s="11" t="s">
        <v>598</v>
      </c>
      <c r="F730" s="31">
        <v>0</v>
      </c>
    </row>
    <row r="731" spans="1:6">
      <c r="A731" s="30">
        <v>43707</v>
      </c>
      <c r="B731" s="11" t="s">
        <v>586</v>
      </c>
      <c r="C731" s="11" t="s">
        <v>599</v>
      </c>
      <c r="D731" s="12">
        <v>80.421800000000005</v>
      </c>
      <c r="E731" s="11" t="s">
        <v>598</v>
      </c>
      <c r="F731" s="31">
        <v>0</v>
      </c>
    </row>
    <row r="732" spans="1:6">
      <c r="A732" s="30">
        <v>43708</v>
      </c>
      <c r="B732" s="11" t="s">
        <v>586</v>
      </c>
      <c r="C732" s="11" t="s">
        <v>599</v>
      </c>
      <c r="D732" s="12">
        <v>74.007400000000004</v>
      </c>
      <c r="E732" s="11" t="s">
        <v>598</v>
      </c>
      <c r="F732" s="31">
        <v>0</v>
      </c>
    </row>
  </sheetData>
  <autoFilter ref="A2:F732"/>
  <mergeCells count="1">
    <mergeCell ref="A1:G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CmdBtnParameters">
              <controlPr defaultSize="0" print="0" autoFill="0" autoPict="0" macro="_xll.btnViewParameters_Click">
                <anchor moveWithCells="1" sizeWithCells="1">
                  <from>
                    <xdr:col>7</xdr:col>
                    <xdr:colOff>57150</xdr:colOff>
                    <xdr:row>0</xdr:row>
                    <xdr:rowOff>57150</xdr:rowOff>
                  </from>
                  <to>
                    <xdr:col>7</xdr:col>
                    <xdr:colOff>1200150</xdr:colOff>
                    <xdr:row>0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B1" workbookViewId="0">
      <selection activeCell="G3" sqref="G3"/>
    </sheetView>
  </sheetViews>
  <sheetFormatPr defaultRowHeight="15"/>
  <cols>
    <col min="1" max="1" width="18.85546875" style="25" bestFit="1" customWidth="1"/>
    <col min="2" max="2" width="21.140625" style="25" bestFit="1" customWidth="1"/>
    <col min="3" max="3" width="20.85546875" style="25" bestFit="1" customWidth="1"/>
    <col min="4" max="4" width="18.85546875" style="25" bestFit="1" customWidth="1"/>
    <col min="5" max="5" width="70" style="25" bestFit="1" customWidth="1"/>
    <col min="6" max="6" width="13.140625" style="25" bestFit="1" customWidth="1"/>
    <col min="7" max="7" width="18.140625" style="25" bestFit="1" customWidth="1"/>
    <col min="8" max="16384" width="9.140625" style="25"/>
  </cols>
  <sheetData>
    <row r="1" spans="1:7" s="24" customFormat="1">
      <c r="A1" s="24" t="s">
        <v>33</v>
      </c>
      <c r="B1" s="24" t="s">
        <v>31</v>
      </c>
      <c r="C1" s="24" t="s">
        <v>32</v>
      </c>
      <c r="D1" s="24" t="s">
        <v>28</v>
      </c>
      <c r="E1" s="24" t="s">
        <v>34</v>
      </c>
      <c r="F1" s="24" t="s">
        <v>578</v>
      </c>
      <c r="G1" s="24" t="s">
        <v>579</v>
      </c>
    </row>
    <row r="2" spans="1:7" ht="105">
      <c r="A2" s="25" t="s">
        <v>61</v>
      </c>
      <c r="B2" s="25" t="s">
        <v>59</v>
      </c>
      <c r="C2" s="25" t="s">
        <v>60</v>
      </c>
      <c r="D2" s="25" t="s">
        <v>61</v>
      </c>
      <c r="E2" s="26" t="s">
        <v>721</v>
      </c>
      <c r="F2" s="25" t="s">
        <v>580</v>
      </c>
      <c r="G2" s="27">
        <v>43724.533414351848</v>
      </c>
    </row>
    <row r="3" spans="1:7" ht="60">
      <c r="A3" s="25" t="s">
        <v>590</v>
      </c>
      <c r="B3" s="25" t="s">
        <v>59</v>
      </c>
      <c r="C3" s="25" t="s">
        <v>60</v>
      </c>
      <c r="D3" s="25" t="s">
        <v>590</v>
      </c>
      <c r="E3" s="26" t="s">
        <v>675</v>
      </c>
      <c r="F3" s="25" t="s">
        <v>580</v>
      </c>
      <c r="G3" s="27">
        <v>43724.532905092594</v>
      </c>
    </row>
  </sheetData>
  <autoFilter ref="A1:G3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CType xmlns="2d31b7ad-15c6-4894-9733-8fc92f7506c2" xsi:nil="true"/>
    <TaxCatchAll xmlns="477fc5ce-41ca-4ff5-9129-50536b89efc1">
      <Value>145</Value>
      <Value>144</Value>
      <Value>198</Value>
    </TaxCatchAll>
    <d333ce839c724a3b9cff5445693eeb84 xmlns="477fc5ce-41ca-4ff5-9129-50536b89efc1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Regulatory Compliance</TermName>
          <TermId xmlns="http://schemas.microsoft.com/office/infopath/2007/PartnerControls">f34eb512-5677-431a-95f9-e63dbf3ad695</TermId>
        </TermInfo>
      </Terms>
    </d333ce839c724a3b9cff5445693eeb84>
    <je072f8e7a31441ebcc5920b88bf9bf1 xmlns="477fc5ce-41ca-4ff5-9129-50536b89efc1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</TermName>
          <TermId xmlns="http://schemas.microsoft.com/office/infopath/2007/PartnerControls">ab088ef3-0222-4160-af5e-b2110b4349af</TermId>
        </TermInfo>
        <TermInfo xmlns="http://schemas.microsoft.com/office/infopath/2007/PartnerControls">
          <TermName xmlns="http://schemas.microsoft.com/office/infopath/2007/PartnerControls">RWHTF</TermName>
          <TermId xmlns="http://schemas.microsoft.com/office/infopath/2007/PartnerControls">cf8dc24d-81d1-4dd2-9234-1ce90f4284a8</TermId>
        </TermInfo>
      </Terms>
    </je072f8e7a31441ebcc5920b88bf9bf1>
    <_dlc_DocId xmlns="477fc5ce-41ca-4ff5-9129-50536b89efc1">QYX56EFTVTS7-1850502781-202</_dlc_DocId>
    <_dlc_DocIdUrl xmlns="477fc5ce-41ca-4ff5-9129-50536b89efc1">
      <Url>http://metronet/teamsites/regcomp/wa/_layouts/15/DocIdRedir.aspx?ID=QYX56EFTVTS7-1850502781-202</Url>
      <Description>QYX56EFTVTS7-1850502781-202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Regulatory Compliance Document" ma:contentTypeID="0x010100E65D79356CAC69498BF05D510B6A056D021800EF1E6DDD2380F342BF7FFB8B5C81E3A1" ma:contentTypeVersion="3" ma:contentTypeDescription="" ma:contentTypeScope="" ma:versionID="7aca9bdc165668fc6c4a259211556f17">
  <xsd:schema xmlns:xsd="http://www.w3.org/2001/XMLSchema" xmlns:xs="http://www.w3.org/2001/XMLSchema" xmlns:p="http://schemas.microsoft.com/office/2006/metadata/properties" xmlns:ns2="477fc5ce-41ca-4ff5-9129-50536b89efc1" xmlns:ns3="2d31b7ad-15c6-4894-9733-8fc92f7506c2" targetNamespace="http://schemas.microsoft.com/office/2006/metadata/properties" ma:root="true" ma:fieldsID="e120fc4a3ccbff71c03a7e6d61c3425f" ns2:_="" ns3:_="">
    <xsd:import namespace="477fc5ce-41ca-4ff5-9129-50536b89efc1"/>
    <xsd:import namespace="2d31b7ad-15c6-4894-9733-8fc92f7506c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333ce839c724a3b9cff5445693eeb84" minOccurs="0"/>
                <xsd:element ref="ns2:TaxCatchAll" minOccurs="0"/>
                <xsd:element ref="ns2:TaxCatchAllLabel" minOccurs="0"/>
                <xsd:element ref="ns2:je072f8e7a31441ebcc5920b88bf9bf1" minOccurs="0"/>
                <xsd:element ref="ns3:RC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fc5ce-41ca-4ff5-9129-50536b89efc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333ce839c724a3b9cff5445693eeb84" ma:index="11" ma:taxonomy="true" ma:internalName="d333ce839c724a3b9cff5445693eeb84" ma:taxonomyFieldName="ctmTeam" ma:displayName="Team" ma:default="" ma:fieldId="{d333ce83-9c72-4a3b-9cff-5445693eeb84}" ma:sspId="2249cb8a-0bb6-4900-ba57-876558f55e0e" ma:termSetId="7bb115e1-b33a-4f08-8cf4-75c9d1b0a46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08fd1657-8599-4331-a42a-fc1172614cb3}" ma:internalName="TaxCatchAll" ma:showField="CatchAllData" ma:web="477fc5ce-41ca-4ff5-9129-50536b89ef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08fd1657-8599-4331-a42a-fc1172614cb3}" ma:internalName="TaxCatchAllLabel" ma:readOnly="true" ma:showField="CatchAllDataLabel" ma:web="477fc5ce-41ca-4ff5-9129-50536b89ef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e072f8e7a31441ebcc5920b88bf9bf1" ma:index="15" nillable="true" ma:taxonomy="true" ma:internalName="je072f8e7a31441ebcc5920b88bf9bf1" ma:taxonomyFieldName="Regulatory_x0020_Compliance_x0020_Document_x0020_Type" ma:displayName="Regulatory Compliance Document Type" ma:default="" ma:fieldId="{3e072f8e-7a31-441e-bcc5-920b88bf9bf1}" ma:taxonomyMulti="true" ma:sspId="2249cb8a-0bb6-4900-ba57-876558f55e0e" ma:termSetId="07c7fde7-d28d-45d1-9106-2f529c7cf50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1b7ad-15c6-4894-9733-8fc92f7506c2" elementFormDefault="qualified">
    <xsd:import namespace="http://schemas.microsoft.com/office/2006/documentManagement/types"/>
    <xsd:import namespace="http://schemas.microsoft.com/office/infopath/2007/PartnerControls"/>
    <xsd:element name="RCType" ma:index="17" nillable="true" ma:displayName="RCType" ma:format="Dropdown" ma:internalName="RCType">
      <xsd:simpleType>
        <xsd:restriction base="dms:Choice">
          <xsd:enumeration value="Plan"/>
          <xsd:enumeration value="Permit"/>
          <xsd:enumeration value="Report"/>
          <xsd:enumeration value="Recordkeeping"/>
          <xsd:enumeration value="Other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8EBFA2-AB91-4172-B6A2-A6761BDF2A25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85D5509-2BE1-4E17-A79C-D08837C0BBDA}">
  <ds:schemaRefs>
    <ds:schemaRef ds:uri="http://purl.org/dc/dcmitype/"/>
    <ds:schemaRef ds:uri="http://purl.org/dc/elements/1.1/"/>
    <ds:schemaRef ds:uri="http://schemas.microsoft.com/office/2006/documentManagement/types"/>
    <ds:schemaRef ds:uri="477fc5ce-41ca-4ff5-9129-50536b89efc1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d31b7ad-15c6-4894-9733-8fc92f7506c2"/>
  </ds:schemaRefs>
</ds:datastoreItem>
</file>

<file path=customXml/itemProps3.xml><?xml version="1.0" encoding="utf-8"?>
<ds:datastoreItem xmlns:ds="http://schemas.openxmlformats.org/officeDocument/2006/customXml" ds:itemID="{D32D296E-F6BE-4063-BAD7-101D2A63673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10DBA4F-3F1E-4BA4-87EC-64CD4B30E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7fc5ce-41ca-4ff5-9129-50536b89efc1"/>
    <ds:schemaRef ds:uri="2d31b7ad-15c6-4894-9733-8fc92f7506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Reg 85</vt:lpstr>
      <vt:lpstr>DMR 001C TIN &amp; TP</vt:lpstr>
      <vt:lpstr>DMR Flows-Effluent</vt:lpstr>
      <vt:lpstr>Report Parameters</vt:lpstr>
      <vt:lpstr>'DMR Flows-Effluent'!_4173_1</vt:lpstr>
      <vt:lpstr>'DMR 001C TIN &amp; TP'!_4174_1</vt:lpstr>
      <vt:lpstr>'DMR 001C TIN &amp; TP'!drilldown</vt:lpstr>
      <vt:lpstr>'DMR Flows-Effluent'!drilldown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YYYY_MMM_DMR_REG85</dc:title>
  <dc:creator>Koplitz, Katie</dc:creator>
  <cp:lastModifiedBy>Koplitz, Katie</cp:lastModifiedBy>
  <dcterms:created xsi:type="dcterms:W3CDTF">2019-07-01T16:39:22Z</dcterms:created>
  <dcterms:modified xsi:type="dcterms:W3CDTF">2019-09-19T17:25:03Z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0x010100E65D79356CAC69498BF05D510B6A056D021800EF1E6DDD2380F342BF7FFB8B5C81E3A1</vt:lpwstr>
  </property>
  <property fmtid="{D5CDD505-2E9C-101B-9397-08002B2CF9AE}" pid="3" name="_dlc_DocIdItemGuid">
    <vt:lpwstr>ffdde934-dc21-49f1-910b-1f5ff6e454bb</vt:lpwstr>
  </property>
  <property fmtid="{D5CDD505-2E9C-101B-9397-08002B2CF9AE}" pid="4" name="Regulatory Compliance Document Type">
    <vt:lpwstr>145;#Water|ab088ef3-0222-4160-af5e-b2110b4349af;#198;#RWHTF|cf8dc24d-81d1-4dd2-9234-1ce90f4284a8</vt:lpwstr>
  </property>
  <property fmtid="{D5CDD505-2E9C-101B-9397-08002B2CF9AE}" pid="5" name="ctmTeam">
    <vt:lpwstr>144;#Regulatory Compliance|f34eb512-5677-431a-95f9-e63dbf3ad695</vt:lpwstr>
  </property>
</Properties>
</file>